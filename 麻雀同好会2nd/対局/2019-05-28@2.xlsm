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0D9A1A8D-A632-43DC-9686-DC503166965D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20" r:id="rId1"/>
    <sheet name="Sheet2" sheetId="21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O14" i="22"/>
  <c r="J14" i="22"/>
  <c r="D14" i="22"/>
  <c r="C14" i="22"/>
  <c r="B14" i="22"/>
  <c r="A14" i="22"/>
  <c r="D13" i="22"/>
  <c r="C13" i="22"/>
  <c r="D10" i="22"/>
  <c r="D11" i="22" s="1"/>
  <c r="D12" i="22" s="1"/>
  <c r="C10" i="22"/>
  <c r="C11" i="22" s="1"/>
  <c r="C12" i="22" s="1"/>
  <c r="D9" i="22"/>
  <c r="C9" i="22"/>
  <c r="D8" i="22"/>
  <c r="C8" i="22"/>
  <c r="D7" i="22"/>
  <c r="C7" i="22"/>
  <c r="D6" i="22"/>
  <c r="B6" i="22"/>
  <c r="B7" i="22" s="1"/>
  <c r="A6" i="22"/>
  <c r="D5" i="22"/>
  <c r="C5" i="22"/>
  <c r="C6" i="22" s="1"/>
  <c r="B5" i="22"/>
  <c r="A5" i="22"/>
  <c r="T4" i="22"/>
  <c r="O4" i="22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W13" i="21" s="1"/>
  <c r="O13" i="21"/>
  <c r="J13" i="21"/>
  <c r="D13" i="21"/>
  <c r="C13" i="21"/>
  <c r="B13" i="21"/>
  <c r="A13" i="21" s="1"/>
  <c r="D11" i="21"/>
  <c r="D12" i="21" s="1"/>
  <c r="D10" i="21"/>
  <c r="C10" i="21"/>
  <c r="C11" i="21" s="1"/>
  <c r="C12" i="21" s="1"/>
  <c r="D9" i="21"/>
  <c r="C9" i="21"/>
  <c r="D8" i="21"/>
  <c r="C8" i="21"/>
  <c r="D7" i="21"/>
  <c r="D6" i="21"/>
  <c r="C6" i="21"/>
  <c r="C7" i="21" s="1"/>
  <c r="O5" i="2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U14" i="22" l="1"/>
  <c r="V14" i="22"/>
  <c r="W14" i="22"/>
  <c r="V4" i="22"/>
  <c r="W4" i="22"/>
  <c r="B8" i="22"/>
  <c r="A8" i="22" s="1"/>
  <c r="J5" i="22"/>
  <c r="A7" i="22"/>
  <c r="O5" i="22"/>
  <c r="T5" i="22"/>
  <c r="U13" i="21"/>
  <c r="V13" i="21"/>
  <c r="A5" i="21"/>
  <c r="U4" i="21"/>
  <c r="B7" i="21"/>
  <c r="A7" i="21" s="1"/>
  <c r="V4" i="21"/>
  <c r="T5" i="21"/>
  <c r="J6" i="21"/>
  <c r="W4" i="21"/>
  <c r="O6" i="21"/>
  <c r="A6" i="21"/>
  <c r="W5" i="22" l="1"/>
  <c r="T6" i="22"/>
  <c r="V5" i="22"/>
  <c r="O6" i="22"/>
  <c r="U5" i="22"/>
  <c r="J6" i="22"/>
  <c r="B9" i="22"/>
  <c r="A9" i="22" s="1"/>
  <c r="T6" i="21"/>
  <c r="W5" i="21"/>
  <c r="U5" i="21"/>
  <c r="B8" i="21"/>
  <c r="A8" i="21" s="1"/>
  <c r="J7" i="21"/>
  <c r="U6" i="21"/>
  <c r="V6" i="21"/>
  <c r="O7" i="21"/>
  <c r="V5" i="21"/>
  <c r="O7" i="22" l="1"/>
  <c r="V6" i="22"/>
  <c r="W6" i="22"/>
  <c r="T7" i="22"/>
  <c r="B10" i="22"/>
  <c r="U6" i="22"/>
  <c r="J7" i="22"/>
  <c r="J8" i="21"/>
  <c r="B9" i="21"/>
  <c r="A9" i="21" s="1"/>
  <c r="O8" i="21"/>
  <c r="W6" i="21"/>
  <c r="T7" i="21"/>
  <c r="U7" i="22" l="1"/>
  <c r="J8" i="22"/>
  <c r="B11" i="22"/>
  <c r="A11" i="22" s="1"/>
  <c r="W7" i="22"/>
  <c r="T8" i="22"/>
  <c r="A10" i="22"/>
  <c r="O8" i="22"/>
  <c r="V7" i="22"/>
  <c r="V7" i="21"/>
  <c r="B10" i="21"/>
  <c r="A10" i="21" s="1"/>
  <c r="J9" i="21"/>
  <c r="W7" i="21"/>
  <c r="T8" i="21"/>
  <c r="O9" i="21"/>
  <c r="V8" i="21"/>
  <c r="U7" i="21"/>
  <c r="V8" i="22" l="1"/>
  <c r="O9" i="22"/>
  <c r="W8" i="22"/>
  <c r="T9" i="22"/>
  <c r="B12" i="22"/>
  <c r="A12" i="22" s="1"/>
  <c r="U8" i="22"/>
  <c r="J9" i="22"/>
  <c r="W8" i="21"/>
  <c r="T9" i="21"/>
  <c r="V9" i="21" s="1"/>
  <c r="O10" i="21"/>
  <c r="U9" i="21"/>
  <c r="J10" i="21"/>
  <c r="U8" i="21"/>
  <c r="B11" i="21"/>
  <c r="U9" i="22" l="1"/>
  <c r="J10" i="22"/>
  <c r="B13" i="22"/>
  <c r="A13" i="22" s="1"/>
  <c r="W9" i="22"/>
  <c r="T10" i="22"/>
  <c r="O10" i="22"/>
  <c r="V9" i="22"/>
  <c r="O11" i="21"/>
  <c r="B12" i="21"/>
  <c r="A12" i="21" s="1"/>
  <c r="J11" i="21"/>
  <c r="T10" i="21"/>
  <c r="U10" i="21" s="1"/>
  <c r="W9" i="21"/>
  <c r="A11" i="21"/>
  <c r="V10" i="22" l="1"/>
  <c r="O11" i="22"/>
  <c r="W10" i="22"/>
  <c r="T11" i="22"/>
  <c r="U10" i="22"/>
  <c r="J11" i="22"/>
  <c r="J12" i="21"/>
  <c r="W10" i="21"/>
  <c r="T11" i="21"/>
  <c r="O12" i="21"/>
  <c r="V11" i="21"/>
  <c r="V10" i="21"/>
  <c r="O12" i="22" l="1"/>
  <c r="V11" i="22"/>
  <c r="U11" i="22"/>
  <c r="J12" i="22"/>
  <c r="W11" i="22"/>
  <c r="T12" i="22"/>
  <c r="T12" i="21"/>
  <c r="U12" i="21" s="1"/>
  <c r="W11" i="21"/>
  <c r="U11" i="21"/>
  <c r="V12" i="22" l="1"/>
  <c r="O13" i="22"/>
  <c r="W12" i="22"/>
  <c r="T13" i="22"/>
  <c r="U12" i="22"/>
  <c r="J13" i="22"/>
  <c r="W12" i="21"/>
  <c r="V12" i="21"/>
  <c r="U13" i="22" l="1"/>
  <c r="W13" i="22"/>
  <c r="V13" i="22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V12" i="20" s="1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/>
  <c r="T10" i="20"/>
  <c r="O10" i="20"/>
  <c r="J10" i="20"/>
  <c r="U10" i="20" s="1"/>
  <c r="D10" i="20"/>
  <c r="C10" i="20"/>
  <c r="B10" i="20"/>
  <c r="A10" i="20" s="1"/>
  <c r="T9" i="20"/>
  <c r="O9" i="20"/>
  <c r="V9" i="20" s="1"/>
  <c r="J9" i="20"/>
  <c r="U9" i="20" s="1"/>
  <c r="D9" i="20"/>
  <c r="C9" i="20"/>
  <c r="B9" i="20"/>
  <c r="A9" i="20" s="1"/>
  <c r="T8" i="20"/>
  <c r="O8" i="20"/>
  <c r="J8" i="20"/>
  <c r="D8" i="20"/>
  <c r="C8" i="20"/>
  <c r="B8" i="20"/>
  <c r="A8" i="20"/>
  <c r="T7" i="20"/>
  <c r="O7" i="20"/>
  <c r="J7" i="20"/>
  <c r="D7" i="20"/>
  <c r="C7" i="20"/>
  <c r="B7" i="20"/>
  <c r="A7" i="20" s="1"/>
  <c r="T6" i="20"/>
  <c r="O6" i="20"/>
  <c r="J6" i="20"/>
  <c r="D6" i="20"/>
  <c r="C6" i="20"/>
  <c r="B6" i="20"/>
  <c r="A6" i="20" s="1"/>
  <c r="T5" i="20"/>
  <c r="O5" i="20"/>
  <c r="J5" i="20"/>
  <c r="D5" i="20"/>
  <c r="C5" i="20"/>
  <c r="B5" i="20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U12" i="20" l="1"/>
  <c r="W12" i="20"/>
  <c r="W11" i="20"/>
  <c r="V11" i="20"/>
  <c r="V10" i="20"/>
  <c r="W10" i="20"/>
  <c r="W9" i="20"/>
  <c r="U8" i="20"/>
  <c r="V8" i="20"/>
  <c r="W8" i="20"/>
  <c r="U7" i="20"/>
  <c r="W7" i="20"/>
  <c r="V7" i="20"/>
  <c r="V6" i="20"/>
  <c r="W6" i="20"/>
  <c r="U6" i="20"/>
  <c r="U5" i="20"/>
  <c r="W5" i="20"/>
  <c r="V5" i="20"/>
</calcChain>
</file>

<file path=xl/sharedStrings.xml><?xml version="1.0" encoding="utf-8"?>
<sst xmlns="http://schemas.openxmlformats.org/spreadsheetml/2006/main" count="843" uniqueCount="213">
  <si>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</si>
  <si>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</si>
  <si>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</si>
  <si>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</si>
  <si>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</si>
  <si>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</si>
  <si>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</si>
  <si>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</si>
  <si>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</si>
  <si>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</si>
  <si>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</si>
  <si>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</si>
  <si>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</si>
  <si>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</si>
  <si>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</si>
  <si>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</si>
  <si>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</si>
  <si>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</si>
  <si>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</si>
  <si>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</si>
  <si>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</si>
  <si>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</si>
  <si>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</si>
  <si>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</si>
  <si>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</si>
  <si>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</si>
  <si>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</si>
  <si>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</si>
  <si>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</si>
  <si>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</si>
  <si>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</si>
  <si>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</si>
  <si>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</si>
  <si>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</si>
  <si>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</si>
  <si>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</si>
  <si>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</si>
  <si>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</si>
  <si>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</si>
  <si>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</si>
  <si>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</si>
  <si>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</si>
  <si>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</si>
  <si>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</si>
  <si>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</si>
  <si>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</si>
  <si>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</si>
  <si>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</si>
  <si>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</si>
  <si>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</si>
  <si>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</si>
  <si>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</si>
  <si>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</si>
  <si>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</si>
  <si>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</si>
  <si>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</si>
  <si>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</si>
  <si>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</si>
  <si>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</si>
  <si>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</si>
  <si>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</si>
  <si>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</si>
  <si>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</si>
  <si>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</si>
  <si>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</si>
  <si>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</si>
  <si>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</si>
  <si>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</si>
  <si>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</si>
  <si>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</si>
  <si>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</si>
  <si>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</si>
  <si>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</si>
  <si>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</si>
  <si>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</si>
  <si>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</si>
  <si>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</si>
  <si>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</si>
  <si>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</si>
  <si>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</si>
  <si>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</si>
  <si>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</si>
  <si>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</si>
  <si>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</si>
  <si>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</si>
  <si>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</si>
  <si>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</si>
  <si>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</si>
  <si>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</si>
  <si>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</si>
  <si>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</si>
  <si>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</si>
  <si>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</si>
  <si>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</si>
  <si>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</si>
  <si>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</si>
  <si>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</si>
  <si>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</si>
  <si>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</si>
  <si>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</si>
  <si>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</si>
  <si>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</si>
  <si>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</si>
  <si>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</si>
  <si>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</si>
  <si>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</si>
  <si>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</si>
  <si>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</si>
  <si>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</si>
  <si>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</si>
  <si>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</si>
  <si>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</si>
  <si>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</si>
  <si>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</si>
  <si>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</si>
  <si>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</si>
  <si>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</si>
  <si>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</si>
  <si>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</si>
  <si>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</si>
  <si>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</si>
  <si>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</si>
  <si>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</si>
  <si>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</si>
  <si>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</si>
  <si>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</si>
  <si>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</si>
  <si>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</si>
  <si>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</si>
  <si>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</si>
  <si>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</si>
  <si>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</si>
  <si>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</si>
  <si>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</si>
  <si>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</si>
  <si>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</si>
  <si>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</si>
  <si>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</si>
  <si>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</si>
  <si>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</si>
  <si>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</si>
  <si>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</si>
  <si>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</si>
  <si>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</si>
  <si>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</si>
  <si>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</si>
  <si>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</si>
  <si>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</si>
  <si>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</si>
  <si>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</si>
  <si>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</si>
  <si>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</si>
  <si>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</si>
  <si>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</si>
  <si>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</si>
  <si>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</si>
  <si>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</si>
  <si>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</si>
  <si>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</si>
  <si>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</si>
  <si>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</si>
  <si>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</si>
  <si>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</si>
  <si>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</si>
  <si>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</si>
  <si>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</si>
  <si>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</si>
  <si>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</si>
  <si>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</si>
  <si>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</si>
  <si>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</si>
  <si>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</si>
  <si>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</si>
  <si>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</si>
  <si>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</si>
  <si>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</si>
  <si>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</si>
  <si>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</si>
  <si>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</si>
  <si>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</si>
  <si>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</si>
  <si>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</si>
  <si>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</si>
  <si>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</si>
  <si>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</si>
  <si>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</si>
  <si>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</si>
  <si>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</si>
  <si>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</si>
  <si>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ただ</t>
    <phoneticPr fontId="1"/>
  </si>
  <si>
    <t>やがさき</t>
    <phoneticPr fontId="1"/>
  </si>
  <si>
    <t>だいち</t>
    <phoneticPr fontId="1"/>
  </si>
  <si>
    <t>種類</t>
    <phoneticPr fontId="1"/>
  </si>
  <si>
    <t>だいち</t>
  </si>
  <si>
    <t>ツモ</t>
  </si>
  <si>
    <t>ツモ支払</t>
  </si>
  <si>
    <t>01</t>
  </si>
  <si>
    <t>ただ</t>
  </si>
  <si>
    <t>*</t>
  </si>
  <si>
    <t>やがさき</t>
  </si>
  <si>
    <t>ロン</t>
  </si>
  <si>
    <t>放銃</t>
  </si>
  <si>
    <t>52</t>
  </si>
  <si>
    <t>T</t>
  </si>
  <si>
    <t>N</t>
  </si>
  <si>
    <t>流局</t>
    <phoneticPr fontId="1"/>
  </si>
  <si>
    <t>りくと</t>
  </si>
  <si>
    <t>りくと</t>
    <phoneticPr fontId="1"/>
  </si>
  <si>
    <t>たかの</t>
  </si>
  <si>
    <t>たかの</t>
    <phoneticPr fontId="1"/>
  </si>
  <si>
    <t>02</t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</si>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</sst>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E517-0207-4E1B-BF86-76DE14A4649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189</v>
      </c>
      <c r="G1" s="72"/>
      <c r="H1" s="72"/>
      <c r="I1" s="73"/>
      <c r="J1" s="74"/>
      <c r="K1" s="71" t="s">
        <v>190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やがさき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192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ただ</v>
      </c>
      <c r="V2" s="63" t="str">
        <f>$K$1</f>
        <v>やがさき</v>
      </c>
      <c r="W2" s="16" t="str">
        <f>$P$1</f>
        <v>だいち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195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24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-22.5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196</v>
      </c>
      <c r="AF4" s="41" t="s">
        <v>82</v>
      </c>
      <c r="AG4" s="41" t="s">
        <v>80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197</v>
      </c>
      <c r="F5" s="8" t="s">
        <v>195</v>
      </c>
      <c r="G5" s="9">
        <v>-10000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195</v>
      </c>
      <c r="L5" s="9">
        <v>-6000</v>
      </c>
      <c r="M5" s="9"/>
      <c r="N5" s="48">
        <v>0</v>
      </c>
      <c r="O5" s="21">
        <f t="shared" ref="O5:O30" si="3">IF(COUNTA($F5,$K5,$P5)&gt;0,O4+SUM(L5:N5),"")</f>
        <v>27500</v>
      </c>
      <c r="P5" s="8" t="s">
        <v>194</v>
      </c>
      <c r="Q5" s="9">
        <v>16000</v>
      </c>
      <c r="R5" s="9"/>
      <c r="S5" s="48">
        <v>0</v>
      </c>
      <c r="T5" s="21">
        <f t="shared" ref="T5:T30" si="4">IF(COUNTA($F5,$K5,$P5)&gt;0,T4+SUM(Q5:S5),"")</f>
        <v>48500</v>
      </c>
      <c r="U5" s="53">
        <f>IF($J5="","",ROUND(($J5-$J$3)/1000,1)+(_xlfn.RANK.AVG($J5,($J5,$O5,$T5),1)-2)*20)</f>
        <v>-6</v>
      </c>
      <c r="V5" s="54">
        <f>IF($O5="","",ROUND(($O5-$O$3)/1000,1)+(_xlfn.RANK.AVG($O5,($J5,$O5,$T5),1)-2)*20)</f>
        <v>-27.5</v>
      </c>
      <c r="W5" s="55">
        <f>IF($T5="","",ROUND(($T5-$T$3)/1000,1)+(_xlfn.RANK.AVG($T5,($J5,$O5,$T5),1)-2)*20)</f>
        <v>33.5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8</v>
      </c>
      <c r="BT5" s="30" t="s">
        <v>198</v>
      </c>
      <c r="BU5" s="40" t="s">
        <v>82</v>
      </c>
      <c r="BV5" s="41" t="s">
        <v>104</v>
      </c>
      <c r="BW5" s="41" t="s">
        <v>101</v>
      </c>
      <c r="BX5" s="41" t="s">
        <v>100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195</v>
      </c>
      <c r="G6" s="9">
        <v>-1500</v>
      </c>
      <c r="H6" s="9"/>
      <c r="I6" s="48">
        <v>0</v>
      </c>
      <c r="J6" s="21">
        <f t="shared" si="2"/>
        <v>27500</v>
      </c>
      <c r="K6" s="8" t="s">
        <v>194</v>
      </c>
      <c r="L6" s="9">
        <v>3000</v>
      </c>
      <c r="M6" s="9"/>
      <c r="N6" s="48">
        <v>0</v>
      </c>
      <c r="O6" s="21">
        <f t="shared" si="3"/>
        <v>30500</v>
      </c>
      <c r="P6" s="8" t="s">
        <v>195</v>
      </c>
      <c r="Q6" s="9">
        <v>-1500</v>
      </c>
      <c r="R6" s="9"/>
      <c r="S6" s="48">
        <v>0</v>
      </c>
      <c r="T6" s="21">
        <f t="shared" si="4"/>
        <v>47000</v>
      </c>
      <c r="U6" s="53">
        <f>IF($J6="","",ROUND(($J6-$J$3)/1000,1)+(_xlfn.RANK.AVG($J6,($J6,$O6,$T6),1)-2)*20)</f>
        <v>-27.5</v>
      </c>
      <c r="V6" s="54">
        <f>IF($O6="","",ROUND(($O6-$O$3)/1000,1)+(_xlfn.RANK.AVG($O6,($J6,$O6,$T6),1)-2)*20)</f>
        <v>-4.5</v>
      </c>
      <c r="W6" s="55">
        <f>IF($T6="","",ROUND(($T6-$T$3)/1000,1)+(_xlfn.RANK.AVG($T6,($J6,$O6,$T6),1)-2)*20)</f>
        <v>32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30</v>
      </c>
      <c r="AZ6" s="40" t="s">
        <v>79</v>
      </c>
      <c r="BA6" s="41" t="s">
        <v>82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199</v>
      </c>
      <c r="F7" s="8" t="s">
        <v>200</v>
      </c>
      <c r="G7" s="9">
        <v>8000</v>
      </c>
      <c r="H7" s="9"/>
      <c r="I7" s="48">
        <v>1000</v>
      </c>
      <c r="J7" s="21">
        <f t="shared" si="2"/>
        <v>36500</v>
      </c>
      <c r="K7" s="8"/>
      <c r="L7" s="9"/>
      <c r="M7" s="9"/>
      <c r="N7" s="48"/>
      <c r="O7" s="21">
        <f t="shared" si="3"/>
        <v>30500</v>
      </c>
      <c r="P7" s="8" t="s">
        <v>201</v>
      </c>
      <c r="Q7" s="9">
        <v>-8000</v>
      </c>
      <c r="R7" s="9"/>
      <c r="S7" s="48">
        <v>-1000</v>
      </c>
      <c r="T7" s="21">
        <f t="shared" si="4"/>
        <v>38000</v>
      </c>
      <c r="U7" s="53">
        <f>IF($J7="","",ROUND(($J7-$J$3)/1000,1)+(_xlfn.RANK.AVG($J7,($J7,$O7,$T7),1)-2)*20)</f>
        <v>1.5</v>
      </c>
      <c r="V7" s="54">
        <f>IF($O7="","",ROUND(($O7-$O$3)/1000,1)+(_xlfn.RANK.AVG($O7,($J7,$O7,$T7),1)-2)*20)</f>
        <v>-24.5</v>
      </c>
      <c r="W7" s="55">
        <f>IF($T7="","",ROUND(($T7-$T$3)/1000,1)+(_xlfn.RANK.AVG($T7,($J7,$O7,$T7),1)-2)*20)</f>
        <v>23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196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200</v>
      </c>
      <c r="G8" s="9">
        <v>12000</v>
      </c>
      <c r="H8" s="9"/>
      <c r="I8" s="48">
        <v>0</v>
      </c>
      <c r="J8" s="21">
        <f t="shared" si="2"/>
        <v>48500</v>
      </c>
      <c r="K8" s="8"/>
      <c r="L8" s="9"/>
      <c r="M8" s="9"/>
      <c r="N8" s="48"/>
      <c r="O8" s="21">
        <f t="shared" si="3"/>
        <v>30500</v>
      </c>
      <c r="P8" s="8" t="s">
        <v>201</v>
      </c>
      <c r="Q8" s="9">
        <v>-12000</v>
      </c>
      <c r="R8" s="9"/>
      <c r="S8" s="48">
        <v>0</v>
      </c>
      <c r="T8" s="21">
        <f t="shared" si="4"/>
        <v>26000</v>
      </c>
      <c r="U8" s="53">
        <f>IF($J8="","",ROUND(($J8-$J$3)/1000,1)+(_xlfn.RANK.AVG($J8,($J8,$O8,$T8),1)-2)*20)</f>
        <v>33.5</v>
      </c>
      <c r="V8" s="54">
        <f>IF($O8="","",ROUND(($O8-$O$3)/1000,1)+(_xlfn.RANK.AVG($O8,($J8,$O8,$T8),1)-2)*20)</f>
        <v>-4.5</v>
      </c>
      <c r="W8" s="55">
        <f>IF($T8="","",ROUND(($T8-$T$3)/1000,1)+(_xlfn.RANK.AVG($T8,($J8,$O8,$T8),1)-2)*20)</f>
        <v>-29</v>
      </c>
      <c r="Y8" s="8"/>
      <c r="Z8" s="34"/>
      <c r="AA8" s="26">
        <v>1</v>
      </c>
      <c r="AB8" s="26"/>
      <c r="AC8" s="26">
        <v>6</v>
      </c>
      <c r="AD8" s="30" t="s">
        <v>198</v>
      </c>
      <c r="AE8" s="40" t="s">
        <v>196</v>
      </c>
      <c r="AF8" s="41" t="s">
        <v>92</v>
      </c>
      <c r="AG8" s="41" t="s">
        <v>79</v>
      </c>
      <c r="AH8" s="41" t="s">
        <v>80</v>
      </c>
      <c r="AI8" s="41" t="s">
        <v>83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197</v>
      </c>
      <c r="F9" s="8" t="s">
        <v>200</v>
      </c>
      <c r="G9" s="9">
        <v>12000</v>
      </c>
      <c r="H9" s="9"/>
      <c r="I9" s="48">
        <v>0</v>
      </c>
      <c r="J9" s="21">
        <f t="shared" si="2"/>
        <v>60500</v>
      </c>
      <c r="K9" s="8"/>
      <c r="L9" s="9"/>
      <c r="M9" s="9"/>
      <c r="N9" s="48"/>
      <c r="O9" s="21">
        <f t="shared" si="3"/>
        <v>30500</v>
      </c>
      <c r="P9" s="8" t="s">
        <v>201</v>
      </c>
      <c r="Q9" s="9">
        <v>-12000</v>
      </c>
      <c r="R9" s="9"/>
      <c r="S9" s="48">
        <v>0</v>
      </c>
      <c r="T9" s="21">
        <f t="shared" si="4"/>
        <v>14000</v>
      </c>
      <c r="U9" s="53">
        <f>IF($J9="","",ROUND(($J9-$J$3)/1000,1)+(_xlfn.RANK.AVG($J9,($J9,$O9,$T9),1)-2)*20)</f>
        <v>45.5</v>
      </c>
      <c r="V9" s="54">
        <f>IF($O9="","",ROUND(($O9-$O$3)/1000,1)+(_xlfn.RANK.AVG($O9,($J9,$O9,$T9),1)-2)*20)</f>
        <v>-4.5</v>
      </c>
      <c r="W9" s="55">
        <f>IF($T9="","",ROUND(($T9-$T$3)/1000,1)+(_xlfn.RANK.AVG($T9,($J9,$O9,$T9),1)-2)*20)</f>
        <v>-41</v>
      </c>
      <c r="Y9" s="8"/>
      <c r="Z9" s="34"/>
      <c r="AA9" s="26">
        <v>1</v>
      </c>
      <c r="AB9" s="26"/>
      <c r="AC9" s="26">
        <v>5</v>
      </c>
      <c r="AD9" s="30" t="s">
        <v>198</v>
      </c>
      <c r="AE9" s="40" t="s">
        <v>196</v>
      </c>
      <c r="AF9" s="41" t="s">
        <v>79</v>
      </c>
      <c r="AG9" s="41" t="s">
        <v>79</v>
      </c>
      <c r="AH9" s="41" t="s">
        <v>202</v>
      </c>
      <c r="AI9" s="41" t="s">
        <v>202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197</v>
      </c>
      <c r="F10" s="8" t="s">
        <v>200</v>
      </c>
      <c r="G10" s="9">
        <v>7700</v>
      </c>
      <c r="H10" s="9"/>
      <c r="I10" s="48">
        <v>1000</v>
      </c>
      <c r="J10" s="21">
        <f t="shared" si="2"/>
        <v>69200</v>
      </c>
      <c r="K10" s="8" t="s">
        <v>201</v>
      </c>
      <c r="L10" s="9">
        <v>-7700</v>
      </c>
      <c r="M10" s="9"/>
      <c r="N10" s="48">
        <v>-1000</v>
      </c>
      <c r="O10" s="21">
        <f t="shared" si="3"/>
        <v>21800</v>
      </c>
      <c r="P10" s="8"/>
      <c r="Q10" s="9"/>
      <c r="R10" s="9"/>
      <c r="S10" s="48"/>
      <c r="T10" s="21">
        <f t="shared" si="4"/>
        <v>14000</v>
      </c>
      <c r="U10" s="53">
        <f>IF($J10="","",ROUND(($J10-$J$3)/1000,1)+(_xlfn.RANK.AVG($J10,($J10,$O10,$T10),1)-2)*20)</f>
        <v>54.2</v>
      </c>
      <c r="V10" s="54">
        <f>IF($O10="","",ROUND(($O10-$O$3)/1000,1)+(_xlfn.RANK.AVG($O10,($J10,$O10,$T10),1)-2)*20)</f>
        <v>-13.2</v>
      </c>
      <c r="W10" s="55">
        <f>IF($T10="","",ROUND(($T10-$T$3)/1000,1)+(_xlfn.RANK.AVG($T10,($J10,$O10,$T10),1)-2)*20)</f>
        <v>-41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196</v>
      </c>
      <c r="AF10" s="41" t="s">
        <v>85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197</v>
      </c>
      <c r="F11" s="8" t="s">
        <v>205</v>
      </c>
      <c r="G11" s="9">
        <v>3000</v>
      </c>
      <c r="H11" s="9"/>
      <c r="I11" s="48"/>
      <c r="J11" s="21">
        <f t="shared" si="2"/>
        <v>72200</v>
      </c>
      <c r="K11" s="8" t="s">
        <v>205</v>
      </c>
      <c r="L11" s="9">
        <v>-1500</v>
      </c>
      <c r="M11" s="9"/>
      <c r="N11" s="48"/>
      <c r="O11" s="21">
        <f t="shared" si="3"/>
        <v>20300</v>
      </c>
      <c r="P11" s="8" t="s">
        <v>205</v>
      </c>
      <c r="Q11" s="9">
        <v>-1500</v>
      </c>
      <c r="R11" s="9"/>
      <c r="S11" s="48"/>
      <c r="T11" s="21">
        <f t="shared" si="4"/>
        <v>12500</v>
      </c>
      <c r="U11" s="53">
        <f>IF($J11="","",ROUND(($J11-$J$3)/1000,1)+(_xlfn.RANK.AVG($J11,($J11,$O11,$T11),1)-2)*20)</f>
        <v>57.2</v>
      </c>
      <c r="V11" s="54">
        <f>IF($O11="","",ROUND(($O11-$O$3)/1000,1)+(_xlfn.RANK.AVG($O11,($J11,$O11,$T11),1)-2)*20)</f>
        <v>-14.7</v>
      </c>
      <c r="W11" s="55">
        <f>IF($T11="","",ROUND(($T11-$T$3)/1000,1)+(_xlfn.RANK.AVG($T11,($J11,$O11,$T11),1)-2)*20)</f>
        <v>-42.5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197</v>
      </c>
      <c r="F12" s="8"/>
      <c r="G12" s="9"/>
      <c r="H12" s="9"/>
      <c r="I12" s="48"/>
      <c r="J12" s="21">
        <f t="shared" si="2"/>
        <v>72200</v>
      </c>
      <c r="K12" s="8" t="s">
        <v>200</v>
      </c>
      <c r="L12" s="9">
        <v>24000</v>
      </c>
      <c r="M12" s="9"/>
      <c r="N12" s="48">
        <v>3000</v>
      </c>
      <c r="O12" s="21">
        <f t="shared" si="3"/>
        <v>47300</v>
      </c>
      <c r="P12" s="8" t="s">
        <v>201</v>
      </c>
      <c r="Q12" s="9">
        <v>-24000</v>
      </c>
      <c r="R12" s="9"/>
      <c r="S12" s="48">
        <v>-3000</v>
      </c>
      <c r="T12" s="21">
        <f t="shared" si="4"/>
        <v>-14500</v>
      </c>
      <c r="U12" s="53">
        <f>IF($J12="","",ROUND(($J12-$J$3)/1000,1)+(_xlfn.RANK.AVG($J12,($J12,$O12,$T12),1)-2)*20)</f>
        <v>57.2</v>
      </c>
      <c r="V12" s="54">
        <f>IF($O12="","",ROUND(($O12-$O$3)/1000,1)+(_xlfn.RANK.AVG($O12,($J12,$O12,$T12),1)-2)*20)</f>
        <v>12.3</v>
      </c>
      <c r="W12" s="55">
        <f>IF($T12="","",ROUND(($T12-$T$3)/1000,1)+(_xlfn.RANK.AVG($T12,($J12,$O12,$T12),1)-2)*20)</f>
        <v>-69.5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11</v>
      </c>
      <c r="AY12" s="30" t="s">
        <v>198</v>
      </c>
      <c r="AZ12" s="40" t="s">
        <v>98</v>
      </c>
      <c r="BA12" s="41" t="s">
        <v>104</v>
      </c>
      <c r="BB12" s="41" t="s">
        <v>86</v>
      </c>
      <c r="BC12" s="41" t="s">
        <v>86</v>
      </c>
      <c r="BD12" s="41" t="s">
        <v>86</v>
      </c>
      <c r="BE12" s="41" t="s">
        <v>86</v>
      </c>
      <c r="BF12" s="41" t="s">
        <v>79</v>
      </c>
      <c r="BG12" s="41" t="s">
        <v>79</v>
      </c>
      <c r="BH12" s="41" t="s">
        <v>79</v>
      </c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7277375B-6F53-43BC-844C-7511666574CC}">
      <formula1>"ロン,ツモ,放銃,ツモ支払,流局,チョンボ"</formula1>
    </dataValidation>
    <dataValidation type="list" allowBlank="1" showInputMessage="1" showErrorMessage="1" sqref="E4:E30" xr:uid="{927D3A77-AA92-4A08-874F-C277AAE3F65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27B3B-26E8-486A-9225-BEB408D38E0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189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192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りくと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201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200</v>
      </c>
      <c r="Q4" s="9">
        <v>7700</v>
      </c>
      <c r="R4" s="9">
        <v>1000</v>
      </c>
      <c r="S4" s="48">
        <v>0</v>
      </c>
      <c r="T4" s="21">
        <f>IF(COUNTA($F4,$K4,$P4)&gt;0,T3+SUM(Q4:S4),"")</f>
        <v>43700</v>
      </c>
      <c r="U4" s="53">
        <f>IF($J4="","",ROUND(($J4-$J$3)/1000,1)+(_xlfn.RANK.AVG($J4,($J4,$O4,$T4),1)-2)*20)</f>
        <v>-27.7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28.7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40</v>
      </c>
      <c r="BU4" s="40" t="s">
        <v>85</v>
      </c>
      <c r="BV4" s="41" t="s">
        <v>84</v>
      </c>
      <c r="BW4" s="41" t="s">
        <v>202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195</v>
      </c>
      <c r="G5" s="9">
        <v>-6000</v>
      </c>
      <c r="H5" s="9">
        <v>-1000</v>
      </c>
      <c r="I5" s="48">
        <v>-500</v>
      </c>
      <c r="J5" s="21">
        <f t="shared" ref="J5:J30" si="2">IF(COUNTA($F5,$K5,$P5)&gt;0,J4+SUM(G5:I5),"")</f>
        <v>19800</v>
      </c>
      <c r="K5" s="8" t="s">
        <v>195</v>
      </c>
      <c r="L5" s="9">
        <v>-6000</v>
      </c>
      <c r="M5" s="9"/>
      <c r="N5" s="48">
        <v>-500</v>
      </c>
      <c r="O5" s="21">
        <f t="shared" ref="O5:O30" si="3">IF(COUNTA($F5,$K5,$P5)&gt;0,O4+SUM(L5:N5),"")</f>
        <v>27500</v>
      </c>
      <c r="P5" s="8" t="s">
        <v>194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57700</v>
      </c>
      <c r="U5" s="53">
        <f>IF($J5="","",ROUND(($J5-$J$3)/1000,1)+(_xlfn.RANK.AVG($J5,($J5,$O5,$T5),1)-2)*20)</f>
        <v>-35.200000000000003</v>
      </c>
      <c r="V5" s="54">
        <f>IF($O5="","",ROUND(($O5-$O$3)/1000,1)+(_xlfn.RANK.AVG($O5,($J5,$O5,$T5),1)-2)*20)</f>
        <v>-7.5</v>
      </c>
      <c r="W5" s="55">
        <f>IF($T5="","",ROUND(($T5-$T$3)/1000,1)+(_xlfn.RANK.AVG($T5,($J5,$O5,$T5),1)-2)*20)</f>
        <v>42.7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198</v>
      </c>
      <c r="BU5" s="40" t="s">
        <v>105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208</v>
      </c>
      <c r="F6" s="8" t="s">
        <v>201</v>
      </c>
      <c r="G6" s="9">
        <v>-12000</v>
      </c>
      <c r="H6" s="9"/>
      <c r="I6" s="48">
        <v>-2000</v>
      </c>
      <c r="J6" s="21">
        <f t="shared" si="2"/>
        <v>5800</v>
      </c>
      <c r="K6" s="8" t="s">
        <v>200</v>
      </c>
      <c r="L6" s="9">
        <v>12000</v>
      </c>
      <c r="M6" s="9"/>
      <c r="N6" s="48">
        <v>2000</v>
      </c>
      <c r="O6" s="21">
        <f t="shared" si="3"/>
        <v>41500</v>
      </c>
      <c r="P6" s="8"/>
      <c r="Q6" s="9"/>
      <c r="R6" s="9"/>
      <c r="S6" s="48"/>
      <c r="T6" s="21">
        <f t="shared" si="4"/>
        <v>57700</v>
      </c>
      <c r="U6" s="53">
        <f>IF($J6="","",ROUND(($J6-$J$3)/1000,1)+(_xlfn.RANK.AVG($J6,($J6,$O6,$T6),1)-2)*20)</f>
        <v>-49.2</v>
      </c>
      <c r="V6" s="54">
        <f>IF($O6="","",ROUND(($O6-$O$3)/1000,1)+(_xlfn.RANK.AVG($O6,($J6,$O6,$T6),1)-2)*20)</f>
        <v>6.5</v>
      </c>
      <c r="W6" s="55">
        <f>IF($T6="","",ROUND(($T6-$T$3)/1000,1)+(_xlfn.RANK.AVG($T6,($J6,$O6,$T6),1)-2)*20)</f>
        <v>42.7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198</v>
      </c>
      <c r="AZ6" s="40" t="s">
        <v>196</v>
      </c>
      <c r="BA6" s="41" t="s">
        <v>85</v>
      </c>
      <c r="BB6" s="41" t="s">
        <v>202</v>
      </c>
      <c r="BC6" s="41" t="s">
        <v>79</v>
      </c>
      <c r="BD6" s="41" t="s">
        <v>80</v>
      </c>
      <c r="BE6" s="41" t="s">
        <v>80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197</v>
      </c>
      <c r="F7" s="8"/>
      <c r="G7" s="9"/>
      <c r="H7" s="9"/>
      <c r="I7" s="48"/>
      <c r="J7" s="21">
        <f t="shared" si="2"/>
        <v>5800</v>
      </c>
      <c r="K7" s="8" t="s">
        <v>200</v>
      </c>
      <c r="L7" s="9">
        <v>6400</v>
      </c>
      <c r="M7" s="9"/>
      <c r="N7" s="48">
        <v>0</v>
      </c>
      <c r="O7" s="21">
        <f t="shared" si="3"/>
        <v>47900</v>
      </c>
      <c r="P7" s="8" t="s">
        <v>201</v>
      </c>
      <c r="Q7" s="9">
        <v>-6400</v>
      </c>
      <c r="R7" s="9"/>
      <c r="S7" s="48">
        <v>0</v>
      </c>
      <c r="T7" s="21">
        <f t="shared" si="4"/>
        <v>51300</v>
      </c>
      <c r="U7" s="53">
        <f>IF($J7="","",ROUND(($J7-$J$3)/1000,1)+(_xlfn.RANK.AVG($J7,($J7,$O7,$T7),1)-2)*20)</f>
        <v>-49.2</v>
      </c>
      <c r="V7" s="54">
        <f>IF($O7="","",ROUND(($O7-$O$3)/1000,1)+(_xlfn.RANK.AVG($O7,($J7,$O7,$T7),1)-2)*20)</f>
        <v>12.9</v>
      </c>
      <c r="W7" s="55">
        <f>IF($T7="","",ROUND(($T7-$T$3)/1000,1)+(_xlfn.RANK.AVG($T7,($J7,$O7,$T7),1)-2)*20)</f>
        <v>36.299999999999997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50</v>
      </c>
      <c r="AZ7" s="40" t="s">
        <v>196</v>
      </c>
      <c r="BA7" s="41" t="s">
        <v>210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195</v>
      </c>
      <c r="G8" s="9">
        <v>-1500</v>
      </c>
      <c r="H8" s="9"/>
      <c r="I8" s="48">
        <v>0</v>
      </c>
      <c r="J8" s="21">
        <f t="shared" si="2"/>
        <v>4300</v>
      </c>
      <c r="K8" s="8" t="s">
        <v>195</v>
      </c>
      <c r="L8" s="9">
        <v>-2500</v>
      </c>
      <c r="M8" s="9"/>
      <c r="N8" s="48">
        <v>0</v>
      </c>
      <c r="O8" s="21">
        <f t="shared" si="3"/>
        <v>45400</v>
      </c>
      <c r="P8" s="8" t="s">
        <v>194</v>
      </c>
      <c r="Q8" s="9">
        <v>4000</v>
      </c>
      <c r="R8" s="9"/>
      <c r="S8" s="48">
        <v>0</v>
      </c>
      <c r="T8" s="21">
        <f t="shared" si="4"/>
        <v>55300</v>
      </c>
      <c r="U8" s="53">
        <f>IF($J8="","",ROUND(($J8-$J$3)/1000,1)+(_xlfn.RANK.AVG($J8,($J8,$O8,$T8),1)-2)*20)</f>
        <v>-50.7</v>
      </c>
      <c r="V8" s="54">
        <f>IF($O8="","",ROUND(($O8-$O$3)/1000,1)+(_xlfn.RANK.AVG($O8,($J8,$O8,$T8),1)-2)*20)</f>
        <v>10.4</v>
      </c>
      <c r="W8" s="55">
        <f>IF($T8="","",ROUND(($T8-$T$3)/1000,1)+(_xlfn.RANK.AVG($T8,($J8,$O8,$T8),1)-2)*20)</f>
        <v>40.299999999999997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104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200</v>
      </c>
      <c r="G9" s="9">
        <v>8000</v>
      </c>
      <c r="H9" s="9"/>
      <c r="I9" s="48">
        <v>0</v>
      </c>
      <c r="J9" s="21">
        <f t="shared" si="2"/>
        <v>12300</v>
      </c>
      <c r="K9" s="8" t="s">
        <v>201</v>
      </c>
      <c r="L9" s="9">
        <v>-8000</v>
      </c>
      <c r="M9" s="9"/>
      <c r="N9" s="48">
        <v>0</v>
      </c>
      <c r="O9" s="21">
        <f t="shared" si="3"/>
        <v>37400</v>
      </c>
      <c r="P9" s="8"/>
      <c r="Q9" s="9"/>
      <c r="R9" s="9"/>
      <c r="S9" s="48"/>
      <c r="T9" s="21">
        <f t="shared" si="4"/>
        <v>55300</v>
      </c>
      <c r="U9" s="53">
        <f>IF($J9="","",ROUND(($J9-$J$3)/1000,1)+(_xlfn.RANK.AVG($J9,($J9,$O9,$T9),1)-2)*20)</f>
        <v>-42.7</v>
      </c>
      <c r="V9" s="54">
        <f>IF($O9="","",ROUND(($O9-$O$3)/1000,1)+(_xlfn.RANK.AVG($O9,($J9,$O9,$T9),1)-2)*20)</f>
        <v>2.4</v>
      </c>
      <c r="W9" s="55">
        <f>IF($T9="","",ROUND(($T9-$T$3)/1000,1)+(_xlfn.RANK.AVG($T9,($J9,$O9,$T9),1)-2)*20)</f>
        <v>40.299999999999997</v>
      </c>
      <c r="Y9" s="8"/>
      <c r="Z9" s="34"/>
      <c r="AA9" s="26">
        <v>1</v>
      </c>
      <c r="AB9" s="26"/>
      <c r="AC9" s="26">
        <v>5</v>
      </c>
      <c r="AD9" s="30" t="s">
        <v>198</v>
      </c>
      <c r="AE9" s="40" t="s">
        <v>196</v>
      </c>
      <c r="AF9" s="41" t="s">
        <v>83</v>
      </c>
      <c r="AG9" s="41" t="s">
        <v>79</v>
      </c>
      <c r="AH9" s="41" t="s">
        <v>80</v>
      </c>
      <c r="AI9" s="41" t="s">
        <v>210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197</v>
      </c>
      <c r="F10" s="8" t="s">
        <v>205</v>
      </c>
      <c r="G10" s="9">
        <v>1500</v>
      </c>
      <c r="H10" s="9"/>
      <c r="I10" s="48"/>
      <c r="J10" s="21">
        <f t="shared" si="2"/>
        <v>13800</v>
      </c>
      <c r="K10" s="8" t="s">
        <v>205</v>
      </c>
      <c r="L10" s="9">
        <v>-3000</v>
      </c>
      <c r="M10" s="9"/>
      <c r="N10" s="48"/>
      <c r="O10" s="21">
        <f t="shared" si="3"/>
        <v>34400</v>
      </c>
      <c r="P10" s="8" t="s">
        <v>205</v>
      </c>
      <c r="Q10" s="9">
        <v>1500</v>
      </c>
      <c r="R10" s="9">
        <v>-1000</v>
      </c>
      <c r="S10" s="48"/>
      <c r="T10" s="21">
        <f t="shared" si="4"/>
        <v>55800</v>
      </c>
      <c r="U10" s="53">
        <f>IF($J10="","",ROUND(($J10-$J$3)/1000,1)+(_xlfn.RANK.AVG($J10,($J10,$O10,$T10),1)-2)*20)</f>
        <v>-41.2</v>
      </c>
      <c r="V10" s="54">
        <f>IF($O10="","",ROUND(($O10-$O$3)/1000,1)+(_xlfn.RANK.AVG($O10,($J10,$O10,$T10),1)-2)*20)</f>
        <v>-0.6</v>
      </c>
      <c r="W10" s="55">
        <f>IF($T10="","",ROUND(($T10-$T$3)/1000,1)+(_xlfn.RANK.AVG($T10,($J10,$O10,$T10),1)-2)*20)</f>
        <v>40.799999999999997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">
        <v>197</v>
      </c>
      <c r="F11" s="8" t="s">
        <v>205</v>
      </c>
      <c r="G11" s="9">
        <v>1500</v>
      </c>
      <c r="H11" s="9"/>
      <c r="I11" s="48"/>
      <c r="J11" s="21">
        <f t="shared" si="2"/>
        <v>15300</v>
      </c>
      <c r="K11" s="8" t="s">
        <v>205</v>
      </c>
      <c r="L11" s="9">
        <v>1500</v>
      </c>
      <c r="M11" s="9">
        <v>-1000</v>
      </c>
      <c r="N11" s="48"/>
      <c r="O11" s="21">
        <f t="shared" si="3"/>
        <v>34900</v>
      </c>
      <c r="P11" s="8" t="s">
        <v>205</v>
      </c>
      <c r="Q11" s="9">
        <v>-3000</v>
      </c>
      <c r="R11" s="9"/>
      <c r="S11" s="48"/>
      <c r="T11" s="21">
        <f t="shared" si="4"/>
        <v>52800</v>
      </c>
      <c r="U11" s="53">
        <f>IF($J11="","",ROUND(($J11-$J$3)/1000,1)+(_xlfn.RANK.AVG($J11,($J11,$O11,$T11),1)-2)*20)</f>
        <v>-39.700000000000003</v>
      </c>
      <c r="V11" s="54">
        <f>IF($O11="","",ROUND(($O11-$O$3)/1000,1)+(_xlfn.RANK.AVG($O11,($J11,$O11,$T11),1)-2)*20)</f>
        <v>-0.1</v>
      </c>
      <c r="W11" s="55">
        <f>IF($T11="","",ROUND(($T11-$T$3)/1000,1)+(_xlfn.RANK.AVG($T11,($J11,$O11,$T11),1)-2)*20)</f>
        <v>37.799999999999997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2</v>
      </c>
      <c r="E12" s="4" t="s">
        <v>197</v>
      </c>
      <c r="F12" s="8"/>
      <c r="G12" s="9"/>
      <c r="H12" s="9"/>
      <c r="I12" s="48"/>
      <c r="J12" s="21">
        <f t="shared" si="2"/>
        <v>15300</v>
      </c>
      <c r="K12" s="8" t="s">
        <v>200</v>
      </c>
      <c r="L12" s="9">
        <v>7700</v>
      </c>
      <c r="M12" s="9">
        <v>2000</v>
      </c>
      <c r="N12" s="48">
        <v>2000</v>
      </c>
      <c r="O12" s="21">
        <f t="shared" si="3"/>
        <v>46600</v>
      </c>
      <c r="P12" s="8" t="s">
        <v>201</v>
      </c>
      <c r="Q12" s="9">
        <v>-7700</v>
      </c>
      <c r="R12" s="9"/>
      <c r="S12" s="48">
        <v>-2000</v>
      </c>
      <c r="T12" s="21">
        <f t="shared" si="4"/>
        <v>43100</v>
      </c>
      <c r="U12" s="53">
        <f>IF($J12="","",ROUND(($J12-$J$3)/1000,1)+(_xlfn.RANK.AVG($J12,($J12,$O12,$T12),1)-2)*20)</f>
        <v>-39.700000000000003</v>
      </c>
      <c r="V12" s="54">
        <f>IF($O12="","",ROUND(($O12-$O$3)/1000,1)+(_xlfn.RANK.AVG($O12,($J12,$O12,$T12),1)-2)*20)</f>
        <v>31.6</v>
      </c>
      <c r="W12" s="55">
        <f>IF($T12="","",ROUND(($T12-$T$3)/1000,1)+(_xlfn.RANK.AVG($T12,($J12,$O12,$T12),1)-2)*20)</f>
        <v>8.1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4</v>
      </c>
      <c r="AY12" s="30">
        <v>30</v>
      </c>
      <c r="AZ12" s="40" t="s">
        <v>104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206</v>
      </c>
      <c r="F13" s="8" t="s">
        <v>201</v>
      </c>
      <c r="G13" s="9">
        <v>-8000</v>
      </c>
      <c r="H13" s="9">
        <v>-1000</v>
      </c>
      <c r="I13" s="48">
        <v>0</v>
      </c>
      <c r="J13" s="21">
        <f t="shared" si="2"/>
        <v>6300</v>
      </c>
      <c r="K13" s="8"/>
      <c r="L13" s="9"/>
      <c r="M13" s="9"/>
      <c r="N13" s="48"/>
      <c r="O13" s="21">
        <f t="shared" si="3"/>
        <v>46600</v>
      </c>
      <c r="P13" s="8" t="s">
        <v>200</v>
      </c>
      <c r="Q13" s="9">
        <v>8000</v>
      </c>
      <c r="R13" s="9">
        <v>1000</v>
      </c>
      <c r="S13" s="48">
        <v>0</v>
      </c>
      <c r="T13" s="21">
        <f t="shared" si="4"/>
        <v>52100</v>
      </c>
      <c r="U13" s="53">
        <f>IF($J13="","",ROUND(($J13-$J$3)/1000,1)+(_xlfn.RANK.AVG($J13,($J13,$O13,$T13),1)-2)*20)</f>
        <v>-48.7</v>
      </c>
      <c r="V13" s="54">
        <f>IF($O13="","",ROUND(($O13-$O$3)/1000,1)+(_xlfn.RANK.AVG($O13,($J13,$O13,$T13),1)-2)*20)</f>
        <v>11.6</v>
      </c>
      <c r="W13" s="55">
        <f>IF($T13="","",ROUND(($T13-$T$3)/1000,1)+(_xlfn.RANK.AVG($T13,($J13,$O13,$T13),1)-2)*20)</f>
        <v>37.1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40</v>
      </c>
      <c r="BU13" s="40" t="s">
        <v>196</v>
      </c>
      <c r="BV13" s="41" t="s">
        <v>210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99A1C74C-6AD6-4A93-8555-E7499D7AD1F5}">
      <formula1>$U$2:$W$2</formula1>
    </dataValidation>
    <dataValidation type="list" showInputMessage="1" showErrorMessage="1" sqref="K4:K30 P4:P30 F4:F30" xr:uid="{F7FA7875-61D3-4A81-8727-9DC1C28088E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59BB7-937F-4607-8B7E-9074F0B35FC9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212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192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211</v>
      </c>
      <c r="F4" s="8" t="s">
        <v>195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194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195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-12</v>
      </c>
      <c r="V4" s="54">
        <f>IF($O4="","",ROUND(($O4-$O$3)/1000,1)+(_xlfn.RANK.AVG($O4,($J4,$O4,$T4),1)-2)*20)</f>
        <v>24</v>
      </c>
      <c r="W4" s="55">
        <f>IF($T4="","",ROUND(($T4-$T$3)/1000,1)+(_xlfn.RANK.AVG($T4,($J4,$O4,$T4),1)-2)*20)</f>
        <v>-12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196</v>
      </c>
      <c r="BA4" s="41" t="s">
        <v>82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201</v>
      </c>
      <c r="G5" s="9">
        <v>-1000</v>
      </c>
      <c r="H5" s="9"/>
      <c r="I5" s="48">
        <v>-1000</v>
      </c>
      <c r="J5" s="21">
        <f t="shared" ref="J5:J30" si="2">IF(COUNTA($F5,$K5,$P5)&gt;0,J4+SUM(G5:I5),"")</f>
        <v>31000</v>
      </c>
      <c r="K5" s="8"/>
      <c r="L5" s="9"/>
      <c r="M5" s="9"/>
      <c r="N5" s="48"/>
      <c r="O5" s="21">
        <f t="shared" ref="O5:O30" si="3">IF(COUNTA($F5,$K5,$P5)&gt;0,O4+SUM(L5:N5),"")</f>
        <v>39000</v>
      </c>
      <c r="P5" s="8" t="s">
        <v>200</v>
      </c>
      <c r="Q5" s="9">
        <v>1000</v>
      </c>
      <c r="R5" s="9"/>
      <c r="S5" s="48">
        <v>1000</v>
      </c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-24</v>
      </c>
      <c r="V5" s="54">
        <f>IF($O5="","",ROUND(($O5-$O$3)/1000,1)+(_xlfn.RANK.AVG($O5,($J5,$O5,$T5),1)-2)*20)</f>
        <v>24</v>
      </c>
      <c r="W5" s="55">
        <f>IF($T5="","",ROUND(($T5-$T$3)/1000,1)+(_xlfn.RANK.AVG($T5,($J5,$O5,$T5),1)-2)*20)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83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201</v>
      </c>
      <c r="G6" s="9">
        <v>-2600</v>
      </c>
      <c r="H6" s="9">
        <v>-1000</v>
      </c>
      <c r="I6" s="48">
        <v>0</v>
      </c>
      <c r="J6" s="21">
        <f t="shared" si="2"/>
        <v>27400</v>
      </c>
      <c r="K6" s="8" t="s">
        <v>200</v>
      </c>
      <c r="L6" s="9">
        <v>2600</v>
      </c>
      <c r="M6" s="9">
        <v>1000</v>
      </c>
      <c r="N6" s="48">
        <v>0</v>
      </c>
      <c r="O6" s="21">
        <f t="shared" si="3"/>
        <v>42600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IF($J6="","",ROUND(($J6-$J$3)/1000,1)+(_xlfn.RANK.AVG($J6,($J6,$O6,$T6),1)-2)*20)</f>
        <v>-27.6</v>
      </c>
      <c r="V6" s="54">
        <f>IF($O6="","",ROUND(($O6-$O$3)/1000,1)+(_xlfn.RANK.AVG($O6,($J6,$O6,$T6),1)-2)*20)</f>
        <v>27.6</v>
      </c>
      <c r="W6" s="55">
        <f>IF($T6="","",ROUND(($T6-$T$3)/1000,1)+(_xlfn.RANK.AVG($T6,($J6,$O6,$T6),1)-2)*20)</f>
        <v>0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196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200</v>
      </c>
      <c r="G7" s="9">
        <v>18000</v>
      </c>
      <c r="H7" s="9">
        <v>1000</v>
      </c>
      <c r="I7" s="48">
        <v>0</v>
      </c>
      <c r="J7" s="21">
        <f t="shared" si="2"/>
        <v>46400</v>
      </c>
      <c r="K7" s="8" t="s">
        <v>201</v>
      </c>
      <c r="L7" s="9">
        <v>-18000</v>
      </c>
      <c r="M7" s="9"/>
      <c r="N7" s="48">
        <v>0</v>
      </c>
      <c r="O7" s="21">
        <f t="shared" si="3"/>
        <v>24600</v>
      </c>
      <c r="P7" s="8"/>
      <c r="Q7" s="9"/>
      <c r="R7" s="9">
        <v>-1000</v>
      </c>
      <c r="S7" s="48"/>
      <c r="T7" s="21">
        <f t="shared" si="4"/>
        <v>34000</v>
      </c>
      <c r="U7" s="53">
        <f>IF($J7="","",ROUND(($J7-$J$3)/1000,1)+(_xlfn.RANK.AVG($J7,($J7,$O7,$T7),1)-2)*20)</f>
        <v>31.4</v>
      </c>
      <c r="V7" s="54">
        <f>IF($O7="","",ROUND(($O7-$O$3)/1000,1)+(_xlfn.RANK.AVG($O7,($J7,$O7,$T7),1)-2)*20)</f>
        <v>-30.4</v>
      </c>
      <c r="W7" s="55">
        <f>IF($T7="","",ROUND(($T7-$T$3)/1000,1)+(_xlfn.RANK.AVG($T7,($J7,$O7,$T7),1)-2)*20)</f>
        <v>-1</v>
      </c>
      <c r="Y7" s="8"/>
      <c r="Z7" s="34"/>
      <c r="AA7" s="26"/>
      <c r="AB7" s="26">
        <v>1</v>
      </c>
      <c r="AC7" s="26">
        <v>6</v>
      </c>
      <c r="AD7" s="30" t="s">
        <v>198</v>
      </c>
      <c r="AE7" s="40" t="s">
        <v>86</v>
      </c>
      <c r="AF7" s="41" t="s">
        <v>86</v>
      </c>
      <c r="AG7" s="41" t="s">
        <v>86</v>
      </c>
      <c r="AH7" s="41" t="s">
        <v>98</v>
      </c>
      <c r="AI7" s="41" t="s">
        <v>202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200</v>
      </c>
      <c r="G8" s="9">
        <v>11600</v>
      </c>
      <c r="H8" s="9"/>
      <c r="I8" s="48">
        <v>1000</v>
      </c>
      <c r="J8" s="21">
        <f t="shared" si="2"/>
        <v>59000</v>
      </c>
      <c r="K8" s="8"/>
      <c r="L8" s="9"/>
      <c r="M8" s="9"/>
      <c r="N8" s="48"/>
      <c r="O8" s="21">
        <f t="shared" si="3"/>
        <v>24600</v>
      </c>
      <c r="P8" s="8" t="s">
        <v>201</v>
      </c>
      <c r="Q8" s="9">
        <v>-11600</v>
      </c>
      <c r="R8" s="9"/>
      <c r="S8" s="48">
        <v>-1000</v>
      </c>
      <c r="T8" s="21">
        <f t="shared" si="4"/>
        <v>21400</v>
      </c>
      <c r="U8" s="53">
        <f>IF($J8="","",ROUND(($J8-$J$3)/1000,1)+(_xlfn.RANK.AVG($J8,($J8,$O8,$T8),1)-2)*20)</f>
        <v>44</v>
      </c>
      <c r="V8" s="54">
        <f>IF($O8="","",ROUND(($O8-$O$3)/1000,1)+(_xlfn.RANK.AVG($O8,($J8,$O8,$T8),1)-2)*20)</f>
        <v>-10.4</v>
      </c>
      <c r="W8" s="55">
        <f>IF($T8="","",ROUND(($T8-$T$3)/1000,1)+(_xlfn.RANK.AVG($T8,($J8,$O8,$T8),1)-2)*20)</f>
        <v>-33.6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86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201</v>
      </c>
      <c r="G9" s="9">
        <v>-7700</v>
      </c>
      <c r="H9" s="9"/>
      <c r="I9" s="48">
        <v>-2000</v>
      </c>
      <c r="J9" s="21">
        <f t="shared" si="2"/>
        <v>49300</v>
      </c>
      <c r="K9" s="8" t="s">
        <v>200</v>
      </c>
      <c r="L9" s="9">
        <v>7700</v>
      </c>
      <c r="M9" s="9"/>
      <c r="N9" s="48">
        <v>2000</v>
      </c>
      <c r="O9" s="21">
        <f t="shared" si="3"/>
        <v>34300</v>
      </c>
      <c r="P9" s="8"/>
      <c r="Q9" s="9"/>
      <c r="R9" s="9"/>
      <c r="S9" s="48"/>
      <c r="T9" s="21">
        <f t="shared" si="4"/>
        <v>21400</v>
      </c>
      <c r="U9" s="53">
        <f>IF($J9="","",ROUND(($J9-$J$3)/1000,1)+(_xlfn.RANK.AVG($J9,($J9,$O9,$T9),1)-2)*20)</f>
        <v>34.299999999999997</v>
      </c>
      <c r="V9" s="54">
        <f>IF($O9="","",ROUND(($O9-$O$3)/1000,1)+(_xlfn.RANK.AVG($O9,($J9,$O9,$T9),1)-2)*20)</f>
        <v>-0.7</v>
      </c>
      <c r="W9" s="55">
        <f>IF($T9="","",ROUND(($T9-$T$3)/1000,1)+(_xlfn.RANK.AVG($T9,($J9,$O9,$T9),1)-2)*20)</f>
        <v>-33.6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196</v>
      </c>
      <c r="BA9" s="41" t="s">
        <v>80</v>
      </c>
      <c r="BB9" s="41" t="s">
        <v>80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211</v>
      </c>
      <c r="F10" s="8"/>
      <c r="G10" s="9"/>
      <c r="H10" s="9"/>
      <c r="I10" s="48"/>
      <c r="J10" s="21">
        <f t="shared" si="2"/>
        <v>49300</v>
      </c>
      <c r="K10" s="8" t="s">
        <v>201</v>
      </c>
      <c r="L10" s="9">
        <v>-7700</v>
      </c>
      <c r="M10" s="9"/>
      <c r="N10" s="48">
        <v>0</v>
      </c>
      <c r="O10" s="21">
        <f t="shared" si="3"/>
        <v>26600</v>
      </c>
      <c r="P10" s="8" t="s">
        <v>200</v>
      </c>
      <c r="Q10" s="9">
        <v>7700</v>
      </c>
      <c r="R10" s="9"/>
      <c r="S10" s="48">
        <v>0</v>
      </c>
      <c r="T10" s="21">
        <f t="shared" si="4"/>
        <v>29100</v>
      </c>
      <c r="U10" s="53">
        <f>IF($J10="","",ROUND(($J10-$J$3)/1000,1)+(_xlfn.RANK.AVG($J10,($J10,$O10,$T10),1)-2)*20)</f>
        <v>34.299999999999997</v>
      </c>
      <c r="V10" s="54">
        <f>IF($O10="","",ROUND(($O10-$O$3)/1000,1)+(_xlfn.RANK.AVG($O10,($J10,$O10,$T10),1)-2)*20)</f>
        <v>-28.4</v>
      </c>
      <c r="W10" s="55">
        <f>IF($T10="","",ROUND(($T10-$T$3)/1000,1)+(_xlfn.RANK.AVG($T10,($J10,$O10,$T10),1)-2)*20)</f>
        <v>-5.9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202</v>
      </c>
      <c r="BV10" s="41" t="s">
        <v>210</v>
      </c>
      <c r="BW10" s="41" t="s">
        <v>83</v>
      </c>
      <c r="BX10" s="41" t="s">
        <v>196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208</v>
      </c>
      <c r="F11" s="8" t="s">
        <v>205</v>
      </c>
      <c r="G11" s="9">
        <v>1500</v>
      </c>
      <c r="H11" s="9"/>
      <c r="I11" s="48"/>
      <c r="J11" s="21">
        <f t="shared" si="2"/>
        <v>50800</v>
      </c>
      <c r="K11" s="8" t="s">
        <v>205</v>
      </c>
      <c r="L11" s="9">
        <v>-3000</v>
      </c>
      <c r="M11" s="9"/>
      <c r="N11" s="48"/>
      <c r="O11" s="21">
        <f t="shared" si="3"/>
        <v>23600</v>
      </c>
      <c r="P11" s="8" t="s">
        <v>205</v>
      </c>
      <c r="Q11" s="9">
        <v>1500</v>
      </c>
      <c r="R11" s="9"/>
      <c r="S11" s="48"/>
      <c r="T11" s="21">
        <f t="shared" si="4"/>
        <v>30600</v>
      </c>
      <c r="U11" s="53">
        <f>IF($J11="","",ROUND(($J11-$J$3)/1000,1)+(_xlfn.RANK.AVG($J11,($J11,$O11,$T11),1)-2)*20)</f>
        <v>35.799999999999997</v>
      </c>
      <c r="V11" s="54">
        <f>IF($O11="","",ROUND(($O11-$O$3)/1000,1)+(_xlfn.RANK.AVG($O11,($J11,$O11,$T11),1)-2)*20)</f>
        <v>-31.4</v>
      </c>
      <c r="W11" s="55">
        <f>IF($T11="","",ROUND(($T11-$T$3)/1000,1)+(_xlfn.RANK.AVG($T11,($J11,$O11,$T11),1)-2)*20)</f>
        <v>-4.4000000000000004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208</v>
      </c>
      <c r="F12" s="8" t="s">
        <v>195</v>
      </c>
      <c r="G12" s="9">
        <v>-6000</v>
      </c>
      <c r="H12" s="9"/>
      <c r="I12" s="48">
        <v>-500</v>
      </c>
      <c r="J12" s="21">
        <f t="shared" si="2"/>
        <v>44300</v>
      </c>
      <c r="K12" s="8" t="s">
        <v>195</v>
      </c>
      <c r="L12" s="9">
        <v>-6000</v>
      </c>
      <c r="M12" s="9"/>
      <c r="N12" s="48">
        <v>-500</v>
      </c>
      <c r="O12" s="21">
        <f t="shared" si="3"/>
        <v>17100</v>
      </c>
      <c r="P12" s="8" t="s">
        <v>194</v>
      </c>
      <c r="Q12" s="9">
        <v>12000</v>
      </c>
      <c r="R12" s="9"/>
      <c r="S12" s="48">
        <v>1000</v>
      </c>
      <c r="T12" s="21">
        <f t="shared" si="4"/>
        <v>43600</v>
      </c>
      <c r="U12" s="53">
        <f>IF($J12="","",ROUND(($J12-$J$3)/1000,1)+(_xlfn.RANK.AVG($J12,($J12,$O12,$T12),1)-2)*20)</f>
        <v>29.3</v>
      </c>
      <c r="V12" s="54">
        <f>IF($O12="","",ROUND(($O12-$O$3)/1000,1)+(_xlfn.RANK.AVG($O12,($J12,$O12,$T12),1)-2)*20)</f>
        <v>-37.9</v>
      </c>
      <c r="W12" s="55">
        <f>IF($T12="","",ROUND(($T12-$T$3)/1000,1)+(_xlfn.RANK.AVG($T12,($J12,$O12,$T12),1)-2)*20)</f>
        <v>8.6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198</v>
      </c>
      <c r="BU12" s="40" t="s">
        <v>196</v>
      </c>
      <c r="BV12" s="41" t="s">
        <v>82</v>
      </c>
      <c r="BW12" s="41" t="s">
        <v>210</v>
      </c>
      <c r="BX12" s="41" t="s">
        <v>202</v>
      </c>
      <c r="BY12" s="41" t="s">
        <v>80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208</v>
      </c>
      <c r="F13" s="8" t="s">
        <v>195</v>
      </c>
      <c r="G13" s="9">
        <v>-2900</v>
      </c>
      <c r="H13" s="9"/>
      <c r="I13" s="48">
        <v>-1000</v>
      </c>
      <c r="J13" s="21">
        <f t="shared" si="2"/>
        <v>40400</v>
      </c>
      <c r="K13" s="8" t="s">
        <v>194</v>
      </c>
      <c r="L13" s="9">
        <v>7700</v>
      </c>
      <c r="M13" s="9"/>
      <c r="N13" s="48">
        <v>2000</v>
      </c>
      <c r="O13" s="21">
        <f t="shared" si="3"/>
        <v>26800</v>
      </c>
      <c r="P13" s="8" t="s">
        <v>195</v>
      </c>
      <c r="Q13" s="9">
        <v>-4800</v>
      </c>
      <c r="R13" s="9"/>
      <c r="S13" s="48">
        <v>-1000</v>
      </c>
      <c r="T13" s="21">
        <f t="shared" si="4"/>
        <v>37800</v>
      </c>
      <c r="U13" s="53">
        <f>IF($J13="","",ROUND(($J13-$J$3)/1000,1)+(_xlfn.RANK.AVG($J13,($J13,$O13,$T13),1)-2)*20)</f>
        <v>25.4</v>
      </c>
      <c r="V13" s="54">
        <f>IF($O13="","",ROUND(($O13-$O$3)/1000,1)+(_xlfn.RANK.AVG($O13,($J13,$O13,$T13),1)-2)*20)</f>
        <v>-28.2</v>
      </c>
      <c r="W13" s="55">
        <f>IF($T13="","",ROUND(($T13-$T$3)/1000,1)+(_xlfn.RANK.AVG($T13,($J13,$O13,$T13),1)-2)*20)</f>
        <v>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4</v>
      </c>
      <c r="AY13" s="30">
        <v>30</v>
      </c>
      <c r="AZ13" s="40" t="s">
        <v>82</v>
      </c>
      <c r="BA13" s="41" t="s">
        <v>202</v>
      </c>
      <c r="BB13" s="41" t="s">
        <v>202</v>
      </c>
      <c r="BC13" s="41" t="s">
        <v>85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 t="s">
        <v>194</v>
      </c>
      <c r="G14" s="9">
        <v>4000</v>
      </c>
      <c r="H14" s="9"/>
      <c r="I14" s="48">
        <v>0</v>
      </c>
      <c r="J14" s="21">
        <f t="shared" si="2"/>
        <v>44400</v>
      </c>
      <c r="K14" s="8" t="s">
        <v>195</v>
      </c>
      <c r="L14" s="9">
        <v>-2000</v>
      </c>
      <c r="M14" s="9"/>
      <c r="N14" s="48">
        <v>0</v>
      </c>
      <c r="O14" s="21">
        <f t="shared" si="3"/>
        <v>24800</v>
      </c>
      <c r="P14" s="8" t="s">
        <v>195</v>
      </c>
      <c r="Q14" s="9">
        <v>-2000</v>
      </c>
      <c r="R14" s="9"/>
      <c r="S14" s="48">
        <v>0</v>
      </c>
      <c r="T14" s="21">
        <f t="shared" si="4"/>
        <v>35800</v>
      </c>
      <c r="U14" s="53">
        <f>IF($J14="","",ROUND(($J14-$J$3)/1000,1)+(_xlfn.RANK.AVG($J14,($J14,$O14,$T14),1)-2)*20)</f>
        <v>29.4</v>
      </c>
      <c r="V14" s="54">
        <f>IF($O14="","",ROUND(($O14-$O$3)/1000,1)+(_xlfn.RANK.AVG($O14,($J14,$O14,$T14),1)-2)*20)</f>
        <v>-30.2</v>
      </c>
      <c r="W14" s="55">
        <f>IF($T14="","",ROUND(($T14-$T$3)/1000,1)+(_xlfn.RANK.AVG($T14,($J14,$O14,$T14),1)-2)*20)</f>
        <v>0.8</v>
      </c>
      <c r="Y14" s="8"/>
      <c r="Z14" s="34"/>
      <c r="AA14" s="26"/>
      <c r="AB14" s="26"/>
      <c r="AC14" s="26">
        <v>3</v>
      </c>
      <c r="AD14" s="30">
        <v>20</v>
      </c>
      <c r="AE14" s="40" t="s">
        <v>82</v>
      </c>
      <c r="AF14" s="41" t="s">
        <v>83</v>
      </c>
      <c r="AG14" s="41" t="s">
        <v>202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AF133368-EDC5-4907-82F1-F39E61513C49}">
      <formula1>"ロン,ツモ,放銃,ツモ支払,流局,チョンボ"</formula1>
    </dataValidation>
    <dataValidation type="list" allowBlank="1" showInputMessage="1" showErrorMessage="1" sqref="E4:E30" xr:uid="{A3370344-92A6-4D6A-926D-8C3B9775CC3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2019-05-28T09:19:10Z</dcterms:modified>
</cp:coreProperties>
</file>