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7DB6E96-1948-49D4-A1D9-BCD3B060DE1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D20" i="22"/>
  <c r="C20" i="22"/>
  <c r="D19" i="22"/>
  <c r="D18" i="22"/>
  <c r="D17" i="22"/>
  <c r="D16" i="22"/>
  <c r="C16" i="22"/>
  <c r="C17" i="22" s="1"/>
  <c r="C18" i="22" s="1"/>
  <c r="C19" i="22" s="1"/>
  <c r="D15" i="22"/>
  <c r="C15" i="22"/>
  <c r="D14" i="22"/>
  <c r="D13" i="22"/>
  <c r="D12" i="22"/>
  <c r="C12" i="22"/>
  <c r="C13" i="22" s="1"/>
  <c r="C14" i="22" s="1"/>
  <c r="D11" i="22"/>
  <c r="C11" i="22"/>
  <c r="D10" i="22"/>
  <c r="D9" i="22"/>
  <c r="D8" i="22"/>
  <c r="C8" i="22"/>
  <c r="C9" i="22" s="1"/>
  <c r="C10" i="22" s="1"/>
  <c r="D7" i="22"/>
  <c r="C7" i="22"/>
  <c r="B7" i="22"/>
  <c r="B8" i="22" s="1"/>
  <c r="T6" i="22"/>
  <c r="T7" i="22" s="1"/>
  <c r="D6" i="22"/>
  <c r="C6" i="22"/>
  <c r="B6" i="22"/>
  <c r="A6" i="22" s="1"/>
  <c r="T5" i="22"/>
  <c r="O5" i="22"/>
  <c r="D5" i="22"/>
  <c r="C5" i="22"/>
  <c r="B5" i="22"/>
  <c r="A5" i="22" s="1"/>
  <c r="T4" i="22"/>
  <c r="O4" i="22"/>
  <c r="J4" i="22"/>
  <c r="W3" i="22"/>
  <c r="V3" i="22"/>
  <c r="U3" i="22"/>
  <c r="W2" i="22"/>
  <c r="V2" i="22"/>
  <c r="U2" i="22"/>
  <c r="BO1" i="22"/>
  <c r="AT1" i="22"/>
  <c r="Y1" i="22"/>
  <c r="V4" i="22" l="1"/>
  <c r="W4" i="22"/>
  <c r="U4" i="22"/>
  <c r="T8" i="22"/>
  <c r="B9" i="22"/>
  <c r="J5" i="22"/>
  <c r="W5" i="22" s="1"/>
  <c r="A7" i="22"/>
  <c r="A8" i="22"/>
  <c r="O6" i="22"/>
  <c r="V5" i="22" l="1"/>
  <c r="B10" i="22"/>
  <c r="O7" i="22"/>
  <c r="U5" i="22"/>
  <c r="J6" i="22"/>
  <c r="V6" i="22" s="1"/>
  <c r="A9" i="22"/>
  <c r="T9" i="22"/>
  <c r="T10" i="22" l="1"/>
  <c r="U6" i="22"/>
  <c r="J7" i="22"/>
  <c r="W6" i="22"/>
  <c r="V7" i="22"/>
  <c r="O8" i="22"/>
  <c r="B11" i="22"/>
  <c r="A10" i="22"/>
  <c r="B12" i="22" l="1"/>
  <c r="O9" i="22"/>
  <c r="J8" i="22"/>
  <c r="V8" i="22" s="1"/>
  <c r="U7" i="22"/>
  <c r="W7" i="22"/>
  <c r="T11" i="22"/>
  <c r="A11" i="22"/>
  <c r="A12" i="22" s="1"/>
  <c r="B13" i="22" l="1"/>
  <c r="A13" i="22" s="1"/>
  <c r="T12" i="22"/>
  <c r="U8" i="22"/>
  <c r="J9" i="22"/>
  <c r="W8" i="22"/>
  <c r="V9" i="22"/>
  <c r="O10" i="22"/>
  <c r="U9" i="22" l="1"/>
  <c r="J10" i="22"/>
  <c r="W9" i="22"/>
  <c r="T13" i="22"/>
  <c r="V10" i="22"/>
  <c r="O11" i="22"/>
  <c r="B14" i="22"/>
  <c r="A14" i="22" s="1"/>
  <c r="O12" i="22" l="1"/>
  <c r="T14" i="22"/>
  <c r="B15" i="22"/>
  <c r="A15" i="22" s="1"/>
  <c r="U10" i="22"/>
  <c r="J11" i="22"/>
  <c r="V11" i="22" s="1"/>
  <c r="W10" i="22"/>
  <c r="O13" i="22" l="1"/>
  <c r="J12" i="22"/>
  <c r="U11" i="22"/>
  <c r="W11" i="22"/>
  <c r="B16" i="22"/>
  <c r="A16" i="22"/>
  <c r="T15" i="22"/>
  <c r="U12" i="22" l="1"/>
  <c r="J13" i="22"/>
  <c r="W12" i="22"/>
  <c r="V13" i="22"/>
  <c r="O14" i="22"/>
  <c r="T16" i="22"/>
  <c r="V12" i="22"/>
  <c r="B17" i="22"/>
  <c r="B18" i="22" l="1"/>
  <c r="A18" i="22" s="1"/>
  <c r="T17" i="22"/>
  <c r="V14" i="22"/>
  <c r="O15" i="22"/>
  <c r="A17" i="22"/>
  <c r="U13" i="22"/>
  <c r="J14" i="22"/>
  <c r="W13" i="22"/>
  <c r="O16" i="22" l="1"/>
  <c r="T18" i="22"/>
  <c r="U14" i="22"/>
  <c r="J15" i="22"/>
  <c r="W14" i="22"/>
  <c r="B19" i="22"/>
  <c r="U15" i="22" l="1"/>
  <c r="J16" i="22"/>
  <c r="W15" i="22"/>
  <c r="T19" i="22"/>
  <c r="B20" i="22"/>
  <c r="A20" i="22" s="1"/>
  <c r="V16" i="22"/>
  <c r="O17" i="22"/>
  <c r="A19" i="22"/>
  <c r="V15" i="22"/>
  <c r="T20" i="22" l="1"/>
  <c r="U16" i="22"/>
  <c r="J17" i="22"/>
  <c r="W16" i="22"/>
  <c r="V17" i="22"/>
  <c r="O18" i="22"/>
  <c r="U17" i="22" l="1"/>
  <c r="J18" i="22"/>
  <c r="W17" i="22"/>
  <c r="V18" i="22"/>
  <c r="O19" i="22"/>
  <c r="O20" i="22" l="1"/>
  <c r="U18" i="22"/>
  <c r="J19" i="22"/>
  <c r="W18" i="22"/>
  <c r="U19" i="22" l="1"/>
  <c r="J20" i="22"/>
  <c r="W19" i="22"/>
  <c r="V20" i="22"/>
  <c r="V19" i="22"/>
  <c r="U20" i="22" l="1"/>
  <c r="W20" i="22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 s="1"/>
  <c r="T20" i="20"/>
  <c r="W20" i="20" s="1"/>
  <c r="O20" i="20"/>
  <c r="V20" i="20" s="1"/>
  <c r="J20" i="20"/>
  <c r="D20" i="20"/>
  <c r="C20" i="20"/>
  <c r="B20" i="20"/>
  <c r="A20" i="20" s="1"/>
  <c r="T19" i="20"/>
  <c r="O19" i="20"/>
  <c r="J19" i="20"/>
  <c r="U19" i="20" s="1"/>
  <c r="D19" i="20"/>
  <c r="C19" i="20"/>
  <c r="B19" i="20"/>
  <c r="A19" i="20" s="1"/>
  <c r="T18" i="20"/>
  <c r="O18" i="20"/>
  <c r="V18" i="20" s="1"/>
  <c r="J18" i="20"/>
  <c r="U18" i="20" s="1"/>
  <c r="D18" i="20"/>
  <c r="C18" i="20"/>
  <c r="B18" i="20"/>
  <c r="A18" i="20"/>
  <c r="T17" i="20"/>
  <c r="O17" i="20"/>
  <c r="J17" i="20"/>
  <c r="U17" i="20" s="1"/>
  <c r="D17" i="20"/>
  <c r="C17" i="20"/>
  <c r="B17" i="20"/>
  <c r="A17" i="20"/>
  <c r="T16" i="20"/>
  <c r="O16" i="20"/>
  <c r="V16" i="20" s="1"/>
  <c r="J16" i="20"/>
  <c r="U16" i="20" s="1"/>
  <c r="D16" i="20"/>
  <c r="C16" i="20"/>
  <c r="B16" i="20"/>
  <c r="A16" i="20" s="1"/>
  <c r="T15" i="20"/>
  <c r="O15" i="20"/>
  <c r="J15" i="20"/>
  <c r="U15" i="20" s="1"/>
  <c r="D15" i="20"/>
  <c r="C15" i="20"/>
  <c r="B15" i="20"/>
  <c r="A15" i="20" s="1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D12" i="20"/>
  <c r="D11" i="20"/>
  <c r="C11" i="20"/>
  <c r="C12" i="20" s="1"/>
  <c r="D10" i="20"/>
  <c r="C10" i="20"/>
  <c r="D9" i="20"/>
  <c r="C9" i="20"/>
  <c r="D8" i="20"/>
  <c r="C8" i="20"/>
  <c r="D7" i="20"/>
  <c r="D6" i="20"/>
  <c r="T5" i="20"/>
  <c r="O5" i="20"/>
  <c r="D5" i="20"/>
  <c r="C5" i="20"/>
  <c r="C6" i="20" s="1"/>
  <c r="C7" i="20" s="1"/>
  <c r="B5" i="20"/>
  <c r="B6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U20" i="20" l="1"/>
  <c r="V19" i="20"/>
  <c r="W19" i="20"/>
  <c r="W18" i="20"/>
  <c r="W17" i="20"/>
  <c r="V17" i="20"/>
  <c r="W16" i="20"/>
  <c r="W15" i="20"/>
  <c r="V15" i="20"/>
  <c r="W14" i="20"/>
  <c r="U14" i="20"/>
  <c r="V14" i="20"/>
  <c r="U13" i="20"/>
  <c r="W13" i="20"/>
  <c r="V13" i="20"/>
  <c r="A5" i="20"/>
  <c r="V4" i="20"/>
  <c r="W4" i="20"/>
  <c r="U4" i="20"/>
  <c r="U5" i="20"/>
  <c r="J6" i="20"/>
  <c r="V5" i="20"/>
  <c r="W5" i="20"/>
  <c r="B7" i="20"/>
  <c r="A7" i="20" s="1"/>
  <c r="A6" i="20"/>
  <c r="O6" i="20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W9" i="19" s="1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O7" i="20" l="1"/>
  <c r="V6" i="20"/>
  <c r="W6" i="20"/>
  <c r="T7" i="20"/>
  <c r="B8" i="20"/>
  <c r="A8" i="20" s="1"/>
  <c r="U6" i="20"/>
  <c r="J7" i="20"/>
  <c r="U12" i="19"/>
  <c r="V12" i="19"/>
  <c r="W12" i="19"/>
  <c r="W11" i="19"/>
  <c r="V10" i="19"/>
  <c r="W10" i="19"/>
  <c r="V9" i="19"/>
  <c r="V8" i="19"/>
  <c r="U8" i="19"/>
  <c r="W8" i="19"/>
  <c r="V7" i="19"/>
  <c r="U7" i="19"/>
  <c r="W7" i="19"/>
  <c r="W6" i="19"/>
  <c r="U6" i="19"/>
  <c r="V6" i="19"/>
  <c r="U4" i="19"/>
  <c r="V4" i="19"/>
  <c r="W4" i="19"/>
  <c r="J5" i="19"/>
  <c r="O5" i="19"/>
  <c r="V5" i="19" s="1"/>
  <c r="W7" i="20" l="1"/>
  <c r="T8" i="20"/>
  <c r="O8" i="20"/>
  <c r="V7" i="20"/>
  <c r="U7" i="20"/>
  <c r="J8" i="20"/>
  <c r="B9" i="20"/>
  <c r="A9" i="20" s="1"/>
  <c r="W5" i="19"/>
  <c r="U5" i="19"/>
  <c r="V8" i="20" l="1"/>
  <c r="O9" i="20"/>
  <c r="W8" i="20"/>
  <c r="T9" i="20"/>
  <c r="B10" i="20"/>
  <c r="A10" i="20" s="1"/>
  <c r="U8" i="20"/>
  <c r="J9" i="20"/>
  <c r="U9" i="20" l="1"/>
  <c r="J10" i="20"/>
  <c r="B11" i="20"/>
  <c r="A11" i="20" s="1"/>
  <c r="W9" i="20"/>
  <c r="T10" i="20"/>
  <c r="V9" i="20"/>
  <c r="O10" i="20"/>
  <c r="U10" i="20" l="1"/>
  <c r="J11" i="20"/>
  <c r="O11" i="20"/>
  <c r="V10" i="20"/>
  <c r="W10" i="20"/>
  <c r="T11" i="20"/>
  <c r="B12" i="20"/>
  <c r="A12" i="20" s="1"/>
  <c r="O12" i="20" l="1"/>
  <c r="V11" i="20"/>
  <c r="U11" i="20"/>
  <c r="J12" i="20"/>
  <c r="W11" i="20"/>
  <c r="T12" i="20"/>
  <c r="W12" i="20" l="1"/>
  <c r="U12" i="20"/>
  <c r="V12" i="20"/>
</calcChain>
</file>

<file path=xl/sharedStrings.xml><?xml version="1.0" encoding="utf-8"?>
<sst xmlns="http://schemas.openxmlformats.org/spreadsheetml/2006/main" count="823" uniqueCount="162">
  <si>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</si>
  <si>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</si>
  <si>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</si>
  <si>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</si>
  <si>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</si>
  <si>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</si>
  <si>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</si>
  <si>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</si>
  <si>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</si>
  <si>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</si>
  <si>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</si>
  <si>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</si>
  <si>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</si>
  <si>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</si>
  <si>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</si>
  <si>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</si>
  <si>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</si>
  <si>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</si>
  <si>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</si>
  <si>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</si>
  <si>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</si>
  <si>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</si>
  <si>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</si>
  <si>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</si>
  <si>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</si>
  <si>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</si>
  <si>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</si>
  <si>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</si>
  <si>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</si>
  <si>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</si>
  <si>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</si>
  <si>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</si>
  <si>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</si>
  <si>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</si>
  <si>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</si>
  <si>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</si>
  <si>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</si>
  <si>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</si>
  <si>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</si>
  <si>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</si>
  <si>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</si>
  <si>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</si>
  <si>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</si>
  <si>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</si>
  <si>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</si>
  <si>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</si>
  <si>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</si>
  <si>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</si>
  <si>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</si>
  <si>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</si>
  <si>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</si>
  <si>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</si>
  <si>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</si>
  <si>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</si>
  <si>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</si>
  <si>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</si>
  <si>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</si>
  <si>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</si>
  <si>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</si>
  <si>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</si>
  <si>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</si>
  <si>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</si>
  <si>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</si>
  <si>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</si>
  <si>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</si>
  <si>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</si>
  <si>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</si>
  <si>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</si>
  <si>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</si>
  <si>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</si>
  <si>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</si>
  <si>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</si>
  <si>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</si>
  <si>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</si>
  <si>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</si>
  <si>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</si>
  <si>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</si>
  <si>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</si>
  <si>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</si>
  <si>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</si>
  <si>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</si>
  <si>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</si>
  <si>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</si>
  <si>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</si>
  <si>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</si>
  <si>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</si>
  <si>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</si>
  <si>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</si>
  <si>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</si>
  <si>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</si>
  <si>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</si>
  <si>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</si>
  <si>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</si>
  <si>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</si>
  <si>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</si>
  <si>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</si>
  <si>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</si>
  <si>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</si>
  <si>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</si>
  <si>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</si>
  <si>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</si>
  <si>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</si>
  <si>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</si>
  <si>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</si>
  <si>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</si>
  <si>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</si>
  <si>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</si>
  <si>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</si>
  <si>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</si>
  <si>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</si>
  <si>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</si>
  <si>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</si>
  <si>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</si>
  <si>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</si>
  <si>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</si>
  <si>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</si>
  <si>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</si>
  <si>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</si>
  <si>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</si>
  <si>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</si>
  <si>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</si>
  <si>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</si>
  <si>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</si>
  <si>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</si>
  <si>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</si>
  <si>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</si>
  <si>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</si>
  <si>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</si>
  <si>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</si>
  <si>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</si>
  <si>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</si>
  <si>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</si>
  <si>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</si>
  <si>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</si>
  <si>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</si>
  <si>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</si>
  <si>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</si>
  <si>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</si>
  <si>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</si>
  <si>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</si>
  <si>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</si>
  <si>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</si>
  <si>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</si>
  <si>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</si>
  <si>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</si>
  <si>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</si>
  <si>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</si>
  <si>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</si>
  <si>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02</t>
  </si>
  <si>
    <t>52</t>
  </si>
  <si>
    <t>N</t>
  </si>
  <si>
    <t>T</t>
  </si>
  <si>
    <t>流局</t>
    <phoneticPr fontId="1"/>
  </si>
  <si>
    <t>ロン</t>
  </si>
  <si>
    <t>放銃</t>
  </si>
  <si>
    <t>れんたろう</t>
  </si>
  <si>
    <t>れんたろう</t>
    <phoneticPr fontId="1"/>
  </si>
  <si>
    <t>流局</t>
    <phoneticPr fontId="1"/>
  </si>
  <si>
    <t>ただ</t>
  </si>
  <si>
    <t>ただ</t>
    <phoneticPr fontId="1"/>
  </si>
  <si>
    <t>ぱぱ</t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</si>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</sst>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152</v>
      </c>
      <c r="G4" s="9">
        <v>-1500</v>
      </c>
      <c r="H4" s="9"/>
      <c r="I4" s="48"/>
      <c r="J4" s="21">
        <f>IF(COUNTA($F4,$K4,$P4)&gt;0,J3+SUM(G4:I4),"")</f>
        <v>33500</v>
      </c>
      <c r="K4" s="8" t="s">
        <v>152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152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-11.5</v>
      </c>
      <c r="Y4" s="8" t="s">
        <v>150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151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150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140</v>
      </c>
      <c r="F5" s="8" t="s">
        <v>144</v>
      </c>
      <c r="G5" s="9">
        <v>-9000</v>
      </c>
      <c r="H5" s="9"/>
      <c r="I5" s="48">
        <v>-500</v>
      </c>
      <c r="J5" s="21">
        <f t="shared" ref="J5:J30" si="2">IF(COUNTA($F5,$K5,$P5)&gt;0,J4+SUM(G5:I5),"")</f>
        <v>24000</v>
      </c>
      <c r="K5" s="8" t="s">
        <v>145</v>
      </c>
      <c r="L5" s="9">
        <v>18000</v>
      </c>
      <c r="M5" s="9">
        <v>1000</v>
      </c>
      <c r="N5" s="48">
        <v>1000</v>
      </c>
      <c r="O5" s="21">
        <f t="shared" ref="O5:O30" si="3">IF(COUNTA($F5,$K5,$P5)&gt;0,O4+SUM(L5:N5),"")</f>
        <v>57000</v>
      </c>
      <c r="P5" s="8" t="s">
        <v>144</v>
      </c>
      <c r="Q5" s="9">
        <v>-9000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IF($J5="","",ROUND(($J5-$J$3)/1000,1)+(_xlfn.RANK.AVG($J5,($J5,$O5,$T5),1)-2)*20)</f>
        <v>-21</v>
      </c>
      <c r="V5" s="54">
        <f>IF($O5="","",ROUND(($O5-$O$3)/1000,1)+(_xlfn.RANK.AVG($O5,($J5,$O5,$T5),1)-2)*20)</f>
        <v>42</v>
      </c>
      <c r="W5" s="55">
        <f>IF($T5="","",ROUND(($T5-$T$3)/1000,1)+(_xlfn.RANK.AVG($T5,($J5,$O5,$T5),1)-2)*20)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146</v>
      </c>
      <c r="AZ5" s="40" t="s">
        <v>147</v>
      </c>
      <c r="BA5" s="41" t="s">
        <v>82</v>
      </c>
      <c r="BB5" s="41" t="s">
        <v>148</v>
      </c>
      <c r="BC5" s="41" t="s">
        <v>149</v>
      </c>
      <c r="BD5" s="41" t="s">
        <v>149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24000</v>
      </c>
      <c r="K6" s="8" t="s">
        <v>153</v>
      </c>
      <c r="L6" s="9">
        <v>7700</v>
      </c>
      <c r="M6" s="9"/>
      <c r="N6" s="48">
        <v>2000</v>
      </c>
      <c r="O6" s="21">
        <f t="shared" si="3"/>
        <v>66700</v>
      </c>
      <c r="P6" s="8" t="s">
        <v>154</v>
      </c>
      <c r="Q6" s="9">
        <v>-7700</v>
      </c>
      <c r="R6" s="9"/>
      <c r="S6" s="48">
        <v>-2000</v>
      </c>
      <c r="T6" s="21">
        <f t="shared" si="4"/>
        <v>14300</v>
      </c>
      <c r="U6" s="53">
        <f>IF($J6="","",ROUND(($J6-$J$3)/1000,1)+(_xlfn.RANK.AVG($J6,($J6,$O6,$T6),1)-2)*20)</f>
        <v>-11</v>
      </c>
      <c r="V6" s="54">
        <f>IF($O6="","",ROUND(($O6-$O$3)/1000,1)+(_xlfn.RANK.AVG($O6,($J6,$O6,$T6),1)-2)*20)</f>
        <v>51.7</v>
      </c>
      <c r="W6" s="55">
        <f>IF($T6="","",ROUND(($T6-$T$3)/1000,1)+(_xlfn.RANK.AVG($T6,($J6,$O6,$T6),1)-2)*20)</f>
        <v>-40.700000000000003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86</v>
      </c>
      <c r="BA6" s="41" t="s">
        <v>86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140</v>
      </c>
      <c r="F7" s="8" t="s">
        <v>144</v>
      </c>
      <c r="G7" s="9">
        <v>-3000</v>
      </c>
      <c r="H7" s="9"/>
      <c r="I7" s="48">
        <v>-1500</v>
      </c>
      <c r="J7" s="21">
        <f t="shared" si="2"/>
        <v>19500</v>
      </c>
      <c r="K7" s="8" t="s">
        <v>144</v>
      </c>
      <c r="L7" s="9">
        <v>-5000</v>
      </c>
      <c r="M7" s="9"/>
      <c r="N7" s="48">
        <v>-1500</v>
      </c>
      <c r="O7" s="21">
        <f t="shared" si="3"/>
        <v>60200</v>
      </c>
      <c r="P7" s="8" t="s">
        <v>145</v>
      </c>
      <c r="Q7" s="9">
        <v>8000</v>
      </c>
      <c r="R7" s="9"/>
      <c r="S7" s="48">
        <v>3000</v>
      </c>
      <c r="T7" s="21">
        <f t="shared" si="4"/>
        <v>25300</v>
      </c>
      <c r="U7" s="53">
        <f>IF($J7="","",ROUND(($J7-$J$3)/1000,1)+(_xlfn.RANK.AVG($J7,($J7,$O7,$T7),1)-2)*20)</f>
        <v>-35.5</v>
      </c>
      <c r="V7" s="54">
        <f>IF($O7="","",ROUND(($O7-$O$3)/1000,1)+(_xlfn.RANK.AVG($O7,($J7,$O7,$T7),1)-2)*20)</f>
        <v>45.2</v>
      </c>
      <c r="W7" s="55">
        <f>IF($T7="","",ROUND(($T7-$T$3)/1000,1)+(_xlfn.RANK.AVG($T7,($J7,$O7,$T7),1)-2)*20)</f>
        <v>-9.6999999999999993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146</v>
      </c>
      <c r="BU7" s="40" t="s">
        <v>147</v>
      </c>
      <c r="BV7" s="41" t="s">
        <v>82</v>
      </c>
      <c r="BW7" s="41" t="s">
        <v>149</v>
      </c>
      <c r="BX7" s="41" t="s">
        <v>149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144</v>
      </c>
      <c r="G8" s="9">
        <v>-1100</v>
      </c>
      <c r="H8" s="9">
        <v>-1000</v>
      </c>
      <c r="I8" s="48">
        <v>0</v>
      </c>
      <c r="J8" s="21">
        <f t="shared" si="2"/>
        <v>17400</v>
      </c>
      <c r="K8" s="8" t="s">
        <v>145</v>
      </c>
      <c r="L8" s="9">
        <v>2800</v>
      </c>
      <c r="M8" s="9">
        <v>1000</v>
      </c>
      <c r="N8" s="48">
        <v>0</v>
      </c>
      <c r="O8" s="21">
        <f t="shared" si="3"/>
        <v>64000</v>
      </c>
      <c r="P8" s="8" t="s">
        <v>144</v>
      </c>
      <c r="Q8" s="9">
        <v>-1700</v>
      </c>
      <c r="R8" s="9"/>
      <c r="S8" s="48">
        <v>0</v>
      </c>
      <c r="T8" s="21">
        <f t="shared" si="4"/>
        <v>23600</v>
      </c>
      <c r="U8" s="53">
        <f>IF($J8="","",ROUND(($J8-$J$3)/1000,1)+(_xlfn.RANK.AVG($J8,($J8,$O8,$T8),1)-2)*20)</f>
        <v>-37.6</v>
      </c>
      <c r="V8" s="54">
        <f>IF($O8="","",ROUND(($O8-$O$3)/1000,1)+(_xlfn.RANK.AVG($O8,($J8,$O8,$T8),1)-2)*20)</f>
        <v>49</v>
      </c>
      <c r="W8" s="55">
        <f>IF($T8="","",ROUND(($T8-$T$3)/1000,1)+(_xlfn.RANK.AVG($T8,($J8,$O8,$T8),1)-2)*20)</f>
        <v>-11.4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147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17400</v>
      </c>
      <c r="K9" s="8" t="s">
        <v>154</v>
      </c>
      <c r="L9" s="9">
        <v>-2600</v>
      </c>
      <c r="M9" s="9">
        <v>-1000</v>
      </c>
      <c r="N9" s="48">
        <v>0</v>
      </c>
      <c r="O9" s="21">
        <f t="shared" si="3"/>
        <v>60400</v>
      </c>
      <c r="P9" s="8" t="s">
        <v>153</v>
      </c>
      <c r="Q9" s="9">
        <v>2600</v>
      </c>
      <c r="R9" s="9">
        <v>1000</v>
      </c>
      <c r="S9" s="48">
        <v>0</v>
      </c>
      <c r="T9" s="21">
        <f t="shared" si="4"/>
        <v>27200</v>
      </c>
      <c r="U9" s="53">
        <f>IF($J9="","",ROUND(($J9-$J$3)/1000,1)+(_xlfn.RANK.AVG($J9,($J9,$O9,$T9),1)-2)*20)</f>
        <v>-37.6</v>
      </c>
      <c r="V9" s="54">
        <f>IF($O9="","",ROUND(($O9-$O$3)/1000,1)+(_xlfn.RANK.AVG($O9,($J9,$O9,$T9),1)-2)*20)</f>
        <v>45.4</v>
      </c>
      <c r="W9" s="55">
        <f>IF($T9="","",ROUND(($T9-$T$3)/1000,1)+(_xlfn.RANK.AVG($T9,($J9,$O9,$T9),1)-2)*20)</f>
        <v>-7.8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147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144</v>
      </c>
      <c r="G10" s="9">
        <v>-1500</v>
      </c>
      <c r="H10" s="9"/>
      <c r="I10" s="48">
        <v>0</v>
      </c>
      <c r="J10" s="21">
        <f t="shared" si="2"/>
        <v>15900</v>
      </c>
      <c r="K10" s="8" t="s">
        <v>144</v>
      </c>
      <c r="L10" s="9">
        <v>-2500</v>
      </c>
      <c r="M10" s="9"/>
      <c r="N10" s="48">
        <v>0</v>
      </c>
      <c r="O10" s="21">
        <f t="shared" si="3"/>
        <v>57900</v>
      </c>
      <c r="P10" s="8" t="s">
        <v>145</v>
      </c>
      <c r="Q10" s="9">
        <v>4000</v>
      </c>
      <c r="R10" s="9"/>
      <c r="S10" s="48">
        <v>0</v>
      </c>
      <c r="T10" s="21">
        <f t="shared" si="4"/>
        <v>31200</v>
      </c>
      <c r="U10" s="53">
        <f>IF($J10="","",ROUND(($J10-$J$3)/1000,1)+(_xlfn.RANK.AVG($J10,($J10,$O10,$T10),1)-2)*20)</f>
        <v>-39.1</v>
      </c>
      <c r="V10" s="54">
        <f>IF($O10="","",ROUND(($O10-$O$3)/1000,1)+(_xlfn.RANK.AVG($O10,($J10,$O10,$T10),1)-2)*20)</f>
        <v>42.9</v>
      </c>
      <c r="W10" s="55">
        <f>IF($T10="","",ROUND(($T10-$T$3)/1000,1)+(_xlfn.RANK.AVG($T10,($J10,$O10,$T10),1)-2)*20)</f>
        <v>-3.8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30</v>
      </c>
      <c r="BU10" s="40" t="s">
        <v>147</v>
      </c>
      <c r="BV10" s="41" t="s">
        <v>82</v>
      </c>
      <c r="BW10" s="41" t="s">
        <v>149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154</v>
      </c>
      <c r="G11" s="9">
        <v>-12000</v>
      </c>
      <c r="H11" s="9">
        <v>-1000</v>
      </c>
      <c r="I11" s="48">
        <v>0</v>
      </c>
      <c r="J11" s="21">
        <f t="shared" si="2"/>
        <v>2900</v>
      </c>
      <c r="K11" s="8"/>
      <c r="L11" s="9"/>
      <c r="M11" s="9"/>
      <c r="N11" s="48"/>
      <c r="O11" s="21">
        <f t="shared" si="3"/>
        <v>57900</v>
      </c>
      <c r="P11" s="8" t="s">
        <v>153</v>
      </c>
      <c r="Q11" s="9">
        <v>12000</v>
      </c>
      <c r="R11" s="9">
        <v>1000</v>
      </c>
      <c r="S11" s="48">
        <v>0</v>
      </c>
      <c r="T11" s="21">
        <f t="shared" si="4"/>
        <v>44200</v>
      </c>
      <c r="U11" s="53">
        <f>IF($J11="","",ROUND(($J11-$J$3)/1000,1)+(_xlfn.RANK.AVG($J11,($J11,$O11,$T11),1)-2)*20)</f>
        <v>-52.1</v>
      </c>
      <c r="V11" s="54">
        <f>IF($O11="","",ROUND(($O11-$O$3)/1000,1)+(_xlfn.RANK.AVG($O11,($J11,$O11,$T11),1)-2)*20)</f>
        <v>42.9</v>
      </c>
      <c r="W11" s="55">
        <f>IF($T11="","",ROUND(($T11-$T$3)/1000,1)+(_xlfn.RANK.AVG($T11,($J11,$O11,$T11),1)-2)*20)</f>
        <v>9.1999999999999993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40</v>
      </c>
      <c r="BU11" s="40" t="s">
        <v>86</v>
      </c>
      <c r="BV11" s="41" t="s">
        <v>86</v>
      </c>
      <c r="BW11" s="41" t="s">
        <v>149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142</v>
      </c>
      <c r="F12" s="8" t="s">
        <v>154</v>
      </c>
      <c r="G12" s="9">
        <v>-12000</v>
      </c>
      <c r="H12" s="9"/>
      <c r="I12" s="48">
        <v>-1000</v>
      </c>
      <c r="J12" s="21">
        <f t="shared" si="2"/>
        <v>-10100</v>
      </c>
      <c r="K12" s="8" t="s">
        <v>153</v>
      </c>
      <c r="L12" s="9">
        <v>12000</v>
      </c>
      <c r="M12" s="9"/>
      <c r="N12" s="48">
        <v>1000</v>
      </c>
      <c r="O12" s="21">
        <f t="shared" si="3"/>
        <v>70900</v>
      </c>
      <c r="P12" s="8"/>
      <c r="Q12" s="9"/>
      <c r="R12" s="9"/>
      <c r="S12" s="48"/>
      <c r="T12" s="21">
        <f t="shared" si="4"/>
        <v>44200</v>
      </c>
      <c r="U12" s="53">
        <f>IF($J12="","",ROUND(($J12-$J$3)/1000,1)+(_xlfn.RANK.AVG($J12,($J12,$O12,$T12),1)-2)*20)</f>
        <v>-65.099999999999994</v>
      </c>
      <c r="V12" s="54">
        <f>IF($O12="","",ROUND(($O12-$O$3)/1000,1)+(_xlfn.RANK.AVG($O12,($J12,$O12,$T12),1)-2)*20)</f>
        <v>55.9</v>
      </c>
      <c r="W12" s="55">
        <f>IF($T12="","",ROUND(($T12-$T$3)/1000,1)+(_xlfn.RANK.AVG($T12,($J12,$O12,$T12),1)-2)*20)</f>
        <v>9.1999999999999993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146</v>
      </c>
      <c r="AZ12" s="40" t="s">
        <v>86</v>
      </c>
      <c r="BA12" s="41" t="s">
        <v>86</v>
      </c>
      <c r="BB12" s="41" t="s">
        <v>104</v>
      </c>
      <c r="BC12" s="41" t="s">
        <v>79</v>
      </c>
      <c r="BD12" s="41" t="s">
        <v>149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FCFD-7D91-4EE5-8866-5CA636754BB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156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たかの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/>
      <c r="G4" s="9"/>
      <c r="H4" s="9"/>
      <c r="I4" s="48"/>
      <c r="J4" s="21">
        <f>IF(COUNTA($F4,$K4,$P4)&gt;0,J3+SUM(G4:I4),"")</f>
        <v>35000</v>
      </c>
      <c r="K4" s="8" t="s">
        <v>153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154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98</v>
      </c>
      <c r="BA4" s="41" t="s">
        <v>86</v>
      </c>
      <c r="BB4" s="41" t="s">
        <v>149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144</v>
      </c>
      <c r="G5" s="9">
        <v>-2900</v>
      </c>
      <c r="H5" s="9"/>
      <c r="I5" s="48">
        <v>-500</v>
      </c>
      <c r="J5" s="21">
        <f t="shared" ref="J5:J30" si="2">IF(COUNTA($F5,$K5,$P5)&gt;0,J4+SUM(G5:I5),"")</f>
        <v>31600</v>
      </c>
      <c r="K5" s="8" t="s">
        <v>144</v>
      </c>
      <c r="L5" s="9">
        <v>-4800</v>
      </c>
      <c r="M5" s="9">
        <v>-1000</v>
      </c>
      <c r="N5" s="48">
        <v>-500</v>
      </c>
      <c r="O5" s="21">
        <f t="shared" ref="O5:O30" si="3">IF(COUNTA($F5,$K5,$P5)&gt;0,O4+SUM(L5:N5),"")</f>
        <v>40700</v>
      </c>
      <c r="P5" s="8" t="s">
        <v>145</v>
      </c>
      <c r="Q5" s="9">
        <v>7700</v>
      </c>
      <c r="R5" s="9">
        <v>1000</v>
      </c>
      <c r="S5" s="48">
        <v>1000</v>
      </c>
      <c r="T5" s="21">
        <f t="shared" ref="T5:T30" si="4">IF(COUNTA($F5,$K5,$P5)&gt;0,T4+SUM(Q5:S5),"")</f>
        <v>32700</v>
      </c>
      <c r="U5" s="53">
        <f>IF($J5="","",ROUND(($J5-$J$3)/1000,1)+(_xlfn.RANK.AVG($J5,($J5,$O5,$T5),1)-2)*20)</f>
        <v>-23.4</v>
      </c>
      <c r="V5" s="54">
        <f>IF($O5="","",ROUND(($O5-$O$3)/1000,1)+(_xlfn.RANK.AVG($O5,($J5,$O5,$T5),1)-2)*20)</f>
        <v>25.7</v>
      </c>
      <c r="W5" s="55">
        <f>IF($T5="","",ROUND(($T5-$T$3)/1000,1)+(_xlfn.RANK.AVG($T5,($J5,$O5,$T5),1)-2)*20)</f>
        <v>-2.2999999999999998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144</v>
      </c>
      <c r="G6" s="9">
        <v>-2900</v>
      </c>
      <c r="H6" s="9"/>
      <c r="I6" s="48">
        <v>0</v>
      </c>
      <c r="J6" s="21">
        <f t="shared" si="2"/>
        <v>28700</v>
      </c>
      <c r="K6" s="8" t="s">
        <v>145</v>
      </c>
      <c r="L6" s="9">
        <v>7700</v>
      </c>
      <c r="M6" s="9"/>
      <c r="N6" s="48">
        <v>0</v>
      </c>
      <c r="O6" s="21">
        <f t="shared" si="3"/>
        <v>48400</v>
      </c>
      <c r="P6" s="8" t="s">
        <v>144</v>
      </c>
      <c r="Q6" s="9">
        <v>-4800</v>
      </c>
      <c r="R6" s="9"/>
      <c r="S6" s="48">
        <v>0</v>
      </c>
      <c r="T6" s="21">
        <f t="shared" si="4"/>
        <v>27900</v>
      </c>
      <c r="U6" s="53">
        <f>IF($J6="","",ROUND(($J6-$J$3)/1000,1)+(_xlfn.RANK.AVG($J6,($J6,$O6,$T6),1)-2)*20)</f>
        <v>-6.3</v>
      </c>
      <c r="V6" s="54">
        <f>IF($O6="","",ROUND(($O6-$O$3)/1000,1)+(_xlfn.RANK.AVG($O6,($J6,$O6,$T6),1)-2)*20)</f>
        <v>33.4</v>
      </c>
      <c r="W6" s="55">
        <f>IF($T6="","",ROUND(($T6-$T$3)/1000,1)+(_xlfn.RANK.AVG($T6,($J6,$O6,$T6),1)-2)*20)</f>
        <v>-27.1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104</v>
      </c>
      <c r="BA6" s="41" t="s">
        <v>86</v>
      </c>
      <c r="BB6" s="41" t="s">
        <v>149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145</v>
      </c>
      <c r="G7" s="9">
        <v>11600</v>
      </c>
      <c r="H7" s="9"/>
      <c r="I7" s="48">
        <v>0</v>
      </c>
      <c r="J7" s="21">
        <f t="shared" si="2"/>
        <v>40300</v>
      </c>
      <c r="K7" s="8" t="s">
        <v>144</v>
      </c>
      <c r="L7" s="9">
        <v>-5800</v>
      </c>
      <c r="M7" s="9"/>
      <c r="N7" s="48">
        <v>0</v>
      </c>
      <c r="O7" s="21">
        <f t="shared" si="3"/>
        <v>42600</v>
      </c>
      <c r="P7" s="8" t="s">
        <v>144</v>
      </c>
      <c r="Q7" s="9">
        <v>-5800</v>
      </c>
      <c r="R7" s="9"/>
      <c r="S7" s="48">
        <v>0</v>
      </c>
      <c r="T7" s="21">
        <f t="shared" si="4"/>
        <v>22100</v>
      </c>
      <c r="U7" s="53">
        <f>IF($J7="","",ROUND(($J7-$J$3)/1000,1)+(_xlfn.RANK.AVG($J7,($J7,$O7,$T7),1)-2)*20)</f>
        <v>5.3</v>
      </c>
      <c r="V7" s="54">
        <f>IF($O7="","",ROUND(($O7-$O$3)/1000,1)+(_xlfn.RANK.AVG($O7,($J7,$O7,$T7),1)-2)*20)</f>
        <v>27.6</v>
      </c>
      <c r="W7" s="55">
        <f>IF($T7="","",ROUND(($T7-$T$3)/1000,1)+(_xlfn.RANK.AVG($T7,($J7,$O7,$T7),1)-2)*20)</f>
        <v>-32.9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147</v>
      </c>
      <c r="AF7" s="41" t="s">
        <v>82</v>
      </c>
      <c r="AG7" s="41" t="s">
        <v>85</v>
      </c>
      <c r="AH7" s="41" t="s">
        <v>149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138</v>
      </c>
      <c r="F8" s="8" t="s">
        <v>145</v>
      </c>
      <c r="G8" s="9">
        <v>3000</v>
      </c>
      <c r="H8" s="9">
        <v>1000</v>
      </c>
      <c r="I8" s="48">
        <v>1000</v>
      </c>
      <c r="J8" s="21">
        <f t="shared" si="2"/>
        <v>45300</v>
      </c>
      <c r="K8" s="8" t="s">
        <v>144</v>
      </c>
      <c r="L8" s="9">
        <v>-1500</v>
      </c>
      <c r="M8" s="9">
        <v>-1000</v>
      </c>
      <c r="N8" s="48">
        <v>-500</v>
      </c>
      <c r="O8" s="21">
        <f t="shared" si="3"/>
        <v>39600</v>
      </c>
      <c r="P8" s="8" t="s">
        <v>144</v>
      </c>
      <c r="Q8" s="9">
        <v>-1500</v>
      </c>
      <c r="R8" s="9"/>
      <c r="S8" s="48">
        <v>-500</v>
      </c>
      <c r="T8" s="21">
        <f t="shared" si="4"/>
        <v>20100</v>
      </c>
      <c r="U8" s="53">
        <f>IF($J8="","",ROUND(($J8-$J$3)/1000,1)+(_xlfn.RANK.AVG($J8,($J8,$O8,$T8),1)-2)*20)</f>
        <v>30.3</v>
      </c>
      <c r="V8" s="54">
        <f>IF($O8="","",ROUND(($O8-$O$3)/1000,1)+(_xlfn.RANK.AVG($O8,($J8,$O8,$T8),1)-2)*20)</f>
        <v>4.5999999999999996</v>
      </c>
      <c r="W8" s="55">
        <f>IF($T8="","",ROUND(($T8-$T$3)/1000,1)+(_xlfn.RANK.AVG($T8,($J8,$O8,$T8),1)-2)*20)</f>
        <v>-34.9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149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138</v>
      </c>
      <c r="F9" s="8" t="s">
        <v>153</v>
      </c>
      <c r="G9" s="9">
        <v>11600</v>
      </c>
      <c r="H9" s="9">
        <v>1000</v>
      </c>
      <c r="I9" s="48">
        <v>2000</v>
      </c>
      <c r="J9" s="21">
        <f t="shared" si="2"/>
        <v>59900</v>
      </c>
      <c r="K9" s="8" t="s">
        <v>154</v>
      </c>
      <c r="L9" s="9">
        <v>-11600</v>
      </c>
      <c r="M9" s="9">
        <v>-1000</v>
      </c>
      <c r="N9" s="48">
        <v>-2000</v>
      </c>
      <c r="O9" s="21">
        <f t="shared" si="3"/>
        <v>25000</v>
      </c>
      <c r="P9" s="8"/>
      <c r="Q9" s="9"/>
      <c r="R9" s="9"/>
      <c r="S9" s="48"/>
      <c r="T9" s="21">
        <f t="shared" si="4"/>
        <v>20100</v>
      </c>
      <c r="U9" s="53">
        <f>IF($J9="","",ROUND(($J9-$J$3)/1000,1)+(_xlfn.RANK.AVG($J9,($J9,$O9,$T9),1)-2)*20)</f>
        <v>44.9</v>
      </c>
      <c r="V9" s="54">
        <f>IF($O9="","",ROUND(($O9-$O$3)/1000,1)+(_xlfn.RANK.AVG($O9,($J9,$O9,$T9),1)-2)*20)</f>
        <v>-10</v>
      </c>
      <c r="W9" s="55">
        <f>IF($T9="","",ROUND(($T9-$T$3)/1000,1)+(_xlfn.RANK.AVG($T9,($J9,$O9,$T9),1)-2)*20)</f>
        <v>-34.9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147</v>
      </c>
      <c r="AF9" s="41" t="s">
        <v>83</v>
      </c>
      <c r="AG9" s="41" t="s">
        <v>79</v>
      </c>
      <c r="AH9" s="41" t="s">
        <v>149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138</v>
      </c>
      <c r="F10" s="8" t="s">
        <v>144</v>
      </c>
      <c r="G10" s="9">
        <v>-1700</v>
      </c>
      <c r="H10" s="9"/>
      <c r="I10" s="48">
        <v>-1500</v>
      </c>
      <c r="J10" s="21">
        <f t="shared" si="2"/>
        <v>56700</v>
      </c>
      <c r="K10" s="8" t="s">
        <v>144</v>
      </c>
      <c r="L10" s="9">
        <v>-1100</v>
      </c>
      <c r="M10" s="9"/>
      <c r="N10" s="48">
        <v>-1500</v>
      </c>
      <c r="O10" s="21">
        <f t="shared" si="3"/>
        <v>22400</v>
      </c>
      <c r="P10" s="8" t="s">
        <v>145</v>
      </c>
      <c r="Q10" s="9">
        <v>2800</v>
      </c>
      <c r="R10" s="9"/>
      <c r="S10" s="48">
        <v>3000</v>
      </c>
      <c r="T10" s="21">
        <f t="shared" si="4"/>
        <v>25900</v>
      </c>
      <c r="U10" s="53">
        <f>IF($J10="","",ROUND(($J10-$J$3)/1000,1)+(_xlfn.RANK.AVG($J10,($J10,$O10,$T10),1)-2)*20)</f>
        <v>41.7</v>
      </c>
      <c r="V10" s="54">
        <f>IF($O10="","",ROUND(($O10-$O$3)/1000,1)+(_xlfn.RANK.AVG($O10,($J10,$O10,$T10),1)-2)*20)</f>
        <v>-32.6</v>
      </c>
      <c r="W10" s="55">
        <f>IF($T10="","",ROUND(($T10-$T$3)/1000,1)+(_xlfn.RANK.AVG($T10,($J10,$O10,$T10),1)-2)*20)</f>
        <v>-9.1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20</v>
      </c>
      <c r="BU10" s="40" t="s">
        <v>82</v>
      </c>
      <c r="BV10" s="41" t="s">
        <v>83</v>
      </c>
      <c r="BW10" s="41" t="s">
        <v>149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155</v>
      </c>
      <c r="F11" s="8" t="s">
        <v>144</v>
      </c>
      <c r="G11" s="9">
        <v>-6000</v>
      </c>
      <c r="H11" s="9"/>
      <c r="I11" s="48">
        <v>0</v>
      </c>
      <c r="J11" s="21">
        <f t="shared" si="2"/>
        <v>50700</v>
      </c>
      <c r="K11" s="8" t="s">
        <v>145</v>
      </c>
      <c r="L11" s="9">
        <v>12000</v>
      </c>
      <c r="M11" s="9"/>
      <c r="N11" s="48">
        <v>0</v>
      </c>
      <c r="O11" s="21">
        <f t="shared" si="3"/>
        <v>34400</v>
      </c>
      <c r="P11" s="8" t="s">
        <v>144</v>
      </c>
      <c r="Q11" s="9">
        <v>-6000</v>
      </c>
      <c r="R11" s="9"/>
      <c r="S11" s="48">
        <v>0</v>
      </c>
      <c r="T11" s="21">
        <f t="shared" si="4"/>
        <v>19900</v>
      </c>
      <c r="U11" s="53">
        <f>IF($J11="","",ROUND(($J11-$J$3)/1000,1)+(_xlfn.RANK.AVG($J11,($J11,$O11,$T11),1)-2)*20)</f>
        <v>35.700000000000003</v>
      </c>
      <c r="V11" s="54">
        <f>IF($O11="","",ROUND(($O11-$O$3)/1000,1)+(_xlfn.RANK.AVG($O11,($J11,$O11,$T11),1)-2)*20)</f>
        <v>-0.6</v>
      </c>
      <c r="W11" s="55">
        <f>IF($T11="","",ROUND(($T11-$T$3)/1000,1)+(_xlfn.RANK.AVG($T11,($J11,$O11,$T11),1)-2)*20)</f>
        <v>-35.1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146</v>
      </c>
      <c r="AZ11" s="40" t="s">
        <v>147</v>
      </c>
      <c r="BA11" s="41" t="s">
        <v>82</v>
      </c>
      <c r="BB11" s="41" t="s">
        <v>83</v>
      </c>
      <c r="BC11" s="41" t="s">
        <v>79</v>
      </c>
      <c r="BD11" s="41" t="s">
        <v>149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155</v>
      </c>
      <c r="F12" s="8" t="s">
        <v>154</v>
      </c>
      <c r="G12" s="9">
        <v>-18000</v>
      </c>
      <c r="H12" s="9"/>
      <c r="I12" s="48">
        <v>-1000</v>
      </c>
      <c r="J12" s="21">
        <f t="shared" si="2"/>
        <v>31700</v>
      </c>
      <c r="K12" s="8" t="s">
        <v>153</v>
      </c>
      <c r="L12" s="9">
        <v>18000</v>
      </c>
      <c r="M12" s="9"/>
      <c r="N12" s="48">
        <v>1000</v>
      </c>
      <c r="O12" s="21">
        <f t="shared" si="3"/>
        <v>53400</v>
      </c>
      <c r="P12" s="8"/>
      <c r="Q12" s="9"/>
      <c r="R12" s="9"/>
      <c r="S12" s="48"/>
      <c r="T12" s="21">
        <f t="shared" si="4"/>
        <v>19900</v>
      </c>
      <c r="U12" s="53">
        <f>IF($J12="","",ROUND(($J12-$J$3)/1000,1)+(_xlfn.RANK.AVG($J12,($J12,$O12,$T12),1)-2)*20)</f>
        <v>-3.3</v>
      </c>
      <c r="V12" s="54">
        <f>IF($O12="","",ROUND(($O12-$O$3)/1000,1)+(_xlfn.RANK.AVG($O12,($J12,$O12,$T12),1)-2)*20)</f>
        <v>38.4</v>
      </c>
      <c r="W12" s="55">
        <f>IF($T12="","",ROUND(($T12-$T$3)/1000,1)+(_xlfn.RANK.AVG($T12,($J12,$O12,$T12),1)-2)*20)</f>
        <v>-35.1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146</v>
      </c>
      <c r="AZ12" s="40" t="s">
        <v>147</v>
      </c>
      <c r="BA12" s="41" t="s">
        <v>96</v>
      </c>
      <c r="BB12" s="41" t="s">
        <v>86</v>
      </c>
      <c r="BC12" s="41" t="s">
        <v>149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155</v>
      </c>
      <c r="F13" s="8" t="s">
        <v>144</v>
      </c>
      <c r="G13" s="9">
        <v>-3000</v>
      </c>
      <c r="H13" s="9"/>
      <c r="I13" s="48">
        <v>-1000</v>
      </c>
      <c r="J13" s="21">
        <f t="shared" si="2"/>
        <v>27700</v>
      </c>
      <c r="K13" s="8" t="s">
        <v>145</v>
      </c>
      <c r="L13" s="9">
        <v>6000</v>
      </c>
      <c r="M13" s="9"/>
      <c r="N13" s="48">
        <v>2000</v>
      </c>
      <c r="O13" s="21">
        <f t="shared" si="3"/>
        <v>61400</v>
      </c>
      <c r="P13" s="8" t="s">
        <v>144</v>
      </c>
      <c r="Q13" s="9">
        <v>-3000</v>
      </c>
      <c r="R13" s="9"/>
      <c r="S13" s="48">
        <v>-1000</v>
      </c>
      <c r="T13" s="21">
        <f t="shared" si="4"/>
        <v>15900</v>
      </c>
      <c r="U13" s="53">
        <f>IF($J13="","",ROUND(($J13-$J$3)/1000,1)+(_xlfn.RANK.AVG($J13,($J13,$O13,$T13),1)-2)*20)</f>
        <v>-7.3</v>
      </c>
      <c r="V13" s="54">
        <f>IF($O13="","",ROUND(($O13-$O$3)/1000,1)+(_xlfn.RANK.AVG($O13,($J13,$O13,$T13),1)-2)*20)</f>
        <v>46.4</v>
      </c>
      <c r="W13" s="55">
        <f>IF($T13="","",ROUND(($T13-$T$3)/1000,1)+(_xlfn.RANK.AVG($T13,($J13,$O13,$T13),1)-2)*20)</f>
        <v>-39.1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86</v>
      </c>
      <c r="BA13" s="41" t="s">
        <v>149</v>
      </c>
      <c r="BB13" s="41" t="s">
        <v>149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3</v>
      </c>
      <c r="D14" s="18">
        <f t="shared" si="1"/>
        <v>0</v>
      </c>
      <c r="E14" s="4" t="s">
        <v>155</v>
      </c>
      <c r="F14" s="8" t="s">
        <v>145</v>
      </c>
      <c r="G14" s="9">
        <v>12000</v>
      </c>
      <c r="H14" s="9"/>
      <c r="I14" s="48">
        <v>3000</v>
      </c>
      <c r="J14" s="21">
        <f t="shared" si="2"/>
        <v>42700</v>
      </c>
      <c r="K14" s="8" t="s">
        <v>144</v>
      </c>
      <c r="L14" s="9">
        <v>-7500</v>
      </c>
      <c r="M14" s="9"/>
      <c r="N14" s="48">
        <v>-1500</v>
      </c>
      <c r="O14" s="21">
        <f t="shared" si="3"/>
        <v>52400</v>
      </c>
      <c r="P14" s="8" t="s">
        <v>144</v>
      </c>
      <c r="Q14" s="9">
        <v>-4500</v>
      </c>
      <c r="R14" s="9"/>
      <c r="S14" s="48">
        <v>-1500</v>
      </c>
      <c r="T14" s="21">
        <f t="shared" si="4"/>
        <v>9900</v>
      </c>
      <c r="U14" s="53">
        <f>IF($J14="","",ROUND(($J14-$J$3)/1000,1)+(_xlfn.RANK.AVG($J14,($J14,$O14,$T14),1)-2)*20)</f>
        <v>7.7</v>
      </c>
      <c r="V14" s="54">
        <f>IF($O14="","",ROUND(($O14-$O$3)/1000,1)+(_xlfn.RANK.AVG($O14,($J14,$O14,$T14),1)-2)*20)</f>
        <v>37.4</v>
      </c>
      <c r="W14" s="55">
        <f>IF($T14="","",ROUND(($T14-$T$3)/1000,1)+(_xlfn.RANK.AVG($T14,($J14,$O14,$T14),1)-2)*20)</f>
        <v>-45.1</v>
      </c>
      <c r="Y14" s="8"/>
      <c r="Z14" s="34"/>
      <c r="AA14" s="26">
        <v>1</v>
      </c>
      <c r="AB14" s="26"/>
      <c r="AC14" s="26">
        <v>6</v>
      </c>
      <c r="AD14" s="30" t="s">
        <v>146</v>
      </c>
      <c r="AE14" s="40" t="s">
        <v>147</v>
      </c>
      <c r="AF14" s="41" t="s">
        <v>82</v>
      </c>
      <c r="AG14" s="41" t="s">
        <v>79</v>
      </c>
      <c r="AH14" s="41" t="s">
        <v>79</v>
      </c>
      <c r="AI14" s="41" t="s">
        <v>86</v>
      </c>
      <c r="AJ14" s="41" t="s">
        <v>80</v>
      </c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142</v>
      </c>
      <c r="F15" s="8" t="s">
        <v>144</v>
      </c>
      <c r="G15" s="9">
        <v>-5800</v>
      </c>
      <c r="H15" s="9"/>
      <c r="I15" s="48">
        <v>0</v>
      </c>
      <c r="J15" s="21">
        <f t="shared" si="2"/>
        <v>36900</v>
      </c>
      <c r="K15" s="8" t="s">
        <v>144</v>
      </c>
      <c r="L15" s="9">
        <v>-5800</v>
      </c>
      <c r="M15" s="9"/>
      <c r="N15" s="48">
        <v>0</v>
      </c>
      <c r="O15" s="21">
        <f t="shared" si="3"/>
        <v>46600</v>
      </c>
      <c r="P15" s="8" t="s">
        <v>145</v>
      </c>
      <c r="Q15" s="9">
        <v>11600</v>
      </c>
      <c r="R15" s="9"/>
      <c r="S15" s="48">
        <v>0</v>
      </c>
      <c r="T15" s="21">
        <f t="shared" si="4"/>
        <v>21500</v>
      </c>
      <c r="U15" s="53">
        <f>IF($J15="","",ROUND(($J15-$J$3)/1000,1)+(_xlfn.RANK.AVG($J15,($J15,$O15,$T15),1)-2)*20)</f>
        <v>1.9</v>
      </c>
      <c r="V15" s="54">
        <f>IF($O15="","",ROUND(($O15-$O$3)/1000,1)+(_xlfn.RANK.AVG($O15,($J15,$O15,$T15),1)-2)*20)</f>
        <v>31.6</v>
      </c>
      <c r="W15" s="55">
        <f>IF($T15="","",ROUND(($T15-$T$3)/1000,1)+(_xlfn.RANK.AVG($T15,($J15,$O15,$T15),1)-2)*20)</f>
        <v>-33.5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4</v>
      </c>
      <c r="BT15" s="30">
        <v>30</v>
      </c>
      <c r="BU15" s="40" t="s">
        <v>147</v>
      </c>
      <c r="BV15" s="41" t="s">
        <v>82</v>
      </c>
      <c r="BW15" s="41" t="s">
        <v>149</v>
      </c>
      <c r="BX15" s="41" t="s">
        <v>79</v>
      </c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142</v>
      </c>
      <c r="F16" s="8" t="s">
        <v>157</v>
      </c>
      <c r="G16" s="9">
        <v>1500</v>
      </c>
      <c r="H16" s="9">
        <v>-1000</v>
      </c>
      <c r="I16" s="48"/>
      <c r="J16" s="21">
        <f t="shared" si="2"/>
        <v>37400</v>
      </c>
      <c r="K16" s="8" t="s">
        <v>157</v>
      </c>
      <c r="L16" s="9">
        <v>-3000</v>
      </c>
      <c r="M16" s="9"/>
      <c r="N16" s="48"/>
      <c r="O16" s="21">
        <f t="shared" si="3"/>
        <v>43600</v>
      </c>
      <c r="P16" s="8" t="s">
        <v>157</v>
      </c>
      <c r="Q16" s="9">
        <v>1500</v>
      </c>
      <c r="R16" s="9">
        <v>-1000</v>
      </c>
      <c r="S16" s="48"/>
      <c r="T16" s="21">
        <f t="shared" si="4"/>
        <v>22000</v>
      </c>
      <c r="U16" s="53">
        <f>IF($J16="","",ROUND(($J16-$J$3)/1000,1)+(_xlfn.RANK.AVG($J16,($J16,$O16,$T16),1)-2)*20)</f>
        <v>2.4</v>
      </c>
      <c r="V16" s="54">
        <f>IF($O16="","",ROUND(($O16-$O$3)/1000,1)+(_xlfn.RANK.AVG($O16,($J16,$O16,$T16),1)-2)*20)</f>
        <v>28.6</v>
      </c>
      <c r="W16" s="55">
        <f>IF($T16="","",ROUND(($T16-$T$3)/1000,1)+(_xlfn.RANK.AVG($T16,($J16,$O16,$T16),1)-2)*20)</f>
        <v>-33</v>
      </c>
      <c r="Y16" s="8" t="s">
        <v>151</v>
      </c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150</v>
      </c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151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2</v>
      </c>
      <c r="D17" s="18">
        <f t="shared" si="1"/>
        <v>2</v>
      </c>
      <c r="E17" s="4" t="s">
        <v>142</v>
      </c>
      <c r="F17" s="8" t="s">
        <v>144</v>
      </c>
      <c r="G17" s="9">
        <v>-800</v>
      </c>
      <c r="H17" s="9"/>
      <c r="I17" s="48">
        <v>-1000</v>
      </c>
      <c r="J17" s="21">
        <f t="shared" si="2"/>
        <v>35600</v>
      </c>
      <c r="K17" s="8" t="s">
        <v>144</v>
      </c>
      <c r="L17" s="9">
        <v>-800</v>
      </c>
      <c r="M17" s="9"/>
      <c r="N17" s="48">
        <v>-1000</v>
      </c>
      <c r="O17" s="21">
        <f t="shared" si="3"/>
        <v>41800</v>
      </c>
      <c r="P17" s="8" t="s">
        <v>145</v>
      </c>
      <c r="Q17" s="9">
        <v>1600</v>
      </c>
      <c r="R17" s="9">
        <v>2000</v>
      </c>
      <c r="S17" s="48">
        <v>2000</v>
      </c>
      <c r="T17" s="21">
        <f t="shared" si="4"/>
        <v>27600</v>
      </c>
      <c r="U17" s="53">
        <f>IF($J17="","",ROUND(($J17-$J$3)/1000,1)+(_xlfn.RANK.AVG($J17,($J17,$O17,$T17),1)-2)*20)</f>
        <v>0.6</v>
      </c>
      <c r="V17" s="54">
        <f>IF($O17="","",ROUND(($O17-$O$3)/1000,1)+(_xlfn.RANK.AVG($O17,($J17,$O17,$T17),1)-2)*20)</f>
        <v>26.8</v>
      </c>
      <c r="W17" s="55">
        <f>IF($T17="","",ROUND(($T17-$T$3)/1000,1)+(_xlfn.RANK.AVG($T17,($J17,$O17,$T17),1)-2)*20)</f>
        <v>-27.4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>
        <v>1</v>
      </c>
      <c r="BT17" s="30">
        <v>30</v>
      </c>
      <c r="BU17" s="40" t="s">
        <v>86</v>
      </c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3</v>
      </c>
      <c r="D18" s="18">
        <f t="shared" si="1"/>
        <v>0</v>
      </c>
      <c r="E18" s="4" t="s">
        <v>142</v>
      </c>
      <c r="F18" s="8"/>
      <c r="G18" s="9"/>
      <c r="H18" s="9"/>
      <c r="I18" s="48"/>
      <c r="J18" s="21">
        <f t="shared" si="2"/>
        <v>35600</v>
      </c>
      <c r="K18" s="8" t="s">
        <v>154</v>
      </c>
      <c r="L18" s="9">
        <v>-5800</v>
      </c>
      <c r="M18" s="9"/>
      <c r="N18" s="48">
        <v>-3000</v>
      </c>
      <c r="O18" s="21">
        <f t="shared" si="3"/>
        <v>33000</v>
      </c>
      <c r="P18" s="8" t="s">
        <v>153</v>
      </c>
      <c r="Q18" s="9">
        <v>5800</v>
      </c>
      <c r="R18" s="9"/>
      <c r="S18" s="48">
        <v>3000</v>
      </c>
      <c r="T18" s="21">
        <f t="shared" si="4"/>
        <v>36400</v>
      </c>
      <c r="U18" s="53">
        <f>IF($J18="","",ROUND(($J18-$J$3)/1000,1)+(_xlfn.RANK.AVG($J18,($J18,$O18,$T18),1)-2)*20)</f>
        <v>0.6</v>
      </c>
      <c r="V18" s="54">
        <f>IF($O18="","",ROUND(($O18-$O$3)/1000,1)+(_xlfn.RANK.AVG($O18,($J18,$O18,$T18),1)-2)*20)</f>
        <v>-22</v>
      </c>
      <c r="W18" s="55">
        <f>IF($T18="","",ROUND(($T18-$T$3)/1000,1)+(_xlfn.RANK.AVG($T18,($J18,$O18,$T18),1)-2)*20)</f>
        <v>21.4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>
        <v>1</v>
      </c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>
        <v>3</v>
      </c>
      <c r="BT18" s="30">
        <v>30</v>
      </c>
      <c r="BU18" s="40" t="s">
        <v>83</v>
      </c>
      <c r="BV18" s="41" t="s">
        <v>79</v>
      </c>
      <c r="BW18" s="41" t="s">
        <v>149</v>
      </c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2</v>
      </c>
      <c r="C19" s="18">
        <f t="shared" si="6"/>
        <v>4</v>
      </c>
      <c r="D19" s="18">
        <f t="shared" si="1"/>
        <v>0</v>
      </c>
      <c r="E19" s="4" t="s">
        <v>142</v>
      </c>
      <c r="F19" s="8" t="s">
        <v>145</v>
      </c>
      <c r="G19" s="9">
        <v>8000</v>
      </c>
      <c r="H19" s="9">
        <v>1000</v>
      </c>
      <c r="I19" s="48">
        <v>4000</v>
      </c>
      <c r="J19" s="21">
        <f t="shared" si="2"/>
        <v>48600</v>
      </c>
      <c r="K19" s="8" t="s">
        <v>144</v>
      </c>
      <c r="L19" s="9">
        <v>-3000</v>
      </c>
      <c r="M19" s="9"/>
      <c r="N19" s="48">
        <v>-2000</v>
      </c>
      <c r="O19" s="21">
        <f t="shared" si="3"/>
        <v>28000</v>
      </c>
      <c r="P19" s="8" t="s">
        <v>144</v>
      </c>
      <c r="Q19" s="9">
        <v>-5000</v>
      </c>
      <c r="R19" s="9">
        <v>-1000</v>
      </c>
      <c r="S19" s="48">
        <v>-2000</v>
      </c>
      <c r="T19" s="21">
        <f t="shared" si="4"/>
        <v>28400</v>
      </c>
      <c r="U19" s="53">
        <f>IF($J19="","",ROUND(($J19-$J$3)/1000,1)+(_xlfn.RANK.AVG($J19,($J19,$O19,$T19),1)-2)*20)</f>
        <v>33.6</v>
      </c>
      <c r="V19" s="54">
        <f>IF($O19="","",ROUND(($O19-$O$3)/1000,1)+(_xlfn.RANK.AVG($O19,($J19,$O19,$T19),1)-2)*20)</f>
        <v>-27</v>
      </c>
      <c r="W19" s="55">
        <f>IF($T19="","",ROUND(($T19-$T$3)/1000,1)+(_xlfn.RANK.AVG($T19,($J19,$O19,$T19),1)-2)*20)</f>
        <v>-6.6</v>
      </c>
      <c r="Y19" s="8"/>
      <c r="Z19" s="34"/>
      <c r="AA19" s="26">
        <v>1</v>
      </c>
      <c r="AB19" s="26"/>
      <c r="AC19" s="26">
        <v>5</v>
      </c>
      <c r="AD19" s="30" t="s">
        <v>146</v>
      </c>
      <c r="AE19" s="40" t="s">
        <v>147</v>
      </c>
      <c r="AF19" s="41" t="s">
        <v>82</v>
      </c>
      <c r="AG19" s="41" t="s">
        <v>83</v>
      </c>
      <c r="AH19" s="41" t="s">
        <v>79</v>
      </c>
      <c r="AI19" s="41" t="s">
        <v>80</v>
      </c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>南</v>
      </c>
      <c r="B20" s="18">
        <f t="shared" si="5"/>
        <v>3</v>
      </c>
      <c r="C20" s="18">
        <f t="shared" si="6"/>
        <v>0</v>
      </c>
      <c r="D20" s="18">
        <f t="shared" si="1"/>
        <v>0</v>
      </c>
      <c r="E20" s="4" t="s">
        <v>138</v>
      </c>
      <c r="F20" s="8" t="s">
        <v>154</v>
      </c>
      <c r="G20" s="9">
        <v>-2000</v>
      </c>
      <c r="H20" s="9"/>
      <c r="I20" s="48">
        <v>0</v>
      </c>
      <c r="J20" s="21">
        <f t="shared" si="2"/>
        <v>46600</v>
      </c>
      <c r="K20" s="8"/>
      <c r="L20" s="9"/>
      <c r="M20" s="9"/>
      <c r="N20" s="48"/>
      <c r="O20" s="21">
        <f t="shared" si="3"/>
        <v>28000</v>
      </c>
      <c r="P20" s="8" t="s">
        <v>153</v>
      </c>
      <c r="Q20" s="9">
        <v>2000</v>
      </c>
      <c r="R20" s="9"/>
      <c r="S20" s="48">
        <v>0</v>
      </c>
      <c r="T20" s="21">
        <f t="shared" si="4"/>
        <v>30400</v>
      </c>
      <c r="U20" s="53">
        <f>IF($J20="","",ROUND(($J20-$J$3)/1000,1)+(_xlfn.RANK.AVG($J20,($J20,$O20,$T20),1)-2)*20)</f>
        <v>31.6</v>
      </c>
      <c r="V20" s="54">
        <f>IF($O20="","",ROUND(($O20-$O$3)/1000,1)+(_xlfn.RANK.AVG($O20,($J20,$O20,$T20),1)-2)*20)</f>
        <v>-27</v>
      </c>
      <c r="W20" s="55">
        <f>IF($T20="","",ROUND(($T20-$T$3)/1000,1)+(_xlfn.RANK.AVG($T20,($J20,$O20,$T20),1)-2)*20)</f>
        <v>-4.5999999999999996</v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>
        <v>1</v>
      </c>
      <c r="BS20" s="26">
        <v>2</v>
      </c>
      <c r="BT20" s="30">
        <v>30</v>
      </c>
      <c r="BU20" s="40" t="s">
        <v>86</v>
      </c>
      <c r="BV20" s="41" t="s">
        <v>79</v>
      </c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4756D77F-50B3-4CC5-9BE2-5E3B38C923B6}">
      <formula1>"ロン,ツモ,放銃,ツモ支払,流局,チョンボ"</formula1>
    </dataValidation>
    <dataValidation type="list" allowBlank="1" showInputMessage="1" showErrorMessage="1" sqref="E4:E30" xr:uid="{306AAB09-9BE1-43E4-9C63-E9A11ACDFCF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7964-CEFC-4A12-B659-357E7BE85E9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161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ぱぱ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158</v>
      </c>
      <c r="F4" s="8" t="s">
        <v>144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145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144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IF($J4="","",ROUND(($J4-$J$3)/1000,1)+(_xlfn.RANK.AVG($J4,($J4,$O4,$T4),1)-2)*20)</f>
        <v>-27.5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146</v>
      </c>
      <c r="AZ4" s="40" t="s">
        <v>147</v>
      </c>
      <c r="BA4" s="41" t="s">
        <v>82</v>
      </c>
      <c r="BB4" s="41" t="s">
        <v>83</v>
      </c>
      <c r="BC4" s="41" t="s">
        <v>85</v>
      </c>
      <c r="BD4" s="41" t="s">
        <v>149</v>
      </c>
      <c r="BE4" s="41" t="s">
        <v>79</v>
      </c>
      <c r="BF4" s="41" t="s">
        <v>79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154</v>
      </c>
      <c r="G5" s="9">
        <v>-8000</v>
      </c>
      <c r="H5" s="9"/>
      <c r="I5" s="48">
        <v>0</v>
      </c>
      <c r="J5" s="21">
        <f t="shared" ref="J5:J30" si="2">IF(COUNTA($F5,$K5,$P5)&gt;0,J4+SUM(G5:I5),"")</f>
        <v>19500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153</v>
      </c>
      <c r="Q5" s="9">
        <v>8000</v>
      </c>
      <c r="R5" s="9"/>
      <c r="S5" s="48">
        <v>0</v>
      </c>
      <c r="T5" s="21">
        <f t="shared" ref="T5:T30" si="4">IF(COUNTA($F5,$K5,$P5)&gt;0,T4+SUM(Q5:S5),"")</f>
        <v>38500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3.5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146</v>
      </c>
      <c r="BU5" s="40" t="s">
        <v>147</v>
      </c>
      <c r="BV5" s="41" t="s">
        <v>92</v>
      </c>
      <c r="BW5" s="41" t="s">
        <v>149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160</v>
      </c>
      <c r="F6" s="8" t="s">
        <v>153</v>
      </c>
      <c r="G6" s="9">
        <v>2600</v>
      </c>
      <c r="H6" s="9"/>
      <c r="I6" s="48">
        <v>0</v>
      </c>
      <c r="J6" s="21">
        <f t="shared" si="2"/>
        <v>22100</v>
      </c>
      <c r="K6" s="8"/>
      <c r="L6" s="9"/>
      <c r="M6" s="9"/>
      <c r="N6" s="48"/>
      <c r="O6" s="21">
        <f t="shared" si="3"/>
        <v>47000</v>
      </c>
      <c r="P6" s="8" t="s">
        <v>154</v>
      </c>
      <c r="Q6" s="9">
        <v>-2600</v>
      </c>
      <c r="R6" s="9"/>
      <c r="S6" s="48">
        <v>0</v>
      </c>
      <c r="T6" s="21">
        <f t="shared" si="4"/>
        <v>35900</v>
      </c>
      <c r="U6" s="53">
        <f>IF($J6="","",ROUND(($J6-$J$3)/1000,1)+(_xlfn.RANK.AVG($J6,($J6,$O6,$T6),1)-2)*20)</f>
        <v>-32.9</v>
      </c>
      <c r="V6" s="54">
        <f>IF($O6="","",ROUND(($O6-$O$3)/1000,1)+(_xlfn.RANK.AVG($O6,($J6,$O6,$T6),1)-2)*20)</f>
        <v>32</v>
      </c>
      <c r="W6" s="55">
        <f>IF($T6="","",ROUND(($T6-$T$3)/1000,1)+(_xlfn.RANK.AVG($T6,($J6,$O6,$T6),1)-2)*20)</f>
        <v>0.9</v>
      </c>
      <c r="Y6" s="8"/>
      <c r="Z6" s="34"/>
      <c r="AA6" s="26"/>
      <c r="AB6" s="26"/>
      <c r="AC6" s="26">
        <v>2</v>
      </c>
      <c r="AD6" s="30">
        <v>40</v>
      </c>
      <c r="AE6" s="40" t="s">
        <v>84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158</v>
      </c>
      <c r="F7" s="8" t="s">
        <v>154</v>
      </c>
      <c r="G7" s="9">
        <v>-8000</v>
      </c>
      <c r="H7" s="9"/>
      <c r="I7" s="48">
        <v>0</v>
      </c>
      <c r="J7" s="21">
        <f t="shared" si="2"/>
        <v>14100</v>
      </c>
      <c r="K7" s="8" t="s">
        <v>153</v>
      </c>
      <c r="L7" s="9">
        <v>8000</v>
      </c>
      <c r="M7" s="9"/>
      <c r="N7" s="48">
        <v>0</v>
      </c>
      <c r="O7" s="21">
        <f t="shared" si="3"/>
        <v>55000</v>
      </c>
      <c r="P7" s="8"/>
      <c r="Q7" s="9"/>
      <c r="R7" s="9"/>
      <c r="S7" s="48"/>
      <c r="T7" s="21">
        <f t="shared" si="4"/>
        <v>35900</v>
      </c>
      <c r="U7" s="53">
        <f>IF($J7="","",ROUND(($J7-$J$3)/1000,1)+(_xlfn.RANK.AVG($J7,($J7,$O7,$T7),1)-2)*20)</f>
        <v>-40.9</v>
      </c>
      <c r="V7" s="54">
        <f>IF($O7="","",ROUND(($O7-$O$3)/1000,1)+(_xlfn.RANK.AVG($O7,($J7,$O7,$T7),1)-2)*20)</f>
        <v>40</v>
      </c>
      <c r="W7" s="55">
        <f>IF($T7="","",ROUND(($T7-$T$3)/1000,1)+(_xlfn.RANK.AVG($T7,($J7,$O7,$T7),1)-2)*20)</f>
        <v>0.9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86</v>
      </c>
      <c r="BA7" s="41" t="s">
        <v>86</v>
      </c>
      <c r="BB7" s="41" t="s">
        <v>86</v>
      </c>
      <c r="BC7" s="41" t="s">
        <v>149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140</v>
      </c>
      <c r="F8" s="8"/>
      <c r="G8" s="9"/>
      <c r="H8" s="9"/>
      <c r="I8" s="48"/>
      <c r="J8" s="21">
        <f t="shared" si="2"/>
        <v>14100</v>
      </c>
      <c r="K8" s="8" t="s">
        <v>153</v>
      </c>
      <c r="L8" s="9">
        <v>12000</v>
      </c>
      <c r="M8" s="9"/>
      <c r="N8" s="48">
        <v>0</v>
      </c>
      <c r="O8" s="21">
        <f t="shared" si="3"/>
        <v>67000</v>
      </c>
      <c r="P8" s="8" t="s">
        <v>154</v>
      </c>
      <c r="Q8" s="9">
        <v>-12000</v>
      </c>
      <c r="R8" s="9"/>
      <c r="S8" s="48">
        <v>0</v>
      </c>
      <c r="T8" s="21">
        <f t="shared" si="4"/>
        <v>23900</v>
      </c>
      <c r="U8" s="53">
        <f>IF($J8="","",ROUND(($J8-$J$3)/1000,1)+(_xlfn.RANK.AVG($J8,($J8,$O8,$T8),1)-2)*20)</f>
        <v>-40.9</v>
      </c>
      <c r="V8" s="54">
        <f>IF($O8="","",ROUND(($O8-$O$3)/1000,1)+(_xlfn.RANK.AVG($O8,($J8,$O8,$T8),1)-2)*20)</f>
        <v>52</v>
      </c>
      <c r="W8" s="55">
        <f>IF($T8="","",ROUND(($T8-$T$3)/1000,1)+(_xlfn.RANK.AVG($T8,($J8,$O8,$T8),1)-2)*20)</f>
        <v>-11.1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146</v>
      </c>
      <c r="AZ8" s="40" t="s">
        <v>86</v>
      </c>
      <c r="BA8" s="41" t="s">
        <v>86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14100</v>
      </c>
      <c r="K9" s="8" t="s">
        <v>154</v>
      </c>
      <c r="L9" s="9">
        <v>-8000</v>
      </c>
      <c r="M9" s="9"/>
      <c r="N9" s="48">
        <v>-1000</v>
      </c>
      <c r="O9" s="21">
        <f t="shared" si="3"/>
        <v>58000</v>
      </c>
      <c r="P9" s="8" t="s">
        <v>153</v>
      </c>
      <c r="Q9" s="9">
        <v>8000</v>
      </c>
      <c r="R9" s="9"/>
      <c r="S9" s="48">
        <v>1000</v>
      </c>
      <c r="T9" s="21">
        <f t="shared" si="4"/>
        <v>32900</v>
      </c>
      <c r="U9" s="53">
        <f>IF($J9="","",ROUND(($J9-$J$3)/1000,1)+(_xlfn.RANK.AVG($J9,($J9,$O9,$T9),1)-2)*20)</f>
        <v>-40.9</v>
      </c>
      <c r="V9" s="54">
        <f>IF($O9="","",ROUND(($O9-$O$3)/1000,1)+(_xlfn.RANK.AVG($O9,($J9,$O9,$T9),1)-2)*20)</f>
        <v>43</v>
      </c>
      <c r="W9" s="55">
        <f>IF($T9="","",ROUND(($T9-$T$3)/1000,1)+(_xlfn.RANK.AVG($T9,($J9,$O9,$T9),1)-2)*20)</f>
        <v>-2.1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147</v>
      </c>
      <c r="BV9" s="41" t="s">
        <v>148</v>
      </c>
      <c r="BW9" s="41" t="s">
        <v>79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160</v>
      </c>
      <c r="F10" s="8" t="s">
        <v>144</v>
      </c>
      <c r="G10" s="9">
        <v>-1500</v>
      </c>
      <c r="H10" s="9"/>
      <c r="I10" s="48">
        <v>0</v>
      </c>
      <c r="J10" s="21">
        <f t="shared" si="2"/>
        <v>12600</v>
      </c>
      <c r="K10" s="8" t="s">
        <v>144</v>
      </c>
      <c r="L10" s="9">
        <v>-1500</v>
      </c>
      <c r="M10" s="9"/>
      <c r="N10" s="48">
        <v>0</v>
      </c>
      <c r="O10" s="21">
        <f t="shared" si="3"/>
        <v>56500</v>
      </c>
      <c r="P10" s="8" t="s">
        <v>145</v>
      </c>
      <c r="Q10" s="9">
        <v>3000</v>
      </c>
      <c r="R10" s="9"/>
      <c r="S10" s="48">
        <v>0</v>
      </c>
      <c r="T10" s="21">
        <f t="shared" si="4"/>
        <v>35900</v>
      </c>
      <c r="U10" s="53">
        <f>IF($J10="","",ROUND(($J10-$J$3)/1000,1)+(_xlfn.RANK.AVG($J10,($J10,$O10,$T10),1)-2)*20)</f>
        <v>-42.4</v>
      </c>
      <c r="V10" s="54">
        <f>IF($O10="","",ROUND(($O10-$O$3)/1000,1)+(_xlfn.RANK.AVG($O10,($J10,$O10,$T10),1)-2)*20)</f>
        <v>41.5</v>
      </c>
      <c r="W10" s="55">
        <f>IF($T10="","",ROUND(($T10-$T$3)/1000,1)+(_xlfn.RANK.AVG($T10,($J10,$O10,$T10),1)-2)*20)</f>
        <v>0.9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87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160</v>
      </c>
      <c r="F11" s="8" t="s">
        <v>144</v>
      </c>
      <c r="G11" s="9">
        <v>-500</v>
      </c>
      <c r="H11" s="9"/>
      <c r="I11" s="48">
        <v>-500</v>
      </c>
      <c r="J11" s="21">
        <f t="shared" si="2"/>
        <v>11600</v>
      </c>
      <c r="K11" s="8" t="s">
        <v>145</v>
      </c>
      <c r="L11" s="9">
        <v>1200</v>
      </c>
      <c r="M11" s="9"/>
      <c r="N11" s="48">
        <v>1000</v>
      </c>
      <c r="O11" s="21">
        <f t="shared" si="3"/>
        <v>58700</v>
      </c>
      <c r="P11" s="8" t="s">
        <v>144</v>
      </c>
      <c r="Q11" s="9">
        <v>-700</v>
      </c>
      <c r="R11" s="9"/>
      <c r="S11" s="48">
        <v>-500</v>
      </c>
      <c r="T11" s="21">
        <f t="shared" si="4"/>
        <v>34700</v>
      </c>
      <c r="U11" s="53">
        <f>IF($J11="","",ROUND(($J11-$J$3)/1000,1)+(_xlfn.RANK.AVG($J11,($J11,$O11,$T11),1)-2)*20)</f>
        <v>-43.4</v>
      </c>
      <c r="V11" s="54">
        <f>IF($O11="","",ROUND(($O11-$O$3)/1000,1)+(_xlfn.RANK.AVG($O11,($J11,$O11,$T11),1)-2)*20)</f>
        <v>43.7</v>
      </c>
      <c r="W11" s="55">
        <f>IF($T11="","",ROUND(($T11-$T$3)/1000,1)+(_xlfn.RANK.AVG($T11,($J11,$O11,$T11),1)-2)*20)</f>
        <v>-0.3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B516EBE-3415-49AD-BB18-54E966D92F22}">
      <formula1>$U$2:$W$2</formula1>
    </dataValidation>
    <dataValidation type="list" showInputMessage="1" showErrorMessage="1" sqref="K4:K30 P4:P30 F4:F30" xr:uid="{6AF6C4C8-40EE-44B9-99EB-2FFFB02D9A3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2019-05-10T17:39:51Z</dcterms:modified>
</cp:coreProperties>
</file>