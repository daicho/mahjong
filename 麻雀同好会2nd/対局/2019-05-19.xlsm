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411A3B8E-141B-4828-A1AD-1D65106EDEE2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3" i="21"/>
  <c r="D12" i="21"/>
  <c r="D11" i="21"/>
  <c r="C11" i="21"/>
  <c r="C12" i="21" s="1"/>
  <c r="D10" i="21"/>
  <c r="D9" i="21"/>
  <c r="C9" i="21"/>
  <c r="C10" i="21" s="1"/>
  <c r="D7" i="21"/>
  <c r="D8" i="21" s="1"/>
  <c r="D6" i="21"/>
  <c r="C6" i="21"/>
  <c r="C7" i="21" s="1"/>
  <c r="C8" i="21" s="1"/>
  <c r="B6" i="21"/>
  <c r="B7" i="21" s="1"/>
  <c r="D5" i="21"/>
  <c r="C5" i="21"/>
  <c r="B5" i="21"/>
  <c r="A5" i="21" s="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W13" i="20" s="1"/>
  <c r="O13" i="20"/>
  <c r="J13" i="20"/>
  <c r="D13" i="20"/>
  <c r="C13" i="20"/>
  <c r="B13" i="20"/>
  <c r="A13" i="20"/>
  <c r="T12" i="20"/>
  <c r="O12" i="20"/>
  <c r="J12" i="20"/>
  <c r="D12" i="20"/>
  <c r="C12" i="20"/>
  <c r="B12" i="20"/>
  <c r="A12" i="20"/>
  <c r="T11" i="20"/>
  <c r="O11" i="20"/>
  <c r="J11" i="20"/>
  <c r="U11" i="20" s="1"/>
  <c r="D11" i="20"/>
  <c r="C11" i="20"/>
  <c r="B11" i="20"/>
  <c r="A11" i="20"/>
  <c r="T10" i="20"/>
  <c r="O10" i="20"/>
  <c r="J10" i="20"/>
  <c r="D10" i="20"/>
  <c r="C10" i="20"/>
  <c r="B10" i="20"/>
  <c r="A10" i="20"/>
  <c r="T9" i="20"/>
  <c r="O9" i="20"/>
  <c r="J9" i="20"/>
  <c r="D9" i="20"/>
  <c r="C9" i="20"/>
  <c r="B9" i="20"/>
  <c r="A9" i="20" s="1"/>
  <c r="D8" i="20"/>
  <c r="C8" i="20"/>
  <c r="D7" i="20"/>
  <c r="C7" i="20"/>
  <c r="D6" i="20"/>
  <c r="C6" i="20"/>
  <c r="B6" i="20"/>
  <c r="A6" i="20"/>
  <c r="D5" i="20"/>
  <c r="C5" i="20"/>
  <c r="B5" i="20"/>
  <c r="A5" i="20" s="1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A6" i="21" l="1"/>
  <c r="V4" i="21"/>
  <c r="W4" i="21"/>
  <c r="J6" i="21"/>
  <c r="B8" i="21"/>
  <c r="A7" i="21"/>
  <c r="U4" i="21"/>
  <c r="O5" i="21"/>
  <c r="U5" i="21" s="1"/>
  <c r="T5" i="21"/>
  <c r="U13" i="20"/>
  <c r="V13" i="20"/>
  <c r="V12" i="20"/>
  <c r="W12" i="20"/>
  <c r="U12" i="20"/>
  <c r="W11" i="20"/>
  <c r="V11" i="20"/>
  <c r="V10" i="20"/>
  <c r="U10" i="20"/>
  <c r="W10" i="20"/>
  <c r="W9" i="20"/>
  <c r="V9" i="20"/>
  <c r="U9" i="20"/>
  <c r="V4" i="20"/>
  <c r="U4" i="20"/>
  <c r="W4" i="20"/>
  <c r="T6" i="20"/>
  <c r="J5" i="20"/>
  <c r="W5" i="20" s="1"/>
  <c r="O5" i="20"/>
  <c r="B7" i="20"/>
  <c r="B9" i="21" l="1"/>
  <c r="J7" i="21"/>
  <c r="W5" i="21"/>
  <c r="T6" i="21"/>
  <c r="O6" i="21"/>
  <c r="U6" i="21" s="1"/>
  <c r="V5" i="21"/>
  <c r="A8" i="21"/>
  <c r="V5" i="20"/>
  <c r="O6" i="20"/>
  <c r="B8" i="20"/>
  <c r="A8" i="20" s="1"/>
  <c r="J6" i="20"/>
  <c r="U5" i="20"/>
  <c r="A7" i="20"/>
  <c r="T7" i="20"/>
  <c r="A9" i="21" l="1"/>
  <c r="B10" i="21"/>
  <c r="A10" i="21" s="1"/>
  <c r="O7" i="21"/>
  <c r="V6" i="21"/>
  <c r="W6" i="21"/>
  <c r="T7" i="21"/>
  <c r="U7" i="21"/>
  <c r="J8" i="21"/>
  <c r="W6" i="20"/>
  <c r="T8" i="20"/>
  <c r="O7" i="20"/>
  <c r="V6" i="20"/>
  <c r="U6" i="20"/>
  <c r="J7" i="20"/>
  <c r="W7" i="20" s="1"/>
  <c r="B11" i="21" l="1"/>
  <c r="J9" i="21"/>
  <c r="W7" i="21"/>
  <c r="T8" i="21"/>
  <c r="O8" i="21"/>
  <c r="U8" i="21" s="1"/>
  <c r="V7" i="21"/>
  <c r="J8" i="20"/>
  <c r="U7" i="20"/>
  <c r="O8" i="20"/>
  <c r="V7" i="20"/>
  <c r="B12" i="21" l="1"/>
  <c r="A11" i="21"/>
  <c r="A12" i="21" s="1"/>
  <c r="V8" i="21"/>
  <c r="O9" i="21"/>
  <c r="W8" i="21"/>
  <c r="T9" i="21"/>
  <c r="J10" i="21"/>
  <c r="V8" i="20"/>
  <c r="U8" i="20"/>
  <c r="W8" i="20"/>
  <c r="U9" i="21" l="1"/>
  <c r="B13" i="21"/>
  <c r="A13" i="21"/>
  <c r="W9" i="21"/>
  <c r="T10" i="21"/>
  <c r="V9" i="21"/>
  <c r="O10" i="21"/>
  <c r="U10" i="21" s="1"/>
  <c r="J11" i="21"/>
  <c r="U11" i="21" l="1"/>
  <c r="J12" i="21"/>
  <c r="V10" i="21"/>
  <c r="O11" i="21"/>
  <c r="W10" i="21"/>
  <c r="T11" i="21"/>
  <c r="U12" i="21" l="1"/>
  <c r="J13" i="21"/>
  <c r="W11" i="21"/>
  <c r="T12" i="21"/>
  <c r="O12" i="21"/>
  <c r="V11" i="21"/>
  <c r="V12" i="21" l="1"/>
  <c r="O13" i="21"/>
  <c r="V13" i="21" s="1"/>
  <c r="T13" i="21"/>
  <c r="W13" i="21" s="1"/>
  <c r="W12" i="21"/>
  <c r="U13" i="2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O8" i="19"/>
  <c r="V8" i="19" s="1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/>
  <c r="T4" i="19"/>
  <c r="T5" i="19" s="1"/>
  <c r="O4" i="19"/>
  <c r="J4" i="19"/>
  <c r="U4" i="19" s="1"/>
  <c r="W3" i="19"/>
  <c r="V3" i="19"/>
  <c r="U3" i="19"/>
  <c r="W2" i="19"/>
  <c r="V2" i="19"/>
  <c r="U2" i="19"/>
  <c r="BO1" i="19"/>
  <c r="AT1" i="19"/>
  <c r="Y1" i="19"/>
  <c r="U8" i="19" l="1"/>
  <c r="W8" i="19"/>
  <c r="V7" i="19"/>
  <c r="W7" i="19"/>
  <c r="V6" i="19"/>
  <c r="U6" i="19"/>
  <c r="W6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<sst xmlns="http://schemas.openxmlformats.org/spreadsheetml/2006/main" count="732" uniqueCount="158">
  <si>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</si>
  <si>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</si>
  <si>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</si>
  <si>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</si>
  <si>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</si>
  <si>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</si>
  <si>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</si>
  <si>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</si>
  <si>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</si>
  <si>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</si>
  <si>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</si>
  <si>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</si>
  <si>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</si>
  <si>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</si>
  <si>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</si>
  <si>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</si>
  <si>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</si>
  <si>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</si>
  <si>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</si>
  <si>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</si>
  <si>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</si>
  <si>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</si>
  <si>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</si>
  <si>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</si>
  <si>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</si>
  <si>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</si>
  <si>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</si>
  <si>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</si>
  <si>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</si>
  <si>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</si>
  <si>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</si>
  <si>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</si>
  <si>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</si>
  <si>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</si>
  <si>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</si>
  <si>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</si>
  <si>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</si>
  <si>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</si>
  <si>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</si>
  <si>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</si>
  <si>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</si>
  <si>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</si>
  <si>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</si>
  <si>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</si>
  <si>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</si>
  <si>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</si>
  <si>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</si>
  <si>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</si>
  <si>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</si>
  <si>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</si>
  <si>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</si>
  <si>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</si>
  <si>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</si>
  <si>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</si>
  <si>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</si>
  <si>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</si>
  <si>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</si>
  <si>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</si>
  <si>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</si>
  <si>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</si>
  <si>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</si>
  <si>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</si>
  <si>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</si>
  <si>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</si>
  <si>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</si>
  <si>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</si>
  <si>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</si>
  <si>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</si>
  <si>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</si>
  <si>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</si>
  <si>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</si>
  <si>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</si>
  <si>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</si>
  <si>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</si>
  <si>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</si>
  <si>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</si>
  <si>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</si>
  <si>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</si>
  <si>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</si>
  <si>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</si>
  <si>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</si>
  <si>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</si>
  <si>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</si>
  <si>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</si>
  <si>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</si>
  <si>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</si>
  <si>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</si>
  <si>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</si>
  <si>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</si>
  <si>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</si>
  <si>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</si>
  <si>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</si>
  <si>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</si>
  <si>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</si>
  <si>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</si>
  <si>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</si>
  <si>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</si>
  <si>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</si>
  <si>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</si>
  <si>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</si>
  <si>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</si>
  <si>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</si>
  <si>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</si>
  <si>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</si>
  <si>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</si>
  <si>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</si>
  <si>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</si>
  <si>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</si>
  <si>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</si>
  <si>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</si>
  <si>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</si>
  <si>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</si>
  <si>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</si>
  <si>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</si>
  <si>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</si>
  <si>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</si>
  <si>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</si>
  <si>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</si>
  <si>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</si>
  <si>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</si>
  <si>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</si>
  <si>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</si>
  <si>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</si>
  <si>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</si>
  <si>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</si>
  <si>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</si>
  <si>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</si>
  <si>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</si>
  <si>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</si>
  <si>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</si>
  <si>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</si>
  <si>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</si>
  <si>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</si>
  <si>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</si>
  <si>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</si>
  <si>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</si>
  <si>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</si>
  <si>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</si>
  <si>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</si>
  <si>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</si>
  <si>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</si>
  <si>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</si>
  <si>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れんたろう</t>
  </si>
  <si>
    <t>れんたろう</t>
    <phoneticPr fontId="1"/>
  </si>
  <si>
    <t>T</t>
  </si>
  <si>
    <t>N</t>
  </si>
  <si>
    <t>流局</t>
    <phoneticPr fontId="1"/>
  </si>
  <si>
    <t>ツモ</t>
  </si>
  <si>
    <t>ツモ支払</t>
  </si>
  <si>
    <t>*</t>
  </si>
  <si>
    <t>01</t>
  </si>
  <si>
    <t>52</t>
  </si>
  <si>
    <t>ロン</t>
  </si>
  <si>
    <t>放銃</t>
  </si>
  <si>
    <t>02</t>
  </si>
  <si>
    <t>流局</t>
    <phoneticPr fontId="1"/>
  </si>
  <si>
    <t>まっつん</t>
  </si>
  <si>
    <t>まっつん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</si>
</sst>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146</v>
      </c>
      <c r="G4" s="9">
        <v>1500</v>
      </c>
      <c r="H4" s="9"/>
      <c r="I4" s="48"/>
      <c r="J4" s="21">
        <f>IF(COUNTA($F4,$K4,$P4)&gt;0,J3+SUM(G4:I4),"")</f>
        <v>36500</v>
      </c>
      <c r="K4" s="8" t="s">
        <v>146</v>
      </c>
      <c r="L4" s="9">
        <v>1500</v>
      </c>
      <c r="M4" s="9"/>
      <c r="N4" s="48"/>
      <c r="O4" s="21">
        <f>IF(COUNTA($F4,$K4,$P4)&gt;0,O3+SUM(L4:N4),"")</f>
        <v>36500</v>
      </c>
      <c r="P4" s="8" t="s">
        <v>146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IF($J4="","",ROUND(($J4-$J$3)/1000,1)+(_xlfn.RANK.AVG($J4,($J4,$O4,$T4),1)-2)*20)</f>
        <v>11.5</v>
      </c>
      <c r="V4" s="54">
        <f>IF($O4="","",ROUND(($O4-$O$3)/1000,1)+(_xlfn.RANK.AVG($O4,($J4,$O4,$T4),1)-2)*20)</f>
        <v>11.5</v>
      </c>
      <c r="W4" s="55">
        <f>IF($T4="","",ROUND(($T4-$T$3)/1000,1)+(_xlfn.RANK.AVG($T4,($J4,$O4,$T4),1)-2)*20)</f>
        <v>-23</v>
      </c>
      <c r="Y4" s="8" t="s">
        <v>144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144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145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147</v>
      </c>
      <c r="G5" s="9">
        <v>8000</v>
      </c>
      <c r="H5" s="9"/>
      <c r="I5" s="48">
        <v>1000</v>
      </c>
      <c r="J5" s="21">
        <f t="shared" ref="J5:J30" si="2">IF(COUNTA($F5,$K5,$P5)&gt;0,J4+SUM(G5:I5),"")</f>
        <v>45500</v>
      </c>
      <c r="K5" s="8" t="s">
        <v>148</v>
      </c>
      <c r="L5" s="9">
        <v>-5000</v>
      </c>
      <c r="M5" s="9"/>
      <c r="N5" s="48">
        <v>-500</v>
      </c>
      <c r="O5" s="21">
        <f t="shared" ref="O5:O30" si="3">IF(COUNTA($F5,$K5,$P5)&gt;0,O4+SUM(L5:N5),"")</f>
        <v>31000</v>
      </c>
      <c r="P5" s="8" t="s">
        <v>148</v>
      </c>
      <c r="Q5" s="9">
        <v>-3000</v>
      </c>
      <c r="R5" s="9"/>
      <c r="S5" s="48">
        <v>-500</v>
      </c>
      <c r="T5" s="21">
        <f t="shared" ref="T5:T30" si="4">IF(COUNTA($F5,$K5,$P5)&gt;0,T4+SUM(Q5:S5),"")</f>
        <v>28500</v>
      </c>
      <c r="U5" s="53">
        <f>IF($J5="","",ROUND(($J5-$J$3)/1000,1)+(_xlfn.RANK.AVG($J5,($J5,$O5,$T5),1)-2)*20)</f>
        <v>30.5</v>
      </c>
      <c r="V5" s="54">
        <f>IF($O5="","",ROUND(($O5-$O$3)/1000,1)+(_xlfn.RANK.AVG($O5,($J5,$O5,$T5),1)-2)*20)</f>
        <v>-4</v>
      </c>
      <c r="W5" s="55">
        <f>IF($T5="","",ROUND(($T5-$T$3)/1000,1)+(_xlfn.RANK.AVG($T5,($J5,$O5,$T5),1)-2)*20)</f>
        <v>-26.5</v>
      </c>
      <c r="Y5" s="8"/>
      <c r="Z5" s="34"/>
      <c r="AA5" s="26">
        <v>1</v>
      </c>
      <c r="AB5" s="26"/>
      <c r="AC5" s="26">
        <v>5</v>
      </c>
      <c r="AD5" s="30" t="s">
        <v>149</v>
      </c>
      <c r="AE5" s="40" t="s">
        <v>150</v>
      </c>
      <c r="AF5" s="41" t="s">
        <v>82</v>
      </c>
      <c r="AG5" s="41" t="s">
        <v>79</v>
      </c>
      <c r="AH5" s="41" t="s">
        <v>80</v>
      </c>
      <c r="AI5" s="41" t="s">
        <v>151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147</v>
      </c>
      <c r="G6" s="9">
        <v>8000</v>
      </c>
      <c r="H6" s="9"/>
      <c r="I6" s="48">
        <v>0</v>
      </c>
      <c r="J6" s="21">
        <f t="shared" si="2"/>
        <v>53500</v>
      </c>
      <c r="K6" s="8" t="s">
        <v>148</v>
      </c>
      <c r="L6" s="9">
        <v>-3000</v>
      </c>
      <c r="M6" s="9"/>
      <c r="N6" s="48">
        <v>0</v>
      </c>
      <c r="O6" s="21">
        <f t="shared" si="3"/>
        <v>28000</v>
      </c>
      <c r="P6" s="8" t="s">
        <v>148</v>
      </c>
      <c r="Q6" s="9">
        <v>-5000</v>
      </c>
      <c r="R6" s="9"/>
      <c r="S6" s="48">
        <v>0</v>
      </c>
      <c r="T6" s="21">
        <f t="shared" si="4"/>
        <v>23500</v>
      </c>
      <c r="U6" s="53">
        <f>IF($J6="","",ROUND(($J6-$J$3)/1000,1)+(_xlfn.RANK.AVG($J6,($J6,$O6,$T6),1)-2)*20)</f>
        <v>38.5</v>
      </c>
      <c r="V6" s="54">
        <f>IF($O6="","",ROUND(($O6-$O$3)/1000,1)+(_xlfn.RANK.AVG($O6,($J6,$O6,$T6),1)-2)*20)</f>
        <v>-7</v>
      </c>
      <c r="W6" s="55">
        <f>IF($T6="","",ROUND(($T6-$T$3)/1000,1)+(_xlfn.RANK.AVG($T6,($J6,$O6,$T6),1)-2)*20)</f>
        <v>-31.5</v>
      </c>
      <c r="Y6" s="8"/>
      <c r="Z6" s="34"/>
      <c r="AA6" s="26">
        <v>1</v>
      </c>
      <c r="AB6" s="26"/>
      <c r="AC6" s="26">
        <v>5</v>
      </c>
      <c r="AD6" s="30" t="s">
        <v>149</v>
      </c>
      <c r="AE6" s="40" t="s">
        <v>150</v>
      </c>
      <c r="AF6" s="41" t="s">
        <v>82</v>
      </c>
      <c r="AG6" s="41" t="s">
        <v>83</v>
      </c>
      <c r="AH6" s="41" t="s">
        <v>85</v>
      </c>
      <c r="AI6" s="41" t="s">
        <v>84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138</v>
      </c>
      <c r="F7" s="8" t="s">
        <v>152</v>
      </c>
      <c r="G7" s="9">
        <v>24000</v>
      </c>
      <c r="H7" s="9"/>
      <c r="I7" s="48">
        <v>0</v>
      </c>
      <c r="J7" s="21">
        <f t="shared" si="2"/>
        <v>77500</v>
      </c>
      <c r="K7" s="8" t="s">
        <v>153</v>
      </c>
      <c r="L7" s="9">
        <v>-24000</v>
      </c>
      <c r="M7" s="9"/>
      <c r="N7" s="48">
        <v>0</v>
      </c>
      <c r="O7" s="21">
        <f t="shared" si="3"/>
        <v>4000</v>
      </c>
      <c r="P7" s="8"/>
      <c r="Q7" s="9"/>
      <c r="R7" s="9"/>
      <c r="S7" s="48"/>
      <c r="T7" s="21">
        <f t="shared" si="4"/>
        <v>23500</v>
      </c>
      <c r="U7" s="53">
        <f>IF($J7="","",ROUND(($J7-$J$3)/1000,1)+(_xlfn.RANK.AVG($J7,($J7,$O7,$T7),1)-2)*20)</f>
        <v>62.5</v>
      </c>
      <c r="V7" s="54">
        <f>IF($O7="","",ROUND(($O7-$O$3)/1000,1)+(_xlfn.RANK.AVG($O7,($J7,$O7,$T7),1)-2)*20)</f>
        <v>-51</v>
      </c>
      <c r="W7" s="55">
        <f>IF($T7="","",ROUND(($T7-$T$3)/1000,1)+(_xlfn.RANK.AVG($T7,($J7,$O7,$T7),1)-2)*20)</f>
        <v>-11.5</v>
      </c>
      <c r="Y7" s="8"/>
      <c r="Z7" s="34"/>
      <c r="AA7" s="26"/>
      <c r="AB7" s="26">
        <v>1</v>
      </c>
      <c r="AC7" s="26">
        <v>8</v>
      </c>
      <c r="AD7" s="30" t="s">
        <v>149</v>
      </c>
      <c r="AE7" s="40" t="s">
        <v>86</v>
      </c>
      <c r="AF7" s="41" t="s">
        <v>86</v>
      </c>
      <c r="AG7" s="41" t="s">
        <v>86</v>
      </c>
      <c r="AH7" s="41" t="s">
        <v>104</v>
      </c>
      <c r="AI7" s="41" t="s">
        <v>98</v>
      </c>
      <c r="AJ7" s="41" t="s">
        <v>86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138</v>
      </c>
      <c r="F8" s="8"/>
      <c r="G8" s="9"/>
      <c r="H8" s="9"/>
      <c r="I8" s="48"/>
      <c r="J8" s="21">
        <f t="shared" si="2"/>
        <v>77500</v>
      </c>
      <c r="K8" s="8" t="s">
        <v>153</v>
      </c>
      <c r="L8" s="9">
        <v>-8000</v>
      </c>
      <c r="M8" s="9"/>
      <c r="N8" s="48">
        <v>-1000</v>
      </c>
      <c r="O8" s="21">
        <f t="shared" si="3"/>
        <v>-5000</v>
      </c>
      <c r="P8" s="8" t="s">
        <v>152</v>
      </c>
      <c r="Q8" s="9">
        <v>8000</v>
      </c>
      <c r="R8" s="9"/>
      <c r="S8" s="48">
        <v>1000</v>
      </c>
      <c r="T8" s="21">
        <f t="shared" si="4"/>
        <v>32500</v>
      </c>
      <c r="U8" s="53">
        <f>IF($J8="","",ROUND(($J8-$J$3)/1000,1)+(_xlfn.RANK.AVG($J8,($J8,$O8,$T8),1)-2)*20)</f>
        <v>62.5</v>
      </c>
      <c r="V8" s="54">
        <f>IF($O8="","",ROUND(($O8-$O$3)/1000,1)+(_xlfn.RANK.AVG($O8,($J8,$O8,$T8),1)-2)*20)</f>
        <v>-60</v>
      </c>
      <c r="W8" s="55">
        <f>IF($T8="","",ROUND(($T8-$T$3)/1000,1)+(_xlfn.RANK.AVG($T8,($J8,$O8,$T8),1)-2)*20)</f>
        <v>-2.5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149</v>
      </c>
      <c r="BU8" s="40" t="s">
        <v>104</v>
      </c>
      <c r="BV8" s="41" t="s">
        <v>79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E53F8-B586-4444-9B5B-14E8106C715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148</v>
      </c>
      <c r="G4" s="9">
        <v>-10000</v>
      </c>
      <c r="H4" s="9">
        <v>-1000</v>
      </c>
      <c r="I4" s="48">
        <v>0</v>
      </c>
      <c r="J4" s="21">
        <f>IF(COUNTA($F4,$K4,$P4)&gt;0,J3+SUM(G4:I4),"")</f>
        <v>24000</v>
      </c>
      <c r="K4" s="8" t="s">
        <v>148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147</v>
      </c>
      <c r="Q4" s="9">
        <v>16000</v>
      </c>
      <c r="R4" s="9">
        <v>1000</v>
      </c>
      <c r="S4" s="48">
        <v>0</v>
      </c>
      <c r="T4" s="21">
        <f>IF(COUNTA($F4,$K4,$P4)&gt;0,T3+SUM(Q4:S4),"")</f>
        <v>52000</v>
      </c>
      <c r="U4" s="53">
        <f>IF($J4="","",ROUND(($J4-$J$3)/1000,1)+(_xlfn.RANK.AVG($J4,($J4,$O4,$T4),1)-2)*20)</f>
        <v>-31</v>
      </c>
      <c r="V4" s="54">
        <f>IF($O4="","",ROUND(($O4-$O$3)/1000,1)+(_xlfn.RANK.AVG($O4,($J4,$O4,$T4),1)-2)*20)</f>
        <v>-6</v>
      </c>
      <c r="W4" s="55">
        <f>IF($T4="","",ROUND(($T4-$T$3)/1000,1)+(_xlfn.RANK.AVG($T4,($J4,$O4,$T4),1)-2)*20)</f>
        <v>37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8</v>
      </c>
      <c r="BT4" s="30" t="s">
        <v>149</v>
      </c>
      <c r="BU4" s="40" t="s">
        <v>150</v>
      </c>
      <c r="BV4" s="41" t="s">
        <v>82</v>
      </c>
      <c r="BW4" s="41" t="s">
        <v>154</v>
      </c>
      <c r="BX4" s="41" t="s">
        <v>83</v>
      </c>
      <c r="BY4" s="41" t="s">
        <v>79</v>
      </c>
      <c r="BZ4" s="41" t="s">
        <v>79</v>
      </c>
      <c r="CA4" s="41" t="s">
        <v>92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148</v>
      </c>
      <c r="G5" s="9">
        <v>-4500</v>
      </c>
      <c r="H5" s="9"/>
      <c r="I5" s="48">
        <v>0</v>
      </c>
      <c r="J5" s="21">
        <f t="shared" ref="J5:J30" si="2">IF(COUNTA($F5,$K5,$P5)&gt;0,J4+SUM(G5:I5),"")</f>
        <v>19500</v>
      </c>
      <c r="K5" s="8" t="s">
        <v>148</v>
      </c>
      <c r="L5" s="9">
        <v>-7500</v>
      </c>
      <c r="M5" s="9"/>
      <c r="N5" s="48">
        <v>0</v>
      </c>
      <c r="O5" s="21">
        <f t="shared" ref="O5:O30" si="3">IF(COUNTA($F5,$K5,$P5)&gt;0,O4+SUM(L5:N5),"")</f>
        <v>21500</v>
      </c>
      <c r="P5" s="8" t="s">
        <v>147</v>
      </c>
      <c r="Q5" s="9">
        <v>12000</v>
      </c>
      <c r="R5" s="9"/>
      <c r="S5" s="48">
        <v>0</v>
      </c>
      <c r="T5" s="21">
        <f t="shared" ref="T5:T30" si="4">IF(COUNTA($F5,$K5,$P5)&gt;0,T4+SUM(Q5:S5),"")</f>
        <v>64000</v>
      </c>
      <c r="U5" s="53">
        <f>IF($J5="","",ROUND(($J5-$J$3)/1000,1)+(_xlfn.RANK.AVG($J5,($J5,$O5,$T5),1)-2)*20)</f>
        <v>-35.5</v>
      </c>
      <c r="V5" s="54">
        <f>IF($O5="","",ROUND(($O5-$O$3)/1000,1)+(_xlfn.RANK.AVG($O5,($J5,$O5,$T5),1)-2)*20)</f>
        <v>-13.5</v>
      </c>
      <c r="W5" s="55">
        <f>IF($T5="","",ROUND(($T5-$T$3)/1000,1)+(_xlfn.RANK.AVG($T5,($J5,$O5,$T5),1)-2)*20)</f>
        <v>49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7</v>
      </c>
      <c r="BT5" s="30" t="s">
        <v>149</v>
      </c>
      <c r="BU5" s="40" t="s">
        <v>82</v>
      </c>
      <c r="BV5" s="41" t="s">
        <v>106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153</v>
      </c>
      <c r="G6" s="9">
        <v>-4800</v>
      </c>
      <c r="H6" s="9"/>
      <c r="I6" s="48">
        <v>0</v>
      </c>
      <c r="J6" s="21">
        <f t="shared" si="2"/>
        <v>14700</v>
      </c>
      <c r="K6" s="8"/>
      <c r="L6" s="9"/>
      <c r="M6" s="9">
        <v>-1000</v>
      </c>
      <c r="N6" s="48"/>
      <c r="O6" s="21">
        <f t="shared" si="3"/>
        <v>20500</v>
      </c>
      <c r="P6" s="8" t="s">
        <v>152</v>
      </c>
      <c r="Q6" s="9">
        <v>4800</v>
      </c>
      <c r="R6" s="9">
        <v>1000</v>
      </c>
      <c r="S6" s="48">
        <v>0</v>
      </c>
      <c r="T6" s="21">
        <f t="shared" si="4"/>
        <v>69800</v>
      </c>
      <c r="U6" s="53">
        <f>IF($J6="","",ROUND(($J6-$J$3)/1000,1)+(_xlfn.RANK.AVG($J6,($J6,$O6,$T6),1)-2)*20)</f>
        <v>-40.299999999999997</v>
      </c>
      <c r="V6" s="54">
        <f>IF($O6="","",ROUND(($O6-$O$3)/1000,1)+(_xlfn.RANK.AVG($O6,($J6,$O6,$T6),1)-2)*20)</f>
        <v>-14.5</v>
      </c>
      <c r="W6" s="55">
        <f>IF($T6="","",ROUND(($T6-$T$3)/1000,1)+(_xlfn.RANK.AVG($T6,($J6,$O6,$T6),1)-2)*20)</f>
        <v>54.8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50</v>
      </c>
      <c r="BU6" s="40" t="s">
        <v>150</v>
      </c>
      <c r="BV6" s="41" t="s">
        <v>151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142</v>
      </c>
      <c r="F7" s="8" t="s">
        <v>155</v>
      </c>
      <c r="G7" s="9">
        <v>0</v>
      </c>
      <c r="H7" s="9">
        <v>-1000</v>
      </c>
      <c r="I7" s="48"/>
      <c r="J7" s="21">
        <f t="shared" si="2"/>
        <v>13700</v>
      </c>
      <c r="K7" s="8" t="s">
        <v>155</v>
      </c>
      <c r="L7" s="9">
        <v>0</v>
      </c>
      <c r="M7" s="9"/>
      <c r="N7" s="48"/>
      <c r="O7" s="21">
        <f t="shared" si="3"/>
        <v>20500</v>
      </c>
      <c r="P7" s="8" t="s">
        <v>155</v>
      </c>
      <c r="Q7" s="9">
        <v>0</v>
      </c>
      <c r="R7" s="9">
        <v>-1000</v>
      </c>
      <c r="S7" s="48"/>
      <c r="T7" s="21">
        <f t="shared" si="4"/>
        <v>68800</v>
      </c>
      <c r="U7" s="53">
        <f>IF($J7="","",ROUND(($J7-$J$3)/1000,1)+(_xlfn.RANK.AVG($J7,($J7,$O7,$T7),1)-2)*20)</f>
        <v>-41.3</v>
      </c>
      <c r="V7" s="54">
        <f>IF($O7="","",ROUND(($O7-$O$3)/1000,1)+(_xlfn.RANK.AVG($O7,($J7,$O7,$T7),1)-2)*20)</f>
        <v>-14.5</v>
      </c>
      <c r="W7" s="55">
        <f>IF($T7="","",ROUND(($T7-$T$3)/1000,1)+(_xlfn.RANK.AVG($T7,($J7,$O7,$T7),1)-2)*20)</f>
        <v>53.8</v>
      </c>
      <c r="Y7" s="8" t="s">
        <v>144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144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144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2</v>
      </c>
      <c r="E8" s="4" t="s">
        <v>142</v>
      </c>
      <c r="F8" s="8" t="s">
        <v>152</v>
      </c>
      <c r="G8" s="9">
        <v>12000</v>
      </c>
      <c r="H8" s="9">
        <v>3000</v>
      </c>
      <c r="I8" s="48">
        <v>2000</v>
      </c>
      <c r="J8" s="21">
        <f t="shared" si="2"/>
        <v>30700</v>
      </c>
      <c r="K8" s="8"/>
      <c r="L8" s="9"/>
      <c r="M8" s="9">
        <v>-1000</v>
      </c>
      <c r="N8" s="48"/>
      <c r="O8" s="21">
        <f t="shared" si="3"/>
        <v>19500</v>
      </c>
      <c r="P8" s="8" t="s">
        <v>153</v>
      </c>
      <c r="Q8" s="9">
        <v>-12000</v>
      </c>
      <c r="R8" s="9"/>
      <c r="S8" s="48">
        <v>-2000</v>
      </c>
      <c r="T8" s="21">
        <f t="shared" si="4"/>
        <v>54800</v>
      </c>
      <c r="U8" s="53">
        <f>IF($J8="","",ROUND(($J8-$J$3)/1000,1)+(_xlfn.RANK.AVG($J8,($J8,$O8,$T8),1)-2)*20)</f>
        <v>-4.3</v>
      </c>
      <c r="V8" s="54">
        <f>IF($O8="","",ROUND(($O8-$O$3)/1000,1)+(_xlfn.RANK.AVG($O8,($J8,$O8,$T8),1)-2)*20)</f>
        <v>-35.5</v>
      </c>
      <c r="W8" s="55">
        <f>IF($T8="","",ROUND(($T8-$T$3)/1000,1)+(_xlfn.RANK.AVG($T8,($J8,$O8,$T8),1)-2)*20)</f>
        <v>39.799999999999997</v>
      </c>
      <c r="Y8" s="8"/>
      <c r="Z8" s="34"/>
      <c r="AA8" s="26"/>
      <c r="AB8" s="26">
        <v>1</v>
      </c>
      <c r="AC8" s="26">
        <v>6</v>
      </c>
      <c r="AD8" s="30" t="s">
        <v>149</v>
      </c>
      <c r="AE8" s="40" t="s">
        <v>86</v>
      </c>
      <c r="AF8" s="41" t="s">
        <v>86</v>
      </c>
      <c r="AG8" s="41" t="s">
        <v>79</v>
      </c>
      <c r="AH8" s="41" t="s">
        <v>151</v>
      </c>
      <c r="AI8" s="41" t="s">
        <v>104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152</v>
      </c>
      <c r="G9" s="9">
        <v>2900</v>
      </c>
      <c r="H9" s="9">
        <v>1000</v>
      </c>
      <c r="I9" s="48">
        <v>0</v>
      </c>
      <c r="J9" s="21">
        <f t="shared" si="2"/>
        <v>34600</v>
      </c>
      <c r="K9" s="8"/>
      <c r="L9" s="9"/>
      <c r="M9" s="9"/>
      <c r="N9" s="48"/>
      <c r="O9" s="21">
        <f t="shared" si="3"/>
        <v>19500</v>
      </c>
      <c r="P9" s="8" t="s">
        <v>153</v>
      </c>
      <c r="Q9" s="9">
        <v>-2900</v>
      </c>
      <c r="R9" s="9">
        <v>-1000</v>
      </c>
      <c r="S9" s="48">
        <v>0</v>
      </c>
      <c r="T9" s="21">
        <f t="shared" si="4"/>
        <v>50900</v>
      </c>
      <c r="U9" s="53">
        <f>IF($J9="","",ROUND(($J9-$J$3)/1000,1)+(_xlfn.RANK.AVG($J9,($J9,$O9,$T9),1)-2)*20)</f>
        <v>-0.4</v>
      </c>
      <c r="V9" s="54">
        <f>IF($O9="","",ROUND(($O9-$O$3)/1000,1)+(_xlfn.RANK.AVG($O9,($J9,$O9,$T9),1)-2)*20)</f>
        <v>-35.5</v>
      </c>
      <c r="W9" s="55">
        <f>IF($T9="","",ROUND(($T9-$T$3)/1000,1)+(_xlfn.RANK.AVG($T9,($J9,$O9,$T9),1)-2)*20)</f>
        <v>35.9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86</v>
      </c>
      <c r="AF9" s="41" t="s">
        <v>151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138</v>
      </c>
      <c r="F10" s="8" t="s">
        <v>148</v>
      </c>
      <c r="G10" s="9">
        <v>-7500</v>
      </c>
      <c r="H10" s="9"/>
      <c r="I10" s="48">
        <v>-500</v>
      </c>
      <c r="J10" s="21">
        <f t="shared" si="2"/>
        <v>26600</v>
      </c>
      <c r="K10" s="8" t="s">
        <v>148</v>
      </c>
      <c r="L10" s="9">
        <v>-4500</v>
      </c>
      <c r="M10" s="9"/>
      <c r="N10" s="48">
        <v>-500</v>
      </c>
      <c r="O10" s="21">
        <f t="shared" si="3"/>
        <v>14500</v>
      </c>
      <c r="P10" s="8" t="s">
        <v>147</v>
      </c>
      <c r="Q10" s="9">
        <v>12000</v>
      </c>
      <c r="R10" s="9"/>
      <c r="S10" s="48">
        <v>1000</v>
      </c>
      <c r="T10" s="21">
        <f t="shared" si="4"/>
        <v>63900</v>
      </c>
      <c r="U10" s="53">
        <f>IF($J10="","",ROUND(($J10-$J$3)/1000,1)+(_xlfn.RANK.AVG($J10,($J10,$O10,$T10),1)-2)*20)</f>
        <v>-8.4</v>
      </c>
      <c r="V10" s="54">
        <f>IF($O10="","",ROUND(($O10-$O$3)/1000,1)+(_xlfn.RANK.AVG($O10,($J10,$O10,$T10),1)-2)*20)</f>
        <v>-40.5</v>
      </c>
      <c r="W10" s="55">
        <f>IF($T10="","",ROUND(($T10-$T$3)/1000,1)+(_xlfn.RANK.AVG($T10,($J10,$O10,$T10),1)-2)*20)</f>
        <v>48.9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6</v>
      </c>
      <c r="BT10" s="30" t="s">
        <v>149</v>
      </c>
      <c r="BU10" s="40" t="s">
        <v>86</v>
      </c>
      <c r="BV10" s="41" t="s">
        <v>86</v>
      </c>
      <c r="BW10" s="41" t="s">
        <v>104</v>
      </c>
      <c r="BX10" s="41" t="s">
        <v>99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140</v>
      </c>
      <c r="F11" s="8" t="s">
        <v>153</v>
      </c>
      <c r="G11" s="9">
        <v>-11600</v>
      </c>
      <c r="H11" s="9"/>
      <c r="I11" s="48">
        <v>0</v>
      </c>
      <c r="J11" s="21">
        <f t="shared" si="2"/>
        <v>15000</v>
      </c>
      <c r="K11" s="8" t="s">
        <v>152</v>
      </c>
      <c r="L11" s="9">
        <v>11600</v>
      </c>
      <c r="M11" s="9"/>
      <c r="N11" s="48">
        <v>0</v>
      </c>
      <c r="O11" s="21">
        <f t="shared" si="3"/>
        <v>26100</v>
      </c>
      <c r="P11" s="8"/>
      <c r="Q11" s="9"/>
      <c r="R11" s="9"/>
      <c r="S11" s="48"/>
      <c r="T11" s="21">
        <f t="shared" si="4"/>
        <v>63900</v>
      </c>
      <c r="U11" s="53">
        <f>IF($J11="","",ROUND(($J11-$J$3)/1000,1)+(_xlfn.RANK.AVG($J11,($J11,$O11,$T11),1)-2)*20)</f>
        <v>-40</v>
      </c>
      <c r="V11" s="54">
        <f>IF($O11="","",ROUND(($O11-$O$3)/1000,1)+(_xlfn.RANK.AVG($O11,($J11,$O11,$T11),1)-2)*20)</f>
        <v>-8.9</v>
      </c>
      <c r="W11" s="55">
        <f>IF($T11="","",ROUND(($T11-$T$3)/1000,1)+(_xlfn.RANK.AVG($T11,($J11,$O11,$T11),1)-2)*20)</f>
        <v>48.9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30</v>
      </c>
      <c r="AZ11" s="40" t="s">
        <v>86</v>
      </c>
      <c r="BA11" s="41" t="s">
        <v>79</v>
      </c>
      <c r="BB11" s="41" t="s">
        <v>79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140</v>
      </c>
      <c r="F12" s="8" t="s">
        <v>152</v>
      </c>
      <c r="G12" s="9">
        <v>3200</v>
      </c>
      <c r="H12" s="9">
        <v>1000</v>
      </c>
      <c r="I12" s="48">
        <v>1000</v>
      </c>
      <c r="J12" s="21">
        <f t="shared" si="2"/>
        <v>20200</v>
      </c>
      <c r="K12" s="8"/>
      <c r="L12" s="9"/>
      <c r="M12" s="9">
        <v>-1000</v>
      </c>
      <c r="N12" s="48"/>
      <c r="O12" s="21">
        <f t="shared" si="3"/>
        <v>25100</v>
      </c>
      <c r="P12" s="8" t="s">
        <v>153</v>
      </c>
      <c r="Q12" s="9">
        <v>-3200</v>
      </c>
      <c r="R12" s="9"/>
      <c r="S12" s="48">
        <v>-1000</v>
      </c>
      <c r="T12" s="21">
        <f t="shared" si="4"/>
        <v>59700</v>
      </c>
      <c r="U12" s="53">
        <f>IF($J12="","",ROUND(($J12-$J$3)/1000,1)+(_xlfn.RANK.AVG($J12,($J12,$O12,$T12),1)-2)*20)</f>
        <v>-34.799999999999997</v>
      </c>
      <c r="V12" s="54">
        <f>IF($O12="","",ROUND(($O12-$O$3)/1000,1)+(_xlfn.RANK.AVG($O12,($J12,$O12,$T12),1)-2)*20)</f>
        <v>-9.9</v>
      </c>
      <c r="W12" s="55">
        <f>IF($T12="","",ROUND(($T12-$T$3)/1000,1)+(_xlfn.RANK.AVG($T12,($J12,$O12,$T12),1)-2)*20)</f>
        <v>44.7</v>
      </c>
      <c r="Y12" s="8"/>
      <c r="Z12" s="34"/>
      <c r="AA12" s="26">
        <v>1</v>
      </c>
      <c r="AB12" s="26"/>
      <c r="AC12" s="26">
        <v>3</v>
      </c>
      <c r="AD12" s="30">
        <v>25</v>
      </c>
      <c r="AE12" s="40" t="s">
        <v>150</v>
      </c>
      <c r="AF12" s="41" t="s">
        <v>101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142</v>
      </c>
      <c r="F13" s="8" t="s">
        <v>153</v>
      </c>
      <c r="G13" s="9">
        <v>-2900</v>
      </c>
      <c r="H13" s="9"/>
      <c r="I13" s="48">
        <v>0</v>
      </c>
      <c r="J13" s="21">
        <f t="shared" si="2"/>
        <v>17300</v>
      </c>
      <c r="K13" s="8"/>
      <c r="L13" s="9"/>
      <c r="M13" s="9"/>
      <c r="N13" s="48"/>
      <c r="O13" s="21">
        <f t="shared" si="3"/>
        <v>25100</v>
      </c>
      <c r="P13" s="8" t="s">
        <v>152</v>
      </c>
      <c r="Q13" s="9">
        <v>2900</v>
      </c>
      <c r="R13" s="9"/>
      <c r="S13" s="48">
        <v>0</v>
      </c>
      <c r="T13" s="21">
        <f t="shared" si="4"/>
        <v>62600</v>
      </c>
      <c r="U13" s="53">
        <f>IF($J13="","",ROUND(($J13-$J$3)/1000,1)+(_xlfn.RANK.AVG($J13,($J13,$O13,$T13),1)-2)*20)</f>
        <v>-37.700000000000003</v>
      </c>
      <c r="V13" s="54">
        <f>IF($O13="","",ROUND(($O13-$O$3)/1000,1)+(_xlfn.RANK.AVG($O13,($J13,$O13,$T13),1)-2)*20)</f>
        <v>-9.9</v>
      </c>
      <c r="W13" s="55">
        <f>IF($T13="","",ROUND(($T13-$T$3)/1000,1)+(_xlfn.RANK.AVG($T13,($J13,$O13,$T13),1)-2)*20)</f>
        <v>47.6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2</v>
      </c>
      <c r="BT13" s="30">
        <v>30</v>
      </c>
      <c r="BU13" s="40" t="s">
        <v>151</v>
      </c>
      <c r="BV13" s="41" t="s">
        <v>86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FFA2217B-7E16-4E38-AFF6-79901C5771E0}">
      <formula1>"ロン,ツモ,放銃,ツモ支払,流局,チョンボ"</formula1>
    </dataValidation>
    <dataValidation type="list" allowBlank="1" showInputMessage="1" showErrorMessage="1" sqref="E4:E30" xr:uid="{8E3CD775-C619-46A1-8329-04DA7892E6D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F88DB-4EAF-4739-8275-65EB1C3B17F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157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/>
      <c r="G4" s="9"/>
      <c r="H4" s="9"/>
      <c r="I4" s="48"/>
      <c r="J4" s="21">
        <f>IF(COUNTA($F4,$K4,$P4)&gt;0,J3+SUM(G4:I4),"")</f>
        <v>35000</v>
      </c>
      <c r="K4" s="8" t="s">
        <v>153</v>
      </c>
      <c r="L4" s="9">
        <v>-16000</v>
      </c>
      <c r="M4" s="9"/>
      <c r="N4" s="48">
        <v>0</v>
      </c>
      <c r="O4" s="21">
        <f>IF(COUNTA($F4,$K4,$P4)&gt;0,O3+SUM(L4:N4),"")</f>
        <v>19000</v>
      </c>
      <c r="P4" s="8" t="s">
        <v>152</v>
      </c>
      <c r="Q4" s="9">
        <v>16000</v>
      </c>
      <c r="R4" s="9"/>
      <c r="S4" s="48">
        <v>0</v>
      </c>
      <c r="T4" s="21">
        <f>IF(COUNTA($F4,$K4,$P4)&gt;0,T3+SUM(Q4:S4),"")</f>
        <v>51000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-36</v>
      </c>
      <c r="W4" s="55">
        <f>IF($T4="","",ROUND(($T4-$T$3)/1000,1)+(_xlfn.RANK.AVG($T4,($J4,$O4,$T4),1)-2)*20)</f>
        <v>36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8</v>
      </c>
      <c r="BT4" s="30" t="s">
        <v>149</v>
      </c>
      <c r="BU4" s="40" t="s">
        <v>98</v>
      </c>
      <c r="BV4" s="41" t="s">
        <v>86</v>
      </c>
      <c r="BW4" s="41" t="s">
        <v>86</v>
      </c>
      <c r="BX4" s="41" t="s">
        <v>86</v>
      </c>
      <c r="BY4" s="41" t="s">
        <v>104</v>
      </c>
      <c r="BZ4" s="41" t="s">
        <v>90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155</v>
      </c>
      <c r="G5" s="9">
        <v>-1500</v>
      </c>
      <c r="H5" s="9"/>
      <c r="I5" s="48"/>
      <c r="J5" s="21">
        <f t="shared" ref="J5:J30" si="2">IF(COUNTA($F5,$K5,$P5)&gt;0,J4+SUM(G5:I5),"")</f>
        <v>33500</v>
      </c>
      <c r="K5" s="8" t="s">
        <v>155</v>
      </c>
      <c r="L5" s="9">
        <v>3000</v>
      </c>
      <c r="M5" s="9"/>
      <c r="N5" s="48"/>
      <c r="O5" s="21">
        <f t="shared" ref="O5:O30" si="3">IF(COUNTA($F5,$K5,$P5)&gt;0,O4+SUM(L5:N5),"")</f>
        <v>22000</v>
      </c>
      <c r="P5" s="8" t="s">
        <v>155</v>
      </c>
      <c r="Q5" s="9">
        <v>-1500</v>
      </c>
      <c r="R5" s="9"/>
      <c r="S5" s="48"/>
      <c r="T5" s="21">
        <f t="shared" ref="T5:T30" si="4">IF(COUNTA($F5,$K5,$P5)&gt;0,T4+SUM(Q5:S5),"")</f>
        <v>49500</v>
      </c>
      <c r="U5" s="53">
        <f>IF($J5="","",ROUND(($J5-$J$3)/1000,1)+(_xlfn.RANK.AVG($J5,($J5,$O5,$T5),1)-2)*20)</f>
        <v>-1.5</v>
      </c>
      <c r="V5" s="54">
        <f>IF($O5="","",ROUND(($O5-$O$3)/1000,1)+(_xlfn.RANK.AVG($O5,($J5,$O5,$T5),1)-2)*20)</f>
        <v>-33</v>
      </c>
      <c r="W5" s="55">
        <f>IF($T5="","",ROUND(($T5-$T$3)/1000,1)+(_xlfn.RANK.AVG($T5,($J5,$O5,$T5),1)-2)*20)</f>
        <v>34.5</v>
      </c>
      <c r="Y5" s="8" t="s">
        <v>145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144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147</v>
      </c>
      <c r="G6" s="9">
        <v>12000</v>
      </c>
      <c r="H6" s="9"/>
      <c r="I6" s="48">
        <v>1000</v>
      </c>
      <c r="J6" s="21">
        <f t="shared" si="2"/>
        <v>46500</v>
      </c>
      <c r="K6" s="8" t="s">
        <v>148</v>
      </c>
      <c r="L6" s="9">
        <v>-7500</v>
      </c>
      <c r="M6" s="9"/>
      <c r="N6" s="48">
        <v>-500</v>
      </c>
      <c r="O6" s="21">
        <f t="shared" si="3"/>
        <v>14000</v>
      </c>
      <c r="P6" s="8" t="s">
        <v>148</v>
      </c>
      <c r="Q6" s="9">
        <v>-4500</v>
      </c>
      <c r="R6" s="9"/>
      <c r="S6" s="48">
        <v>-500</v>
      </c>
      <c r="T6" s="21">
        <f t="shared" si="4"/>
        <v>44500</v>
      </c>
      <c r="U6" s="53">
        <f>IF($J6="","",ROUND(($J6-$J$3)/1000,1)+(_xlfn.RANK.AVG($J6,($J6,$O6,$T6),1)-2)*20)</f>
        <v>31.5</v>
      </c>
      <c r="V6" s="54">
        <f>IF($O6="","",ROUND(($O6-$O$3)/1000,1)+(_xlfn.RANK.AVG($O6,($J6,$O6,$T6),1)-2)*20)</f>
        <v>-41</v>
      </c>
      <c r="W6" s="55">
        <f>IF($T6="","",ROUND(($T6-$T$3)/1000,1)+(_xlfn.RANK.AVG($T6,($J6,$O6,$T6),1)-2)*20)</f>
        <v>9.5</v>
      </c>
      <c r="Y6" s="8"/>
      <c r="Z6" s="34"/>
      <c r="AA6" s="26">
        <v>1</v>
      </c>
      <c r="AB6" s="26"/>
      <c r="AC6" s="26">
        <v>6</v>
      </c>
      <c r="AD6" s="30" t="s">
        <v>149</v>
      </c>
      <c r="AE6" s="40" t="s">
        <v>150</v>
      </c>
      <c r="AF6" s="41" t="s">
        <v>82</v>
      </c>
      <c r="AG6" s="41" t="s">
        <v>84</v>
      </c>
      <c r="AH6" s="41" t="s">
        <v>79</v>
      </c>
      <c r="AI6" s="41" t="s">
        <v>80</v>
      </c>
      <c r="AJ6" s="41" t="s">
        <v>80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156</v>
      </c>
      <c r="F7" s="8"/>
      <c r="G7" s="9"/>
      <c r="H7" s="9"/>
      <c r="I7" s="48"/>
      <c r="J7" s="21">
        <f t="shared" si="2"/>
        <v>46500</v>
      </c>
      <c r="K7" s="8" t="s">
        <v>153</v>
      </c>
      <c r="L7" s="9">
        <v>-3900</v>
      </c>
      <c r="M7" s="9"/>
      <c r="N7" s="48">
        <v>0</v>
      </c>
      <c r="O7" s="21">
        <f t="shared" si="3"/>
        <v>10100</v>
      </c>
      <c r="P7" s="8" t="s">
        <v>152</v>
      </c>
      <c r="Q7" s="9">
        <v>3900</v>
      </c>
      <c r="R7" s="9"/>
      <c r="S7" s="48">
        <v>0</v>
      </c>
      <c r="T7" s="21">
        <f t="shared" si="4"/>
        <v>48400</v>
      </c>
      <c r="U7" s="53">
        <f>IF($J7="","",ROUND(($J7-$J$3)/1000,1)+(_xlfn.RANK.AVG($J7,($J7,$O7,$T7),1)-2)*20)</f>
        <v>11.5</v>
      </c>
      <c r="V7" s="54">
        <f>IF($O7="","",ROUND(($O7-$O$3)/1000,1)+(_xlfn.RANK.AVG($O7,($J7,$O7,$T7),1)-2)*20)</f>
        <v>-44.9</v>
      </c>
      <c r="W7" s="55">
        <f>IF($T7="","",ROUND(($T7-$T$3)/1000,1)+(_xlfn.RANK.AVG($T7,($J7,$O7,$T7),1)-2)*20)</f>
        <v>33.4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150</v>
      </c>
      <c r="BV7" s="41" t="s">
        <v>80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156</v>
      </c>
      <c r="F8" s="8" t="s">
        <v>152</v>
      </c>
      <c r="G8" s="9">
        <v>8000</v>
      </c>
      <c r="H8" s="9"/>
      <c r="I8" s="48">
        <v>1000</v>
      </c>
      <c r="J8" s="21">
        <f t="shared" si="2"/>
        <v>55500</v>
      </c>
      <c r="K8" s="8" t="s">
        <v>153</v>
      </c>
      <c r="L8" s="9">
        <v>-8000</v>
      </c>
      <c r="M8" s="9"/>
      <c r="N8" s="48">
        <v>-1000</v>
      </c>
      <c r="O8" s="21">
        <f t="shared" si="3"/>
        <v>1100</v>
      </c>
      <c r="P8" s="8"/>
      <c r="Q8" s="9"/>
      <c r="R8" s="9"/>
      <c r="S8" s="48"/>
      <c r="T8" s="21">
        <f t="shared" si="4"/>
        <v>48400</v>
      </c>
      <c r="U8" s="53">
        <f>IF($J8="","",ROUND(($J8-$J$3)/1000,1)+(_xlfn.RANK.AVG($J8,($J8,$O8,$T8),1)-2)*20)</f>
        <v>40.5</v>
      </c>
      <c r="V8" s="54">
        <f>IF($O8="","",ROUND(($O8-$O$3)/1000,1)+(_xlfn.RANK.AVG($O8,($J8,$O8,$T8),1)-2)*20)</f>
        <v>-53.9</v>
      </c>
      <c r="W8" s="55">
        <f>IF($T8="","",ROUND(($T8-$T$3)/1000,1)+(_xlfn.RANK.AVG($T8,($J8,$O8,$T8),1)-2)*20)</f>
        <v>13.4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150</v>
      </c>
      <c r="AF8" s="41" t="s">
        <v>84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/>
      <c r="G9" s="9"/>
      <c r="H9" s="9"/>
      <c r="I9" s="48"/>
      <c r="J9" s="21">
        <f t="shared" si="2"/>
        <v>55500</v>
      </c>
      <c r="K9" s="8" t="s">
        <v>153</v>
      </c>
      <c r="L9" s="9">
        <v>-12000</v>
      </c>
      <c r="M9" s="9"/>
      <c r="N9" s="48">
        <v>0</v>
      </c>
      <c r="O9" s="21">
        <f t="shared" si="3"/>
        <v>-10900</v>
      </c>
      <c r="P9" s="8" t="s">
        <v>152</v>
      </c>
      <c r="Q9" s="9">
        <v>12000</v>
      </c>
      <c r="R9" s="9"/>
      <c r="S9" s="48">
        <v>0</v>
      </c>
      <c r="T9" s="21">
        <f t="shared" si="4"/>
        <v>60400</v>
      </c>
      <c r="U9" s="53">
        <f>IF($J9="","",ROUND(($J9-$J$3)/1000,1)+(_xlfn.RANK.AVG($J9,($J9,$O9,$T9),1)-2)*20)</f>
        <v>20.5</v>
      </c>
      <c r="V9" s="54">
        <f>IF($O9="","",ROUND(($O9-$O$3)/1000,1)+(_xlfn.RANK.AVG($O9,($J9,$O9,$T9),1)-2)*20)</f>
        <v>-65.900000000000006</v>
      </c>
      <c r="W9" s="55">
        <f>IF($T9="","",ROUND(($T9-$T$3)/1000,1)+(_xlfn.RANK.AVG($T9,($J9,$O9,$T9),1)-2)*20)</f>
        <v>45.4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149</v>
      </c>
      <c r="BU9" s="40" t="s">
        <v>150</v>
      </c>
      <c r="BV9" s="41" t="s">
        <v>104</v>
      </c>
      <c r="BW9" s="41" t="s">
        <v>101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95F47B2F-0AE2-4835-A3A9-7CE229EA380E}">
      <formula1>$U$2:$W$2</formula1>
    </dataValidation>
    <dataValidation type="list" showInputMessage="1" showErrorMessage="1" sqref="K4:K30 P4:P30 F4:F30" xr:uid="{1537BAEB-37F6-40FC-8154-124D682A5B0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2019-05-19T05:53:42Z</dcterms:modified>
</cp:coreProperties>
</file>