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17C3E811-A6B6-4982-A56E-DB50002C7536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O15" i="21"/>
  <c r="J15" i="21"/>
  <c r="D15" i="21"/>
  <c r="C15" i="21"/>
  <c r="B15" i="21"/>
  <c r="A15" i="21"/>
  <c r="T14" i="21"/>
  <c r="O14" i="21"/>
  <c r="J14" i="21"/>
  <c r="D14" i="21"/>
  <c r="C14" i="21"/>
  <c r="B14" i="21"/>
  <c r="A14" i="21" s="1"/>
  <c r="T13" i="21"/>
  <c r="W13" i="21" s="1"/>
  <c r="O13" i="21"/>
  <c r="J13" i="21"/>
  <c r="D13" i="21"/>
  <c r="C13" i="21"/>
  <c r="B13" i="21"/>
  <c r="A13" i="21"/>
  <c r="D12" i="21"/>
  <c r="C12" i="21"/>
  <c r="D11" i="21"/>
  <c r="C11" i="21"/>
  <c r="D10" i="21"/>
  <c r="D9" i="21"/>
  <c r="D8" i="21"/>
  <c r="D7" i="21"/>
  <c r="C7" i="21"/>
  <c r="C8" i="21" s="1"/>
  <c r="C9" i="21" s="1"/>
  <c r="C10" i="21" s="1"/>
  <c r="D6" i="21"/>
  <c r="C6" i="21"/>
  <c r="O5" i="21"/>
  <c r="J5" i="21"/>
  <c r="D5" i="21"/>
  <c r="C5" i="21"/>
  <c r="B5" i="21"/>
  <c r="B6" i="21" s="1"/>
  <c r="A5" i="2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 s="1"/>
  <c r="T12" i="20"/>
  <c r="O12" i="20"/>
  <c r="V12" i="20" s="1"/>
  <c r="J12" i="20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T10" i="20"/>
  <c r="W10" i="20" s="1"/>
  <c r="O10" i="20"/>
  <c r="V10" i="20" s="1"/>
  <c r="J10" i="20"/>
  <c r="U10" i="20" s="1"/>
  <c r="D10" i="20"/>
  <c r="C10" i="20"/>
  <c r="B10" i="20"/>
  <c r="A10" i="20" s="1"/>
  <c r="D9" i="20"/>
  <c r="C9" i="20"/>
  <c r="D8" i="20"/>
  <c r="C8" i="20"/>
  <c r="D7" i="20"/>
  <c r="C7" i="20"/>
  <c r="D6" i="20"/>
  <c r="C6" i="20"/>
  <c r="O5" i="20"/>
  <c r="J5" i="20"/>
  <c r="D5" i="20"/>
  <c r="C5" i="20"/>
  <c r="B5" i="20"/>
  <c r="B6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V15" i="21" l="1"/>
  <c r="U15" i="21"/>
  <c r="W15" i="21"/>
  <c r="U14" i="21"/>
  <c r="W14" i="21"/>
  <c r="V14" i="21"/>
  <c r="U13" i="21"/>
  <c r="V13" i="21"/>
  <c r="U4" i="21"/>
  <c r="B7" i="21"/>
  <c r="A7" i="21" s="1"/>
  <c r="V4" i="21"/>
  <c r="T5" i="21"/>
  <c r="V5" i="21" s="1"/>
  <c r="J6" i="21"/>
  <c r="W4" i="21"/>
  <c r="O6" i="21"/>
  <c r="A6" i="21"/>
  <c r="U12" i="20"/>
  <c r="W12" i="20"/>
  <c r="W11" i="20"/>
  <c r="V11" i="20"/>
  <c r="A5" i="20"/>
  <c r="V4" i="20"/>
  <c r="A6" i="20"/>
  <c r="B7" i="20"/>
  <c r="U4" i="20"/>
  <c r="T5" i="20"/>
  <c r="J6" i="20"/>
  <c r="O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O8" i="19"/>
  <c r="J8" i="19"/>
  <c r="U8" i="19" s="1"/>
  <c r="D8" i="19"/>
  <c r="C8" i="19"/>
  <c r="B8" i="19"/>
  <c r="A8" i="19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5" i="21" l="1"/>
  <c r="J7" i="21"/>
  <c r="W5" i="21"/>
  <c r="T6" i="21"/>
  <c r="V6" i="21" s="1"/>
  <c r="B8" i="21"/>
  <c r="A8" i="21"/>
  <c r="O7" i="21"/>
  <c r="J7" i="20"/>
  <c r="W5" i="20"/>
  <c r="T6" i="20"/>
  <c r="U6" i="20" s="1"/>
  <c r="V5" i="20"/>
  <c r="U5" i="20"/>
  <c r="B8" i="20"/>
  <c r="A7" i="20"/>
  <c r="V6" i="20"/>
  <c r="O7" i="20"/>
  <c r="W9" i="19"/>
  <c r="W8" i="19"/>
  <c r="V8" i="19"/>
  <c r="W7" i="19"/>
  <c r="V7" i="19"/>
  <c r="U6" i="19"/>
  <c r="W6" i="19"/>
  <c r="V6" i="19"/>
  <c r="U4" i="19"/>
  <c r="V4" i="19"/>
  <c r="W4" i="19"/>
  <c r="J5" i="19"/>
  <c r="O5" i="19"/>
  <c r="U6" i="21" l="1"/>
  <c r="W6" i="21"/>
  <c r="T7" i="21"/>
  <c r="V7" i="21" s="1"/>
  <c r="U7" i="21"/>
  <c r="J8" i="21"/>
  <c r="O8" i="21"/>
  <c r="B9" i="21"/>
  <c r="A8" i="20"/>
  <c r="B9" i="20"/>
  <c r="A9" i="20" s="1"/>
  <c r="O8" i="20"/>
  <c r="U7" i="20"/>
  <c r="J8" i="20"/>
  <c r="W6" i="20"/>
  <c r="T7" i="20"/>
  <c r="V5" i="19"/>
  <c r="W5" i="19"/>
  <c r="U5" i="19"/>
  <c r="B10" i="21" l="1"/>
  <c r="A10" i="21" s="1"/>
  <c r="A9" i="21"/>
  <c r="O9" i="21"/>
  <c r="J9" i="21"/>
  <c r="T8" i="21"/>
  <c r="U8" i="21" s="1"/>
  <c r="W7" i="21"/>
  <c r="T8" i="20"/>
  <c r="W7" i="20"/>
  <c r="O9" i="20"/>
  <c r="V8" i="20"/>
  <c r="J9" i="20"/>
  <c r="V7" i="20"/>
  <c r="W8" i="21" l="1"/>
  <c r="T9" i="21"/>
  <c r="U9" i="21"/>
  <c r="J10" i="21"/>
  <c r="O10" i="21"/>
  <c r="V8" i="21"/>
  <c r="B11" i="21"/>
  <c r="A11" i="21" s="1"/>
  <c r="U8" i="20"/>
  <c r="W8" i="20"/>
  <c r="T9" i="20"/>
  <c r="U10" i="21" l="1"/>
  <c r="J11" i="21"/>
  <c r="B12" i="21"/>
  <c r="A12" i="21" s="1"/>
  <c r="O11" i="21"/>
  <c r="W9" i="21"/>
  <c r="T10" i="21"/>
  <c r="V9" i="21"/>
  <c r="W9" i="20"/>
  <c r="V9" i="20"/>
  <c r="U9" i="20"/>
  <c r="J12" i="21" l="1"/>
  <c r="W10" i="21"/>
  <c r="T11" i="21"/>
  <c r="O12" i="21"/>
  <c r="V10" i="21"/>
  <c r="V11" i="21" l="1"/>
  <c r="T12" i="21"/>
  <c r="W11" i="21"/>
  <c r="U11" i="21"/>
  <c r="W12" i="21" l="1"/>
  <c r="V12" i="21"/>
  <c r="U12" i="21"/>
</calcChain>
</file>

<file path=xl/sharedStrings.xml><?xml version="1.0" encoding="utf-8"?>
<sst xmlns="http://schemas.openxmlformats.org/spreadsheetml/2006/main" count="822" uniqueCount="205">
  <si>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</si>
  <si>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</si>
  <si>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</si>
  <si>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</si>
  <si>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</si>
  <si>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</si>
  <si>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</si>
  <si>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</si>
  <si>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</si>
  <si>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</si>
  <si>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</si>
  <si>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</si>
  <si>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</si>
  <si>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</si>
  <si>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</si>
  <si>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</si>
  <si>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</si>
  <si>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</si>
  <si>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</si>
  <si>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</si>
  <si>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</si>
  <si>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</si>
  <si>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</si>
  <si>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</si>
  <si>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</si>
  <si>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</si>
  <si>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</si>
  <si>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</si>
  <si>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</si>
  <si>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</si>
  <si>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</si>
  <si>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</si>
  <si>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</si>
  <si>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</si>
  <si>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</si>
  <si>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</si>
  <si>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</si>
  <si>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</si>
  <si>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</si>
  <si>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</si>
  <si>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</si>
  <si>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</si>
  <si>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</si>
  <si>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</si>
  <si>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</si>
  <si>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</si>
  <si>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</si>
  <si>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</si>
  <si>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</si>
  <si>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</si>
  <si>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</si>
  <si>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</si>
  <si>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</si>
  <si>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</si>
  <si>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</si>
  <si>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</si>
  <si>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</si>
  <si>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</si>
  <si>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</si>
  <si>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</si>
  <si>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</si>
  <si>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</si>
  <si>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</si>
  <si>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</si>
  <si>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</si>
  <si>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</si>
  <si>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</si>
  <si>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</si>
  <si>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</si>
  <si>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</si>
  <si>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</si>
  <si>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</si>
  <si>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</si>
  <si>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</si>
  <si>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</si>
  <si>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</si>
  <si>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</si>
  <si>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</si>
  <si>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</si>
  <si>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</si>
  <si>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</si>
  <si>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</si>
  <si>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</si>
  <si>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</si>
  <si>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</si>
  <si>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</si>
  <si>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</si>
  <si>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</si>
  <si>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</si>
  <si>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</si>
  <si>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</si>
  <si>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</si>
  <si>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</si>
  <si>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</si>
  <si>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</si>
  <si>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</si>
  <si>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</si>
  <si>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</si>
  <si>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</si>
  <si>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</si>
  <si>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</si>
  <si>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</si>
  <si>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</si>
  <si>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</si>
  <si>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</si>
  <si>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</si>
  <si>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</si>
  <si>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</si>
  <si>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</si>
  <si>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</si>
  <si>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</si>
  <si>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</si>
  <si>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</si>
  <si>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</si>
  <si>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</si>
  <si>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</si>
  <si>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</si>
  <si>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</si>
  <si>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</si>
  <si>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</si>
  <si>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</si>
  <si>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</si>
  <si>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</si>
  <si>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</si>
  <si>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</si>
  <si>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</si>
  <si>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</si>
  <si>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</si>
  <si>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</si>
  <si>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</si>
  <si>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</si>
  <si>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</si>
  <si>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</si>
  <si>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</si>
  <si>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</si>
  <si>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</si>
  <si>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</si>
  <si>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</si>
  <si>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</si>
  <si>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</si>
  <si>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</si>
  <si>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</si>
  <si>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</si>
  <si>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</si>
  <si>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</si>
  <si>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</si>
  <si>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</si>
  <si>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</si>
  <si>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</si>
  <si>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</si>
  <si>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</si>
  <si>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</si>
  <si>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</si>
  <si>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</si>
  <si>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</si>
  <si>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</si>
  <si>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</si>
  <si>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</si>
  <si>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</si>
  <si>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</si>
  <si>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</si>
  <si>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</si>
  <si>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</si>
  <si>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</si>
  <si>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</si>
  <si>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</si>
  <si>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</si>
  <si>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</si>
  <si>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</si>
  <si>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</si>
  <si>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</si>
  <si>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</si>
  <si>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</si>
  <si>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</si>
  <si>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</si>
  <si>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</si>
  <si>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</si>
  <si>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</si>
  <si>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</si>
  <si>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</si>
  <si>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</si>
  <si>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</si>
  <si>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</si>
  <si>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</si>
  <si>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</si>
  <si>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</si>
  <si>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</si>
  <si>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</si>
  <si>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</si>
  <si>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</si>
  <si>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</si>
  <si>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</si>
  <si>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ただ</t>
  </si>
  <si>
    <t>たかの</t>
  </si>
  <si>
    <t>ツモ支払</t>
  </si>
  <si>
    <t>ツモ</t>
  </si>
  <si>
    <t>52</t>
  </si>
  <si>
    <t>*</t>
  </si>
  <si>
    <t>01</t>
  </si>
  <si>
    <t>放銃</t>
  </si>
  <si>
    <t>ロン</t>
  </si>
  <si>
    <t>02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</si>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</sst>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たかの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195</v>
      </c>
      <c r="L4" s="9">
        <v>2100</v>
      </c>
      <c r="M4" s="9">
        <v>1000</v>
      </c>
      <c r="N4" s="48">
        <v>0</v>
      </c>
      <c r="O4" s="21">
        <f>IF(COUNTA($F4,$K4,$P4)&gt;0,O3+SUM(L4:N4),"")</f>
        <v>38100</v>
      </c>
      <c r="P4" s="8" t="s">
        <v>194</v>
      </c>
      <c r="Q4" s="9">
        <v>-800</v>
      </c>
      <c r="R4" s="9">
        <v>-1000</v>
      </c>
      <c r="S4" s="48">
        <v>0</v>
      </c>
      <c r="T4" s="21">
        <f>IF(COUNTA($F4,$K4,$P4)&gt;0,T3+SUM(Q4:S4),"")</f>
        <v>33200</v>
      </c>
      <c r="U4" s="53">
        <f>IF($J4="","",ROUND(($J4-$J$3)/1000,1)+(_xlfn.RANK.AVG($J4,($J4,$O4,$T4),1)-2)*20)</f>
        <v>-1.3</v>
      </c>
      <c r="V4" s="54">
        <f>IF($O4="","",ROUND(($O4-$O$3)/1000,1)+(_xlfn.RANK.AVG($O4,($J4,$O4,$T4),1)-2)*20)</f>
        <v>23.1</v>
      </c>
      <c r="W4" s="55">
        <f>IF($T4="","",ROUND(($T4-$T$3)/1000,1)+(_xlfn.RANK.AVG($T4,($J4,$O4,$T4),1)-2)*20)</f>
        <v>-21.8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30</v>
      </c>
      <c r="AZ4" s="40" t="s">
        <v>82</v>
      </c>
      <c r="BA4" s="41" t="s">
        <v>86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194</v>
      </c>
      <c r="G5" s="9">
        <v>-1500</v>
      </c>
      <c r="H5" s="9"/>
      <c r="I5" s="48">
        <v>0</v>
      </c>
      <c r="J5" s="21">
        <f t="shared" ref="J5:J30" si="2">IF(COUNTA($F5,$K5,$P5)&gt;0,J4+SUM(G5:I5),"")</f>
        <v>32200</v>
      </c>
      <c r="K5" s="8" t="s">
        <v>194</v>
      </c>
      <c r="L5" s="9">
        <v>-2500</v>
      </c>
      <c r="M5" s="9"/>
      <c r="N5" s="48">
        <v>0</v>
      </c>
      <c r="O5" s="21">
        <f t="shared" ref="O5:O30" si="3">IF(COUNTA($F5,$K5,$P5)&gt;0,O4+SUM(L5:N5),"")</f>
        <v>35600</v>
      </c>
      <c r="P5" s="8" t="s">
        <v>195</v>
      </c>
      <c r="Q5" s="9">
        <v>4000</v>
      </c>
      <c r="R5" s="9"/>
      <c r="S5" s="48">
        <v>0</v>
      </c>
      <c r="T5" s="21">
        <f t="shared" ref="T5:T30" si="4">IF(COUNTA($F5,$K5,$P5)&gt;0,T4+SUM(Q5:S5),"")</f>
        <v>37200</v>
      </c>
      <c r="U5" s="53">
        <f>IF($J5="","",ROUND(($J5-$J$3)/1000,1)+(_xlfn.RANK.AVG($J5,($J5,$O5,$T5),1)-2)*20)</f>
        <v>-22.8</v>
      </c>
      <c r="V5" s="54">
        <f>IF($O5="","",ROUND(($O5-$O$3)/1000,1)+(_xlfn.RANK.AVG($O5,($J5,$O5,$T5),1)-2)*20)</f>
        <v>0.6</v>
      </c>
      <c r="W5" s="55">
        <f>IF($T5="","",ROUND(($T5-$T$3)/1000,1)+(_xlfn.RANK.AVG($T5,($J5,$O5,$T5),1)-2)*20)</f>
        <v>22.2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82</v>
      </c>
      <c r="BV5" s="41" t="s">
        <v>196</v>
      </c>
      <c r="BW5" s="41" t="s">
        <v>196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194</v>
      </c>
      <c r="G6" s="9">
        <v>-1100</v>
      </c>
      <c r="H6" s="9"/>
      <c r="I6" s="48">
        <v>0</v>
      </c>
      <c r="J6" s="21">
        <f t="shared" si="2"/>
        <v>31100</v>
      </c>
      <c r="K6" s="8" t="s">
        <v>195</v>
      </c>
      <c r="L6" s="9">
        <v>2800</v>
      </c>
      <c r="M6" s="9"/>
      <c r="N6" s="48">
        <v>0</v>
      </c>
      <c r="O6" s="21">
        <f t="shared" si="3"/>
        <v>38400</v>
      </c>
      <c r="P6" s="8" t="s">
        <v>194</v>
      </c>
      <c r="Q6" s="9">
        <v>-1700</v>
      </c>
      <c r="R6" s="9"/>
      <c r="S6" s="48">
        <v>0</v>
      </c>
      <c r="T6" s="21">
        <f t="shared" si="4"/>
        <v>35500</v>
      </c>
      <c r="U6" s="53">
        <f>IF($J6="","",ROUND(($J6-$J$3)/1000,1)+(_xlfn.RANK.AVG($J6,($J6,$O6,$T6),1)-2)*20)</f>
        <v>-23.9</v>
      </c>
      <c r="V6" s="54">
        <f>IF($O6="","",ROUND(($O6-$O$3)/1000,1)+(_xlfn.RANK.AVG($O6,($J6,$O6,$T6),1)-2)*20)</f>
        <v>23.4</v>
      </c>
      <c r="W6" s="55">
        <f>IF($T6="","",ROUND(($T6-$T$3)/1000,1)+(_xlfn.RANK.AVG($T6,($J6,$O6,$T6),1)-2)*20)</f>
        <v>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20</v>
      </c>
      <c r="AZ6" s="40" t="s">
        <v>83</v>
      </c>
      <c r="BA6" s="41" t="s">
        <v>82</v>
      </c>
      <c r="BB6" s="41" t="s">
        <v>84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194</v>
      </c>
      <c r="G7" s="9">
        <v>-4800</v>
      </c>
      <c r="H7" s="9"/>
      <c r="I7" s="48">
        <v>0</v>
      </c>
      <c r="J7" s="21">
        <f t="shared" si="2"/>
        <v>26300</v>
      </c>
      <c r="K7" s="8" t="s">
        <v>195</v>
      </c>
      <c r="L7" s="9">
        <v>7700</v>
      </c>
      <c r="M7" s="9"/>
      <c r="N7" s="48">
        <v>0</v>
      </c>
      <c r="O7" s="21">
        <f t="shared" si="3"/>
        <v>46100</v>
      </c>
      <c r="P7" s="8" t="s">
        <v>194</v>
      </c>
      <c r="Q7" s="9">
        <v>-2900</v>
      </c>
      <c r="R7" s="9"/>
      <c r="S7" s="48">
        <v>0</v>
      </c>
      <c r="T7" s="21">
        <f t="shared" si="4"/>
        <v>32600</v>
      </c>
      <c r="U7" s="53">
        <f>IF($J7="","",ROUND(($J7-$J$3)/1000,1)+(_xlfn.RANK.AVG($J7,($J7,$O7,$T7),1)-2)*20)</f>
        <v>-28.7</v>
      </c>
      <c r="V7" s="54">
        <f>IF($O7="","",ROUND(($O7-$O$3)/1000,1)+(_xlfn.RANK.AVG($O7,($J7,$O7,$T7),1)-2)*20)</f>
        <v>31.1</v>
      </c>
      <c r="W7" s="55">
        <f>IF($T7="","",ROUND(($T7-$T$3)/1000,1)+(_xlfn.RANK.AVG($T7,($J7,$O7,$T7),1)-2)*20)</f>
        <v>-2.4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79</v>
      </c>
      <c r="BA7" s="41" t="s">
        <v>79</v>
      </c>
      <c r="BB7" s="41" t="s">
        <v>79</v>
      </c>
      <c r="BC7" s="41" t="s">
        <v>86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194</v>
      </c>
      <c r="G8" s="9">
        <v>-3000</v>
      </c>
      <c r="H8" s="9"/>
      <c r="I8" s="48">
        <v>0</v>
      </c>
      <c r="J8" s="21">
        <f t="shared" si="2"/>
        <v>23300</v>
      </c>
      <c r="K8" s="8" t="s">
        <v>194</v>
      </c>
      <c r="L8" s="9">
        <v>-5000</v>
      </c>
      <c r="M8" s="9"/>
      <c r="N8" s="48">
        <v>0</v>
      </c>
      <c r="O8" s="21">
        <f t="shared" si="3"/>
        <v>41100</v>
      </c>
      <c r="P8" s="8" t="s">
        <v>195</v>
      </c>
      <c r="Q8" s="9">
        <v>8000</v>
      </c>
      <c r="R8" s="9"/>
      <c r="S8" s="48">
        <v>0</v>
      </c>
      <c r="T8" s="21">
        <f t="shared" si="4"/>
        <v>40600</v>
      </c>
      <c r="U8" s="53">
        <f>IF($J8="","",ROUND(($J8-$J$3)/1000,1)+(_xlfn.RANK.AVG($J8,($J8,$O8,$T8),1)-2)*20)</f>
        <v>-31.7</v>
      </c>
      <c r="V8" s="54">
        <f>IF($O8="","",ROUND(($O8-$O$3)/1000,1)+(_xlfn.RANK.AVG($O8,($J8,$O8,$T8),1)-2)*20)</f>
        <v>26.1</v>
      </c>
      <c r="W8" s="55">
        <f>IF($T8="","",ROUND(($T8-$T$3)/1000,1)+(_xlfn.RANK.AVG($T8,($J8,$O8,$T8),1)-2)*20)</f>
        <v>5.6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5</v>
      </c>
      <c r="BT8" s="30" t="s">
        <v>197</v>
      </c>
      <c r="BU8" s="40" t="s">
        <v>79</v>
      </c>
      <c r="BV8" s="41" t="s">
        <v>79</v>
      </c>
      <c r="BW8" s="41" t="s">
        <v>101</v>
      </c>
      <c r="BX8" s="41" t="s">
        <v>82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195</v>
      </c>
      <c r="G9" s="9">
        <v>8000</v>
      </c>
      <c r="H9" s="9"/>
      <c r="I9" s="48">
        <v>0</v>
      </c>
      <c r="J9" s="21">
        <f t="shared" si="2"/>
        <v>31300</v>
      </c>
      <c r="K9" s="8" t="s">
        <v>194</v>
      </c>
      <c r="L9" s="9">
        <v>-3000</v>
      </c>
      <c r="M9" s="9"/>
      <c r="N9" s="48">
        <v>0</v>
      </c>
      <c r="O9" s="21">
        <f t="shared" si="3"/>
        <v>38100</v>
      </c>
      <c r="P9" s="8" t="s">
        <v>194</v>
      </c>
      <c r="Q9" s="9">
        <v>-5000</v>
      </c>
      <c r="R9" s="9"/>
      <c r="S9" s="48">
        <v>0</v>
      </c>
      <c r="T9" s="21">
        <f t="shared" si="4"/>
        <v>35600</v>
      </c>
      <c r="U9" s="53">
        <f>IF($J9="","",ROUND(($J9-$J$3)/1000,1)+(_xlfn.RANK.AVG($J9,($J9,$O9,$T9),1)-2)*20)</f>
        <v>-23.7</v>
      </c>
      <c r="V9" s="54">
        <f>IF($O9="","",ROUND(($O9-$O$3)/1000,1)+(_xlfn.RANK.AVG($O9,($J9,$O9,$T9),1)-2)*20)</f>
        <v>23.1</v>
      </c>
      <c r="W9" s="55">
        <f>IF($T9="","",ROUND(($T9-$T$3)/1000,1)+(_xlfn.RANK.AVG($T9,($J9,$O9,$T9),1)-2)*20)</f>
        <v>0.6</v>
      </c>
      <c r="Y9" s="8"/>
      <c r="Z9" s="34"/>
      <c r="AA9" s="26">
        <v>1</v>
      </c>
      <c r="AB9" s="26"/>
      <c r="AC9" s="26">
        <v>5</v>
      </c>
      <c r="AD9" s="30" t="s">
        <v>197</v>
      </c>
      <c r="AE9" s="40" t="s">
        <v>198</v>
      </c>
      <c r="AF9" s="41" t="s">
        <v>82</v>
      </c>
      <c r="AG9" s="41" t="s">
        <v>84</v>
      </c>
      <c r="AH9" s="41" t="s">
        <v>85</v>
      </c>
      <c r="AI9" s="41" t="s">
        <v>83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CB4360F-DDEC-4C04-BBEA-894506C71564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1628-3A35-4370-89DE-17B932731AE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たかの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195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194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194</v>
      </c>
      <c r="Q4" s="9">
        <v>-7500</v>
      </c>
      <c r="R4" s="9">
        <v>-1000</v>
      </c>
      <c r="S4" s="48">
        <v>0</v>
      </c>
      <c r="T4" s="21">
        <f>IF(COUNTA($F4,$K4,$P4)&gt;0,T3+SUM(Q4:S4),"")</f>
        <v>26500</v>
      </c>
      <c r="U4" s="53">
        <f>IF($J4="","",ROUND(($J4-$J$3)/1000,1)+(_xlfn.RANK.AVG($J4,($J4,$O4,$T4),1)-2)*20)</f>
        <v>33</v>
      </c>
      <c r="V4" s="54">
        <f>IF($O4="","",ROUND(($O4-$O$3)/1000,1)+(_xlfn.RANK.AVG($O4,($J4,$O4,$T4),1)-2)*20)</f>
        <v>-4.5</v>
      </c>
      <c r="W4" s="55">
        <f>IF($T4="","",ROUND(($T4-$T$3)/1000,1)+(_xlfn.RANK.AVG($T4,($J4,$O4,$T4),1)-2)*20)</f>
        <v>-28.5</v>
      </c>
      <c r="Y4" s="8"/>
      <c r="Z4" s="34"/>
      <c r="AA4" s="26"/>
      <c r="AB4" s="26">
        <v>1</v>
      </c>
      <c r="AC4" s="26">
        <v>7</v>
      </c>
      <c r="AD4" s="30" t="s">
        <v>197</v>
      </c>
      <c r="AE4" s="40" t="s">
        <v>98</v>
      </c>
      <c r="AF4" s="41" t="s">
        <v>86</v>
      </c>
      <c r="AG4" s="41" t="s">
        <v>86</v>
      </c>
      <c r="AH4" s="41" t="s">
        <v>79</v>
      </c>
      <c r="AI4" s="41" t="s">
        <v>79</v>
      </c>
      <c r="AJ4" s="41" t="s">
        <v>79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199</v>
      </c>
      <c r="G5" s="9">
        <v>-6400</v>
      </c>
      <c r="H5" s="9"/>
      <c r="I5" s="48">
        <v>0</v>
      </c>
      <c r="J5" s="21">
        <f t="shared" ref="J5:J30" si="2">IF(COUNTA($F5,$K5,$P5)&gt;0,J4+SUM(G5:I5),"")</f>
        <v>41600</v>
      </c>
      <c r="K5" s="8" t="s">
        <v>200</v>
      </c>
      <c r="L5" s="9">
        <v>6400</v>
      </c>
      <c r="M5" s="9"/>
      <c r="N5" s="48">
        <v>0</v>
      </c>
      <c r="O5" s="21">
        <f t="shared" ref="O5:O30" si="3">IF(COUNTA($F5,$K5,$P5)&gt;0,O4+SUM(L5:N5),"")</f>
        <v>36900</v>
      </c>
      <c r="P5" s="8"/>
      <c r="Q5" s="9"/>
      <c r="R5" s="9"/>
      <c r="S5" s="48"/>
      <c r="T5" s="21">
        <f t="shared" ref="T5:T30" si="4">IF(COUNTA($F5,$K5,$P5)&gt;0,T4+SUM(Q5:S5),"")</f>
        <v>26500</v>
      </c>
      <c r="U5" s="53">
        <f>IF($J5="","",ROUND(($J5-$J$3)/1000,1)+(_xlfn.RANK.AVG($J5,($J5,$O5,$T5),1)-2)*20)</f>
        <v>26.6</v>
      </c>
      <c r="V5" s="54">
        <f>IF($O5="","",ROUND(($O5-$O$3)/1000,1)+(_xlfn.RANK.AVG($O5,($J5,$O5,$T5),1)-2)*20)</f>
        <v>1.9</v>
      </c>
      <c r="W5" s="55">
        <f>IF($T5="","",ROUND(($T5-$T$3)/1000,1)+(_xlfn.RANK.AVG($T5,($J5,$O5,$T5),1)-2)*20)</f>
        <v>-28.5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25</v>
      </c>
      <c r="AZ5" s="40" t="s">
        <v>198</v>
      </c>
      <c r="BA5" s="41" t="s">
        <v>201</v>
      </c>
      <c r="BB5" s="41" t="s">
        <v>101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195</v>
      </c>
      <c r="G6" s="9">
        <v>12000</v>
      </c>
      <c r="H6" s="9"/>
      <c r="I6" s="48">
        <v>0</v>
      </c>
      <c r="J6" s="21">
        <f t="shared" si="2"/>
        <v>53600</v>
      </c>
      <c r="K6" s="8" t="s">
        <v>194</v>
      </c>
      <c r="L6" s="9">
        <v>-7500</v>
      </c>
      <c r="M6" s="9"/>
      <c r="N6" s="48">
        <v>0</v>
      </c>
      <c r="O6" s="21">
        <f t="shared" si="3"/>
        <v>29400</v>
      </c>
      <c r="P6" s="8" t="s">
        <v>194</v>
      </c>
      <c r="Q6" s="9">
        <v>-4500</v>
      </c>
      <c r="R6" s="9"/>
      <c r="S6" s="48">
        <v>0</v>
      </c>
      <c r="T6" s="21">
        <f t="shared" si="4"/>
        <v>22000</v>
      </c>
      <c r="U6" s="53">
        <f>IF($J6="","",ROUND(($J6-$J$3)/1000,1)+(_xlfn.RANK.AVG($J6,($J6,$O6,$T6),1)-2)*20)</f>
        <v>38.6</v>
      </c>
      <c r="V6" s="54">
        <f>IF($O6="","",ROUND(($O6-$O$3)/1000,1)+(_xlfn.RANK.AVG($O6,($J6,$O6,$T6),1)-2)*20)</f>
        <v>-5.6</v>
      </c>
      <c r="W6" s="55">
        <f>IF($T6="","",ROUND(($T6-$T$3)/1000,1)+(_xlfn.RANK.AVG($T6,($J6,$O6,$T6),1)-2)*20)</f>
        <v>-33</v>
      </c>
      <c r="Y6" s="8"/>
      <c r="Z6" s="34"/>
      <c r="AA6" s="26">
        <v>1</v>
      </c>
      <c r="AB6" s="26"/>
      <c r="AC6" s="26">
        <v>6</v>
      </c>
      <c r="AD6" s="30" t="s">
        <v>197</v>
      </c>
      <c r="AE6" s="40" t="s">
        <v>198</v>
      </c>
      <c r="AF6" s="41" t="s">
        <v>82</v>
      </c>
      <c r="AG6" s="41" t="s">
        <v>83</v>
      </c>
      <c r="AH6" s="41" t="s">
        <v>80</v>
      </c>
      <c r="AI6" s="41" t="s">
        <v>196</v>
      </c>
      <c r="AJ6" s="41" t="s">
        <v>79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194</v>
      </c>
      <c r="G7" s="9">
        <v>-6000</v>
      </c>
      <c r="H7" s="9"/>
      <c r="I7" s="48">
        <v>0</v>
      </c>
      <c r="J7" s="21">
        <f t="shared" si="2"/>
        <v>47600</v>
      </c>
      <c r="K7" s="8" t="s">
        <v>194</v>
      </c>
      <c r="L7" s="9">
        <v>-6000</v>
      </c>
      <c r="M7" s="9"/>
      <c r="N7" s="48">
        <v>0</v>
      </c>
      <c r="O7" s="21">
        <f t="shared" si="3"/>
        <v>23400</v>
      </c>
      <c r="P7" s="8" t="s">
        <v>195</v>
      </c>
      <c r="Q7" s="9">
        <v>12000</v>
      </c>
      <c r="R7" s="9"/>
      <c r="S7" s="48">
        <v>0</v>
      </c>
      <c r="T7" s="21">
        <f t="shared" si="4"/>
        <v>34000</v>
      </c>
      <c r="U7" s="53">
        <f>IF($J7="","",ROUND(($J7-$J$3)/1000,1)+(_xlfn.RANK.AVG($J7,($J7,$O7,$T7),1)-2)*20)</f>
        <v>32.6</v>
      </c>
      <c r="V7" s="54">
        <f>IF($O7="","",ROUND(($O7-$O$3)/1000,1)+(_xlfn.RANK.AVG($O7,($J7,$O7,$T7),1)-2)*20)</f>
        <v>-31.6</v>
      </c>
      <c r="W7" s="55">
        <f>IF($T7="","",ROUND(($T7-$T$3)/1000,1)+(_xlfn.RANK.AVG($T7,($J7,$O7,$T7),1)-2)*20)</f>
        <v>-1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197</v>
      </c>
      <c r="BU7" s="40" t="s">
        <v>198</v>
      </c>
      <c r="BV7" s="41" t="s">
        <v>82</v>
      </c>
      <c r="BW7" s="41" t="s">
        <v>83</v>
      </c>
      <c r="BX7" s="41" t="s">
        <v>196</v>
      </c>
      <c r="BY7" s="41" t="s">
        <v>201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192</v>
      </c>
      <c r="F8" s="8"/>
      <c r="G8" s="9"/>
      <c r="H8" s="9"/>
      <c r="I8" s="48"/>
      <c r="J8" s="21">
        <f t="shared" si="2"/>
        <v>47600</v>
      </c>
      <c r="K8" s="8" t="s">
        <v>199</v>
      </c>
      <c r="L8" s="9">
        <v>-2900</v>
      </c>
      <c r="M8" s="9">
        <v>-1000</v>
      </c>
      <c r="N8" s="48">
        <v>-1000</v>
      </c>
      <c r="O8" s="21">
        <f t="shared" si="3"/>
        <v>18500</v>
      </c>
      <c r="P8" s="8" t="s">
        <v>200</v>
      </c>
      <c r="Q8" s="9">
        <v>2900</v>
      </c>
      <c r="R8" s="9">
        <v>1000</v>
      </c>
      <c r="S8" s="48">
        <v>1000</v>
      </c>
      <c r="T8" s="21">
        <f t="shared" si="4"/>
        <v>38900</v>
      </c>
      <c r="U8" s="53">
        <f>IF($J8="","",ROUND(($J8-$J$3)/1000,1)+(_xlfn.RANK.AVG($J8,($J8,$O8,$T8),1)-2)*20)</f>
        <v>32.6</v>
      </c>
      <c r="V8" s="54">
        <f>IF($O8="","",ROUND(($O8-$O$3)/1000,1)+(_xlfn.RANK.AVG($O8,($J8,$O8,$T8),1)-2)*20)</f>
        <v>-36.5</v>
      </c>
      <c r="W8" s="55">
        <f>IF($T8="","",ROUND(($T8-$T$3)/1000,1)+(_xlfn.RANK.AVG($T8,($J8,$O8,$T8),1)-2)*20)</f>
        <v>3.9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93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192</v>
      </c>
      <c r="F9" s="8" t="s">
        <v>199</v>
      </c>
      <c r="G9" s="9">
        <v>-4800</v>
      </c>
      <c r="H9" s="9"/>
      <c r="I9" s="48">
        <v>-2000</v>
      </c>
      <c r="J9" s="21">
        <f t="shared" si="2"/>
        <v>40800</v>
      </c>
      <c r="K9" s="8"/>
      <c r="L9" s="9"/>
      <c r="M9" s="9"/>
      <c r="N9" s="48"/>
      <c r="O9" s="21">
        <f t="shared" si="3"/>
        <v>18500</v>
      </c>
      <c r="P9" s="8" t="s">
        <v>200</v>
      </c>
      <c r="Q9" s="9">
        <v>4800</v>
      </c>
      <c r="R9" s="9"/>
      <c r="S9" s="48">
        <v>2000</v>
      </c>
      <c r="T9" s="21">
        <f t="shared" si="4"/>
        <v>45700</v>
      </c>
      <c r="U9" s="53">
        <f>IF($J9="","",ROUND(($J9-$J$3)/1000,1)+(_xlfn.RANK.AVG($J9,($J9,$O9,$T9),1)-2)*20)</f>
        <v>5.8</v>
      </c>
      <c r="V9" s="54">
        <f>IF($O9="","",ROUND(($O9-$O$3)/1000,1)+(_xlfn.RANK.AVG($O9,($J9,$O9,$T9),1)-2)*20)</f>
        <v>-36.5</v>
      </c>
      <c r="W9" s="55">
        <f>IF($T9="","",ROUND(($T9-$T$3)/1000,1)+(_xlfn.RANK.AVG($T9,($J9,$O9,$T9),1)-2)*20)</f>
        <v>30.7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50</v>
      </c>
      <c r="BU9" s="40" t="s">
        <v>86</v>
      </c>
      <c r="BV9" s="41" t="s">
        <v>84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192</v>
      </c>
      <c r="F10" s="8"/>
      <c r="G10" s="9"/>
      <c r="H10" s="9"/>
      <c r="I10" s="48"/>
      <c r="J10" s="21">
        <f t="shared" si="2"/>
        <v>40800</v>
      </c>
      <c r="K10" s="8" t="s">
        <v>200</v>
      </c>
      <c r="L10" s="9">
        <v>3900</v>
      </c>
      <c r="M10" s="9"/>
      <c r="N10" s="48">
        <v>3000</v>
      </c>
      <c r="O10" s="21">
        <f t="shared" si="3"/>
        <v>25400</v>
      </c>
      <c r="P10" s="8" t="s">
        <v>199</v>
      </c>
      <c r="Q10" s="9">
        <v>-3900</v>
      </c>
      <c r="R10" s="9"/>
      <c r="S10" s="48">
        <v>-3000</v>
      </c>
      <c r="T10" s="21">
        <f t="shared" si="4"/>
        <v>38800</v>
      </c>
      <c r="U10" s="53">
        <f>IF($J10="","",ROUND(($J10-$J$3)/1000,1)+(_xlfn.RANK.AVG($J10,($J10,$O10,$T10),1)-2)*20)</f>
        <v>25.8</v>
      </c>
      <c r="V10" s="54">
        <f>IF($O10="","",ROUND(($O10-$O$3)/1000,1)+(_xlfn.RANK.AVG($O10,($J10,$O10,$T10),1)-2)*20)</f>
        <v>-29.6</v>
      </c>
      <c r="W10" s="55">
        <f>IF($T10="","",ROUND(($T10-$T$3)/1000,1)+(_xlfn.RANK.AVG($T10,($J10,$O10,$T10),1)-2)*20)</f>
        <v>3.8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98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194</v>
      </c>
      <c r="G11" s="9">
        <v>-4800</v>
      </c>
      <c r="H11" s="9"/>
      <c r="I11" s="48">
        <v>0</v>
      </c>
      <c r="J11" s="21">
        <f t="shared" si="2"/>
        <v>36000</v>
      </c>
      <c r="K11" s="8" t="s">
        <v>194</v>
      </c>
      <c r="L11" s="9">
        <v>-2900</v>
      </c>
      <c r="M11" s="9"/>
      <c r="N11" s="48">
        <v>0</v>
      </c>
      <c r="O11" s="21">
        <f t="shared" si="3"/>
        <v>22500</v>
      </c>
      <c r="P11" s="8" t="s">
        <v>195</v>
      </c>
      <c r="Q11" s="9">
        <v>7700</v>
      </c>
      <c r="R11" s="9"/>
      <c r="S11" s="48">
        <v>0</v>
      </c>
      <c r="T11" s="21">
        <f t="shared" si="4"/>
        <v>46500</v>
      </c>
      <c r="U11" s="53">
        <f>IF($J11="","",ROUND(($J11-$J$3)/1000,1)+(_xlfn.RANK.AVG($J11,($J11,$O11,$T11),1)-2)*20)</f>
        <v>1</v>
      </c>
      <c r="V11" s="54">
        <f>IF($O11="","",ROUND(($O11-$O$3)/1000,1)+(_xlfn.RANK.AVG($O11,($J11,$O11,$T11),1)-2)*20)</f>
        <v>-32.5</v>
      </c>
      <c r="W11" s="55">
        <f>IF($T11="","",ROUND(($T11-$T$3)/1000,1)+(_xlfn.RANK.AVG($T11,($J11,$O11,$T11),1)-2)*20)</f>
        <v>31.5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30</v>
      </c>
      <c r="BU11" s="40" t="s">
        <v>82</v>
      </c>
      <c r="BV11" s="41" t="s">
        <v>79</v>
      </c>
      <c r="BW11" s="41" t="s">
        <v>79</v>
      </c>
      <c r="BX11" s="41" t="s">
        <v>196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200</v>
      </c>
      <c r="G12" s="9">
        <v>8000</v>
      </c>
      <c r="H12" s="9"/>
      <c r="I12" s="48">
        <v>0</v>
      </c>
      <c r="J12" s="21">
        <f t="shared" si="2"/>
        <v>44000</v>
      </c>
      <c r="K12" s="8" t="s">
        <v>199</v>
      </c>
      <c r="L12" s="9">
        <v>-8000</v>
      </c>
      <c r="M12" s="9"/>
      <c r="N12" s="48">
        <v>0</v>
      </c>
      <c r="O12" s="21">
        <f t="shared" si="3"/>
        <v>14500</v>
      </c>
      <c r="P12" s="8"/>
      <c r="Q12" s="9"/>
      <c r="R12" s="9"/>
      <c r="S12" s="48"/>
      <c r="T12" s="21">
        <f t="shared" si="4"/>
        <v>46500</v>
      </c>
      <c r="U12" s="53">
        <f>IF($J12="","",ROUND(($J12-$J$3)/1000,1)+(_xlfn.RANK.AVG($J12,($J12,$O12,$T12),1)-2)*20)</f>
        <v>9</v>
      </c>
      <c r="V12" s="54">
        <f>IF($O12="","",ROUND(($O12-$O$3)/1000,1)+(_xlfn.RANK.AVG($O12,($J12,$O12,$T12),1)-2)*20)</f>
        <v>-40.5</v>
      </c>
      <c r="W12" s="55">
        <f>IF($T12="","",ROUND(($T12-$T$3)/1000,1)+(_xlfn.RANK.AVG($T12,($J12,$O12,$T12),1)-2)*20)</f>
        <v>31.5</v>
      </c>
      <c r="Y12" s="8"/>
      <c r="Z12" s="34"/>
      <c r="AA12" s="26"/>
      <c r="AB12" s="26">
        <v>1</v>
      </c>
      <c r="AC12" s="26">
        <v>4</v>
      </c>
      <c r="AD12" s="30">
        <v>40</v>
      </c>
      <c r="AE12" s="40" t="s">
        <v>98</v>
      </c>
      <c r="AF12" s="41" t="s">
        <v>86</v>
      </c>
      <c r="AG12" s="41" t="s">
        <v>196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E73292F-CEFB-4F18-868A-1CC3F47CD5E6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969E7C73-073A-4B76-A3CF-CD725275EE18}">
      <formula1>"ロン,ツモ,放銃,ツモ支払,流局,チョンボ"</formula1>
    </dataValidation>
    <dataValidation type="list" allowBlank="1" showInputMessage="1" showErrorMessage="1" sqref="E4:E30" xr:uid="{26877FEA-6D6B-49EE-91BB-C5C30E69CF5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47A79-2BD1-4A20-AED1-80217967F56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たかの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たかの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199</v>
      </c>
      <c r="G4" s="9">
        <v>-2900</v>
      </c>
      <c r="H4" s="9"/>
      <c r="I4" s="48">
        <v>0</v>
      </c>
      <c r="J4" s="21">
        <f>IF(COUNTA($F4,$K4,$P4)&gt;0,J3+SUM(G4:I4),"")</f>
        <v>32100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2900</v>
      </c>
      <c r="R4" s="9"/>
      <c r="S4" s="48">
        <v>0</v>
      </c>
      <c r="T4" s="21">
        <f>IF(COUNTA($F4,$K4,$P4)&gt;0,T3+SUM(Q4:S4),"")</f>
        <v>37900</v>
      </c>
      <c r="U4" s="53">
        <f>IF($J4="","",ROUND(($J4-$J$3)/1000,1)+(_xlfn.RANK.AVG($J4,($J4,$O4,$T4),1)-2)*20)</f>
        <v>-22.9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22.9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83</v>
      </c>
      <c r="BV4" s="41" t="s">
        <v>79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194</v>
      </c>
      <c r="G5" s="9">
        <v>-3000</v>
      </c>
      <c r="H5" s="9"/>
      <c r="I5" s="48">
        <v>-500</v>
      </c>
      <c r="J5" s="21">
        <f t="shared" ref="J5:J30" si="2">IF(COUNTA($F5,$K5,$P5)&gt;0,J4+SUM(G5:I5),"")</f>
        <v>28600</v>
      </c>
      <c r="K5" s="8" t="s">
        <v>195</v>
      </c>
      <c r="L5" s="9">
        <v>8000</v>
      </c>
      <c r="M5" s="9"/>
      <c r="N5" s="48">
        <v>1000</v>
      </c>
      <c r="O5" s="21">
        <f t="shared" ref="O5:O30" si="3">IF(COUNTA($F5,$K5,$P5)&gt;0,O4+SUM(L5:N5),"")</f>
        <v>44000</v>
      </c>
      <c r="P5" s="8" t="s">
        <v>194</v>
      </c>
      <c r="Q5" s="9">
        <v>-5000</v>
      </c>
      <c r="R5" s="9"/>
      <c r="S5" s="48">
        <v>-500</v>
      </c>
      <c r="T5" s="21">
        <f t="shared" ref="T5:T30" si="4">IF(COUNTA($F5,$K5,$P5)&gt;0,T4+SUM(Q5:S5),"")</f>
        <v>32400</v>
      </c>
      <c r="U5" s="53">
        <f>IF($J5="","",ROUND(($J5-$J$3)/1000,1)+(_xlfn.RANK.AVG($J5,($J5,$O5,$T5),1)-2)*20)</f>
        <v>-26.4</v>
      </c>
      <c r="V5" s="54">
        <f>IF($O5="","",ROUND(($O5-$O$3)/1000,1)+(_xlfn.RANK.AVG($O5,($J5,$O5,$T5),1)-2)*20)</f>
        <v>29</v>
      </c>
      <c r="W5" s="55">
        <f>IF($T5="","",ROUND(($T5-$T$3)/1000,1)+(_xlfn.RANK.AVG($T5,($J5,$O5,$T5),1)-2)*20)</f>
        <v>-2.6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197</v>
      </c>
      <c r="AZ5" s="40" t="s">
        <v>80</v>
      </c>
      <c r="BA5" s="41" t="s">
        <v>80</v>
      </c>
      <c r="BB5" s="41" t="s">
        <v>91</v>
      </c>
      <c r="BC5" s="41" t="s">
        <v>82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195</v>
      </c>
      <c r="G6" s="9">
        <v>3000</v>
      </c>
      <c r="H6" s="9"/>
      <c r="I6" s="48">
        <v>0</v>
      </c>
      <c r="J6" s="21">
        <f t="shared" si="2"/>
        <v>31600</v>
      </c>
      <c r="K6" s="8" t="s">
        <v>194</v>
      </c>
      <c r="L6" s="9">
        <v>-1500</v>
      </c>
      <c r="M6" s="9"/>
      <c r="N6" s="48">
        <v>0</v>
      </c>
      <c r="O6" s="21">
        <f t="shared" si="3"/>
        <v>42500</v>
      </c>
      <c r="P6" s="8" t="s">
        <v>194</v>
      </c>
      <c r="Q6" s="9">
        <v>-1500</v>
      </c>
      <c r="R6" s="9"/>
      <c r="S6" s="48">
        <v>0</v>
      </c>
      <c r="T6" s="21">
        <f t="shared" si="4"/>
        <v>30900</v>
      </c>
      <c r="U6" s="53">
        <f>IF($J6="","",ROUND(($J6-$J$3)/1000,1)+(_xlfn.RANK.AVG($J6,($J6,$O6,$T6),1)-2)*20)</f>
        <v>-3.4</v>
      </c>
      <c r="V6" s="54">
        <f>IF($O6="","",ROUND(($O6-$O$3)/1000,1)+(_xlfn.RANK.AVG($O6,($J6,$O6,$T6),1)-2)*20)</f>
        <v>27.5</v>
      </c>
      <c r="W6" s="55">
        <f>IF($T6="","",ROUND(($T6-$T$3)/1000,1)+(_xlfn.RANK.AVG($T6,($J6,$O6,$T6),1)-2)*20)</f>
        <v>-24.1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195</v>
      </c>
      <c r="G7" s="9">
        <v>7800</v>
      </c>
      <c r="H7" s="9"/>
      <c r="I7" s="48">
        <v>1000</v>
      </c>
      <c r="J7" s="21">
        <f t="shared" si="2"/>
        <v>40400</v>
      </c>
      <c r="K7" s="8" t="s">
        <v>194</v>
      </c>
      <c r="L7" s="9">
        <v>-3900</v>
      </c>
      <c r="M7" s="9"/>
      <c r="N7" s="48">
        <v>-500</v>
      </c>
      <c r="O7" s="21">
        <f t="shared" si="3"/>
        <v>38100</v>
      </c>
      <c r="P7" s="8" t="s">
        <v>194</v>
      </c>
      <c r="Q7" s="9">
        <v>-3900</v>
      </c>
      <c r="R7" s="9"/>
      <c r="S7" s="48">
        <v>-500</v>
      </c>
      <c r="T7" s="21">
        <f t="shared" si="4"/>
        <v>26500</v>
      </c>
      <c r="U7" s="53">
        <f>IF($J7="","",ROUND(($J7-$J$3)/1000,1)+(_xlfn.RANK.AVG($J7,($J7,$O7,$T7),1)-2)*20)</f>
        <v>25.4</v>
      </c>
      <c r="V7" s="54">
        <f>IF($O7="","",ROUND(($O7-$O$3)/1000,1)+(_xlfn.RANK.AVG($O7,($J7,$O7,$T7),1)-2)*20)</f>
        <v>3.1</v>
      </c>
      <c r="W7" s="55">
        <f>IF($T7="","",ROUND(($T7-$T$3)/1000,1)+(_xlfn.RANK.AVG($T7,($J7,$O7,$T7),1)-2)*20)</f>
        <v>-28.5</v>
      </c>
      <c r="Y7" s="8"/>
      <c r="Z7" s="34"/>
      <c r="AA7" s="26">
        <v>1</v>
      </c>
      <c r="AB7" s="26"/>
      <c r="AC7" s="26">
        <v>3</v>
      </c>
      <c r="AD7" s="30">
        <v>40</v>
      </c>
      <c r="AE7" s="40" t="s">
        <v>198</v>
      </c>
      <c r="AF7" s="41" t="s">
        <v>82</v>
      </c>
      <c r="AG7" s="41" t="s">
        <v>80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195</v>
      </c>
      <c r="G8" s="9">
        <v>11600</v>
      </c>
      <c r="H8" s="9"/>
      <c r="I8" s="48">
        <v>2000</v>
      </c>
      <c r="J8" s="21">
        <f t="shared" si="2"/>
        <v>54000</v>
      </c>
      <c r="K8" s="8" t="s">
        <v>194</v>
      </c>
      <c r="L8" s="9">
        <v>-5800</v>
      </c>
      <c r="M8" s="9"/>
      <c r="N8" s="48">
        <v>-1000</v>
      </c>
      <c r="O8" s="21">
        <f t="shared" si="3"/>
        <v>31300</v>
      </c>
      <c r="P8" s="8" t="s">
        <v>194</v>
      </c>
      <c r="Q8" s="9">
        <v>-5800</v>
      </c>
      <c r="R8" s="9"/>
      <c r="S8" s="48">
        <v>-1000</v>
      </c>
      <c r="T8" s="21">
        <f t="shared" si="4"/>
        <v>19700</v>
      </c>
      <c r="U8" s="53">
        <f>IF($J8="","",ROUND(($J8-$J$3)/1000,1)+(_xlfn.RANK.AVG($J8,($J8,$O8,$T8),1)-2)*20)</f>
        <v>39</v>
      </c>
      <c r="V8" s="54">
        <f>IF($O8="","",ROUND(($O8-$O$3)/1000,1)+(_xlfn.RANK.AVG($O8,($J8,$O8,$T8),1)-2)*20)</f>
        <v>-3.7</v>
      </c>
      <c r="W8" s="55">
        <f>IF($T8="","",ROUND(($T8-$T$3)/1000,1)+(_xlfn.RANK.AVG($T8,($J8,$O8,$T8),1)-2)*20)</f>
        <v>-35.299999999999997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198</v>
      </c>
      <c r="AF8" s="41" t="s">
        <v>82</v>
      </c>
      <c r="AG8" s="41" t="s">
        <v>196</v>
      </c>
      <c r="AH8" s="41" t="s">
        <v>80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191</v>
      </c>
      <c r="F9" s="8" t="s">
        <v>195</v>
      </c>
      <c r="G9" s="9">
        <v>12000</v>
      </c>
      <c r="H9" s="9"/>
      <c r="I9" s="48">
        <v>3000</v>
      </c>
      <c r="J9" s="21">
        <f t="shared" si="2"/>
        <v>69000</v>
      </c>
      <c r="K9" s="8" t="s">
        <v>194</v>
      </c>
      <c r="L9" s="9">
        <v>-6000</v>
      </c>
      <c r="M9" s="9"/>
      <c r="N9" s="48">
        <v>-1500</v>
      </c>
      <c r="O9" s="21">
        <f t="shared" si="3"/>
        <v>23800</v>
      </c>
      <c r="P9" s="8" t="s">
        <v>194</v>
      </c>
      <c r="Q9" s="9">
        <v>-6000</v>
      </c>
      <c r="R9" s="9"/>
      <c r="S9" s="48">
        <v>-1500</v>
      </c>
      <c r="T9" s="21">
        <f t="shared" si="4"/>
        <v>12200</v>
      </c>
      <c r="U9" s="53">
        <f>IF($J9="","",ROUND(($J9-$J$3)/1000,1)+(_xlfn.RANK.AVG($J9,($J9,$O9,$T9),1)-2)*20)</f>
        <v>54</v>
      </c>
      <c r="V9" s="54">
        <f>IF($O9="","",ROUND(($O9-$O$3)/1000,1)+(_xlfn.RANK.AVG($O9,($J9,$O9,$T9),1)-2)*20)</f>
        <v>-11.2</v>
      </c>
      <c r="W9" s="55">
        <f>IF($T9="","",ROUND(($T9-$T$3)/1000,1)+(_xlfn.RANK.AVG($T9,($J9,$O9,$T9),1)-2)*20)</f>
        <v>-42.8</v>
      </c>
      <c r="Y9" s="8"/>
      <c r="Z9" s="34"/>
      <c r="AA9" s="26">
        <v>1</v>
      </c>
      <c r="AB9" s="26"/>
      <c r="AC9" s="26">
        <v>5</v>
      </c>
      <c r="AD9" s="30" t="s">
        <v>197</v>
      </c>
      <c r="AE9" s="40" t="s">
        <v>198</v>
      </c>
      <c r="AF9" s="41" t="s">
        <v>82</v>
      </c>
      <c r="AG9" s="41" t="s">
        <v>85</v>
      </c>
      <c r="AH9" s="41" t="s">
        <v>196</v>
      </c>
      <c r="AI9" s="41" t="s">
        <v>201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4</v>
      </c>
      <c r="D10" s="18">
        <f t="shared" si="1"/>
        <v>0</v>
      </c>
      <c r="E10" s="4" t="s">
        <v>191</v>
      </c>
      <c r="F10" s="8" t="s">
        <v>199</v>
      </c>
      <c r="G10" s="9">
        <v>-7700</v>
      </c>
      <c r="H10" s="9"/>
      <c r="I10" s="48">
        <v>-4000</v>
      </c>
      <c r="J10" s="21">
        <f t="shared" si="2"/>
        <v>57300</v>
      </c>
      <c r="K10" s="8"/>
      <c r="L10" s="9"/>
      <c r="M10" s="9"/>
      <c r="N10" s="48"/>
      <c r="O10" s="21">
        <f t="shared" si="3"/>
        <v>23800</v>
      </c>
      <c r="P10" s="8" t="s">
        <v>200</v>
      </c>
      <c r="Q10" s="9">
        <v>7700</v>
      </c>
      <c r="R10" s="9"/>
      <c r="S10" s="48">
        <v>4000</v>
      </c>
      <c r="T10" s="21">
        <f t="shared" si="4"/>
        <v>23900</v>
      </c>
      <c r="U10" s="53">
        <f>IF($J10="","",ROUND(($J10-$J$3)/1000,1)+(_xlfn.RANK.AVG($J10,($J10,$O10,$T10),1)-2)*20)</f>
        <v>42.3</v>
      </c>
      <c r="V10" s="54">
        <f>IF($O10="","",ROUND(($O10-$O$3)/1000,1)+(_xlfn.RANK.AVG($O10,($J10,$O10,$T10),1)-2)*20)</f>
        <v>-31.2</v>
      </c>
      <c r="W10" s="55">
        <f>IF($T10="","",ROUND(($T10-$T$3)/1000,1)+(_xlfn.RANK.AVG($T10,($J10,$O10,$T10),1)-2)*20)</f>
        <v>-11.1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198</v>
      </c>
      <c r="BV10" s="41" t="s">
        <v>196</v>
      </c>
      <c r="BW10" s="41" t="s">
        <v>196</v>
      </c>
      <c r="BX10" s="41" t="s">
        <v>83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199</v>
      </c>
      <c r="G11" s="9">
        <v>-18000</v>
      </c>
      <c r="H11" s="9"/>
      <c r="I11" s="48">
        <v>0</v>
      </c>
      <c r="J11" s="21">
        <f t="shared" si="2"/>
        <v>39300</v>
      </c>
      <c r="K11" s="8" t="s">
        <v>200</v>
      </c>
      <c r="L11" s="9">
        <v>18000</v>
      </c>
      <c r="M11" s="9"/>
      <c r="N11" s="48">
        <v>0</v>
      </c>
      <c r="O11" s="21">
        <f t="shared" si="3"/>
        <v>41800</v>
      </c>
      <c r="P11" s="8"/>
      <c r="Q11" s="9"/>
      <c r="R11" s="9"/>
      <c r="S11" s="48"/>
      <c r="T11" s="21">
        <f t="shared" si="4"/>
        <v>23900</v>
      </c>
      <c r="U11" s="53">
        <f>IF($J11="","",ROUND(($J11-$J$3)/1000,1)+(_xlfn.RANK.AVG($J11,($J11,$O11,$T11),1)-2)*20)</f>
        <v>4.3</v>
      </c>
      <c r="V11" s="54">
        <f>IF($O11="","",ROUND(($O11-$O$3)/1000,1)+(_xlfn.RANK.AVG($O11,($J11,$O11,$T11),1)-2)*20)</f>
        <v>26.8</v>
      </c>
      <c r="W11" s="55">
        <f>IF($T11="","",ROUND(($T11-$T$3)/1000,1)+(_xlfn.RANK.AVG($T11,($J11,$O11,$T11),1)-2)*20)</f>
        <v>-31.1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6</v>
      </c>
      <c r="AY11" s="30" t="s">
        <v>197</v>
      </c>
      <c r="AZ11" s="40" t="s">
        <v>104</v>
      </c>
      <c r="BA11" s="41" t="s">
        <v>196</v>
      </c>
      <c r="BB11" s="41" t="s">
        <v>86</v>
      </c>
      <c r="BC11" s="41" t="s">
        <v>86</v>
      </c>
      <c r="BD11" s="41" t="s">
        <v>86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193</v>
      </c>
      <c r="F12" s="8" t="s">
        <v>194</v>
      </c>
      <c r="G12" s="9">
        <v>-1500</v>
      </c>
      <c r="H12" s="9"/>
      <c r="I12" s="48">
        <v>-500</v>
      </c>
      <c r="J12" s="21">
        <f t="shared" si="2"/>
        <v>37300</v>
      </c>
      <c r="K12" s="8" t="s">
        <v>194</v>
      </c>
      <c r="L12" s="9">
        <v>-2500</v>
      </c>
      <c r="M12" s="9"/>
      <c r="N12" s="48">
        <v>-500</v>
      </c>
      <c r="O12" s="21">
        <f t="shared" si="3"/>
        <v>38800</v>
      </c>
      <c r="P12" s="8" t="s">
        <v>195</v>
      </c>
      <c r="Q12" s="9">
        <v>4000</v>
      </c>
      <c r="R12" s="9"/>
      <c r="S12" s="48">
        <v>1000</v>
      </c>
      <c r="T12" s="21">
        <f t="shared" si="4"/>
        <v>28900</v>
      </c>
      <c r="U12" s="53">
        <f>IF($J12="","",ROUND(($J12-$J$3)/1000,1)+(_xlfn.RANK.AVG($J12,($J12,$O12,$T12),1)-2)*20)</f>
        <v>2.2999999999999998</v>
      </c>
      <c r="V12" s="54">
        <f>IF($O12="","",ROUND(($O12-$O$3)/1000,1)+(_xlfn.RANK.AVG($O12,($J12,$O12,$T12),1)-2)*20)</f>
        <v>23.8</v>
      </c>
      <c r="W12" s="55">
        <f>IF($T12="","",ROUND(($T12-$T$3)/1000,1)+(_xlfn.RANK.AVG($T12,($J12,$O12,$T12),1)-2)*20)</f>
        <v>-26.1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3</v>
      </c>
      <c r="BT12" s="30">
        <v>30</v>
      </c>
      <c r="BU12" s="40" t="s">
        <v>198</v>
      </c>
      <c r="BV12" s="41" t="s">
        <v>82</v>
      </c>
      <c r="BW12" s="41" t="s">
        <v>79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192</v>
      </c>
      <c r="F13" s="8" t="s">
        <v>200</v>
      </c>
      <c r="G13" s="9">
        <v>1300</v>
      </c>
      <c r="H13" s="9"/>
      <c r="I13" s="48">
        <v>0</v>
      </c>
      <c r="J13" s="21">
        <f t="shared" si="2"/>
        <v>38600</v>
      </c>
      <c r="K13" s="8"/>
      <c r="L13" s="9"/>
      <c r="M13" s="9"/>
      <c r="N13" s="48"/>
      <c r="O13" s="21">
        <f t="shared" si="3"/>
        <v>38800</v>
      </c>
      <c r="P13" s="8" t="s">
        <v>199</v>
      </c>
      <c r="Q13" s="9">
        <v>-1300</v>
      </c>
      <c r="R13" s="9"/>
      <c r="S13" s="48">
        <v>0</v>
      </c>
      <c r="T13" s="21">
        <f t="shared" si="4"/>
        <v>27600</v>
      </c>
      <c r="U13" s="53">
        <f>IF($J13="","",ROUND(($J13-$J$3)/1000,1)+(_xlfn.RANK.AVG($J13,($J13,$O13,$T13),1)-2)*20)</f>
        <v>3.6</v>
      </c>
      <c r="V13" s="54">
        <f>IF($O13="","",ROUND(($O13-$O$3)/1000,1)+(_xlfn.RANK.AVG($O13,($J13,$O13,$T13),1)-2)*20)</f>
        <v>23.8</v>
      </c>
      <c r="W13" s="55">
        <f>IF($T13="","",ROUND(($T13-$T$3)/1000,1)+(_xlfn.RANK.AVG($T13,($J13,$O13,$T13),1)-2)*20)</f>
        <v>-27.4</v>
      </c>
      <c r="Y13" s="8"/>
      <c r="Z13" s="34"/>
      <c r="AA13" s="26">
        <v>1</v>
      </c>
      <c r="AB13" s="26"/>
      <c r="AC13" s="26">
        <v>1</v>
      </c>
      <c r="AD13" s="30">
        <v>40</v>
      </c>
      <c r="AE13" s="40" t="s">
        <v>198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191</v>
      </c>
      <c r="F14" s="8" t="s">
        <v>204</v>
      </c>
      <c r="G14" s="9">
        <v>-3000</v>
      </c>
      <c r="H14" s="9"/>
      <c r="I14" s="48"/>
      <c r="J14" s="21">
        <f t="shared" si="2"/>
        <v>35600</v>
      </c>
      <c r="K14" s="8" t="s">
        <v>204</v>
      </c>
      <c r="L14" s="9">
        <v>1500</v>
      </c>
      <c r="M14" s="9"/>
      <c r="N14" s="48"/>
      <c r="O14" s="21">
        <f t="shared" si="3"/>
        <v>40300</v>
      </c>
      <c r="P14" s="8" t="s">
        <v>204</v>
      </c>
      <c r="Q14" s="9">
        <v>1500</v>
      </c>
      <c r="R14" s="9"/>
      <c r="S14" s="48"/>
      <c r="T14" s="21">
        <f t="shared" si="4"/>
        <v>29100</v>
      </c>
      <c r="U14" s="53">
        <f>IF($J14="","",ROUND(($J14-$J$3)/1000,1)+(_xlfn.RANK.AVG($J14,($J14,$O14,$T14),1)-2)*20)</f>
        <v>0.6</v>
      </c>
      <c r="V14" s="54">
        <f>IF($O14="","",ROUND(($O14-$O$3)/1000,1)+(_xlfn.RANK.AVG($O14,($J14,$O14,$T14),1)-2)*20)</f>
        <v>25.3</v>
      </c>
      <c r="W14" s="55">
        <f>IF($T14="","",ROUND(($T14-$T$3)/1000,1)+(_xlfn.RANK.AVG($T14,($J14,$O14,$T14),1)-2)*20)</f>
        <v>-25.9</v>
      </c>
      <c r="Y14" s="8" t="s">
        <v>202</v>
      </c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203</v>
      </c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203</v>
      </c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193</v>
      </c>
      <c r="F15" s="8" t="s">
        <v>195</v>
      </c>
      <c r="G15" s="9">
        <v>5300</v>
      </c>
      <c r="H15" s="9"/>
      <c r="I15" s="48">
        <v>1000</v>
      </c>
      <c r="J15" s="21">
        <f t="shared" si="2"/>
        <v>41900</v>
      </c>
      <c r="K15" s="8" t="s">
        <v>194</v>
      </c>
      <c r="L15" s="9">
        <v>-3300</v>
      </c>
      <c r="M15" s="9"/>
      <c r="N15" s="48">
        <v>-500</v>
      </c>
      <c r="O15" s="21">
        <f t="shared" si="3"/>
        <v>36500</v>
      </c>
      <c r="P15" s="8" t="s">
        <v>194</v>
      </c>
      <c r="Q15" s="9">
        <v>-2000</v>
      </c>
      <c r="R15" s="9"/>
      <c r="S15" s="48">
        <v>-500</v>
      </c>
      <c r="T15" s="21">
        <f t="shared" si="4"/>
        <v>26600</v>
      </c>
      <c r="U15" s="53">
        <f>IF($J15="","",ROUND(($J15-$J$3)/1000,1)+(_xlfn.RANK.AVG($J15,($J15,$O15,$T15),1)-2)*20)</f>
        <v>26.9</v>
      </c>
      <c r="V15" s="54">
        <f>IF($O15="","",ROUND(($O15-$O$3)/1000,1)+(_xlfn.RANK.AVG($O15,($J15,$O15,$T15),1)-2)*20)</f>
        <v>1.5</v>
      </c>
      <c r="W15" s="55">
        <f>IF($T15="","",ROUND(($T15-$T$3)/1000,1)+(_xlfn.RANK.AVG($T15,($J15,$O15,$T15),1)-2)*20)</f>
        <v>-28.4</v>
      </c>
      <c r="Y15" s="8"/>
      <c r="Z15" s="34"/>
      <c r="AA15" s="26"/>
      <c r="AB15" s="26">
        <v>1</v>
      </c>
      <c r="AC15" s="26">
        <v>3</v>
      </c>
      <c r="AD15" s="30">
        <v>40</v>
      </c>
      <c r="AE15" s="40" t="s">
        <v>196</v>
      </c>
      <c r="AF15" s="41" t="s">
        <v>86</v>
      </c>
      <c r="AG15" s="41" t="s">
        <v>86</v>
      </c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71F85AB-6061-42C7-8DD8-B486C9E82A4E}">
      <formula1>$U$2:$W$2</formula1>
    </dataValidation>
    <dataValidation type="list" showInputMessage="1" showErrorMessage="1" sqref="K4:K30 P4:P30 F4:F30" xr:uid="{23B1C2AB-7D26-43FD-BC4F-97A52E34491C}">
      <formula1>"ロン,ツモ,放銃,ツモ支払,流局,チョンボ"</formula1>
    </dataValidation>
    <dataValidation type="list" allowBlank="1" showInputMessage="1" sqref="F1:T1" xr:uid="{427F5FB3-7CE1-49EE-ACD5-81EBFE11BD12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2019-07-15T00:44:35Z</dcterms:modified>
</cp:coreProperties>
</file>