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5B88715-5DB4-467C-8450-E43C21A5333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T9" i="20"/>
  <c r="W9" i="20" s="1"/>
  <c r="O9" i="20"/>
  <c r="V9" i="20" s="1"/>
  <c r="J9" i="20"/>
  <c r="U9" i="20" s="1"/>
  <c r="D9" i="20"/>
  <c r="C9" i="20"/>
  <c r="B9" i="20"/>
  <c r="A9" i="20"/>
  <c r="T8" i="20"/>
  <c r="W8" i="20" s="1"/>
  <c r="O8" i="20"/>
  <c r="V8" i="20" s="1"/>
  <c r="J8" i="20"/>
  <c r="U8" i="20" s="1"/>
  <c r="D8" i="20"/>
  <c r="C8" i="20"/>
  <c r="B8" i="20"/>
  <c r="A8" i="20"/>
  <c r="D7" i="20"/>
  <c r="D6" i="20"/>
  <c r="C6" i="20"/>
  <c r="C7" i="20" s="1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A5" i="20" l="1"/>
  <c r="V4" i="20"/>
  <c r="W4" i="20"/>
  <c r="B7" i="20"/>
  <c r="A7" i="20" s="1"/>
  <c r="U4" i="20"/>
  <c r="O5" i="20"/>
  <c r="U5" i="20" s="1"/>
  <c r="T5" i="20"/>
  <c r="J6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J7" i="20" l="1"/>
  <c r="W5" i="20"/>
  <c r="T6" i="20"/>
  <c r="V5" i="20"/>
  <c r="O6" i="20"/>
  <c r="V7" i="19"/>
  <c r="U7" i="19"/>
  <c r="W7" i="19"/>
  <c r="V6" i="19"/>
  <c r="W6" i="19"/>
  <c r="U6" i="19"/>
  <c r="U4" i="19"/>
  <c r="V4" i="19"/>
  <c r="W4" i="19"/>
  <c r="J5" i="19"/>
  <c r="O5" i="19"/>
  <c r="V5" i="19" s="1"/>
  <c r="V6" i="20" l="1"/>
  <c r="O7" i="20"/>
  <c r="W6" i="20"/>
  <c r="T7" i="20"/>
  <c r="U6" i="20"/>
  <c r="W5" i="19"/>
  <c r="U5" i="19"/>
  <c r="W7" i="20" l="1"/>
  <c r="V7" i="20"/>
  <c r="U7" i="20"/>
</calcChain>
</file>

<file path=xl/sharedStrings.xml><?xml version="1.0" encoding="utf-8"?>
<sst xmlns="http://schemas.openxmlformats.org/spreadsheetml/2006/main" count="662" uniqueCount="210">
  <si>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</si>
  <si>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</si>
  <si>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</si>
  <si>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</si>
  <si>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</si>
  <si>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</si>
  <si>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</si>
  <si>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</si>
  <si>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</si>
  <si>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</si>
  <si>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</si>
  <si>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</si>
  <si>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</si>
  <si>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</si>
  <si>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</si>
  <si>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</si>
  <si>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</si>
  <si>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</si>
  <si>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</si>
  <si>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</si>
  <si>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</si>
  <si>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</si>
  <si>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</si>
  <si>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</si>
  <si>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</si>
  <si>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</si>
  <si>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</si>
  <si>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</si>
  <si>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</si>
  <si>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</si>
  <si>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</si>
  <si>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</si>
  <si>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</si>
  <si>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</si>
  <si>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</si>
  <si>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</si>
  <si>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</si>
  <si>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</si>
  <si>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</si>
  <si>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</si>
  <si>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</si>
  <si>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</si>
  <si>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</si>
  <si>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</si>
  <si>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</si>
  <si>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</si>
  <si>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</si>
  <si>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</si>
  <si>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</si>
  <si>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</si>
  <si>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</si>
  <si>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</si>
  <si>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</si>
  <si>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</si>
  <si>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</si>
  <si>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</si>
  <si>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</si>
  <si>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</si>
  <si>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</si>
  <si>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</si>
  <si>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</si>
  <si>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</si>
  <si>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</si>
  <si>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</si>
  <si>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</si>
  <si>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</si>
  <si>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</si>
  <si>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</si>
  <si>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</si>
  <si>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</si>
  <si>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</si>
  <si>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</si>
  <si>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</si>
  <si>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</si>
  <si>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</si>
  <si>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</si>
  <si>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</si>
  <si>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</si>
  <si>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</si>
  <si>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</si>
  <si>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</si>
  <si>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</si>
  <si>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</si>
  <si>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</si>
  <si>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</si>
  <si>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</si>
  <si>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</si>
  <si>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</si>
  <si>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</si>
  <si>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</si>
  <si>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</si>
  <si>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</si>
  <si>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</si>
  <si>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</si>
  <si>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</si>
  <si>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</si>
  <si>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</si>
  <si>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</si>
  <si>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</si>
  <si>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</si>
  <si>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</si>
  <si>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</si>
  <si>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</si>
  <si>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</si>
  <si>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</si>
  <si>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</si>
  <si>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</si>
  <si>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</si>
  <si>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</si>
  <si>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</si>
  <si>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</si>
  <si>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</si>
  <si>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</si>
  <si>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</si>
  <si>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</si>
  <si>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</si>
  <si>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</si>
  <si>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</si>
  <si>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</si>
  <si>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</si>
  <si>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</si>
  <si>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</si>
  <si>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</si>
  <si>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</si>
  <si>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</si>
  <si>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</si>
  <si>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</si>
  <si>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</si>
  <si>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</si>
  <si>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</si>
  <si>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</si>
  <si>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</si>
  <si>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</si>
  <si>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</si>
  <si>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</si>
  <si>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</si>
  <si>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</si>
  <si>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</si>
  <si>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</si>
  <si>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</si>
  <si>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</si>
  <si>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</si>
  <si>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</si>
  <si>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</si>
  <si>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</si>
  <si>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</si>
  <si>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</si>
  <si>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</si>
  <si>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</si>
  <si>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</si>
  <si>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</si>
  <si>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</si>
  <si>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</si>
  <si>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</si>
  <si>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</si>
  <si>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</si>
  <si>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</si>
  <si>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</si>
  <si>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</si>
  <si>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</si>
  <si>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</si>
  <si>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</si>
  <si>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</si>
  <si>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</si>
  <si>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</si>
  <si>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</si>
  <si>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</si>
  <si>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</si>
  <si>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</si>
  <si>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</si>
  <si>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</si>
  <si>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</si>
  <si>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</si>
  <si>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</si>
  <si>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</si>
  <si>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</si>
  <si>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</si>
  <si>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</si>
  <si>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</si>
  <si>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</si>
  <si>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</si>
  <si>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</si>
  <si>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</si>
  <si>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</si>
  <si>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</si>
  <si>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</si>
  <si>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</si>
  <si>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</si>
  <si>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</si>
  <si>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</si>
  <si>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</si>
  <si>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</si>
  <si>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</si>
  <si>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やがさき</t>
  </si>
  <si>
    <t>やがさき</t>
    <phoneticPr fontId="1"/>
  </si>
  <si>
    <t>いっしー</t>
  </si>
  <si>
    <t>いっしー</t>
    <phoneticPr fontId="1"/>
  </si>
  <si>
    <t>N</t>
  </si>
  <si>
    <t>T</t>
  </si>
  <si>
    <t>流局</t>
    <phoneticPr fontId="1"/>
  </si>
  <si>
    <t>ロン</t>
  </si>
  <si>
    <t>放銃</t>
  </si>
  <si>
    <t>*</t>
  </si>
  <si>
    <t>01</t>
  </si>
  <si>
    <t>02</t>
  </si>
  <si>
    <t>やがさき</t>
    <phoneticPr fontId="1"/>
  </si>
  <si>
    <t>ツモ支払</t>
  </si>
  <si>
    <t>ツモ</t>
  </si>
  <si>
    <t>51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</si>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</sst>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やがさき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いっしー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やがさき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12000</v>
      </c>
      <c r="H5" s="9"/>
      <c r="I5" s="48">
        <v>1000</v>
      </c>
      <c r="J5" s="21">
        <f t="shared" ref="J5:J30" si="2">IF(COUNTA($F5,$K5,$P5)&gt;0,J4+SUM(G5:I5),"")</f>
        <v>46500</v>
      </c>
      <c r="K5" s="8" t="s">
        <v>200</v>
      </c>
      <c r="L5" s="9">
        <v>11600</v>
      </c>
      <c r="M5" s="9"/>
      <c r="N5" s="48"/>
      <c r="O5" s="21">
        <f t="shared" ref="O5:O30" si="3">IF(COUNTA($F5,$K5,$P5)&gt;0,O4+SUM(L5:N5),"")</f>
        <v>45100</v>
      </c>
      <c r="P5" s="8" t="s">
        <v>201</v>
      </c>
      <c r="Q5" s="9">
        <v>-23600</v>
      </c>
      <c r="R5" s="9"/>
      <c r="S5" s="48">
        <v>-1000</v>
      </c>
      <c r="T5" s="21">
        <f t="shared" ref="T5:T30" si="4">IF(COUNTA($F5,$K5,$P5)&gt;0,T4+SUM(Q5:S5),"")</f>
        <v>13400</v>
      </c>
      <c r="U5" s="53">
        <f>IF($J5="","",ROUND(($J5-$J$3)/1000,1)+(_xlfn.RANK.AVG($J5,($J5,$O5,$T5),1)-2)*20)</f>
        <v>31.5</v>
      </c>
      <c r="V5" s="54">
        <f>IF($O5="","",ROUND(($O5-$O$3)/1000,1)+(_xlfn.RANK.AVG($O5,($J5,$O5,$T5),1)-2)*20)</f>
        <v>10.1</v>
      </c>
      <c r="W5" s="55">
        <f>IF($T5="","",ROUND(($T5-$T$3)/1000,1)+(_xlfn.RANK.AVG($T5,($J5,$O5,$T5),1)-2)*20)</f>
        <v>-41.6</v>
      </c>
      <c r="Y5" s="8"/>
      <c r="Z5" s="34"/>
      <c r="AA5" s="26">
        <v>1</v>
      </c>
      <c r="AB5" s="26"/>
      <c r="AC5" s="26">
        <v>6</v>
      </c>
      <c r="AD5" s="30" t="s">
        <v>202</v>
      </c>
      <c r="AE5" s="40" t="s">
        <v>203</v>
      </c>
      <c r="AF5" s="41" t="s">
        <v>204</v>
      </c>
      <c r="AG5" s="41" t="s">
        <v>79</v>
      </c>
      <c r="AH5" s="41" t="s">
        <v>79</v>
      </c>
      <c r="AI5" s="41" t="s">
        <v>79</v>
      </c>
      <c r="AJ5" s="41" t="s">
        <v>81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203</v>
      </c>
      <c r="BA5" s="41" t="s">
        <v>204</v>
      </c>
      <c r="BB5" s="41" t="s">
        <v>79</v>
      </c>
      <c r="BC5" s="41" t="s">
        <v>79</v>
      </c>
      <c r="BD5" s="41" t="s">
        <v>79</v>
      </c>
      <c r="BE5" s="41" t="s">
        <v>81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205</v>
      </c>
      <c r="F6" s="8" t="s">
        <v>206</v>
      </c>
      <c r="G6" s="9">
        <v>-12000</v>
      </c>
      <c r="H6" s="9"/>
      <c r="I6" s="48">
        <v>-1000</v>
      </c>
      <c r="J6" s="21">
        <f t="shared" si="2"/>
        <v>33500</v>
      </c>
      <c r="K6" s="8" t="s">
        <v>207</v>
      </c>
      <c r="L6" s="9">
        <v>24000</v>
      </c>
      <c r="M6" s="9"/>
      <c r="N6" s="48">
        <v>2000</v>
      </c>
      <c r="O6" s="21">
        <f t="shared" si="3"/>
        <v>71100</v>
      </c>
      <c r="P6" s="8" t="s">
        <v>206</v>
      </c>
      <c r="Q6" s="9">
        <v>-12000</v>
      </c>
      <c r="R6" s="9"/>
      <c r="S6" s="48">
        <v>-1000</v>
      </c>
      <c r="T6" s="21">
        <f t="shared" si="4"/>
        <v>400</v>
      </c>
      <c r="U6" s="53">
        <f>IF($J6="","",ROUND(($J6-$J$3)/1000,1)+(_xlfn.RANK.AVG($J6,($J6,$O6,$T6),1)-2)*20)</f>
        <v>-1.5</v>
      </c>
      <c r="V6" s="54">
        <f>IF($O6="","",ROUND(($O6-$O$3)/1000,1)+(_xlfn.RANK.AVG($O6,($J6,$O6,$T6),1)-2)*20)</f>
        <v>56.1</v>
      </c>
      <c r="W6" s="55">
        <f>IF($T6="","",ROUND(($T6-$T$3)/1000,1)+(_xlfn.RANK.AVG($T6,($J6,$O6,$T6),1)-2)*20)</f>
        <v>-54.6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202</v>
      </c>
      <c r="AZ6" s="40" t="s">
        <v>208</v>
      </c>
      <c r="BA6" s="41" t="s">
        <v>82</v>
      </c>
      <c r="BB6" s="41" t="s">
        <v>84</v>
      </c>
      <c r="BC6" s="41" t="s">
        <v>85</v>
      </c>
      <c r="BD6" s="41" t="s">
        <v>209</v>
      </c>
      <c r="BE6" s="41" t="s">
        <v>80</v>
      </c>
      <c r="BF6" s="41" t="s">
        <v>81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206</v>
      </c>
      <c r="G7" s="9">
        <v>-9000</v>
      </c>
      <c r="H7" s="9"/>
      <c r="I7" s="48">
        <v>-1500</v>
      </c>
      <c r="J7" s="21">
        <f t="shared" si="2"/>
        <v>23000</v>
      </c>
      <c r="K7" s="8" t="s">
        <v>207</v>
      </c>
      <c r="L7" s="9">
        <v>18000</v>
      </c>
      <c r="M7" s="9"/>
      <c r="N7" s="48">
        <v>3000</v>
      </c>
      <c r="O7" s="21">
        <f t="shared" si="3"/>
        <v>92100</v>
      </c>
      <c r="P7" s="8" t="s">
        <v>206</v>
      </c>
      <c r="Q7" s="9">
        <v>-9000</v>
      </c>
      <c r="R7" s="9"/>
      <c r="S7" s="48">
        <v>-1500</v>
      </c>
      <c r="T7" s="21">
        <f t="shared" si="4"/>
        <v>-10100</v>
      </c>
      <c r="U7" s="53">
        <f>IF($J7="","",ROUND(($J7-$J$3)/1000,1)+(_xlfn.RANK.AVG($J7,($J7,$O7,$T7),1)-2)*20)</f>
        <v>-12</v>
      </c>
      <c r="V7" s="54">
        <f>IF($O7="","",ROUND(($O7-$O$3)/1000,1)+(_xlfn.RANK.AVG($O7,($J7,$O7,$T7),1)-2)*20)</f>
        <v>77.099999999999994</v>
      </c>
      <c r="W7" s="55">
        <f>IF($T7="","",ROUND(($T7-$T$3)/1000,1)+(_xlfn.RANK.AVG($T7,($J7,$O7,$T7),1)-2)*20)</f>
        <v>-65.099999999999994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202</v>
      </c>
      <c r="AZ7" s="40" t="s">
        <v>86</v>
      </c>
      <c r="BA7" s="41" t="s">
        <v>86</v>
      </c>
      <c r="BB7" s="41" t="s">
        <v>79</v>
      </c>
      <c r="BC7" s="41" t="s">
        <v>79</v>
      </c>
      <c r="BD7" s="41" t="s">
        <v>209</v>
      </c>
      <c r="BE7" s="41" t="s">
        <v>81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E33C6BB-DE7F-469E-B997-1769DF8D828E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0145E-DB6D-469E-BF28-B88409B5FAE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やがさき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いっしー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やがさき</v>
      </c>
      <c r="W2" s="16" t="str">
        <f>$P$1</f>
        <v>いっしー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206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206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202</v>
      </c>
      <c r="AZ4" s="40" t="s">
        <v>208</v>
      </c>
      <c r="BA4" s="41" t="s">
        <v>82</v>
      </c>
      <c r="BB4" s="41" t="s">
        <v>85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207</v>
      </c>
      <c r="G5" s="9">
        <v>12000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206</v>
      </c>
      <c r="L5" s="9">
        <v>-7500</v>
      </c>
      <c r="M5" s="9"/>
      <c r="N5" s="48">
        <v>0</v>
      </c>
      <c r="O5" s="21">
        <f t="shared" ref="O5:O30" si="3">IF(COUNTA($F5,$K5,$P5)&gt;0,O4+SUM(L5:N5),"")</f>
        <v>35500</v>
      </c>
      <c r="P5" s="8" t="s">
        <v>206</v>
      </c>
      <c r="Q5" s="9">
        <v>-4500</v>
      </c>
      <c r="R5" s="9"/>
      <c r="S5" s="48">
        <v>0</v>
      </c>
      <c r="T5" s="21">
        <f t="shared" ref="T5:T30" si="4">IF(COUNTA($F5,$K5,$P5)&gt;0,T4+SUM(Q5:S5),"")</f>
        <v>27500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0.5</v>
      </c>
      <c r="W5" s="55">
        <f>IF($T5="","",ROUND(($T5-$T$3)/1000,1)+(_xlfn.RANK.AVG($T5,($J5,$O5,$T5),1)-2)*20)</f>
        <v>-27.5</v>
      </c>
      <c r="Y5" s="8"/>
      <c r="Z5" s="34"/>
      <c r="AA5" s="26">
        <v>1</v>
      </c>
      <c r="AB5" s="26"/>
      <c r="AC5" s="26">
        <v>6</v>
      </c>
      <c r="AD5" s="30" t="s">
        <v>202</v>
      </c>
      <c r="AE5" s="40" t="s">
        <v>203</v>
      </c>
      <c r="AF5" s="41" t="s">
        <v>82</v>
      </c>
      <c r="AG5" s="41" t="s">
        <v>83</v>
      </c>
      <c r="AH5" s="41" t="s">
        <v>209</v>
      </c>
      <c r="AI5" s="41" t="s">
        <v>81</v>
      </c>
      <c r="AJ5" s="41" t="s">
        <v>81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42000</v>
      </c>
      <c r="K6" s="8" t="s">
        <v>200</v>
      </c>
      <c r="L6" s="9">
        <v>8000</v>
      </c>
      <c r="M6" s="9"/>
      <c r="N6" s="48">
        <v>0</v>
      </c>
      <c r="O6" s="21">
        <f t="shared" si="3"/>
        <v>43500</v>
      </c>
      <c r="P6" s="8" t="s">
        <v>201</v>
      </c>
      <c r="Q6" s="9">
        <v>-8000</v>
      </c>
      <c r="R6" s="9"/>
      <c r="S6" s="48">
        <v>0</v>
      </c>
      <c r="T6" s="21">
        <f t="shared" si="4"/>
        <v>19500</v>
      </c>
      <c r="U6" s="53">
        <f>IF($J6="","",ROUND(($J6-$J$3)/1000,1)+(_xlfn.RANK.AVG($J6,($J6,$O6,$T6),1)-2)*20)</f>
        <v>7</v>
      </c>
      <c r="V6" s="54">
        <f>IF($O6="","",ROUND(($O6-$O$3)/1000,1)+(_xlfn.RANK.AVG($O6,($J6,$O6,$T6),1)-2)*20)</f>
        <v>28.5</v>
      </c>
      <c r="W6" s="55">
        <f>IF($T6="","",ROUND(($T6-$T$3)/1000,1)+(_xlfn.RANK.AVG($T6,($J6,$O6,$T6),1)-2)*20)</f>
        <v>-35.5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202</v>
      </c>
      <c r="AZ6" s="40" t="s">
        <v>86</v>
      </c>
      <c r="BA6" s="41" t="s">
        <v>86</v>
      </c>
      <c r="BB6" s="41" t="s">
        <v>104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200</v>
      </c>
      <c r="G7" s="9">
        <v>7700</v>
      </c>
      <c r="H7" s="9"/>
      <c r="I7" s="48">
        <v>0</v>
      </c>
      <c r="J7" s="21">
        <f t="shared" si="2"/>
        <v>49700</v>
      </c>
      <c r="K7" s="8" t="s">
        <v>200</v>
      </c>
      <c r="L7" s="9">
        <v>32000</v>
      </c>
      <c r="M7" s="9"/>
      <c r="N7" s="48"/>
      <c r="O7" s="21">
        <f t="shared" si="3"/>
        <v>75500</v>
      </c>
      <c r="P7" s="8" t="s">
        <v>201</v>
      </c>
      <c r="Q7" s="9">
        <v>-39700</v>
      </c>
      <c r="R7" s="9"/>
      <c r="S7" s="48">
        <v>0</v>
      </c>
      <c r="T7" s="21">
        <f t="shared" si="4"/>
        <v>-20200</v>
      </c>
      <c r="U7" s="53">
        <f>IF($J7="","",ROUND(($J7-$J$3)/1000,1)+(_xlfn.RANK.AVG($J7,($J7,$O7,$T7),1)-2)*20)</f>
        <v>14.7</v>
      </c>
      <c r="V7" s="54">
        <f>IF($O7="","",ROUND(($O7-$O$3)/1000,1)+(_xlfn.RANK.AVG($O7,($J7,$O7,$T7),1)-2)*20)</f>
        <v>60.5</v>
      </c>
      <c r="W7" s="55">
        <f>IF($T7="","",ROUND(($T7-$T$3)/1000,1)+(_xlfn.RANK.AVG($T7,($J7,$O7,$T7),1)-2)*20)</f>
        <v>-75.2</v>
      </c>
      <c r="Y7" s="8"/>
      <c r="Z7" s="34"/>
      <c r="AA7" s="26"/>
      <c r="AB7" s="26">
        <v>1</v>
      </c>
      <c r="AC7" s="26">
        <v>3</v>
      </c>
      <c r="AD7" s="30">
        <v>40</v>
      </c>
      <c r="AE7" s="40" t="s">
        <v>86</v>
      </c>
      <c r="AF7" s="41" t="s">
        <v>81</v>
      </c>
      <c r="AG7" s="41" t="s">
        <v>81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13</v>
      </c>
      <c r="AY7" s="30" t="s">
        <v>202</v>
      </c>
      <c r="AZ7" s="40" t="s">
        <v>86</v>
      </c>
      <c r="BA7" s="41" t="s">
        <v>81</v>
      </c>
      <c r="BB7" s="41" t="s">
        <v>81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7AA5B23-900B-4EC1-893E-FA7F0F039342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487F35B3-39A1-46B9-8BC3-378E102B02DF}">
      <formula1>"ロン,ツモ,放銃,ツモ支払,流局,チョンボ"</formula1>
    </dataValidation>
    <dataValidation type="list" allowBlank="1" showInputMessage="1" showErrorMessage="1" sqref="E4:E30" xr:uid="{5D1FD3F5-E3FA-43F1-8E98-FA595DD28D1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2019-06-30T12:27:25Z</dcterms:modified>
</cp:coreProperties>
</file>