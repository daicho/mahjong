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対局\"/>
    </mc:Choice>
  </mc:AlternateContent>
  <xr:revisionPtr revIDLastSave="0" documentId="13_ncr:1_{60CE0AC3-D39F-4FED-A977-E5913CE39BB0}" xr6:coauthVersionLast="36" xr6:coauthVersionMax="36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D12" i="16"/>
  <c r="C12" i="16"/>
  <c r="D11" i="16"/>
  <c r="C11" i="16"/>
  <c r="D10" i="16"/>
  <c r="C10" i="16"/>
  <c r="D9" i="16"/>
  <c r="C9" i="16"/>
  <c r="D8" i="16"/>
  <c r="C8" i="16"/>
  <c r="D7" i="16"/>
  <c r="C7" i="16"/>
  <c r="D6" i="16"/>
  <c r="C6" i="16"/>
  <c r="O5" i="16"/>
  <c r="O6" i="16" s="1"/>
  <c r="J5" i="16"/>
  <c r="D5" i="16"/>
  <c r="C5" i="16"/>
  <c r="B5" i="16"/>
  <c r="B6" i="16" s="1"/>
  <c r="T4" i="16"/>
  <c r="W4" i="16" s="1"/>
  <c r="O4" i="16"/>
  <c r="J4" i="16"/>
  <c r="W3" i="16"/>
  <c r="V3" i="16"/>
  <c r="U3" i="16"/>
  <c r="W2" i="16"/>
  <c r="V2" i="16"/>
  <c r="U2" i="16"/>
  <c r="BO1" i="16"/>
  <c r="AT1" i="16"/>
  <c r="Y1" i="16"/>
  <c r="A5" i="16" l="1"/>
  <c r="V4" i="16"/>
  <c r="A6" i="16"/>
  <c r="B7" i="16"/>
  <c r="O7" i="16"/>
  <c r="U4" i="16"/>
  <c r="T5" i="16"/>
  <c r="J6" i="16"/>
  <c r="W3" i="1"/>
  <c r="V3" i="1"/>
  <c r="U3" i="1"/>
  <c r="V5" i="16" l="1"/>
  <c r="T6" i="16"/>
  <c r="W5" i="16"/>
  <c r="B8" i="16"/>
  <c r="A7" i="16"/>
  <c r="O8" i="16"/>
  <c r="J7" i="16"/>
  <c r="V6" i="16"/>
  <c r="U5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9" i="16" l="1"/>
  <c r="O9" i="16"/>
  <c r="J8" i="16"/>
  <c r="W6" i="16"/>
  <c r="T7" i="16"/>
  <c r="U6" i="16"/>
  <c r="A8" i="16"/>
  <c r="B5" i="1"/>
  <c r="A5" i="1" s="1"/>
  <c r="D6" i="1"/>
  <c r="B6" i="1"/>
  <c r="A6" i="1" s="1"/>
  <c r="D5" i="1"/>
  <c r="T8" i="16" l="1"/>
  <c r="W7" i="16"/>
  <c r="V7" i="16"/>
  <c r="O10" i="16"/>
  <c r="J9" i="16"/>
  <c r="U8" i="16"/>
  <c r="B10" i="16"/>
  <c r="U7" i="16"/>
  <c r="A9" i="16"/>
  <c r="Y1" i="1"/>
  <c r="B11" i="16" l="1"/>
  <c r="O11" i="16"/>
  <c r="J10" i="16"/>
  <c r="A10" i="16"/>
  <c r="W8" i="16"/>
  <c r="T9" i="16"/>
  <c r="V9" i="16" s="1"/>
  <c r="V8" i="16"/>
  <c r="BO1" i="1"/>
  <c r="AT1" i="1"/>
  <c r="O12" i="16" l="1"/>
  <c r="T10" i="16"/>
  <c r="W9" i="16"/>
  <c r="J11" i="16"/>
  <c r="B12" i="16"/>
  <c r="A12" i="16" s="1"/>
  <c r="U9" i="16"/>
  <c r="A11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B13" i="16" l="1"/>
  <c r="A13" i="16" s="1"/>
  <c r="W10" i="16"/>
  <c r="T11" i="16"/>
  <c r="U11" i="16" s="1"/>
  <c r="V10" i="16"/>
  <c r="U10" i="16"/>
  <c r="J12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T12" i="16" l="1"/>
  <c r="W12" i="16" s="1"/>
  <c r="W11" i="16"/>
  <c r="V11" i="16"/>
  <c r="W2" i="1"/>
  <c r="V2" i="1"/>
  <c r="U2" i="1"/>
  <c r="V12" i="16" l="1"/>
  <c r="U12" i="16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U4" i="1"/>
  <c r="J6" i="1"/>
  <c r="T5" i="1"/>
  <c r="W5" i="1" s="1"/>
  <c r="O6" i="1"/>
  <c r="B10" i="1"/>
  <c r="V5" i="1" l="1"/>
  <c r="U5" i="1"/>
  <c r="O7" i="1"/>
  <c r="J7" i="1"/>
  <c r="J8" i="1"/>
  <c r="B11" i="1"/>
  <c r="A11" i="1" s="1"/>
  <c r="A10" i="1"/>
  <c r="O8" i="1"/>
  <c r="T6" i="1"/>
  <c r="W6" i="1" s="1"/>
  <c r="B12" i="1"/>
  <c r="A12" i="1" s="1"/>
  <c r="V6" i="1" l="1"/>
  <c r="U6" i="1"/>
  <c r="T7" i="1"/>
  <c r="W7" i="1" s="1"/>
  <c r="J9" i="1"/>
  <c r="T8" i="1"/>
  <c r="W8" i="1" s="1"/>
  <c r="O9" i="1"/>
  <c r="B13" i="1"/>
  <c r="A13" i="1" s="1"/>
  <c r="V8" i="1" l="1"/>
  <c r="U8" i="1"/>
  <c r="V7" i="1"/>
  <c r="U7" i="1"/>
  <c r="J10" i="1"/>
  <c r="J11" i="1"/>
  <c r="O10" i="1"/>
  <c r="T9" i="1"/>
  <c r="W9" i="1" s="1"/>
  <c r="B14" i="1"/>
  <c r="A14" i="1" s="1"/>
  <c r="V9" i="1" l="1"/>
  <c r="U9" i="1"/>
  <c r="O11" i="1"/>
  <c r="J12" i="1"/>
  <c r="T10" i="1"/>
  <c r="W10" i="1" s="1"/>
  <c r="U10" i="1" l="1"/>
  <c r="V10" i="1"/>
  <c r="J13" i="1"/>
  <c r="U13" i="1" s="1"/>
  <c r="O12" i="1"/>
  <c r="T11" i="1"/>
  <c r="W11" i="1" s="1"/>
  <c r="U11" i="1" l="1"/>
  <c r="V11" i="1"/>
  <c r="J14" i="1"/>
  <c r="U14" i="1" s="1"/>
  <c r="O13" i="1"/>
  <c r="V13" i="1" s="1"/>
  <c r="T12" i="1"/>
  <c r="W12" i="1" s="1"/>
  <c r="U12" i="1" l="1"/>
  <c r="V12" i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<sst xmlns="http://schemas.openxmlformats.org/spreadsheetml/2006/main" count="663" uniqueCount="156">
  <si>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</si>
  <si>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</si>
  <si>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</si>
  <si>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</si>
  <si>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</si>
  <si>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</si>
  <si>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</si>
  <si>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</si>
  <si>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</si>
  <si>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</si>
  <si>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</si>
  <si>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</si>
  <si>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</si>
  <si>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</si>
  <si>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</si>
  <si>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</si>
  <si>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</si>
  <si>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</si>
  <si>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</si>
  <si>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</si>
  <si>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</si>
  <si>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</si>
  <si>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</si>
  <si>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</si>
  <si>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</si>
  <si>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</si>
  <si>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</si>
  <si>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</si>
  <si>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</si>
  <si>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</si>
  <si>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</si>
  <si>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</si>
  <si>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</si>
  <si>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</si>
  <si>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</si>
  <si>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</si>
  <si>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</si>
  <si>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</si>
  <si>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</si>
  <si>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</si>
  <si>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</si>
  <si>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</si>
  <si>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</si>
  <si>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</si>
  <si>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</si>
  <si>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</si>
  <si>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</si>
  <si>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</si>
  <si>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</si>
  <si>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</si>
  <si>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</si>
  <si>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</si>
  <si>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</si>
  <si>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</si>
  <si>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</si>
  <si>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</si>
  <si>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</si>
  <si>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</si>
  <si>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</si>
  <si>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</si>
  <si>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</si>
  <si>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</si>
  <si>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</si>
  <si>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</si>
  <si>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</si>
  <si>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</si>
  <si>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</si>
  <si>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</si>
  <si>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</si>
  <si>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</si>
  <si>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</si>
  <si>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</si>
  <si>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</si>
  <si>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</si>
  <si>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</si>
  <si>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</si>
  <si>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</si>
  <si>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</si>
  <si>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</si>
  <si>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</si>
  <si>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</si>
  <si>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</si>
  <si>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</si>
  <si>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</si>
  <si>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</si>
  <si>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</si>
  <si>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</si>
  <si>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</si>
  <si>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</si>
  <si>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</si>
  <si>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</si>
  <si>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</si>
  <si>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</si>
  <si>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</si>
  <si>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</si>
  <si>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</si>
  <si>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</si>
  <si>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</si>
  <si>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</si>
  <si>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</si>
  <si>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</si>
  <si>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</si>
  <si>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</si>
  <si>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</si>
  <si>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</si>
  <si>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</si>
  <si>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</si>
  <si>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</si>
  <si>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</si>
  <si>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</si>
  <si>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</si>
  <si>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</si>
  <si>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</si>
  <si>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</si>
  <si>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</si>
  <si>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</si>
  <si>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</si>
  <si>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</si>
  <si>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</si>
  <si>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</si>
  <si>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</si>
  <si>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</si>
  <si>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</si>
  <si>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</si>
  <si>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</si>
  <si>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</si>
  <si>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</si>
  <si>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</si>
  <si>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</si>
  <si>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</si>
  <si>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</si>
  <si>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</si>
  <si>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</si>
  <si>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</si>
  <si>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</si>
  <si>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</si>
  <si>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</si>
  <si>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</si>
  <si>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</si>
  <si>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ツモ</t>
  </si>
  <si>
    <t>ツモ支払</t>
  </si>
  <si>
    <t>*</t>
  </si>
  <si>
    <t>りくと</t>
  </si>
  <si>
    <t>りくと</t>
    <phoneticPr fontId="1"/>
  </si>
  <si>
    <t>ただ</t>
  </si>
  <si>
    <t>ただ</t>
    <phoneticPr fontId="1"/>
  </si>
  <si>
    <t>まっつん</t>
  </si>
  <si>
    <t>まっつん</t>
    <phoneticPr fontId="1"/>
  </si>
  <si>
    <t>52</t>
  </si>
  <si>
    <t>ロン</t>
  </si>
  <si>
    <t>放銃</t>
  </si>
  <si>
    <t>02</t>
  </si>
  <si>
    <t>01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</si>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</sst>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opLeftCell="A2" zoomScale="110" zoomScaleNormal="110" workbookViewId="0">
      <selection activeCell="E13" sqref="E13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143</v>
      </c>
      <c r="G1" s="74"/>
      <c r="H1" s="74"/>
      <c r="I1" s="83"/>
      <c r="J1" s="75"/>
      <c r="K1" s="72" t="s">
        <v>145</v>
      </c>
      <c r="L1" s="74"/>
      <c r="M1" s="74"/>
      <c r="N1" s="83"/>
      <c r="O1" s="75"/>
      <c r="P1" s="72" t="s">
        <v>147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ただ</v>
      </c>
      <c r="W2" s="16" t="str">
        <f>$P$1</f>
        <v>まっつん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144</v>
      </c>
      <c r="F4" s="8" t="s">
        <v>140</v>
      </c>
      <c r="G4" s="9">
        <v>-6000</v>
      </c>
      <c r="H4" s="9"/>
      <c r="I4" s="55">
        <v>0</v>
      </c>
      <c r="J4" s="21">
        <f>IF(COUNTA($F4,$K4,$P4)&gt;0,J3+SUM(G4:I4),"")</f>
        <v>29000</v>
      </c>
      <c r="K4" s="8" t="s">
        <v>139</v>
      </c>
      <c r="L4" s="9">
        <v>12000</v>
      </c>
      <c r="M4" s="9"/>
      <c r="N4" s="55">
        <v>0</v>
      </c>
      <c r="O4" s="21">
        <f>IF(COUNTA($F4,$K4,$P4)&gt;0,O3+SUM(L4:N4),"")</f>
        <v>47000</v>
      </c>
      <c r="P4" s="8" t="s">
        <v>140</v>
      </c>
      <c r="Q4" s="9">
        <v>-6000</v>
      </c>
      <c r="R4" s="9"/>
      <c r="S4" s="55">
        <v>0</v>
      </c>
      <c r="T4" s="21">
        <f>IF(COUNTA($F4,$K4,$P4)&gt;0,T3+SUM(Q4:S4),"")</f>
        <v>29000</v>
      </c>
      <c r="U4" s="60">
        <f>IF($J4="","",ROUND(($J4-$J$3)/1000,1)+(_xlfn.RANK.AVG($J4,($J4,$O4,$T4),1)-2)*20)</f>
        <v>-16</v>
      </c>
      <c r="V4" s="61">
        <f>IF($O4="","",ROUND(($O4-$O$3)/1000,1)+(_xlfn.RANK.AVG($O4,($J4,$O4,$T4),1)-2)*20)</f>
        <v>32</v>
      </c>
      <c r="W4" s="62">
        <f>IF($T4="","",ROUND(($T4-$T$3)/1000,1)+(_xlfn.RANK.AVG($T4,($J4,$O4,$T4),1)-2)*20)</f>
        <v>-16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>
        <v>5</v>
      </c>
      <c r="AY4" s="36" t="s">
        <v>141</v>
      </c>
      <c r="AZ4" s="47" t="s">
        <v>83</v>
      </c>
      <c r="BA4" s="48" t="s">
        <v>97</v>
      </c>
      <c r="BB4" s="48" t="s">
        <v>87</v>
      </c>
      <c r="BC4" s="48" t="s">
        <v>148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144</v>
      </c>
      <c r="F5" s="8" t="s">
        <v>149</v>
      </c>
      <c r="G5" s="9">
        <v>5200</v>
      </c>
      <c r="H5" s="9"/>
      <c r="I5" s="55">
        <v>1000</v>
      </c>
      <c r="J5" s="21">
        <f t="shared" ref="J5:J30" si="2">IF(COUNTA($F5,$K5,$P5)&gt;0,J4+SUM(G5:I5),"")</f>
        <v>35200</v>
      </c>
      <c r="K5" s="8" t="s">
        <v>150</v>
      </c>
      <c r="L5" s="9">
        <v>-5200</v>
      </c>
      <c r="M5" s="9"/>
      <c r="N5" s="55">
        <v>-1000</v>
      </c>
      <c r="O5" s="21">
        <f t="shared" ref="O5:O30" si="3">IF(COUNTA($F5,$K5,$P5)&gt;0,O4+SUM(L5:N5),"")</f>
        <v>40800</v>
      </c>
      <c r="P5" s="8"/>
      <c r="Q5" s="9"/>
      <c r="R5" s="9"/>
      <c r="S5" s="55"/>
      <c r="T5" s="21">
        <f t="shared" ref="T5:T30" si="4">IF(COUNTA($F5,$K5,$P5)&gt;0,T4+SUM(Q5:S5),"")</f>
        <v>29000</v>
      </c>
      <c r="U5" s="60">
        <f>IF($J5="","",ROUND(($J5-$J$3)/1000,1)+(_xlfn.RANK.AVG($J5,($J5,$O5,$T5),1)-2)*20)</f>
        <v>0.2</v>
      </c>
      <c r="V5" s="61">
        <f>IF($O5="","",ROUND(($O5-$O$3)/1000,1)+(_xlfn.RANK.AVG($O5,($J5,$O5,$T5),1)-2)*20)</f>
        <v>25.8</v>
      </c>
      <c r="W5" s="62">
        <f>IF($T5="","",ROUND(($T5-$T$3)/1000,1)+(_xlfn.RANK.AVG($T5,($J5,$O5,$T5),1)-2)*20)</f>
        <v>-26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151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146</v>
      </c>
      <c r="F6" s="8" t="s">
        <v>140</v>
      </c>
      <c r="G6" s="9">
        <v>-1500</v>
      </c>
      <c r="H6" s="9"/>
      <c r="I6" s="55">
        <v>0</v>
      </c>
      <c r="J6" s="21">
        <f t="shared" si="2"/>
        <v>33700</v>
      </c>
      <c r="K6" s="8" t="s">
        <v>139</v>
      </c>
      <c r="L6" s="9">
        <v>4000</v>
      </c>
      <c r="M6" s="9">
        <v>1000</v>
      </c>
      <c r="N6" s="55">
        <v>0</v>
      </c>
      <c r="O6" s="21">
        <f t="shared" si="3"/>
        <v>45800</v>
      </c>
      <c r="P6" s="8" t="s">
        <v>140</v>
      </c>
      <c r="Q6" s="9">
        <v>-2500</v>
      </c>
      <c r="R6" s="9">
        <v>-1000</v>
      </c>
      <c r="S6" s="55">
        <v>0</v>
      </c>
      <c r="T6" s="21">
        <f t="shared" si="4"/>
        <v>25500</v>
      </c>
      <c r="U6" s="60">
        <f>IF($J6="","",ROUND(($J6-$J$3)/1000,1)+(_xlfn.RANK.AVG($J6,($J6,$O6,$T6),1)-2)*20)</f>
        <v>-1.3</v>
      </c>
      <c r="V6" s="61">
        <f>IF($O6="","",ROUND(($O6-$O$3)/1000,1)+(_xlfn.RANK.AVG($O6,($J6,$O6,$T6),1)-2)*20)</f>
        <v>30.8</v>
      </c>
      <c r="W6" s="62">
        <f>IF($T6="","",ROUND(($T6-$T$3)/1000,1)+(_xlfn.RANK.AVG($T6,($J6,$O6,$T6),1)-2)*20)</f>
        <v>-29.5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3</v>
      </c>
      <c r="AY6" s="36">
        <v>30</v>
      </c>
      <c r="AZ6" s="47" t="s">
        <v>152</v>
      </c>
      <c r="BA6" s="48" t="s">
        <v>83</v>
      </c>
      <c r="BB6" s="48" t="s">
        <v>81</v>
      </c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140</v>
      </c>
      <c r="G7" s="9">
        <v>-3300</v>
      </c>
      <c r="H7" s="9">
        <v>-1000</v>
      </c>
      <c r="I7" s="55">
        <v>0</v>
      </c>
      <c r="J7" s="21">
        <f t="shared" si="2"/>
        <v>29400</v>
      </c>
      <c r="K7" s="8" t="s">
        <v>139</v>
      </c>
      <c r="L7" s="9">
        <v>5300</v>
      </c>
      <c r="M7" s="9">
        <v>1000</v>
      </c>
      <c r="N7" s="55">
        <v>0</v>
      </c>
      <c r="O7" s="21">
        <f t="shared" si="3"/>
        <v>52100</v>
      </c>
      <c r="P7" s="8" t="s">
        <v>140</v>
      </c>
      <c r="Q7" s="9">
        <v>-2000</v>
      </c>
      <c r="R7" s="9"/>
      <c r="S7" s="55">
        <v>0</v>
      </c>
      <c r="T7" s="21">
        <f t="shared" si="4"/>
        <v>23500</v>
      </c>
      <c r="U7" s="60">
        <f>IF($J7="","",ROUND(($J7-$J$3)/1000,1)+(_xlfn.RANK.AVG($J7,($J7,$O7,$T7),1)-2)*20)</f>
        <v>-5.6</v>
      </c>
      <c r="V7" s="61">
        <f>IF($O7="","",ROUND(($O7-$O$3)/1000,1)+(_xlfn.RANK.AVG($O7,($J7,$O7,$T7),1)-2)*20)</f>
        <v>37.1</v>
      </c>
      <c r="W7" s="62">
        <f>IF($T7="","",ROUND(($T7-$T$3)/1000,1)+(_xlfn.RANK.AVG($T7,($J7,$O7,$T7),1)-2)*20)</f>
        <v>-31.5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4</v>
      </c>
      <c r="AY7" s="36">
        <v>20</v>
      </c>
      <c r="AZ7" s="47" t="s">
        <v>152</v>
      </c>
      <c r="BA7" s="48" t="s">
        <v>83</v>
      </c>
      <c r="BB7" s="48" t="s">
        <v>84</v>
      </c>
      <c r="BC7" s="48" t="s">
        <v>80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144</v>
      </c>
      <c r="F8" s="8" t="s">
        <v>139</v>
      </c>
      <c r="G8" s="9">
        <v>7700</v>
      </c>
      <c r="H8" s="9">
        <v>1000</v>
      </c>
      <c r="I8" s="55">
        <v>0</v>
      </c>
      <c r="J8" s="21">
        <f t="shared" si="2"/>
        <v>38100</v>
      </c>
      <c r="K8" s="8" t="s">
        <v>140</v>
      </c>
      <c r="L8" s="9">
        <v>-4800</v>
      </c>
      <c r="M8" s="9">
        <v>-1000</v>
      </c>
      <c r="N8" s="55">
        <v>0</v>
      </c>
      <c r="O8" s="21">
        <f t="shared" si="3"/>
        <v>46300</v>
      </c>
      <c r="P8" s="8" t="s">
        <v>140</v>
      </c>
      <c r="Q8" s="9">
        <v>-2900</v>
      </c>
      <c r="R8" s="9"/>
      <c r="S8" s="55">
        <v>0</v>
      </c>
      <c r="T8" s="21">
        <f t="shared" si="4"/>
        <v>20600</v>
      </c>
      <c r="U8" s="60">
        <f>IF($J8="","",ROUND(($J8-$J$3)/1000,1)+(_xlfn.RANK.AVG($J8,($J8,$O8,$T8),1)-2)*20)</f>
        <v>3.1</v>
      </c>
      <c r="V8" s="61">
        <f>IF($O8="","",ROUND(($O8-$O$3)/1000,1)+(_xlfn.RANK.AVG($O8,($J8,$O8,$T8),1)-2)*20)</f>
        <v>31.3</v>
      </c>
      <c r="W8" s="62">
        <f>IF($T8="","",ROUND(($T8-$T$3)/1000,1)+(_xlfn.RANK.AVG($T8,($J8,$O8,$T8),1)-2)*20)</f>
        <v>-34.4</v>
      </c>
      <c r="Y8" s="8"/>
      <c r="Z8" s="41"/>
      <c r="AA8" s="32"/>
      <c r="AB8" s="32">
        <v>1</v>
      </c>
      <c r="AC8" s="32">
        <v>4</v>
      </c>
      <c r="AD8" s="36">
        <v>30</v>
      </c>
      <c r="AE8" s="47" t="s">
        <v>87</v>
      </c>
      <c r="AF8" s="48" t="s">
        <v>80</v>
      </c>
      <c r="AG8" s="48" t="s">
        <v>80</v>
      </c>
      <c r="AH8" s="48" t="s">
        <v>80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146</v>
      </c>
      <c r="F9" s="8" t="s">
        <v>140</v>
      </c>
      <c r="G9" s="9">
        <v>-12000</v>
      </c>
      <c r="H9" s="9"/>
      <c r="I9" s="55">
        <v>0</v>
      </c>
      <c r="J9" s="21">
        <f t="shared" si="2"/>
        <v>26100</v>
      </c>
      <c r="K9" s="8" t="s">
        <v>140</v>
      </c>
      <c r="L9" s="9">
        <v>-12000</v>
      </c>
      <c r="M9" s="9"/>
      <c r="N9" s="55">
        <v>0</v>
      </c>
      <c r="O9" s="21">
        <f t="shared" si="3"/>
        <v>34300</v>
      </c>
      <c r="P9" s="8" t="s">
        <v>139</v>
      </c>
      <c r="Q9" s="9">
        <v>24000</v>
      </c>
      <c r="R9" s="9"/>
      <c r="S9" s="55">
        <v>0</v>
      </c>
      <c r="T9" s="21">
        <f t="shared" si="4"/>
        <v>44600</v>
      </c>
      <c r="U9" s="60">
        <f>IF($J9="","",ROUND(($J9-$J$3)/1000,1)+(_xlfn.RANK.AVG($J9,($J9,$O9,$T9),1)-2)*20)</f>
        <v>-28.9</v>
      </c>
      <c r="V9" s="61">
        <f>IF($O9="","",ROUND(($O9-$O$3)/1000,1)+(_xlfn.RANK.AVG($O9,($J9,$O9,$T9),1)-2)*20)</f>
        <v>-0.7</v>
      </c>
      <c r="W9" s="62">
        <f>IF($T9="","",ROUND(($T9-$T$3)/1000,1)+(_xlfn.RANK.AVG($T9,($J9,$O9,$T9),1)-2)*20)</f>
        <v>29.6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8</v>
      </c>
      <c r="BT9" s="36" t="s">
        <v>141</v>
      </c>
      <c r="BU9" s="47" t="s">
        <v>152</v>
      </c>
      <c r="BV9" s="48" t="s">
        <v>83</v>
      </c>
      <c r="BW9" s="48" t="s">
        <v>97</v>
      </c>
      <c r="BX9" s="48" t="s">
        <v>81</v>
      </c>
      <c r="BY9" s="48" t="s">
        <v>81</v>
      </c>
      <c r="BZ9" s="48" t="s">
        <v>81</v>
      </c>
      <c r="CA9" s="48" t="s">
        <v>81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146</v>
      </c>
      <c r="F10" s="8" t="s">
        <v>149</v>
      </c>
      <c r="G10" s="9">
        <v>3900</v>
      </c>
      <c r="H10" s="9"/>
      <c r="I10" s="55">
        <v>1000</v>
      </c>
      <c r="J10" s="21">
        <f t="shared" si="2"/>
        <v>31000</v>
      </c>
      <c r="K10" s="8" t="s">
        <v>150</v>
      </c>
      <c r="L10" s="9">
        <v>-3900</v>
      </c>
      <c r="M10" s="9"/>
      <c r="N10" s="55">
        <v>-1000</v>
      </c>
      <c r="O10" s="21">
        <f t="shared" si="3"/>
        <v>29400</v>
      </c>
      <c r="P10" s="8"/>
      <c r="Q10" s="9"/>
      <c r="R10" s="9"/>
      <c r="S10" s="55"/>
      <c r="T10" s="21">
        <f t="shared" si="4"/>
        <v>44600</v>
      </c>
      <c r="U10" s="60">
        <f>IF($J10="","",ROUND(($J10-$J$3)/1000,1)+(_xlfn.RANK.AVG($J10,($J10,$O10,$T10),1)-2)*20)</f>
        <v>-4</v>
      </c>
      <c r="V10" s="61">
        <f>IF($O10="","",ROUND(($O10-$O$3)/1000,1)+(_xlfn.RANK.AVG($O10,($J10,$O10,$T10),1)-2)*20)</f>
        <v>-25.6</v>
      </c>
      <c r="W10" s="62">
        <f>IF($T10="","",ROUND(($T10-$T$3)/1000,1)+(_xlfn.RANK.AVG($T10,($J10,$O10,$T10),1)-2)*20)</f>
        <v>29.6</v>
      </c>
      <c r="Y10" s="8"/>
      <c r="Z10" s="41"/>
      <c r="AA10" s="32">
        <v>1</v>
      </c>
      <c r="AB10" s="32"/>
      <c r="AC10" s="32">
        <v>3</v>
      </c>
      <c r="AD10" s="36">
        <v>30</v>
      </c>
      <c r="AE10" s="47" t="s">
        <v>152</v>
      </c>
      <c r="AF10" s="48" t="s">
        <v>151</v>
      </c>
      <c r="AG10" s="48" t="s">
        <v>84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149</v>
      </c>
      <c r="G11" s="9">
        <v>3900</v>
      </c>
      <c r="H11" s="9">
        <v>1000</v>
      </c>
      <c r="I11" s="55">
        <v>0</v>
      </c>
      <c r="J11" s="21">
        <f t="shared" si="2"/>
        <v>35900</v>
      </c>
      <c r="K11" s="8"/>
      <c r="L11" s="9"/>
      <c r="M11" s="9">
        <v>-1000</v>
      </c>
      <c r="N11" s="55"/>
      <c r="O11" s="21">
        <f t="shared" si="3"/>
        <v>28400</v>
      </c>
      <c r="P11" s="8" t="s">
        <v>150</v>
      </c>
      <c r="Q11" s="9">
        <v>-3900</v>
      </c>
      <c r="R11" s="9"/>
      <c r="S11" s="55">
        <v>0</v>
      </c>
      <c r="T11" s="21">
        <f t="shared" si="4"/>
        <v>40700</v>
      </c>
      <c r="U11" s="60">
        <f>IF($J11="","",ROUND(($J11-$J$3)/1000,1)+(_xlfn.RANK.AVG($J11,($J11,$O11,$T11),1)-2)*20)</f>
        <v>0.9</v>
      </c>
      <c r="V11" s="61">
        <f>IF($O11="","",ROUND(($O11-$O$3)/1000,1)+(_xlfn.RANK.AVG($O11,($J11,$O11,$T11),1)-2)*20)</f>
        <v>-26.6</v>
      </c>
      <c r="W11" s="62">
        <f>IF($T11="","",ROUND(($T11-$T$3)/1000,1)+(_xlfn.RANK.AVG($T11,($J11,$O11,$T11),1)-2)*20)</f>
        <v>25.7</v>
      </c>
      <c r="Y11" s="8"/>
      <c r="Z11" s="41"/>
      <c r="AA11" s="32"/>
      <c r="AB11" s="32"/>
      <c r="AC11" s="32">
        <v>2</v>
      </c>
      <c r="AD11" s="36">
        <v>40</v>
      </c>
      <c r="AE11" s="47" t="s">
        <v>87</v>
      </c>
      <c r="AF11" s="48" t="s">
        <v>148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142</v>
      </c>
      <c r="F12" s="8" t="s">
        <v>140</v>
      </c>
      <c r="G12" s="9">
        <v>-5000</v>
      </c>
      <c r="H12" s="9"/>
      <c r="I12" s="55">
        <v>-500</v>
      </c>
      <c r="J12" s="21">
        <f t="shared" si="2"/>
        <v>30400</v>
      </c>
      <c r="K12" s="8" t="s">
        <v>139</v>
      </c>
      <c r="L12" s="9">
        <v>8000</v>
      </c>
      <c r="M12" s="9"/>
      <c r="N12" s="55">
        <v>1000</v>
      </c>
      <c r="O12" s="21">
        <f t="shared" si="3"/>
        <v>37400</v>
      </c>
      <c r="P12" s="8" t="s">
        <v>140</v>
      </c>
      <c r="Q12" s="9">
        <v>-3000</v>
      </c>
      <c r="R12" s="9"/>
      <c r="S12" s="55">
        <v>-500</v>
      </c>
      <c r="T12" s="21">
        <f t="shared" si="4"/>
        <v>37200</v>
      </c>
      <c r="U12" s="60">
        <f>IF($J12="","",ROUND(($J12-$J$3)/1000,1)+(_xlfn.RANK.AVG($J12,($J12,$O12,$T12),1)-2)*20)</f>
        <v>-24.6</v>
      </c>
      <c r="V12" s="61">
        <f>IF($O12="","",ROUND(($O12-$O$3)/1000,1)+(_xlfn.RANK.AVG($O12,($J12,$O12,$T12),1)-2)*20)</f>
        <v>22.4</v>
      </c>
      <c r="W12" s="62">
        <f>IF($T12="","",ROUND(($T12-$T$3)/1000,1)+(_xlfn.RANK.AVG($T12,($J12,$O12,$T12),1)-2)*20)</f>
        <v>2.2000000000000002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5</v>
      </c>
      <c r="AY12" s="36" t="s">
        <v>141</v>
      </c>
      <c r="AZ12" s="47" t="s">
        <v>152</v>
      </c>
      <c r="BA12" s="48" t="s">
        <v>83</v>
      </c>
      <c r="BB12" s="48" t="s">
        <v>80</v>
      </c>
      <c r="BC12" s="48" t="s">
        <v>81</v>
      </c>
      <c r="BD12" s="48" t="s">
        <v>148</v>
      </c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144</v>
      </c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B160-BF47-4A9D-8A32-4F69547DB086}">
  <sheetPr codeName="Sheet10">
    <pageSetUpPr fitToPage="1"/>
  </sheetPr>
  <dimension ref="A1:CI30"/>
  <sheetViews>
    <sheetView tabSelected="1" topLeftCell="E1" zoomScale="110" zoomScaleNormal="110" workbookViewId="0">
      <selection activeCell="L17" sqref="L17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143</v>
      </c>
      <c r="G1" s="74"/>
      <c r="H1" s="74"/>
      <c r="I1" s="83"/>
      <c r="J1" s="75"/>
      <c r="K1" s="72" t="s">
        <v>145</v>
      </c>
      <c r="L1" s="74"/>
      <c r="M1" s="74"/>
      <c r="N1" s="83"/>
      <c r="O1" s="75"/>
      <c r="P1" s="72" t="s">
        <v>147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ただ</v>
      </c>
      <c r="W2" s="16" t="str">
        <f>$P$1</f>
        <v>まっつん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142</v>
      </c>
      <c r="F4" s="8" t="s">
        <v>150</v>
      </c>
      <c r="G4" s="9">
        <v>-3900</v>
      </c>
      <c r="H4" s="9">
        <v>-1000</v>
      </c>
      <c r="I4" s="55">
        <v>0</v>
      </c>
      <c r="J4" s="21">
        <f>IF(COUNTA($F4,$K4,$P4)&gt;0,J3+SUM(G4:I4),"")</f>
        <v>30100</v>
      </c>
      <c r="K4" s="8" t="s">
        <v>149</v>
      </c>
      <c r="L4" s="9">
        <v>3900</v>
      </c>
      <c r="M4" s="9">
        <v>1000</v>
      </c>
      <c r="N4" s="55">
        <v>0</v>
      </c>
      <c r="O4" s="21">
        <f>IF(COUNTA($F4,$K4,$P4)&gt;0,O3+SUM(L4:N4),"")</f>
        <v>39900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-24.9</v>
      </c>
      <c r="V4" s="61">
        <f>IF($O4="","",ROUND(($O4-$O$3)/1000,1)+(_xlfn.RANK.AVG($O4,($J4,$O4,$T4),1)-2)*20)</f>
        <v>24.9</v>
      </c>
      <c r="W4" s="62">
        <f>IF($T4="","",ROUND(($T4-$T$3)/1000,1)+(_xlfn.RANK.AVG($T4,($J4,$O4,$T4),1)-2)*20)</f>
        <v>0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30</v>
      </c>
      <c r="AZ4" s="47" t="s">
        <v>152</v>
      </c>
      <c r="BA4" s="48" t="s">
        <v>84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144</v>
      </c>
      <c r="F5" s="8" t="s">
        <v>155</v>
      </c>
      <c r="G5" s="9">
        <v>-3000</v>
      </c>
      <c r="H5" s="9"/>
      <c r="I5" s="55"/>
      <c r="J5" s="21">
        <f t="shared" ref="J5:J30" si="2">IF(COUNTA($F5,$K5,$P5)&gt;0,J4+SUM(G5:I5),"")</f>
        <v>27100</v>
      </c>
      <c r="K5" s="8" t="s">
        <v>155</v>
      </c>
      <c r="L5" s="9">
        <v>1500</v>
      </c>
      <c r="M5" s="9"/>
      <c r="N5" s="55"/>
      <c r="O5" s="21">
        <f t="shared" ref="O5:O30" si="3">IF(COUNTA($F5,$K5,$P5)&gt;0,O4+SUM(L5:N5),"")</f>
        <v>41400</v>
      </c>
      <c r="P5" s="8" t="s">
        <v>155</v>
      </c>
      <c r="Q5" s="9">
        <v>1500</v>
      </c>
      <c r="R5" s="9"/>
      <c r="S5" s="55"/>
      <c r="T5" s="21">
        <f t="shared" ref="T5:T30" si="4">IF(COUNTA($F5,$K5,$P5)&gt;0,T4+SUM(Q5:S5),"")</f>
        <v>36500</v>
      </c>
      <c r="U5" s="60">
        <f>IF($J5="","",ROUND(($J5-$J$3)/1000,1)+(_xlfn.RANK.AVG($J5,($J5,$O5,$T5),1)-2)*20)</f>
        <v>-27.9</v>
      </c>
      <c r="V5" s="61">
        <f>IF($O5="","",ROUND(($O5-$O$3)/1000,1)+(_xlfn.RANK.AVG($O5,($J5,$O5,$T5),1)-2)*20)</f>
        <v>26.4</v>
      </c>
      <c r="W5" s="62">
        <f>IF($T5="","",ROUND(($T5-$T$3)/1000,1)+(_xlfn.RANK.AVG($T5,($J5,$O5,$T5),1)-2)*20)</f>
        <v>1.5</v>
      </c>
      <c r="Y5" s="8" t="s">
        <v>153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154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154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144</v>
      </c>
      <c r="F6" s="8" t="s">
        <v>150</v>
      </c>
      <c r="G6" s="9">
        <v>-18000</v>
      </c>
      <c r="H6" s="9"/>
      <c r="I6" s="55">
        <v>-1000</v>
      </c>
      <c r="J6" s="21">
        <f t="shared" si="2"/>
        <v>8100</v>
      </c>
      <c r="K6" s="8" t="s">
        <v>149</v>
      </c>
      <c r="L6" s="9">
        <v>18000</v>
      </c>
      <c r="M6" s="9"/>
      <c r="N6" s="55">
        <v>1000</v>
      </c>
      <c r="O6" s="21">
        <f t="shared" si="3"/>
        <v>60400</v>
      </c>
      <c r="P6" s="8"/>
      <c r="Q6" s="9"/>
      <c r="R6" s="9"/>
      <c r="S6" s="55"/>
      <c r="T6" s="21">
        <f t="shared" si="4"/>
        <v>36500</v>
      </c>
      <c r="U6" s="60">
        <f>IF($J6="","",ROUND(($J6-$J$3)/1000,1)+(_xlfn.RANK.AVG($J6,($J6,$O6,$T6),1)-2)*20)</f>
        <v>-46.9</v>
      </c>
      <c r="V6" s="61">
        <f>IF($O6="","",ROUND(($O6-$O$3)/1000,1)+(_xlfn.RANK.AVG($O6,($J6,$O6,$T6),1)-2)*20)</f>
        <v>45.4</v>
      </c>
      <c r="W6" s="62">
        <f>IF($T6="","",ROUND(($T6-$T$3)/1000,1)+(_xlfn.RANK.AVG($T6,($J6,$O6,$T6),1)-2)*20)</f>
        <v>1.5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>
        <v>7</v>
      </c>
      <c r="AY6" s="36" t="s">
        <v>141</v>
      </c>
      <c r="AZ6" s="47" t="s">
        <v>87</v>
      </c>
      <c r="BA6" s="48" t="s">
        <v>87</v>
      </c>
      <c r="BB6" s="48" t="s">
        <v>80</v>
      </c>
      <c r="BC6" s="48" t="s">
        <v>80</v>
      </c>
      <c r="BD6" s="48" t="s">
        <v>80</v>
      </c>
      <c r="BE6" s="48" t="s">
        <v>148</v>
      </c>
      <c r="BF6" s="48" t="s">
        <v>148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144</v>
      </c>
      <c r="F7" s="8" t="s">
        <v>139</v>
      </c>
      <c r="G7" s="9">
        <v>12000</v>
      </c>
      <c r="H7" s="9"/>
      <c r="I7" s="55">
        <v>2000</v>
      </c>
      <c r="J7" s="21">
        <f t="shared" si="2"/>
        <v>22100</v>
      </c>
      <c r="K7" s="8" t="s">
        <v>140</v>
      </c>
      <c r="L7" s="9">
        <v>-7500</v>
      </c>
      <c r="M7" s="9"/>
      <c r="N7" s="55">
        <v>-1000</v>
      </c>
      <c r="O7" s="21">
        <f t="shared" si="3"/>
        <v>51900</v>
      </c>
      <c r="P7" s="8" t="s">
        <v>140</v>
      </c>
      <c r="Q7" s="9">
        <v>-4500</v>
      </c>
      <c r="R7" s="9"/>
      <c r="S7" s="55">
        <v>-1000</v>
      </c>
      <c r="T7" s="21">
        <f t="shared" si="4"/>
        <v>31000</v>
      </c>
      <c r="U7" s="60">
        <f>IF($J7="","",ROUND(($J7-$J$3)/1000,1)+(_xlfn.RANK.AVG($J7,($J7,$O7,$T7),1)-2)*20)</f>
        <v>-32.9</v>
      </c>
      <c r="V7" s="61">
        <f>IF($O7="","",ROUND(($O7-$O$3)/1000,1)+(_xlfn.RANK.AVG($O7,($J7,$O7,$T7),1)-2)*20)</f>
        <v>36.9</v>
      </c>
      <c r="W7" s="62">
        <f>IF($T7="","",ROUND(($T7-$T$3)/1000,1)+(_xlfn.RANK.AVG($T7,($J7,$O7,$T7),1)-2)*20)</f>
        <v>-4</v>
      </c>
      <c r="Y7" s="8"/>
      <c r="Z7" s="41"/>
      <c r="AA7" s="32">
        <v>1</v>
      </c>
      <c r="AB7" s="32"/>
      <c r="AC7" s="32">
        <v>6</v>
      </c>
      <c r="AD7" s="36" t="s">
        <v>141</v>
      </c>
      <c r="AE7" s="47" t="s">
        <v>152</v>
      </c>
      <c r="AF7" s="48" t="s">
        <v>83</v>
      </c>
      <c r="AG7" s="48" t="s">
        <v>148</v>
      </c>
      <c r="AH7" s="48" t="s">
        <v>148</v>
      </c>
      <c r="AI7" s="48" t="s">
        <v>81</v>
      </c>
      <c r="AJ7" s="48" t="s">
        <v>86</v>
      </c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146</v>
      </c>
      <c r="F8" s="8" t="s">
        <v>150</v>
      </c>
      <c r="G8" s="9">
        <v>-3900</v>
      </c>
      <c r="H8" s="9"/>
      <c r="I8" s="55">
        <v>0</v>
      </c>
      <c r="J8" s="21">
        <f t="shared" si="2"/>
        <v>18200</v>
      </c>
      <c r="K8" s="8"/>
      <c r="L8" s="9"/>
      <c r="M8" s="9"/>
      <c r="N8" s="55"/>
      <c r="O8" s="21">
        <f t="shared" si="3"/>
        <v>51900</v>
      </c>
      <c r="P8" s="8" t="s">
        <v>149</v>
      </c>
      <c r="Q8" s="9">
        <v>3900</v>
      </c>
      <c r="R8" s="9"/>
      <c r="S8" s="55">
        <v>0</v>
      </c>
      <c r="T8" s="21">
        <f t="shared" si="4"/>
        <v>34900</v>
      </c>
      <c r="U8" s="60">
        <f>IF($J8="","",ROUND(($J8-$J$3)/1000,1)+(_xlfn.RANK.AVG($J8,($J8,$O8,$T8),1)-2)*20)</f>
        <v>-36.799999999999997</v>
      </c>
      <c r="V8" s="61">
        <f>IF($O8="","",ROUND(($O8-$O$3)/1000,1)+(_xlfn.RANK.AVG($O8,($J8,$O8,$T8),1)-2)*20)</f>
        <v>36.9</v>
      </c>
      <c r="W8" s="62">
        <f>IF($T8="","",ROUND(($T8-$T$3)/1000,1)+(_xlfn.RANK.AVG($T8,($J8,$O8,$T8),1)-2)*20)</f>
        <v>-0.1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2</v>
      </c>
      <c r="BT8" s="36">
        <v>40</v>
      </c>
      <c r="BU8" s="47" t="s">
        <v>152</v>
      </c>
      <c r="BV8" s="48" t="s">
        <v>81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146</v>
      </c>
      <c r="F9" s="8" t="s">
        <v>155</v>
      </c>
      <c r="G9" s="9">
        <v>1500</v>
      </c>
      <c r="H9" s="9"/>
      <c r="I9" s="55"/>
      <c r="J9" s="21">
        <f t="shared" si="2"/>
        <v>19700</v>
      </c>
      <c r="K9" s="8" t="s">
        <v>155</v>
      </c>
      <c r="L9" s="9">
        <v>-3000</v>
      </c>
      <c r="M9" s="9"/>
      <c r="N9" s="55"/>
      <c r="O9" s="21">
        <f t="shared" si="3"/>
        <v>48900</v>
      </c>
      <c r="P9" s="8" t="s">
        <v>155</v>
      </c>
      <c r="Q9" s="9">
        <v>1500</v>
      </c>
      <c r="R9" s="9"/>
      <c r="S9" s="55"/>
      <c r="T9" s="21">
        <f t="shared" si="4"/>
        <v>36400</v>
      </c>
      <c r="U9" s="60">
        <f>IF($J9="","",ROUND(($J9-$J$3)/1000,1)+(_xlfn.RANK.AVG($J9,($J9,$O9,$T9),1)-2)*20)</f>
        <v>-35.299999999999997</v>
      </c>
      <c r="V9" s="61">
        <f>IF($O9="","",ROUND(($O9-$O$3)/1000,1)+(_xlfn.RANK.AVG($O9,($J9,$O9,$T9),1)-2)*20)</f>
        <v>33.9</v>
      </c>
      <c r="W9" s="62">
        <f>IF($T9="","",ROUND(($T9-$T$3)/1000,1)+(_xlfn.RANK.AVG($T9,($J9,$O9,$T9),1)-2)*20)</f>
        <v>1.4</v>
      </c>
      <c r="Y9" s="8" t="s">
        <v>154</v>
      </c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153</v>
      </c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154</v>
      </c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2</v>
      </c>
      <c r="D10" s="18">
        <f t="shared" si="1"/>
        <v>0</v>
      </c>
      <c r="E10" s="4" t="s">
        <v>146</v>
      </c>
      <c r="F10" s="8" t="s">
        <v>139</v>
      </c>
      <c r="G10" s="9">
        <v>32000</v>
      </c>
      <c r="H10" s="9"/>
      <c r="I10" s="55">
        <v>2000</v>
      </c>
      <c r="J10" s="21">
        <f t="shared" si="2"/>
        <v>53700</v>
      </c>
      <c r="K10" s="8" t="s">
        <v>140</v>
      </c>
      <c r="L10" s="9">
        <v>-12000</v>
      </c>
      <c r="M10" s="9"/>
      <c r="N10" s="55">
        <v>-1000</v>
      </c>
      <c r="O10" s="21">
        <f t="shared" si="3"/>
        <v>35900</v>
      </c>
      <c r="P10" s="8" t="s">
        <v>140</v>
      </c>
      <c r="Q10" s="9">
        <v>-20000</v>
      </c>
      <c r="R10" s="9"/>
      <c r="S10" s="55">
        <v>-1000</v>
      </c>
      <c r="T10" s="21">
        <f t="shared" si="4"/>
        <v>15400</v>
      </c>
      <c r="U10" s="60">
        <f>IF($J10="","",ROUND(($J10-$J$3)/1000,1)+(_xlfn.RANK.AVG($J10,($J10,$O10,$T10),1)-2)*20)</f>
        <v>38.700000000000003</v>
      </c>
      <c r="V10" s="61">
        <f>IF($O10="","",ROUND(($O10-$O$3)/1000,1)+(_xlfn.RANK.AVG($O10,($J10,$O10,$T10),1)-2)*20)</f>
        <v>0.9</v>
      </c>
      <c r="W10" s="62">
        <f>IF($T10="","",ROUND(($T10-$T$3)/1000,1)+(_xlfn.RANK.AVG($T10,($J10,$O10,$T10),1)-2)*20)</f>
        <v>-39.6</v>
      </c>
      <c r="Y10" s="8"/>
      <c r="Z10" s="41"/>
      <c r="AA10" s="32">
        <v>1</v>
      </c>
      <c r="AB10" s="32"/>
      <c r="AC10" s="32">
        <v>13</v>
      </c>
      <c r="AD10" s="36" t="s">
        <v>141</v>
      </c>
      <c r="AE10" s="47" t="s">
        <v>109</v>
      </c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142</v>
      </c>
      <c r="F11" s="8"/>
      <c r="G11" s="9"/>
      <c r="H11" s="9"/>
      <c r="I11" s="55"/>
      <c r="J11" s="21">
        <f t="shared" si="2"/>
        <v>53700</v>
      </c>
      <c r="K11" s="8" t="s">
        <v>149</v>
      </c>
      <c r="L11" s="9">
        <v>12000</v>
      </c>
      <c r="M11" s="9"/>
      <c r="N11" s="55">
        <v>0</v>
      </c>
      <c r="O11" s="21">
        <f t="shared" si="3"/>
        <v>47900</v>
      </c>
      <c r="P11" s="8" t="s">
        <v>150</v>
      </c>
      <c r="Q11" s="9">
        <v>-12000</v>
      </c>
      <c r="R11" s="9"/>
      <c r="S11" s="55">
        <v>0</v>
      </c>
      <c r="T11" s="21">
        <f t="shared" si="4"/>
        <v>3400</v>
      </c>
      <c r="U11" s="60">
        <f>IF($J11="","",ROUND(($J11-$J$3)/1000,1)+(_xlfn.RANK.AVG($J11,($J11,$O11,$T11),1)-2)*20)</f>
        <v>38.700000000000003</v>
      </c>
      <c r="V11" s="61">
        <f>IF($O11="","",ROUND(($O11-$O$3)/1000,1)+(_xlfn.RANK.AVG($O11,($J11,$O11,$T11),1)-2)*20)</f>
        <v>12.9</v>
      </c>
      <c r="W11" s="62">
        <f>IF($T11="","",ROUND(($T11-$T$3)/1000,1)+(_xlfn.RANK.AVG($T11,($J11,$O11,$T11),1)-2)*20)</f>
        <v>-51.6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6</v>
      </c>
      <c r="AY11" s="36" t="s">
        <v>141</v>
      </c>
      <c r="AZ11" s="47" t="s">
        <v>152</v>
      </c>
      <c r="BA11" s="48" t="s">
        <v>103</v>
      </c>
      <c r="BB11" s="48" t="s">
        <v>148</v>
      </c>
      <c r="BC11" s="48" t="s">
        <v>84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144</v>
      </c>
      <c r="F12" s="8" t="s">
        <v>140</v>
      </c>
      <c r="G12" s="9">
        <v>-24000</v>
      </c>
      <c r="H12" s="9"/>
      <c r="I12" s="55">
        <v>0</v>
      </c>
      <c r="J12" s="21">
        <f t="shared" si="2"/>
        <v>29700</v>
      </c>
      <c r="K12" s="8" t="s">
        <v>139</v>
      </c>
      <c r="L12" s="9">
        <v>48000</v>
      </c>
      <c r="M12" s="9">
        <v>1000</v>
      </c>
      <c r="N12" s="55">
        <v>0</v>
      </c>
      <c r="O12" s="21">
        <f t="shared" si="3"/>
        <v>96900</v>
      </c>
      <c r="P12" s="8" t="s">
        <v>140</v>
      </c>
      <c r="Q12" s="9">
        <v>-24000</v>
      </c>
      <c r="R12" s="9">
        <v>-1000</v>
      </c>
      <c r="S12" s="55">
        <v>0</v>
      </c>
      <c r="T12" s="21">
        <f t="shared" si="4"/>
        <v>-21600</v>
      </c>
      <c r="U12" s="60">
        <f>IF($J12="","",ROUND(($J12-$J$3)/1000,1)+(_xlfn.RANK.AVG($J12,($J12,$O12,$T12),1)-2)*20)</f>
        <v>-5.3</v>
      </c>
      <c r="V12" s="61">
        <f>IF($O12="","",ROUND(($O12-$O$3)/1000,1)+(_xlfn.RANK.AVG($O12,($J12,$O12,$T12),1)-2)*20)</f>
        <v>81.900000000000006</v>
      </c>
      <c r="W12" s="62">
        <f>IF($T12="","",ROUND(($T12-$T$3)/1000,1)+(_xlfn.RANK.AVG($T12,($J12,$O12,$T12),1)-2)*20)</f>
        <v>-76.599999999999994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13</v>
      </c>
      <c r="AY12" s="36" t="s">
        <v>141</v>
      </c>
      <c r="AZ12" s="47" t="s">
        <v>109</v>
      </c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144</v>
      </c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DEB9431-1CDE-4E57-9FB1-4C53D4AE935F}">
      <formula1>$U$2:$W$2</formula1>
    </dataValidation>
    <dataValidation type="list" showInputMessage="1" showErrorMessage="1" sqref="K4:K30 P4:P30 F4:F30" xr:uid="{FB1742D0-11E1-463F-9FAE-7A12DB41F7CC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2019-04-28T16:16:57Z</dcterms:modified>
</cp:coreProperties>
</file>