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大池　陸斗\mahjong\麻雀同好会2nd\対局\"/>
    </mc:Choice>
  </mc:AlternateContent>
  <xr:revisionPtr revIDLastSave="0" documentId="13_ncr:1_{70AC9142-9769-4E64-8427-C377A069A46B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 s="1"/>
  <c r="T9" i="19"/>
  <c r="W9" i="19" s="1"/>
  <c r="O9" i="19"/>
  <c r="J9" i="19"/>
  <c r="D9" i="19"/>
  <c r="C9" i="19"/>
  <c r="B9" i="19"/>
  <c r="A9" i="19" s="1"/>
  <c r="T8" i="19"/>
  <c r="O8" i="19"/>
  <c r="V8" i="19" s="1"/>
  <c r="J8" i="19"/>
  <c r="D8" i="19"/>
  <c r="C8" i="19"/>
  <c r="B8" i="19"/>
  <c r="A8" i="19" s="1"/>
  <c r="T7" i="19"/>
  <c r="O7" i="19"/>
  <c r="J7" i="19"/>
  <c r="U7" i="19" s="1"/>
  <c r="D7" i="19"/>
  <c r="C7" i="19"/>
  <c r="B7" i="19"/>
  <c r="A7" i="19" s="1"/>
  <c r="T6" i="19"/>
  <c r="O6" i="19"/>
  <c r="V6" i="19" s="1"/>
  <c r="J6" i="19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U9" i="19" l="1"/>
  <c r="V9" i="19"/>
  <c r="W8" i="19"/>
  <c r="U8" i="19"/>
  <c r="W7" i="19"/>
  <c r="V7" i="19"/>
  <c r="U6" i="19"/>
  <c r="W6" i="19"/>
  <c r="U4" i="19"/>
  <c r="V4" i="19"/>
  <c r="W4" i="19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<sst xmlns="http://schemas.openxmlformats.org/spreadsheetml/2006/main" count="575" uniqueCount="202">
  <si>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</si>
  <si>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</si>
  <si>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</si>
  <si>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</si>
  <si>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</si>
  <si>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</si>
  <si>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</si>
  <si>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</si>
  <si>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</si>
  <si>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</si>
  <si>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</si>
  <si>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</si>
  <si>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</si>
  <si>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</si>
  <si>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</si>
  <si>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</si>
  <si>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</si>
  <si>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</si>
  <si>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</si>
  <si>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</si>
  <si>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</si>
  <si>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</si>
  <si>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</si>
  <si>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</si>
  <si>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</si>
  <si>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</si>
  <si>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</si>
  <si>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</si>
  <si>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</si>
  <si>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</si>
  <si>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</si>
  <si>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</si>
  <si>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</si>
  <si>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</si>
  <si>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</si>
  <si>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</si>
  <si>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</si>
  <si>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</si>
  <si>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</si>
  <si>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</si>
  <si>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</si>
  <si>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</si>
  <si>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</si>
  <si>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</si>
  <si>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</si>
  <si>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</si>
  <si>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</si>
  <si>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</si>
  <si>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</si>
  <si>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</si>
  <si>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</si>
  <si>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</si>
  <si>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</si>
  <si>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</si>
  <si>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</si>
  <si>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</si>
  <si>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</si>
  <si>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</si>
  <si>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</si>
  <si>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</si>
  <si>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</si>
  <si>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</si>
  <si>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</si>
  <si>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</si>
  <si>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</si>
  <si>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</si>
  <si>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</si>
  <si>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</si>
  <si>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</si>
  <si>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</si>
  <si>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</si>
  <si>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</si>
  <si>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</si>
  <si>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</si>
  <si>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</si>
  <si>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</si>
  <si>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</si>
  <si>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</si>
  <si>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</si>
  <si>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</si>
  <si>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</si>
  <si>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</si>
  <si>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</si>
  <si>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</si>
  <si>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</si>
  <si>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</si>
  <si>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</si>
  <si>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</si>
  <si>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</si>
  <si>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</si>
  <si>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</si>
  <si>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</si>
  <si>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</si>
  <si>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</si>
  <si>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</si>
  <si>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</si>
  <si>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</si>
  <si>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</si>
  <si>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</si>
  <si>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</si>
  <si>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</si>
  <si>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</si>
  <si>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</si>
  <si>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</si>
  <si>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</si>
  <si>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</si>
  <si>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</si>
  <si>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</si>
  <si>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</si>
  <si>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</si>
  <si>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</si>
  <si>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</si>
  <si>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</si>
  <si>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</si>
  <si>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</si>
  <si>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</si>
  <si>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</si>
  <si>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</si>
  <si>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</si>
  <si>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</si>
  <si>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</si>
  <si>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</si>
  <si>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</si>
  <si>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</si>
  <si>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</si>
  <si>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</si>
  <si>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</si>
  <si>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</si>
  <si>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</si>
  <si>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</si>
  <si>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</si>
  <si>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</si>
  <si>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</si>
  <si>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</si>
  <si>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</si>
  <si>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</si>
  <si>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</si>
  <si>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</si>
  <si>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</si>
  <si>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</si>
  <si>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</si>
  <si>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</si>
  <si>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</si>
  <si>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</si>
  <si>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</si>
  <si>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</si>
  <si>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</si>
  <si>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</si>
  <si>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</si>
  <si>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</si>
  <si>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</si>
  <si>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</si>
  <si>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</si>
  <si>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</si>
  <si>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</si>
  <si>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</si>
  <si>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</si>
  <si>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</si>
  <si>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</si>
  <si>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</si>
  <si>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</si>
  <si>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</si>
  <si>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</si>
  <si>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</si>
  <si>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</si>
  <si>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</si>
  <si>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</si>
  <si>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</si>
  <si>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</si>
  <si>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</si>
  <si>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</si>
  <si>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</si>
  <si>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</si>
  <si>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</si>
  <si>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</si>
  <si>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</si>
  <si>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</si>
  <si>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</si>
  <si>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</si>
  <si>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</si>
  <si>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</si>
  <si>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</si>
  <si>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</si>
  <si>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</si>
  <si>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</si>
  <si>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</si>
  <si>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</si>
  <si>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</si>
  <si>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</si>
  <si>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りくと</t>
  </si>
  <si>
    <t>りくと</t>
    <phoneticPr fontId="1"/>
  </si>
  <si>
    <t>れんたろう</t>
  </si>
  <si>
    <t>れんたろう</t>
    <phoneticPr fontId="1"/>
  </si>
  <si>
    <t>だいち</t>
  </si>
  <si>
    <t>だいち</t>
    <phoneticPr fontId="1"/>
  </si>
  <si>
    <t>放銃</t>
  </si>
  <si>
    <t>ロン</t>
  </si>
  <si>
    <t>01</t>
  </si>
  <si>
    <t>52</t>
  </si>
  <si>
    <t>*</t>
  </si>
  <si>
    <t>ツモ支払</t>
  </si>
  <si>
    <t>ツモ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</si>
</sst>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190</v>
      </c>
      <c r="G1" s="67"/>
      <c r="H1" s="67"/>
      <c r="I1" s="68"/>
      <c r="J1" s="69"/>
      <c r="K1" s="66" t="s">
        <v>192</v>
      </c>
      <c r="L1" s="67"/>
      <c r="M1" s="67"/>
      <c r="N1" s="68"/>
      <c r="O1" s="69"/>
      <c r="P1" s="66" t="s">
        <v>194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りくと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れんたろう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だいち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れんたろう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189</v>
      </c>
      <c r="F4" s="8" t="s">
        <v>195</v>
      </c>
      <c r="G4" s="9">
        <v>-8000</v>
      </c>
      <c r="H4" s="9"/>
      <c r="I4" s="48">
        <v>0</v>
      </c>
      <c r="J4" s="21">
        <f>IF(COUNTA($F4,$K4,$P4)&gt;0,J3+SUM(G4:I4),"")</f>
        <v>27000</v>
      </c>
      <c r="K4" s="8"/>
      <c r="L4" s="9"/>
      <c r="M4" s="9"/>
      <c r="N4" s="48"/>
      <c r="O4" s="21">
        <f>IF(COUNTA($F4,$K4,$P4)&gt;0,O3+SUM(L4:N4),"")</f>
        <v>35000</v>
      </c>
      <c r="P4" s="8" t="s">
        <v>196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IF($J4="","",ROUND(($J4-$J$3)/1000,1)+(_xlfn.RANK.AVG($J4,($J4,$O4,$T4),1)-2)*20)</f>
        <v>-28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28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4</v>
      </c>
      <c r="BT4" s="30">
        <v>40</v>
      </c>
      <c r="BU4" s="40" t="s">
        <v>197</v>
      </c>
      <c r="BV4" s="41" t="s">
        <v>79</v>
      </c>
      <c r="BW4" s="41" t="s">
        <v>80</v>
      </c>
      <c r="BX4" s="41" t="s">
        <v>198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/>
      <c r="G5" s="9"/>
      <c r="H5" s="9"/>
      <c r="I5" s="48"/>
      <c r="J5" s="21">
        <f t="shared" ref="J5:J30" si="2">IF(COUNTA($F5,$K5,$P5)&gt;0,J4+SUM(G5:I5),"")</f>
        <v>27000</v>
      </c>
      <c r="K5" s="8" t="s">
        <v>195</v>
      </c>
      <c r="L5" s="9">
        <v>-1000</v>
      </c>
      <c r="M5" s="9"/>
      <c r="N5" s="48">
        <v>0</v>
      </c>
      <c r="O5" s="21">
        <f t="shared" ref="O5:O30" si="3">IF(COUNTA($F5,$K5,$P5)&gt;0,O4+SUM(L5:N5),"")</f>
        <v>34000</v>
      </c>
      <c r="P5" s="8" t="s">
        <v>196</v>
      </c>
      <c r="Q5" s="9">
        <v>1000</v>
      </c>
      <c r="R5" s="9"/>
      <c r="S5" s="48">
        <v>0</v>
      </c>
      <c r="T5" s="21">
        <f t="shared" ref="T5:T30" si="4">IF(COUNTA($F5,$K5,$P5)&gt;0,T4+SUM(Q5:S5),"")</f>
        <v>44000</v>
      </c>
      <c r="U5" s="53">
        <f>IF($J5="","",ROUND(($J5-$J$3)/1000,1)+(_xlfn.RANK.AVG($J5,($J5,$O5,$T5),1)-2)*20)</f>
        <v>-28</v>
      </c>
      <c r="V5" s="54">
        <f>IF($O5="","",ROUND(($O5-$O$3)/1000,1)+(_xlfn.RANK.AVG($O5,($J5,$O5,$T5),1)-2)*20)</f>
        <v>-1</v>
      </c>
      <c r="W5" s="55">
        <f>IF($T5="","",ROUND(($T5-$T$3)/1000,1)+(_xlfn.RANK.AVG($T5,($J5,$O5,$T5),1)-2)*20)</f>
        <v>29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1</v>
      </c>
      <c r="BT5" s="30">
        <v>30</v>
      </c>
      <c r="BU5" s="40" t="s">
        <v>86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/>
      <c r="G6" s="9"/>
      <c r="H6" s="9"/>
      <c r="I6" s="48"/>
      <c r="J6" s="21">
        <f t="shared" si="2"/>
        <v>27000</v>
      </c>
      <c r="K6" s="8" t="s">
        <v>195</v>
      </c>
      <c r="L6" s="9">
        <v>-12000</v>
      </c>
      <c r="M6" s="9"/>
      <c r="N6" s="48">
        <v>0</v>
      </c>
      <c r="O6" s="21">
        <f t="shared" si="3"/>
        <v>22000</v>
      </c>
      <c r="P6" s="8" t="s">
        <v>196</v>
      </c>
      <c r="Q6" s="9">
        <v>12000</v>
      </c>
      <c r="R6" s="9"/>
      <c r="S6" s="48">
        <v>0</v>
      </c>
      <c r="T6" s="21">
        <f t="shared" si="4"/>
        <v>56000</v>
      </c>
      <c r="U6" s="53">
        <f>IF($J6="","",ROUND(($J6-$J$3)/1000,1)+(_xlfn.RANK.AVG($J6,($J6,$O6,$T6),1)-2)*20)</f>
        <v>-8</v>
      </c>
      <c r="V6" s="54">
        <f>IF($O6="","",ROUND(($O6-$O$3)/1000,1)+(_xlfn.RANK.AVG($O6,($J6,$O6,$T6),1)-2)*20)</f>
        <v>-33</v>
      </c>
      <c r="W6" s="55">
        <f>IF($T6="","",ROUND(($T6-$T$3)/1000,1)+(_xlfn.RANK.AVG($T6,($J6,$O6,$T6),1)-2)*20)</f>
        <v>41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199</v>
      </c>
      <c r="BU6" s="40" t="s">
        <v>197</v>
      </c>
      <c r="BV6" s="41" t="s">
        <v>86</v>
      </c>
      <c r="BW6" s="41" t="s">
        <v>86</v>
      </c>
      <c r="BX6" s="41" t="s">
        <v>86</v>
      </c>
      <c r="BY6" s="41" t="s">
        <v>198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193</v>
      </c>
      <c r="F7" s="8" t="s">
        <v>200</v>
      </c>
      <c r="G7" s="9">
        <v>-4500</v>
      </c>
      <c r="H7" s="9">
        <v>-1000</v>
      </c>
      <c r="I7" s="48">
        <v>-500</v>
      </c>
      <c r="J7" s="21">
        <f t="shared" si="2"/>
        <v>21000</v>
      </c>
      <c r="K7" s="8" t="s">
        <v>201</v>
      </c>
      <c r="L7" s="9">
        <v>12000</v>
      </c>
      <c r="M7" s="9">
        <v>1000</v>
      </c>
      <c r="N7" s="48">
        <v>1000</v>
      </c>
      <c r="O7" s="21">
        <f t="shared" si="3"/>
        <v>36000</v>
      </c>
      <c r="P7" s="8" t="s">
        <v>200</v>
      </c>
      <c r="Q7" s="9">
        <v>-7500</v>
      </c>
      <c r="R7" s="9"/>
      <c r="S7" s="48">
        <v>-500</v>
      </c>
      <c r="T7" s="21">
        <f t="shared" si="4"/>
        <v>48000</v>
      </c>
      <c r="U7" s="53">
        <f>IF($J7="","",ROUND(($J7-$J$3)/1000,1)+(_xlfn.RANK.AVG($J7,($J7,$O7,$T7),1)-2)*20)</f>
        <v>-34</v>
      </c>
      <c r="V7" s="54">
        <f>IF($O7="","",ROUND(($O7-$O$3)/1000,1)+(_xlfn.RANK.AVG($O7,($J7,$O7,$T7),1)-2)*20)</f>
        <v>1</v>
      </c>
      <c r="W7" s="55">
        <f>IF($T7="","",ROUND(($T7-$T$3)/1000,1)+(_xlfn.RANK.AVG($T7,($J7,$O7,$T7),1)-2)*20)</f>
        <v>33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7</v>
      </c>
      <c r="AY7" s="30" t="s">
        <v>199</v>
      </c>
      <c r="AZ7" s="40" t="s">
        <v>197</v>
      </c>
      <c r="BA7" s="41" t="s">
        <v>82</v>
      </c>
      <c r="BB7" s="41" t="s">
        <v>92</v>
      </c>
      <c r="BC7" s="41" t="s">
        <v>79</v>
      </c>
      <c r="BD7" s="41" t="s">
        <v>79</v>
      </c>
      <c r="BE7" s="41" t="s">
        <v>198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189</v>
      </c>
      <c r="F8" s="8" t="s">
        <v>195</v>
      </c>
      <c r="G8" s="9">
        <v>-7700</v>
      </c>
      <c r="H8" s="9"/>
      <c r="I8" s="48">
        <v>0</v>
      </c>
      <c r="J8" s="21">
        <f t="shared" si="2"/>
        <v>13300</v>
      </c>
      <c r="K8" s="8"/>
      <c r="L8" s="9"/>
      <c r="M8" s="9"/>
      <c r="N8" s="48"/>
      <c r="O8" s="21">
        <f t="shared" si="3"/>
        <v>36000</v>
      </c>
      <c r="P8" s="8" t="s">
        <v>196</v>
      </c>
      <c r="Q8" s="9">
        <v>7700</v>
      </c>
      <c r="R8" s="9"/>
      <c r="S8" s="48">
        <v>0</v>
      </c>
      <c r="T8" s="21">
        <f t="shared" si="4"/>
        <v>55700</v>
      </c>
      <c r="U8" s="53">
        <f>IF($J8="","",ROUND(($J8-$J$3)/1000,1)+(_xlfn.RANK.AVG($J8,($J8,$O8,$T8),1)-2)*20)</f>
        <v>-41.7</v>
      </c>
      <c r="V8" s="54">
        <f>IF($O8="","",ROUND(($O8-$O$3)/1000,1)+(_xlfn.RANK.AVG($O8,($J8,$O8,$T8),1)-2)*20)</f>
        <v>1</v>
      </c>
      <c r="W8" s="55">
        <f>IF($T8="","",ROUND(($T8-$T$3)/1000,1)+(_xlfn.RANK.AVG($T8,($J8,$O8,$T8),1)-2)*20)</f>
        <v>40.700000000000003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4</v>
      </c>
      <c r="BT8" s="30">
        <v>30</v>
      </c>
      <c r="BU8" s="40" t="s">
        <v>104</v>
      </c>
      <c r="BV8" s="41" t="s">
        <v>86</v>
      </c>
      <c r="BW8" s="41" t="s">
        <v>86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195</v>
      </c>
      <c r="G9" s="9">
        <v>-36000</v>
      </c>
      <c r="H9" s="9">
        <v>-1000</v>
      </c>
      <c r="I9" s="48">
        <v>0</v>
      </c>
      <c r="J9" s="21">
        <f t="shared" si="2"/>
        <v>-23700</v>
      </c>
      <c r="K9" s="8" t="s">
        <v>196</v>
      </c>
      <c r="L9" s="9">
        <v>36000</v>
      </c>
      <c r="M9" s="9">
        <v>1000</v>
      </c>
      <c r="N9" s="48">
        <v>0</v>
      </c>
      <c r="O9" s="21">
        <f t="shared" si="3"/>
        <v>73000</v>
      </c>
      <c r="P9" s="8"/>
      <c r="Q9" s="9"/>
      <c r="R9" s="9"/>
      <c r="S9" s="48"/>
      <c r="T9" s="21">
        <f t="shared" si="4"/>
        <v>55700</v>
      </c>
      <c r="U9" s="53">
        <f>IF($J9="","",ROUND(($J9-$J$3)/1000,1)+(_xlfn.RANK.AVG($J9,($J9,$O9,$T9),1)-2)*20)</f>
        <v>-78.7</v>
      </c>
      <c r="V9" s="54">
        <f>IF($O9="","",ROUND(($O9-$O$3)/1000,1)+(_xlfn.RANK.AVG($O9,($J9,$O9,$T9),1)-2)*20)</f>
        <v>58</v>
      </c>
      <c r="W9" s="55">
        <f>IF($T9="","",ROUND(($T9-$T$3)/1000,1)+(_xlfn.RANK.AVG($T9,($J9,$O9,$T9),1)-2)*20)</f>
        <v>20.7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11</v>
      </c>
      <c r="AY9" s="30" t="s">
        <v>199</v>
      </c>
      <c r="AZ9" s="40" t="s">
        <v>197</v>
      </c>
      <c r="BA9" s="41" t="s">
        <v>106</v>
      </c>
      <c r="BB9" s="41" t="s">
        <v>198</v>
      </c>
      <c r="BC9" s="41" t="s">
        <v>79</v>
      </c>
      <c r="BD9" s="41" t="s">
        <v>92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191</v>
      </c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3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B50" s="36" t="s">
        <v>187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188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cp:lastPrinted>2018-10-03T09:15:05Z</cp:lastPrinted>
  <dcterms:created xsi:type="dcterms:W3CDTF">2018-10-02T11:54:05Z</dcterms:created>
  <dcterms:modified xsi:type="dcterms:W3CDTF">2019-05-23T14:21:06Z</dcterms:modified>
</cp:coreProperties>
</file>