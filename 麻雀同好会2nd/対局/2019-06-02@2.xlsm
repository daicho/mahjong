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1A4F224C-A753-40D3-959B-05B5B40BD0A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W8" i="19" s="1"/>
  <c r="O8" i="19"/>
  <c r="V8" i="19" s="1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3" i="19" l="1"/>
  <c r="U13" i="19"/>
  <c r="V12" i="19"/>
  <c r="W12" i="19"/>
  <c r="U12" i="19"/>
  <c r="V11" i="19"/>
  <c r="W11" i="19"/>
  <c r="V10" i="19"/>
  <c r="W10" i="19"/>
  <c r="U9" i="19"/>
  <c r="V9" i="19"/>
  <c r="W9" i="19"/>
  <c r="U8" i="19"/>
  <c r="V7" i="19"/>
  <c r="U7" i="19"/>
  <c r="W7" i="19"/>
  <c r="U6" i="19"/>
  <c r="V6" i="19"/>
  <c r="W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<sst xmlns="http://schemas.openxmlformats.org/spreadsheetml/2006/main" count="599" uniqueCount="204">
  <si>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</si>
  <si>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</si>
  <si>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</si>
  <si>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</si>
  <si>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</si>
  <si>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</si>
  <si>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</si>
  <si>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</si>
  <si>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</si>
  <si>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</si>
  <si>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</si>
  <si>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</si>
  <si>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</si>
  <si>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</si>
  <si>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</si>
  <si>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</si>
  <si>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</si>
  <si>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</si>
  <si>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</si>
  <si>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</si>
  <si>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</si>
  <si>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</si>
  <si>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</si>
  <si>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</si>
  <si>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</si>
  <si>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</si>
  <si>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</si>
  <si>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</si>
  <si>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</si>
  <si>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</si>
  <si>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</si>
  <si>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</si>
  <si>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</si>
  <si>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</si>
  <si>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</si>
  <si>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</si>
  <si>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</si>
  <si>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</si>
  <si>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</si>
  <si>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</si>
  <si>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</si>
  <si>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</si>
  <si>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</si>
  <si>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</si>
  <si>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</si>
  <si>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</si>
  <si>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</si>
  <si>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</si>
  <si>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</si>
  <si>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</si>
  <si>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</si>
  <si>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</si>
  <si>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</si>
  <si>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</si>
  <si>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</si>
  <si>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</si>
  <si>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</si>
  <si>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</si>
  <si>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</si>
  <si>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</si>
  <si>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</si>
  <si>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</si>
  <si>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</si>
  <si>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</si>
  <si>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</si>
  <si>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</si>
  <si>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</si>
  <si>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</si>
  <si>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</si>
  <si>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</si>
  <si>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</si>
  <si>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</si>
  <si>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</si>
  <si>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</si>
  <si>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</si>
  <si>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</si>
  <si>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</si>
  <si>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</si>
  <si>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</si>
  <si>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</si>
  <si>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</si>
  <si>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</si>
  <si>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</si>
  <si>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</si>
  <si>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</si>
  <si>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</si>
  <si>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</si>
  <si>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</si>
  <si>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</si>
  <si>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</si>
  <si>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</si>
  <si>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</si>
  <si>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</si>
  <si>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</si>
  <si>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</si>
  <si>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</si>
  <si>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</si>
  <si>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</si>
  <si>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</si>
  <si>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</si>
  <si>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</si>
  <si>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</si>
  <si>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</si>
  <si>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</si>
  <si>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</si>
  <si>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</si>
  <si>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</si>
  <si>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</si>
  <si>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</si>
  <si>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</si>
  <si>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</si>
  <si>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</si>
  <si>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</si>
  <si>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</si>
  <si>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</si>
  <si>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</si>
  <si>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</si>
  <si>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</si>
  <si>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</si>
  <si>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</si>
  <si>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</si>
  <si>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</si>
  <si>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</si>
  <si>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</si>
  <si>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</si>
  <si>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</si>
  <si>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</si>
  <si>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</si>
  <si>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</si>
  <si>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</si>
  <si>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</si>
  <si>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</si>
  <si>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</si>
  <si>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</si>
  <si>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</si>
  <si>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</si>
  <si>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</si>
  <si>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</si>
  <si>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</si>
  <si>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</si>
  <si>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</si>
  <si>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</si>
  <si>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</si>
  <si>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</si>
  <si>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</si>
  <si>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</si>
  <si>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</si>
  <si>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</si>
  <si>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</si>
  <si>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</si>
  <si>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</si>
  <si>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</si>
  <si>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</si>
  <si>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</si>
  <si>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</si>
  <si>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</si>
  <si>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</si>
  <si>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</si>
  <si>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</si>
  <si>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</si>
  <si>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</si>
  <si>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</si>
  <si>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</si>
  <si>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</si>
  <si>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</si>
  <si>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</si>
  <si>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</si>
  <si>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</si>
  <si>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</si>
  <si>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</si>
  <si>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</si>
  <si>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</si>
  <si>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</si>
  <si>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</si>
  <si>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</si>
  <si>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</si>
  <si>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</si>
  <si>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</si>
  <si>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</si>
  <si>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</si>
  <si>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</si>
  <si>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</si>
  <si>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</si>
  <si>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</si>
  <si>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</si>
  <si>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</si>
  <si>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</si>
  <si>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</si>
  <si>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</si>
  <si>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  <phoneticPr fontId="1"/>
  </si>
  <si>
    <t>ただ</t>
  </si>
  <si>
    <t>ただ</t>
    <phoneticPr fontId="1"/>
  </si>
  <si>
    <t>れんたろう</t>
    <phoneticPr fontId="1"/>
  </si>
  <si>
    <t>れんたろう</t>
  </si>
  <si>
    <t>だいち</t>
  </si>
  <si>
    <t>ロン</t>
  </si>
  <si>
    <t>放銃</t>
  </si>
  <si>
    <t>ツモ支払</t>
  </si>
  <si>
    <t>ツモ</t>
  </si>
  <si>
    <t>52</t>
  </si>
  <si>
    <t>*</t>
  </si>
  <si>
    <t>01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</si>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</sst>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189</v>
      </c>
      <c r="L1" s="66"/>
      <c r="M1" s="66"/>
      <c r="N1" s="67"/>
      <c r="O1" s="68"/>
      <c r="P1" s="65" t="s">
        <v>191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れんたろう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190</v>
      </c>
      <c r="F4" s="8" t="s">
        <v>195</v>
      </c>
      <c r="G4" s="9">
        <v>5200</v>
      </c>
      <c r="H4" s="9"/>
      <c r="I4" s="48">
        <v>0</v>
      </c>
      <c r="J4" s="21">
        <f>IF(COUNTA($F4,$K4,$P4)&gt;0,J3+SUM(G4:I4),"")</f>
        <v>40200</v>
      </c>
      <c r="K4" s="8" t="s">
        <v>196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25.2</v>
      </c>
      <c r="V4" s="54">
        <f>IF($O4="","",ROUND(($O4-$O$3)/1000,1)+(_xlfn.RANK.AVG($O4,($J4,$O4,$T4),1)-2)*20)</f>
        <v>-25.2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86</v>
      </c>
      <c r="AF4" s="41" t="s">
        <v>98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-4800</v>
      </c>
      <c r="H5" s="9"/>
      <c r="I5" s="48">
        <v>0</v>
      </c>
      <c r="J5" s="21">
        <f t="shared" ref="J5:J30" si="2">IF(COUNTA($F5,$K5,$P5)&gt;0,J4+SUM(G5:I5),"")</f>
        <v>35400</v>
      </c>
      <c r="K5" s="8" t="s">
        <v>198</v>
      </c>
      <c r="L5" s="9">
        <v>7700</v>
      </c>
      <c r="M5" s="9"/>
      <c r="N5" s="48">
        <v>0</v>
      </c>
      <c r="O5" s="21">
        <f t="shared" ref="O5:O30" si="3">IF(COUNTA($F5,$K5,$P5)&gt;0,O4+SUM(L5:N5),"")</f>
        <v>37500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32100</v>
      </c>
      <c r="U5" s="53">
        <f>IF($J5="","",ROUND(($J5-$J$3)/1000,1)+(_xlfn.RANK.AVG($J5,($J5,$O5,$T5),1)-2)*20)</f>
        <v>0.4</v>
      </c>
      <c r="V5" s="54">
        <f>IF($O5="","",ROUND(($O5-$O$3)/1000,1)+(_xlfn.RANK.AVG($O5,($J5,$O5,$T5),1)-2)*20)</f>
        <v>22.5</v>
      </c>
      <c r="W5" s="55">
        <f>IF($T5="","",ROUND(($T5-$T$3)/1000,1)+(_xlfn.RANK.AVG($T5,($J5,$O5,$T5),1)-2)*20)</f>
        <v>-22.9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199</v>
      </c>
      <c r="BA5" s="41" t="s">
        <v>86</v>
      </c>
      <c r="BB5" s="41" t="s">
        <v>104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/>
      <c r="G6" s="9"/>
      <c r="H6" s="9"/>
      <c r="I6" s="48"/>
      <c r="J6" s="21">
        <f t="shared" si="2"/>
        <v>35400</v>
      </c>
      <c r="K6" s="8" t="s">
        <v>196</v>
      </c>
      <c r="L6" s="9">
        <v>-16000</v>
      </c>
      <c r="M6" s="9"/>
      <c r="N6" s="48">
        <v>0</v>
      </c>
      <c r="O6" s="21">
        <f t="shared" si="3"/>
        <v>21500</v>
      </c>
      <c r="P6" s="8" t="s">
        <v>195</v>
      </c>
      <c r="Q6" s="9">
        <v>16000</v>
      </c>
      <c r="R6" s="9"/>
      <c r="S6" s="48">
        <v>0</v>
      </c>
      <c r="T6" s="21">
        <f t="shared" si="4"/>
        <v>48100</v>
      </c>
      <c r="U6" s="53">
        <f>IF($J6="","",ROUND(($J6-$J$3)/1000,1)+(_xlfn.RANK.AVG($J6,($J6,$O6,$T6),1)-2)*20)</f>
        <v>0.4</v>
      </c>
      <c r="V6" s="54">
        <f>IF($O6="","",ROUND(($O6-$O$3)/1000,1)+(_xlfn.RANK.AVG($O6,($J6,$O6,$T6),1)-2)*20)</f>
        <v>-33.5</v>
      </c>
      <c r="W6" s="55">
        <f>IF($T6="","",ROUND(($T6-$T$3)/1000,1)+(_xlfn.RANK.AVG($T6,($J6,$O6,$T6),1)-2)*20)</f>
        <v>33.1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200</v>
      </c>
      <c r="BU6" s="40" t="s">
        <v>201</v>
      </c>
      <c r="BV6" s="41" t="s">
        <v>202</v>
      </c>
      <c r="BW6" s="41" t="s">
        <v>199</v>
      </c>
      <c r="BX6" s="41" t="s">
        <v>79</v>
      </c>
      <c r="BY6" s="41" t="s">
        <v>79</v>
      </c>
      <c r="BZ6" s="41" t="s">
        <v>102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190</v>
      </c>
      <c r="F7" s="8" t="s">
        <v>197</v>
      </c>
      <c r="G7" s="9">
        <v>-800</v>
      </c>
      <c r="H7" s="9"/>
      <c r="I7" s="48">
        <v>0</v>
      </c>
      <c r="J7" s="21">
        <f t="shared" si="2"/>
        <v>34600</v>
      </c>
      <c r="K7" s="8" t="s">
        <v>197</v>
      </c>
      <c r="L7" s="9">
        <v>-800</v>
      </c>
      <c r="M7" s="9"/>
      <c r="N7" s="48">
        <v>0</v>
      </c>
      <c r="O7" s="21">
        <f t="shared" si="3"/>
        <v>20700</v>
      </c>
      <c r="P7" s="8" t="s">
        <v>198</v>
      </c>
      <c r="Q7" s="9">
        <v>1600</v>
      </c>
      <c r="R7" s="9"/>
      <c r="S7" s="48">
        <v>0</v>
      </c>
      <c r="T7" s="21">
        <f t="shared" si="4"/>
        <v>49700</v>
      </c>
      <c r="U7" s="53">
        <f>IF($J7="","",ROUND(($J7-$J$3)/1000,1)+(_xlfn.RANK.AVG($J7,($J7,$O7,$T7),1)-2)*20)</f>
        <v>-0.4</v>
      </c>
      <c r="V7" s="54">
        <f>IF($O7="","",ROUND(($O7-$O$3)/1000,1)+(_xlfn.RANK.AVG($O7,($J7,$O7,$T7),1)-2)*20)</f>
        <v>-34.299999999999997</v>
      </c>
      <c r="W7" s="55">
        <f>IF($T7="","",ROUND(($T7-$T$3)/1000,1)+(_xlfn.RANK.AVG($T7,($J7,$O7,$T7),1)-2)*20)</f>
        <v>34.700000000000003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</v>
      </c>
      <c r="BT7" s="30">
        <v>30</v>
      </c>
      <c r="BU7" s="40" t="s">
        <v>82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190</v>
      </c>
      <c r="F8" s="8"/>
      <c r="G8" s="9"/>
      <c r="H8" s="9"/>
      <c r="I8" s="48"/>
      <c r="J8" s="21">
        <f t="shared" si="2"/>
        <v>34600</v>
      </c>
      <c r="K8" s="8" t="s">
        <v>195</v>
      </c>
      <c r="L8" s="9">
        <v>8000</v>
      </c>
      <c r="M8" s="9">
        <v>1000</v>
      </c>
      <c r="N8" s="48">
        <v>1000</v>
      </c>
      <c r="O8" s="21">
        <f t="shared" si="3"/>
        <v>30700</v>
      </c>
      <c r="P8" s="8" t="s">
        <v>196</v>
      </c>
      <c r="Q8" s="9">
        <v>-8000</v>
      </c>
      <c r="R8" s="9">
        <v>-1000</v>
      </c>
      <c r="S8" s="48">
        <v>-1000</v>
      </c>
      <c r="T8" s="21">
        <f t="shared" si="4"/>
        <v>39700</v>
      </c>
      <c r="U8" s="53">
        <f>IF($J8="","",ROUND(($J8-$J$3)/1000,1)+(_xlfn.RANK.AVG($J8,($J8,$O8,$T8),1)-2)*20)</f>
        <v>-0.4</v>
      </c>
      <c r="V8" s="54">
        <f>IF($O8="","",ROUND(($O8-$O$3)/1000,1)+(_xlfn.RANK.AVG($O8,($J8,$O8,$T8),1)-2)*20)</f>
        <v>-24.3</v>
      </c>
      <c r="W8" s="55">
        <f>IF($T8="","",ROUND(($T8-$T$3)/1000,1)+(_xlfn.RANK.AVG($T8,($J8,$O8,$T8),1)-2)*20)</f>
        <v>24.7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201</v>
      </c>
      <c r="BA8" s="41" t="s">
        <v>79</v>
      </c>
      <c r="BB8" s="41" t="s">
        <v>79</v>
      </c>
      <c r="BC8" s="41" t="s">
        <v>199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195</v>
      </c>
      <c r="G9" s="9">
        <v>18000</v>
      </c>
      <c r="H9" s="9">
        <v>1000</v>
      </c>
      <c r="I9" s="48">
        <v>0</v>
      </c>
      <c r="J9" s="21">
        <f t="shared" si="2"/>
        <v>53600</v>
      </c>
      <c r="K9" s="8"/>
      <c r="L9" s="9"/>
      <c r="M9" s="9"/>
      <c r="N9" s="48"/>
      <c r="O9" s="21">
        <f t="shared" si="3"/>
        <v>30700</v>
      </c>
      <c r="P9" s="8" t="s">
        <v>196</v>
      </c>
      <c r="Q9" s="9">
        <v>-18000</v>
      </c>
      <c r="R9" s="9">
        <v>-1000</v>
      </c>
      <c r="S9" s="48">
        <v>0</v>
      </c>
      <c r="T9" s="21">
        <f t="shared" si="4"/>
        <v>20700</v>
      </c>
      <c r="U9" s="53">
        <f>IF($J9="","",ROUND(($J9-$J$3)/1000,1)+(_xlfn.RANK.AVG($J9,($J9,$O9,$T9),1)-2)*20)</f>
        <v>38.6</v>
      </c>
      <c r="V9" s="54">
        <f>IF($O9="","",ROUND(($O9-$O$3)/1000,1)+(_xlfn.RANK.AVG($O9,($J9,$O9,$T9),1)-2)*20)</f>
        <v>-4.3</v>
      </c>
      <c r="W9" s="55">
        <f>IF($T9="","",ROUND(($T9-$T$3)/1000,1)+(_xlfn.RANK.AVG($T9,($J9,$O9,$T9),1)-2)*20)</f>
        <v>-34.299999999999997</v>
      </c>
      <c r="Y9" s="8"/>
      <c r="Z9" s="34"/>
      <c r="AA9" s="26"/>
      <c r="AB9" s="26">
        <v>1</v>
      </c>
      <c r="AC9" s="26">
        <v>6</v>
      </c>
      <c r="AD9" s="30" t="s">
        <v>200</v>
      </c>
      <c r="AE9" s="40" t="s">
        <v>104</v>
      </c>
      <c r="AF9" s="41" t="s">
        <v>98</v>
      </c>
      <c r="AG9" s="41" t="s">
        <v>86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198</v>
      </c>
      <c r="G10" s="9">
        <v>24000</v>
      </c>
      <c r="H10" s="9"/>
      <c r="I10" s="48">
        <v>1000</v>
      </c>
      <c r="J10" s="21">
        <f t="shared" si="2"/>
        <v>78600</v>
      </c>
      <c r="K10" s="8" t="s">
        <v>197</v>
      </c>
      <c r="L10" s="9">
        <v>-12000</v>
      </c>
      <c r="M10" s="9"/>
      <c r="N10" s="48">
        <v>-500</v>
      </c>
      <c r="O10" s="21">
        <f t="shared" si="3"/>
        <v>18200</v>
      </c>
      <c r="P10" s="8" t="s">
        <v>197</v>
      </c>
      <c r="Q10" s="9">
        <v>-12000</v>
      </c>
      <c r="R10" s="9"/>
      <c r="S10" s="48">
        <v>-500</v>
      </c>
      <c r="T10" s="21">
        <f t="shared" si="4"/>
        <v>8200</v>
      </c>
      <c r="U10" s="53">
        <f>IF($J10="","",ROUND(($J10-$J$3)/1000,1)+(_xlfn.RANK.AVG($J10,($J10,$O10,$T10),1)-2)*20)</f>
        <v>63.6</v>
      </c>
      <c r="V10" s="54">
        <f>IF($O10="","",ROUND(($O10-$O$3)/1000,1)+(_xlfn.RANK.AVG($O10,($J10,$O10,$T10),1)-2)*20)</f>
        <v>-16.8</v>
      </c>
      <c r="W10" s="55">
        <f>IF($T10="","",ROUND(($T10-$T$3)/1000,1)+(_xlfn.RANK.AVG($T10,($J10,$O10,$T10),1)-2)*20)</f>
        <v>-46.8</v>
      </c>
      <c r="Y10" s="8"/>
      <c r="Z10" s="34"/>
      <c r="AA10" s="26"/>
      <c r="AB10" s="26">
        <v>1</v>
      </c>
      <c r="AC10" s="26">
        <v>10</v>
      </c>
      <c r="AD10" s="30" t="s">
        <v>200</v>
      </c>
      <c r="AE10" s="40" t="s">
        <v>106</v>
      </c>
      <c r="AF10" s="41" t="s">
        <v>98</v>
      </c>
      <c r="AG10" s="41" t="s">
        <v>96</v>
      </c>
      <c r="AH10" s="41" t="s">
        <v>199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195</v>
      </c>
      <c r="G11" s="9">
        <v>2400</v>
      </c>
      <c r="H11" s="9"/>
      <c r="I11" s="48">
        <v>2000</v>
      </c>
      <c r="J11" s="21">
        <f t="shared" si="2"/>
        <v>83000</v>
      </c>
      <c r="K11" s="8" t="s">
        <v>196</v>
      </c>
      <c r="L11" s="9">
        <v>-2400</v>
      </c>
      <c r="M11" s="9"/>
      <c r="N11" s="48">
        <v>-2000</v>
      </c>
      <c r="O11" s="21">
        <f t="shared" si="3"/>
        <v>13800</v>
      </c>
      <c r="P11" s="8"/>
      <c r="Q11" s="9"/>
      <c r="R11" s="9"/>
      <c r="S11" s="48"/>
      <c r="T11" s="21">
        <f t="shared" si="4"/>
        <v>8200</v>
      </c>
      <c r="U11" s="53">
        <f>IF($J11="","",ROUND(($J11-$J$3)/1000,1)+(_xlfn.RANK.AVG($J11,($J11,$O11,$T11),1)-2)*20)</f>
        <v>68</v>
      </c>
      <c r="V11" s="54">
        <f>IF($O11="","",ROUND(($O11-$O$3)/1000,1)+(_xlfn.RANK.AVG($O11,($J11,$O11,$T11),1)-2)*20)</f>
        <v>-21.2</v>
      </c>
      <c r="W11" s="55">
        <f>IF($T11="","",ROUND(($T11-$T$3)/1000,1)+(_xlfn.RANK.AVG($T11,($J11,$O11,$T11),1)-2)*20)</f>
        <v>-46.8</v>
      </c>
      <c r="Y11" s="8"/>
      <c r="Z11" s="34"/>
      <c r="AA11" s="26"/>
      <c r="AB11" s="26"/>
      <c r="AC11" s="26">
        <v>2</v>
      </c>
      <c r="AD11" s="30">
        <v>25</v>
      </c>
      <c r="AE11" s="40" t="s">
        <v>101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193</v>
      </c>
      <c r="F12" s="8" t="s">
        <v>197</v>
      </c>
      <c r="G12" s="9">
        <v>-7500</v>
      </c>
      <c r="H12" s="9"/>
      <c r="I12" s="48">
        <v>-1500</v>
      </c>
      <c r="J12" s="21">
        <f t="shared" si="2"/>
        <v>74000</v>
      </c>
      <c r="K12" s="8" t="s">
        <v>198</v>
      </c>
      <c r="L12" s="9">
        <v>12000</v>
      </c>
      <c r="M12" s="9"/>
      <c r="N12" s="48">
        <v>3000</v>
      </c>
      <c r="O12" s="21">
        <f t="shared" si="3"/>
        <v>28800</v>
      </c>
      <c r="P12" s="8" t="s">
        <v>197</v>
      </c>
      <c r="Q12" s="9">
        <v>-4500</v>
      </c>
      <c r="R12" s="9"/>
      <c r="S12" s="48">
        <v>-1500</v>
      </c>
      <c r="T12" s="21">
        <f t="shared" si="4"/>
        <v>2200</v>
      </c>
      <c r="U12" s="53">
        <f>IF($J12="","",ROUND(($J12-$J$3)/1000,1)+(_xlfn.RANK.AVG($J12,($J12,$O12,$T12),1)-2)*20)</f>
        <v>59</v>
      </c>
      <c r="V12" s="54">
        <f>IF($O12="","",ROUND(($O12-$O$3)/1000,1)+(_xlfn.RANK.AVG($O12,($J12,$O12,$T12),1)-2)*20)</f>
        <v>-6.2</v>
      </c>
      <c r="W12" s="55">
        <f>IF($T12="","",ROUND(($T12-$T$3)/1000,1)+(_xlfn.RANK.AVG($T12,($J12,$O12,$T12),1)-2)*20)</f>
        <v>-52.8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7</v>
      </c>
      <c r="AY12" s="30" t="s">
        <v>200</v>
      </c>
      <c r="AZ12" s="40" t="s">
        <v>203</v>
      </c>
      <c r="BA12" s="41" t="s">
        <v>82</v>
      </c>
      <c r="BB12" s="41" t="s">
        <v>80</v>
      </c>
      <c r="BC12" s="41" t="s">
        <v>79</v>
      </c>
      <c r="BD12" s="41" t="s">
        <v>92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194</v>
      </c>
      <c r="F13" s="8" t="s">
        <v>195</v>
      </c>
      <c r="G13" s="9">
        <v>5200</v>
      </c>
      <c r="H13" s="9"/>
      <c r="I13" s="48">
        <v>0</v>
      </c>
      <c r="J13" s="21">
        <f t="shared" si="2"/>
        <v>79200</v>
      </c>
      <c r="K13" s="8"/>
      <c r="L13" s="9"/>
      <c r="M13" s="9"/>
      <c r="N13" s="48"/>
      <c r="O13" s="21">
        <f t="shared" si="3"/>
        <v>28800</v>
      </c>
      <c r="P13" s="8" t="s">
        <v>196</v>
      </c>
      <c r="Q13" s="9">
        <v>-5200</v>
      </c>
      <c r="R13" s="9"/>
      <c r="S13" s="48">
        <v>0</v>
      </c>
      <c r="T13" s="21">
        <f t="shared" si="4"/>
        <v>-3000</v>
      </c>
      <c r="U13" s="53">
        <f>IF($J13="","",ROUND(($J13-$J$3)/1000,1)+(_xlfn.RANK.AVG($J13,($J13,$O13,$T13),1)-2)*20)</f>
        <v>64.2</v>
      </c>
      <c r="V13" s="54">
        <f>IF($O13="","",ROUND(($O13-$O$3)/1000,1)+(_xlfn.RANK.AVG($O13,($J13,$O13,$T13),1)-2)*20)</f>
        <v>-6.2</v>
      </c>
      <c r="W13" s="55">
        <f>IF($T13="","",ROUND(($T13-$T$3)/1000,1)+(_xlfn.RANK.AVG($T13,($J13,$O13,$T13),1)-2)*20)</f>
        <v>-58</v>
      </c>
      <c r="Y13" s="8"/>
      <c r="Z13" s="34"/>
      <c r="AA13" s="26">
        <v>1</v>
      </c>
      <c r="AB13" s="26"/>
      <c r="AC13" s="26">
        <v>3</v>
      </c>
      <c r="AD13" s="30">
        <v>40</v>
      </c>
      <c r="AE13" s="40" t="s">
        <v>201</v>
      </c>
      <c r="AF13" s="41" t="s">
        <v>202</v>
      </c>
      <c r="AG13" s="41" t="s">
        <v>80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2019-06-02T13:52:40Z</dcterms:modified>
</cp:coreProperties>
</file>