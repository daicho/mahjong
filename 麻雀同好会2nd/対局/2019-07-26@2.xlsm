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43B3EED3-B624-48CB-8069-C8BDB77EDB77}" xr6:coauthVersionLast="41" xr6:coauthVersionMax="41" xr10:uidLastSave="{00000000-0000-0000-0000-000000000000}"/>
  <bookViews>
    <workbookView xWindow="-108" yWindow="-108" windowWidth="23256" windowHeight="13176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D7" i="20"/>
  <c r="D6" i="20"/>
  <c r="D5" i="20"/>
  <c r="C5" i="20"/>
  <c r="C6" i="20" s="1"/>
  <c r="C7" i="20" s="1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A5" i="20" l="1"/>
  <c r="U4" i="20"/>
  <c r="V4" i="20"/>
  <c r="W4" i="20"/>
  <c r="A6" i="20"/>
  <c r="B7" i="20"/>
  <c r="J5" i="20"/>
  <c r="O5" i="20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5" i="20" l="1"/>
  <c r="T6" i="20"/>
  <c r="V5" i="20"/>
  <c r="O6" i="20"/>
  <c r="U5" i="20"/>
  <c r="J6" i="20"/>
  <c r="B8" i="20"/>
  <c r="A8" i="20" s="1"/>
  <c r="A7" i="20"/>
  <c r="V10" i="19"/>
  <c r="W10" i="19"/>
  <c r="V9" i="19"/>
  <c r="W9" i="19"/>
  <c r="U8" i="19"/>
  <c r="V8" i="19"/>
  <c r="W8" i="19"/>
  <c r="U7" i="19"/>
  <c r="V7" i="19"/>
  <c r="W7" i="19"/>
  <c r="V6" i="19"/>
  <c r="W6" i="19"/>
  <c r="U6" i="19"/>
  <c r="U4" i="19"/>
  <c r="V4" i="19"/>
  <c r="W4" i="19"/>
  <c r="J5" i="19"/>
  <c r="O5" i="19"/>
  <c r="B9" i="20" l="1"/>
  <c r="A9" i="20"/>
  <c r="V6" i="20"/>
  <c r="O7" i="20"/>
  <c r="U6" i="20"/>
  <c r="J7" i="20"/>
  <c r="W6" i="20"/>
  <c r="T7" i="20"/>
  <c r="V5" i="19"/>
  <c r="W5" i="19"/>
  <c r="U5" i="19"/>
  <c r="T8" i="20" l="1"/>
  <c r="W7" i="20"/>
  <c r="U7" i="20"/>
  <c r="J8" i="20"/>
  <c r="O8" i="20"/>
  <c r="V7" i="20"/>
  <c r="B10" i="20"/>
  <c r="A10" i="20" s="1"/>
  <c r="V8" i="20" l="1"/>
  <c r="O9" i="20"/>
  <c r="J9" i="20"/>
  <c r="U8" i="20"/>
  <c r="W8" i="20"/>
  <c r="T9" i="20"/>
  <c r="W9" i="20" l="1"/>
  <c r="T10" i="20"/>
  <c r="U9" i="20"/>
  <c r="J10" i="20"/>
  <c r="U10" i="20" s="1"/>
  <c r="V9" i="20"/>
  <c r="O10" i="20"/>
  <c r="V10" i="20" l="1"/>
  <c r="W10" i="20"/>
</calcChain>
</file>

<file path=xl/sharedStrings.xml><?xml version="1.0" encoding="utf-8"?>
<sst xmlns="http://schemas.openxmlformats.org/spreadsheetml/2006/main" count="662" uniqueCount="204">
  <si>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</si>
  <si>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</si>
  <si>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</si>
  <si>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</si>
  <si>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</si>
  <si>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</si>
  <si>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</si>
  <si>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</si>
  <si>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</si>
  <si>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</si>
  <si>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</si>
  <si>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</si>
  <si>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</si>
  <si>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</si>
  <si>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</si>
  <si>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</si>
  <si>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</si>
  <si>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</si>
  <si>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</si>
  <si>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</si>
  <si>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</si>
  <si>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</si>
  <si>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</si>
  <si>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</si>
  <si>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</si>
  <si>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</si>
  <si>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</si>
  <si>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</si>
  <si>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</si>
  <si>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</si>
  <si>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</si>
  <si>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</si>
  <si>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</si>
  <si>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</si>
  <si>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</si>
  <si>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</si>
  <si>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</si>
  <si>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</si>
  <si>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</si>
  <si>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</si>
  <si>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</si>
  <si>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</si>
  <si>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</si>
  <si>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</si>
  <si>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</si>
  <si>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</si>
  <si>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</si>
  <si>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</si>
  <si>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</si>
  <si>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</si>
  <si>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</si>
  <si>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</si>
  <si>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</si>
  <si>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</si>
  <si>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</si>
  <si>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</si>
  <si>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</si>
  <si>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</si>
  <si>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</si>
  <si>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</si>
  <si>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</si>
  <si>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</si>
  <si>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</si>
  <si>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</si>
  <si>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</si>
  <si>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</si>
  <si>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</si>
  <si>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</si>
  <si>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</si>
  <si>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</si>
  <si>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</si>
  <si>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</si>
  <si>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</si>
  <si>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</si>
  <si>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</si>
  <si>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</si>
  <si>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</si>
  <si>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</si>
  <si>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</si>
  <si>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</si>
  <si>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</si>
  <si>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</si>
  <si>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</si>
  <si>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</si>
  <si>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</si>
  <si>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</si>
  <si>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</si>
  <si>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</si>
  <si>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</si>
  <si>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</si>
  <si>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</si>
  <si>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</si>
  <si>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</si>
  <si>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</si>
  <si>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</si>
  <si>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</si>
  <si>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</si>
  <si>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</si>
  <si>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</si>
  <si>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</si>
  <si>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</si>
  <si>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</si>
  <si>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</si>
  <si>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</si>
  <si>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</si>
  <si>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</si>
  <si>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</si>
  <si>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</si>
  <si>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</si>
  <si>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</si>
  <si>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</si>
  <si>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</si>
  <si>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</si>
  <si>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</si>
  <si>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</si>
  <si>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</si>
  <si>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</si>
  <si>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</si>
  <si>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</si>
  <si>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</si>
  <si>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</si>
  <si>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</si>
  <si>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</si>
  <si>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</si>
  <si>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</si>
  <si>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</si>
  <si>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</si>
  <si>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</si>
  <si>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</si>
  <si>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</si>
  <si>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</si>
  <si>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</si>
  <si>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</si>
  <si>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</si>
  <si>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</si>
  <si>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</si>
  <si>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</si>
  <si>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</si>
  <si>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</si>
  <si>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</si>
  <si>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</si>
  <si>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</si>
  <si>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</si>
  <si>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</si>
  <si>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</si>
  <si>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</si>
  <si>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</si>
  <si>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</si>
  <si>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</si>
  <si>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</si>
  <si>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</si>
  <si>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</si>
  <si>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</si>
  <si>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</si>
  <si>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</si>
  <si>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</si>
  <si>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</si>
  <si>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</si>
  <si>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</si>
  <si>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</si>
  <si>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</si>
  <si>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</si>
  <si>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</si>
  <si>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</si>
  <si>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</si>
  <si>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</si>
  <si>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</si>
  <si>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</si>
  <si>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</si>
  <si>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</si>
  <si>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</si>
  <si>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</si>
  <si>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</si>
  <si>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</si>
  <si>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</si>
  <si>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</si>
  <si>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</si>
  <si>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</si>
  <si>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</si>
  <si>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</si>
  <si>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</si>
  <si>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</si>
  <si>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</si>
  <si>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</si>
  <si>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</si>
  <si>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</si>
  <si>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</si>
  <si>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</si>
  <si>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</si>
  <si>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</si>
  <si>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</si>
  <si>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</si>
  <si>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りくと</t>
  </si>
  <si>
    <t>ただ</t>
  </si>
  <si>
    <t>ツモ</t>
  </si>
  <si>
    <t>ツモ支払</t>
  </si>
  <si>
    <t>*</t>
  </si>
  <si>
    <t>01</t>
  </si>
  <si>
    <t>52</t>
  </si>
  <si>
    <t>放銃</t>
  </si>
  <si>
    <t>ロン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</si>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</sst>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195</v>
      </c>
      <c r="L4" s="9">
        <v>-5000</v>
      </c>
      <c r="M4" s="9"/>
      <c r="N4" s="48">
        <v>0</v>
      </c>
      <c r="O4" s="21">
        <f>IF(COUNTA($F4,$K4,$P4)&gt;0,O3+SUM(L4:N4),"")</f>
        <v>30000</v>
      </c>
      <c r="P4" s="8" t="s">
        <v>195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-25</v>
      </c>
      <c r="W4" s="55">
        <f>IF($T4="","",ROUND(($T4-$T$3)/1000,1)+(_xlfn.RANK.AVG($T4,($J4,$O4,$T4),1)-2)*20)</f>
        <v>-3</v>
      </c>
      <c r="Y4" s="8"/>
      <c r="Z4" s="34"/>
      <c r="AA4" s="26">
        <v>1</v>
      </c>
      <c r="AB4" s="26"/>
      <c r="AC4" s="26">
        <v>5</v>
      </c>
      <c r="AD4" s="30" t="s">
        <v>196</v>
      </c>
      <c r="AE4" s="40" t="s">
        <v>197</v>
      </c>
      <c r="AF4" s="41" t="s">
        <v>82</v>
      </c>
      <c r="AG4" s="41" t="s">
        <v>85</v>
      </c>
      <c r="AH4" s="41" t="s">
        <v>80</v>
      </c>
      <c r="AI4" s="41" t="s">
        <v>79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195</v>
      </c>
      <c r="G5" s="9">
        <v>-6000</v>
      </c>
      <c r="H5" s="9"/>
      <c r="I5" s="48">
        <v>0</v>
      </c>
      <c r="J5" s="21">
        <f t="shared" ref="J5:J30" si="2">IF(COUNTA($F5,$K5,$P5)&gt;0,J4+SUM(G5:I5),"")</f>
        <v>37000</v>
      </c>
      <c r="K5" s="8" t="s">
        <v>195</v>
      </c>
      <c r="L5" s="9">
        <v>-6000</v>
      </c>
      <c r="M5" s="9"/>
      <c r="N5" s="48">
        <v>0</v>
      </c>
      <c r="O5" s="21">
        <f t="shared" ref="O5:O30" si="3">IF(COUNTA($F5,$K5,$P5)&gt;0,O4+SUM(L5:N5),"")</f>
        <v>24000</v>
      </c>
      <c r="P5" s="8" t="s">
        <v>194</v>
      </c>
      <c r="Q5" s="9">
        <v>12000</v>
      </c>
      <c r="R5" s="9"/>
      <c r="S5" s="48">
        <v>0</v>
      </c>
      <c r="T5" s="21">
        <f t="shared" ref="T5:T30" si="4">IF(COUNTA($F5,$K5,$P5)&gt;0,T4+SUM(Q5:S5),"")</f>
        <v>44000</v>
      </c>
      <c r="U5" s="53">
        <f>IF($J5="","",ROUND(($J5-$J$3)/1000,1)+(_xlfn.RANK.AVG($J5,($J5,$O5,$T5),1)-2)*20)</f>
        <v>2</v>
      </c>
      <c r="V5" s="54">
        <f>IF($O5="","",ROUND(($O5-$O$3)/1000,1)+(_xlfn.RANK.AVG($O5,($J5,$O5,$T5),1)-2)*20)</f>
        <v>-31</v>
      </c>
      <c r="W5" s="55">
        <f>IF($T5="","",ROUND(($T5-$T$3)/1000,1)+(_xlfn.RANK.AVG($T5,($J5,$O5,$T5),1)-2)*20)</f>
        <v>29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40</v>
      </c>
      <c r="BU5" s="40" t="s">
        <v>197</v>
      </c>
      <c r="BV5" s="41" t="s">
        <v>82</v>
      </c>
      <c r="BW5" s="41" t="s">
        <v>198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195</v>
      </c>
      <c r="G6" s="9">
        <v>-5800</v>
      </c>
      <c r="H6" s="9"/>
      <c r="I6" s="48">
        <v>-500</v>
      </c>
      <c r="J6" s="21">
        <f t="shared" si="2"/>
        <v>30700</v>
      </c>
      <c r="K6" s="8" t="s">
        <v>195</v>
      </c>
      <c r="L6" s="9">
        <v>-5800</v>
      </c>
      <c r="M6" s="9"/>
      <c r="N6" s="48">
        <v>-500</v>
      </c>
      <c r="O6" s="21">
        <f t="shared" si="3"/>
        <v>17700</v>
      </c>
      <c r="P6" s="8" t="s">
        <v>194</v>
      </c>
      <c r="Q6" s="9">
        <v>11600</v>
      </c>
      <c r="R6" s="9"/>
      <c r="S6" s="48">
        <v>1000</v>
      </c>
      <c r="T6" s="21">
        <f t="shared" si="4"/>
        <v>56600</v>
      </c>
      <c r="U6" s="53">
        <f>IF($J6="","",ROUND(($J6-$J$3)/1000,1)+(_xlfn.RANK.AVG($J6,($J6,$O6,$T6),1)-2)*20)</f>
        <v>-4.3</v>
      </c>
      <c r="V6" s="54">
        <f>IF($O6="","",ROUND(($O6-$O$3)/1000,1)+(_xlfn.RANK.AVG($O6,($J6,$O6,$T6),1)-2)*20)</f>
        <v>-37.299999999999997</v>
      </c>
      <c r="W6" s="55">
        <f>IF($T6="","",ROUND(($T6-$T$3)/1000,1)+(_xlfn.RANK.AVG($T6,($J6,$O6,$T6),1)-2)*20)</f>
        <v>41.6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197</v>
      </c>
      <c r="BV6" s="41" t="s">
        <v>82</v>
      </c>
      <c r="BW6" s="41" t="s">
        <v>85</v>
      </c>
      <c r="BX6" s="41" t="s">
        <v>80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195</v>
      </c>
      <c r="G7" s="9">
        <v>-3000</v>
      </c>
      <c r="H7" s="9">
        <v>-1000</v>
      </c>
      <c r="I7" s="48">
        <v>-1000</v>
      </c>
      <c r="J7" s="21">
        <f t="shared" si="2"/>
        <v>25700</v>
      </c>
      <c r="K7" s="8" t="s">
        <v>194</v>
      </c>
      <c r="L7" s="9">
        <v>8000</v>
      </c>
      <c r="M7" s="9">
        <v>1000</v>
      </c>
      <c r="N7" s="48">
        <v>2000</v>
      </c>
      <c r="O7" s="21">
        <f t="shared" si="3"/>
        <v>28700</v>
      </c>
      <c r="P7" s="8" t="s">
        <v>195</v>
      </c>
      <c r="Q7" s="9">
        <v>-5000</v>
      </c>
      <c r="R7" s="9"/>
      <c r="S7" s="48">
        <v>-1000</v>
      </c>
      <c r="T7" s="21">
        <f t="shared" si="4"/>
        <v>50600</v>
      </c>
      <c r="U7" s="53">
        <f>IF($J7="","",ROUND(($J7-$J$3)/1000,1)+(_xlfn.RANK.AVG($J7,($J7,$O7,$T7),1)-2)*20)</f>
        <v>-29.3</v>
      </c>
      <c r="V7" s="54">
        <f>IF($O7="","",ROUND(($O7-$O$3)/1000,1)+(_xlfn.RANK.AVG($O7,($J7,$O7,$T7),1)-2)*20)</f>
        <v>-6.3</v>
      </c>
      <c r="W7" s="55">
        <f>IF($T7="","",ROUND(($T7-$T$3)/1000,1)+(_xlfn.RANK.AVG($T7,($J7,$O7,$T7),1)-2)*20)</f>
        <v>35.6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196</v>
      </c>
      <c r="AZ7" s="40" t="s">
        <v>197</v>
      </c>
      <c r="BA7" s="41" t="s">
        <v>82</v>
      </c>
      <c r="BB7" s="41" t="s">
        <v>104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25700</v>
      </c>
      <c r="K8" s="8" t="s">
        <v>199</v>
      </c>
      <c r="L8" s="9">
        <v>-8000</v>
      </c>
      <c r="M8" s="9"/>
      <c r="N8" s="48">
        <v>0</v>
      </c>
      <c r="O8" s="21">
        <f t="shared" si="3"/>
        <v>20700</v>
      </c>
      <c r="P8" s="8" t="s">
        <v>200</v>
      </c>
      <c r="Q8" s="9">
        <v>8000</v>
      </c>
      <c r="R8" s="9"/>
      <c r="S8" s="48">
        <v>0</v>
      </c>
      <c r="T8" s="21">
        <f t="shared" si="4"/>
        <v>58600</v>
      </c>
      <c r="U8" s="53">
        <f>IF($J8="","",ROUND(($J8-$J$3)/1000,1)+(_xlfn.RANK.AVG($J8,($J8,$O8,$T8),1)-2)*20)</f>
        <v>-9.3000000000000007</v>
      </c>
      <c r="V8" s="54">
        <f>IF($O8="","",ROUND(($O8-$O$3)/1000,1)+(_xlfn.RANK.AVG($O8,($J8,$O8,$T8),1)-2)*20)</f>
        <v>-34.299999999999997</v>
      </c>
      <c r="W8" s="55">
        <f>IF($T8="","",ROUND(($T8-$T$3)/1000,1)+(_xlfn.RANK.AVG($T8,($J8,$O8,$T8),1)-2)*20)</f>
        <v>43.6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40</v>
      </c>
      <c r="BU8" s="40" t="s">
        <v>98</v>
      </c>
      <c r="BV8" s="41" t="s">
        <v>86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194</v>
      </c>
      <c r="G9" s="9">
        <v>2100</v>
      </c>
      <c r="H9" s="9"/>
      <c r="I9" s="48">
        <v>0</v>
      </c>
      <c r="J9" s="21">
        <f t="shared" si="2"/>
        <v>27800</v>
      </c>
      <c r="K9" s="8" t="s">
        <v>195</v>
      </c>
      <c r="L9" s="9">
        <v>-1300</v>
      </c>
      <c r="M9" s="9"/>
      <c r="N9" s="48">
        <v>0</v>
      </c>
      <c r="O9" s="21">
        <f t="shared" si="3"/>
        <v>19400</v>
      </c>
      <c r="P9" s="8" t="s">
        <v>195</v>
      </c>
      <c r="Q9" s="9">
        <v>-800</v>
      </c>
      <c r="R9" s="9"/>
      <c r="S9" s="48">
        <v>0</v>
      </c>
      <c r="T9" s="21">
        <f t="shared" si="4"/>
        <v>57800</v>
      </c>
      <c r="U9" s="53">
        <f>IF($J9="","",ROUND(($J9-$J$3)/1000,1)+(_xlfn.RANK.AVG($J9,($J9,$O9,$T9),1)-2)*20)</f>
        <v>-7.2</v>
      </c>
      <c r="V9" s="54">
        <f>IF($O9="","",ROUND(($O9-$O$3)/1000,1)+(_xlfn.RANK.AVG($O9,($J9,$O9,$T9),1)-2)*20)</f>
        <v>-35.6</v>
      </c>
      <c r="W9" s="55">
        <f>IF($T9="","",ROUND(($T9-$T$3)/1000,1)+(_xlfn.RANK.AVG($T9,($J9,$O9,$T9),1)-2)*20)</f>
        <v>42.8</v>
      </c>
      <c r="Y9" s="8"/>
      <c r="Z9" s="34"/>
      <c r="AA9" s="26"/>
      <c r="AB9" s="26"/>
      <c r="AC9" s="26">
        <v>2</v>
      </c>
      <c r="AD9" s="30">
        <v>30</v>
      </c>
      <c r="AE9" s="40" t="s">
        <v>82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/>
      <c r="G10" s="9"/>
      <c r="H10" s="9"/>
      <c r="I10" s="48"/>
      <c r="J10" s="21">
        <f t="shared" si="2"/>
        <v>27800</v>
      </c>
      <c r="K10" s="8" t="s">
        <v>199</v>
      </c>
      <c r="L10" s="9">
        <v>-36000</v>
      </c>
      <c r="M10" s="9">
        <v>-1000</v>
      </c>
      <c r="N10" s="48">
        <v>0</v>
      </c>
      <c r="O10" s="21">
        <f t="shared" si="3"/>
        <v>-17600</v>
      </c>
      <c r="P10" s="8" t="s">
        <v>200</v>
      </c>
      <c r="Q10" s="9">
        <v>36000</v>
      </c>
      <c r="R10" s="9">
        <v>1000</v>
      </c>
      <c r="S10" s="48">
        <v>0</v>
      </c>
      <c r="T10" s="21">
        <f t="shared" si="4"/>
        <v>94800</v>
      </c>
      <c r="U10" s="53">
        <f>IF($J10="","",ROUND(($J10-$J$3)/1000,1)+(_xlfn.RANK.AVG($J10,($J10,$O10,$T10),1)-2)*20)</f>
        <v>-7.2</v>
      </c>
      <c r="V10" s="54">
        <f>IF($O10="","",ROUND(($O10-$O$3)/1000,1)+(_xlfn.RANK.AVG($O10,($J10,$O10,$T10),1)-2)*20)</f>
        <v>-72.599999999999994</v>
      </c>
      <c r="W10" s="55">
        <f>IF($T10="","",ROUND(($T10-$T$3)/1000,1)+(_xlfn.RANK.AVG($T10,($J10,$O10,$T10),1)-2)*20)</f>
        <v>79.8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12</v>
      </c>
      <c r="BT10" s="30" t="s">
        <v>196</v>
      </c>
      <c r="BU10" s="40" t="s">
        <v>198</v>
      </c>
      <c r="BV10" s="41" t="s">
        <v>79</v>
      </c>
      <c r="BW10" s="41" t="s">
        <v>79</v>
      </c>
      <c r="BX10" s="41" t="s">
        <v>106</v>
      </c>
      <c r="BY10" s="41" t="s">
        <v>102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478A9FC-7E68-4211-92BD-CC5ED1A71926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4DFED-CC37-4A6E-A16D-854F08E43F9B}">
  <sheetPr codeName="Sheet11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199</v>
      </c>
      <c r="G4" s="9">
        <v>-12000</v>
      </c>
      <c r="H4" s="9"/>
      <c r="I4" s="48">
        <v>0</v>
      </c>
      <c r="J4" s="21">
        <f>IF(COUNTA($F4,$K4,$P4)&gt;0,J3+SUM(G4:I4),"")</f>
        <v>23000</v>
      </c>
      <c r="K4" s="8" t="s">
        <v>200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-32</v>
      </c>
      <c r="V4" s="54">
        <f>IF($O4="","",ROUND(($O4-$O$3)/1000,1)+(_xlfn.RANK.AVG($O4,($J4,$O4,$T4),1)-2)*20)</f>
        <v>32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196</v>
      </c>
      <c r="AZ4" s="40" t="s">
        <v>106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200</v>
      </c>
      <c r="G5" s="9">
        <v>32000</v>
      </c>
      <c r="H5" s="9">
        <v>1000</v>
      </c>
      <c r="I5" s="48">
        <v>0</v>
      </c>
      <c r="J5" s="21">
        <f t="shared" ref="J5:J30" si="2">IF(COUNTA($F5,$K5,$P5)&gt;0,J4+SUM(G5:I5),"")</f>
        <v>56000</v>
      </c>
      <c r="K5" s="8" t="s">
        <v>199</v>
      </c>
      <c r="L5" s="9">
        <v>-32000</v>
      </c>
      <c r="M5" s="9">
        <v>-1000</v>
      </c>
      <c r="N5" s="48">
        <v>0</v>
      </c>
      <c r="O5" s="21">
        <f t="shared" ref="O5:O30" si="3">IF(COUNTA($F5,$K5,$P5)&gt;0,O4+SUM(L5:N5),"")</f>
        <v>14000</v>
      </c>
      <c r="P5" s="8"/>
      <c r="Q5" s="9"/>
      <c r="R5" s="9"/>
      <c r="S5" s="48"/>
      <c r="T5" s="21">
        <f t="shared" ref="T5:T30" si="4">IF(COUNTA($F5,$K5,$P5)&gt;0,T4+SUM(Q5:S5),"")</f>
        <v>35000</v>
      </c>
      <c r="U5" s="53">
        <f>IF($J5="","",ROUND(($J5-$J$3)/1000,1)+(_xlfn.RANK.AVG($J5,($J5,$O5,$T5),1)-2)*20)</f>
        <v>41</v>
      </c>
      <c r="V5" s="54">
        <f>IF($O5="","",ROUND(($O5-$O$3)/1000,1)+(_xlfn.RANK.AVG($O5,($J5,$O5,$T5),1)-2)*20)</f>
        <v>-41</v>
      </c>
      <c r="W5" s="55">
        <f>IF($T5="","",ROUND(($T5-$T$3)/1000,1)+(_xlfn.RANK.AVG($T5,($J5,$O5,$T5),1)-2)*20)</f>
        <v>0</v>
      </c>
      <c r="Y5" s="8"/>
      <c r="Z5" s="34"/>
      <c r="AA5" s="26"/>
      <c r="AB5" s="26"/>
      <c r="AC5" s="26">
        <v>13</v>
      </c>
      <c r="AD5" s="30" t="s">
        <v>196</v>
      </c>
      <c r="AE5" s="40" t="s">
        <v>107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203</v>
      </c>
      <c r="G6" s="9">
        <v>-1500</v>
      </c>
      <c r="H6" s="9"/>
      <c r="I6" s="48"/>
      <c r="J6" s="21">
        <f t="shared" si="2"/>
        <v>54500</v>
      </c>
      <c r="K6" s="8" t="s">
        <v>203</v>
      </c>
      <c r="L6" s="9">
        <v>3000</v>
      </c>
      <c r="M6" s="9">
        <v>-1000</v>
      </c>
      <c r="N6" s="48"/>
      <c r="O6" s="21">
        <f t="shared" si="3"/>
        <v>16000</v>
      </c>
      <c r="P6" s="8" t="s">
        <v>203</v>
      </c>
      <c r="Q6" s="9">
        <v>-1500</v>
      </c>
      <c r="R6" s="9"/>
      <c r="S6" s="48"/>
      <c r="T6" s="21">
        <f t="shared" si="4"/>
        <v>33500</v>
      </c>
      <c r="U6" s="53">
        <f>IF($J6="","",ROUND(($J6-$J$3)/1000,1)+(_xlfn.RANK.AVG($J6,($J6,$O6,$T6),1)-2)*20)</f>
        <v>39.5</v>
      </c>
      <c r="V6" s="54">
        <f>IF($O6="","",ROUND(($O6-$O$3)/1000,1)+(_xlfn.RANK.AVG($O6,($J6,$O6,$T6),1)-2)*20)</f>
        <v>-39</v>
      </c>
      <c r="W6" s="55">
        <f>IF($T6="","",ROUND(($T6-$T$3)/1000,1)+(_xlfn.RANK.AVG($T6,($J6,$O6,$T6),1)-2)*20)</f>
        <v>-1.5</v>
      </c>
      <c r="Y6" s="8" t="s">
        <v>201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202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201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1</v>
      </c>
      <c r="D7" s="18">
        <f t="shared" si="1"/>
        <v>1</v>
      </c>
      <c r="E7" s="4" t="s">
        <v>191</v>
      </c>
      <c r="F7" s="8" t="s">
        <v>200</v>
      </c>
      <c r="G7" s="9">
        <v>5800</v>
      </c>
      <c r="H7" s="9">
        <v>1000</v>
      </c>
      <c r="I7" s="48">
        <v>1000</v>
      </c>
      <c r="J7" s="21">
        <f t="shared" si="2"/>
        <v>62300</v>
      </c>
      <c r="K7" s="8" t="s">
        <v>199</v>
      </c>
      <c r="L7" s="9">
        <v>-5800</v>
      </c>
      <c r="M7" s="9"/>
      <c r="N7" s="48">
        <v>-1000</v>
      </c>
      <c r="O7" s="21">
        <f t="shared" si="3"/>
        <v>9200</v>
      </c>
      <c r="P7" s="8"/>
      <c r="Q7" s="9"/>
      <c r="R7" s="9"/>
      <c r="S7" s="48"/>
      <c r="T7" s="21">
        <f t="shared" si="4"/>
        <v>33500</v>
      </c>
      <c r="U7" s="53">
        <f>IF($J7="","",ROUND(($J7-$J$3)/1000,1)+(_xlfn.RANK.AVG($J7,($J7,$O7,$T7),1)-2)*20)</f>
        <v>47.3</v>
      </c>
      <c r="V7" s="54">
        <f>IF($O7="","",ROUND(($O7-$O$3)/1000,1)+(_xlfn.RANK.AVG($O7,($J7,$O7,$T7),1)-2)*20)</f>
        <v>-45.8</v>
      </c>
      <c r="W7" s="55">
        <f>IF($T7="","",ROUND(($T7-$T$3)/1000,1)+(_xlfn.RANK.AVG($T7,($J7,$O7,$T7),1)-2)*20)</f>
        <v>-1.5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79</v>
      </c>
      <c r="AF7" s="41" t="s">
        <v>79</v>
      </c>
      <c r="AG7" s="41" t="s">
        <v>86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62300</v>
      </c>
      <c r="K8" s="8" t="s">
        <v>199</v>
      </c>
      <c r="L8" s="9">
        <v>-8000</v>
      </c>
      <c r="M8" s="9"/>
      <c r="N8" s="48">
        <v>-2000</v>
      </c>
      <c r="O8" s="21">
        <f t="shared" si="3"/>
        <v>-800</v>
      </c>
      <c r="P8" s="8" t="s">
        <v>200</v>
      </c>
      <c r="Q8" s="9">
        <v>8000</v>
      </c>
      <c r="R8" s="9"/>
      <c r="S8" s="48">
        <v>2000</v>
      </c>
      <c r="T8" s="21">
        <f t="shared" si="4"/>
        <v>43500</v>
      </c>
      <c r="U8" s="53">
        <f>IF($J8="","",ROUND(($J8-$J$3)/1000,1)+(_xlfn.RANK.AVG($J8,($J8,$O8,$T8),1)-2)*20)</f>
        <v>47.3</v>
      </c>
      <c r="V8" s="54">
        <f>IF($O8="","",ROUND(($O8-$O$3)/1000,1)+(_xlfn.RANK.AVG($O8,($J8,$O8,$T8),1)-2)*20)</f>
        <v>-55.8</v>
      </c>
      <c r="W8" s="55">
        <f>IF($T8="","",ROUND(($T8-$T$3)/1000,1)+(_xlfn.RANK.AVG($T8,($J8,$O8,$T8),1)-2)*20)</f>
        <v>8.5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40</v>
      </c>
      <c r="BU8" s="40" t="s">
        <v>85</v>
      </c>
      <c r="BV8" s="41" t="s">
        <v>84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2737D639-5BDE-46CD-8266-D605C94A8056}">
      <formula1>"だいち,りくと,ただ,れんたろう,たかの,ぱぱ,まっつん,あさひ,いっしー,ほたに,かわたつ,やがさき,のり,"</formula1>
    </dataValidation>
    <dataValidation type="list" showInputMessage="1" showErrorMessage="1" sqref="K4:K30 P4:P30 F4:F30" xr:uid="{42D1940C-16F3-43E8-A9EF-25C664F6AC88}">
      <formula1>"ロン,ツモ,放銃,ツモ支払,流局,チョンボ"</formula1>
    </dataValidation>
    <dataValidation type="list" allowBlank="1" showInputMessage="1" showErrorMessage="1" sqref="E4:E30" xr:uid="{D779B238-F13A-4E77-B01A-D34B8EDA1A8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2019-07-26T11:53:45Z</dcterms:modified>
</cp:coreProperties>
</file>