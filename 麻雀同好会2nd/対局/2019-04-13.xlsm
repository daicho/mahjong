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対局\"/>
    </mc:Choice>
  </mc:AlternateContent>
  <xr:revisionPtr revIDLastSave="0" documentId="13_ncr:1_{890AAE03-EB3A-4FE1-A728-3DE3D4BE3DF0}" xr6:coauthVersionLast="36" xr6:coauthVersionMax="36" xr10:uidLastSave="{00000000-0000-0000-0000-000000000000}"/>
  <bookViews>
    <workbookView xWindow="0" yWindow="0" windowWidth="28800" windowHeight="12720" activeTab="4" xr2:uid="{4CDB34E1-560F-4998-ABAB-D6F7F2862621}"/>
  </bookViews>
  <sheets>
    <sheet name="Sheet1" sheetId="1" r:id="rId1"/>
    <sheet name="Sheet2" sheetId="16" r:id="rId2"/>
    <sheet name="Sheet3" sheetId="17" r:id="rId3"/>
    <sheet name="Sheet4" sheetId="18" r:id="rId4"/>
    <sheet name="Sheet5" sheetId="19" r:id="rId5"/>
    <sheet name="役一覧" sheetId="15" state="hidden" r:id="rId6"/>
    <sheet name="点数表(親ロン)" sheetId="4" state="hidden" r:id="rId7"/>
    <sheet name="点数表(親ツモ)" sheetId="9" state="hidden" r:id="rId8"/>
    <sheet name="点数表(子→親)" sheetId="7" state="hidden" r:id="rId9"/>
    <sheet name="点数表(子ロン)" sheetId="3" state="hidden" r:id="rId10"/>
    <sheet name="点数表(子ツモ)" sheetId="10" state="hidden" r:id="rId11"/>
    <sheet name="点数表(子→子)" sheetId="5" state="hidden" r:id="rId12"/>
    <sheet name="点数表(親→子)" sheetId="6" state="hidden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 s="1"/>
  <c r="T12" i="19"/>
  <c r="O12" i="19"/>
  <c r="V12" i="19" s="1"/>
  <c r="J12" i="19"/>
  <c r="D12" i="19"/>
  <c r="C12" i="19"/>
  <c r="B12" i="19"/>
  <c r="A12" i="19" s="1"/>
  <c r="D10" i="19"/>
  <c r="D11" i="19" s="1"/>
  <c r="C10" i="19"/>
  <c r="C11" i="19" s="1"/>
  <c r="D9" i="19"/>
  <c r="D8" i="19"/>
  <c r="D7" i="19"/>
  <c r="B7" i="19"/>
  <c r="B8" i="19" s="1"/>
  <c r="D6" i="19"/>
  <c r="B6" i="19"/>
  <c r="O5" i="19"/>
  <c r="D5" i="19"/>
  <c r="C5" i="19"/>
  <c r="C6" i="19" s="1"/>
  <c r="C7" i="19" s="1"/>
  <c r="C8" i="19" s="1"/>
  <c r="C9" i="19" s="1"/>
  <c r="B5" i="19"/>
  <c r="A5" i="19"/>
  <c r="T4" i="19"/>
  <c r="O4" i="19"/>
  <c r="J4" i="19"/>
  <c r="J5" i="19" s="1"/>
  <c r="W3" i="19"/>
  <c r="V3" i="19"/>
  <c r="U3" i="19"/>
  <c r="W2" i="19"/>
  <c r="V2" i="19"/>
  <c r="U2" i="19"/>
  <c r="BO1" i="19"/>
  <c r="AT1" i="19"/>
  <c r="Y1" i="19"/>
  <c r="W12" i="19" l="1"/>
  <c r="U12" i="19"/>
  <c r="A7" i="19"/>
  <c r="A6" i="19"/>
  <c r="W4" i="19"/>
  <c r="V4" i="19"/>
  <c r="U4" i="19"/>
  <c r="J6" i="19"/>
  <c r="B9" i="19"/>
  <c r="T5" i="19"/>
  <c r="V5" i="19" s="1"/>
  <c r="A8" i="19"/>
  <c r="O6" i="19"/>
  <c r="T30" i="18"/>
  <c r="W30" i="18" s="1"/>
  <c r="O30" i="18"/>
  <c r="V30" i="18" s="1"/>
  <c r="J30" i="18"/>
  <c r="U30" i="18" s="1"/>
  <c r="D30" i="18"/>
  <c r="C30" i="18"/>
  <c r="B30" i="18"/>
  <c r="A30" i="18"/>
  <c r="T29" i="18"/>
  <c r="W29" i="18" s="1"/>
  <c r="O29" i="18"/>
  <c r="V29" i="18" s="1"/>
  <c r="J29" i="18"/>
  <c r="U29" i="18" s="1"/>
  <c r="D29" i="18"/>
  <c r="C29" i="18"/>
  <c r="B29" i="18"/>
  <c r="A29" i="18"/>
  <c r="T28" i="18"/>
  <c r="W28" i="18" s="1"/>
  <c r="O28" i="18"/>
  <c r="V28" i="18" s="1"/>
  <c r="J28" i="18"/>
  <c r="U28" i="18" s="1"/>
  <c r="D28" i="18"/>
  <c r="C28" i="18"/>
  <c r="B28" i="18"/>
  <c r="A28" i="18"/>
  <c r="T27" i="18"/>
  <c r="W27" i="18" s="1"/>
  <c r="O27" i="18"/>
  <c r="V27" i="18" s="1"/>
  <c r="J27" i="18"/>
  <c r="U27" i="18" s="1"/>
  <c r="D27" i="18"/>
  <c r="C27" i="18"/>
  <c r="B27" i="18"/>
  <c r="A27" i="18"/>
  <c r="T26" i="18"/>
  <c r="W26" i="18" s="1"/>
  <c r="O26" i="18"/>
  <c r="V26" i="18" s="1"/>
  <c r="J26" i="18"/>
  <c r="U26" i="18" s="1"/>
  <c r="D26" i="18"/>
  <c r="C26" i="18"/>
  <c r="B26" i="18"/>
  <c r="A26" i="18"/>
  <c r="T25" i="18"/>
  <c r="W25" i="18" s="1"/>
  <c r="O25" i="18"/>
  <c r="V25" i="18" s="1"/>
  <c r="J25" i="18"/>
  <c r="U25" i="18" s="1"/>
  <c r="D25" i="18"/>
  <c r="C25" i="18"/>
  <c r="B25" i="18"/>
  <c r="A25" i="18"/>
  <c r="T24" i="18"/>
  <c r="W24" i="18" s="1"/>
  <c r="O24" i="18"/>
  <c r="V24" i="18" s="1"/>
  <c r="J24" i="18"/>
  <c r="U24" i="18" s="1"/>
  <c r="D24" i="18"/>
  <c r="C24" i="18"/>
  <c r="B24" i="18"/>
  <c r="A24" i="18"/>
  <c r="T23" i="18"/>
  <c r="W23" i="18" s="1"/>
  <c r="O23" i="18"/>
  <c r="V23" i="18" s="1"/>
  <c r="J23" i="18"/>
  <c r="U23" i="18" s="1"/>
  <c r="D23" i="18"/>
  <c r="C23" i="18"/>
  <c r="B23" i="18"/>
  <c r="A23" i="18"/>
  <c r="T22" i="18"/>
  <c r="W22" i="18" s="1"/>
  <c r="O22" i="18"/>
  <c r="V22" i="18" s="1"/>
  <c r="J22" i="18"/>
  <c r="U22" i="18" s="1"/>
  <c r="D22" i="18"/>
  <c r="C22" i="18"/>
  <c r="B22" i="18"/>
  <c r="A22" i="18"/>
  <c r="T21" i="18"/>
  <c r="W21" i="18" s="1"/>
  <c r="O21" i="18"/>
  <c r="V21" i="18" s="1"/>
  <c r="J21" i="18"/>
  <c r="U21" i="18" s="1"/>
  <c r="D21" i="18"/>
  <c r="C21" i="18"/>
  <c r="B21" i="18"/>
  <c r="A21" i="18"/>
  <c r="T20" i="18"/>
  <c r="W20" i="18" s="1"/>
  <c r="O20" i="18"/>
  <c r="V20" i="18" s="1"/>
  <c r="J20" i="18"/>
  <c r="U20" i="18" s="1"/>
  <c r="D20" i="18"/>
  <c r="C20" i="18"/>
  <c r="B20" i="18"/>
  <c r="A20" i="18"/>
  <c r="T19" i="18"/>
  <c r="W19" i="18" s="1"/>
  <c r="O19" i="18"/>
  <c r="V19" i="18" s="1"/>
  <c r="J19" i="18"/>
  <c r="U19" i="18" s="1"/>
  <c r="D19" i="18"/>
  <c r="C19" i="18"/>
  <c r="B19" i="18"/>
  <c r="A19" i="18"/>
  <c r="T18" i="18"/>
  <c r="W18" i="18" s="1"/>
  <c r="O18" i="18"/>
  <c r="V18" i="18" s="1"/>
  <c r="J18" i="18"/>
  <c r="U18" i="18" s="1"/>
  <c r="D18" i="18"/>
  <c r="C18" i="18"/>
  <c r="B18" i="18"/>
  <c r="A18" i="18"/>
  <c r="T17" i="18"/>
  <c r="W17" i="18" s="1"/>
  <c r="O17" i="18"/>
  <c r="V17" i="18" s="1"/>
  <c r="J17" i="18"/>
  <c r="U17" i="18" s="1"/>
  <c r="D17" i="18"/>
  <c r="C17" i="18"/>
  <c r="B17" i="18"/>
  <c r="A17" i="18"/>
  <c r="T16" i="18"/>
  <c r="W16" i="18" s="1"/>
  <c r="O16" i="18"/>
  <c r="V16" i="18" s="1"/>
  <c r="J16" i="18"/>
  <c r="U16" i="18" s="1"/>
  <c r="D16" i="18"/>
  <c r="C16" i="18"/>
  <c r="B16" i="18"/>
  <c r="A16" i="18"/>
  <c r="T15" i="18"/>
  <c r="W15" i="18" s="1"/>
  <c r="O15" i="18"/>
  <c r="V15" i="18" s="1"/>
  <c r="J15" i="18"/>
  <c r="U15" i="18" s="1"/>
  <c r="D15" i="18"/>
  <c r="C15" i="18"/>
  <c r="B15" i="18"/>
  <c r="A15" i="18"/>
  <c r="T14" i="18"/>
  <c r="W14" i="18" s="1"/>
  <c r="O14" i="18"/>
  <c r="V14" i="18" s="1"/>
  <c r="J14" i="18"/>
  <c r="U14" i="18" s="1"/>
  <c r="D14" i="18"/>
  <c r="C14" i="18"/>
  <c r="B14" i="18"/>
  <c r="A14" i="18"/>
  <c r="T13" i="18"/>
  <c r="W13" i="18" s="1"/>
  <c r="O13" i="18"/>
  <c r="V13" i="18" s="1"/>
  <c r="J13" i="18"/>
  <c r="U13" i="18" s="1"/>
  <c r="D13" i="18"/>
  <c r="C13" i="18"/>
  <c r="B13" i="18"/>
  <c r="A13" i="18"/>
  <c r="T12" i="18"/>
  <c r="W12" i="18" s="1"/>
  <c r="O12" i="18"/>
  <c r="V12" i="18" s="1"/>
  <c r="J12" i="18"/>
  <c r="U12" i="18" s="1"/>
  <c r="D12" i="18"/>
  <c r="C12" i="18"/>
  <c r="B12" i="18"/>
  <c r="A12" i="18"/>
  <c r="T11" i="18"/>
  <c r="O11" i="18"/>
  <c r="V11" i="18" s="1"/>
  <c r="J11" i="18"/>
  <c r="D11" i="18"/>
  <c r="C11" i="18"/>
  <c r="B11" i="18"/>
  <c r="A11" i="18" s="1"/>
  <c r="T10" i="18"/>
  <c r="O10" i="18"/>
  <c r="J10" i="18"/>
  <c r="U10" i="18" s="1"/>
  <c r="D10" i="18"/>
  <c r="C10" i="18"/>
  <c r="B10" i="18"/>
  <c r="A10" i="18"/>
  <c r="D9" i="18"/>
  <c r="C9" i="18"/>
  <c r="D8" i="18"/>
  <c r="C8" i="18"/>
  <c r="D7" i="18"/>
  <c r="C7" i="18"/>
  <c r="D6" i="18"/>
  <c r="C6" i="18"/>
  <c r="O5" i="18"/>
  <c r="J5" i="18"/>
  <c r="D5" i="18"/>
  <c r="C5" i="18"/>
  <c r="B5" i="18"/>
  <c r="B6" i="18" s="1"/>
  <c r="T4" i="18"/>
  <c r="O4" i="18"/>
  <c r="J4" i="18"/>
  <c r="W3" i="18"/>
  <c r="V3" i="18"/>
  <c r="U3" i="18"/>
  <c r="W2" i="18"/>
  <c r="V2" i="18"/>
  <c r="U2" i="18"/>
  <c r="BO1" i="18"/>
  <c r="AT1" i="18"/>
  <c r="Y1" i="18"/>
  <c r="T30" i="17"/>
  <c r="W30" i="17" s="1"/>
  <c r="O30" i="17"/>
  <c r="V30" i="17" s="1"/>
  <c r="J30" i="17"/>
  <c r="U30" i="17" s="1"/>
  <c r="D30" i="17"/>
  <c r="C30" i="17"/>
  <c r="B30" i="17"/>
  <c r="A30" i="17"/>
  <c r="T29" i="17"/>
  <c r="W29" i="17" s="1"/>
  <c r="O29" i="17"/>
  <c r="V29" i="17" s="1"/>
  <c r="J29" i="17"/>
  <c r="U29" i="17" s="1"/>
  <c r="D29" i="17"/>
  <c r="C29" i="17"/>
  <c r="B29" i="17"/>
  <c r="A29" i="17"/>
  <c r="T28" i="17"/>
  <c r="W28" i="17" s="1"/>
  <c r="O28" i="17"/>
  <c r="V28" i="17" s="1"/>
  <c r="J28" i="17"/>
  <c r="U28" i="17" s="1"/>
  <c r="D28" i="17"/>
  <c r="C28" i="17"/>
  <c r="B28" i="17"/>
  <c r="A28" i="17"/>
  <c r="T27" i="17"/>
  <c r="W27" i="17" s="1"/>
  <c r="O27" i="17"/>
  <c r="V27" i="17" s="1"/>
  <c r="J27" i="17"/>
  <c r="U27" i="17" s="1"/>
  <c r="D27" i="17"/>
  <c r="C27" i="17"/>
  <c r="B27" i="17"/>
  <c r="A27" i="17"/>
  <c r="T26" i="17"/>
  <c r="W26" i="17" s="1"/>
  <c r="O26" i="17"/>
  <c r="V26" i="17" s="1"/>
  <c r="J26" i="17"/>
  <c r="U26" i="17" s="1"/>
  <c r="D26" i="17"/>
  <c r="C26" i="17"/>
  <c r="B26" i="17"/>
  <c r="A26" i="17"/>
  <c r="T25" i="17"/>
  <c r="W25" i="17" s="1"/>
  <c r="O25" i="17"/>
  <c r="V25" i="17" s="1"/>
  <c r="J25" i="17"/>
  <c r="U25" i="17" s="1"/>
  <c r="D25" i="17"/>
  <c r="C25" i="17"/>
  <c r="B25" i="17"/>
  <c r="A25" i="17"/>
  <c r="T24" i="17"/>
  <c r="W24" i="17" s="1"/>
  <c r="O24" i="17"/>
  <c r="V24" i="17" s="1"/>
  <c r="J24" i="17"/>
  <c r="U24" i="17" s="1"/>
  <c r="D24" i="17"/>
  <c r="C24" i="17"/>
  <c r="B24" i="17"/>
  <c r="A24" i="17"/>
  <c r="T23" i="17"/>
  <c r="W23" i="17" s="1"/>
  <c r="O23" i="17"/>
  <c r="V23" i="17" s="1"/>
  <c r="J23" i="17"/>
  <c r="U23" i="17" s="1"/>
  <c r="D23" i="17"/>
  <c r="C23" i="17"/>
  <c r="B23" i="17"/>
  <c r="A23" i="17"/>
  <c r="T22" i="17"/>
  <c r="W22" i="17" s="1"/>
  <c r="O22" i="17"/>
  <c r="V22" i="17" s="1"/>
  <c r="J22" i="17"/>
  <c r="U22" i="17" s="1"/>
  <c r="D22" i="17"/>
  <c r="C22" i="17"/>
  <c r="B22" i="17"/>
  <c r="A22" i="17"/>
  <c r="T21" i="17"/>
  <c r="W21" i="17" s="1"/>
  <c r="O21" i="17"/>
  <c r="V21" i="17" s="1"/>
  <c r="J21" i="17"/>
  <c r="U21" i="17" s="1"/>
  <c r="D21" i="17"/>
  <c r="C21" i="17"/>
  <c r="B21" i="17"/>
  <c r="A21" i="17"/>
  <c r="T20" i="17"/>
  <c r="W20" i="17" s="1"/>
  <c r="O20" i="17"/>
  <c r="V20" i="17" s="1"/>
  <c r="J20" i="17"/>
  <c r="U20" i="17" s="1"/>
  <c r="D20" i="17"/>
  <c r="C20" i="17"/>
  <c r="B20" i="17"/>
  <c r="A20" i="17"/>
  <c r="T19" i="17"/>
  <c r="W19" i="17" s="1"/>
  <c r="O19" i="17"/>
  <c r="V19" i="17" s="1"/>
  <c r="J19" i="17"/>
  <c r="U19" i="17" s="1"/>
  <c r="D19" i="17"/>
  <c r="C19" i="17"/>
  <c r="B19" i="17"/>
  <c r="A19" i="17"/>
  <c r="T18" i="17"/>
  <c r="W18" i="17" s="1"/>
  <c r="O18" i="17"/>
  <c r="V18" i="17" s="1"/>
  <c r="J18" i="17"/>
  <c r="U18" i="17" s="1"/>
  <c r="D18" i="17"/>
  <c r="C18" i="17"/>
  <c r="B18" i="17"/>
  <c r="A18" i="17"/>
  <c r="T17" i="17"/>
  <c r="W17" i="17" s="1"/>
  <c r="O17" i="17"/>
  <c r="V17" i="17" s="1"/>
  <c r="J17" i="17"/>
  <c r="U17" i="17" s="1"/>
  <c r="D17" i="17"/>
  <c r="C17" i="17"/>
  <c r="B17" i="17"/>
  <c r="A17" i="17"/>
  <c r="T16" i="17"/>
  <c r="W16" i="17" s="1"/>
  <c r="O16" i="17"/>
  <c r="V16" i="17" s="1"/>
  <c r="J16" i="17"/>
  <c r="U16" i="17" s="1"/>
  <c r="D16" i="17"/>
  <c r="C16" i="17"/>
  <c r="B16" i="17"/>
  <c r="A16" i="17"/>
  <c r="T15" i="17"/>
  <c r="W15" i="17" s="1"/>
  <c r="O15" i="17"/>
  <c r="V15" i="17" s="1"/>
  <c r="J15" i="17"/>
  <c r="U15" i="17" s="1"/>
  <c r="D15" i="17"/>
  <c r="C15" i="17"/>
  <c r="B15" i="17"/>
  <c r="A15" i="17"/>
  <c r="T14" i="17"/>
  <c r="W14" i="17" s="1"/>
  <c r="O14" i="17"/>
  <c r="V14" i="17" s="1"/>
  <c r="J14" i="17"/>
  <c r="U14" i="17" s="1"/>
  <c r="D14" i="17"/>
  <c r="C14" i="17"/>
  <c r="B14" i="17"/>
  <c r="A14" i="17"/>
  <c r="T13" i="17"/>
  <c r="W13" i="17" s="1"/>
  <c r="O13" i="17"/>
  <c r="V13" i="17" s="1"/>
  <c r="J13" i="17"/>
  <c r="U13" i="17" s="1"/>
  <c r="D13" i="17"/>
  <c r="C13" i="17"/>
  <c r="B13" i="17"/>
  <c r="A13" i="17"/>
  <c r="D12" i="17"/>
  <c r="C12" i="17"/>
  <c r="D11" i="17"/>
  <c r="C11" i="17"/>
  <c r="D10" i="17"/>
  <c r="C10" i="17"/>
  <c r="D9" i="17"/>
  <c r="C9" i="17"/>
  <c r="D8" i="17"/>
  <c r="D7" i="17"/>
  <c r="C7" i="17"/>
  <c r="C8" i="17" s="1"/>
  <c r="D6" i="17"/>
  <c r="C6" i="17"/>
  <c r="T5" i="17"/>
  <c r="W5" i="17" s="1"/>
  <c r="O5" i="17"/>
  <c r="D5" i="17"/>
  <c r="C5" i="17"/>
  <c r="B5" i="17"/>
  <c r="B6" i="17" s="1"/>
  <c r="T4" i="17"/>
  <c r="O4" i="17"/>
  <c r="J4" i="17"/>
  <c r="J5" i="17" s="1"/>
  <c r="W3" i="17"/>
  <c r="V3" i="17"/>
  <c r="U3" i="17"/>
  <c r="W2" i="17"/>
  <c r="V2" i="17"/>
  <c r="U2" i="17"/>
  <c r="BO1" i="17"/>
  <c r="AT1" i="17"/>
  <c r="Y1" i="17"/>
  <c r="A9" i="19" l="1"/>
  <c r="T6" i="19"/>
  <c r="W5" i="19"/>
  <c r="V6" i="19"/>
  <c r="O7" i="19"/>
  <c r="B10" i="19"/>
  <c r="U6" i="19"/>
  <c r="J7" i="19"/>
  <c r="U5" i="19"/>
  <c r="U11" i="18"/>
  <c r="W11" i="18"/>
  <c r="V10" i="18"/>
  <c r="W10" i="18"/>
  <c r="V4" i="18"/>
  <c r="U4" i="18"/>
  <c r="B7" i="18"/>
  <c r="T5" i="18"/>
  <c r="V5" i="18" s="1"/>
  <c r="J6" i="18"/>
  <c r="W4" i="18"/>
  <c r="O6" i="18"/>
  <c r="A5" i="18"/>
  <c r="A6" i="18" s="1"/>
  <c r="V5" i="17"/>
  <c r="A5" i="17"/>
  <c r="V4" i="17"/>
  <c r="W4" i="17"/>
  <c r="U4" i="17"/>
  <c r="A6" i="17"/>
  <c r="B7" i="17"/>
  <c r="A7" i="17" s="1"/>
  <c r="J6" i="17"/>
  <c r="U5" i="17"/>
  <c r="O6" i="17"/>
  <c r="T6" i="17"/>
  <c r="T30" i="16"/>
  <c r="W30" i="16" s="1"/>
  <c r="O30" i="16"/>
  <c r="V30" i="16" s="1"/>
  <c r="J30" i="16"/>
  <c r="U30" i="16" s="1"/>
  <c r="D30" i="16"/>
  <c r="C30" i="16"/>
  <c r="B30" i="16"/>
  <c r="A30" i="16"/>
  <c r="T29" i="16"/>
  <c r="W29" i="16" s="1"/>
  <c r="O29" i="16"/>
  <c r="V29" i="16" s="1"/>
  <c r="J29" i="16"/>
  <c r="U29" i="16" s="1"/>
  <c r="D29" i="16"/>
  <c r="C29" i="16"/>
  <c r="B29" i="16"/>
  <c r="A29" i="16"/>
  <c r="T28" i="16"/>
  <c r="W28" i="16" s="1"/>
  <c r="O28" i="16"/>
  <c r="V28" i="16" s="1"/>
  <c r="J28" i="16"/>
  <c r="U28" i="16" s="1"/>
  <c r="D28" i="16"/>
  <c r="C28" i="16"/>
  <c r="B28" i="16"/>
  <c r="A28" i="16"/>
  <c r="T27" i="16"/>
  <c r="W27" i="16" s="1"/>
  <c r="O27" i="16"/>
  <c r="V27" i="16" s="1"/>
  <c r="J27" i="16"/>
  <c r="U27" i="16" s="1"/>
  <c r="D27" i="16"/>
  <c r="C27" i="16"/>
  <c r="B27" i="16"/>
  <c r="A27" i="16"/>
  <c r="T26" i="16"/>
  <c r="W26" i="16" s="1"/>
  <c r="O26" i="16"/>
  <c r="V26" i="16" s="1"/>
  <c r="J26" i="16"/>
  <c r="U26" i="16" s="1"/>
  <c r="D26" i="16"/>
  <c r="C26" i="16"/>
  <c r="B26" i="16"/>
  <c r="A26" i="16"/>
  <c r="T25" i="16"/>
  <c r="W25" i="16" s="1"/>
  <c r="O25" i="16"/>
  <c r="V25" i="16" s="1"/>
  <c r="J25" i="16"/>
  <c r="U25" i="16" s="1"/>
  <c r="D25" i="16"/>
  <c r="C25" i="16"/>
  <c r="B25" i="16"/>
  <c r="A25" i="16"/>
  <c r="T24" i="16"/>
  <c r="W24" i="16" s="1"/>
  <c r="O24" i="16"/>
  <c r="V24" i="16" s="1"/>
  <c r="J24" i="16"/>
  <c r="U24" i="16" s="1"/>
  <c r="D24" i="16"/>
  <c r="C24" i="16"/>
  <c r="B24" i="16"/>
  <c r="A24" i="16"/>
  <c r="T23" i="16"/>
  <c r="W23" i="16" s="1"/>
  <c r="O23" i="16"/>
  <c r="V23" i="16" s="1"/>
  <c r="J23" i="16"/>
  <c r="U23" i="16" s="1"/>
  <c r="D23" i="16"/>
  <c r="C23" i="16"/>
  <c r="B23" i="16"/>
  <c r="A23" i="16"/>
  <c r="T22" i="16"/>
  <c r="W22" i="16" s="1"/>
  <c r="O22" i="16"/>
  <c r="V22" i="16" s="1"/>
  <c r="J22" i="16"/>
  <c r="U22" i="16" s="1"/>
  <c r="D22" i="16"/>
  <c r="C22" i="16"/>
  <c r="B22" i="16"/>
  <c r="A22" i="16"/>
  <c r="T21" i="16"/>
  <c r="W21" i="16" s="1"/>
  <c r="O21" i="16"/>
  <c r="V21" i="16" s="1"/>
  <c r="J21" i="16"/>
  <c r="U21" i="16" s="1"/>
  <c r="D21" i="16"/>
  <c r="C21" i="16"/>
  <c r="B21" i="16"/>
  <c r="A21" i="16"/>
  <c r="T20" i="16"/>
  <c r="W20" i="16" s="1"/>
  <c r="O20" i="16"/>
  <c r="V20" i="16" s="1"/>
  <c r="J20" i="16"/>
  <c r="U20" i="16" s="1"/>
  <c r="D20" i="16"/>
  <c r="C20" i="16"/>
  <c r="B20" i="16"/>
  <c r="A20" i="16"/>
  <c r="T19" i="16"/>
  <c r="W19" i="16" s="1"/>
  <c r="O19" i="16"/>
  <c r="V19" i="16" s="1"/>
  <c r="J19" i="16"/>
  <c r="U19" i="16" s="1"/>
  <c r="D19" i="16"/>
  <c r="C19" i="16"/>
  <c r="B19" i="16"/>
  <c r="A19" i="16"/>
  <c r="T18" i="16"/>
  <c r="W18" i="16" s="1"/>
  <c r="O18" i="16"/>
  <c r="V18" i="16" s="1"/>
  <c r="J18" i="16"/>
  <c r="U18" i="16" s="1"/>
  <c r="D18" i="16"/>
  <c r="C18" i="16"/>
  <c r="B18" i="16"/>
  <c r="A18" i="16"/>
  <c r="T17" i="16"/>
  <c r="W17" i="16" s="1"/>
  <c r="O17" i="16"/>
  <c r="V17" i="16" s="1"/>
  <c r="J17" i="16"/>
  <c r="U17" i="16" s="1"/>
  <c r="D17" i="16"/>
  <c r="C17" i="16"/>
  <c r="B17" i="16"/>
  <c r="A17" i="16"/>
  <c r="T16" i="16"/>
  <c r="W16" i="16" s="1"/>
  <c r="O16" i="16"/>
  <c r="V16" i="16" s="1"/>
  <c r="J16" i="16"/>
  <c r="U16" i="16" s="1"/>
  <c r="D16" i="16"/>
  <c r="C16" i="16"/>
  <c r="B16" i="16"/>
  <c r="A16" i="16"/>
  <c r="T15" i="16"/>
  <c r="W15" i="16" s="1"/>
  <c r="O15" i="16"/>
  <c r="V15" i="16" s="1"/>
  <c r="J15" i="16"/>
  <c r="U15" i="16" s="1"/>
  <c r="D15" i="16"/>
  <c r="C15" i="16"/>
  <c r="B15" i="16"/>
  <c r="A15" i="16"/>
  <c r="T14" i="16"/>
  <c r="W14" i="16" s="1"/>
  <c r="O14" i="16"/>
  <c r="V14" i="16" s="1"/>
  <c r="J14" i="16"/>
  <c r="U14" i="16" s="1"/>
  <c r="D14" i="16"/>
  <c r="C14" i="16"/>
  <c r="B14" i="16"/>
  <c r="A14" i="16"/>
  <c r="T13" i="16"/>
  <c r="W13" i="16" s="1"/>
  <c r="O13" i="16"/>
  <c r="V13" i="16" s="1"/>
  <c r="J13" i="16"/>
  <c r="U13" i="16" s="1"/>
  <c r="D13" i="16"/>
  <c r="C13" i="16"/>
  <c r="B13" i="16"/>
  <c r="A13" i="16" s="1"/>
  <c r="T12" i="16"/>
  <c r="O12" i="16"/>
  <c r="J12" i="16"/>
  <c r="D12" i="16"/>
  <c r="C12" i="16"/>
  <c r="B12" i="16"/>
  <c r="A12" i="16"/>
  <c r="T11" i="16"/>
  <c r="O11" i="16"/>
  <c r="V11" i="16" s="1"/>
  <c r="J11" i="16"/>
  <c r="U11" i="16" s="1"/>
  <c r="D11" i="16"/>
  <c r="C11" i="16"/>
  <c r="B11" i="16"/>
  <c r="A11" i="16" s="1"/>
  <c r="T10" i="16"/>
  <c r="O10" i="16"/>
  <c r="J10" i="16"/>
  <c r="U10" i="16" s="1"/>
  <c r="D10" i="16"/>
  <c r="C10" i="16"/>
  <c r="B10" i="16"/>
  <c r="A10" i="16" s="1"/>
  <c r="T9" i="16"/>
  <c r="O9" i="16"/>
  <c r="J9" i="16"/>
  <c r="D9" i="16"/>
  <c r="C9" i="16"/>
  <c r="B9" i="16"/>
  <c r="A9" i="16" s="1"/>
  <c r="T8" i="16"/>
  <c r="O8" i="16"/>
  <c r="V8" i="16" s="1"/>
  <c r="J8" i="16"/>
  <c r="D8" i="16"/>
  <c r="C8" i="16"/>
  <c r="B8" i="16"/>
  <c r="A8" i="16"/>
  <c r="D7" i="16"/>
  <c r="B7" i="16"/>
  <c r="D6" i="16"/>
  <c r="C6" i="16"/>
  <c r="C7" i="16" s="1"/>
  <c r="B6" i="16"/>
  <c r="A6" i="16" s="1"/>
  <c r="O5" i="16"/>
  <c r="J5" i="16"/>
  <c r="D5" i="16"/>
  <c r="C5" i="16"/>
  <c r="B5" i="16"/>
  <c r="A5" i="16" s="1"/>
  <c r="T4" i="16"/>
  <c r="O4" i="16"/>
  <c r="J4" i="16"/>
  <c r="U4" i="16" s="1"/>
  <c r="W3" i="16"/>
  <c r="V3" i="16"/>
  <c r="U3" i="16"/>
  <c r="W2" i="16"/>
  <c r="V2" i="16"/>
  <c r="U2" i="16"/>
  <c r="BO1" i="16"/>
  <c r="AT1" i="16"/>
  <c r="Y1" i="16"/>
  <c r="B11" i="19" l="1"/>
  <c r="A11" i="19" s="1"/>
  <c r="A10" i="19"/>
  <c r="O8" i="19"/>
  <c r="J8" i="19"/>
  <c r="U7" i="19"/>
  <c r="T7" i="19"/>
  <c r="W6" i="19"/>
  <c r="A7" i="18"/>
  <c r="J7" i="18"/>
  <c r="W5" i="18"/>
  <c r="T6" i="18"/>
  <c r="U6" i="18" s="1"/>
  <c r="B8" i="18"/>
  <c r="V6" i="18"/>
  <c r="O7" i="18"/>
  <c r="U5" i="18"/>
  <c r="W6" i="17"/>
  <c r="T7" i="17"/>
  <c r="V6" i="17"/>
  <c r="O7" i="17"/>
  <c r="U6" i="17"/>
  <c r="J7" i="17"/>
  <c r="B8" i="17"/>
  <c r="W12" i="16"/>
  <c r="V12" i="16"/>
  <c r="U12" i="16"/>
  <c r="W11" i="16"/>
  <c r="V10" i="16"/>
  <c r="W10" i="16"/>
  <c r="W9" i="16"/>
  <c r="U9" i="16"/>
  <c r="V9" i="16"/>
  <c r="U8" i="16"/>
  <c r="W8" i="16"/>
  <c r="V4" i="16"/>
  <c r="W4" i="16"/>
  <c r="A7" i="16"/>
  <c r="T5" i="16"/>
  <c r="J6" i="16"/>
  <c r="O6" i="16"/>
  <c r="W7" i="19" l="1"/>
  <c r="T8" i="19"/>
  <c r="U8" i="19"/>
  <c r="J9" i="19"/>
  <c r="V8" i="19"/>
  <c r="O9" i="19"/>
  <c r="V7" i="19"/>
  <c r="B9" i="18"/>
  <c r="A8" i="18"/>
  <c r="W6" i="18"/>
  <c r="T7" i="18"/>
  <c r="U7" i="18"/>
  <c r="J8" i="18"/>
  <c r="O8" i="18"/>
  <c r="B9" i="17"/>
  <c r="U7" i="17"/>
  <c r="J8" i="17"/>
  <c r="A8" i="17"/>
  <c r="O8" i="17"/>
  <c r="V7" i="17"/>
  <c r="T8" i="17"/>
  <c r="W7" i="17"/>
  <c r="O7" i="16"/>
  <c r="W5" i="16"/>
  <c r="T6" i="16"/>
  <c r="U6" i="16"/>
  <c r="J7" i="16"/>
  <c r="U5" i="16"/>
  <c r="V5" i="16"/>
  <c r="O10" i="19" l="1"/>
  <c r="J10" i="19"/>
  <c r="W8" i="19"/>
  <c r="T9" i="19"/>
  <c r="A9" i="18"/>
  <c r="J9" i="18"/>
  <c r="O9" i="18"/>
  <c r="T8" i="18"/>
  <c r="V8" i="18" s="1"/>
  <c r="W7" i="18"/>
  <c r="V7" i="18"/>
  <c r="T9" i="17"/>
  <c r="W8" i="17"/>
  <c r="V8" i="17"/>
  <c r="O9" i="17"/>
  <c r="U8" i="17"/>
  <c r="J9" i="17"/>
  <c r="B10" i="17"/>
  <c r="A10" i="17" s="1"/>
  <c r="A9" i="17"/>
  <c r="W6" i="16"/>
  <c r="T7" i="16"/>
  <c r="W7" i="16" s="1"/>
  <c r="V7" i="16"/>
  <c r="U7" i="16"/>
  <c r="V6" i="16"/>
  <c r="W9" i="19" l="1"/>
  <c r="T10" i="19"/>
  <c r="U10" i="19" s="1"/>
  <c r="J11" i="19"/>
  <c r="U9" i="19"/>
  <c r="V10" i="19"/>
  <c r="O11" i="19"/>
  <c r="V9" i="19"/>
  <c r="V9" i="18"/>
  <c r="W8" i="18"/>
  <c r="T9" i="18"/>
  <c r="W9" i="18" s="1"/>
  <c r="U8" i="18"/>
  <c r="U9" i="18"/>
  <c r="J10" i="17"/>
  <c r="U9" i="17"/>
  <c r="W9" i="17"/>
  <c r="T10" i="17"/>
  <c r="B11" i="17"/>
  <c r="A11" i="17" s="1"/>
  <c r="V9" i="17"/>
  <c r="O10" i="17"/>
  <c r="W3" i="1"/>
  <c r="V3" i="1"/>
  <c r="U3" i="1"/>
  <c r="W10" i="19" l="1"/>
  <c r="T11" i="19"/>
  <c r="W11" i="19" s="1"/>
  <c r="V10" i="17"/>
  <c r="O11" i="17"/>
  <c r="B12" i="17"/>
  <c r="A12" i="17" s="1"/>
  <c r="W10" i="17"/>
  <c r="T11" i="17"/>
  <c r="U10" i="17"/>
  <c r="J11" i="17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U11" i="19" l="1"/>
  <c r="V11" i="19"/>
  <c r="U11" i="17"/>
  <c r="J12" i="17"/>
  <c r="W11" i="17"/>
  <c r="T12" i="17"/>
  <c r="W12" i="17" s="1"/>
  <c r="O12" i="17"/>
  <c r="V12" i="17" s="1"/>
  <c r="V11" i="17"/>
  <c r="B5" i="1"/>
  <c r="A5" i="1" s="1"/>
  <c r="D6" i="1"/>
  <c r="B6" i="1"/>
  <c r="A6" i="1" s="1"/>
  <c r="D5" i="1"/>
  <c r="U12" i="17" l="1"/>
  <c r="Y1" i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8" i="1" s="1"/>
  <c r="A7" i="1"/>
  <c r="J5" i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U4" i="1" s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W4" i="1" l="1"/>
  <c r="V4" i="1"/>
  <c r="J6" i="1"/>
  <c r="T5" i="1"/>
  <c r="V5" i="1" s="1"/>
  <c r="O6" i="1"/>
  <c r="B10" i="1"/>
  <c r="U5" i="1" l="1"/>
  <c r="U6" i="1"/>
  <c r="W5" i="1"/>
  <c r="O7" i="1"/>
  <c r="J7" i="1"/>
  <c r="J8" i="1"/>
  <c r="U8" i="1" s="1"/>
  <c r="B11" i="1"/>
  <c r="A11" i="1" s="1"/>
  <c r="A10" i="1"/>
  <c r="O8" i="1"/>
  <c r="V8" i="1" s="1"/>
  <c r="T6" i="1"/>
  <c r="V6" i="1" s="1"/>
  <c r="B12" i="1"/>
  <c r="A12" i="1" s="1"/>
  <c r="W6" i="1" l="1"/>
  <c r="T7" i="1"/>
  <c r="V7" i="1" s="1"/>
  <c r="J9" i="1"/>
  <c r="U9" i="1" s="1"/>
  <c r="T8" i="1"/>
  <c r="W8" i="1" s="1"/>
  <c r="O9" i="1"/>
  <c r="V9" i="1" s="1"/>
  <c r="B13" i="1"/>
  <c r="A13" i="1" s="1"/>
  <c r="U7" i="1" l="1"/>
  <c r="W7" i="1"/>
  <c r="J10" i="1"/>
  <c r="U10" i="1" s="1"/>
  <c r="J11" i="1"/>
  <c r="U11" i="1" s="1"/>
  <c r="O10" i="1"/>
  <c r="V10" i="1" s="1"/>
  <c r="T9" i="1"/>
  <c r="W9" i="1" s="1"/>
  <c r="B14" i="1"/>
  <c r="A14" i="1" s="1"/>
  <c r="O11" i="1" l="1"/>
  <c r="V11" i="1" s="1"/>
  <c r="J12" i="1"/>
  <c r="U12" i="1" s="1"/>
  <c r="T10" i="1"/>
  <c r="W10" i="1" s="1"/>
  <c r="J13" i="1" l="1"/>
  <c r="U13" i="1" s="1"/>
  <c r="O12" i="1"/>
  <c r="V12" i="1" s="1"/>
  <c r="T11" i="1"/>
  <c r="W11" i="1" s="1"/>
  <c r="J14" i="1" l="1"/>
  <c r="U14" i="1" s="1"/>
  <c r="O13" i="1"/>
  <c r="V13" i="1" s="1"/>
  <c r="T12" i="1"/>
  <c r="W12" i="1" s="1"/>
  <c r="O14" i="1" l="1"/>
  <c r="V14" i="1" s="1"/>
  <c r="J15" i="1"/>
  <c r="U15" i="1" s="1"/>
  <c r="T13" i="1"/>
  <c r="W13" i="1" s="1"/>
  <c r="T14" i="1" l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<sst xmlns="http://schemas.openxmlformats.org/spreadsheetml/2006/main" count="935" uniqueCount="160">
  <si>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</si>
  <si>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</si>
  <si>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</si>
  <si>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</si>
  <si>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</si>
  <si>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</si>
  <si>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</si>
  <si>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</si>
  <si>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</si>
  <si>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</si>
  <si>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</si>
  <si>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</si>
  <si>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</si>
  <si>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</si>
  <si>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</si>
  <si>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</si>
  <si>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</si>
  <si>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</si>
  <si>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</si>
  <si>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</si>
  <si>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</si>
  <si>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</si>
  <si>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</si>
  <si>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</si>
  <si>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</si>
  <si>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</si>
  <si>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</si>
  <si>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</si>
  <si>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</si>
  <si>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</si>
  <si>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</si>
  <si>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</si>
  <si>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</si>
  <si>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</si>
  <si>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</si>
  <si>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</si>
  <si>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</si>
  <si>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</si>
  <si>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</si>
  <si>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</si>
  <si>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</si>
  <si>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</si>
  <si>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</si>
  <si>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</si>
  <si>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</si>
  <si>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</si>
  <si>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</si>
  <si>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</si>
  <si>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</si>
  <si>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</si>
  <si>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</si>
  <si>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</si>
  <si>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</si>
  <si>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</si>
  <si>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</si>
  <si>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</si>
  <si>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</si>
  <si>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</si>
  <si>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</si>
  <si>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</si>
  <si>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</si>
  <si>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</si>
  <si>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</si>
  <si>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</si>
  <si>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</si>
  <si>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</si>
  <si>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</si>
  <si>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</si>
  <si>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</si>
  <si>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</si>
  <si>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</si>
  <si>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</si>
  <si>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</si>
  <si>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</si>
  <si>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</si>
  <si>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</si>
  <si>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</si>
  <si>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</si>
  <si>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</si>
  <si>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</si>
  <si>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</si>
  <si>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</si>
  <si>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</si>
  <si>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</si>
  <si>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</si>
  <si>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</si>
  <si>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</si>
  <si>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</si>
  <si>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</si>
  <si>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</si>
  <si>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</si>
  <si>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</si>
  <si>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</si>
  <si>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</si>
  <si>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</si>
  <si>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</si>
  <si>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</si>
  <si>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</si>
  <si>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</si>
  <si>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</si>
  <si>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</si>
  <si>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</si>
  <si>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</si>
  <si>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</si>
  <si>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</si>
  <si>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</si>
  <si>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</si>
  <si>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</si>
  <si>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</si>
  <si>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</si>
  <si>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</si>
  <si>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</si>
  <si>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</si>
  <si>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</si>
  <si>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</si>
  <si>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</si>
  <si>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</si>
  <si>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</si>
  <si>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</si>
  <si>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</si>
  <si>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</si>
  <si>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</si>
  <si>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</si>
  <si>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</si>
  <si>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</si>
  <si>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</si>
  <si>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</si>
  <si>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</si>
  <si>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</si>
  <si>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</si>
  <si>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</si>
  <si>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</si>
  <si>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</si>
  <si>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</si>
  <si>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</si>
  <si>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</si>
  <si>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</si>
  <si>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</si>
  <si>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</si>
  <si>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りくと</t>
  </si>
  <si>
    <t>りくと</t>
    <phoneticPr fontId="1"/>
  </si>
  <si>
    <t>だいち</t>
  </si>
  <si>
    <t>だいち</t>
    <phoneticPr fontId="1"/>
  </si>
  <si>
    <t>ぱぱ</t>
    <phoneticPr fontId="1"/>
  </si>
  <si>
    <t>T</t>
  </si>
  <si>
    <t>N</t>
  </si>
  <si>
    <t>流局</t>
    <phoneticPr fontId="1"/>
  </si>
  <si>
    <t>放銃</t>
  </si>
  <si>
    <t>ロン</t>
  </si>
  <si>
    <t>*</t>
  </si>
  <si>
    <t>01</t>
  </si>
  <si>
    <t>02</t>
  </si>
  <si>
    <t>ツモ支払</t>
  </si>
  <si>
    <t>ツモ</t>
  </si>
  <si>
    <t>52</t>
  </si>
  <si>
    <t>たかの</t>
  </si>
  <si>
    <t>たかの</t>
    <phoneticPr fontId="1"/>
  </si>
  <si>
    <t>れんたろう</t>
  </si>
  <si>
    <t>れんたろう</t>
    <phoneticPr fontId="1"/>
  </si>
  <si>
    <t>ぱぱ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</si>
</sst>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0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2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140</v>
      </c>
      <c r="G1" s="80"/>
      <c r="H1" s="80"/>
      <c r="I1" s="89"/>
      <c r="J1" s="81"/>
      <c r="K1" s="78" t="s">
        <v>142</v>
      </c>
      <c r="L1" s="80"/>
      <c r="M1" s="80"/>
      <c r="N1" s="89"/>
      <c r="O1" s="81"/>
      <c r="P1" s="78" t="s">
        <v>143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りくと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だいち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ぱぱ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りくと</v>
      </c>
      <c r="V2" s="27" t="str">
        <f>$K$1</f>
        <v>だいち</v>
      </c>
      <c r="W2" s="16" t="str">
        <f>$P$1</f>
        <v>ぱぱ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146</v>
      </c>
      <c r="G4" s="9">
        <v>1500</v>
      </c>
      <c r="H4" s="9"/>
      <c r="I4" s="55"/>
      <c r="J4" s="21">
        <f>IF(COUNTA($F4,$K4,$P4)&gt;0,J3+SUM(G4:I4),"")</f>
        <v>36500</v>
      </c>
      <c r="K4" s="8" t="s">
        <v>146</v>
      </c>
      <c r="L4" s="9">
        <v>-3000</v>
      </c>
      <c r="M4" s="9"/>
      <c r="N4" s="55"/>
      <c r="O4" s="21">
        <f>IF(COUNTA($F4,$K4,$P4)&gt;0,O3+SUM(L4:N4),"")</f>
        <v>32000</v>
      </c>
      <c r="P4" s="8" t="s">
        <v>146</v>
      </c>
      <c r="Q4" s="9">
        <v>1500</v>
      </c>
      <c r="R4" s="9">
        <v>-1000</v>
      </c>
      <c r="S4" s="55"/>
      <c r="T4" s="21">
        <f>IF(COUNTA($F4,$K4,$P4)&gt;0,T3+SUM(Q4:S4),"")</f>
        <v>35500</v>
      </c>
      <c r="U4" s="60">
        <f>IF($J4="","",ROUND(($J4-$J$3)/1000,1)+(_xlfn.RANK.AVG($J4,($J4,$O4,$T4),1)-2)*20)</f>
        <v>21.5</v>
      </c>
      <c r="V4" s="61">
        <f>IF($O4="","",ROUND(($O4-$O$3)/1000,1)+(_xlfn.RANK.AVG($O4,($J4,$O4,$T4),1)-2)*20)</f>
        <v>-23</v>
      </c>
      <c r="W4" s="62">
        <f>IF($T4="","",ROUND(($T4-$T$3)/1000,1)+(_xlfn.RANK.AVG($T4,($J4,$O4,$T4),1)-2)*20)</f>
        <v>0.5</v>
      </c>
      <c r="Y4" s="8" t="s">
        <v>144</v>
      </c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 t="s">
        <v>145</v>
      </c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 t="s">
        <v>144</v>
      </c>
      <c r="BP4" s="41"/>
      <c r="BQ4" s="32">
        <v>1</v>
      </c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">
        <v>139</v>
      </c>
      <c r="F5" s="8" t="s">
        <v>147</v>
      </c>
      <c r="G5" s="9">
        <v>-12000</v>
      </c>
      <c r="H5" s="9"/>
      <c r="I5" s="55">
        <v>-1000</v>
      </c>
      <c r="J5" s="21">
        <f t="shared" ref="J5:J30" si="2">IF(COUNTA($F5,$K5,$P5)&gt;0,J4+SUM(G5:I5),"")</f>
        <v>23500</v>
      </c>
      <c r="K5" s="8" t="s">
        <v>148</v>
      </c>
      <c r="L5" s="9">
        <v>12000</v>
      </c>
      <c r="M5" s="9">
        <v>1000</v>
      </c>
      <c r="N5" s="55">
        <v>1000</v>
      </c>
      <c r="O5" s="21">
        <f t="shared" ref="O5:O30" si="3">IF(COUNTA($F5,$K5,$P5)&gt;0,O4+SUM(L5:N5),"")</f>
        <v>46000</v>
      </c>
      <c r="P5" s="8"/>
      <c r="Q5" s="9"/>
      <c r="R5" s="9"/>
      <c r="S5" s="55"/>
      <c r="T5" s="21">
        <f t="shared" ref="T5:T30" si="4">IF(COUNTA($F5,$K5,$P5)&gt;0,T4+SUM(Q5:S5),"")</f>
        <v>35500</v>
      </c>
      <c r="U5" s="60">
        <f>IF($J5="","",ROUND(($J5-$J$3)/1000,1)+(_xlfn.RANK.AVG($J5,($J5,$O5,$T5),1)-2)*20)</f>
        <v>-31.5</v>
      </c>
      <c r="V5" s="61">
        <f>IF($O5="","",ROUND(($O5-$O$3)/1000,1)+(_xlfn.RANK.AVG($O5,($J5,$O5,$T5),1)-2)*20)</f>
        <v>31</v>
      </c>
      <c r="W5" s="62">
        <f>IF($T5="","",ROUND(($T5-$T$3)/1000,1)+(_xlfn.RANK.AVG($T5,($J5,$O5,$T5),1)-2)*20)</f>
        <v>0.5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>
        <v>6</v>
      </c>
      <c r="AY5" s="36" t="s">
        <v>149</v>
      </c>
      <c r="AZ5" s="47" t="s">
        <v>150</v>
      </c>
      <c r="BA5" s="48" t="s">
        <v>151</v>
      </c>
      <c r="BB5" s="48" t="s">
        <v>102</v>
      </c>
      <c r="BC5" s="48" t="s">
        <v>81</v>
      </c>
      <c r="BD5" s="48" t="s">
        <v>81</v>
      </c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141</v>
      </c>
      <c r="F6" s="8" t="s">
        <v>147</v>
      </c>
      <c r="G6" s="9">
        <v>-12000</v>
      </c>
      <c r="H6" s="9"/>
      <c r="I6" s="55">
        <v>0</v>
      </c>
      <c r="J6" s="21">
        <f t="shared" si="2"/>
        <v>11500</v>
      </c>
      <c r="K6" s="8" t="s">
        <v>148</v>
      </c>
      <c r="L6" s="9">
        <v>12000</v>
      </c>
      <c r="M6" s="9"/>
      <c r="N6" s="55">
        <v>0</v>
      </c>
      <c r="O6" s="21">
        <f t="shared" si="3"/>
        <v>58000</v>
      </c>
      <c r="P6" s="8"/>
      <c r="Q6" s="9"/>
      <c r="R6" s="9"/>
      <c r="S6" s="55"/>
      <c r="T6" s="21">
        <f t="shared" si="4"/>
        <v>35500</v>
      </c>
      <c r="U6" s="60">
        <f>IF($J6="","",ROUND(($J6-$J$3)/1000,1)+(_xlfn.RANK.AVG($J6,($J6,$O6,$T6),1)-2)*20)</f>
        <v>-43.5</v>
      </c>
      <c r="V6" s="61">
        <f>IF($O6="","",ROUND(($O6-$O$3)/1000,1)+(_xlfn.RANK.AVG($O6,($J6,$O6,$T6),1)-2)*20)</f>
        <v>43</v>
      </c>
      <c r="W6" s="62">
        <f>IF($T6="","",ROUND(($T6-$T$3)/1000,1)+(_xlfn.RANK.AVG($T6,($J6,$O6,$T6),1)-2)*20)</f>
        <v>0.5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>
        <v>5</v>
      </c>
      <c r="AY6" s="36" t="s">
        <v>149</v>
      </c>
      <c r="AZ6" s="47" t="s">
        <v>150</v>
      </c>
      <c r="BA6" s="48" t="s">
        <v>80</v>
      </c>
      <c r="BB6" s="48" t="s">
        <v>80</v>
      </c>
      <c r="BC6" s="48" t="s">
        <v>80</v>
      </c>
      <c r="BD6" s="48" t="s">
        <v>80</v>
      </c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7">IF($E7="","",IF(AND(B6=3,B7=1),_xlfn.SWITCH(A6,"東","南","南","西","西","北","北","東"),A6))</f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">
        <v>141</v>
      </c>
      <c r="F7" s="8" t="s">
        <v>152</v>
      </c>
      <c r="G7" s="9">
        <v>-12000</v>
      </c>
      <c r="H7" s="9"/>
      <c r="I7" s="55">
        <v>-500</v>
      </c>
      <c r="J7" s="21">
        <f t="shared" si="2"/>
        <v>-1000</v>
      </c>
      <c r="K7" s="8" t="s">
        <v>153</v>
      </c>
      <c r="L7" s="9">
        <v>24000</v>
      </c>
      <c r="M7" s="9">
        <v>1000</v>
      </c>
      <c r="N7" s="55">
        <v>1000</v>
      </c>
      <c r="O7" s="21">
        <f t="shared" si="3"/>
        <v>84000</v>
      </c>
      <c r="P7" s="8" t="s">
        <v>152</v>
      </c>
      <c r="Q7" s="9">
        <v>-12000</v>
      </c>
      <c r="R7" s="9">
        <v>-1000</v>
      </c>
      <c r="S7" s="55">
        <v>-500</v>
      </c>
      <c r="T7" s="21">
        <f t="shared" si="4"/>
        <v>22000</v>
      </c>
      <c r="U7" s="60">
        <f>IF($J7="","",ROUND(($J7-$J$3)/1000,1)+(_xlfn.RANK.AVG($J7,($J7,$O7,$T7),1)-2)*20)</f>
        <v>-56</v>
      </c>
      <c r="V7" s="61">
        <f>IF($O7="","",ROUND(($O7-$O$3)/1000,1)+(_xlfn.RANK.AVG($O7,($J7,$O7,$T7),1)-2)*20)</f>
        <v>69</v>
      </c>
      <c r="W7" s="62">
        <f>IF($T7="","",ROUND(($T7-$T$3)/1000,1)+(_xlfn.RANK.AVG($T7,($J7,$O7,$T7),1)-2)*20)</f>
        <v>-13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>
        <v>10</v>
      </c>
      <c r="AY7" s="36" t="s">
        <v>149</v>
      </c>
      <c r="AZ7" s="47" t="s">
        <v>97</v>
      </c>
      <c r="BA7" s="48" t="s">
        <v>99</v>
      </c>
      <c r="BB7" s="48" t="s">
        <v>80</v>
      </c>
      <c r="BC7" s="48" t="s">
        <v>80</v>
      </c>
      <c r="BD7" s="48" t="s">
        <v>80</v>
      </c>
      <c r="BE7" s="48" t="s">
        <v>154</v>
      </c>
      <c r="BF7" s="48" t="s">
        <v>105</v>
      </c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7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55"/>
      <c r="J8" s="21" t="str">
        <f t="shared" si="2"/>
        <v/>
      </c>
      <c r="K8" s="8"/>
      <c r="L8" s="9"/>
      <c r="M8" s="9"/>
      <c r="N8" s="55"/>
      <c r="O8" s="21" t="str">
        <f t="shared" si="3"/>
        <v/>
      </c>
      <c r="P8" s="8"/>
      <c r="Q8" s="9"/>
      <c r="R8" s="9"/>
      <c r="S8" s="55"/>
      <c r="T8" s="21" t="str">
        <f t="shared" si="4"/>
        <v/>
      </c>
      <c r="U8" s="60" t="str">
        <f>IF($J8="","",ROUND(($J8-$J$3)/1000,1)+(_xlfn.RANK.AVG($J8,($J8,$O8,$T8),1)-2)*20)</f>
        <v/>
      </c>
      <c r="V8" s="61" t="str">
        <f>IF($O8="","",ROUND(($O8-$O$3)/1000,1)+(_xlfn.RANK.AVG($O8,($J8,$O8,$T8),1)-2)*20)</f>
        <v/>
      </c>
      <c r="W8" s="62" t="str">
        <f>IF($T8="","",ROUND(($T8-$T$3)/1000,1)+(_xlfn.RANK.AVG($T8,($J8,$O8,$T8),1)-2)*20)</f>
        <v/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7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55"/>
      <c r="J9" s="21" t="str">
        <f t="shared" si="2"/>
        <v/>
      </c>
      <c r="K9" s="8"/>
      <c r="L9" s="9"/>
      <c r="M9" s="9"/>
      <c r="N9" s="55"/>
      <c r="O9" s="21" t="str">
        <f t="shared" si="3"/>
        <v/>
      </c>
      <c r="P9" s="8"/>
      <c r="Q9" s="9"/>
      <c r="R9" s="9"/>
      <c r="S9" s="55"/>
      <c r="T9" s="21" t="str">
        <f t="shared" si="4"/>
        <v/>
      </c>
      <c r="U9" s="60" t="str">
        <f>IF($J9="","",ROUND(($J9-$J$3)/1000,1)+(_xlfn.RANK.AVG($J9,($J9,$O9,$T9),1)-2)*20)</f>
        <v/>
      </c>
      <c r="V9" s="61" t="str">
        <f>IF($O9="","",ROUND(($O9-$O$3)/1000,1)+(_xlfn.RANK.AVG($O9,($J9,$O9,$T9),1)-2)*20)</f>
        <v/>
      </c>
      <c r="W9" s="62" t="str">
        <f>IF($T9="","",ROUND(($T9-$T$3)/1000,1)+(_xlfn.RANK.AVG($T9,($J9,$O9,$T9),1)-2)*20)</f>
        <v/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7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55"/>
      <c r="J10" s="21" t="str">
        <f t="shared" si="2"/>
        <v/>
      </c>
      <c r="K10" s="8"/>
      <c r="L10" s="9"/>
      <c r="M10" s="9"/>
      <c r="N10" s="55"/>
      <c r="O10" s="21" t="str">
        <f t="shared" si="3"/>
        <v/>
      </c>
      <c r="P10" s="8"/>
      <c r="Q10" s="9"/>
      <c r="R10" s="9"/>
      <c r="S10" s="55"/>
      <c r="T10" s="21" t="str">
        <f t="shared" si="4"/>
        <v/>
      </c>
      <c r="U10" s="60" t="str">
        <f>IF($J10="","",ROUND(($J10-$J$3)/1000,1)+(_xlfn.RANK.AVG($J10,($J10,$O10,$T10),1)-2)*20)</f>
        <v/>
      </c>
      <c r="V10" s="61" t="str">
        <f>IF($O10="","",ROUND(($O10-$O$3)/1000,1)+(_xlfn.RANK.AVG($O10,($J10,$O10,$T10),1)-2)*20)</f>
        <v/>
      </c>
      <c r="W10" s="62" t="str">
        <f>IF($T10="","",ROUND(($T10-$T$3)/1000,1)+(_xlfn.RANK.AVG($T10,($J10,$O10,$T10),1)-2)*20)</f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7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55"/>
      <c r="J11" s="21" t="str">
        <f t="shared" si="2"/>
        <v/>
      </c>
      <c r="K11" s="8"/>
      <c r="L11" s="9"/>
      <c r="M11" s="9"/>
      <c r="N11" s="55"/>
      <c r="O11" s="21" t="str">
        <f t="shared" si="3"/>
        <v/>
      </c>
      <c r="P11" s="8"/>
      <c r="Q11" s="9"/>
      <c r="R11" s="9"/>
      <c r="S11" s="55"/>
      <c r="T11" s="21" t="str">
        <f t="shared" si="4"/>
        <v/>
      </c>
      <c r="U11" s="60" t="str">
        <f>IF($J11="","",ROUND(($J11-$J$3)/1000,1)+(_xlfn.RANK.AVG($J11,($J11,$O11,$T11),1)-2)*20)</f>
        <v/>
      </c>
      <c r="V11" s="61" t="str">
        <f>IF($O11="","",ROUND(($O11-$O$3)/1000,1)+(_xlfn.RANK.AVG($O11,($J11,$O11,$T11),1)-2)*20)</f>
        <v/>
      </c>
      <c r="W11" s="62" t="str">
        <f>IF($T11="","",ROUND(($T11-$T$3)/1000,1)+(_xlfn.RANK.AVG($T11,($J11,$O11,$T11),1)-2)*20)</f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7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55"/>
      <c r="J12" s="21" t="str">
        <f t="shared" si="2"/>
        <v/>
      </c>
      <c r="K12" s="8"/>
      <c r="L12" s="9"/>
      <c r="M12" s="9"/>
      <c r="N12" s="55"/>
      <c r="O12" s="21" t="str">
        <f t="shared" si="3"/>
        <v/>
      </c>
      <c r="P12" s="8"/>
      <c r="Q12" s="9"/>
      <c r="R12" s="9"/>
      <c r="S12" s="55"/>
      <c r="T12" s="21" t="str">
        <f t="shared" si="4"/>
        <v/>
      </c>
      <c r="U12" s="60" t="str">
        <f>IF($J12="","",ROUND(($J12-$J$3)/1000,1)+(_xlfn.RANK.AVG($J12,($J12,$O12,$T12),1)-2)*20)</f>
        <v/>
      </c>
      <c r="V12" s="61" t="str">
        <f>IF($O12="","",ROUND(($O12-$O$3)/1000,1)+(_xlfn.RANK.AVG($O12,($J12,$O12,$T12),1)-2)*20)</f>
        <v/>
      </c>
      <c r="W12" s="62" t="str">
        <f>IF($T12="","",ROUND(($T12-$T$3)/1000,1)+(_xlfn.RANK.AVG($T12,($J12,$O12,$T12),1)-2)*20)</f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7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7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7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7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7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7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7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7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7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7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7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7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7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7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7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7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7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7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FBACF2-CE17-4635-A3BA-96B545618359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140</v>
      </c>
      <c r="G1" s="80"/>
      <c r="H1" s="80"/>
      <c r="I1" s="89"/>
      <c r="J1" s="81"/>
      <c r="K1" s="78" t="s">
        <v>142</v>
      </c>
      <c r="L1" s="80"/>
      <c r="M1" s="80"/>
      <c r="N1" s="89"/>
      <c r="O1" s="81"/>
      <c r="P1" s="78" t="s">
        <v>156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りくと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だいち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たかの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りくと</v>
      </c>
      <c r="V2" s="71" t="str">
        <f>$K$1</f>
        <v>だいち</v>
      </c>
      <c r="W2" s="16" t="str">
        <f>$P$1</f>
        <v>たかの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155</v>
      </c>
      <c r="F4" s="8" t="s">
        <v>152</v>
      </c>
      <c r="G4" s="9">
        <v>-1500</v>
      </c>
      <c r="H4" s="9"/>
      <c r="I4" s="55">
        <v>0</v>
      </c>
      <c r="J4" s="21">
        <f>IF(COUNTA($F4,$K4,$P4)&gt;0,J3+SUM(G4:I4),"")</f>
        <v>33500</v>
      </c>
      <c r="K4" s="8" t="s">
        <v>152</v>
      </c>
      <c r="L4" s="9">
        <v>-1500</v>
      </c>
      <c r="M4" s="9">
        <v>-1000</v>
      </c>
      <c r="N4" s="55">
        <v>0</v>
      </c>
      <c r="O4" s="21">
        <f>IF(COUNTA($F4,$K4,$P4)&gt;0,O3+SUM(L4:N4),"")</f>
        <v>32500</v>
      </c>
      <c r="P4" s="8" t="s">
        <v>153</v>
      </c>
      <c r="Q4" s="9">
        <v>3000</v>
      </c>
      <c r="R4" s="9">
        <v>1000</v>
      </c>
      <c r="S4" s="55">
        <v>0</v>
      </c>
      <c r="T4" s="21">
        <f>IF(COUNTA($F4,$K4,$P4)&gt;0,T3+SUM(Q4:S4),"")</f>
        <v>39000</v>
      </c>
      <c r="U4" s="60">
        <f>IF($J4="","",ROUND(($J4-$J$3)/1000,1)+(_xlfn.RANK.AVG($J4,($J4,$O4,$T4),1)-2)*20)</f>
        <v>-1.5</v>
      </c>
      <c r="V4" s="61">
        <f>IF($O4="","",ROUND(($O4-$O$3)/1000,1)+(_xlfn.RANK.AVG($O4,($J4,$O4,$T4),1)-2)*20)</f>
        <v>-22.5</v>
      </c>
      <c r="W4" s="62">
        <f>IF($T4="","",ROUND(($T4-$T$3)/1000,1)+(_xlfn.RANK.AVG($T4,($J4,$O4,$T4),1)-2)*20)</f>
        <v>24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>
        <v>1</v>
      </c>
      <c r="BS4" s="32">
        <v>2</v>
      </c>
      <c r="BT4" s="36">
        <v>30</v>
      </c>
      <c r="BU4" s="47" t="s">
        <v>87</v>
      </c>
      <c r="BV4" s="48" t="s">
        <v>87</v>
      </c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155</v>
      </c>
      <c r="F5" s="8"/>
      <c r="G5" s="9"/>
      <c r="H5" s="9"/>
      <c r="I5" s="55"/>
      <c r="J5" s="21">
        <f t="shared" ref="J5:J30" si="2">IF(COUNTA($F5,$K5,$P5)&gt;0,J4+SUM(G5:I5),"")</f>
        <v>33500</v>
      </c>
      <c r="K5" s="8" t="s">
        <v>148</v>
      </c>
      <c r="L5" s="9">
        <v>12000</v>
      </c>
      <c r="M5" s="9"/>
      <c r="N5" s="55">
        <v>1000</v>
      </c>
      <c r="O5" s="21">
        <f t="shared" ref="O5:O30" si="3">IF(COUNTA($F5,$K5,$P5)&gt;0,O4+SUM(L5:N5),"")</f>
        <v>45500</v>
      </c>
      <c r="P5" s="8" t="s">
        <v>147</v>
      </c>
      <c r="Q5" s="9">
        <v>-12000</v>
      </c>
      <c r="R5" s="9"/>
      <c r="S5" s="55">
        <v>-1000</v>
      </c>
      <c r="T5" s="21">
        <f t="shared" ref="T5:T30" si="4">IF(COUNTA($F5,$K5,$P5)&gt;0,T4+SUM(Q5:S5),"")</f>
        <v>26000</v>
      </c>
      <c r="U5" s="60">
        <f>IF($J5="","",ROUND(($J5-$J$3)/1000,1)+(_xlfn.RANK.AVG($J5,($J5,$O5,$T5),1)-2)*20)</f>
        <v>-1.5</v>
      </c>
      <c r="V5" s="61">
        <f>IF($O5="","",ROUND(($O5-$O$3)/1000,1)+(_xlfn.RANK.AVG($O5,($J5,$O5,$T5),1)-2)*20)</f>
        <v>30.5</v>
      </c>
      <c r="W5" s="62">
        <f>IF($T5="","",ROUND(($T5-$T$3)/1000,1)+(_xlfn.RANK.AVG($T5,($J5,$O5,$T5),1)-2)*20)</f>
        <v>-29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>
        <v>7</v>
      </c>
      <c r="AY5" s="36" t="s">
        <v>149</v>
      </c>
      <c r="AZ5" s="47" t="s">
        <v>150</v>
      </c>
      <c r="BA5" s="48" t="s">
        <v>105</v>
      </c>
      <c r="BB5" s="48" t="s">
        <v>102</v>
      </c>
      <c r="BC5" s="48" t="s">
        <v>154</v>
      </c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139</v>
      </c>
      <c r="F6" s="8" t="s">
        <v>153</v>
      </c>
      <c r="G6" s="9">
        <v>12000</v>
      </c>
      <c r="H6" s="9"/>
      <c r="I6" s="55">
        <v>0</v>
      </c>
      <c r="J6" s="21">
        <f t="shared" si="2"/>
        <v>45500</v>
      </c>
      <c r="K6" s="8" t="s">
        <v>152</v>
      </c>
      <c r="L6" s="9">
        <v>-6000</v>
      </c>
      <c r="M6" s="9"/>
      <c r="N6" s="55">
        <v>0</v>
      </c>
      <c r="O6" s="21">
        <f t="shared" si="3"/>
        <v>39500</v>
      </c>
      <c r="P6" s="8" t="s">
        <v>152</v>
      </c>
      <c r="Q6" s="9">
        <v>-6000</v>
      </c>
      <c r="R6" s="9"/>
      <c r="S6" s="55">
        <v>0</v>
      </c>
      <c r="T6" s="21">
        <f t="shared" si="4"/>
        <v>20000</v>
      </c>
      <c r="U6" s="60">
        <f>IF($J6="","",ROUND(($J6-$J$3)/1000,1)+(_xlfn.RANK.AVG($J6,($J6,$O6,$T6),1)-2)*20)</f>
        <v>30.5</v>
      </c>
      <c r="V6" s="61">
        <f>IF($O6="","",ROUND(($O6-$O$3)/1000,1)+(_xlfn.RANK.AVG($O6,($J6,$O6,$T6),1)-2)*20)</f>
        <v>4.5</v>
      </c>
      <c r="W6" s="62">
        <f>IF($T6="","",ROUND(($T6-$T$3)/1000,1)+(_xlfn.RANK.AVG($T6,($J6,$O6,$T6),1)-2)*20)</f>
        <v>-35</v>
      </c>
      <c r="Y6" s="8"/>
      <c r="Z6" s="41"/>
      <c r="AA6" s="32">
        <v>1</v>
      </c>
      <c r="AB6" s="32"/>
      <c r="AC6" s="32">
        <v>5</v>
      </c>
      <c r="AD6" s="36" t="s">
        <v>149</v>
      </c>
      <c r="AE6" s="47" t="s">
        <v>150</v>
      </c>
      <c r="AF6" s="48" t="s">
        <v>83</v>
      </c>
      <c r="AG6" s="48" t="s">
        <v>84</v>
      </c>
      <c r="AH6" s="48" t="s">
        <v>85</v>
      </c>
      <c r="AI6" s="48" t="s">
        <v>80</v>
      </c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>
        <v>1</v>
      </c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">
        <v>139</v>
      </c>
      <c r="F7" s="8" t="s">
        <v>153</v>
      </c>
      <c r="G7" s="9">
        <v>1600</v>
      </c>
      <c r="H7" s="9"/>
      <c r="I7" s="55">
        <v>1000</v>
      </c>
      <c r="J7" s="21">
        <f t="shared" si="2"/>
        <v>48100</v>
      </c>
      <c r="K7" s="8" t="s">
        <v>152</v>
      </c>
      <c r="L7" s="9">
        <v>-800</v>
      </c>
      <c r="M7" s="9"/>
      <c r="N7" s="55">
        <v>-500</v>
      </c>
      <c r="O7" s="21">
        <f t="shared" si="3"/>
        <v>38200</v>
      </c>
      <c r="P7" s="8" t="s">
        <v>152</v>
      </c>
      <c r="Q7" s="9">
        <v>-800</v>
      </c>
      <c r="R7" s="9"/>
      <c r="S7" s="55">
        <v>-500</v>
      </c>
      <c r="T7" s="21">
        <f t="shared" si="4"/>
        <v>18700</v>
      </c>
      <c r="U7" s="60">
        <f>IF($J7="","",ROUND(($J7-$J$3)/1000,1)+(_xlfn.RANK.AVG($J7,($J7,$O7,$T7),1)-2)*20)</f>
        <v>33.1</v>
      </c>
      <c r="V7" s="61">
        <f>IF($O7="","",ROUND(($O7-$O$3)/1000,1)+(_xlfn.RANK.AVG($O7,($J7,$O7,$T7),1)-2)*20)</f>
        <v>3.2</v>
      </c>
      <c r="W7" s="62">
        <f>IF($T7="","",ROUND(($T7-$T$3)/1000,1)+(_xlfn.RANK.AVG($T7,($J7,$O7,$T7),1)-2)*20)</f>
        <v>-36.299999999999997</v>
      </c>
      <c r="Y7" s="8"/>
      <c r="Z7" s="41"/>
      <c r="AA7" s="32"/>
      <c r="AB7" s="32"/>
      <c r="AC7" s="32">
        <v>1</v>
      </c>
      <c r="AD7" s="36">
        <v>30</v>
      </c>
      <c r="AE7" s="47" t="s">
        <v>83</v>
      </c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2</v>
      </c>
      <c r="D8" s="18">
        <f t="shared" si="1"/>
        <v>0</v>
      </c>
      <c r="E8" s="4" t="s">
        <v>139</v>
      </c>
      <c r="F8" s="8"/>
      <c r="G8" s="9"/>
      <c r="H8" s="9"/>
      <c r="I8" s="55"/>
      <c r="J8" s="21">
        <f t="shared" si="2"/>
        <v>48100</v>
      </c>
      <c r="K8" s="8" t="s">
        <v>148</v>
      </c>
      <c r="L8" s="9">
        <v>5200</v>
      </c>
      <c r="M8" s="9"/>
      <c r="N8" s="55">
        <v>2000</v>
      </c>
      <c r="O8" s="21">
        <f t="shared" si="3"/>
        <v>45400</v>
      </c>
      <c r="P8" s="8" t="s">
        <v>147</v>
      </c>
      <c r="Q8" s="9">
        <v>-5200</v>
      </c>
      <c r="R8" s="9"/>
      <c r="S8" s="55">
        <v>-2000</v>
      </c>
      <c r="T8" s="21">
        <f t="shared" si="4"/>
        <v>11500</v>
      </c>
      <c r="U8" s="60">
        <f>IF($J8="","",ROUND(($J8-$J$3)/1000,1)+(_xlfn.RANK.AVG($J8,($J8,$O8,$T8),1)-2)*20)</f>
        <v>33.1</v>
      </c>
      <c r="V8" s="61">
        <f>IF($O8="","",ROUND(($O8-$O$3)/1000,1)+(_xlfn.RANK.AVG($O8,($J8,$O8,$T8),1)-2)*20)</f>
        <v>10.4</v>
      </c>
      <c r="W8" s="62">
        <f>IF($T8="","",ROUND(($T8-$T$3)/1000,1)+(_xlfn.RANK.AVG($T8,($J8,$O8,$T8),1)-2)*20)</f>
        <v>-43.5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>
        <v>3</v>
      </c>
      <c r="AY8" s="36">
        <v>40</v>
      </c>
      <c r="AZ8" s="47" t="s">
        <v>150</v>
      </c>
      <c r="BA8" s="48" t="s">
        <v>86</v>
      </c>
      <c r="BB8" s="48" t="s">
        <v>154</v>
      </c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141</v>
      </c>
      <c r="F9" s="8" t="s">
        <v>148</v>
      </c>
      <c r="G9" s="9">
        <v>1300</v>
      </c>
      <c r="H9" s="9"/>
      <c r="I9" s="55">
        <v>0</v>
      </c>
      <c r="J9" s="21">
        <f t="shared" si="2"/>
        <v>49400</v>
      </c>
      <c r="K9" s="8" t="s">
        <v>147</v>
      </c>
      <c r="L9" s="9">
        <v>-1300</v>
      </c>
      <c r="M9" s="9"/>
      <c r="N9" s="55">
        <v>0</v>
      </c>
      <c r="O9" s="21">
        <f t="shared" si="3"/>
        <v>44100</v>
      </c>
      <c r="P9" s="8"/>
      <c r="Q9" s="9"/>
      <c r="R9" s="9"/>
      <c r="S9" s="55"/>
      <c r="T9" s="21">
        <f t="shared" si="4"/>
        <v>11500</v>
      </c>
      <c r="U9" s="60">
        <f>IF($J9="","",ROUND(($J9-$J$3)/1000,1)+(_xlfn.RANK.AVG($J9,($J9,$O9,$T9),1)-2)*20)</f>
        <v>34.4</v>
      </c>
      <c r="V9" s="61">
        <f>IF($O9="","",ROUND(($O9-$O$3)/1000,1)+(_xlfn.RANK.AVG($O9,($J9,$O9,$T9),1)-2)*20)</f>
        <v>9.1</v>
      </c>
      <c r="W9" s="62">
        <f>IF($T9="","",ROUND(($T9-$T$3)/1000,1)+(_xlfn.RANK.AVG($T9,($J9,$O9,$T9),1)-2)*20)</f>
        <v>-43.5</v>
      </c>
      <c r="Y9" s="8"/>
      <c r="Z9" s="41"/>
      <c r="AA9" s="32"/>
      <c r="AB9" s="32"/>
      <c r="AC9" s="32">
        <v>1</v>
      </c>
      <c r="AD9" s="36">
        <v>40</v>
      </c>
      <c r="AE9" s="47" t="s">
        <v>85</v>
      </c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>
        <v>1</v>
      </c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155</v>
      </c>
      <c r="F10" s="8" t="s">
        <v>153</v>
      </c>
      <c r="G10" s="9">
        <v>4000</v>
      </c>
      <c r="H10" s="9"/>
      <c r="I10" s="55">
        <v>0</v>
      </c>
      <c r="J10" s="21">
        <f t="shared" si="2"/>
        <v>53400</v>
      </c>
      <c r="K10" s="8" t="s">
        <v>152</v>
      </c>
      <c r="L10" s="9">
        <v>-1500</v>
      </c>
      <c r="M10" s="9"/>
      <c r="N10" s="55">
        <v>0</v>
      </c>
      <c r="O10" s="21">
        <f t="shared" si="3"/>
        <v>42600</v>
      </c>
      <c r="P10" s="8" t="s">
        <v>152</v>
      </c>
      <c r="Q10" s="9">
        <v>-2500</v>
      </c>
      <c r="R10" s="9"/>
      <c r="S10" s="55">
        <v>0</v>
      </c>
      <c r="T10" s="21">
        <f t="shared" si="4"/>
        <v>9000</v>
      </c>
      <c r="U10" s="60">
        <f>IF($J10="","",ROUND(($J10-$J$3)/1000,1)+(_xlfn.RANK.AVG($J10,($J10,$O10,$T10),1)-2)*20)</f>
        <v>38.4</v>
      </c>
      <c r="V10" s="61">
        <f>IF($O10="","",ROUND(($O10-$O$3)/1000,1)+(_xlfn.RANK.AVG($O10,($J10,$O10,$T10),1)-2)*20)</f>
        <v>7.6</v>
      </c>
      <c r="W10" s="62">
        <f>IF($T10="","",ROUND(($T10-$T$3)/1000,1)+(_xlfn.RANK.AVG($T10,($J10,$O10,$T10),1)-2)*20)</f>
        <v>-46</v>
      </c>
      <c r="Y10" s="8"/>
      <c r="Z10" s="41"/>
      <c r="AA10" s="32"/>
      <c r="AB10" s="32"/>
      <c r="AC10" s="32">
        <v>3</v>
      </c>
      <c r="AD10" s="36">
        <v>30</v>
      </c>
      <c r="AE10" s="47" t="s">
        <v>83</v>
      </c>
      <c r="AF10" s="48" t="s">
        <v>86</v>
      </c>
      <c r="AG10" s="48" t="s">
        <v>154</v>
      </c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>
        <v>1</v>
      </c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139</v>
      </c>
      <c r="F11" s="8"/>
      <c r="G11" s="9"/>
      <c r="H11" s="9"/>
      <c r="I11" s="55"/>
      <c r="J11" s="21">
        <f t="shared" si="2"/>
        <v>53400</v>
      </c>
      <c r="K11" s="8" t="s">
        <v>147</v>
      </c>
      <c r="L11" s="9">
        <v>-3900</v>
      </c>
      <c r="M11" s="9"/>
      <c r="N11" s="55">
        <v>0</v>
      </c>
      <c r="O11" s="21">
        <f t="shared" si="3"/>
        <v>38700</v>
      </c>
      <c r="P11" s="8" t="s">
        <v>148</v>
      </c>
      <c r="Q11" s="9">
        <v>3900</v>
      </c>
      <c r="R11" s="9"/>
      <c r="S11" s="55">
        <v>0</v>
      </c>
      <c r="T11" s="21">
        <f t="shared" si="4"/>
        <v>12900</v>
      </c>
      <c r="U11" s="60">
        <f>IF($J11="","",ROUND(($J11-$J$3)/1000,1)+(_xlfn.RANK.AVG($J11,($J11,$O11,$T11),1)-2)*20)</f>
        <v>38.4</v>
      </c>
      <c r="V11" s="61">
        <f>IF($O11="","",ROUND(($O11-$O$3)/1000,1)+(_xlfn.RANK.AVG($O11,($J11,$O11,$T11),1)-2)*20)</f>
        <v>3.7</v>
      </c>
      <c r="W11" s="62">
        <f>IF($T11="","",ROUND(($T11-$T$3)/1000,1)+(_xlfn.RANK.AVG($T11,($J11,$O11,$T11),1)-2)*20)</f>
        <v>-42.1</v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>
        <v>1</v>
      </c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>
        <v>1</v>
      </c>
      <c r="BS11" s="32">
        <v>3</v>
      </c>
      <c r="BT11" s="36">
        <v>30</v>
      </c>
      <c r="BU11" s="47" t="s">
        <v>87</v>
      </c>
      <c r="BV11" s="48" t="s">
        <v>80</v>
      </c>
      <c r="BW11" s="48" t="s">
        <v>80</v>
      </c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141</v>
      </c>
      <c r="F12" s="8" t="s">
        <v>152</v>
      </c>
      <c r="G12" s="9">
        <v>-6000</v>
      </c>
      <c r="H12" s="9"/>
      <c r="I12" s="55">
        <v>0</v>
      </c>
      <c r="J12" s="21">
        <f t="shared" si="2"/>
        <v>47400</v>
      </c>
      <c r="K12" s="8" t="s">
        <v>153</v>
      </c>
      <c r="L12" s="9">
        <v>12000</v>
      </c>
      <c r="M12" s="9">
        <v>1000</v>
      </c>
      <c r="N12" s="55">
        <v>0</v>
      </c>
      <c r="O12" s="21">
        <f t="shared" si="3"/>
        <v>51700</v>
      </c>
      <c r="P12" s="8" t="s">
        <v>152</v>
      </c>
      <c r="Q12" s="9">
        <v>-6000</v>
      </c>
      <c r="R12" s="9">
        <v>-1000</v>
      </c>
      <c r="S12" s="55">
        <v>0</v>
      </c>
      <c r="T12" s="21">
        <f t="shared" si="4"/>
        <v>5900</v>
      </c>
      <c r="U12" s="60">
        <f>IF($J12="","",ROUND(($J12-$J$3)/1000,1)+(_xlfn.RANK.AVG($J12,($J12,$O12,$T12),1)-2)*20)</f>
        <v>12.4</v>
      </c>
      <c r="V12" s="61">
        <f>IF($O12="","",ROUND(($O12-$O$3)/1000,1)+(_xlfn.RANK.AVG($O12,($J12,$O12,$T12),1)-2)*20)</f>
        <v>36.700000000000003</v>
      </c>
      <c r="W12" s="62">
        <f>IF($T12="","",ROUND(($T12-$T$3)/1000,1)+(_xlfn.RANK.AVG($T12,($J12,$O12,$T12),1)-2)*20)</f>
        <v>-49.1</v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>
        <v>1</v>
      </c>
      <c r="AW12" s="32"/>
      <c r="AX12" s="32">
        <v>5</v>
      </c>
      <c r="AY12" s="36" t="s">
        <v>149</v>
      </c>
      <c r="AZ12" s="47" t="s">
        <v>150</v>
      </c>
      <c r="BA12" s="48" t="s">
        <v>83</v>
      </c>
      <c r="BB12" s="48" t="s">
        <v>102</v>
      </c>
      <c r="BC12" s="48" t="s">
        <v>154</v>
      </c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>
        <v>1</v>
      </c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2">
    <dataValidation type="list" allowBlank="1" showInputMessage="1" showErrorMessage="1" sqref="E4:E30" xr:uid="{E2D14246-AD7C-478E-AC99-2518666E2F23}">
      <formula1>$U$2:$W$2</formula1>
    </dataValidation>
    <dataValidation type="list" showInputMessage="1" showErrorMessage="1" sqref="K4:K30 P4:P30 F4:F30" xr:uid="{6D4CD4EE-EE9D-4B60-98B5-A61E016F6EF2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154C6A-40BE-4F3B-B62C-99E0C29B5B3E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140</v>
      </c>
      <c r="G1" s="80"/>
      <c r="H1" s="80"/>
      <c r="I1" s="89"/>
      <c r="J1" s="81"/>
      <c r="K1" s="78" t="s">
        <v>142</v>
      </c>
      <c r="L1" s="80"/>
      <c r="M1" s="80"/>
      <c r="N1" s="89"/>
      <c r="O1" s="81"/>
      <c r="P1" s="78" t="s">
        <v>156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りくと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だいち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たかの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6" t="str">
        <f>$F$1</f>
        <v>りくと</v>
      </c>
      <c r="V2" s="77" t="str">
        <f>$K$1</f>
        <v>だいち</v>
      </c>
      <c r="W2" s="16" t="str">
        <f>$P$1</f>
        <v>たかの</v>
      </c>
      <c r="Y2" s="72" t="s">
        <v>24</v>
      </c>
      <c r="Z2" s="73" t="s">
        <v>27</v>
      </c>
      <c r="AA2" s="74" t="s">
        <v>25</v>
      </c>
      <c r="AB2" s="74" t="s">
        <v>128</v>
      </c>
      <c r="AC2" s="74" t="s">
        <v>19</v>
      </c>
      <c r="AD2" s="75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72" t="s">
        <v>24</v>
      </c>
      <c r="AU2" s="73" t="s">
        <v>27</v>
      </c>
      <c r="AV2" s="74" t="s">
        <v>25</v>
      </c>
      <c r="AW2" s="74" t="s">
        <v>129</v>
      </c>
      <c r="AX2" s="74" t="s">
        <v>19</v>
      </c>
      <c r="AY2" s="75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72" t="s">
        <v>24</v>
      </c>
      <c r="BP2" s="73" t="s">
        <v>27</v>
      </c>
      <c r="BQ2" s="74" t="s">
        <v>25</v>
      </c>
      <c r="BR2" s="74" t="s">
        <v>129</v>
      </c>
      <c r="BS2" s="74" t="s">
        <v>19</v>
      </c>
      <c r="BT2" s="75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155</v>
      </c>
      <c r="F4" s="8" t="s">
        <v>146</v>
      </c>
      <c r="G4" s="9">
        <v>-1500</v>
      </c>
      <c r="H4" s="9"/>
      <c r="I4" s="55"/>
      <c r="J4" s="21">
        <f>IF(COUNTA($F4,$K4,$P4)&gt;0,J3+SUM(G4:I4),"")</f>
        <v>33500</v>
      </c>
      <c r="K4" s="8" t="s">
        <v>146</v>
      </c>
      <c r="L4" s="9">
        <v>-1500</v>
      </c>
      <c r="M4" s="9"/>
      <c r="N4" s="55"/>
      <c r="O4" s="21">
        <f>IF(COUNTA($F4,$K4,$P4)&gt;0,O3+SUM(L4:N4),"")</f>
        <v>33500</v>
      </c>
      <c r="P4" s="8" t="s">
        <v>146</v>
      </c>
      <c r="Q4" s="9">
        <v>3000</v>
      </c>
      <c r="R4" s="9"/>
      <c r="S4" s="55"/>
      <c r="T4" s="21">
        <f>IF(COUNTA($F4,$K4,$P4)&gt;0,T3+SUM(Q4:S4),"")</f>
        <v>38000</v>
      </c>
      <c r="U4" s="60">
        <f>IF($J4="","",ROUND(($J4-$J$3)/1000,1)+(_xlfn.RANK.AVG($J4,($J4,$O4,$T4),1)-2)*20)</f>
        <v>-11.5</v>
      </c>
      <c r="V4" s="61">
        <f>IF($O4="","",ROUND(($O4-$O$3)/1000,1)+(_xlfn.RANK.AVG($O4,($J4,$O4,$T4),1)-2)*20)</f>
        <v>-11.5</v>
      </c>
      <c r="W4" s="62">
        <f>IF($T4="","",ROUND(($T4-$T$3)/1000,1)+(_xlfn.RANK.AVG($T4,($J4,$O4,$T4),1)-2)*20)</f>
        <v>23</v>
      </c>
      <c r="Y4" s="8" t="s">
        <v>145</v>
      </c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 t="s">
        <v>145</v>
      </c>
      <c r="AU4" s="41"/>
      <c r="AV4" s="32"/>
      <c r="AW4" s="32">
        <v>1</v>
      </c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 t="s">
        <v>144</v>
      </c>
      <c r="BP4" s="41"/>
      <c r="BQ4" s="32"/>
      <c r="BR4" s="32">
        <v>1</v>
      </c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155</v>
      </c>
      <c r="F5" s="8" t="s">
        <v>146</v>
      </c>
      <c r="G5" s="9">
        <v>-1500</v>
      </c>
      <c r="H5" s="9"/>
      <c r="I5" s="55"/>
      <c r="J5" s="21">
        <f t="shared" ref="J5:J30" si="2">IF(COUNTA($F5,$K5,$P5)&gt;0,J4+SUM(G5:I5),"")</f>
        <v>32000</v>
      </c>
      <c r="K5" s="8" t="s">
        <v>146</v>
      </c>
      <c r="L5" s="9">
        <v>-1500</v>
      </c>
      <c r="M5" s="9"/>
      <c r="N5" s="55"/>
      <c r="O5" s="21">
        <f t="shared" ref="O5:O30" si="3">IF(COUNTA($F5,$K5,$P5)&gt;0,O4+SUM(L5:N5),"")</f>
        <v>32000</v>
      </c>
      <c r="P5" s="8" t="s">
        <v>146</v>
      </c>
      <c r="Q5" s="9">
        <v>3000</v>
      </c>
      <c r="R5" s="9">
        <v>-1000</v>
      </c>
      <c r="S5" s="55"/>
      <c r="T5" s="21">
        <f t="shared" ref="T5:T30" si="4">IF(COUNTA($F5,$K5,$P5)&gt;0,T4+SUM(Q5:S5),"")</f>
        <v>40000</v>
      </c>
      <c r="U5" s="60">
        <f>IF($J5="","",ROUND(($J5-$J$3)/1000,1)+(_xlfn.RANK.AVG($J5,($J5,$O5,$T5),1)-2)*20)</f>
        <v>-13</v>
      </c>
      <c r="V5" s="61">
        <f>IF($O5="","",ROUND(($O5-$O$3)/1000,1)+(_xlfn.RANK.AVG($O5,($J5,$O5,$T5),1)-2)*20)</f>
        <v>-13</v>
      </c>
      <c r="W5" s="62">
        <f>IF($T5="","",ROUND(($T5-$T$3)/1000,1)+(_xlfn.RANK.AVG($T5,($J5,$O5,$T5),1)-2)*20)</f>
        <v>25</v>
      </c>
      <c r="Y5" s="8" t="s">
        <v>145</v>
      </c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 t="s">
        <v>145</v>
      </c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 t="s">
        <v>144</v>
      </c>
      <c r="BP5" s="41"/>
      <c r="BQ5" s="32">
        <v>1</v>
      </c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1</v>
      </c>
      <c r="E6" s="4" t="s">
        <v>155</v>
      </c>
      <c r="F6" s="8" t="s">
        <v>152</v>
      </c>
      <c r="G6" s="9">
        <v>-4500</v>
      </c>
      <c r="H6" s="9">
        <v>-1000</v>
      </c>
      <c r="I6" s="55">
        <v>-1000</v>
      </c>
      <c r="J6" s="21">
        <f t="shared" si="2"/>
        <v>25500</v>
      </c>
      <c r="K6" s="8" t="s">
        <v>153</v>
      </c>
      <c r="L6" s="9">
        <v>12000</v>
      </c>
      <c r="M6" s="9">
        <v>2000</v>
      </c>
      <c r="N6" s="55">
        <v>2000</v>
      </c>
      <c r="O6" s="21">
        <f t="shared" si="3"/>
        <v>48000</v>
      </c>
      <c r="P6" s="8" t="s">
        <v>152</v>
      </c>
      <c r="Q6" s="9">
        <v>-7500</v>
      </c>
      <c r="R6" s="9"/>
      <c r="S6" s="55">
        <v>-1000</v>
      </c>
      <c r="T6" s="21">
        <f t="shared" si="4"/>
        <v>31500</v>
      </c>
      <c r="U6" s="60">
        <f>IF($J6="","",ROUND(($J6-$J$3)/1000,1)+(_xlfn.RANK.AVG($J6,($J6,$O6,$T6),1)-2)*20)</f>
        <v>-29.5</v>
      </c>
      <c r="V6" s="61">
        <f>IF($O6="","",ROUND(($O6-$O$3)/1000,1)+(_xlfn.RANK.AVG($O6,($J6,$O6,$T6),1)-2)*20)</f>
        <v>33</v>
      </c>
      <c r="W6" s="62">
        <f>IF($T6="","",ROUND(($T6-$T$3)/1000,1)+(_xlfn.RANK.AVG($T6,($J6,$O6,$T6),1)-2)*20)</f>
        <v>-3.5</v>
      </c>
      <c r="Y6" s="8"/>
      <c r="Z6" s="41"/>
      <c r="AA6" s="32">
        <v>1</v>
      </c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>
        <v>6</v>
      </c>
      <c r="AY6" s="36" t="s">
        <v>149</v>
      </c>
      <c r="AZ6" s="47" t="s">
        <v>150</v>
      </c>
      <c r="BA6" s="48" t="s">
        <v>83</v>
      </c>
      <c r="BB6" s="48" t="s">
        <v>102</v>
      </c>
      <c r="BC6" s="48" t="s">
        <v>80</v>
      </c>
      <c r="BD6" s="48" t="s">
        <v>80</v>
      </c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">
        <v>139</v>
      </c>
      <c r="F7" s="8" t="s">
        <v>152</v>
      </c>
      <c r="G7" s="9">
        <v>-15000</v>
      </c>
      <c r="H7" s="9">
        <v>-1000</v>
      </c>
      <c r="I7" s="55">
        <v>0</v>
      </c>
      <c r="J7" s="21">
        <f t="shared" si="2"/>
        <v>9500</v>
      </c>
      <c r="K7" s="8" t="s">
        <v>153</v>
      </c>
      <c r="L7" s="9">
        <v>24000</v>
      </c>
      <c r="M7" s="9">
        <v>1000</v>
      </c>
      <c r="N7" s="55">
        <v>0</v>
      </c>
      <c r="O7" s="21">
        <f t="shared" si="3"/>
        <v>73000</v>
      </c>
      <c r="P7" s="8" t="s">
        <v>152</v>
      </c>
      <c r="Q7" s="9">
        <v>-9000</v>
      </c>
      <c r="R7" s="9"/>
      <c r="S7" s="55">
        <v>0</v>
      </c>
      <c r="T7" s="21">
        <f t="shared" si="4"/>
        <v>22500</v>
      </c>
      <c r="U7" s="60">
        <f>IF($J7="","",ROUND(($J7-$J$3)/1000,1)+(_xlfn.RANK.AVG($J7,($J7,$O7,$T7),1)-2)*20)</f>
        <v>-45.5</v>
      </c>
      <c r="V7" s="61">
        <f>IF($O7="","",ROUND(($O7-$O$3)/1000,1)+(_xlfn.RANK.AVG($O7,($J7,$O7,$T7),1)-2)*20)</f>
        <v>58</v>
      </c>
      <c r="W7" s="62">
        <f>IF($T7="","",ROUND(($T7-$T$3)/1000,1)+(_xlfn.RANK.AVG($T7,($J7,$O7,$T7),1)-2)*20)</f>
        <v>-12.5</v>
      </c>
      <c r="Y7" s="8"/>
      <c r="Z7" s="41"/>
      <c r="AA7" s="32">
        <v>1</v>
      </c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>
        <v>1</v>
      </c>
      <c r="AW7" s="32"/>
      <c r="AX7" s="32">
        <v>11</v>
      </c>
      <c r="AY7" s="36" t="s">
        <v>149</v>
      </c>
      <c r="AZ7" s="47" t="s">
        <v>150</v>
      </c>
      <c r="BA7" s="48" t="s">
        <v>83</v>
      </c>
      <c r="BB7" s="48" t="s">
        <v>151</v>
      </c>
      <c r="BC7" s="48" t="s">
        <v>86</v>
      </c>
      <c r="BD7" s="48" t="s">
        <v>154</v>
      </c>
      <c r="BE7" s="48" t="s">
        <v>80</v>
      </c>
      <c r="BF7" s="48" t="s">
        <v>80</v>
      </c>
      <c r="BG7" s="48" t="s">
        <v>80</v>
      </c>
      <c r="BH7" s="48" t="s">
        <v>81</v>
      </c>
      <c r="BI7" s="48" t="s">
        <v>81</v>
      </c>
      <c r="BJ7" s="48" t="s">
        <v>81</v>
      </c>
      <c r="BK7" s="48"/>
      <c r="BL7" s="48"/>
      <c r="BM7" s="48"/>
      <c r="BN7" s="49"/>
      <c r="BO7" s="8"/>
      <c r="BP7" s="41"/>
      <c r="BQ7" s="32"/>
      <c r="BR7" s="32">
        <v>1</v>
      </c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141</v>
      </c>
      <c r="F8" s="8" t="s">
        <v>152</v>
      </c>
      <c r="G8" s="9">
        <v>-5800</v>
      </c>
      <c r="H8" s="9"/>
      <c r="I8" s="55">
        <v>0</v>
      </c>
      <c r="J8" s="21">
        <f t="shared" si="2"/>
        <v>3700</v>
      </c>
      <c r="K8" s="8" t="s">
        <v>153</v>
      </c>
      <c r="L8" s="9">
        <v>11600</v>
      </c>
      <c r="M8" s="9"/>
      <c r="N8" s="55">
        <v>0</v>
      </c>
      <c r="O8" s="21">
        <f t="shared" si="3"/>
        <v>84600</v>
      </c>
      <c r="P8" s="8" t="s">
        <v>152</v>
      </c>
      <c r="Q8" s="9">
        <v>-5800</v>
      </c>
      <c r="R8" s="9"/>
      <c r="S8" s="55">
        <v>0</v>
      </c>
      <c r="T8" s="21">
        <f t="shared" si="4"/>
        <v>16700</v>
      </c>
      <c r="U8" s="60">
        <f>IF($J8="","",ROUND(($J8-$J$3)/1000,1)+(_xlfn.RANK.AVG($J8,($J8,$O8,$T8),1)-2)*20)</f>
        <v>-51.3</v>
      </c>
      <c r="V8" s="61">
        <f>IF($O8="","",ROUND(($O8-$O$3)/1000,1)+(_xlfn.RANK.AVG($O8,($J8,$O8,$T8),1)-2)*20)</f>
        <v>69.599999999999994</v>
      </c>
      <c r="W8" s="62">
        <f>IF($T8="","",ROUND(($T8-$T$3)/1000,1)+(_xlfn.RANK.AVG($T8,($J8,$O8,$T8),1)-2)*20)</f>
        <v>-18.3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>
        <v>4</v>
      </c>
      <c r="AY8" s="36">
        <v>30</v>
      </c>
      <c r="AZ8" s="47" t="s">
        <v>83</v>
      </c>
      <c r="BA8" s="48" t="s">
        <v>154</v>
      </c>
      <c r="BB8" s="48" t="s">
        <v>154</v>
      </c>
      <c r="BC8" s="48" t="s">
        <v>80</v>
      </c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1</v>
      </c>
      <c r="D9" s="18">
        <f t="shared" si="1"/>
        <v>0</v>
      </c>
      <c r="E9" s="4" t="s">
        <v>141</v>
      </c>
      <c r="F9" s="8" t="s">
        <v>147</v>
      </c>
      <c r="G9" s="9">
        <v>-8000</v>
      </c>
      <c r="H9" s="9"/>
      <c r="I9" s="55">
        <v>-1000</v>
      </c>
      <c r="J9" s="21">
        <f t="shared" si="2"/>
        <v>-5300</v>
      </c>
      <c r="K9" s="8"/>
      <c r="L9" s="9"/>
      <c r="M9" s="9"/>
      <c r="N9" s="55"/>
      <c r="O9" s="21">
        <f t="shared" si="3"/>
        <v>84600</v>
      </c>
      <c r="P9" s="8" t="s">
        <v>148</v>
      </c>
      <c r="Q9" s="9">
        <v>8000</v>
      </c>
      <c r="R9" s="9"/>
      <c r="S9" s="55">
        <v>1000</v>
      </c>
      <c r="T9" s="21">
        <f t="shared" si="4"/>
        <v>25700</v>
      </c>
      <c r="U9" s="60">
        <f>IF($J9="","",ROUND(($J9-$J$3)/1000,1)+(_xlfn.RANK.AVG($J9,($J9,$O9,$T9),1)-2)*20)</f>
        <v>-60.3</v>
      </c>
      <c r="V9" s="61">
        <f>IF($O9="","",ROUND(($O9-$O$3)/1000,1)+(_xlfn.RANK.AVG($O9,($J9,$O9,$T9),1)-2)*20)</f>
        <v>69.599999999999994</v>
      </c>
      <c r="W9" s="62">
        <f>IF($T9="","",ROUND(($T9-$T$3)/1000,1)+(_xlfn.RANK.AVG($T9,($J9,$O9,$T9),1)-2)*20)</f>
        <v>-9.3000000000000007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>
        <v>5</v>
      </c>
      <c r="BT9" s="36" t="s">
        <v>149</v>
      </c>
      <c r="BU9" s="47" t="s">
        <v>102</v>
      </c>
      <c r="BV9" s="48" t="s">
        <v>154</v>
      </c>
      <c r="BW9" s="48" t="s">
        <v>80</v>
      </c>
      <c r="BX9" s="48" t="s">
        <v>80</v>
      </c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55"/>
      <c r="J10" s="21" t="str">
        <f t="shared" si="2"/>
        <v/>
      </c>
      <c r="K10" s="8"/>
      <c r="L10" s="9"/>
      <c r="M10" s="9"/>
      <c r="N10" s="55"/>
      <c r="O10" s="21" t="str">
        <f t="shared" si="3"/>
        <v/>
      </c>
      <c r="P10" s="8"/>
      <c r="Q10" s="9"/>
      <c r="R10" s="9"/>
      <c r="S10" s="55"/>
      <c r="T10" s="21" t="str">
        <f t="shared" si="4"/>
        <v/>
      </c>
      <c r="U10" s="60" t="str">
        <f>IF($J10="","",ROUND(($J10-$J$3)/1000,1)+(_xlfn.RANK.AVG($J10,($J10,$O10,$T10),1)-2)*20)</f>
        <v/>
      </c>
      <c r="V10" s="61" t="str">
        <f>IF($O10="","",ROUND(($O10-$O$3)/1000,1)+(_xlfn.RANK.AVG($O10,($J10,$O10,$T10),1)-2)*20)</f>
        <v/>
      </c>
      <c r="W10" s="62" t="str">
        <f>IF($T10="","",ROUND(($T10-$T$3)/1000,1)+(_xlfn.RANK.AVG($T10,($J10,$O10,$T10),1)-2)*20)</f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55"/>
      <c r="J11" s="21" t="str">
        <f t="shared" si="2"/>
        <v/>
      </c>
      <c r="K11" s="8"/>
      <c r="L11" s="9"/>
      <c r="M11" s="9"/>
      <c r="N11" s="55"/>
      <c r="O11" s="21" t="str">
        <f t="shared" si="3"/>
        <v/>
      </c>
      <c r="P11" s="8"/>
      <c r="Q11" s="9"/>
      <c r="R11" s="9"/>
      <c r="S11" s="55"/>
      <c r="T11" s="21" t="str">
        <f t="shared" si="4"/>
        <v/>
      </c>
      <c r="U11" s="60" t="str">
        <f>IF($J11="","",ROUND(($J11-$J$3)/1000,1)+(_xlfn.RANK.AVG($J11,($J11,$O11,$T11),1)-2)*20)</f>
        <v/>
      </c>
      <c r="V11" s="61" t="str">
        <f>IF($O11="","",ROUND(($O11-$O$3)/1000,1)+(_xlfn.RANK.AVG($O11,($J11,$O11,$T11),1)-2)*20)</f>
        <v/>
      </c>
      <c r="W11" s="62" t="str">
        <f>IF($T11="","",ROUND(($T11-$T$3)/1000,1)+(_xlfn.RANK.AVG($T11,($J11,$O11,$T11),1)-2)*20)</f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55"/>
      <c r="J12" s="21" t="str">
        <f t="shared" si="2"/>
        <v/>
      </c>
      <c r="K12" s="8"/>
      <c r="L12" s="9"/>
      <c r="M12" s="9"/>
      <c r="N12" s="55"/>
      <c r="O12" s="21" t="str">
        <f t="shared" si="3"/>
        <v/>
      </c>
      <c r="P12" s="8"/>
      <c r="Q12" s="9"/>
      <c r="R12" s="9"/>
      <c r="S12" s="55"/>
      <c r="T12" s="21" t="str">
        <f t="shared" si="4"/>
        <v/>
      </c>
      <c r="U12" s="60" t="str">
        <f>IF($J12="","",ROUND(($J12-$J$3)/1000,1)+(_xlfn.RANK.AVG($J12,($J12,$O12,$T12),1)-2)*20)</f>
        <v/>
      </c>
      <c r="V12" s="61" t="str">
        <f>IF($O12="","",ROUND(($O12-$O$3)/1000,1)+(_xlfn.RANK.AVG($O12,($J12,$O12,$T12),1)-2)*20)</f>
        <v/>
      </c>
      <c r="W12" s="62" t="str">
        <f>IF($T12="","",ROUND(($T12-$T$3)/1000,1)+(_xlfn.RANK.AVG($T12,($J12,$O12,$T12),1)-2)*20)</f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showInputMessage="1" showErrorMessage="1" sqref="K4:K30 P4:P30 F4:F30" xr:uid="{8B191B06-8F33-4084-AF49-09FADD55228E}">
      <formula1>"ロン,ツモ,放銃,ツモ支払,流局,チョンボ"</formula1>
    </dataValidation>
    <dataValidation type="list" allowBlank="1" showInputMessage="1" showErrorMessage="1" sqref="E4:E30" xr:uid="{0EF983D9-9641-4301-BF0D-7F1894BBD194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343998-2F03-478B-A37A-D65461741DED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142</v>
      </c>
      <c r="G1" s="80"/>
      <c r="H1" s="80"/>
      <c r="I1" s="89"/>
      <c r="J1" s="81"/>
      <c r="K1" s="78" t="s">
        <v>158</v>
      </c>
      <c r="L1" s="80"/>
      <c r="M1" s="80"/>
      <c r="N1" s="89"/>
      <c r="O1" s="81"/>
      <c r="P1" s="78" t="s">
        <v>156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れんたろう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たかの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6" t="str">
        <f>$F$1</f>
        <v>だいち</v>
      </c>
      <c r="V2" s="77" t="str">
        <f>$K$1</f>
        <v>れんたろう</v>
      </c>
      <c r="W2" s="16" t="str">
        <f>$P$1</f>
        <v>たかの</v>
      </c>
      <c r="Y2" s="72" t="s">
        <v>24</v>
      </c>
      <c r="Z2" s="73" t="s">
        <v>27</v>
      </c>
      <c r="AA2" s="74" t="s">
        <v>25</v>
      </c>
      <c r="AB2" s="74" t="s">
        <v>128</v>
      </c>
      <c r="AC2" s="74" t="s">
        <v>19</v>
      </c>
      <c r="AD2" s="75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72" t="s">
        <v>24</v>
      </c>
      <c r="AU2" s="73" t="s">
        <v>27</v>
      </c>
      <c r="AV2" s="74" t="s">
        <v>25</v>
      </c>
      <c r="AW2" s="74" t="s">
        <v>129</v>
      </c>
      <c r="AX2" s="74" t="s">
        <v>19</v>
      </c>
      <c r="AY2" s="75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72" t="s">
        <v>24</v>
      </c>
      <c r="BP2" s="73" t="s">
        <v>27</v>
      </c>
      <c r="BQ2" s="74" t="s">
        <v>25</v>
      </c>
      <c r="BR2" s="74" t="s">
        <v>129</v>
      </c>
      <c r="BS2" s="74" t="s">
        <v>19</v>
      </c>
      <c r="BT2" s="75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141</v>
      </c>
      <c r="F4" s="8" t="s">
        <v>148</v>
      </c>
      <c r="G4" s="9">
        <v>18000</v>
      </c>
      <c r="H4" s="9"/>
      <c r="I4" s="55">
        <v>0</v>
      </c>
      <c r="J4" s="21">
        <f>IF(COUNTA($F4,$K4,$P4)&gt;0,J3+SUM(G4:I4),"")</f>
        <v>53000</v>
      </c>
      <c r="K4" s="8" t="s">
        <v>147</v>
      </c>
      <c r="L4" s="9">
        <v>-18000</v>
      </c>
      <c r="M4" s="9"/>
      <c r="N4" s="55">
        <v>0</v>
      </c>
      <c r="O4" s="21">
        <f>IF(COUNTA($F4,$K4,$P4)&gt;0,O3+SUM(L4:N4),"")</f>
        <v>17000</v>
      </c>
      <c r="P4" s="8"/>
      <c r="Q4" s="9"/>
      <c r="R4" s="9"/>
      <c r="S4" s="55"/>
      <c r="T4" s="21">
        <f>IF(COUNTA($F4,$K4,$P4)&gt;0,T3+SUM(Q4:S4),"")</f>
        <v>35000</v>
      </c>
      <c r="U4" s="60">
        <f>IF($J4="","",ROUND(($J4-$J$3)/1000,1)+(_xlfn.RANK.AVG($J4,($J4,$O4,$T4),1)-2)*20)</f>
        <v>38</v>
      </c>
      <c r="V4" s="61">
        <f>IF($O4="","",ROUND(($O4-$O$3)/1000,1)+(_xlfn.RANK.AVG($O4,($J4,$O4,$T4),1)-2)*20)</f>
        <v>-38</v>
      </c>
      <c r="W4" s="62">
        <f>IF($T4="","",ROUND(($T4-$T$3)/1000,1)+(_xlfn.RANK.AVG($T4,($J4,$O4,$T4),1)-2)*20)</f>
        <v>0</v>
      </c>
      <c r="Y4" s="8"/>
      <c r="Z4" s="41"/>
      <c r="AA4" s="32"/>
      <c r="AB4" s="32">
        <v>1</v>
      </c>
      <c r="AC4" s="32">
        <v>6</v>
      </c>
      <c r="AD4" s="36" t="s">
        <v>149</v>
      </c>
      <c r="AE4" s="47" t="s">
        <v>105</v>
      </c>
      <c r="AF4" s="48" t="s">
        <v>87</v>
      </c>
      <c r="AG4" s="48" t="s">
        <v>87</v>
      </c>
      <c r="AH4" s="48" t="s">
        <v>99</v>
      </c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141</v>
      </c>
      <c r="F5" s="8" t="s">
        <v>146</v>
      </c>
      <c r="G5" s="9">
        <v>3000</v>
      </c>
      <c r="H5" s="9">
        <v>-1000</v>
      </c>
      <c r="I5" s="55"/>
      <c r="J5" s="21">
        <f t="shared" ref="J5:J30" si="2">IF(COUNTA($F5,$K5,$P5)&gt;0,J4+SUM(G5:I5),"")</f>
        <v>55000</v>
      </c>
      <c r="K5" s="8" t="s">
        <v>146</v>
      </c>
      <c r="L5" s="9">
        <v>-1500</v>
      </c>
      <c r="M5" s="9"/>
      <c r="N5" s="55"/>
      <c r="O5" s="21">
        <f t="shared" ref="O5:O30" si="3">IF(COUNTA($F5,$K5,$P5)&gt;0,O4+SUM(L5:N5),"")</f>
        <v>15500</v>
      </c>
      <c r="P5" s="8" t="s">
        <v>146</v>
      </c>
      <c r="Q5" s="9">
        <v>-1500</v>
      </c>
      <c r="R5" s="9"/>
      <c r="S5" s="55"/>
      <c r="T5" s="21">
        <f t="shared" ref="T5:T30" si="4">IF(COUNTA($F5,$K5,$P5)&gt;0,T4+SUM(Q5:S5),"")</f>
        <v>33500</v>
      </c>
      <c r="U5" s="60">
        <f>IF($J5="","",ROUND(($J5-$J$3)/1000,1)+(_xlfn.RANK.AVG($J5,($J5,$O5,$T5),1)-2)*20)</f>
        <v>40</v>
      </c>
      <c r="V5" s="61">
        <f>IF($O5="","",ROUND(($O5-$O$3)/1000,1)+(_xlfn.RANK.AVG($O5,($J5,$O5,$T5),1)-2)*20)</f>
        <v>-39.5</v>
      </c>
      <c r="W5" s="62">
        <f>IF($T5="","",ROUND(($T5-$T$3)/1000,1)+(_xlfn.RANK.AVG($T5,($J5,$O5,$T5),1)-2)*20)</f>
        <v>-1.5</v>
      </c>
      <c r="Y5" s="8" t="s">
        <v>144</v>
      </c>
      <c r="Z5" s="41"/>
      <c r="AA5" s="32">
        <v>1</v>
      </c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 t="s">
        <v>145</v>
      </c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 t="s">
        <v>145</v>
      </c>
      <c r="BP5" s="41"/>
      <c r="BQ5" s="32"/>
      <c r="BR5" s="32">
        <v>1</v>
      </c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1</v>
      </c>
      <c r="E6" s="4" t="s">
        <v>141</v>
      </c>
      <c r="F6" s="8" t="s">
        <v>153</v>
      </c>
      <c r="G6" s="9">
        <v>6000</v>
      </c>
      <c r="H6" s="9">
        <v>1000</v>
      </c>
      <c r="I6" s="55">
        <v>2000</v>
      </c>
      <c r="J6" s="21">
        <f t="shared" si="2"/>
        <v>64000</v>
      </c>
      <c r="K6" s="8" t="s">
        <v>152</v>
      </c>
      <c r="L6" s="9">
        <v>-3000</v>
      </c>
      <c r="M6" s="9"/>
      <c r="N6" s="55">
        <v>-1000</v>
      </c>
      <c r="O6" s="21">
        <f t="shared" si="3"/>
        <v>11500</v>
      </c>
      <c r="P6" s="8" t="s">
        <v>152</v>
      </c>
      <c r="Q6" s="9">
        <v>-3000</v>
      </c>
      <c r="R6" s="9"/>
      <c r="S6" s="55">
        <v>-1000</v>
      </c>
      <c r="T6" s="21">
        <f t="shared" si="4"/>
        <v>29500</v>
      </c>
      <c r="U6" s="60">
        <f>IF($J6="","",ROUND(($J6-$J$3)/1000,1)+(_xlfn.RANK.AVG($J6,($J6,$O6,$T6),1)-2)*20)</f>
        <v>49</v>
      </c>
      <c r="V6" s="61">
        <f>IF($O6="","",ROUND(($O6-$O$3)/1000,1)+(_xlfn.RANK.AVG($O6,($J6,$O6,$T6),1)-2)*20)</f>
        <v>-43.5</v>
      </c>
      <c r="W6" s="62">
        <f>IF($T6="","",ROUND(($T6-$T$3)/1000,1)+(_xlfn.RANK.AVG($T6,($J6,$O6,$T6),1)-2)*20)</f>
        <v>-5.5</v>
      </c>
      <c r="Y6" s="8"/>
      <c r="Z6" s="41"/>
      <c r="AA6" s="32">
        <v>1</v>
      </c>
      <c r="AB6" s="32"/>
      <c r="AC6" s="32">
        <v>3</v>
      </c>
      <c r="AD6" s="36">
        <v>30</v>
      </c>
      <c r="AE6" s="47" t="s">
        <v>150</v>
      </c>
      <c r="AF6" s="48" t="s">
        <v>83</v>
      </c>
      <c r="AG6" s="48" t="s">
        <v>80</v>
      </c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">
        <v>141</v>
      </c>
      <c r="F7" s="8" t="s">
        <v>148</v>
      </c>
      <c r="G7" s="9">
        <v>12000</v>
      </c>
      <c r="H7" s="9"/>
      <c r="I7" s="55">
        <v>3000</v>
      </c>
      <c r="J7" s="21">
        <f t="shared" si="2"/>
        <v>79000</v>
      </c>
      <c r="K7" s="8"/>
      <c r="L7" s="9"/>
      <c r="M7" s="9"/>
      <c r="N7" s="55"/>
      <c r="O7" s="21">
        <f t="shared" si="3"/>
        <v>11500</v>
      </c>
      <c r="P7" s="8" t="s">
        <v>147</v>
      </c>
      <c r="Q7" s="9">
        <v>-12000</v>
      </c>
      <c r="R7" s="9"/>
      <c r="S7" s="55">
        <v>-3000</v>
      </c>
      <c r="T7" s="21">
        <f t="shared" si="4"/>
        <v>14500</v>
      </c>
      <c r="U7" s="60">
        <f>IF($J7="","",ROUND(($J7-$J$3)/1000,1)+(_xlfn.RANK.AVG($J7,($J7,$O7,$T7),1)-2)*20)</f>
        <v>64</v>
      </c>
      <c r="V7" s="61">
        <f>IF($O7="","",ROUND(($O7-$O$3)/1000,1)+(_xlfn.RANK.AVG($O7,($J7,$O7,$T7),1)-2)*20)</f>
        <v>-43.5</v>
      </c>
      <c r="W7" s="62">
        <f>IF($T7="","",ROUND(($T7-$T$3)/1000,1)+(_xlfn.RANK.AVG($T7,($J7,$O7,$T7),1)-2)*20)</f>
        <v>-20.5</v>
      </c>
      <c r="Y7" s="8"/>
      <c r="Z7" s="41"/>
      <c r="AA7" s="32">
        <v>1</v>
      </c>
      <c r="AB7" s="32"/>
      <c r="AC7" s="32">
        <v>4</v>
      </c>
      <c r="AD7" s="36">
        <v>40</v>
      </c>
      <c r="AE7" s="47" t="s">
        <v>150</v>
      </c>
      <c r="AF7" s="48" t="s">
        <v>87</v>
      </c>
      <c r="AG7" s="48" t="s">
        <v>154</v>
      </c>
      <c r="AH7" s="48" t="s">
        <v>80</v>
      </c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東</v>
      </c>
      <c r="B8" s="18">
        <f t="shared" si="5"/>
        <v>1</v>
      </c>
      <c r="C8" s="18">
        <f t="shared" si="6"/>
        <v>4</v>
      </c>
      <c r="D8" s="18">
        <f t="shared" si="1"/>
        <v>0</v>
      </c>
      <c r="E8" s="4" t="s">
        <v>141</v>
      </c>
      <c r="F8" s="8" t="s">
        <v>146</v>
      </c>
      <c r="G8" s="9">
        <v>1500</v>
      </c>
      <c r="H8" s="9">
        <v>-1000</v>
      </c>
      <c r="I8" s="55"/>
      <c r="J8" s="21">
        <f t="shared" si="2"/>
        <v>79500</v>
      </c>
      <c r="K8" s="8" t="s">
        <v>146</v>
      </c>
      <c r="L8" s="9">
        <v>1500</v>
      </c>
      <c r="M8" s="9"/>
      <c r="N8" s="55"/>
      <c r="O8" s="21">
        <f t="shared" si="3"/>
        <v>13000</v>
      </c>
      <c r="P8" s="8" t="s">
        <v>146</v>
      </c>
      <c r="Q8" s="9">
        <v>-3000</v>
      </c>
      <c r="R8" s="9"/>
      <c r="S8" s="55"/>
      <c r="T8" s="21">
        <f t="shared" si="4"/>
        <v>11500</v>
      </c>
      <c r="U8" s="60">
        <f>IF($J8="","",ROUND(($J8-$J$3)/1000,1)+(_xlfn.RANK.AVG($J8,($J8,$O8,$T8),1)-2)*20)</f>
        <v>64.5</v>
      </c>
      <c r="V8" s="61">
        <f>IF($O8="","",ROUND(($O8-$O$3)/1000,1)+(_xlfn.RANK.AVG($O8,($J8,$O8,$T8),1)-2)*20)</f>
        <v>-22</v>
      </c>
      <c r="W8" s="62">
        <f>IF($T8="","",ROUND(($T8-$T$3)/1000,1)+(_xlfn.RANK.AVG($T8,($J8,$O8,$T8),1)-2)*20)</f>
        <v>-43.5</v>
      </c>
      <c r="Y8" s="8" t="s">
        <v>144</v>
      </c>
      <c r="Z8" s="41"/>
      <c r="AA8" s="32">
        <v>1</v>
      </c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 t="s">
        <v>144</v>
      </c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 t="s">
        <v>145</v>
      </c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>東</v>
      </c>
      <c r="B9" s="18">
        <f t="shared" si="5"/>
        <v>1</v>
      </c>
      <c r="C9" s="18">
        <f t="shared" si="6"/>
        <v>5</v>
      </c>
      <c r="D9" s="18">
        <f t="shared" si="1"/>
        <v>1</v>
      </c>
      <c r="E9" s="4" t="s">
        <v>141</v>
      </c>
      <c r="F9" s="8" t="s">
        <v>147</v>
      </c>
      <c r="G9" s="9">
        <v>-8000</v>
      </c>
      <c r="H9" s="9"/>
      <c r="I9" s="55">
        <v>-5000</v>
      </c>
      <c r="J9" s="21">
        <f t="shared" si="2"/>
        <v>66500</v>
      </c>
      <c r="K9" s="8" t="s">
        <v>148</v>
      </c>
      <c r="L9" s="9">
        <v>8000</v>
      </c>
      <c r="M9" s="9">
        <v>1000</v>
      </c>
      <c r="N9" s="55">
        <v>5000</v>
      </c>
      <c r="O9" s="21">
        <f t="shared" si="3"/>
        <v>27000</v>
      </c>
      <c r="P9" s="8"/>
      <c r="Q9" s="9"/>
      <c r="R9" s="9"/>
      <c r="S9" s="55"/>
      <c r="T9" s="21">
        <f t="shared" si="4"/>
        <v>11500</v>
      </c>
      <c r="U9" s="60">
        <f>IF($J9="","",ROUND(($J9-$J$3)/1000,1)+(_xlfn.RANK.AVG($J9,($J9,$O9,$T9),1)-2)*20)</f>
        <v>51.5</v>
      </c>
      <c r="V9" s="61">
        <f>IF($O9="","",ROUND(($O9-$O$3)/1000,1)+(_xlfn.RANK.AVG($O9,($J9,$O9,$T9),1)-2)*20)</f>
        <v>-8</v>
      </c>
      <c r="W9" s="62">
        <f>IF($T9="","",ROUND(($T9-$T$3)/1000,1)+(_xlfn.RANK.AVG($T9,($J9,$O9,$T9),1)-2)*20)</f>
        <v>-43.5</v>
      </c>
      <c r="Y9" s="8"/>
      <c r="Z9" s="41"/>
      <c r="AA9" s="32"/>
      <c r="AB9" s="32">
        <v>1</v>
      </c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>
        <v>1</v>
      </c>
      <c r="AW9" s="32"/>
      <c r="AX9" s="32">
        <v>4</v>
      </c>
      <c r="AY9" s="36">
        <v>40</v>
      </c>
      <c r="AZ9" s="47" t="s">
        <v>150</v>
      </c>
      <c r="BA9" s="48" t="s">
        <v>93</v>
      </c>
      <c r="BB9" s="48" t="s">
        <v>154</v>
      </c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>東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157</v>
      </c>
      <c r="F10" s="8" t="s">
        <v>146</v>
      </c>
      <c r="G10" s="9">
        <v>-3000</v>
      </c>
      <c r="H10" s="9"/>
      <c r="I10" s="55"/>
      <c r="J10" s="21">
        <f t="shared" si="2"/>
        <v>63500</v>
      </c>
      <c r="K10" s="8" t="s">
        <v>146</v>
      </c>
      <c r="L10" s="9">
        <v>1500</v>
      </c>
      <c r="M10" s="9"/>
      <c r="N10" s="55"/>
      <c r="O10" s="21">
        <f t="shared" si="3"/>
        <v>28500</v>
      </c>
      <c r="P10" s="8" t="s">
        <v>146</v>
      </c>
      <c r="Q10" s="9">
        <v>1500</v>
      </c>
      <c r="R10" s="9">
        <v>-1000</v>
      </c>
      <c r="S10" s="55"/>
      <c r="T10" s="21">
        <f t="shared" si="4"/>
        <v>12000</v>
      </c>
      <c r="U10" s="60">
        <f>IF($J10="","",ROUND(($J10-$J$3)/1000,1)+(_xlfn.RANK.AVG($J10,($J10,$O10,$T10),1)-2)*20)</f>
        <v>48.5</v>
      </c>
      <c r="V10" s="61">
        <f>IF($O10="","",ROUND(($O10-$O$3)/1000,1)+(_xlfn.RANK.AVG($O10,($J10,$O10,$T10),1)-2)*20)</f>
        <v>-6.5</v>
      </c>
      <c r="W10" s="62">
        <f>IF($T10="","",ROUND(($T10-$T$3)/1000,1)+(_xlfn.RANK.AVG($T10,($J10,$O10,$T10),1)-2)*20)</f>
        <v>-43</v>
      </c>
      <c r="Y10" s="8" t="s">
        <v>145</v>
      </c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 t="s">
        <v>144</v>
      </c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 t="s">
        <v>144</v>
      </c>
      <c r="BP10" s="41"/>
      <c r="BQ10" s="32">
        <v>1</v>
      </c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>東</v>
      </c>
      <c r="B11" s="18">
        <f t="shared" si="5"/>
        <v>2</v>
      </c>
      <c r="C11" s="18">
        <f t="shared" si="6"/>
        <v>1</v>
      </c>
      <c r="D11" s="18">
        <f t="shared" si="1"/>
        <v>1</v>
      </c>
      <c r="E11" s="4" t="s">
        <v>157</v>
      </c>
      <c r="F11" s="8"/>
      <c r="G11" s="9"/>
      <c r="H11" s="9"/>
      <c r="I11" s="55"/>
      <c r="J11" s="21">
        <f t="shared" si="2"/>
        <v>63500</v>
      </c>
      <c r="K11" s="8" t="s">
        <v>148</v>
      </c>
      <c r="L11" s="9">
        <v>24000</v>
      </c>
      <c r="M11" s="9">
        <v>1000</v>
      </c>
      <c r="N11" s="55">
        <v>1000</v>
      </c>
      <c r="O11" s="21">
        <f t="shared" si="3"/>
        <v>54500</v>
      </c>
      <c r="P11" s="8" t="s">
        <v>147</v>
      </c>
      <c r="Q11" s="9">
        <v>-24000</v>
      </c>
      <c r="R11" s="9"/>
      <c r="S11" s="55">
        <v>-1000</v>
      </c>
      <c r="T11" s="21">
        <f t="shared" si="4"/>
        <v>-13000</v>
      </c>
      <c r="U11" s="60">
        <f>IF($J11="","",ROUND(($J11-$J$3)/1000,1)+(_xlfn.RANK.AVG($J11,($J11,$O11,$T11),1)-2)*20)</f>
        <v>48.5</v>
      </c>
      <c r="V11" s="61">
        <f>IF($O11="","",ROUND(($O11-$O$3)/1000,1)+(_xlfn.RANK.AVG($O11,($J11,$O11,$T11),1)-2)*20)</f>
        <v>19.5</v>
      </c>
      <c r="W11" s="62">
        <f>IF($T11="","",ROUND(($T11-$T$3)/1000,1)+(_xlfn.RANK.AVG($T11,($J11,$O11,$T11),1)-2)*20)</f>
        <v>-68</v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>
        <v>1</v>
      </c>
      <c r="AW11" s="32"/>
      <c r="AX11" s="32">
        <v>8</v>
      </c>
      <c r="AY11" s="36" t="s">
        <v>149</v>
      </c>
      <c r="AZ11" s="47" t="s">
        <v>150</v>
      </c>
      <c r="BA11" s="48" t="s">
        <v>105</v>
      </c>
      <c r="BB11" s="48" t="s">
        <v>80</v>
      </c>
      <c r="BC11" s="48" t="s">
        <v>80</v>
      </c>
      <c r="BD11" s="48" t="s">
        <v>81</v>
      </c>
      <c r="BE11" s="48" t="s">
        <v>87</v>
      </c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>
        <v>1</v>
      </c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55"/>
      <c r="J12" s="21" t="str">
        <f t="shared" si="2"/>
        <v/>
      </c>
      <c r="K12" s="8"/>
      <c r="L12" s="9"/>
      <c r="M12" s="9"/>
      <c r="N12" s="55"/>
      <c r="O12" s="21" t="str">
        <f t="shared" si="3"/>
        <v/>
      </c>
      <c r="P12" s="8"/>
      <c r="Q12" s="9"/>
      <c r="R12" s="9"/>
      <c r="S12" s="55"/>
      <c r="T12" s="21" t="str">
        <f t="shared" si="4"/>
        <v/>
      </c>
      <c r="U12" s="60" t="str">
        <f>IF($J12="","",ROUND(($J12-$J$3)/1000,1)+(_xlfn.RANK.AVG($J12,($J12,$O12,$T12),1)-2)*20)</f>
        <v/>
      </c>
      <c r="V12" s="61" t="str">
        <f>IF($O12="","",ROUND(($O12-$O$3)/1000,1)+(_xlfn.RANK.AVG($O12,($J12,$O12,$T12),1)-2)*20)</f>
        <v/>
      </c>
      <c r="W12" s="62" t="str">
        <f>IF($T12="","",ROUND(($T12-$T$3)/1000,1)+(_xlfn.RANK.AVG($T12,($J12,$O12,$T12),1)-2)*20)</f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allowBlank="1" showInputMessage="1" showErrorMessage="1" sqref="E4:E30" xr:uid="{A64E8642-687A-412B-AA02-82CCB583BD40}">
      <formula1>$U$2:$W$2</formula1>
    </dataValidation>
    <dataValidation type="list" showInputMessage="1" showErrorMessage="1" sqref="K4:K30 P4:P30 F4:F30" xr:uid="{1EF61EC8-FC5C-4E4C-A99F-31CCDDAEB6E2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18799-A8D0-49F9-9915-C5559F19B736}">
  <sheetPr codeName="Sheet13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140</v>
      </c>
      <c r="G1" s="80"/>
      <c r="H1" s="80"/>
      <c r="I1" s="89"/>
      <c r="J1" s="81"/>
      <c r="K1" s="78" t="s">
        <v>158</v>
      </c>
      <c r="L1" s="80"/>
      <c r="M1" s="80"/>
      <c r="N1" s="89"/>
      <c r="O1" s="81"/>
      <c r="P1" s="78" t="s">
        <v>143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りくと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れんたろう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ぱぱ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6" t="str">
        <f>$F$1</f>
        <v>りくと</v>
      </c>
      <c r="V2" s="77" t="str">
        <f>$K$1</f>
        <v>れんたろう</v>
      </c>
      <c r="W2" s="16" t="str">
        <f>$P$1</f>
        <v>ぱぱ</v>
      </c>
      <c r="Y2" s="72" t="s">
        <v>24</v>
      </c>
      <c r="Z2" s="73" t="s">
        <v>27</v>
      </c>
      <c r="AA2" s="74" t="s">
        <v>25</v>
      </c>
      <c r="AB2" s="74" t="s">
        <v>128</v>
      </c>
      <c r="AC2" s="74" t="s">
        <v>19</v>
      </c>
      <c r="AD2" s="75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72" t="s">
        <v>24</v>
      </c>
      <c r="AU2" s="73" t="s">
        <v>27</v>
      </c>
      <c r="AV2" s="74" t="s">
        <v>25</v>
      </c>
      <c r="AW2" s="74" t="s">
        <v>129</v>
      </c>
      <c r="AX2" s="74" t="s">
        <v>19</v>
      </c>
      <c r="AY2" s="75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72" t="s">
        <v>24</v>
      </c>
      <c r="BP2" s="73" t="s">
        <v>27</v>
      </c>
      <c r="BQ2" s="74" t="s">
        <v>25</v>
      </c>
      <c r="BR2" s="74" t="s">
        <v>129</v>
      </c>
      <c r="BS2" s="74" t="s">
        <v>19</v>
      </c>
      <c r="BT2" s="75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153</v>
      </c>
      <c r="G4" s="9">
        <v>7800</v>
      </c>
      <c r="H4" s="9"/>
      <c r="I4" s="55">
        <v>0</v>
      </c>
      <c r="J4" s="21">
        <f>IF(COUNTA($F4,$K4,$P4)&gt;0,J3+SUM(G4:I4),"")</f>
        <v>42800</v>
      </c>
      <c r="K4" s="8" t="s">
        <v>152</v>
      </c>
      <c r="L4" s="9">
        <v>-3900</v>
      </c>
      <c r="M4" s="9"/>
      <c r="N4" s="55">
        <v>0</v>
      </c>
      <c r="O4" s="21">
        <f>IF(COUNTA($F4,$K4,$P4)&gt;0,O3+SUM(L4:N4),"")</f>
        <v>31100</v>
      </c>
      <c r="P4" s="8" t="s">
        <v>152</v>
      </c>
      <c r="Q4" s="9">
        <v>-3900</v>
      </c>
      <c r="R4" s="9"/>
      <c r="S4" s="55">
        <v>0</v>
      </c>
      <c r="T4" s="21">
        <f>IF(COUNTA($F4,$K4,$P4)&gt;0,T3+SUM(Q4:S4),"")</f>
        <v>31100</v>
      </c>
      <c r="U4" s="60">
        <f>IF($J4="","",ROUND(($J4-$J$3)/1000,1)+(_xlfn.RANK.AVG($J4,($J4,$O4,$T4),1)-2)*20)</f>
        <v>27.8</v>
      </c>
      <c r="V4" s="61">
        <f>IF($O4="","",ROUND(($O4-$O$3)/1000,1)+(_xlfn.RANK.AVG($O4,($J4,$O4,$T4),1)-2)*20)</f>
        <v>-13.9</v>
      </c>
      <c r="W4" s="62">
        <f>IF($T4="","",ROUND(($T4-$T$3)/1000,1)+(_xlfn.RANK.AVG($T4,($J4,$O4,$T4),1)-2)*20)</f>
        <v>-13.9</v>
      </c>
      <c r="Y4" s="8"/>
      <c r="Z4" s="41"/>
      <c r="AA4" s="32">
        <v>1</v>
      </c>
      <c r="AB4" s="32"/>
      <c r="AC4" s="32">
        <v>4</v>
      </c>
      <c r="AD4" s="36">
        <v>20</v>
      </c>
      <c r="AE4" s="47" t="s">
        <v>150</v>
      </c>
      <c r="AF4" s="48" t="s">
        <v>83</v>
      </c>
      <c r="AG4" s="48" t="s">
        <v>84</v>
      </c>
      <c r="AH4" s="48" t="s">
        <v>80</v>
      </c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139</v>
      </c>
      <c r="F5" s="8"/>
      <c r="G5" s="9"/>
      <c r="H5" s="9"/>
      <c r="I5" s="55"/>
      <c r="J5" s="21">
        <f t="shared" ref="J5:J30" si="2">IF(COUNTA($F5,$K5,$P5)&gt;0,J4+SUM(G5:I5),"")</f>
        <v>42800</v>
      </c>
      <c r="K5" s="8" t="s">
        <v>148</v>
      </c>
      <c r="L5" s="9">
        <v>5200</v>
      </c>
      <c r="M5" s="9">
        <v>1000</v>
      </c>
      <c r="N5" s="55">
        <v>1000</v>
      </c>
      <c r="O5" s="21">
        <f t="shared" ref="O5:O30" si="3">IF(COUNTA($F5,$K5,$P5)&gt;0,O4+SUM(L5:N5),"")</f>
        <v>38300</v>
      </c>
      <c r="P5" s="8" t="s">
        <v>147</v>
      </c>
      <c r="Q5" s="9">
        <v>-5200</v>
      </c>
      <c r="R5" s="9">
        <v>-1000</v>
      </c>
      <c r="S5" s="55">
        <v>-1000</v>
      </c>
      <c r="T5" s="21">
        <f t="shared" ref="T5:T30" si="4">IF(COUNTA($F5,$K5,$P5)&gt;0,T4+SUM(Q5:S5),"")</f>
        <v>23900</v>
      </c>
      <c r="U5" s="60">
        <f>IF($J5="","",ROUND(($J5-$J$3)/1000,1)+(_xlfn.RANK.AVG($J5,($J5,$O5,$T5),1)-2)*20)</f>
        <v>27.8</v>
      </c>
      <c r="V5" s="61">
        <f>IF($O5="","",ROUND(($O5-$O$3)/1000,1)+(_xlfn.RANK.AVG($O5,($J5,$O5,$T5),1)-2)*20)</f>
        <v>3.3</v>
      </c>
      <c r="W5" s="62">
        <f>IF($T5="","",ROUND(($T5-$T$3)/1000,1)+(_xlfn.RANK.AVG($T5,($J5,$O5,$T5),1)-2)*20)</f>
        <v>-31.1</v>
      </c>
      <c r="Y5" s="8"/>
      <c r="Z5" s="41"/>
      <c r="AA5" s="32"/>
      <c r="AB5" s="32">
        <v>1</v>
      </c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>
        <v>3</v>
      </c>
      <c r="AY5" s="36">
        <v>40</v>
      </c>
      <c r="AZ5" s="47" t="s">
        <v>150</v>
      </c>
      <c r="BA5" s="48" t="s">
        <v>154</v>
      </c>
      <c r="BB5" s="48" t="s">
        <v>80</v>
      </c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157</v>
      </c>
      <c r="F6" s="8" t="s">
        <v>153</v>
      </c>
      <c r="G6" s="9">
        <v>8000</v>
      </c>
      <c r="H6" s="9"/>
      <c r="I6" s="55">
        <v>0</v>
      </c>
      <c r="J6" s="21">
        <f t="shared" si="2"/>
        <v>50800</v>
      </c>
      <c r="K6" s="8" t="s">
        <v>152</v>
      </c>
      <c r="L6" s="9">
        <v>-5000</v>
      </c>
      <c r="M6" s="9"/>
      <c r="N6" s="55">
        <v>0</v>
      </c>
      <c r="O6" s="21">
        <f t="shared" si="3"/>
        <v>33300</v>
      </c>
      <c r="P6" s="8" t="s">
        <v>152</v>
      </c>
      <c r="Q6" s="9">
        <v>-3000</v>
      </c>
      <c r="R6" s="9"/>
      <c r="S6" s="55">
        <v>0</v>
      </c>
      <c r="T6" s="21">
        <f t="shared" si="4"/>
        <v>20900</v>
      </c>
      <c r="U6" s="60">
        <f>IF($J6="","",ROUND(($J6-$J$3)/1000,1)+(_xlfn.RANK.AVG($J6,($J6,$O6,$T6),1)-2)*20)</f>
        <v>35.799999999999997</v>
      </c>
      <c r="V6" s="61">
        <f>IF($O6="","",ROUND(($O6-$O$3)/1000,1)+(_xlfn.RANK.AVG($O6,($J6,$O6,$T6),1)-2)*20)</f>
        <v>-1.7</v>
      </c>
      <c r="W6" s="62">
        <f>IF($T6="","",ROUND(($T6-$T$3)/1000,1)+(_xlfn.RANK.AVG($T6,($J6,$O6,$T6),1)-2)*20)</f>
        <v>-34.1</v>
      </c>
      <c r="Y6" s="8"/>
      <c r="Z6" s="41"/>
      <c r="AA6" s="32">
        <v>1</v>
      </c>
      <c r="AB6" s="32"/>
      <c r="AC6" s="32">
        <v>4</v>
      </c>
      <c r="AD6" s="36">
        <v>40</v>
      </c>
      <c r="AE6" s="47" t="s">
        <v>150</v>
      </c>
      <c r="AF6" s="48" t="s">
        <v>83</v>
      </c>
      <c r="AG6" s="48" t="s">
        <v>87</v>
      </c>
      <c r="AH6" s="48" t="s">
        <v>154</v>
      </c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>
        <v>1</v>
      </c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159</v>
      </c>
      <c r="F7" s="8"/>
      <c r="G7" s="9"/>
      <c r="H7" s="9"/>
      <c r="I7" s="55"/>
      <c r="J7" s="21">
        <f t="shared" si="2"/>
        <v>50800</v>
      </c>
      <c r="K7" s="8" t="s">
        <v>148</v>
      </c>
      <c r="L7" s="9">
        <v>1300</v>
      </c>
      <c r="M7" s="9"/>
      <c r="N7" s="55">
        <v>0</v>
      </c>
      <c r="O7" s="21">
        <f t="shared" si="3"/>
        <v>34600</v>
      </c>
      <c r="P7" s="8" t="s">
        <v>147</v>
      </c>
      <c r="Q7" s="9">
        <v>-1300</v>
      </c>
      <c r="R7" s="9"/>
      <c r="S7" s="55">
        <v>0</v>
      </c>
      <c r="T7" s="21">
        <f t="shared" si="4"/>
        <v>19600</v>
      </c>
      <c r="U7" s="60">
        <f>IF($J7="","",ROUND(($J7-$J$3)/1000,1)+(_xlfn.RANK.AVG($J7,($J7,$O7,$T7),1)-2)*20)</f>
        <v>35.799999999999997</v>
      </c>
      <c r="V7" s="61">
        <f>IF($O7="","",ROUND(($O7-$O$3)/1000,1)+(_xlfn.RANK.AVG($O7,($J7,$O7,$T7),1)-2)*20)</f>
        <v>-0.4</v>
      </c>
      <c r="W7" s="62">
        <f>IF($T7="","",ROUND(($T7-$T$3)/1000,1)+(_xlfn.RANK.AVG($T7,($J7,$O7,$T7),1)-2)*20)</f>
        <v>-35.4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>
        <v>1</v>
      </c>
      <c r="AY7" s="36">
        <v>40</v>
      </c>
      <c r="AZ7" s="47" t="s">
        <v>87</v>
      </c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>
        <v>1</v>
      </c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139</v>
      </c>
      <c r="F8" s="8" t="s">
        <v>146</v>
      </c>
      <c r="G8" s="9">
        <v>1500</v>
      </c>
      <c r="H8" s="9">
        <v>-1000</v>
      </c>
      <c r="I8" s="55"/>
      <c r="J8" s="21">
        <f t="shared" si="2"/>
        <v>51300</v>
      </c>
      <c r="K8" s="8" t="s">
        <v>146</v>
      </c>
      <c r="L8" s="9">
        <v>1500</v>
      </c>
      <c r="M8" s="9">
        <v>-1000</v>
      </c>
      <c r="N8" s="55"/>
      <c r="O8" s="21">
        <f t="shared" si="3"/>
        <v>35100</v>
      </c>
      <c r="P8" s="8" t="s">
        <v>146</v>
      </c>
      <c r="Q8" s="9">
        <v>-3000</v>
      </c>
      <c r="R8" s="9"/>
      <c r="S8" s="55"/>
      <c r="T8" s="21">
        <f t="shared" si="4"/>
        <v>16600</v>
      </c>
      <c r="U8" s="60">
        <f>IF($J8="","",ROUND(($J8-$J$3)/1000,1)+(_xlfn.RANK.AVG($J8,($J8,$O8,$T8),1)-2)*20)</f>
        <v>36.299999999999997</v>
      </c>
      <c r="V8" s="61">
        <f>IF($O8="","",ROUND(($O8-$O$3)/1000,1)+(_xlfn.RANK.AVG($O8,($J8,$O8,$T8),1)-2)*20)</f>
        <v>0.1</v>
      </c>
      <c r="W8" s="62">
        <f>IF($T8="","",ROUND(($T8-$T$3)/1000,1)+(_xlfn.RANK.AVG($T8,($J8,$O8,$T8),1)-2)*20)</f>
        <v>-38.4</v>
      </c>
      <c r="Y8" s="8" t="s">
        <v>144</v>
      </c>
      <c r="Z8" s="41"/>
      <c r="AA8" s="32">
        <v>1</v>
      </c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 t="s">
        <v>144</v>
      </c>
      <c r="AU8" s="41"/>
      <c r="AV8" s="32">
        <v>1</v>
      </c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 t="s">
        <v>145</v>
      </c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2</v>
      </c>
      <c r="E9" s="4" t="s">
        <v>139</v>
      </c>
      <c r="F9" s="8" t="s">
        <v>147</v>
      </c>
      <c r="G9" s="9">
        <v>-2000</v>
      </c>
      <c r="H9" s="9"/>
      <c r="I9" s="55">
        <v>-1000</v>
      </c>
      <c r="J9" s="21">
        <f t="shared" si="2"/>
        <v>48300</v>
      </c>
      <c r="K9" s="8"/>
      <c r="L9" s="9"/>
      <c r="M9" s="9"/>
      <c r="N9" s="55"/>
      <c r="O9" s="21">
        <f t="shared" si="3"/>
        <v>35100</v>
      </c>
      <c r="P9" s="8" t="s">
        <v>148</v>
      </c>
      <c r="Q9" s="9">
        <v>2000</v>
      </c>
      <c r="R9" s="9">
        <v>2000</v>
      </c>
      <c r="S9" s="55">
        <v>1000</v>
      </c>
      <c r="T9" s="21">
        <f t="shared" si="4"/>
        <v>21600</v>
      </c>
      <c r="U9" s="60">
        <f>IF($J9="","",ROUND(($J9-$J$3)/1000,1)+(_xlfn.RANK.AVG($J9,($J9,$O9,$T9),1)-2)*20)</f>
        <v>33.299999999999997</v>
      </c>
      <c r="V9" s="61">
        <f>IF($O9="","",ROUND(($O9-$O$3)/1000,1)+(_xlfn.RANK.AVG($O9,($J9,$O9,$T9),1)-2)*20)</f>
        <v>0.1</v>
      </c>
      <c r="W9" s="62">
        <f>IF($T9="","",ROUND(($T9-$T$3)/1000,1)+(_xlfn.RANK.AVG($T9,($J9,$O9,$T9),1)-2)*20)</f>
        <v>-33.4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>
        <v>2</v>
      </c>
      <c r="BT9" s="36">
        <v>30</v>
      </c>
      <c r="BU9" s="47" t="s">
        <v>150</v>
      </c>
      <c r="BV9" s="48" t="s">
        <v>84</v>
      </c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157</v>
      </c>
      <c r="F10" s="8" t="s">
        <v>148</v>
      </c>
      <c r="G10" s="9">
        <v>5200</v>
      </c>
      <c r="H10" s="9"/>
      <c r="I10" s="55">
        <v>0</v>
      </c>
      <c r="J10" s="21">
        <f t="shared" si="2"/>
        <v>53500</v>
      </c>
      <c r="K10" s="8" t="s">
        <v>147</v>
      </c>
      <c r="L10" s="9">
        <v>-5200</v>
      </c>
      <c r="M10" s="9"/>
      <c r="N10" s="55">
        <v>0</v>
      </c>
      <c r="O10" s="21">
        <f t="shared" si="3"/>
        <v>29900</v>
      </c>
      <c r="P10" s="8"/>
      <c r="Q10" s="9"/>
      <c r="R10" s="9"/>
      <c r="S10" s="55"/>
      <c r="T10" s="21">
        <f t="shared" si="4"/>
        <v>21600</v>
      </c>
      <c r="U10" s="60">
        <f>IF($J10="","",ROUND(($J10-$J$3)/1000,1)+(_xlfn.RANK.AVG($J10,($J10,$O10,$T10),1)-2)*20)</f>
        <v>38.5</v>
      </c>
      <c r="V10" s="61">
        <f>IF($O10="","",ROUND(($O10-$O$3)/1000,1)+(_xlfn.RANK.AVG($O10,($J10,$O10,$T10),1)-2)*20)</f>
        <v>-5.0999999999999996</v>
      </c>
      <c r="W10" s="62">
        <f>IF($T10="","",ROUND(($T10-$T$3)/1000,1)+(_xlfn.RANK.AVG($T10,($J10,$O10,$T10),1)-2)*20)</f>
        <v>-33.4</v>
      </c>
      <c r="Y10" s="8"/>
      <c r="Z10" s="41"/>
      <c r="AA10" s="32">
        <v>1</v>
      </c>
      <c r="AB10" s="32"/>
      <c r="AC10" s="32">
        <v>3</v>
      </c>
      <c r="AD10" s="36">
        <v>40</v>
      </c>
      <c r="AE10" s="47" t="s">
        <v>150</v>
      </c>
      <c r="AF10" s="48" t="s">
        <v>80</v>
      </c>
      <c r="AG10" s="48" t="s">
        <v>81</v>
      </c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>
        <v>1</v>
      </c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159</v>
      </c>
      <c r="F11" s="8" t="s">
        <v>152</v>
      </c>
      <c r="G11" s="9">
        <v>-6000</v>
      </c>
      <c r="H11" s="9"/>
      <c r="I11" s="55">
        <v>0</v>
      </c>
      <c r="J11" s="21">
        <f t="shared" si="2"/>
        <v>47500</v>
      </c>
      <c r="K11" s="8" t="s">
        <v>152</v>
      </c>
      <c r="L11" s="9">
        <v>-6000</v>
      </c>
      <c r="M11" s="9"/>
      <c r="N11" s="55">
        <v>0</v>
      </c>
      <c r="O11" s="21">
        <f t="shared" si="3"/>
        <v>23900</v>
      </c>
      <c r="P11" s="8" t="s">
        <v>153</v>
      </c>
      <c r="Q11" s="9">
        <v>12000</v>
      </c>
      <c r="R11" s="9"/>
      <c r="S11" s="55">
        <v>0</v>
      </c>
      <c r="T11" s="21">
        <f t="shared" si="4"/>
        <v>33600</v>
      </c>
      <c r="U11" s="60">
        <f>IF($J11="","",ROUND(($J11-$J$3)/1000,1)+(_xlfn.RANK.AVG($J11,($J11,$O11,$T11),1)-2)*20)</f>
        <v>32.5</v>
      </c>
      <c r="V11" s="61">
        <f>IF($O11="","",ROUND(($O11-$O$3)/1000,1)+(_xlfn.RANK.AVG($O11,($J11,$O11,$T11),1)-2)*20)</f>
        <v>-31.1</v>
      </c>
      <c r="W11" s="62">
        <f>IF($T11="","",ROUND(($T11-$T$3)/1000,1)+(_xlfn.RANK.AVG($T11,($J11,$O11,$T11),1)-2)*20)</f>
        <v>-1.4</v>
      </c>
      <c r="Y11" s="8"/>
      <c r="Z11" s="41"/>
      <c r="AA11" s="32"/>
      <c r="AB11" s="32">
        <v>1</v>
      </c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>
        <v>5</v>
      </c>
      <c r="BT11" s="36" t="s">
        <v>149</v>
      </c>
      <c r="BU11" s="47" t="s">
        <v>83</v>
      </c>
      <c r="BV11" s="48" t="s">
        <v>87</v>
      </c>
      <c r="BW11" s="48" t="s">
        <v>105</v>
      </c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1</v>
      </c>
      <c r="D12" s="18">
        <f t="shared" si="1"/>
        <v>0</v>
      </c>
      <c r="E12" s="4" t="s">
        <v>159</v>
      </c>
      <c r="F12" s="8" t="s">
        <v>147</v>
      </c>
      <c r="G12" s="9">
        <v>-12000</v>
      </c>
      <c r="H12" s="9">
        <v>-1000</v>
      </c>
      <c r="I12" s="55">
        <v>-1000</v>
      </c>
      <c r="J12" s="21">
        <f t="shared" si="2"/>
        <v>33500</v>
      </c>
      <c r="K12" s="8"/>
      <c r="L12" s="9"/>
      <c r="M12" s="9"/>
      <c r="N12" s="55"/>
      <c r="O12" s="21">
        <f t="shared" si="3"/>
        <v>23900</v>
      </c>
      <c r="P12" s="8" t="s">
        <v>148</v>
      </c>
      <c r="Q12" s="9">
        <v>12000</v>
      </c>
      <c r="R12" s="9">
        <v>1000</v>
      </c>
      <c r="S12" s="55">
        <v>1000</v>
      </c>
      <c r="T12" s="21">
        <f t="shared" si="4"/>
        <v>47600</v>
      </c>
      <c r="U12" s="60">
        <f>IF($J12="","",ROUND(($J12-$J$3)/1000,1)+(_xlfn.RANK.AVG($J12,($J12,$O12,$T12),1)-2)*20)</f>
        <v>-1.5</v>
      </c>
      <c r="V12" s="61">
        <f>IF($O12="","",ROUND(($O12-$O$3)/1000,1)+(_xlfn.RANK.AVG($O12,($J12,$O12,$T12),1)-2)*20)</f>
        <v>-31.1</v>
      </c>
      <c r="W12" s="62">
        <f>IF($T12="","",ROUND(($T12-$T$3)/1000,1)+(_xlfn.RANK.AVG($T12,($J12,$O12,$T12),1)-2)*20)</f>
        <v>32.6</v>
      </c>
      <c r="Y12" s="8"/>
      <c r="Z12" s="41"/>
      <c r="AA12" s="32">
        <v>1</v>
      </c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>
        <v>1</v>
      </c>
      <c r="BR12" s="32"/>
      <c r="BS12" s="32">
        <v>5</v>
      </c>
      <c r="BT12" s="36" t="s">
        <v>149</v>
      </c>
      <c r="BU12" s="47" t="s">
        <v>150</v>
      </c>
      <c r="BV12" s="48" t="s">
        <v>80</v>
      </c>
      <c r="BW12" s="48" t="s">
        <v>80</v>
      </c>
      <c r="BX12" s="48" t="s">
        <v>81</v>
      </c>
      <c r="BY12" s="48" t="s">
        <v>81</v>
      </c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370F5BD3-9A26-449D-BF75-ECA9BCF243CB}">
      <formula1>"ロン,ツモ,放銃,ツモ支払,流局,チョンボ"</formula1>
    </dataValidation>
    <dataValidation type="list" allowBlank="1" showInputMessage="1" showErrorMessage="1" sqref="E4:E30" xr:uid="{149AA85F-5F8A-4900-8D06-C74513B574FF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4" x14ac:dyDescent="0.4">
      <c r="A49" s="43" t="s">
        <v>125</v>
      </c>
      <c r="B49" s="15" t="s">
        <v>75</v>
      </c>
      <c r="C49" s="15">
        <v>13</v>
      </c>
    </row>
    <row r="50" spans="1:4" x14ac:dyDescent="0.4">
      <c r="A50" s="43" t="s">
        <v>126</v>
      </c>
      <c r="B50" s="15" t="s">
        <v>76</v>
      </c>
      <c r="C50" s="15">
        <v>13</v>
      </c>
    </row>
    <row r="51" spans="1:4" x14ac:dyDescent="0.4">
      <c r="A51" s="43" t="s">
        <v>127</v>
      </c>
      <c r="B51" s="15" t="s">
        <v>77</v>
      </c>
      <c r="C51" s="15">
        <v>13</v>
      </c>
    </row>
    <row r="52" spans="1:4" x14ac:dyDescent="0.4">
      <c r="A52" s="43" t="s">
        <v>135</v>
      </c>
      <c r="B52" s="15" t="s">
        <v>136</v>
      </c>
      <c r="C52" s="15">
        <v>2</v>
      </c>
    </row>
    <row r="53" spans="1:4" x14ac:dyDescent="0.4">
      <c r="A53" s="43" t="s">
        <v>137</v>
      </c>
      <c r="B53" s="15" t="s">
        <v>138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11600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11600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-5800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-5800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7700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7700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7700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7700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-2900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-2900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-4800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-4800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Sheet1</vt:lpstr>
      <vt:lpstr>Sheet2</vt:lpstr>
      <vt:lpstr>Sheet3</vt:lpstr>
      <vt:lpstr>Sheet4</vt:lpstr>
      <vt:lpstr>Sheet5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2019-04-13T17:24:53Z</dcterms:modified>
</cp:coreProperties>
</file>