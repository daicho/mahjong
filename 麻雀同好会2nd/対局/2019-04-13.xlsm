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D674444-EE82-42E5-9EBD-435C9795944E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O12" i="16"/>
  <c r="J12" i="16"/>
  <c r="D12" i="16"/>
  <c r="C12" i="16"/>
  <c r="B12" i="16"/>
  <c r="A12" i="16"/>
  <c r="T11" i="16"/>
  <c r="O11" i="16"/>
  <c r="V11" i="16" s="1"/>
  <c r="J11" i="16"/>
  <c r="U11" i="16" s="1"/>
  <c r="D11" i="16"/>
  <c r="C11" i="16"/>
  <c r="B11" i="16"/>
  <c r="A11" i="16" s="1"/>
  <c r="T10" i="16"/>
  <c r="O10" i="16"/>
  <c r="J10" i="16"/>
  <c r="U10" i="16" s="1"/>
  <c r="D10" i="16"/>
  <c r="C10" i="16"/>
  <c r="B10" i="16"/>
  <c r="A10" i="16" s="1"/>
  <c r="T9" i="16"/>
  <c r="O9" i="16"/>
  <c r="J9" i="16"/>
  <c r="D9" i="16"/>
  <c r="C9" i="16"/>
  <c r="B9" i="16"/>
  <c r="A9" i="16" s="1"/>
  <c r="T8" i="16"/>
  <c r="O8" i="16"/>
  <c r="V8" i="16" s="1"/>
  <c r="J8" i="16"/>
  <c r="D8" i="16"/>
  <c r="C8" i="16"/>
  <c r="B8" i="16"/>
  <c r="A8" i="16"/>
  <c r="D7" i="16"/>
  <c r="B7" i="16"/>
  <c r="D6" i="16"/>
  <c r="C6" i="16"/>
  <c r="C7" i="16" s="1"/>
  <c r="B6" i="16"/>
  <c r="A6" i="16" s="1"/>
  <c r="O5" i="16"/>
  <c r="J5" i="16"/>
  <c r="D5" i="16"/>
  <c r="C5" i="16"/>
  <c r="B5" i="16"/>
  <c r="A5" i="16" s="1"/>
  <c r="T4" i="16"/>
  <c r="O4" i="16"/>
  <c r="J4" i="16"/>
  <c r="U4" i="16" s="1"/>
  <c r="W3" i="16"/>
  <c r="V3" i="16"/>
  <c r="U3" i="16"/>
  <c r="W2" i="16"/>
  <c r="V2" i="16"/>
  <c r="U2" i="16"/>
  <c r="BO1" i="16"/>
  <c r="AT1" i="16"/>
  <c r="Y1" i="16"/>
  <c r="W12" i="16" l="1"/>
  <c r="V12" i="16"/>
  <c r="U12" i="16"/>
  <c r="W11" i="16"/>
  <c r="V10" i="16"/>
  <c r="W10" i="16"/>
  <c r="W9" i="16"/>
  <c r="U9" i="16"/>
  <c r="V9" i="16"/>
  <c r="U8" i="16"/>
  <c r="W8" i="16"/>
  <c r="V4" i="16"/>
  <c r="W4" i="16"/>
  <c r="A7" i="16"/>
  <c r="T5" i="16"/>
  <c r="J6" i="16"/>
  <c r="O6" i="16"/>
  <c r="O7" i="16" l="1"/>
  <c r="W5" i="16"/>
  <c r="T6" i="16"/>
  <c r="U6" i="16"/>
  <c r="J7" i="16"/>
  <c r="U5" i="16"/>
  <c r="V5" i="16"/>
  <c r="W6" i="16" l="1"/>
  <c r="T7" i="16"/>
  <c r="W7" i="16" s="1"/>
  <c r="V7" i="16"/>
  <c r="U7" i="16"/>
  <c r="V6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U6" i="1"/>
  <c r="W5" i="1"/>
  <c r="O7" i="1"/>
  <c r="J7" i="1"/>
  <c r="J8" i="1"/>
  <c r="U8" i="1" s="1"/>
  <c r="B11" i="1"/>
  <c r="A11" i="1" s="1"/>
  <c r="A10" i="1"/>
  <c r="O8" i="1"/>
  <c r="V8" i="1" s="1"/>
  <c r="T6" i="1"/>
  <c r="V6" i="1" s="1"/>
  <c r="B12" i="1"/>
  <c r="A12" i="1" s="1"/>
  <c r="W6" i="1" l="1"/>
  <c r="T7" i="1"/>
  <c r="V7" i="1" s="1"/>
  <c r="J9" i="1"/>
  <c r="U9" i="1" s="1"/>
  <c r="T8" i="1"/>
  <c r="W8" i="1" s="1"/>
  <c r="O9" i="1"/>
  <c r="V9" i="1" s="1"/>
  <c r="B13" i="1"/>
  <c r="A13" i="1" s="1"/>
  <c r="U7" i="1" l="1"/>
  <c r="W7" i="1"/>
  <c r="J10" i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<sst xmlns="http://schemas.openxmlformats.org/spreadsheetml/2006/main" count="622" uniqueCount="157">
  <si>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</si>
  <si>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</si>
  <si>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</si>
  <si>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</si>
  <si>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</si>
  <si>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</si>
  <si>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</si>
  <si>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</si>
  <si>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</si>
  <si>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</si>
  <si>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</si>
  <si>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</si>
  <si>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</si>
  <si>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</si>
  <si>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</si>
  <si>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</si>
  <si>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</si>
  <si>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</si>
  <si>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</si>
  <si>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</si>
  <si>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</si>
  <si>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</si>
  <si>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</si>
  <si>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</si>
  <si>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</si>
  <si>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</si>
  <si>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</si>
  <si>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</si>
  <si>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</si>
  <si>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</si>
  <si>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</si>
  <si>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</si>
  <si>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</si>
  <si>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</si>
  <si>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</si>
  <si>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</si>
  <si>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</si>
  <si>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</si>
  <si>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</si>
  <si>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</si>
  <si>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</si>
  <si>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</si>
  <si>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</si>
  <si>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</si>
  <si>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</si>
  <si>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</si>
  <si>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</si>
  <si>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</si>
  <si>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</si>
  <si>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</si>
  <si>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</si>
  <si>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</si>
  <si>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</si>
  <si>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</si>
  <si>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</si>
  <si>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</si>
  <si>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</si>
  <si>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</si>
  <si>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</si>
  <si>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</si>
  <si>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</si>
  <si>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</si>
  <si>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</si>
  <si>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</si>
  <si>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</si>
  <si>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</si>
  <si>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</si>
  <si>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</si>
  <si>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</si>
  <si>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</si>
  <si>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</si>
  <si>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</si>
  <si>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</si>
  <si>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</si>
  <si>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</si>
  <si>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</si>
  <si>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</si>
  <si>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</si>
  <si>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</si>
  <si>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</si>
  <si>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</si>
  <si>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</si>
  <si>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</si>
  <si>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</si>
  <si>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</si>
  <si>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</si>
  <si>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</si>
  <si>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</si>
  <si>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</si>
  <si>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</si>
  <si>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</si>
  <si>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</si>
  <si>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</si>
  <si>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</si>
  <si>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</si>
  <si>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</si>
  <si>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</si>
  <si>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</si>
  <si>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</si>
  <si>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</si>
  <si>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</si>
  <si>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</si>
  <si>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</si>
  <si>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</si>
  <si>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</si>
  <si>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</si>
  <si>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</si>
  <si>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</si>
  <si>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</si>
  <si>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</si>
  <si>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</si>
  <si>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</si>
  <si>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</si>
  <si>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</si>
  <si>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</si>
  <si>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</si>
  <si>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</si>
  <si>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</si>
  <si>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</si>
  <si>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</si>
  <si>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</si>
  <si>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</si>
  <si>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</si>
  <si>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</si>
  <si>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</si>
  <si>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</si>
  <si>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</si>
  <si>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</si>
  <si>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</si>
  <si>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</si>
  <si>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</si>
  <si>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</si>
  <si>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</si>
  <si>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</si>
  <si>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</si>
  <si>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</si>
  <si>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</si>
  <si>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</si>
  <si>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</si>
  <si>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</si>
  <si>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</si>
  <si>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</si>
  <si>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</si>
  <si>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ぱぱ</t>
    <phoneticPr fontId="1"/>
  </si>
  <si>
    <t>T</t>
  </si>
  <si>
    <t>N</t>
  </si>
  <si>
    <t>流局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</si>
  <si>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</si>
  <si>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</si>
  <si>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</si>
  <si>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</si>
  <si>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</si>
  <si>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</si>
  <si>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</si>
  <si>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52</t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</si>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</sst>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1500</v>
      </c>
      <c r="H4" s="9"/>
      <c r="I4" s="55"/>
      <c r="J4" s="21">
        <f>IF(COUNTA($F4,$K4,$P4)&gt;0,J3+SUM(G4:I4),"")</f>
        <v>36500</v>
      </c>
      <c r="K4" s="8" t="s">
        <v>146</v>
      </c>
      <c r="L4" s="9">
        <v>-3000</v>
      </c>
      <c r="M4" s="9"/>
      <c r="N4" s="55"/>
      <c r="O4" s="21">
        <f>IF(COUNTA($F4,$K4,$P4)&gt;0,O3+SUM(L4:N4),"")</f>
        <v>32000</v>
      </c>
      <c r="P4" s="8" t="s">
        <v>146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>IF($J4="","",ROUND(($J4-$J$3)/1000,1)+(_xlfn.RANK.AVG($J4,($J4,$O4,$T4),1)-2)*20)</f>
        <v>21.5</v>
      </c>
      <c r="V4" s="61">
        <f>IF($O4="","",ROUND(($O4-$O$3)/1000,1)+(_xlfn.RANK.AVG($O4,($J4,$O4,$T4),1)-2)*20)</f>
        <v>-23</v>
      </c>
      <c r="W4" s="62">
        <f>IF($T4="","",ROUND(($T4-$T$3)/1000,1)+(_xlfn.RANK.AVG($T4,($J4,$O4,$T4),1)-2)*20)</f>
        <v>0.5</v>
      </c>
      <c r="Y4" s="8" t="s">
        <v>144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144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147</v>
      </c>
      <c r="G5" s="9">
        <v>-12000</v>
      </c>
      <c r="H5" s="9"/>
      <c r="I5" s="55">
        <v>-1000</v>
      </c>
      <c r="J5" s="21">
        <f t="shared" ref="J5:J30" si="2">IF(COUNTA($F5,$K5,$P5)&gt;0,J4+SUM(G5:I5),"")</f>
        <v>23500</v>
      </c>
      <c r="K5" s="8" t="s">
        <v>148</v>
      </c>
      <c r="L5" s="9">
        <v>12000</v>
      </c>
      <c r="M5" s="9">
        <v>1000</v>
      </c>
      <c r="N5" s="55">
        <v>1000</v>
      </c>
      <c r="O5" s="21">
        <f t="shared" ref="O5:O30" si="3">IF(COUNTA($F5,$K5,$P5)&gt;0,O4+SUM(L5:N5),"")</f>
        <v>46000</v>
      </c>
      <c r="P5" s="8"/>
      <c r="Q5" s="9"/>
      <c r="R5" s="9"/>
      <c r="S5" s="55"/>
      <c r="T5" s="21">
        <f t="shared" ref="T5:T30" si="4">IF(COUNTA($F5,$K5,$P5)&gt;0,T4+SUM(Q5:S5),"")</f>
        <v>35500</v>
      </c>
      <c r="U5" s="60">
        <f>IF($J5="","",ROUND(($J5-$J$3)/1000,1)+(_xlfn.RANK.AVG($J5,($J5,$O5,$T5),1)-2)*20)</f>
        <v>-31.5</v>
      </c>
      <c r="V5" s="61">
        <f>IF($O5="","",ROUND(($O5-$O$3)/1000,1)+(_xlfn.RANK.AVG($O5,($J5,$O5,$T5),1)-2)*20)</f>
        <v>31</v>
      </c>
      <c r="W5" s="62">
        <f>IF($T5="","",ROUND(($T5-$T$3)/1000,1)+(_xlfn.RANK.AVG($T5,($J5,$O5,$T5),1)-2)*20)</f>
        <v>0.5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149</v>
      </c>
      <c r="AZ5" s="47" t="s">
        <v>150</v>
      </c>
      <c r="BA5" s="48" t="s">
        <v>151</v>
      </c>
      <c r="BB5" s="48" t="s">
        <v>102</v>
      </c>
      <c r="BC5" s="48" t="s">
        <v>81</v>
      </c>
      <c r="BD5" s="48" t="s">
        <v>81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147</v>
      </c>
      <c r="G6" s="9">
        <v>-12000</v>
      </c>
      <c r="H6" s="9"/>
      <c r="I6" s="55">
        <v>0</v>
      </c>
      <c r="J6" s="21">
        <f t="shared" si="2"/>
        <v>11500</v>
      </c>
      <c r="K6" s="8" t="s">
        <v>148</v>
      </c>
      <c r="L6" s="9">
        <v>12000</v>
      </c>
      <c r="M6" s="9"/>
      <c r="N6" s="55">
        <v>0</v>
      </c>
      <c r="O6" s="21">
        <f t="shared" si="3"/>
        <v>58000</v>
      </c>
      <c r="P6" s="8"/>
      <c r="Q6" s="9"/>
      <c r="R6" s="9"/>
      <c r="S6" s="55"/>
      <c r="T6" s="21">
        <f t="shared" si="4"/>
        <v>35500</v>
      </c>
      <c r="U6" s="60">
        <f>IF($J6="","",ROUND(($J6-$J$3)/1000,1)+(_xlfn.RANK.AVG($J6,($J6,$O6,$T6),1)-2)*20)</f>
        <v>-43.5</v>
      </c>
      <c r="V6" s="61">
        <f>IF($O6="","",ROUND(($O6-$O$3)/1000,1)+(_xlfn.RANK.AVG($O6,($J6,$O6,$T6),1)-2)*20)</f>
        <v>43</v>
      </c>
      <c r="W6" s="62">
        <f>IF($T6="","",ROUND(($T6-$T$3)/1000,1)+(_xlfn.RANK.AVG($T6,($J6,$O6,$T6),1)-2)*20)</f>
        <v>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149</v>
      </c>
      <c r="AZ6" s="47" t="s">
        <v>150</v>
      </c>
      <c r="BA6" s="48" t="s">
        <v>80</v>
      </c>
      <c r="BB6" s="48" t="s">
        <v>80</v>
      </c>
      <c r="BC6" s="48" t="s">
        <v>80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152</v>
      </c>
      <c r="G7" s="9">
        <v>-12000</v>
      </c>
      <c r="H7" s="9"/>
      <c r="I7" s="55">
        <v>-500</v>
      </c>
      <c r="J7" s="21">
        <f t="shared" si="2"/>
        <v>-1000</v>
      </c>
      <c r="K7" s="8" t="s">
        <v>153</v>
      </c>
      <c r="L7" s="9">
        <v>24000</v>
      </c>
      <c r="M7" s="9">
        <v>1000</v>
      </c>
      <c r="N7" s="55">
        <v>1000</v>
      </c>
      <c r="O7" s="21">
        <f t="shared" si="3"/>
        <v>84000</v>
      </c>
      <c r="P7" s="8" t="s">
        <v>152</v>
      </c>
      <c r="Q7" s="9">
        <v>-12000</v>
      </c>
      <c r="R7" s="9">
        <v>-1000</v>
      </c>
      <c r="S7" s="55">
        <v>-500</v>
      </c>
      <c r="T7" s="21">
        <f t="shared" si="4"/>
        <v>22000</v>
      </c>
      <c r="U7" s="60">
        <f>IF($J7="","",ROUND(($J7-$J$3)/1000,1)+(_xlfn.RANK.AVG($J7,($J7,$O7,$T7),1)-2)*20)</f>
        <v>-56</v>
      </c>
      <c r="V7" s="61">
        <f>IF($O7="","",ROUND(($O7-$O$3)/1000,1)+(_xlfn.RANK.AVG($O7,($J7,$O7,$T7),1)-2)*20)</f>
        <v>69</v>
      </c>
      <c r="W7" s="62">
        <f>IF($T7="","",ROUND(($T7-$T$3)/1000,1)+(_xlfn.RANK.AVG($T7,($J7,$O7,$T7),1)-2)*20)</f>
        <v>-13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10</v>
      </c>
      <c r="AY7" s="36" t="s">
        <v>149</v>
      </c>
      <c r="AZ7" s="47" t="s">
        <v>97</v>
      </c>
      <c r="BA7" s="48" t="s">
        <v>99</v>
      </c>
      <c r="BB7" s="48" t="s">
        <v>80</v>
      </c>
      <c r="BC7" s="48" t="s">
        <v>80</v>
      </c>
      <c r="BD7" s="48" t="s">
        <v>80</v>
      </c>
      <c r="BE7" s="48" t="s">
        <v>154</v>
      </c>
      <c r="BF7" s="48" t="s">
        <v>105</v>
      </c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BACF2-CE17-4635-A3BA-96B545618359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156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152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152</v>
      </c>
      <c r="L4" s="9">
        <v>-1500</v>
      </c>
      <c r="M4" s="9">
        <v>-1000</v>
      </c>
      <c r="N4" s="55">
        <v>0</v>
      </c>
      <c r="O4" s="21">
        <f>IF(COUNTA($F4,$K4,$P4)&gt;0,O3+SUM(L4:N4),"")</f>
        <v>32500</v>
      </c>
      <c r="P4" s="8" t="s">
        <v>153</v>
      </c>
      <c r="Q4" s="9">
        <v>3000</v>
      </c>
      <c r="R4" s="9">
        <v>1000</v>
      </c>
      <c r="S4" s="55">
        <v>0</v>
      </c>
      <c r="T4" s="21">
        <f>IF(COUNTA($F4,$K4,$P4)&gt;0,T3+SUM(Q4:S4),"")</f>
        <v>39000</v>
      </c>
      <c r="U4" s="60">
        <f>IF($J4="","",ROUND(($J4-$J$3)/1000,1)+(_xlfn.RANK.AVG($J4,($J4,$O4,$T4),1)-2)*20)</f>
        <v>-1.5</v>
      </c>
      <c r="V4" s="61">
        <f>IF($O4="","",ROUND(($O4-$O$3)/1000,1)+(_xlfn.RANK.AVG($O4,($J4,$O4,$T4),1)-2)*20)</f>
        <v>-22.5</v>
      </c>
      <c r="W4" s="62">
        <f>IF($T4="","",ROUND(($T4-$T$3)/1000,1)+(_xlfn.RANK.AVG($T4,($J4,$O4,$T4),1)-2)*20)</f>
        <v>24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/>
      <c r="I5" s="55"/>
      <c r="J5" s="21">
        <f t="shared" ref="J5:J30" si="2">IF(COUNTA($F5,$K5,$P5)&gt;0,J4+SUM(G5:I5),"")</f>
        <v>33500</v>
      </c>
      <c r="K5" s="8" t="s">
        <v>148</v>
      </c>
      <c r="L5" s="9">
        <v>12000</v>
      </c>
      <c r="M5" s="9"/>
      <c r="N5" s="55">
        <v>1000</v>
      </c>
      <c r="O5" s="21">
        <f t="shared" ref="O5:O30" si="3">IF(COUNTA($F5,$K5,$P5)&gt;0,O4+SUM(L5:N5),"")</f>
        <v>45500</v>
      </c>
      <c r="P5" s="8" t="s">
        <v>147</v>
      </c>
      <c r="Q5" s="9">
        <v>-12000</v>
      </c>
      <c r="R5" s="9"/>
      <c r="S5" s="55">
        <v>-1000</v>
      </c>
      <c r="T5" s="21">
        <f t="shared" ref="T5:T30" si="4">IF(COUNTA($F5,$K5,$P5)&gt;0,T4+SUM(Q5:S5),"")</f>
        <v>26000</v>
      </c>
      <c r="U5" s="60">
        <f>IF($J5="","",ROUND(($J5-$J$3)/1000,1)+(_xlfn.RANK.AVG($J5,($J5,$O5,$T5),1)-2)*20)</f>
        <v>-1.5</v>
      </c>
      <c r="V5" s="61">
        <f>IF($O5="","",ROUND(($O5-$O$3)/1000,1)+(_xlfn.RANK.AVG($O5,($J5,$O5,$T5),1)-2)*20)</f>
        <v>30.5</v>
      </c>
      <c r="W5" s="62">
        <f>IF($T5="","",ROUND(($T5-$T$3)/1000,1)+(_xlfn.RANK.AVG($T5,($J5,$O5,$T5),1)-2)*20)</f>
        <v>-29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7</v>
      </c>
      <c r="AY5" s="36" t="s">
        <v>149</v>
      </c>
      <c r="AZ5" s="47" t="s">
        <v>150</v>
      </c>
      <c r="BA5" s="48" t="s">
        <v>105</v>
      </c>
      <c r="BB5" s="48" t="s">
        <v>102</v>
      </c>
      <c r="BC5" s="48" t="s">
        <v>154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153</v>
      </c>
      <c r="G6" s="9">
        <v>12000</v>
      </c>
      <c r="H6" s="9"/>
      <c r="I6" s="55">
        <v>0</v>
      </c>
      <c r="J6" s="21">
        <f t="shared" si="2"/>
        <v>45500</v>
      </c>
      <c r="K6" s="8" t="s">
        <v>152</v>
      </c>
      <c r="L6" s="9">
        <v>-6000</v>
      </c>
      <c r="M6" s="9"/>
      <c r="N6" s="55">
        <v>0</v>
      </c>
      <c r="O6" s="21">
        <f t="shared" si="3"/>
        <v>39500</v>
      </c>
      <c r="P6" s="8" t="s">
        <v>152</v>
      </c>
      <c r="Q6" s="9">
        <v>-6000</v>
      </c>
      <c r="R6" s="9"/>
      <c r="S6" s="55">
        <v>0</v>
      </c>
      <c r="T6" s="21">
        <f t="shared" si="4"/>
        <v>20000</v>
      </c>
      <c r="U6" s="60">
        <f>IF($J6="","",ROUND(($J6-$J$3)/1000,1)+(_xlfn.RANK.AVG($J6,($J6,$O6,$T6),1)-2)*20)</f>
        <v>30.5</v>
      </c>
      <c r="V6" s="61">
        <f>IF($O6="","",ROUND(($O6-$O$3)/1000,1)+(_xlfn.RANK.AVG($O6,($J6,$O6,$T6),1)-2)*20)</f>
        <v>4.5</v>
      </c>
      <c r="W6" s="62">
        <f>IF($T6="","",ROUND(($T6-$T$3)/1000,1)+(_xlfn.RANK.AVG($T6,($J6,$O6,$T6),1)-2)*20)</f>
        <v>-35</v>
      </c>
      <c r="Y6" s="8"/>
      <c r="Z6" s="41"/>
      <c r="AA6" s="32">
        <v>1</v>
      </c>
      <c r="AB6" s="32"/>
      <c r="AC6" s="32">
        <v>5</v>
      </c>
      <c r="AD6" s="36" t="s">
        <v>149</v>
      </c>
      <c r="AE6" s="47" t="s">
        <v>150</v>
      </c>
      <c r="AF6" s="48" t="s">
        <v>83</v>
      </c>
      <c r="AG6" s="48" t="s">
        <v>84</v>
      </c>
      <c r="AH6" s="48" t="s">
        <v>85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153</v>
      </c>
      <c r="G7" s="9">
        <v>1600</v>
      </c>
      <c r="H7" s="9"/>
      <c r="I7" s="55">
        <v>1000</v>
      </c>
      <c r="J7" s="21">
        <f t="shared" si="2"/>
        <v>48100</v>
      </c>
      <c r="K7" s="8" t="s">
        <v>152</v>
      </c>
      <c r="L7" s="9">
        <v>-800</v>
      </c>
      <c r="M7" s="9"/>
      <c r="N7" s="55">
        <v>-500</v>
      </c>
      <c r="O7" s="21">
        <f t="shared" si="3"/>
        <v>38200</v>
      </c>
      <c r="P7" s="8" t="s">
        <v>152</v>
      </c>
      <c r="Q7" s="9">
        <v>-800</v>
      </c>
      <c r="R7" s="9"/>
      <c r="S7" s="55">
        <v>-500</v>
      </c>
      <c r="T7" s="21">
        <f t="shared" si="4"/>
        <v>18700</v>
      </c>
      <c r="U7" s="60">
        <f>IF($J7="","",ROUND(($J7-$J$3)/1000,1)+(_xlfn.RANK.AVG($J7,($J7,$O7,$T7),1)-2)*20)</f>
        <v>33.1</v>
      </c>
      <c r="V7" s="61">
        <f>IF($O7="","",ROUND(($O7-$O$3)/1000,1)+(_xlfn.RANK.AVG($O7,($J7,$O7,$T7),1)-2)*20)</f>
        <v>3.2</v>
      </c>
      <c r="W7" s="62">
        <f>IF($T7="","",ROUND(($T7-$T$3)/1000,1)+(_xlfn.RANK.AVG($T7,($J7,$O7,$T7),1)-2)*20)</f>
        <v>-36.299999999999997</v>
      </c>
      <c r="Y7" s="8"/>
      <c r="Z7" s="41"/>
      <c r="AA7" s="32"/>
      <c r="AB7" s="32"/>
      <c r="AC7" s="32">
        <v>1</v>
      </c>
      <c r="AD7" s="36">
        <v>30</v>
      </c>
      <c r="AE7" s="47" t="s">
        <v>83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139</v>
      </c>
      <c r="F8" s="8"/>
      <c r="G8" s="9"/>
      <c r="H8" s="9"/>
      <c r="I8" s="55"/>
      <c r="J8" s="21">
        <f t="shared" si="2"/>
        <v>48100</v>
      </c>
      <c r="K8" s="8" t="s">
        <v>148</v>
      </c>
      <c r="L8" s="9">
        <v>5200</v>
      </c>
      <c r="M8" s="9"/>
      <c r="N8" s="55">
        <v>2000</v>
      </c>
      <c r="O8" s="21">
        <f t="shared" si="3"/>
        <v>45400</v>
      </c>
      <c r="P8" s="8" t="s">
        <v>147</v>
      </c>
      <c r="Q8" s="9">
        <v>-5200</v>
      </c>
      <c r="R8" s="9"/>
      <c r="S8" s="55">
        <v>-2000</v>
      </c>
      <c r="T8" s="21">
        <f t="shared" si="4"/>
        <v>11500</v>
      </c>
      <c r="U8" s="60">
        <f>IF($J8="","",ROUND(($J8-$J$3)/1000,1)+(_xlfn.RANK.AVG($J8,($J8,$O8,$T8),1)-2)*20)</f>
        <v>33.1</v>
      </c>
      <c r="V8" s="61">
        <f>IF($O8="","",ROUND(($O8-$O$3)/1000,1)+(_xlfn.RANK.AVG($O8,($J8,$O8,$T8),1)-2)*20)</f>
        <v>10.4</v>
      </c>
      <c r="W8" s="62">
        <f>IF($T8="","",ROUND(($T8-$T$3)/1000,1)+(_xlfn.RANK.AVG($T8,($J8,$O8,$T8),1)-2)*20)</f>
        <v>-43.5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150</v>
      </c>
      <c r="BA8" s="48" t="s">
        <v>86</v>
      </c>
      <c r="BB8" s="48" t="s">
        <v>154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148</v>
      </c>
      <c r="G9" s="9">
        <v>1300</v>
      </c>
      <c r="H9" s="9"/>
      <c r="I9" s="55">
        <v>0</v>
      </c>
      <c r="J9" s="21">
        <f t="shared" si="2"/>
        <v>49400</v>
      </c>
      <c r="K9" s="8" t="s">
        <v>147</v>
      </c>
      <c r="L9" s="9">
        <v>-1300</v>
      </c>
      <c r="M9" s="9"/>
      <c r="N9" s="55">
        <v>0</v>
      </c>
      <c r="O9" s="21">
        <f t="shared" si="3"/>
        <v>44100</v>
      </c>
      <c r="P9" s="8"/>
      <c r="Q9" s="9"/>
      <c r="R9" s="9"/>
      <c r="S9" s="55"/>
      <c r="T9" s="21">
        <f t="shared" si="4"/>
        <v>11500</v>
      </c>
      <c r="U9" s="60">
        <f>IF($J9="","",ROUND(($J9-$J$3)/1000,1)+(_xlfn.RANK.AVG($J9,($J9,$O9,$T9),1)-2)*20)</f>
        <v>34.4</v>
      </c>
      <c r="V9" s="61">
        <f>IF($O9="","",ROUND(($O9-$O$3)/1000,1)+(_xlfn.RANK.AVG($O9,($J9,$O9,$T9),1)-2)*20)</f>
        <v>9.1</v>
      </c>
      <c r="W9" s="62">
        <f>IF($T9="","",ROUND(($T9-$T$3)/1000,1)+(_xlfn.RANK.AVG($T9,($J9,$O9,$T9),1)-2)*20)</f>
        <v>-43.5</v>
      </c>
      <c r="Y9" s="8"/>
      <c r="Z9" s="41"/>
      <c r="AA9" s="32"/>
      <c r="AB9" s="32"/>
      <c r="AC9" s="32">
        <v>1</v>
      </c>
      <c r="AD9" s="36">
        <v>40</v>
      </c>
      <c r="AE9" s="47" t="s">
        <v>85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155</v>
      </c>
      <c r="F10" s="8" t="s">
        <v>153</v>
      </c>
      <c r="G10" s="9">
        <v>4000</v>
      </c>
      <c r="H10" s="9"/>
      <c r="I10" s="55">
        <v>0</v>
      </c>
      <c r="J10" s="21">
        <f t="shared" si="2"/>
        <v>53400</v>
      </c>
      <c r="K10" s="8" t="s">
        <v>152</v>
      </c>
      <c r="L10" s="9">
        <v>-1500</v>
      </c>
      <c r="M10" s="9"/>
      <c r="N10" s="55">
        <v>0</v>
      </c>
      <c r="O10" s="21">
        <f t="shared" si="3"/>
        <v>42600</v>
      </c>
      <c r="P10" s="8" t="s">
        <v>152</v>
      </c>
      <c r="Q10" s="9">
        <v>-2500</v>
      </c>
      <c r="R10" s="9"/>
      <c r="S10" s="55">
        <v>0</v>
      </c>
      <c r="T10" s="21">
        <f t="shared" si="4"/>
        <v>9000</v>
      </c>
      <c r="U10" s="60">
        <f>IF($J10="","",ROUND(($J10-$J$3)/1000,1)+(_xlfn.RANK.AVG($J10,($J10,$O10,$T10),1)-2)*20)</f>
        <v>38.4</v>
      </c>
      <c r="V10" s="61">
        <f>IF($O10="","",ROUND(($O10-$O$3)/1000,1)+(_xlfn.RANK.AVG($O10,($J10,$O10,$T10),1)-2)*20)</f>
        <v>7.6</v>
      </c>
      <c r="W10" s="62">
        <f>IF($T10="","",ROUND(($T10-$T$3)/1000,1)+(_xlfn.RANK.AVG($T10,($J10,$O10,$T10),1)-2)*20)</f>
        <v>-46</v>
      </c>
      <c r="Y10" s="8"/>
      <c r="Z10" s="41"/>
      <c r="AA10" s="32"/>
      <c r="AB10" s="32"/>
      <c r="AC10" s="32">
        <v>3</v>
      </c>
      <c r="AD10" s="36">
        <v>30</v>
      </c>
      <c r="AE10" s="47" t="s">
        <v>83</v>
      </c>
      <c r="AF10" s="48" t="s">
        <v>86</v>
      </c>
      <c r="AG10" s="48" t="s">
        <v>154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139</v>
      </c>
      <c r="F11" s="8"/>
      <c r="G11" s="9"/>
      <c r="H11" s="9"/>
      <c r="I11" s="55"/>
      <c r="J11" s="21">
        <f t="shared" si="2"/>
        <v>53400</v>
      </c>
      <c r="K11" s="8" t="s">
        <v>147</v>
      </c>
      <c r="L11" s="9">
        <v>-3900</v>
      </c>
      <c r="M11" s="9"/>
      <c r="N11" s="55">
        <v>0</v>
      </c>
      <c r="O11" s="21">
        <f t="shared" si="3"/>
        <v>38700</v>
      </c>
      <c r="P11" s="8" t="s">
        <v>148</v>
      </c>
      <c r="Q11" s="9">
        <v>3900</v>
      </c>
      <c r="R11" s="9"/>
      <c r="S11" s="55">
        <v>0</v>
      </c>
      <c r="T11" s="21">
        <f t="shared" si="4"/>
        <v>12900</v>
      </c>
      <c r="U11" s="60">
        <f>IF($J11="","",ROUND(($J11-$J$3)/1000,1)+(_xlfn.RANK.AVG($J11,($J11,$O11,$T11),1)-2)*20)</f>
        <v>38.4</v>
      </c>
      <c r="V11" s="61">
        <f>IF($O11="","",ROUND(($O11-$O$3)/1000,1)+(_xlfn.RANK.AVG($O11,($J11,$O11,$T11),1)-2)*20)</f>
        <v>3.7</v>
      </c>
      <c r="W11" s="62">
        <f>IF($T11="","",ROUND(($T11-$T$3)/1000,1)+(_xlfn.RANK.AVG($T11,($J11,$O11,$T11),1)-2)*20)</f>
        <v>-42.1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3</v>
      </c>
      <c r="BT11" s="36">
        <v>30</v>
      </c>
      <c r="BU11" s="47" t="s">
        <v>87</v>
      </c>
      <c r="BV11" s="48" t="s">
        <v>80</v>
      </c>
      <c r="BW11" s="48" t="s">
        <v>80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152</v>
      </c>
      <c r="G12" s="9">
        <v>-6000</v>
      </c>
      <c r="H12" s="9"/>
      <c r="I12" s="55">
        <v>0</v>
      </c>
      <c r="J12" s="21">
        <f t="shared" si="2"/>
        <v>47400</v>
      </c>
      <c r="K12" s="8" t="s">
        <v>153</v>
      </c>
      <c r="L12" s="9">
        <v>12000</v>
      </c>
      <c r="M12" s="9">
        <v>1000</v>
      </c>
      <c r="N12" s="55">
        <v>0</v>
      </c>
      <c r="O12" s="21">
        <f t="shared" si="3"/>
        <v>51700</v>
      </c>
      <c r="P12" s="8" t="s">
        <v>152</v>
      </c>
      <c r="Q12" s="9">
        <v>-6000</v>
      </c>
      <c r="R12" s="9">
        <v>-1000</v>
      </c>
      <c r="S12" s="55">
        <v>0</v>
      </c>
      <c r="T12" s="21">
        <f t="shared" si="4"/>
        <v>5900</v>
      </c>
      <c r="U12" s="60">
        <f>IF($J12="","",ROUND(($J12-$J$3)/1000,1)+(_xlfn.RANK.AVG($J12,($J12,$O12,$T12),1)-2)*20)</f>
        <v>12.4</v>
      </c>
      <c r="V12" s="61">
        <f>IF($O12="","",ROUND(($O12-$O$3)/1000,1)+(_xlfn.RANK.AVG($O12,($J12,$O12,$T12),1)-2)*20)</f>
        <v>36.700000000000003</v>
      </c>
      <c r="W12" s="62">
        <f>IF($T12="","",ROUND(($T12-$T$3)/1000,1)+(_xlfn.RANK.AVG($T12,($J12,$O12,$T12),1)-2)*20)</f>
        <v>-49.1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149</v>
      </c>
      <c r="AZ12" s="47" t="s">
        <v>150</v>
      </c>
      <c r="BA12" s="48" t="s">
        <v>83</v>
      </c>
      <c r="BB12" s="48" t="s">
        <v>102</v>
      </c>
      <c r="BC12" s="48" t="s">
        <v>154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141</v>
      </c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E2D14246-AD7C-478E-AC99-2518666E2F23}">
      <formula1>$U$2:$W$2</formula1>
    </dataValidation>
    <dataValidation type="list" showInputMessage="1" showErrorMessage="1" sqref="K4:K30 P4:P30 F4:F30" xr:uid="{6D4CD4EE-EE9D-4B60-98B5-A61E016F6EF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2019-04-13T14:24:35Z</dcterms:modified>
</cp:coreProperties>
</file>