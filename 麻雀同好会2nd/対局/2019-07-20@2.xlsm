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680C823D-537B-437A-8C6C-702BC2318336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C16" i="20"/>
  <c r="D15" i="20"/>
  <c r="D14" i="20"/>
  <c r="C14" i="20"/>
  <c r="C15" i="20" s="1"/>
  <c r="D13" i="20"/>
  <c r="C13" i="20"/>
  <c r="C12" i="20"/>
  <c r="D11" i="20"/>
  <c r="D12" i="20" s="1"/>
  <c r="C11" i="20"/>
  <c r="D10" i="20"/>
  <c r="D9" i="20"/>
  <c r="D8" i="20"/>
  <c r="D7" i="20"/>
  <c r="D6" i="20"/>
  <c r="C6" i="20"/>
  <c r="C7" i="20" s="1"/>
  <c r="C8" i="20" s="1"/>
  <c r="C9" i="20" s="1"/>
  <c r="C10" i="20" s="1"/>
  <c r="B6" i="20"/>
  <c r="D5" i="20"/>
  <c r="C5" i="20"/>
  <c r="B5" i="20"/>
  <c r="A5" i="20" s="1"/>
  <c r="T4" i="20"/>
  <c r="W4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A6" i="20" l="1"/>
  <c r="V4" i="20"/>
  <c r="J6" i="20"/>
  <c r="U4" i="20"/>
  <c r="O5" i="20"/>
  <c r="U5" i="20" s="1"/>
  <c r="B7" i="20"/>
  <c r="A7" i="20" s="1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D16" i="19"/>
  <c r="C16" i="19"/>
  <c r="B16" i="19"/>
  <c r="A16" i="19" s="1"/>
  <c r="T15" i="19"/>
  <c r="W15" i="19" s="1"/>
  <c r="O15" i="19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J7" i="20"/>
  <c r="B8" i="20"/>
  <c r="V5" i="20"/>
  <c r="O6" i="20"/>
  <c r="U6" i="20" s="1"/>
  <c r="V16" i="19"/>
  <c r="U16" i="19"/>
  <c r="W16" i="19"/>
  <c r="V15" i="19"/>
  <c r="U14" i="19"/>
  <c r="V14" i="19"/>
  <c r="W14" i="19"/>
  <c r="U13" i="19"/>
  <c r="W13" i="19"/>
  <c r="V13" i="19"/>
  <c r="V12" i="19"/>
  <c r="W12" i="19"/>
  <c r="U12" i="19"/>
  <c r="W11" i="19"/>
  <c r="U11" i="19"/>
  <c r="V11" i="19"/>
  <c r="U10" i="19"/>
  <c r="W10" i="19"/>
  <c r="V9" i="19"/>
  <c r="V8" i="19"/>
  <c r="V7" i="19"/>
  <c r="W7" i="19"/>
  <c r="W6" i="19"/>
  <c r="U4" i="19"/>
  <c r="V4" i="19"/>
  <c r="W4" i="19"/>
  <c r="J5" i="19"/>
  <c r="O5" i="19"/>
  <c r="J8" i="20" l="1"/>
  <c r="W6" i="20"/>
  <c r="T7" i="20"/>
  <c r="O7" i="20"/>
  <c r="V6" i="20"/>
  <c r="B9" i="20"/>
  <c r="A9" i="20" s="1"/>
  <c r="A8" i="20"/>
  <c r="V5" i="19"/>
  <c r="W5" i="19"/>
  <c r="U5" i="19"/>
  <c r="B10" i="20" l="1"/>
  <c r="A10" i="20" s="1"/>
  <c r="O8" i="20"/>
  <c r="V7" i="20"/>
  <c r="W7" i="20"/>
  <c r="T8" i="20"/>
  <c r="J9" i="20"/>
  <c r="U7" i="20"/>
  <c r="V8" i="20" l="1"/>
  <c r="O9" i="20"/>
  <c r="B11" i="20"/>
  <c r="J10" i="20"/>
  <c r="U8" i="20"/>
  <c r="W8" i="20"/>
  <c r="T9" i="20"/>
  <c r="V9" i="20" l="1"/>
  <c r="O10" i="20"/>
  <c r="B12" i="20"/>
  <c r="A12" i="20" s="1"/>
  <c r="W9" i="20"/>
  <c r="T10" i="20"/>
  <c r="J11" i="20"/>
  <c r="A11" i="20"/>
  <c r="U9" i="20"/>
  <c r="J12" i="20" l="1"/>
  <c r="O11" i="20"/>
  <c r="V10" i="20"/>
  <c r="U10" i="20"/>
  <c r="W10" i="20"/>
  <c r="T11" i="20"/>
  <c r="B13" i="20"/>
  <c r="B14" i="20" l="1"/>
  <c r="A14" i="20" s="1"/>
  <c r="T12" i="20"/>
  <c r="W11" i="20"/>
  <c r="O12" i="20"/>
  <c r="V11" i="20"/>
  <c r="J13" i="20"/>
  <c r="U12" i="20"/>
  <c r="A13" i="20"/>
  <c r="U11" i="20"/>
  <c r="V12" i="20" l="1"/>
  <c r="O13" i="20"/>
  <c r="J14" i="20"/>
  <c r="W12" i="20"/>
  <c r="T13" i="20"/>
  <c r="B15" i="20"/>
  <c r="U13" i="20" l="1"/>
  <c r="B16" i="20"/>
  <c r="A16" i="20" s="1"/>
  <c r="W13" i="20"/>
  <c r="T14" i="20"/>
  <c r="A15" i="20"/>
  <c r="U14" i="20"/>
  <c r="J15" i="20"/>
  <c r="V13" i="20"/>
  <c r="O14" i="20"/>
  <c r="J16" i="20" l="1"/>
  <c r="W14" i="20"/>
  <c r="T15" i="20"/>
  <c r="V14" i="20"/>
  <c r="O15" i="20"/>
  <c r="O16" i="20" l="1"/>
  <c r="V15" i="20"/>
  <c r="W15" i="20"/>
  <c r="T16" i="20"/>
  <c r="W16" i="20" s="1"/>
  <c r="U16" i="20"/>
  <c r="U15" i="20"/>
  <c r="V16" i="20" l="1"/>
</calcChain>
</file>

<file path=xl/sharedStrings.xml><?xml version="1.0" encoding="utf-8"?>
<sst xmlns="http://schemas.openxmlformats.org/spreadsheetml/2006/main" count="734" uniqueCount="209">
  <si>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</si>
  <si>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</si>
  <si>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</si>
  <si>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</si>
  <si>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</si>
  <si>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</si>
  <si>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</si>
  <si>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</si>
  <si>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</si>
  <si>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</si>
  <si>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</si>
  <si>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</si>
  <si>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</si>
  <si>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</si>
  <si>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</si>
  <si>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</si>
  <si>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</si>
  <si>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</si>
  <si>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</si>
  <si>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</si>
  <si>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</si>
  <si>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</si>
  <si>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</si>
  <si>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</si>
  <si>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</si>
  <si>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</si>
  <si>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</si>
  <si>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</si>
  <si>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</si>
  <si>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</si>
  <si>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</si>
  <si>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</si>
  <si>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</si>
  <si>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</si>
  <si>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</si>
  <si>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</si>
  <si>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</si>
  <si>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</si>
  <si>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</si>
  <si>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</si>
  <si>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</si>
  <si>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</si>
  <si>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</si>
  <si>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</si>
  <si>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</si>
  <si>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</si>
  <si>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</si>
  <si>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</si>
  <si>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</si>
  <si>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</si>
  <si>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</si>
  <si>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</si>
  <si>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</si>
  <si>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</si>
  <si>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</si>
  <si>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</si>
  <si>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</si>
  <si>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</si>
  <si>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</si>
  <si>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</si>
  <si>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</si>
  <si>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</si>
  <si>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</si>
  <si>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</si>
  <si>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</si>
  <si>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</si>
  <si>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</si>
  <si>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</si>
  <si>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</si>
  <si>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</si>
  <si>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</si>
  <si>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</si>
  <si>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</si>
  <si>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</si>
  <si>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</si>
  <si>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</si>
  <si>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</si>
  <si>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</si>
  <si>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</si>
  <si>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</si>
  <si>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</si>
  <si>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</si>
  <si>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</si>
  <si>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</si>
  <si>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</si>
  <si>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</si>
  <si>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</si>
  <si>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</si>
  <si>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</si>
  <si>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</si>
  <si>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</si>
  <si>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</si>
  <si>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</si>
  <si>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</si>
  <si>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</si>
  <si>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</si>
  <si>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</si>
  <si>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</si>
  <si>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</si>
  <si>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</si>
  <si>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</si>
  <si>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</si>
  <si>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</si>
  <si>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</si>
  <si>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</si>
  <si>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</si>
  <si>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</si>
  <si>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</si>
  <si>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</si>
  <si>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</si>
  <si>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</si>
  <si>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</si>
  <si>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</si>
  <si>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</si>
  <si>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</si>
  <si>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</si>
  <si>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</si>
  <si>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</si>
  <si>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</si>
  <si>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</si>
  <si>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</si>
  <si>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</si>
  <si>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</si>
  <si>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</si>
  <si>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</si>
  <si>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</si>
  <si>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</si>
  <si>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</si>
  <si>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</si>
  <si>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</si>
  <si>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</si>
  <si>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</si>
  <si>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</si>
  <si>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</si>
  <si>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</si>
  <si>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</si>
  <si>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</si>
  <si>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</si>
  <si>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</si>
  <si>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</si>
  <si>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</si>
  <si>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</si>
  <si>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</si>
  <si>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</si>
  <si>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</si>
  <si>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</si>
  <si>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</si>
  <si>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</si>
  <si>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</si>
  <si>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</si>
  <si>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</si>
  <si>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</si>
  <si>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</si>
  <si>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</si>
  <si>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</si>
  <si>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</si>
  <si>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</si>
  <si>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</si>
  <si>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</si>
  <si>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</si>
  <si>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</si>
  <si>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</si>
  <si>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</si>
  <si>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</si>
  <si>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</si>
  <si>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</si>
  <si>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</si>
  <si>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</si>
  <si>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</si>
  <si>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</si>
  <si>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</si>
  <si>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</si>
  <si>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</si>
  <si>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</si>
  <si>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</si>
  <si>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</si>
  <si>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</si>
  <si>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</si>
  <si>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</si>
  <si>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</si>
  <si>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</si>
  <si>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</si>
  <si>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</si>
  <si>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</si>
  <si>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</si>
  <si>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</si>
  <si>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</si>
  <si>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</si>
  <si>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</si>
  <si>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</si>
  <si>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</si>
  <si>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</si>
  <si>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まっつん</t>
  </si>
  <si>
    <t>ただ</t>
  </si>
  <si>
    <t>ロン</t>
  </si>
  <si>
    <t>放銃</t>
  </si>
  <si>
    <t>01</t>
  </si>
  <si>
    <t>ツモ支払</t>
  </si>
  <si>
    <t>ツモ</t>
  </si>
  <si>
    <t>*</t>
  </si>
  <si>
    <t>T</t>
  </si>
  <si>
    <t>流局</t>
    <phoneticPr fontId="1"/>
  </si>
  <si>
    <t>52</t>
  </si>
  <si>
    <t>N</t>
  </si>
  <si>
    <t>チョンボ</t>
  </si>
  <si>
    <t>02</t>
  </si>
  <si>
    <t>51</t>
  </si>
  <si>
    <t>ぱぱ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</si>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</sst>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195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196</v>
      </c>
      <c r="AF4" s="41" t="s">
        <v>83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35900</v>
      </c>
      <c r="K5" s="8" t="s">
        <v>198</v>
      </c>
      <c r="L5" s="9">
        <v>8000</v>
      </c>
      <c r="M5" s="9"/>
      <c r="N5" s="48">
        <v>0</v>
      </c>
      <c r="O5" s="21">
        <f t="shared" ref="O5:O30" si="3">IF(COUNTA($F5,$K5,$P5)&gt;0,O4+SUM(L5:N5),"")</f>
        <v>39100</v>
      </c>
      <c r="P5" s="8" t="s">
        <v>197</v>
      </c>
      <c r="Q5" s="9">
        <v>-5000</v>
      </c>
      <c r="R5" s="9"/>
      <c r="S5" s="48">
        <v>0</v>
      </c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0.9</v>
      </c>
      <c r="V5" s="54">
        <f>IF($O5="","",ROUND(($O5-$O$3)/1000,1)+(_xlfn.RANK.AVG($O5,($J5,$O5,$T5),1)-2)*20)</f>
        <v>24.1</v>
      </c>
      <c r="W5" s="55">
        <f>IF($T5="","",ROUND(($T5-$T$3)/1000,1)+(_xlfn.RANK.AVG($T5,($J5,$O5,$T5),1)-2)*20)</f>
        <v>-25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196</v>
      </c>
      <c r="BA5" s="41" t="s">
        <v>82</v>
      </c>
      <c r="BB5" s="41" t="s">
        <v>84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0</v>
      </c>
      <c r="H6" s="9">
        <v>-1000</v>
      </c>
      <c r="I6" s="48"/>
      <c r="J6" s="21">
        <f t="shared" si="2"/>
        <v>34900</v>
      </c>
      <c r="K6" s="8" t="s">
        <v>201</v>
      </c>
      <c r="L6" s="9">
        <v>0</v>
      </c>
      <c r="M6" s="9"/>
      <c r="N6" s="48"/>
      <c r="O6" s="21">
        <f t="shared" si="3"/>
        <v>39100</v>
      </c>
      <c r="P6" s="8" t="s">
        <v>201</v>
      </c>
      <c r="Q6" s="9">
        <v>0</v>
      </c>
      <c r="R6" s="9"/>
      <c r="S6" s="48"/>
      <c r="T6" s="21">
        <f t="shared" si="4"/>
        <v>30000</v>
      </c>
      <c r="U6" s="53">
        <f>IF($J6="","",ROUND(($J6-$J$3)/1000,1)+(_xlfn.RANK.AVG($J6,($J6,$O6,$T6),1)-2)*20)</f>
        <v>-0.1</v>
      </c>
      <c r="V6" s="54">
        <f>IF($O6="","",ROUND(($O6-$O$3)/1000,1)+(_xlfn.RANK.AVG($O6,($J6,$O6,$T6),1)-2)*20)</f>
        <v>24.1</v>
      </c>
      <c r="W6" s="55">
        <f>IF($T6="","",ROUND(($T6-$T$3)/1000,1)+(_xlfn.RANK.AVG($T6,($J6,$O6,$T6),1)-2)*20)</f>
        <v>-25</v>
      </c>
      <c r="Y6" s="8" t="s">
        <v>200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194</v>
      </c>
      <c r="G7" s="9">
        <v>7700</v>
      </c>
      <c r="H7" s="9">
        <v>1000</v>
      </c>
      <c r="I7" s="48">
        <v>1000</v>
      </c>
      <c r="J7" s="21">
        <f t="shared" si="2"/>
        <v>44600</v>
      </c>
      <c r="K7" s="8" t="s">
        <v>195</v>
      </c>
      <c r="L7" s="9">
        <v>-7700</v>
      </c>
      <c r="M7" s="9"/>
      <c r="N7" s="48">
        <v>-1000</v>
      </c>
      <c r="O7" s="21">
        <f t="shared" si="3"/>
        <v>30400</v>
      </c>
      <c r="P7" s="8"/>
      <c r="Q7" s="9"/>
      <c r="R7" s="9"/>
      <c r="S7" s="48"/>
      <c r="T7" s="21">
        <f t="shared" si="4"/>
        <v>30000</v>
      </c>
      <c r="U7" s="53">
        <f>IF($J7="","",ROUND(($J7-$J$3)/1000,1)+(_xlfn.RANK.AVG($J7,($J7,$O7,$T7),1)-2)*20)</f>
        <v>29.6</v>
      </c>
      <c r="V7" s="54">
        <f>IF($O7="","",ROUND(($O7-$O$3)/1000,1)+(_xlfn.RANK.AVG($O7,($J7,$O7,$T7),1)-2)*20)</f>
        <v>-4.5999999999999996</v>
      </c>
      <c r="W7" s="55">
        <f>IF($T7="","",ROUND(($T7-$T$3)/1000,1)+(_xlfn.RANK.AVG($T7,($J7,$O7,$T7),1)-2)*20)</f>
        <v>-25</v>
      </c>
      <c r="Y7" s="8"/>
      <c r="Z7" s="34"/>
      <c r="AA7" s="26"/>
      <c r="AB7" s="26"/>
      <c r="AC7" s="26">
        <v>3</v>
      </c>
      <c r="AD7" s="30">
        <v>40</v>
      </c>
      <c r="AE7" s="40" t="s">
        <v>202</v>
      </c>
      <c r="AF7" s="41" t="s">
        <v>85</v>
      </c>
      <c r="AG7" s="41" t="s">
        <v>84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201</v>
      </c>
      <c r="G8" s="9">
        <v>3000</v>
      </c>
      <c r="H8" s="9"/>
      <c r="I8" s="48"/>
      <c r="J8" s="21">
        <f t="shared" si="2"/>
        <v>47600</v>
      </c>
      <c r="K8" s="8" t="s">
        <v>201</v>
      </c>
      <c r="L8" s="9">
        <v>-1500</v>
      </c>
      <c r="M8" s="9"/>
      <c r="N8" s="48"/>
      <c r="O8" s="21">
        <f t="shared" si="3"/>
        <v>28900</v>
      </c>
      <c r="P8" s="8" t="s">
        <v>201</v>
      </c>
      <c r="Q8" s="9">
        <v>-1500</v>
      </c>
      <c r="R8" s="9"/>
      <c r="S8" s="48"/>
      <c r="T8" s="21">
        <f t="shared" si="4"/>
        <v>28500</v>
      </c>
      <c r="U8" s="53">
        <f>IF($J8="","",ROUND(($J8-$J$3)/1000,1)+(_xlfn.RANK.AVG($J8,($J8,$O8,$T8),1)-2)*20)</f>
        <v>32.6</v>
      </c>
      <c r="V8" s="54">
        <f>IF($O8="","",ROUND(($O8-$O$3)/1000,1)+(_xlfn.RANK.AVG($O8,($J8,$O8,$T8),1)-2)*20)</f>
        <v>-6.1</v>
      </c>
      <c r="W8" s="55">
        <f>IF($T8="","",ROUND(($T8-$T$3)/1000,1)+(_xlfn.RANK.AVG($T8,($J8,$O8,$T8),1)-2)*20)</f>
        <v>-26.5</v>
      </c>
      <c r="Y8" s="8" t="s">
        <v>200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198</v>
      </c>
      <c r="G9" s="9">
        <v>12000</v>
      </c>
      <c r="H9" s="9"/>
      <c r="I9" s="48">
        <v>3000</v>
      </c>
      <c r="J9" s="21">
        <f t="shared" si="2"/>
        <v>62600</v>
      </c>
      <c r="K9" s="8" t="s">
        <v>197</v>
      </c>
      <c r="L9" s="9">
        <v>-6000</v>
      </c>
      <c r="M9" s="9"/>
      <c r="N9" s="48">
        <v>-1500</v>
      </c>
      <c r="O9" s="21">
        <f t="shared" si="3"/>
        <v>21400</v>
      </c>
      <c r="P9" s="8" t="s">
        <v>197</v>
      </c>
      <c r="Q9" s="9">
        <v>-6000</v>
      </c>
      <c r="R9" s="9"/>
      <c r="S9" s="48">
        <v>-1500</v>
      </c>
      <c r="T9" s="21">
        <f t="shared" si="4"/>
        <v>21000</v>
      </c>
      <c r="U9" s="53">
        <f>IF($J9="","",ROUND(($J9-$J$3)/1000,1)+(_xlfn.RANK.AVG($J9,($J9,$O9,$T9),1)-2)*20)</f>
        <v>47.6</v>
      </c>
      <c r="V9" s="54">
        <f>IF($O9="","",ROUND(($O9-$O$3)/1000,1)+(_xlfn.RANK.AVG($O9,($J9,$O9,$T9),1)-2)*20)</f>
        <v>-13.6</v>
      </c>
      <c r="W9" s="55">
        <f>IF($T9="","",ROUND(($T9-$T$3)/1000,1)+(_xlfn.RANK.AVG($T9,($J9,$O9,$T9),1)-2)*20)</f>
        <v>-34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86</v>
      </c>
      <c r="AG9" s="41" t="s">
        <v>202</v>
      </c>
      <c r="AH9" s="41" t="s">
        <v>202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197</v>
      </c>
      <c r="G10" s="9">
        <v>-700</v>
      </c>
      <c r="H10" s="9"/>
      <c r="I10" s="48">
        <v>-2000</v>
      </c>
      <c r="J10" s="21">
        <f t="shared" si="2"/>
        <v>59900</v>
      </c>
      <c r="K10" s="8" t="s">
        <v>198</v>
      </c>
      <c r="L10" s="9">
        <v>1200</v>
      </c>
      <c r="M10" s="9"/>
      <c r="N10" s="48">
        <v>4000</v>
      </c>
      <c r="O10" s="21">
        <f t="shared" si="3"/>
        <v>26600</v>
      </c>
      <c r="P10" s="8" t="s">
        <v>197</v>
      </c>
      <c r="Q10" s="9">
        <v>-500</v>
      </c>
      <c r="R10" s="9"/>
      <c r="S10" s="48">
        <v>-2000</v>
      </c>
      <c r="T10" s="21">
        <f t="shared" si="4"/>
        <v>18500</v>
      </c>
      <c r="U10" s="53">
        <f>IF($J10="","",ROUND(($J10-$J$3)/1000,1)+(_xlfn.RANK.AVG($J10,($J10,$O10,$T10),1)-2)*20)</f>
        <v>44.9</v>
      </c>
      <c r="V10" s="54">
        <f>IF($O10="","",ROUND(($O10-$O$3)/1000,1)+(_xlfn.RANK.AVG($O10,($J10,$O10,$T10),1)-2)*20)</f>
        <v>-8.4</v>
      </c>
      <c r="W10" s="55">
        <f>IF($T10="","",ROUND(($T10-$T$3)/1000,1)+(_xlfn.RANK.AVG($T10,($J10,$O10,$T10),1)-2)*20)</f>
        <v>-36.5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82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204</v>
      </c>
      <c r="G11" s="9">
        <v>-8000</v>
      </c>
      <c r="H11" s="9"/>
      <c r="I11" s="48"/>
      <c r="J11" s="21">
        <f t="shared" si="2"/>
        <v>51900</v>
      </c>
      <c r="K11" s="8" t="s">
        <v>204</v>
      </c>
      <c r="L11" s="9">
        <v>5000</v>
      </c>
      <c r="M11" s="9"/>
      <c r="N11" s="48"/>
      <c r="O11" s="21">
        <f t="shared" si="3"/>
        <v>31600</v>
      </c>
      <c r="P11" s="8" t="s">
        <v>204</v>
      </c>
      <c r="Q11" s="9">
        <v>3000</v>
      </c>
      <c r="R11" s="9"/>
      <c r="S11" s="48"/>
      <c r="T11" s="21">
        <f t="shared" si="4"/>
        <v>21500</v>
      </c>
      <c r="U11" s="53">
        <f>IF($J11="","",ROUND(($J11-$J$3)/1000,1)+(_xlfn.RANK.AVG($J11,($J11,$O11,$T11),1)-2)*20)</f>
        <v>36.9</v>
      </c>
      <c r="V11" s="54">
        <f>IF($O11="","",ROUND(($O11-$O$3)/1000,1)+(_xlfn.RANK.AVG($O11,($J11,$O11,$T11),1)-2)*20)</f>
        <v>-3.4</v>
      </c>
      <c r="W11" s="55">
        <f>IF($T11="","",ROUND(($T11-$T$3)/1000,1)+(_xlfn.RANK.AVG($T11,($J11,$O11,$T11),1)-2)*20)</f>
        <v>-33.5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197</v>
      </c>
      <c r="G12" s="9">
        <v>-9000</v>
      </c>
      <c r="H12" s="9"/>
      <c r="I12" s="48">
        <v>0</v>
      </c>
      <c r="J12" s="21">
        <f t="shared" si="2"/>
        <v>42900</v>
      </c>
      <c r="K12" s="8" t="s">
        <v>198</v>
      </c>
      <c r="L12" s="9">
        <v>18000</v>
      </c>
      <c r="M12" s="9"/>
      <c r="N12" s="48">
        <v>0</v>
      </c>
      <c r="O12" s="21">
        <f t="shared" si="3"/>
        <v>49600</v>
      </c>
      <c r="P12" s="8" t="s">
        <v>197</v>
      </c>
      <c r="Q12" s="9">
        <v>-9000</v>
      </c>
      <c r="R12" s="9"/>
      <c r="S12" s="48">
        <v>0</v>
      </c>
      <c r="T12" s="21">
        <f t="shared" si="4"/>
        <v>12500</v>
      </c>
      <c r="U12" s="53">
        <f>IF($J12="","",ROUND(($J12-$J$3)/1000,1)+(_xlfn.RANK.AVG($J12,($J12,$O12,$T12),1)-2)*20)</f>
        <v>7.9</v>
      </c>
      <c r="V12" s="54">
        <f>IF($O12="","",ROUND(($O12-$O$3)/1000,1)+(_xlfn.RANK.AVG($O12,($J12,$O12,$T12),1)-2)*20)</f>
        <v>34.6</v>
      </c>
      <c r="W12" s="55">
        <f>IF($T12="","",ROUND(($T12-$T$3)/1000,1)+(_xlfn.RANK.AVG($T12,($J12,$O12,$T12),1)-2)*20)</f>
        <v>-42.5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196</v>
      </c>
      <c r="BA12" s="41" t="s">
        <v>82</v>
      </c>
      <c r="BB12" s="41" t="s">
        <v>205</v>
      </c>
      <c r="BC12" s="41" t="s">
        <v>92</v>
      </c>
      <c r="BD12" s="41" t="s">
        <v>83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192</v>
      </c>
      <c r="F13" s="8" t="s">
        <v>195</v>
      </c>
      <c r="G13" s="9">
        <v>-3200</v>
      </c>
      <c r="H13" s="9"/>
      <c r="I13" s="48">
        <v>-1000</v>
      </c>
      <c r="J13" s="21">
        <f t="shared" si="2"/>
        <v>38700</v>
      </c>
      <c r="K13" s="8"/>
      <c r="L13" s="9"/>
      <c r="M13" s="9"/>
      <c r="N13" s="48"/>
      <c r="O13" s="21">
        <f t="shared" si="3"/>
        <v>49600</v>
      </c>
      <c r="P13" s="8" t="s">
        <v>194</v>
      </c>
      <c r="Q13" s="9">
        <v>3200</v>
      </c>
      <c r="R13" s="9"/>
      <c r="S13" s="48">
        <v>1000</v>
      </c>
      <c r="T13" s="21">
        <f t="shared" si="4"/>
        <v>16700</v>
      </c>
      <c r="U13" s="53">
        <f>IF($J13="","",ROUND(($J13-$J$3)/1000,1)+(_xlfn.RANK.AVG($J13,($J13,$O13,$T13),1)-2)*20)</f>
        <v>3.7</v>
      </c>
      <c r="V13" s="54">
        <f>IF($O13="","",ROUND(($O13-$O$3)/1000,1)+(_xlfn.RANK.AVG($O13,($J13,$O13,$T13),1)-2)*20)</f>
        <v>34.6</v>
      </c>
      <c r="W13" s="55">
        <f>IF($T13="","",ROUND(($T13-$T$3)/1000,1)+(_xlfn.RANK.AVG($T13,($J13,$O13,$T13),1)-2)*20)</f>
        <v>-38.299999999999997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50</v>
      </c>
      <c r="BU13" s="40" t="s">
        <v>196</v>
      </c>
      <c r="BV13" s="41" t="s">
        <v>79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38700</v>
      </c>
      <c r="K14" s="8" t="s">
        <v>195</v>
      </c>
      <c r="L14" s="9">
        <v>-5800</v>
      </c>
      <c r="M14" s="9">
        <v>-1000</v>
      </c>
      <c r="N14" s="48">
        <v>0</v>
      </c>
      <c r="O14" s="21">
        <f t="shared" si="3"/>
        <v>42800</v>
      </c>
      <c r="P14" s="8" t="s">
        <v>194</v>
      </c>
      <c r="Q14" s="9">
        <v>5800</v>
      </c>
      <c r="R14" s="9">
        <v>1000</v>
      </c>
      <c r="S14" s="48">
        <v>0</v>
      </c>
      <c r="T14" s="21">
        <f t="shared" si="4"/>
        <v>23500</v>
      </c>
      <c r="U14" s="53">
        <f>IF($J14="","",ROUND(($J14-$J$3)/1000,1)+(_xlfn.RANK.AVG($J14,($J14,$O14,$T14),1)-2)*20)</f>
        <v>3.7</v>
      </c>
      <c r="V14" s="54">
        <f>IF($O14="","",ROUND(($O14-$O$3)/1000,1)+(_xlfn.RANK.AVG($O14,($J14,$O14,$T14),1)-2)*20)</f>
        <v>27.8</v>
      </c>
      <c r="W14" s="55">
        <f>IF($T14="","",ROUND(($T14-$T$3)/1000,1)+(_xlfn.RANK.AVG($T14,($J14,$O14,$T14),1)-2)*20)</f>
        <v>-31.5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3</v>
      </c>
      <c r="BT14" s="30">
        <v>30</v>
      </c>
      <c r="BU14" s="40" t="s">
        <v>104</v>
      </c>
      <c r="BV14" s="41" t="s">
        <v>86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">
        <v>193</v>
      </c>
      <c r="F15" s="8" t="s">
        <v>198</v>
      </c>
      <c r="G15" s="9">
        <v>5300</v>
      </c>
      <c r="H15" s="9"/>
      <c r="I15" s="48">
        <v>1000</v>
      </c>
      <c r="J15" s="21">
        <f t="shared" si="2"/>
        <v>45000</v>
      </c>
      <c r="K15" s="8" t="s">
        <v>197</v>
      </c>
      <c r="L15" s="9">
        <v>-2000</v>
      </c>
      <c r="M15" s="9"/>
      <c r="N15" s="48">
        <v>-500</v>
      </c>
      <c r="O15" s="21">
        <f t="shared" si="3"/>
        <v>40300</v>
      </c>
      <c r="P15" s="8" t="s">
        <v>197</v>
      </c>
      <c r="Q15" s="9">
        <v>-3300</v>
      </c>
      <c r="R15" s="9"/>
      <c r="S15" s="48">
        <v>-500</v>
      </c>
      <c r="T15" s="21">
        <f t="shared" si="4"/>
        <v>19700</v>
      </c>
      <c r="U15" s="53">
        <f>IF($J15="","",ROUND(($J15-$J$3)/1000,1)+(_xlfn.RANK.AVG($J15,($J15,$O15,$T15),1)-2)*20)</f>
        <v>30</v>
      </c>
      <c r="V15" s="54">
        <f>IF($O15="","",ROUND(($O15-$O$3)/1000,1)+(_xlfn.RANK.AVG($O15,($J15,$O15,$T15),1)-2)*20)</f>
        <v>5.3</v>
      </c>
      <c r="W15" s="55">
        <f>IF($T15="","",ROUND(($T15-$T$3)/1000,1)+(_xlfn.RANK.AVG($T15,($J15,$O15,$T15),1)-2)*20)</f>
        <v>-35.299999999999997</v>
      </c>
      <c r="Y15" s="8"/>
      <c r="Z15" s="34"/>
      <c r="AA15" s="26">
        <v>1</v>
      </c>
      <c r="AB15" s="26"/>
      <c r="AC15" s="26">
        <v>4</v>
      </c>
      <c r="AD15" s="30">
        <v>20</v>
      </c>
      <c r="AE15" s="40" t="s">
        <v>206</v>
      </c>
      <c r="AF15" s="41" t="s">
        <v>82</v>
      </c>
      <c r="AG15" s="41" t="s">
        <v>83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198</v>
      </c>
      <c r="G16" s="9">
        <v>18000</v>
      </c>
      <c r="H16" s="9"/>
      <c r="I16" s="48">
        <v>0</v>
      </c>
      <c r="J16" s="21">
        <f t="shared" si="2"/>
        <v>63000</v>
      </c>
      <c r="K16" s="8" t="s">
        <v>197</v>
      </c>
      <c r="L16" s="9">
        <v>-9000</v>
      </c>
      <c r="M16" s="9"/>
      <c r="N16" s="48">
        <v>0</v>
      </c>
      <c r="O16" s="21">
        <f t="shared" si="3"/>
        <v>31300</v>
      </c>
      <c r="P16" s="8" t="s">
        <v>197</v>
      </c>
      <c r="Q16" s="9">
        <v>-9000</v>
      </c>
      <c r="R16" s="9"/>
      <c r="S16" s="48">
        <v>0</v>
      </c>
      <c r="T16" s="21">
        <f t="shared" si="4"/>
        <v>10700</v>
      </c>
      <c r="U16" s="53">
        <f>IF($J16="","",ROUND(($J16-$J$3)/1000,1)+(_xlfn.RANK.AVG($J16,($J16,$O16,$T16),1)-2)*20)</f>
        <v>48</v>
      </c>
      <c r="V16" s="54">
        <f>IF($O16="","",ROUND(($O16-$O$3)/1000,1)+(_xlfn.RANK.AVG($O16,($J16,$O16,$T16),1)-2)*20)</f>
        <v>-3.7</v>
      </c>
      <c r="W16" s="55">
        <f>IF($T16="","",ROUND(($T16-$T$3)/1000,1)+(_xlfn.RANK.AVG($T16,($J16,$O16,$T16),1)-2)*20)</f>
        <v>-44.3</v>
      </c>
      <c r="Y16" s="8"/>
      <c r="Z16" s="34"/>
      <c r="AA16" s="26">
        <v>1</v>
      </c>
      <c r="AB16" s="26"/>
      <c r="AC16" s="26">
        <v>6</v>
      </c>
      <c r="AD16" s="30" t="s">
        <v>199</v>
      </c>
      <c r="AE16" s="40" t="s">
        <v>196</v>
      </c>
      <c r="AF16" s="41" t="s">
        <v>82</v>
      </c>
      <c r="AG16" s="41" t="s">
        <v>80</v>
      </c>
      <c r="AH16" s="41" t="s">
        <v>79</v>
      </c>
      <c r="AI16" s="41" t="s">
        <v>202</v>
      </c>
      <c r="AJ16" s="41" t="s">
        <v>202</v>
      </c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18BE1D8-B65D-4C0E-A04D-86161CDD621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A8F3-1853-440E-9F26-D3077D970564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208</v>
      </c>
      <c r="G4" s="9">
        <v>-3000</v>
      </c>
      <c r="H4" s="9"/>
      <c r="I4" s="48"/>
      <c r="J4" s="21">
        <f>IF(COUNTA($F4,$K4,$P4)&gt;0,J3+SUM(G4:I4),"")</f>
        <v>32000</v>
      </c>
      <c r="K4" s="8" t="s">
        <v>208</v>
      </c>
      <c r="L4" s="9">
        <v>1500</v>
      </c>
      <c r="M4" s="9"/>
      <c r="N4" s="48"/>
      <c r="O4" s="21">
        <f>IF(COUNTA($F4,$K4,$P4)&gt;0,O3+SUM(L4:N4),"")</f>
        <v>36500</v>
      </c>
      <c r="P4" s="8" t="s">
        <v>208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0.5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208</v>
      </c>
      <c r="G5" s="9">
        <v>1500</v>
      </c>
      <c r="H5" s="9"/>
      <c r="I5" s="48"/>
      <c r="J5" s="21">
        <f t="shared" ref="J5:J30" si="2">IF(COUNTA($F5,$K5,$P5)&gt;0,J4+SUM(G5:I5),"")</f>
        <v>33500</v>
      </c>
      <c r="K5" s="8" t="s">
        <v>208</v>
      </c>
      <c r="L5" s="9">
        <v>1500</v>
      </c>
      <c r="M5" s="9">
        <v>-1000</v>
      </c>
      <c r="N5" s="48"/>
      <c r="O5" s="21">
        <f t="shared" ref="O5:O30" si="3">IF(COUNTA($F5,$K5,$P5)&gt;0,O4+SUM(L5:N5),"")</f>
        <v>37000</v>
      </c>
      <c r="P5" s="8" t="s">
        <v>208</v>
      </c>
      <c r="Q5" s="9">
        <v>-3000</v>
      </c>
      <c r="R5" s="9"/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22</v>
      </c>
      <c r="W5" s="55">
        <f>IF($T5="","",ROUND(($T5-$T$3)/1000,1)+(_xlfn.RANK.AVG($T5,($J5,$O5,$T5),1)-2)*20)</f>
        <v>-22.5</v>
      </c>
      <c r="Y5" s="8" t="s">
        <v>200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207</v>
      </c>
      <c r="F6" s="8" t="s">
        <v>208</v>
      </c>
      <c r="G6" s="9">
        <v>-3000</v>
      </c>
      <c r="H6" s="9"/>
      <c r="I6" s="48"/>
      <c r="J6" s="21">
        <f t="shared" si="2"/>
        <v>30500</v>
      </c>
      <c r="K6" s="8" t="s">
        <v>208</v>
      </c>
      <c r="L6" s="9">
        <v>1500</v>
      </c>
      <c r="M6" s="9"/>
      <c r="N6" s="48"/>
      <c r="O6" s="21">
        <f t="shared" si="3"/>
        <v>38500</v>
      </c>
      <c r="P6" s="8" t="s">
        <v>208</v>
      </c>
      <c r="Q6" s="9">
        <v>1500</v>
      </c>
      <c r="R6" s="9">
        <v>-1000</v>
      </c>
      <c r="S6" s="48"/>
      <c r="T6" s="21">
        <f t="shared" si="4"/>
        <v>33000</v>
      </c>
      <c r="U6" s="53">
        <f>IF($J6="","",ROUND(($J6-$J$3)/1000,1)+(_xlfn.RANK.AVG($J6,($J6,$O6,$T6),1)-2)*20)</f>
        <v>-24.5</v>
      </c>
      <c r="V6" s="54">
        <f>IF($O6="","",ROUND(($O6-$O$3)/1000,1)+(_xlfn.RANK.AVG($O6,($J6,$O6,$T6),1)-2)*20)</f>
        <v>23.5</v>
      </c>
      <c r="W6" s="55">
        <f>IF($T6="","",ROUND(($T6-$T$3)/1000,1)+(_xlfn.RANK.AVG($T6,($J6,$O6,$T6),1)-2)*20)</f>
        <v>-2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3</v>
      </c>
      <c r="D7" s="18">
        <f t="shared" si="1"/>
        <v>3</v>
      </c>
      <c r="E7" s="4" t="s">
        <v>192</v>
      </c>
      <c r="F7" s="8" t="s">
        <v>194</v>
      </c>
      <c r="G7" s="9">
        <v>1300</v>
      </c>
      <c r="H7" s="9">
        <v>3000</v>
      </c>
      <c r="I7" s="48">
        <v>3000</v>
      </c>
      <c r="J7" s="21">
        <f t="shared" si="2"/>
        <v>37800</v>
      </c>
      <c r="K7" s="8" t="s">
        <v>195</v>
      </c>
      <c r="L7" s="9">
        <v>-1300</v>
      </c>
      <c r="M7" s="9"/>
      <c r="N7" s="48">
        <v>-3000</v>
      </c>
      <c r="O7" s="21">
        <f t="shared" si="3"/>
        <v>34200</v>
      </c>
      <c r="P7" s="8"/>
      <c r="Q7" s="9"/>
      <c r="R7" s="9"/>
      <c r="S7" s="48"/>
      <c r="T7" s="21">
        <f t="shared" si="4"/>
        <v>33000</v>
      </c>
      <c r="U7" s="53">
        <f>IF($J7="","",ROUND(($J7-$J$3)/1000,1)+(_xlfn.RANK.AVG($J7,($J7,$O7,$T7),1)-2)*20)</f>
        <v>22.8</v>
      </c>
      <c r="V7" s="54">
        <f>IF($O7="","",ROUND(($O7-$O$3)/1000,1)+(_xlfn.RANK.AVG($O7,($J7,$O7,$T7),1)-2)*20)</f>
        <v>-0.8</v>
      </c>
      <c r="W7" s="55">
        <f>IF($T7="","",ROUND(($T7-$T$3)/1000,1)+(_xlfn.RANK.AVG($T7,($J7,$O7,$T7),1)-2)*20)</f>
        <v>-22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196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8000</v>
      </c>
      <c r="H8" s="9"/>
      <c r="I8" s="48">
        <v>0</v>
      </c>
      <c r="J8" s="21">
        <f t="shared" si="2"/>
        <v>45800</v>
      </c>
      <c r="K8" s="8" t="s">
        <v>197</v>
      </c>
      <c r="L8" s="9">
        <v>-3000</v>
      </c>
      <c r="M8" s="9"/>
      <c r="N8" s="48">
        <v>0</v>
      </c>
      <c r="O8" s="21">
        <f t="shared" si="3"/>
        <v>31200</v>
      </c>
      <c r="P8" s="8" t="s">
        <v>197</v>
      </c>
      <c r="Q8" s="9">
        <v>-5000</v>
      </c>
      <c r="R8" s="9"/>
      <c r="S8" s="48">
        <v>0</v>
      </c>
      <c r="T8" s="21">
        <f t="shared" si="4"/>
        <v>28000</v>
      </c>
      <c r="U8" s="53">
        <f>IF($J8="","",ROUND(($J8-$J$3)/1000,1)+(_xlfn.RANK.AVG($J8,($J8,$O8,$T8),1)-2)*20)</f>
        <v>30.8</v>
      </c>
      <c r="V8" s="54">
        <f>IF($O8="","",ROUND(($O8-$O$3)/1000,1)+(_xlfn.RANK.AVG($O8,($J8,$O8,$T8),1)-2)*20)</f>
        <v>-3.8</v>
      </c>
      <c r="W8" s="55">
        <f>IF($T8="","",ROUND(($T8-$T$3)/1000,1)+(_xlfn.RANK.AVG($T8,($J8,$O8,$T8),1)-2)*20)</f>
        <v>-27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196</v>
      </c>
      <c r="AF8" s="41" t="s">
        <v>82</v>
      </c>
      <c r="AG8" s="41" t="s">
        <v>83</v>
      </c>
      <c r="AH8" s="41" t="s">
        <v>84</v>
      </c>
      <c r="AI8" s="41" t="s">
        <v>202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194</v>
      </c>
      <c r="G9" s="9">
        <v>12000</v>
      </c>
      <c r="H9" s="9"/>
      <c r="I9" s="48">
        <v>0</v>
      </c>
      <c r="J9" s="21">
        <f t="shared" si="2"/>
        <v>57800</v>
      </c>
      <c r="K9" s="8"/>
      <c r="L9" s="9"/>
      <c r="M9" s="9"/>
      <c r="N9" s="48"/>
      <c r="O9" s="21">
        <f t="shared" si="3"/>
        <v>31200</v>
      </c>
      <c r="P9" s="8" t="s">
        <v>195</v>
      </c>
      <c r="Q9" s="9">
        <v>-12000</v>
      </c>
      <c r="R9" s="9"/>
      <c r="S9" s="48">
        <v>0</v>
      </c>
      <c r="T9" s="21">
        <f t="shared" si="4"/>
        <v>16000</v>
      </c>
      <c r="U9" s="53">
        <f>IF($J9="","",ROUND(($J9-$J$3)/1000,1)+(_xlfn.RANK.AVG($J9,($J9,$O9,$T9),1)-2)*20)</f>
        <v>42.8</v>
      </c>
      <c r="V9" s="54">
        <f>IF($O9="","",ROUND(($O9-$O$3)/1000,1)+(_xlfn.RANK.AVG($O9,($J9,$O9,$T9),1)-2)*20)</f>
        <v>-3.8</v>
      </c>
      <c r="W9" s="55">
        <f>IF($T9="","",ROUND(($T9-$T$3)/1000,1)+(_xlfn.RANK.AVG($T9,($J9,$O9,$T9),1)-2)*20)</f>
        <v>-39</v>
      </c>
      <c r="Y9" s="8"/>
      <c r="Z9" s="34"/>
      <c r="AA9" s="26"/>
      <c r="AB9" s="26"/>
      <c r="AC9" s="26">
        <v>5</v>
      </c>
      <c r="AD9" s="30" t="s">
        <v>199</v>
      </c>
      <c r="AE9" s="40" t="s">
        <v>96</v>
      </c>
      <c r="AF9" s="41" t="s">
        <v>98</v>
      </c>
      <c r="AG9" s="41" t="s">
        <v>85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207</v>
      </c>
      <c r="F10" s="8" t="s">
        <v>198</v>
      </c>
      <c r="G10" s="9">
        <v>11600</v>
      </c>
      <c r="H10" s="9"/>
      <c r="I10" s="48">
        <v>1000</v>
      </c>
      <c r="J10" s="21">
        <f t="shared" si="2"/>
        <v>70400</v>
      </c>
      <c r="K10" s="8" t="s">
        <v>197</v>
      </c>
      <c r="L10" s="9">
        <v>-5800</v>
      </c>
      <c r="M10" s="9"/>
      <c r="N10" s="48">
        <v>-500</v>
      </c>
      <c r="O10" s="21">
        <f t="shared" si="3"/>
        <v>24900</v>
      </c>
      <c r="P10" s="8" t="s">
        <v>197</v>
      </c>
      <c r="Q10" s="9">
        <v>-5800</v>
      </c>
      <c r="R10" s="9"/>
      <c r="S10" s="48">
        <v>-500</v>
      </c>
      <c r="T10" s="21">
        <f t="shared" si="4"/>
        <v>9700</v>
      </c>
      <c r="U10" s="53">
        <f>IF($J10="","",ROUND(($J10-$J$3)/1000,1)+(_xlfn.RANK.AVG($J10,($J10,$O10,$T10),1)-2)*20)</f>
        <v>55.4</v>
      </c>
      <c r="V10" s="54">
        <f>IF($O10="","",ROUND(($O10-$O$3)/1000,1)+(_xlfn.RANK.AVG($O10,($J10,$O10,$T10),1)-2)*20)</f>
        <v>-10.1</v>
      </c>
      <c r="W10" s="55">
        <f>IF($T10="","",ROUND(($T10-$T$3)/1000,1)+(_xlfn.RANK.AVG($T10,($J10,$O10,$T10),1)-2)*20)</f>
        <v>-45.3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196</v>
      </c>
      <c r="AF10" s="41" t="s">
        <v>82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207</v>
      </c>
      <c r="F11" s="8" t="s">
        <v>208</v>
      </c>
      <c r="G11" s="9">
        <v>-3000</v>
      </c>
      <c r="H11" s="9"/>
      <c r="I11" s="48"/>
      <c r="J11" s="21">
        <f t="shared" si="2"/>
        <v>67400</v>
      </c>
      <c r="K11" s="8" t="s">
        <v>208</v>
      </c>
      <c r="L11" s="9">
        <v>1500</v>
      </c>
      <c r="M11" s="9"/>
      <c r="N11" s="48"/>
      <c r="O11" s="21">
        <f t="shared" si="3"/>
        <v>26400</v>
      </c>
      <c r="P11" s="8" t="s">
        <v>208</v>
      </c>
      <c r="Q11" s="9">
        <v>1500</v>
      </c>
      <c r="R11" s="9"/>
      <c r="S11" s="48"/>
      <c r="T11" s="21">
        <f t="shared" si="4"/>
        <v>11200</v>
      </c>
      <c r="U11" s="53">
        <f>IF($J11="","",ROUND(($J11-$J$3)/1000,1)+(_xlfn.RANK.AVG($J11,($J11,$O11,$T11),1)-2)*20)</f>
        <v>52.4</v>
      </c>
      <c r="V11" s="54">
        <f>IF($O11="","",ROUND(($O11-$O$3)/1000,1)+(_xlfn.RANK.AVG($O11,($J11,$O11,$T11),1)-2)*20)</f>
        <v>-8.6</v>
      </c>
      <c r="W11" s="55">
        <f>IF($T11="","",ROUND(($T11-$T$3)/1000,1)+(_xlfn.RANK.AVG($T11,($J11,$O11,$T11),1)-2)*20)</f>
        <v>-43.8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">
        <v>192</v>
      </c>
      <c r="F12" s="8" t="s">
        <v>197</v>
      </c>
      <c r="G12" s="9">
        <v>-800</v>
      </c>
      <c r="H12" s="9"/>
      <c r="I12" s="48">
        <v>-1500</v>
      </c>
      <c r="J12" s="21">
        <f t="shared" si="2"/>
        <v>65100</v>
      </c>
      <c r="K12" s="8" t="s">
        <v>198</v>
      </c>
      <c r="L12" s="9">
        <v>1600</v>
      </c>
      <c r="M12" s="9"/>
      <c r="N12" s="48">
        <v>3000</v>
      </c>
      <c r="O12" s="21">
        <f t="shared" si="3"/>
        <v>31000</v>
      </c>
      <c r="P12" s="8" t="s">
        <v>197</v>
      </c>
      <c r="Q12" s="9">
        <v>-800</v>
      </c>
      <c r="R12" s="9"/>
      <c r="S12" s="48">
        <v>-1500</v>
      </c>
      <c r="T12" s="21">
        <f t="shared" si="4"/>
        <v>8900</v>
      </c>
      <c r="U12" s="53">
        <f>IF($J12="","",ROUND(($J12-$J$3)/1000,1)+(_xlfn.RANK.AVG($J12,($J12,$O12,$T12),1)-2)*20)</f>
        <v>50.1</v>
      </c>
      <c r="V12" s="54">
        <f>IF($O12="","",ROUND(($O12-$O$3)/1000,1)+(_xlfn.RANK.AVG($O12,($J12,$O12,$T12),1)-2)*20)</f>
        <v>-4</v>
      </c>
      <c r="W12" s="55">
        <f>IF($T12="","",ROUND(($T12-$T$3)/1000,1)+(_xlfn.RANK.AVG($T12,($J12,$O12,$T12),1)-2)*20)</f>
        <v>-46.1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</v>
      </c>
      <c r="AY12" s="30">
        <v>30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192</v>
      </c>
      <c r="F13" s="8" t="s">
        <v>194</v>
      </c>
      <c r="G13" s="9">
        <v>1000</v>
      </c>
      <c r="H13" s="9"/>
      <c r="I13" s="48">
        <v>4000</v>
      </c>
      <c r="J13" s="21">
        <f t="shared" si="2"/>
        <v>70100</v>
      </c>
      <c r="K13" s="8"/>
      <c r="L13" s="9"/>
      <c r="M13" s="9"/>
      <c r="N13" s="48"/>
      <c r="O13" s="21">
        <f t="shared" si="3"/>
        <v>31000</v>
      </c>
      <c r="P13" s="8" t="s">
        <v>195</v>
      </c>
      <c r="Q13" s="9">
        <v>-1000</v>
      </c>
      <c r="R13" s="9"/>
      <c r="S13" s="48">
        <v>-4000</v>
      </c>
      <c r="T13" s="21">
        <f t="shared" si="4"/>
        <v>3900</v>
      </c>
      <c r="U13" s="53">
        <f>IF($J13="","",ROUND(($J13-$J$3)/1000,1)+(_xlfn.RANK.AVG($J13,($J13,$O13,$T13),1)-2)*20)</f>
        <v>55.1</v>
      </c>
      <c r="V13" s="54">
        <f>IF($O13="","",ROUND(($O13-$O$3)/1000,1)+(_xlfn.RANK.AVG($O13,($J13,$O13,$T13),1)-2)*20)</f>
        <v>-4</v>
      </c>
      <c r="W13" s="55">
        <f>IF($T13="","",ROUND(($T13-$T$3)/1000,1)+(_xlfn.RANK.AVG($T13,($J13,$O13,$T13),1)-2)*20)</f>
        <v>-51.1</v>
      </c>
      <c r="Y13" s="8"/>
      <c r="Z13" s="34"/>
      <c r="AA13" s="26"/>
      <c r="AB13" s="26"/>
      <c r="AC13" s="26">
        <v>1</v>
      </c>
      <c r="AD13" s="30">
        <v>30</v>
      </c>
      <c r="AE13" s="40" t="s">
        <v>83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187E6FD-B10D-4D16-A785-B4D4559B19F4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C4D2B6EC-71DC-4FA6-A91D-E597A31A96DC}">
      <formula1>"ロン,ツモ,放銃,ツモ支払,流局,チョンボ"</formula1>
    </dataValidation>
    <dataValidation type="list" allowBlank="1" showInputMessage="1" showErrorMessage="1" sqref="E4:E30" xr:uid="{D451A025-186A-4588-AFF9-B4FC03479C4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2019-07-20T07:48:08Z</dcterms:modified>
</cp:coreProperties>
</file>