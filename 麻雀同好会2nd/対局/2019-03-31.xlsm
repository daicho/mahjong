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 2nd Season\対局\"/>
    </mc:Choice>
  </mc:AlternateContent>
  <xr:revisionPtr revIDLastSave="0" documentId="13_ncr:1_{6C08449E-FDC1-4E7A-89CA-0EA9E893D5DB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17" l="1"/>
  <c r="V30" i="17"/>
  <c r="U30" i="17"/>
  <c r="W29" i="17"/>
  <c r="V29" i="17"/>
  <c r="U29" i="17"/>
  <c r="W28" i="17"/>
  <c r="V28" i="17"/>
  <c r="U28" i="17"/>
  <c r="W27" i="17"/>
  <c r="V27" i="17"/>
  <c r="U27" i="17"/>
  <c r="W26" i="17"/>
  <c r="V26" i="17"/>
  <c r="U26" i="17"/>
  <c r="W25" i="17"/>
  <c r="V25" i="17"/>
  <c r="U25" i="17"/>
  <c r="W24" i="17"/>
  <c r="V24" i="17"/>
  <c r="U24" i="17"/>
  <c r="W23" i="17"/>
  <c r="V23" i="17"/>
  <c r="U23" i="17"/>
  <c r="W22" i="17"/>
  <c r="V22" i="17"/>
  <c r="U22" i="17"/>
  <c r="W21" i="17"/>
  <c r="V21" i="17"/>
  <c r="U21" i="17"/>
  <c r="W20" i="17"/>
  <c r="V20" i="17"/>
  <c r="U20" i="17"/>
  <c r="W19" i="17"/>
  <c r="V19" i="17"/>
  <c r="U19" i="17"/>
  <c r="W18" i="17"/>
  <c r="V18" i="17"/>
  <c r="U18" i="17"/>
  <c r="W17" i="17"/>
  <c r="V17" i="17"/>
  <c r="U17" i="17"/>
  <c r="W16" i="17"/>
  <c r="V16" i="17"/>
  <c r="U16" i="17"/>
  <c r="W15" i="17"/>
  <c r="V15" i="17"/>
  <c r="U15" i="17"/>
  <c r="W14" i="17"/>
  <c r="V14" i="17"/>
  <c r="U14" i="17"/>
  <c r="W13" i="17"/>
  <c r="V13" i="17"/>
  <c r="U13" i="17"/>
  <c r="W12" i="17"/>
  <c r="V12" i="17"/>
  <c r="U12" i="17"/>
  <c r="W11" i="17"/>
  <c r="V11" i="17"/>
  <c r="U11" i="17"/>
  <c r="W10" i="17"/>
  <c r="V10" i="17"/>
  <c r="U10" i="17"/>
  <c r="W9" i="17"/>
  <c r="V9" i="17"/>
  <c r="U9" i="17"/>
  <c r="W8" i="17"/>
  <c r="V8" i="17"/>
  <c r="U8" i="17"/>
  <c r="W7" i="17"/>
  <c r="V7" i="17"/>
  <c r="U7" i="17"/>
  <c r="W6" i="17"/>
  <c r="V6" i="17"/>
  <c r="U6" i="17"/>
  <c r="W5" i="17"/>
  <c r="V5" i="17"/>
  <c r="U5" i="17"/>
  <c r="W4" i="17"/>
  <c r="V4" i="17"/>
  <c r="U4" i="17"/>
  <c r="W3" i="17"/>
  <c r="V3" i="17"/>
  <c r="U3" i="17"/>
  <c r="W30" i="16"/>
  <c r="V30" i="16"/>
  <c r="U30" i="16"/>
  <c r="W29" i="16"/>
  <c r="V29" i="16"/>
  <c r="U29" i="16"/>
  <c r="W28" i="16"/>
  <c r="V28" i="16"/>
  <c r="U28" i="16"/>
  <c r="W27" i="16"/>
  <c r="V27" i="16"/>
  <c r="U27" i="16"/>
  <c r="W26" i="16"/>
  <c r="V26" i="16"/>
  <c r="U26" i="16"/>
  <c r="W25" i="16"/>
  <c r="V25" i="16"/>
  <c r="U25" i="16"/>
  <c r="W24" i="16"/>
  <c r="V24" i="16"/>
  <c r="U24" i="16"/>
  <c r="W23" i="16"/>
  <c r="V23" i="16"/>
  <c r="U23" i="16"/>
  <c r="W22" i="16"/>
  <c r="V22" i="16"/>
  <c r="U22" i="16"/>
  <c r="W21" i="16"/>
  <c r="V21" i="16"/>
  <c r="U21" i="16"/>
  <c r="W20" i="16"/>
  <c r="V20" i="16"/>
  <c r="U20" i="16"/>
  <c r="W19" i="16"/>
  <c r="V19" i="16"/>
  <c r="U19" i="16"/>
  <c r="W18" i="16"/>
  <c r="V18" i="16"/>
  <c r="U18" i="16"/>
  <c r="W17" i="16"/>
  <c r="V17" i="16"/>
  <c r="U17" i="16"/>
  <c r="W16" i="16"/>
  <c r="V16" i="16"/>
  <c r="U16" i="16"/>
  <c r="W15" i="16"/>
  <c r="V15" i="16"/>
  <c r="U15" i="16"/>
  <c r="W14" i="16"/>
  <c r="V14" i="16"/>
  <c r="U14" i="16"/>
  <c r="W13" i="16"/>
  <c r="V13" i="16"/>
  <c r="U13" i="16"/>
  <c r="W12" i="16"/>
  <c r="V12" i="16"/>
  <c r="U12" i="16"/>
  <c r="W11" i="16"/>
  <c r="V11" i="16"/>
  <c r="U11" i="16"/>
  <c r="W10" i="16"/>
  <c r="V10" i="16"/>
  <c r="U10" i="16"/>
  <c r="W9" i="16"/>
  <c r="V9" i="16"/>
  <c r="U9" i="16"/>
  <c r="W8" i="16"/>
  <c r="V8" i="16"/>
  <c r="U8" i="16"/>
  <c r="W7" i="16"/>
  <c r="V7" i="16"/>
  <c r="U7" i="16"/>
  <c r="W6" i="16"/>
  <c r="V6" i="16"/>
  <c r="U6" i="16"/>
  <c r="W5" i="16"/>
  <c r="V5" i="16"/>
  <c r="U5" i="16"/>
  <c r="W4" i="16"/>
  <c r="V4" i="16"/>
  <c r="U4" i="16"/>
  <c r="W3" i="16"/>
  <c r="V3" i="16"/>
  <c r="U3" i="16"/>
  <c r="W30" i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T30" i="17" l="1"/>
  <c r="O30" i="17"/>
  <c r="J30" i="17"/>
  <c r="D30" i="17"/>
  <c r="C30" i="17"/>
  <c r="B30" i="17"/>
  <c r="A30" i="17"/>
  <c r="T29" i="17"/>
  <c r="O29" i="17"/>
  <c r="J29" i="17"/>
  <c r="D29" i="17"/>
  <c r="C29" i="17"/>
  <c r="B29" i="17"/>
  <c r="A29" i="17"/>
  <c r="T28" i="17"/>
  <c r="O28" i="17"/>
  <c r="J28" i="17"/>
  <c r="D28" i="17"/>
  <c r="C28" i="17"/>
  <c r="B28" i="17"/>
  <c r="A28" i="17"/>
  <c r="T27" i="17"/>
  <c r="O27" i="17"/>
  <c r="J27" i="17"/>
  <c r="D27" i="17"/>
  <c r="C27" i="17"/>
  <c r="B27" i="17"/>
  <c r="A27" i="17"/>
  <c r="T26" i="17"/>
  <c r="O26" i="17"/>
  <c r="J26" i="17"/>
  <c r="D26" i="17"/>
  <c r="C26" i="17"/>
  <c r="B26" i="17"/>
  <c r="A26" i="17"/>
  <c r="T25" i="17"/>
  <c r="O25" i="17"/>
  <c r="J25" i="17"/>
  <c r="D25" i="17"/>
  <c r="C25" i="17"/>
  <c r="B25" i="17"/>
  <c r="A25" i="17"/>
  <c r="T24" i="17"/>
  <c r="O24" i="17"/>
  <c r="J24" i="17"/>
  <c r="D24" i="17"/>
  <c r="C24" i="17"/>
  <c r="B24" i="17"/>
  <c r="A24" i="17"/>
  <c r="T23" i="17"/>
  <c r="O23" i="17"/>
  <c r="J23" i="17"/>
  <c r="D23" i="17"/>
  <c r="C23" i="17"/>
  <c r="B23" i="17"/>
  <c r="A23" i="17"/>
  <c r="T22" i="17"/>
  <c r="O22" i="17"/>
  <c r="J22" i="17"/>
  <c r="D22" i="17"/>
  <c r="C22" i="17"/>
  <c r="B22" i="17"/>
  <c r="A22" i="17"/>
  <c r="T21" i="17"/>
  <c r="O21" i="17"/>
  <c r="J21" i="17"/>
  <c r="D21" i="17"/>
  <c r="C21" i="17"/>
  <c r="B21" i="17"/>
  <c r="A21" i="17"/>
  <c r="T20" i="17"/>
  <c r="O20" i="17"/>
  <c r="J20" i="17"/>
  <c r="D20" i="17"/>
  <c r="C20" i="17"/>
  <c r="B20" i="17"/>
  <c r="A20" i="17"/>
  <c r="T19" i="17"/>
  <c r="O19" i="17"/>
  <c r="J19" i="17"/>
  <c r="D19" i="17"/>
  <c r="C19" i="17"/>
  <c r="B19" i="17"/>
  <c r="A19" i="17"/>
  <c r="T18" i="17"/>
  <c r="O18" i="17"/>
  <c r="J18" i="17"/>
  <c r="D18" i="17"/>
  <c r="C18" i="17"/>
  <c r="B18" i="17"/>
  <c r="A18" i="17"/>
  <c r="T17" i="17"/>
  <c r="O17" i="17"/>
  <c r="J17" i="17"/>
  <c r="D17" i="17"/>
  <c r="C17" i="17"/>
  <c r="B17" i="17"/>
  <c r="A17" i="17"/>
  <c r="T16" i="17"/>
  <c r="O16" i="17"/>
  <c r="J16" i="17"/>
  <c r="D16" i="17"/>
  <c r="C16" i="17"/>
  <c r="B16" i="17"/>
  <c r="A16" i="17"/>
  <c r="T15" i="17"/>
  <c r="O15" i="17"/>
  <c r="J15" i="17"/>
  <c r="D15" i="17"/>
  <c r="C15" i="17"/>
  <c r="B15" i="17"/>
  <c r="A15" i="17"/>
  <c r="T14" i="17"/>
  <c r="O14" i="17"/>
  <c r="J14" i="17"/>
  <c r="D14" i="17"/>
  <c r="C14" i="17"/>
  <c r="B14" i="17"/>
  <c r="A14" i="17" s="1"/>
  <c r="D13" i="17"/>
  <c r="C13" i="17"/>
  <c r="D12" i="17"/>
  <c r="C12" i="17"/>
  <c r="D11" i="17"/>
  <c r="C11" i="17"/>
  <c r="D10" i="17"/>
  <c r="C10" i="17"/>
  <c r="B10" i="17"/>
  <c r="B11" i="17" s="1"/>
  <c r="D9" i="17"/>
  <c r="C9" i="17"/>
  <c r="B9" i="17"/>
  <c r="D8" i="17"/>
  <c r="C8" i="17"/>
  <c r="B8" i="17"/>
  <c r="A9" i="17" s="1"/>
  <c r="D7" i="17"/>
  <c r="C7" i="17"/>
  <c r="B7" i="17"/>
  <c r="A7" i="17" s="1"/>
  <c r="D6" i="17"/>
  <c r="C6" i="17"/>
  <c r="B6" i="17"/>
  <c r="A6" i="17" s="1"/>
  <c r="T5" i="17"/>
  <c r="O5" i="17"/>
  <c r="J5" i="17"/>
  <c r="J6" i="17" s="1"/>
  <c r="D5" i="17"/>
  <c r="C5" i="17"/>
  <c r="B5" i="17"/>
  <c r="A5" i="17" s="1"/>
  <c r="T4" i="17"/>
  <c r="O4" i="17"/>
  <c r="J4" i="17"/>
  <c r="W2" i="17"/>
  <c r="V2" i="17"/>
  <c r="U2" i="17"/>
  <c r="BO1" i="17"/>
  <c r="AT1" i="17"/>
  <c r="Y1" i="17"/>
  <c r="A8" i="17" l="1"/>
  <c r="A10" i="17"/>
  <c r="A11" i="17" s="1"/>
  <c r="J7" i="17"/>
  <c r="B12" i="17"/>
  <c r="O6" i="17"/>
  <c r="T6" i="17"/>
  <c r="B13" i="17" l="1"/>
  <c r="A13" i="17" s="1"/>
  <c r="J8" i="17"/>
  <c r="T7" i="17"/>
  <c r="O7" i="17"/>
  <c r="A12" i="17"/>
  <c r="T8" i="17" l="1"/>
  <c r="O8" i="17"/>
  <c r="J9" i="17"/>
  <c r="T9" i="17" l="1"/>
  <c r="J10" i="17"/>
  <c r="O9" i="17"/>
  <c r="T10" i="17" l="1"/>
  <c r="O10" i="17"/>
  <c r="J11" i="17"/>
  <c r="J12" i="17" l="1"/>
  <c r="T11" i="17"/>
  <c r="O11" i="17"/>
  <c r="O12" i="17" l="1"/>
  <c r="T12" i="17"/>
  <c r="J13" i="17"/>
  <c r="T13" i="17" l="1"/>
  <c r="O13" i="17"/>
  <c r="T30" i="16" l="1"/>
  <c r="O30" i="16"/>
  <c r="J30" i="16"/>
  <c r="D30" i="16"/>
  <c r="C30" i="16"/>
  <c r="B30" i="16"/>
  <c r="A30" i="16"/>
  <c r="T29" i="16"/>
  <c r="O29" i="16"/>
  <c r="J29" i="16"/>
  <c r="D29" i="16"/>
  <c r="C29" i="16"/>
  <c r="B29" i="16"/>
  <c r="A29" i="16"/>
  <c r="T28" i="16"/>
  <c r="O28" i="16"/>
  <c r="J28" i="16"/>
  <c r="D28" i="16"/>
  <c r="C28" i="16"/>
  <c r="B28" i="16"/>
  <c r="A28" i="16"/>
  <c r="T27" i="16"/>
  <c r="O27" i="16"/>
  <c r="J27" i="16"/>
  <c r="D27" i="16"/>
  <c r="C27" i="16"/>
  <c r="B27" i="16"/>
  <c r="A27" i="16"/>
  <c r="T26" i="16"/>
  <c r="O26" i="16"/>
  <c r="J26" i="16"/>
  <c r="D26" i="16"/>
  <c r="C26" i="16"/>
  <c r="B26" i="16"/>
  <c r="A26" i="16"/>
  <c r="T25" i="16"/>
  <c r="O25" i="16"/>
  <c r="J25" i="16"/>
  <c r="D25" i="16"/>
  <c r="C25" i="16"/>
  <c r="B25" i="16"/>
  <c r="A25" i="16"/>
  <c r="T24" i="16"/>
  <c r="O24" i="16"/>
  <c r="J24" i="16"/>
  <c r="D24" i="16"/>
  <c r="C24" i="16"/>
  <c r="B24" i="16"/>
  <c r="A24" i="16"/>
  <c r="T23" i="16"/>
  <c r="O23" i="16"/>
  <c r="J23" i="16"/>
  <c r="D23" i="16"/>
  <c r="C23" i="16"/>
  <c r="B23" i="16"/>
  <c r="A23" i="16"/>
  <c r="T22" i="16"/>
  <c r="O22" i="16"/>
  <c r="J22" i="16"/>
  <c r="D22" i="16"/>
  <c r="C22" i="16"/>
  <c r="B22" i="16"/>
  <c r="A22" i="16"/>
  <c r="T21" i="16"/>
  <c r="O21" i="16"/>
  <c r="J21" i="16"/>
  <c r="D21" i="16"/>
  <c r="C21" i="16"/>
  <c r="B21" i="16"/>
  <c r="A21" i="16"/>
  <c r="T20" i="16"/>
  <c r="O20" i="16"/>
  <c r="J20" i="16"/>
  <c r="D20" i="16"/>
  <c r="C20" i="16"/>
  <c r="B20" i="16"/>
  <c r="A20" i="16"/>
  <c r="T19" i="16"/>
  <c r="O19" i="16"/>
  <c r="J19" i="16"/>
  <c r="D19" i="16"/>
  <c r="C19" i="16"/>
  <c r="B19" i="16"/>
  <c r="A19" i="16"/>
  <c r="T18" i="16"/>
  <c r="O18" i="16"/>
  <c r="J18" i="16"/>
  <c r="D18" i="16"/>
  <c r="C18" i="16"/>
  <c r="B18" i="16"/>
  <c r="A18" i="16"/>
  <c r="T17" i="16"/>
  <c r="O17" i="16"/>
  <c r="J17" i="16"/>
  <c r="D17" i="16"/>
  <c r="C17" i="16"/>
  <c r="B17" i="16"/>
  <c r="A17" i="16"/>
  <c r="T16" i="16"/>
  <c r="O16" i="16"/>
  <c r="J16" i="16"/>
  <c r="D16" i="16"/>
  <c r="C16" i="16"/>
  <c r="B16" i="16"/>
  <c r="A16" i="16"/>
  <c r="T15" i="16"/>
  <c r="O15" i="16"/>
  <c r="J15" i="16"/>
  <c r="D15" i="16"/>
  <c r="C15" i="16"/>
  <c r="B15" i="16"/>
  <c r="A15" i="16"/>
  <c r="T14" i="16"/>
  <c r="O14" i="16"/>
  <c r="J14" i="16"/>
  <c r="D14" i="16"/>
  <c r="C14" i="16"/>
  <c r="B14" i="16"/>
  <c r="A14" i="16"/>
  <c r="J13" i="16"/>
  <c r="D13" i="16"/>
  <c r="C13" i="16"/>
  <c r="B13" i="16"/>
  <c r="A13" i="16"/>
  <c r="J12" i="16"/>
  <c r="D12" i="16"/>
  <c r="C12" i="16"/>
  <c r="B12" i="16"/>
  <c r="A12" i="16" s="1"/>
  <c r="J11" i="16"/>
  <c r="D11" i="16"/>
  <c r="C11" i="16"/>
  <c r="B11" i="16"/>
  <c r="A11" i="16"/>
  <c r="J10" i="16"/>
  <c r="D10" i="16"/>
  <c r="C10" i="16"/>
  <c r="B10" i="16"/>
  <c r="A10" i="16"/>
  <c r="D9" i="16"/>
  <c r="C9" i="16"/>
  <c r="D8" i="16"/>
  <c r="C8" i="16"/>
  <c r="D7" i="16"/>
  <c r="C7" i="16"/>
  <c r="D6" i="16"/>
  <c r="C6" i="16"/>
  <c r="B6" i="16"/>
  <c r="B7" i="16" s="1"/>
  <c r="T5" i="16"/>
  <c r="D5" i="16"/>
  <c r="C5" i="16"/>
  <c r="B5" i="16"/>
  <c r="A5" i="16"/>
  <c r="T4" i="16"/>
  <c r="O4" i="16"/>
  <c r="J4" i="16"/>
  <c r="W2" i="16"/>
  <c r="V2" i="16"/>
  <c r="U2" i="16"/>
  <c r="BO1" i="16"/>
  <c r="AT1" i="16"/>
  <c r="Y1" i="16"/>
  <c r="A6" i="16" l="1"/>
  <c r="B8" i="16"/>
  <c r="A8" i="16" s="1"/>
  <c r="J5" i="16"/>
  <c r="A7" i="16"/>
  <c r="O5" i="16"/>
  <c r="T6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O6" i="16" l="1"/>
  <c r="J6" i="16"/>
  <c r="T7" i="16"/>
  <c r="B9" i="16"/>
  <c r="A9" i="16" s="1"/>
  <c r="J7" i="16" l="1"/>
  <c r="T8" i="16"/>
  <c r="O7" i="16"/>
  <c r="B5" i="1"/>
  <c r="A5" i="1" s="1"/>
  <c r="D6" i="1"/>
  <c r="B6" i="1"/>
  <c r="A6" i="1" s="1"/>
  <c r="D5" i="1"/>
  <c r="O8" i="16" l="1"/>
  <c r="J8" i="16"/>
  <c r="T9" i="16"/>
  <c r="Y1" i="1"/>
  <c r="T10" i="16" l="1"/>
  <c r="J9" i="16"/>
  <c r="O9" i="16"/>
  <c r="BO1" i="1"/>
  <c r="AT1" i="1"/>
  <c r="T11" i="16" l="1"/>
  <c r="O10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T12" i="16" l="1"/>
  <c r="O11" i="16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T13" i="16" l="1"/>
  <c r="O12" i="16"/>
  <c r="W2" i="1"/>
  <c r="V2" i="1"/>
  <c r="U2" i="1"/>
  <c r="O13" i="16" l="1"/>
  <c r="J4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6" i="1" l="1"/>
  <c r="T5" i="1"/>
  <c r="O6" i="1"/>
  <c r="B10" i="1"/>
  <c r="O7" i="1" l="1"/>
  <c r="J7" i="1"/>
  <c r="J8" i="1"/>
  <c r="B11" i="1"/>
  <c r="A11" i="1" s="1"/>
  <c r="A10" i="1"/>
  <c r="O8" i="1"/>
  <c r="T6" i="1"/>
  <c r="B12" i="1"/>
  <c r="A12" i="1" s="1"/>
  <c r="T7" i="1" l="1"/>
  <c r="J9" i="1"/>
  <c r="T8" i="1"/>
  <c r="O9" i="1"/>
  <c r="B13" i="1"/>
  <c r="A13" i="1" s="1"/>
  <c r="J10" i="1" l="1"/>
  <c r="J11" i="1"/>
  <c r="O10" i="1"/>
  <c r="T9" i="1"/>
  <c r="B14" i="1"/>
  <c r="A14" i="1" s="1"/>
  <c r="O11" i="1" l="1"/>
  <c r="J12" i="1"/>
  <c r="T10" i="1"/>
  <c r="J13" i="1" l="1"/>
  <c r="O12" i="1"/>
  <c r="T11" i="1"/>
  <c r="J14" i="1" l="1"/>
  <c r="O13" i="1"/>
  <c r="T12" i="1"/>
  <c r="O14" i="1" l="1"/>
  <c r="J15" i="1"/>
  <c r="T13" i="1"/>
  <c r="T14" i="1" l="1"/>
  <c r="O15" i="1"/>
  <c r="T15" i="1" l="1"/>
</calcChain>
</file>

<file path=xl/sharedStrings.xml><?xml version="1.0" encoding="utf-8"?>
<sst xmlns="http://schemas.openxmlformats.org/spreadsheetml/2006/main" count="759" uniqueCount="156">
  <si>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</si>
  <si>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</si>
  <si>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</si>
  <si>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</si>
  <si>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</si>
  <si>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</si>
  <si>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</si>
  <si>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</si>
  <si>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</si>
  <si>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</si>
  <si>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</si>
  <si>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</si>
  <si>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</si>
  <si>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</si>
  <si>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</si>
  <si>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</si>
  <si>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</si>
  <si>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</si>
  <si>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</si>
  <si>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</si>
  <si>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</si>
  <si>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</si>
  <si>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</si>
  <si>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</si>
  <si>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</si>
  <si>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</si>
  <si>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</si>
  <si>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</si>
  <si>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</si>
  <si>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</si>
  <si>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</si>
  <si>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</si>
  <si>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</si>
  <si>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</si>
  <si>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</si>
  <si>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</si>
  <si>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</si>
  <si>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</si>
  <si>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</si>
  <si>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</si>
  <si>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</si>
  <si>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</si>
  <si>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</si>
  <si>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</si>
  <si>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</si>
  <si>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</si>
  <si>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</si>
  <si>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</si>
  <si>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</si>
  <si>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</si>
  <si>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</si>
  <si>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</si>
  <si>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</si>
  <si>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</si>
  <si>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</si>
  <si>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</si>
  <si>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</si>
  <si>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</si>
  <si>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</si>
  <si>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</si>
  <si>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</si>
  <si>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</si>
  <si>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</si>
  <si>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</si>
  <si>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</si>
  <si>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</si>
  <si>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</si>
  <si>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</si>
  <si>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</si>
  <si>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</si>
  <si>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</si>
  <si>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</si>
  <si>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</si>
  <si>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</si>
  <si>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</si>
  <si>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</si>
  <si>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</si>
  <si>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</si>
  <si>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</si>
  <si>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</si>
  <si>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</si>
  <si>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</si>
  <si>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</si>
  <si>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</si>
  <si>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</si>
  <si>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</si>
  <si>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</si>
  <si>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</si>
  <si>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</si>
  <si>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</si>
  <si>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</si>
  <si>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</si>
  <si>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</si>
  <si>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</si>
  <si>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</si>
  <si>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</si>
  <si>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</si>
  <si>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</si>
  <si>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</si>
  <si>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</si>
  <si>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</si>
  <si>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</si>
  <si>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</si>
  <si>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</si>
  <si>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</si>
  <si>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</si>
  <si>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</si>
  <si>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</si>
  <si>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</si>
  <si>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</si>
  <si>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</si>
  <si>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</si>
  <si>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</si>
  <si>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</si>
  <si>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</si>
  <si>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</si>
  <si>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</si>
  <si>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</si>
  <si>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</si>
  <si>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</si>
  <si>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</si>
  <si>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</si>
  <si>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</si>
  <si>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</si>
  <si>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</si>
  <si>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</si>
  <si>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</si>
  <si>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</si>
  <si>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</si>
  <si>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</si>
  <si>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</si>
  <si>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</si>
  <si>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</si>
  <si>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</si>
  <si>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</si>
  <si>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</si>
  <si>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</si>
  <si>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</si>
  <si>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</si>
  <si>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  <phoneticPr fontId="1"/>
  </si>
  <si>
    <t>りくと</t>
    <phoneticPr fontId="1"/>
  </si>
  <si>
    <t>ただ</t>
    <phoneticPr fontId="1"/>
  </si>
  <si>
    <t>ただ</t>
  </si>
  <si>
    <t>ロン</t>
  </si>
  <si>
    <t>放銃</t>
  </si>
  <si>
    <t>01</t>
  </si>
  <si>
    <t>02</t>
  </si>
  <si>
    <t>だいち</t>
  </si>
  <si>
    <t>52</t>
  </si>
  <si>
    <t>りくと</t>
  </si>
  <si>
    <t>ツモ支払</t>
  </si>
  <si>
    <t>ツモ</t>
  </si>
  <si>
    <t>*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</si>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</sst>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="110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139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141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ただ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りくと</v>
      </c>
      <c r="W2" s="16" t="str">
        <f>$P$1</f>
        <v>ただ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142</v>
      </c>
      <c r="F4" s="8" t="s">
        <v>143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 t="s">
        <v>144</v>
      </c>
      <c r="L4" s="9">
        <v>-8000</v>
      </c>
      <c r="M4" s="9"/>
      <c r="N4" s="55">
        <v>0</v>
      </c>
      <c r="O4" s="21">
        <f>IF(COUNTA($F4,$K4,$P4)&gt;0,O3+SUM(L4:N4),"")</f>
        <v>27000</v>
      </c>
      <c r="P4" s="8"/>
      <c r="Q4" s="9"/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28</v>
      </c>
      <c r="V4" s="61">
        <f>IF($O4="","",ROUND(($O4-$O$3)/1000,1)+(_xlfn.RANK.AVG($O4,($J4,$O4,$T4),1)-2)*20)</f>
        <v>-28</v>
      </c>
      <c r="W4" s="62">
        <f>IF($T4="","",ROUND(($T4-$T$3)/1000,1)+(_xlfn.RANK.AVG($T4,($J4,$O4,$T4),1)-2)*20)</f>
        <v>0</v>
      </c>
      <c r="Y4" s="8"/>
      <c r="Z4" s="41"/>
      <c r="AA4" s="32">
        <v>1</v>
      </c>
      <c r="AB4" s="32"/>
      <c r="AC4" s="32">
        <v>4</v>
      </c>
      <c r="AD4" s="36">
        <v>40</v>
      </c>
      <c r="AE4" s="47" t="s">
        <v>145</v>
      </c>
      <c r="AF4" s="48" t="s">
        <v>146</v>
      </c>
      <c r="AG4" s="48" t="s">
        <v>80</v>
      </c>
      <c r="AH4" s="48" t="s">
        <v>80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147</v>
      </c>
      <c r="F5" s="8"/>
      <c r="G5" s="9"/>
      <c r="H5" s="9"/>
      <c r="I5" s="55"/>
      <c r="J5" s="21">
        <f t="shared" ref="J5:J30" si="2">IF(COUNTA($F5,$K5,$P5)&gt;0,J4+SUM(G5:I5),"")</f>
        <v>43000</v>
      </c>
      <c r="K5" s="8" t="s">
        <v>143</v>
      </c>
      <c r="L5" s="9">
        <v>8000</v>
      </c>
      <c r="M5" s="9"/>
      <c r="N5" s="55">
        <v>0</v>
      </c>
      <c r="O5" s="21">
        <f t="shared" ref="O5:O30" si="3">IF(COUNTA($F5,$K5,$P5)&gt;0,O4+SUM(L5:N5),"")</f>
        <v>35000</v>
      </c>
      <c r="P5" s="8" t="s">
        <v>144</v>
      </c>
      <c r="Q5" s="9">
        <v>-8000</v>
      </c>
      <c r="R5" s="9"/>
      <c r="S5" s="55">
        <v>0</v>
      </c>
      <c r="T5" s="21">
        <f t="shared" ref="T5:T30" si="4">IF(COUNTA($F5,$K5,$P5)&gt;0,T4+SUM(Q5:S5),"")</f>
        <v>27000</v>
      </c>
      <c r="U5" s="60">
        <f>IF($J5="","",ROUND(($J5-$J$3)/1000,1)+(_xlfn.RANK.AVG($J5,($J5,$O5,$T5),1)-2)*20)</f>
        <v>28</v>
      </c>
      <c r="V5" s="61">
        <f>IF($O5="","",ROUND(($O5-$O$3)/1000,1)+(_xlfn.RANK.AVG($O5,($J5,$O5,$T5),1)-2)*20)</f>
        <v>0</v>
      </c>
      <c r="W5" s="62">
        <f>IF($T5="","",ROUND(($T5-$T$3)/1000,1)+(_xlfn.RANK.AVG($T5,($J5,$O5,$T5),1)-2)*20)</f>
        <v>-28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40</v>
      </c>
      <c r="AZ5" s="47" t="s">
        <v>145</v>
      </c>
      <c r="BA5" s="48" t="s">
        <v>148</v>
      </c>
      <c r="BB5" s="48" t="s">
        <v>81</v>
      </c>
      <c r="BC5" s="48" t="s">
        <v>81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149</v>
      </c>
      <c r="F6" s="8" t="s">
        <v>150</v>
      </c>
      <c r="G6" s="9">
        <v>-1100</v>
      </c>
      <c r="H6" s="9"/>
      <c r="I6" s="55">
        <v>0</v>
      </c>
      <c r="J6" s="21">
        <f t="shared" si="2"/>
        <v>41900</v>
      </c>
      <c r="K6" s="8" t="s">
        <v>150</v>
      </c>
      <c r="L6" s="9">
        <v>-1700</v>
      </c>
      <c r="M6" s="9"/>
      <c r="N6" s="55">
        <v>0</v>
      </c>
      <c r="O6" s="21">
        <f t="shared" si="3"/>
        <v>33300</v>
      </c>
      <c r="P6" s="8" t="s">
        <v>151</v>
      </c>
      <c r="Q6" s="9">
        <v>2800</v>
      </c>
      <c r="R6" s="9"/>
      <c r="S6" s="55">
        <v>0</v>
      </c>
      <c r="T6" s="21">
        <f t="shared" si="4"/>
        <v>29800</v>
      </c>
      <c r="U6" s="60">
        <f>IF($J6="","",ROUND(($J6-$J$3)/1000,1)+(_xlfn.RANK.AVG($J6,($J6,$O6,$T6),1)-2)*20)</f>
        <v>26.9</v>
      </c>
      <c r="V6" s="61">
        <f>IF($O6="","",ROUND(($O6-$O$3)/1000,1)+(_xlfn.RANK.AVG($O6,($J6,$O6,$T6),1)-2)*20)</f>
        <v>-1.7</v>
      </c>
      <c r="W6" s="62">
        <f>IF($T6="","",ROUND(($T6-$T$3)/1000,1)+(_xlfn.RANK.AVG($T6,($J6,$O6,$T6),1)-2)*20)</f>
        <v>-25.2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3</v>
      </c>
      <c r="BT6" s="36">
        <v>20</v>
      </c>
      <c r="BU6" s="47" t="s">
        <v>145</v>
      </c>
      <c r="BV6" s="48" t="s">
        <v>83</v>
      </c>
      <c r="BW6" s="48" t="s">
        <v>84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142</v>
      </c>
      <c r="F7" s="8" t="s">
        <v>151</v>
      </c>
      <c r="G7" s="9">
        <v>12000</v>
      </c>
      <c r="H7" s="9"/>
      <c r="I7" s="55">
        <v>0</v>
      </c>
      <c r="J7" s="21">
        <f t="shared" si="2"/>
        <v>53900</v>
      </c>
      <c r="K7" s="8" t="s">
        <v>150</v>
      </c>
      <c r="L7" s="9">
        <v>-4500</v>
      </c>
      <c r="M7" s="9"/>
      <c r="N7" s="55">
        <v>0</v>
      </c>
      <c r="O7" s="21">
        <f t="shared" si="3"/>
        <v>28800</v>
      </c>
      <c r="P7" s="8" t="s">
        <v>150</v>
      </c>
      <c r="Q7" s="9">
        <v>-7500</v>
      </c>
      <c r="R7" s="9"/>
      <c r="S7" s="55">
        <v>0</v>
      </c>
      <c r="T7" s="21">
        <f t="shared" si="4"/>
        <v>22300</v>
      </c>
      <c r="U7" s="60">
        <f>IF($J7="","",ROUND(($J7-$J$3)/1000,1)+(_xlfn.RANK.AVG($J7,($J7,$O7,$T7),1)-2)*20)</f>
        <v>38.9</v>
      </c>
      <c r="V7" s="61">
        <f>IF($O7="","",ROUND(($O7-$O$3)/1000,1)+(_xlfn.RANK.AVG($O7,($J7,$O7,$T7),1)-2)*20)</f>
        <v>-6.2</v>
      </c>
      <c r="W7" s="62">
        <f>IF($T7="","",ROUND(($T7-$T$3)/1000,1)+(_xlfn.RANK.AVG($T7,($J7,$O7,$T7),1)-2)*20)</f>
        <v>-32.700000000000003</v>
      </c>
      <c r="Y7" s="8"/>
      <c r="Z7" s="41"/>
      <c r="AA7" s="32">
        <v>1</v>
      </c>
      <c r="AB7" s="32"/>
      <c r="AC7" s="32">
        <v>6</v>
      </c>
      <c r="AD7" s="36" t="s">
        <v>152</v>
      </c>
      <c r="AE7" s="47" t="s">
        <v>145</v>
      </c>
      <c r="AF7" s="48" t="s">
        <v>83</v>
      </c>
      <c r="AG7" s="48" t="s">
        <v>146</v>
      </c>
      <c r="AH7" s="48" t="s">
        <v>80</v>
      </c>
      <c r="AI7" s="48" t="s">
        <v>81</v>
      </c>
      <c r="AJ7" s="48" t="s">
        <v>148</v>
      </c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147</v>
      </c>
      <c r="F8" s="8"/>
      <c r="G8" s="9"/>
      <c r="H8" s="9"/>
      <c r="I8" s="55"/>
      <c r="J8" s="21">
        <f t="shared" si="2"/>
        <v>53900</v>
      </c>
      <c r="K8" s="8" t="s">
        <v>143</v>
      </c>
      <c r="L8" s="9">
        <v>7700</v>
      </c>
      <c r="M8" s="9"/>
      <c r="N8" s="55">
        <v>0</v>
      </c>
      <c r="O8" s="21">
        <f t="shared" si="3"/>
        <v>36500</v>
      </c>
      <c r="P8" s="8" t="s">
        <v>144</v>
      </c>
      <c r="Q8" s="9">
        <v>-7700</v>
      </c>
      <c r="R8" s="9"/>
      <c r="S8" s="55">
        <v>0</v>
      </c>
      <c r="T8" s="21">
        <f t="shared" si="4"/>
        <v>14600</v>
      </c>
      <c r="U8" s="60">
        <f>IF($J8="","",ROUND(($J8-$J$3)/1000,1)+(_xlfn.RANK.AVG($J8,($J8,$O8,$T8),1)-2)*20)</f>
        <v>38.9</v>
      </c>
      <c r="V8" s="61">
        <f>IF($O8="","",ROUND(($O8-$O$3)/1000,1)+(_xlfn.RANK.AVG($O8,($J8,$O8,$T8),1)-2)*20)</f>
        <v>1.5</v>
      </c>
      <c r="W8" s="62">
        <f>IF($T8="","",ROUND(($T8-$T$3)/1000,1)+(_xlfn.RANK.AVG($T8,($J8,$O8,$T8),1)-2)*20)</f>
        <v>-40.4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4</v>
      </c>
      <c r="AY8" s="36">
        <v>30</v>
      </c>
      <c r="AZ8" s="47" t="s">
        <v>145</v>
      </c>
      <c r="BA8" s="48" t="s">
        <v>84</v>
      </c>
      <c r="BB8" s="48" t="s">
        <v>80</v>
      </c>
      <c r="BC8" s="48" t="s">
        <v>81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149</v>
      </c>
      <c r="F9" s="8" t="s">
        <v>144</v>
      </c>
      <c r="G9" s="9">
        <v>-24000</v>
      </c>
      <c r="H9" s="9"/>
      <c r="I9" s="55">
        <v>0</v>
      </c>
      <c r="J9" s="21">
        <f t="shared" si="2"/>
        <v>29900</v>
      </c>
      <c r="K9" s="8" t="s">
        <v>143</v>
      </c>
      <c r="L9" s="9">
        <v>24000</v>
      </c>
      <c r="M9" s="9"/>
      <c r="N9" s="55">
        <v>0</v>
      </c>
      <c r="O9" s="21">
        <f t="shared" si="3"/>
        <v>60500</v>
      </c>
      <c r="P9" s="8"/>
      <c r="Q9" s="9"/>
      <c r="R9" s="9"/>
      <c r="S9" s="55"/>
      <c r="T9" s="21">
        <f t="shared" si="4"/>
        <v>14600</v>
      </c>
      <c r="U9" s="60">
        <f>IF($J9="","",ROUND(($J9-$J$3)/1000,1)+(_xlfn.RANK.AVG($J9,($J9,$O9,$T9),1)-2)*20)</f>
        <v>-5.0999999999999996</v>
      </c>
      <c r="V9" s="61">
        <f>IF($O9="","",ROUND(($O9-$O$3)/1000,1)+(_xlfn.RANK.AVG($O9,($J9,$O9,$T9),1)-2)*20)</f>
        <v>45.5</v>
      </c>
      <c r="W9" s="62">
        <f>IF($T9="","",ROUND(($T9-$T$3)/1000,1)+(_xlfn.RANK.AVG($T9,($J9,$O9,$T9),1)-2)*20)</f>
        <v>-40.4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10</v>
      </c>
      <c r="AY9" s="36" t="s">
        <v>152</v>
      </c>
      <c r="AZ9" s="47" t="s">
        <v>107</v>
      </c>
      <c r="BA9" s="48" t="s">
        <v>145</v>
      </c>
      <c r="BB9" s="48" t="s">
        <v>84</v>
      </c>
      <c r="BC9" s="48" t="s">
        <v>85</v>
      </c>
      <c r="BD9" s="48" t="s">
        <v>148</v>
      </c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A9ACD-A32B-4B3B-8852-B1A75AF33EF0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139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141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ただ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ただ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147</v>
      </c>
      <c r="F4" s="8" t="s">
        <v>143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/>
      <c r="L4" s="9"/>
      <c r="M4" s="9"/>
      <c r="N4" s="55"/>
      <c r="O4" s="21">
        <f>IF(COUNTA($F4,$K4,$P4)&gt;0,O3+SUM(L4:N4),"")</f>
        <v>35000</v>
      </c>
      <c r="P4" s="8" t="s">
        <v>144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0">
        <f>IF($J4="","",ROUND(($J4-$J$3)/1000,1)+(_xlfn.RANK.AVG($J4,($J4,$O4,$T4),1)-2)*20)</f>
        <v>32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-32</v>
      </c>
      <c r="Y4" s="8"/>
      <c r="Z4" s="41"/>
      <c r="AA4" s="32"/>
      <c r="AB4" s="32">
        <v>1</v>
      </c>
      <c r="AC4" s="32">
        <v>5</v>
      </c>
      <c r="AD4" s="36" t="s">
        <v>152</v>
      </c>
      <c r="AE4" s="47" t="s">
        <v>87</v>
      </c>
      <c r="AF4" s="48" t="s">
        <v>148</v>
      </c>
      <c r="AG4" s="48" t="s">
        <v>148</v>
      </c>
      <c r="AH4" s="48" t="s">
        <v>80</v>
      </c>
      <c r="AI4" s="48" t="s">
        <v>80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147</v>
      </c>
      <c r="F5" s="8" t="s">
        <v>151</v>
      </c>
      <c r="G5" s="9">
        <v>18000</v>
      </c>
      <c r="H5" s="9"/>
      <c r="I5" s="55">
        <v>1000</v>
      </c>
      <c r="J5" s="21">
        <f t="shared" ref="J5:J30" si="2">IF(COUNTA($F5,$K5,$P5)&gt;0,J4+SUM(G5:I5),"")</f>
        <v>66000</v>
      </c>
      <c r="K5" s="8" t="s">
        <v>150</v>
      </c>
      <c r="L5" s="9">
        <v>-9000</v>
      </c>
      <c r="M5" s="9"/>
      <c r="N5" s="55">
        <v>-500</v>
      </c>
      <c r="O5" s="21">
        <f t="shared" ref="O5:O30" si="3">IF(COUNTA($F5,$K5,$P5)&gt;0,O4+SUM(L5:N5),"")</f>
        <v>25500</v>
      </c>
      <c r="P5" s="8" t="s">
        <v>150</v>
      </c>
      <c r="Q5" s="9">
        <v>-9000</v>
      </c>
      <c r="R5" s="9"/>
      <c r="S5" s="55">
        <v>-500</v>
      </c>
      <c r="T5" s="21">
        <f t="shared" ref="T5:T30" si="4">IF(COUNTA($F5,$K5,$P5)&gt;0,T4+SUM(Q5:S5),"")</f>
        <v>13500</v>
      </c>
      <c r="U5" s="60">
        <f>IF($J5="","",ROUND(($J5-$J$3)/1000,1)+(_xlfn.RANK.AVG($J5,($J5,$O5,$T5),1)-2)*20)</f>
        <v>51</v>
      </c>
      <c r="V5" s="61">
        <f>IF($O5="","",ROUND(($O5-$O$3)/1000,1)+(_xlfn.RANK.AVG($O5,($J5,$O5,$T5),1)-2)*20)</f>
        <v>-9.5</v>
      </c>
      <c r="W5" s="62">
        <f>IF($T5="","",ROUND(($T5-$T$3)/1000,1)+(_xlfn.RANK.AVG($T5,($J5,$O5,$T5),1)-2)*20)</f>
        <v>-41.5</v>
      </c>
      <c r="Y5" s="8"/>
      <c r="Z5" s="41"/>
      <c r="AA5" s="32"/>
      <c r="AB5" s="32">
        <v>1</v>
      </c>
      <c r="AC5" s="32">
        <v>6</v>
      </c>
      <c r="AD5" s="36" t="s">
        <v>152</v>
      </c>
      <c r="AE5" s="47" t="s">
        <v>87</v>
      </c>
      <c r="AF5" s="48" t="s">
        <v>87</v>
      </c>
      <c r="AG5" s="48" t="s">
        <v>87</v>
      </c>
      <c r="AH5" s="48" t="s">
        <v>105</v>
      </c>
      <c r="AI5" s="48" t="s">
        <v>148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147</v>
      </c>
      <c r="F6" s="8" t="s">
        <v>150</v>
      </c>
      <c r="G6" s="9">
        <v>-7500</v>
      </c>
      <c r="H6" s="9">
        <v>-1000</v>
      </c>
      <c r="I6" s="55">
        <v>-1000</v>
      </c>
      <c r="J6" s="21">
        <f t="shared" si="2"/>
        <v>56500</v>
      </c>
      <c r="K6" s="8" t="s">
        <v>150</v>
      </c>
      <c r="L6" s="9">
        <v>-4500</v>
      </c>
      <c r="M6" s="9"/>
      <c r="N6" s="55">
        <v>-1000</v>
      </c>
      <c r="O6" s="21">
        <f t="shared" si="3"/>
        <v>20000</v>
      </c>
      <c r="P6" s="8" t="s">
        <v>151</v>
      </c>
      <c r="Q6" s="9">
        <v>12000</v>
      </c>
      <c r="R6" s="9">
        <v>1000</v>
      </c>
      <c r="S6" s="55">
        <v>2000</v>
      </c>
      <c r="T6" s="21">
        <f t="shared" si="4"/>
        <v>28500</v>
      </c>
      <c r="U6" s="60">
        <f>IF($J6="","",ROUND(($J6-$J$3)/1000,1)+(_xlfn.RANK.AVG($J6,($J6,$O6,$T6),1)-2)*20)</f>
        <v>41.5</v>
      </c>
      <c r="V6" s="61">
        <f>IF($O6="","",ROUND(($O6-$O$3)/1000,1)+(_xlfn.RANK.AVG($O6,($J6,$O6,$T6),1)-2)*20)</f>
        <v>-35</v>
      </c>
      <c r="W6" s="62">
        <f>IF($T6="","",ROUND(($T6-$T$3)/1000,1)+(_xlfn.RANK.AVG($T6,($J6,$O6,$T6),1)-2)*20)</f>
        <v>-6.5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6</v>
      </c>
      <c r="BT6" s="36" t="s">
        <v>152</v>
      </c>
      <c r="BU6" s="47" t="s">
        <v>105</v>
      </c>
      <c r="BV6" s="48" t="s">
        <v>148</v>
      </c>
      <c r="BW6" s="48" t="s">
        <v>87</v>
      </c>
      <c r="BX6" s="48" t="s">
        <v>87</v>
      </c>
      <c r="BY6" s="48" t="s">
        <v>87</v>
      </c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149</v>
      </c>
      <c r="F7" s="8"/>
      <c r="G7" s="9"/>
      <c r="H7" s="9"/>
      <c r="I7" s="55"/>
      <c r="J7" s="21">
        <f t="shared" si="2"/>
        <v>56500</v>
      </c>
      <c r="K7" s="8" t="s">
        <v>143</v>
      </c>
      <c r="L7" s="9">
        <v>11600</v>
      </c>
      <c r="M7" s="9"/>
      <c r="N7" s="55">
        <v>0</v>
      </c>
      <c r="O7" s="21">
        <f t="shared" si="3"/>
        <v>31600</v>
      </c>
      <c r="P7" s="8" t="s">
        <v>144</v>
      </c>
      <c r="Q7" s="9">
        <v>-11600</v>
      </c>
      <c r="R7" s="9"/>
      <c r="S7" s="55">
        <v>0</v>
      </c>
      <c r="T7" s="21">
        <f t="shared" si="4"/>
        <v>16900</v>
      </c>
      <c r="U7" s="60">
        <f>IF($J7="","",ROUND(($J7-$J$3)/1000,1)+(_xlfn.RANK.AVG($J7,($J7,$O7,$T7),1)-2)*20)</f>
        <v>41.5</v>
      </c>
      <c r="V7" s="61">
        <f>IF($O7="","",ROUND(($O7-$O$3)/1000,1)+(_xlfn.RANK.AVG($O7,($J7,$O7,$T7),1)-2)*20)</f>
        <v>-3.4</v>
      </c>
      <c r="W7" s="62">
        <f>IF($T7="","",ROUND(($T7-$T$3)/1000,1)+(_xlfn.RANK.AVG($T7,($J7,$O7,$T7),1)-2)*20)</f>
        <v>-38.1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4</v>
      </c>
      <c r="AY7" s="36">
        <v>30</v>
      </c>
      <c r="AZ7" s="47" t="s">
        <v>105</v>
      </c>
      <c r="BA7" s="48" t="s">
        <v>87</v>
      </c>
      <c r="BB7" s="48" t="s">
        <v>80</v>
      </c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149</v>
      </c>
      <c r="F8" s="8"/>
      <c r="G8" s="9"/>
      <c r="H8" s="9">
        <v>-1000</v>
      </c>
      <c r="I8" s="55"/>
      <c r="J8" s="21">
        <f t="shared" si="2"/>
        <v>55500</v>
      </c>
      <c r="K8" s="8" t="s">
        <v>144</v>
      </c>
      <c r="L8" s="9">
        <v>-12000</v>
      </c>
      <c r="M8" s="9">
        <v>-1000</v>
      </c>
      <c r="N8" s="55">
        <v>-1000</v>
      </c>
      <c r="O8" s="21">
        <f t="shared" si="3"/>
        <v>17600</v>
      </c>
      <c r="P8" s="8" t="s">
        <v>143</v>
      </c>
      <c r="Q8" s="9">
        <v>12000</v>
      </c>
      <c r="R8" s="9">
        <v>2000</v>
      </c>
      <c r="S8" s="55">
        <v>1000</v>
      </c>
      <c r="T8" s="21">
        <f t="shared" si="4"/>
        <v>31900</v>
      </c>
      <c r="U8" s="60">
        <f>IF($J8="","",ROUND(($J8-$J$3)/1000,1)+(_xlfn.RANK.AVG($J8,($J8,$O8,$T8),1)-2)*20)</f>
        <v>40.5</v>
      </c>
      <c r="V8" s="61">
        <f>IF($O8="","",ROUND(($O8-$O$3)/1000,1)+(_xlfn.RANK.AVG($O8,($J8,$O8,$T8),1)-2)*20)</f>
        <v>-37.4</v>
      </c>
      <c r="W8" s="62">
        <f>IF($T8="","",ROUND(($T8-$T$3)/1000,1)+(_xlfn.RANK.AVG($T8,($J8,$O8,$T8),1)-2)*20)</f>
        <v>-3.1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6</v>
      </c>
      <c r="BT8" s="36" t="s">
        <v>152</v>
      </c>
      <c r="BU8" s="47" t="s">
        <v>145</v>
      </c>
      <c r="BV8" s="48" t="s">
        <v>86</v>
      </c>
      <c r="BW8" s="48" t="s">
        <v>148</v>
      </c>
      <c r="BX8" s="48" t="s">
        <v>148</v>
      </c>
      <c r="BY8" s="48" t="s">
        <v>81</v>
      </c>
      <c r="BZ8" s="48" t="s">
        <v>80</v>
      </c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142</v>
      </c>
      <c r="F9" s="8"/>
      <c r="G9" s="9"/>
      <c r="H9" s="9"/>
      <c r="I9" s="55"/>
      <c r="J9" s="21">
        <f t="shared" si="2"/>
        <v>55500</v>
      </c>
      <c r="K9" s="8" t="s">
        <v>144</v>
      </c>
      <c r="L9" s="9">
        <v>-3900</v>
      </c>
      <c r="M9" s="9">
        <v>-1000</v>
      </c>
      <c r="N9" s="55">
        <v>0</v>
      </c>
      <c r="O9" s="21">
        <f t="shared" si="3"/>
        <v>12700</v>
      </c>
      <c r="P9" s="8" t="s">
        <v>143</v>
      </c>
      <c r="Q9" s="9">
        <v>3900</v>
      </c>
      <c r="R9" s="9">
        <v>1000</v>
      </c>
      <c r="S9" s="55">
        <v>0</v>
      </c>
      <c r="T9" s="21">
        <f t="shared" si="4"/>
        <v>36800</v>
      </c>
      <c r="U9" s="60">
        <f>IF($J9="","",ROUND(($J9-$J$3)/1000,1)+(_xlfn.RANK.AVG($J9,($J9,$O9,$T9),1)-2)*20)</f>
        <v>40.5</v>
      </c>
      <c r="V9" s="61">
        <f>IF($O9="","",ROUND(($O9-$O$3)/1000,1)+(_xlfn.RANK.AVG($O9,($J9,$O9,$T9),1)-2)*20)</f>
        <v>-42.3</v>
      </c>
      <c r="W9" s="62">
        <f>IF($T9="","",ROUND(($T9-$T$3)/1000,1)+(_xlfn.RANK.AVG($T9,($J9,$O9,$T9),1)-2)*20)</f>
        <v>1.8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2</v>
      </c>
      <c r="BT9" s="36">
        <v>40</v>
      </c>
      <c r="BU9" s="47" t="s">
        <v>145</v>
      </c>
      <c r="BV9" s="48" t="s">
        <v>80</v>
      </c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142</v>
      </c>
      <c r="F10" s="8" t="s">
        <v>143</v>
      </c>
      <c r="G10" s="9">
        <v>3900</v>
      </c>
      <c r="H10" s="9"/>
      <c r="I10" s="55">
        <v>1000</v>
      </c>
      <c r="J10" s="21">
        <f t="shared" si="2"/>
        <v>60400</v>
      </c>
      <c r="K10" s="8" t="s">
        <v>144</v>
      </c>
      <c r="L10" s="9">
        <v>-3900</v>
      </c>
      <c r="M10" s="9"/>
      <c r="N10" s="55">
        <v>-1000</v>
      </c>
      <c r="O10" s="21">
        <f t="shared" si="3"/>
        <v>7800</v>
      </c>
      <c r="P10" s="8"/>
      <c r="Q10" s="9"/>
      <c r="R10" s="9"/>
      <c r="S10" s="55"/>
      <c r="T10" s="21">
        <f t="shared" si="4"/>
        <v>36800</v>
      </c>
      <c r="U10" s="60">
        <f>IF($J10="","",ROUND(($J10-$J$3)/1000,1)+(_xlfn.RANK.AVG($J10,($J10,$O10,$T10),1)-2)*20)</f>
        <v>45.4</v>
      </c>
      <c r="V10" s="61">
        <f>IF($O10="","",ROUND(($O10-$O$3)/1000,1)+(_xlfn.RANK.AVG($O10,($J10,$O10,$T10),1)-2)*20)</f>
        <v>-47.2</v>
      </c>
      <c r="W10" s="62">
        <f>IF($T10="","",ROUND(($T10-$T$3)/1000,1)+(_xlfn.RANK.AVG($T10,($J10,$O10,$T10),1)-2)*20)</f>
        <v>1.8</v>
      </c>
      <c r="Y10" s="8"/>
      <c r="Z10" s="41"/>
      <c r="AA10" s="32">
        <v>1</v>
      </c>
      <c r="AB10" s="32"/>
      <c r="AC10" s="32">
        <v>3</v>
      </c>
      <c r="AD10" s="36">
        <v>30</v>
      </c>
      <c r="AE10" s="47" t="s">
        <v>145</v>
      </c>
      <c r="AF10" s="48" t="s">
        <v>84</v>
      </c>
      <c r="AG10" s="48" t="s">
        <v>148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147</v>
      </c>
      <c r="F11" s="8" t="s">
        <v>150</v>
      </c>
      <c r="G11" s="9">
        <v>-5000</v>
      </c>
      <c r="H11" s="9"/>
      <c r="I11" s="55">
        <v>0</v>
      </c>
      <c r="J11" s="21">
        <f t="shared" si="2"/>
        <v>55400</v>
      </c>
      <c r="K11" s="8" t="s">
        <v>151</v>
      </c>
      <c r="L11" s="9">
        <v>8000</v>
      </c>
      <c r="M11" s="9"/>
      <c r="N11" s="55">
        <v>0</v>
      </c>
      <c r="O11" s="21">
        <f t="shared" si="3"/>
        <v>15800</v>
      </c>
      <c r="P11" s="8" t="s">
        <v>150</v>
      </c>
      <c r="Q11" s="9">
        <v>-3000</v>
      </c>
      <c r="R11" s="9"/>
      <c r="S11" s="55">
        <v>0</v>
      </c>
      <c r="T11" s="21">
        <f t="shared" si="4"/>
        <v>33800</v>
      </c>
      <c r="U11" s="60">
        <f>IF($J11="","",ROUND(($J11-$J$3)/1000,1)+(_xlfn.RANK.AVG($J11,($J11,$O11,$T11),1)-2)*20)</f>
        <v>40.4</v>
      </c>
      <c r="V11" s="61">
        <f>IF($O11="","",ROUND(($O11-$O$3)/1000,1)+(_xlfn.RANK.AVG($O11,($J11,$O11,$T11),1)-2)*20)</f>
        <v>-39.200000000000003</v>
      </c>
      <c r="W11" s="62">
        <f>IF($T11="","",ROUND(($T11-$T$3)/1000,1)+(_xlfn.RANK.AVG($T11,($J11,$O11,$T11),1)-2)*20)</f>
        <v>-1.2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5</v>
      </c>
      <c r="AY11" s="36" t="s">
        <v>152</v>
      </c>
      <c r="AZ11" s="47" t="s">
        <v>83</v>
      </c>
      <c r="BA11" s="48" t="s">
        <v>145</v>
      </c>
      <c r="BB11" s="48" t="s">
        <v>146</v>
      </c>
      <c r="BC11" s="48" t="s">
        <v>148</v>
      </c>
      <c r="BD11" s="48" t="s">
        <v>87</v>
      </c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149</v>
      </c>
      <c r="F12" s="8" t="s">
        <v>144</v>
      </c>
      <c r="G12" s="9">
        <v>-5200</v>
      </c>
      <c r="H12" s="9"/>
      <c r="I12" s="55">
        <v>0</v>
      </c>
      <c r="J12" s="21">
        <f t="shared" si="2"/>
        <v>50200</v>
      </c>
      <c r="K12" s="8"/>
      <c r="L12" s="9"/>
      <c r="M12" s="9"/>
      <c r="N12" s="55"/>
      <c r="O12" s="21">
        <f t="shared" si="3"/>
        <v>15800</v>
      </c>
      <c r="P12" s="8" t="s">
        <v>143</v>
      </c>
      <c r="Q12" s="9">
        <v>5200</v>
      </c>
      <c r="R12" s="9"/>
      <c r="S12" s="55">
        <v>0</v>
      </c>
      <c r="T12" s="21">
        <f t="shared" si="4"/>
        <v>39000</v>
      </c>
      <c r="U12" s="60">
        <f>IF($J12="","",ROUND(($J12-$J$3)/1000,1)+(_xlfn.RANK.AVG($J12,($J12,$O12,$T12),1)-2)*20)</f>
        <v>35.200000000000003</v>
      </c>
      <c r="V12" s="61">
        <f>IF($O12="","",ROUND(($O12-$O$3)/1000,1)+(_xlfn.RANK.AVG($O12,($J12,$O12,$T12),1)-2)*20)</f>
        <v>-39.200000000000003</v>
      </c>
      <c r="W12" s="62">
        <f>IF($T12="","",ROUND(($T12-$T$3)/1000,1)+(_xlfn.RANK.AVG($T12,($J12,$O12,$T12),1)-2)*20)</f>
        <v>4</v>
      </c>
      <c r="Y12" s="8"/>
      <c r="Z12" s="41"/>
      <c r="AA12" s="32"/>
      <c r="AB12" s="32">
        <v>1</v>
      </c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>
        <v>3</v>
      </c>
      <c r="BT12" s="36">
        <v>40</v>
      </c>
      <c r="BU12" s="47" t="s">
        <v>86</v>
      </c>
      <c r="BV12" s="48" t="s">
        <v>80</v>
      </c>
      <c r="BW12" s="48" t="s">
        <v>80</v>
      </c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142</v>
      </c>
      <c r="F13" s="8" t="s">
        <v>144</v>
      </c>
      <c r="G13" s="9">
        <v>-12000</v>
      </c>
      <c r="H13" s="9">
        <v>-1000</v>
      </c>
      <c r="I13" s="55">
        <v>0</v>
      </c>
      <c r="J13" s="21">
        <f t="shared" si="2"/>
        <v>37200</v>
      </c>
      <c r="K13" s="8"/>
      <c r="L13" s="9"/>
      <c r="M13" s="9"/>
      <c r="N13" s="55"/>
      <c r="O13" s="21">
        <f t="shared" si="3"/>
        <v>15800</v>
      </c>
      <c r="P13" s="8" t="s">
        <v>143</v>
      </c>
      <c r="Q13" s="9">
        <v>12000</v>
      </c>
      <c r="R13" s="9">
        <v>1000</v>
      </c>
      <c r="S13" s="55">
        <v>0</v>
      </c>
      <c r="T13" s="21">
        <f t="shared" si="4"/>
        <v>52000</v>
      </c>
      <c r="U13" s="60">
        <f>IF($J13="","",ROUND(($J13-$J$3)/1000,1)+(_xlfn.RANK.AVG($J13,($J13,$O13,$T13),1)-2)*20)</f>
        <v>2.2000000000000002</v>
      </c>
      <c r="V13" s="61">
        <f>IF($O13="","",ROUND(($O13-$O$3)/1000,1)+(_xlfn.RANK.AVG($O13,($J13,$O13,$T13),1)-2)*20)</f>
        <v>-39.200000000000003</v>
      </c>
      <c r="W13" s="62">
        <f>IF($T13="","",ROUND(($T13-$T$3)/1000,1)+(_xlfn.RANK.AVG($T13,($J13,$O13,$T13),1)-2)*20)</f>
        <v>37</v>
      </c>
      <c r="Y13" s="8"/>
      <c r="Z13" s="41"/>
      <c r="AA13" s="32">
        <v>1</v>
      </c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4</v>
      </c>
      <c r="BT13" s="36">
        <v>40</v>
      </c>
      <c r="BU13" s="47" t="s">
        <v>145</v>
      </c>
      <c r="BV13" s="48" t="s">
        <v>80</v>
      </c>
      <c r="BW13" s="48" t="s">
        <v>80</v>
      </c>
      <c r="BX13" s="48" t="s">
        <v>80</v>
      </c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A5BC12DE-6A41-456B-85AD-AF9768B0DE35}">
      <formula1>$U$2:$W$2</formula1>
    </dataValidation>
    <dataValidation type="list" showInputMessage="1" showErrorMessage="1" sqref="K4:K30 P4:P30 F4:F30" xr:uid="{307B3239-E0DA-4A26-958B-74D9C090263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FC66B-5ADB-44FA-9506-43EB1EEAF6D7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139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141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ただ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ただ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149</v>
      </c>
      <c r="F4" s="8"/>
      <c r="G4" s="9"/>
      <c r="H4" s="9">
        <v>-1000</v>
      </c>
      <c r="I4" s="55"/>
      <c r="J4" s="21">
        <f>IF(COUNTA($F4,$K4,$P4)&gt;0,J3+SUM(G4:I4),"")</f>
        <v>34000</v>
      </c>
      <c r="K4" s="8" t="s">
        <v>143</v>
      </c>
      <c r="L4" s="9">
        <v>9600</v>
      </c>
      <c r="M4" s="9">
        <v>1000</v>
      </c>
      <c r="N4" s="55">
        <v>0</v>
      </c>
      <c r="O4" s="21">
        <f>IF(COUNTA($F4,$K4,$P4)&gt;0,O3+SUM(L4:N4),"")</f>
        <v>45600</v>
      </c>
      <c r="P4" s="8" t="s">
        <v>144</v>
      </c>
      <c r="Q4" s="9">
        <v>-9600</v>
      </c>
      <c r="R4" s="9"/>
      <c r="S4" s="55">
        <v>0</v>
      </c>
      <c r="T4" s="21">
        <f>IF(COUNTA($F4,$K4,$P4)&gt;0,T3+SUM(Q4:S4),"")</f>
        <v>25400</v>
      </c>
      <c r="U4" s="60">
        <f>IF($J4="","",ROUND(($J4-$J$3)/1000,1)+(_xlfn.RANK.AVG($J4,($J4,$O4,$T4),1)-2)*20)</f>
        <v>-1</v>
      </c>
      <c r="V4" s="61">
        <f>IF($O4="","",ROUND(($O4-$O$3)/1000,1)+(_xlfn.RANK.AVG($O4,($J4,$O4,$T4),1)-2)*20)</f>
        <v>30.6</v>
      </c>
      <c r="W4" s="62">
        <f>IF($T4="","",ROUND(($T4-$T$3)/1000,1)+(_xlfn.RANK.AVG($T4,($J4,$O4,$T4),1)-2)*20)</f>
        <v>-29.6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4</v>
      </c>
      <c r="AY4" s="36">
        <v>25</v>
      </c>
      <c r="AZ4" s="47" t="s">
        <v>145</v>
      </c>
      <c r="BA4" s="48" t="s">
        <v>148</v>
      </c>
      <c r="BB4" s="48" t="s">
        <v>102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149</v>
      </c>
      <c r="F5" s="8" t="s">
        <v>155</v>
      </c>
      <c r="G5" s="9">
        <v>1500</v>
      </c>
      <c r="H5" s="9">
        <v>-1000</v>
      </c>
      <c r="I5" s="55"/>
      <c r="J5" s="21">
        <f t="shared" ref="J5:J30" si="2">IF(COUNTA($F5,$K5,$P5)&gt;0,J4+SUM(G5:I5),"")</f>
        <v>34500</v>
      </c>
      <c r="K5" s="8" t="s">
        <v>155</v>
      </c>
      <c r="L5" s="9">
        <v>-3000</v>
      </c>
      <c r="M5" s="9"/>
      <c r="N5" s="55"/>
      <c r="O5" s="21">
        <f t="shared" ref="O5:O30" si="3">IF(COUNTA($F5,$K5,$P5)&gt;0,O4+SUM(L5:N5),"")</f>
        <v>42600</v>
      </c>
      <c r="P5" s="8" t="s">
        <v>155</v>
      </c>
      <c r="Q5" s="9">
        <v>1500</v>
      </c>
      <c r="R5" s="9">
        <v>-1000</v>
      </c>
      <c r="S5" s="55"/>
      <c r="T5" s="21">
        <f t="shared" ref="T5:T30" si="4">IF(COUNTA($F5,$K5,$P5)&gt;0,T4+SUM(Q5:S5),"")</f>
        <v>25900</v>
      </c>
      <c r="U5" s="60">
        <f>IF($J5="","",ROUND(($J5-$J$3)/1000,1)+(_xlfn.RANK.AVG($J5,($J5,$O5,$T5),1)-2)*20)</f>
        <v>-0.5</v>
      </c>
      <c r="V5" s="61">
        <f>IF($O5="","",ROUND(($O5-$O$3)/1000,1)+(_xlfn.RANK.AVG($O5,($J5,$O5,$T5),1)-2)*20)</f>
        <v>27.6</v>
      </c>
      <c r="W5" s="62">
        <f>IF($T5="","",ROUND(($T5-$T$3)/1000,1)+(_xlfn.RANK.AVG($T5,($J5,$O5,$T5),1)-2)*20)</f>
        <v>-29.1</v>
      </c>
      <c r="Y5" s="8" t="s">
        <v>153</v>
      </c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154</v>
      </c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153</v>
      </c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">
        <v>142</v>
      </c>
      <c r="F6" s="8" t="s">
        <v>155</v>
      </c>
      <c r="G6" s="9">
        <v>1500</v>
      </c>
      <c r="H6" s="9">
        <v>-1000</v>
      </c>
      <c r="I6" s="55"/>
      <c r="J6" s="21">
        <f t="shared" si="2"/>
        <v>35000</v>
      </c>
      <c r="K6" s="8" t="s">
        <v>155</v>
      </c>
      <c r="L6" s="9">
        <v>1500</v>
      </c>
      <c r="M6" s="9"/>
      <c r="N6" s="55"/>
      <c r="O6" s="21">
        <f t="shared" si="3"/>
        <v>44100</v>
      </c>
      <c r="P6" s="8" t="s">
        <v>155</v>
      </c>
      <c r="Q6" s="9">
        <v>-3000</v>
      </c>
      <c r="R6" s="9"/>
      <c r="S6" s="55"/>
      <c r="T6" s="21">
        <f t="shared" si="4"/>
        <v>22900</v>
      </c>
      <c r="U6" s="60">
        <f>IF($J6="","",ROUND(($J6-$J$3)/1000,1)+(_xlfn.RANK.AVG($J6,($J6,$O6,$T6),1)-2)*20)</f>
        <v>0</v>
      </c>
      <c r="V6" s="61">
        <f>IF($O6="","",ROUND(($O6-$O$3)/1000,1)+(_xlfn.RANK.AVG($O6,($J6,$O6,$T6),1)-2)*20)</f>
        <v>29.1</v>
      </c>
      <c r="W6" s="62">
        <f>IF($T6="","",ROUND(($T6-$T$3)/1000,1)+(_xlfn.RANK.AVG($T6,($J6,$O6,$T6),1)-2)*20)</f>
        <v>-32.1</v>
      </c>
      <c r="Y6" s="8" t="s">
        <v>153</v>
      </c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153</v>
      </c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154</v>
      </c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3</v>
      </c>
      <c r="D7" s="18">
        <f t="shared" si="1"/>
        <v>3</v>
      </c>
      <c r="E7" s="4" t="s">
        <v>147</v>
      </c>
      <c r="F7" s="8" t="s">
        <v>143</v>
      </c>
      <c r="G7" s="9">
        <v>4800</v>
      </c>
      <c r="H7" s="9">
        <v>4000</v>
      </c>
      <c r="I7" s="55">
        <v>3000</v>
      </c>
      <c r="J7" s="21">
        <f t="shared" si="2"/>
        <v>46800</v>
      </c>
      <c r="K7" s="8" t="s">
        <v>144</v>
      </c>
      <c r="L7" s="9">
        <v>-4800</v>
      </c>
      <c r="M7" s="9"/>
      <c r="N7" s="55">
        <v>-3000</v>
      </c>
      <c r="O7" s="21">
        <f t="shared" si="3"/>
        <v>36300</v>
      </c>
      <c r="P7" s="8"/>
      <c r="Q7" s="9"/>
      <c r="R7" s="9">
        <v>-1000</v>
      </c>
      <c r="S7" s="55"/>
      <c r="T7" s="21">
        <f t="shared" si="4"/>
        <v>21900</v>
      </c>
      <c r="U7" s="60">
        <f>IF($J7="","",ROUND(($J7-$J$3)/1000,1)+(_xlfn.RANK.AVG($J7,($J7,$O7,$T7),1)-2)*20)</f>
        <v>31.8</v>
      </c>
      <c r="V7" s="61">
        <f>IF($O7="","",ROUND(($O7-$O$3)/1000,1)+(_xlfn.RANK.AVG($O7,($J7,$O7,$T7),1)-2)*20)</f>
        <v>1.3</v>
      </c>
      <c r="W7" s="62">
        <f>IF($T7="","",ROUND(($T7-$T$3)/1000,1)+(_xlfn.RANK.AVG($T7,($J7,$O7,$T7),1)-2)*20)</f>
        <v>-33.1</v>
      </c>
      <c r="Y7" s="8"/>
      <c r="Z7" s="41"/>
      <c r="AA7" s="32">
        <v>1</v>
      </c>
      <c r="AB7" s="32"/>
      <c r="AC7" s="32">
        <v>3</v>
      </c>
      <c r="AD7" s="36">
        <v>25</v>
      </c>
      <c r="AE7" s="47" t="s">
        <v>148</v>
      </c>
      <c r="AF7" s="48" t="s">
        <v>102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4</v>
      </c>
      <c r="D8" s="18">
        <f t="shared" si="1"/>
        <v>0</v>
      </c>
      <c r="E8" s="4" t="s">
        <v>147</v>
      </c>
      <c r="F8" s="8" t="s">
        <v>151</v>
      </c>
      <c r="G8" s="9">
        <v>12000</v>
      </c>
      <c r="H8" s="9"/>
      <c r="I8" s="55">
        <v>4000</v>
      </c>
      <c r="J8" s="21">
        <f t="shared" si="2"/>
        <v>62800</v>
      </c>
      <c r="K8" s="8" t="s">
        <v>150</v>
      </c>
      <c r="L8" s="9">
        <v>-6000</v>
      </c>
      <c r="M8" s="9"/>
      <c r="N8" s="55">
        <v>-2000</v>
      </c>
      <c r="O8" s="21">
        <f t="shared" si="3"/>
        <v>28300</v>
      </c>
      <c r="P8" s="8" t="s">
        <v>150</v>
      </c>
      <c r="Q8" s="9">
        <v>-6000</v>
      </c>
      <c r="R8" s="9"/>
      <c r="S8" s="55">
        <v>-2000</v>
      </c>
      <c r="T8" s="21">
        <f t="shared" si="4"/>
        <v>13900</v>
      </c>
      <c r="U8" s="60">
        <f>IF($J8="","",ROUND(($J8-$J$3)/1000,1)+(_xlfn.RANK.AVG($J8,($J8,$O8,$T8),1)-2)*20)</f>
        <v>47.8</v>
      </c>
      <c r="V8" s="61">
        <f>IF($O8="","",ROUND(($O8-$O$3)/1000,1)+(_xlfn.RANK.AVG($O8,($J8,$O8,$T8),1)-2)*20)</f>
        <v>-6.7</v>
      </c>
      <c r="W8" s="62">
        <f>IF($T8="","",ROUND(($T8-$T$3)/1000,1)+(_xlfn.RANK.AVG($T8,($J8,$O8,$T8),1)-2)*20)</f>
        <v>-41.1</v>
      </c>
      <c r="Y8" s="8"/>
      <c r="Z8" s="41"/>
      <c r="AA8" s="32"/>
      <c r="AB8" s="32">
        <v>1</v>
      </c>
      <c r="AC8" s="32">
        <v>4</v>
      </c>
      <c r="AD8" s="36">
        <v>40</v>
      </c>
      <c r="AE8" s="47" t="s">
        <v>87</v>
      </c>
      <c r="AF8" s="48" t="s">
        <v>87</v>
      </c>
      <c r="AG8" s="48" t="s">
        <v>105</v>
      </c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5</v>
      </c>
      <c r="D9" s="18">
        <f t="shared" si="1"/>
        <v>0</v>
      </c>
      <c r="E9" s="4" t="s">
        <v>147</v>
      </c>
      <c r="F9" s="8"/>
      <c r="G9" s="9"/>
      <c r="H9" s="9"/>
      <c r="I9" s="55"/>
      <c r="J9" s="21">
        <f t="shared" si="2"/>
        <v>62800</v>
      </c>
      <c r="K9" s="8" t="s">
        <v>144</v>
      </c>
      <c r="L9" s="9">
        <v>-3900</v>
      </c>
      <c r="M9" s="9"/>
      <c r="N9" s="55">
        <v>-5000</v>
      </c>
      <c r="O9" s="21">
        <f t="shared" si="3"/>
        <v>19400</v>
      </c>
      <c r="P9" s="8" t="s">
        <v>143</v>
      </c>
      <c r="Q9" s="9">
        <v>3900</v>
      </c>
      <c r="R9" s="9"/>
      <c r="S9" s="55">
        <v>5000</v>
      </c>
      <c r="T9" s="21">
        <f t="shared" si="4"/>
        <v>22800</v>
      </c>
      <c r="U9" s="60">
        <f>IF($J9="","",ROUND(($J9-$J$3)/1000,1)+(_xlfn.RANK.AVG($J9,($J9,$O9,$T9),1)-2)*20)</f>
        <v>47.8</v>
      </c>
      <c r="V9" s="61">
        <f>IF($O9="","",ROUND(($O9-$O$3)/1000,1)+(_xlfn.RANK.AVG($O9,($J9,$O9,$T9),1)-2)*20)</f>
        <v>-35.6</v>
      </c>
      <c r="W9" s="62">
        <f>IF($T9="","",ROUND(($T9-$T$3)/1000,1)+(_xlfn.RANK.AVG($T9,($J9,$O9,$T9),1)-2)*20)</f>
        <v>-12.2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3</v>
      </c>
      <c r="BT9" s="36">
        <v>30</v>
      </c>
      <c r="BU9" s="47" t="s">
        <v>105</v>
      </c>
      <c r="BV9" s="48" t="s">
        <v>87</v>
      </c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149</v>
      </c>
      <c r="F10" s="8" t="s">
        <v>143</v>
      </c>
      <c r="G10" s="9">
        <v>5200</v>
      </c>
      <c r="H10" s="9"/>
      <c r="I10" s="55">
        <v>0</v>
      </c>
      <c r="J10" s="21">
        <f t="shared" si="2"/>
        <v>68000</v>
      </c>
      <c r="K10" s="8"/>
      <c r="L10" s="9"/>
      <c r="M10" s="9"/>
      <c r="N10" s="55"/>
      <c r="O10" s="21">
        <f t="shared" si="3"/>
        <v>19400</v>
      </c>
      <c r="P10" s="8" t="s">
        <v>144</v>
      </c>
      <c r="Q10" s="9">
        <v>-5200</v>
      </c>
      <c r="R10" s="9"/>
      <c r="S10" s="55">
        <v>0</v>
      </c>
      <c r="T10" s="21">
        <f t="shared" si="4"/>
        <v>17600</v>
      </c>
      <c r="U10" s="60">
        <f>IF($J10="","",ROUND(($J10-$J$3)/1000,1)+(_xlfn.RANK.AVG($J10,($J10,$O10,$T10),1)-2)*20)</f>
        <v>53</v>
      </c>
      <c r="V10" s="61">
        <f>IF($O10="","",ROUND(($O10-$O$3)/1000,1)+(_xlfn.RANK.AVG($O10,($J10,$O10,$T10),1)-2)*20)</f>
        <v>-15.6</v>
      </c>
      <c r="W10" s="62">
        <f>IF($T10="","",ROUND(($T10-$T$3)/1000,1)+(_xlfn.RANK.AVG($T10,($J10,$O10,$T10),1)-2)*20)</f>
        <v>-37.4</v>
      </c>
      <c r="Y10" s="8"/>
      <c r="Z10" s="41"/>
      <c r="AA10" s="32">
        <v>1</v>
      </c>
      <c r="AB10" s="32"/>
      <c r="AC10" s="32">
        <v>3</v>
      </c>
      <c r="AD10" s="36">
        <v>40</v>
      </c>
      <c r="AE10" s="47" t="s">
        <v>145</v>
      </c>
      <c r="AF10" s="48" t="s">
        <v>148</v>
      </c>
      <c r="AG10" s="48" t="s">
        <v>81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142</v>
      </c>
      <c r="F11" s="8" t="s">
        <v>144</v>
      </c>
      <c r="G11" s="9">
        <v>-2900</v>
      </c>
      <c r="H11" s="9">
        <v>-1000</v>
      </c>
      <c r="I11" s="55">
        <v>0</v>
      </c>
      <c r="J11" s="21">
        <f t="shared" si="2"/>
        <v>64100</v>
      </c>
      <c r="K11" s="8"/>
      <c r="L11" s="9"/>
      <c r="M11" s="9"/>
      <c r="N11" s="55"/>
      <c r="O11" s="21">
        <f t="shared" si="3"/>
        <v>19400</v>
      </c>
      <c r="P11" s="8" t="s">
        <v>143</v>
      </c>
      <c r="Q11" s="9">
        <v>2900</v>
      </c>
      <c r="R11" s="9">
        <v>1000</v>
      </c>
      <c r="S11" s="55">
        <v>0</v>
      </c>
      <c r="T11" s="21">
        <f t="shared" si="4"/>
        <v>21500</v>
      </c>
      <c r="U11" s="60">
        <f>IF($J11="","",ROUND(($J11-$J$3)/1000,1)+(_xlfn.RANK.AVG($J11,($J11,$O11,$T11),1)-2)*20)</f>
        <v>49.1</v>
      </c>
      <c r="V11" s="61">
        <f>IF($O11="","",ROUND(($O11-$O$3)/1000,1)+(_xlfn.RANK.AVG($O11,($J11,$O11,$T11),1)-2)*20)</f>
        <v>-35.6</v>
      </c>
      <c r="W11" s="62">
        <f>IF($T11="","",ROUND(($T11-$T$3)/1000,1)+(_xlfn.RANK.AVG($T11,($J11,$O11,$T11),1)-2)*20)</f>
        <v>-13.5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2</v>
      </c>
      <c r="BT11" s="36">
        <v>30</v>
      </c>
      <c r="BU11" s="47" t="s">
        <v>87</v>
      </c>
      <c r="BV11" s="48" t="s">
        <v>80</v>
      </c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142</v>
      </c>
      <c r="F12" s="8" t="s">
        <v>143</v>
      </c>
      <c r="G12" s="9">
        <v>5200</v>
      </c>
      <c r="H12" s="9"/>
      <c r="I12" s="55">
        <v>1000</v>
      </c>
      <c r="J12" s="21">
        <f t="shared" si="2"/>
        <v>70300</v>
      </c>
      <c r="K12" s="8"/>
      <c r="L12" s="9"/>
      <c r="M12" s="9"/>
      <c r="N12" s="55"/>
      <c r="O12" s="21">
        <f t="shared" si="3"/>
        <v>19400</v>
      </c>
      <c r="P12" s="8" t="s">
        <v>144</v>
      </c>
      <c r="Q12" s="9">
        <v>-5200</v>
      </c>
      <c r="R12" s="9"/>
      <c r="S12" s="55">
        <v>-1000</v>
      </c>
      <c r="T12" s="21">
        <f t="shared" si="4"/>
        <v>15300</v>
      </c>
      <c r="U12" s="60">
        <f>IF($J12="","",ROUND(($J12-$J$3)/1000,1)+(_xlfn.RANK.AVG($J12,($J12,$O12,$T12),1)-2)*20)</f>
        <v>55.3</v>
      </c>
      <c r="V12" s="61">
        <f>IF($O12="","",ROUND(($O12-$O$3)/1000,1)+(_xlfn.RANK.AVG($O12,($J12,$O12,$T12),1)-2)*20)</f>
        <v>-15.6</v>
      </c>
      <c r="W12" s="62">
        <f>IF($T12="","",ROUND(($T12-$T$3)/1000,1)+(_xlfn.RANK.AVG($T12,($J12,$O12,$T12),1)-2)*20)</f>
        <v>-39.700000000000003</v>
      </c>
      <c r="Y12" s="8"/>
      <c r="Z12" s="41"/>
      <c r="AA12" s="32"/>
      <c r="AB12" s="32"/>
      <c r="AC12" s="32">
        <v>3</v>
      </c>
      <c r="AD12" s="36">
        <v>40</v>
      </c>
      <c r="AE12" s="47" t="s">
        <v>87</v>
      </c>
      <c r="AF12" s="48" t="s">
        <v>87</v>
      </c>
      <c r="AG12" s="48" t="s">
        <v>80</v>
      </c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147</v>
      </c>
      <c r="F13" s="8" t="s">
        <v>143</v>
      </c>
      <c r="G13" s="9">
        <v>18000</v>
      </c>
      <c r="H13" s="9"/>
      <c r="I13" s="55">
        <v>0</v>
      </c>
      <c r="J13" s="21">
        <f t="shared" si="2"/>
        <v>88300</v>
      </c>
      <c r="K13" s="8" t="s">
        <v>144</v>
      </c>
      <c r="L13" s="9">
        <v>-18000</v>
      </c>
      <c r="M13" s="9"/>
      <c r="N13" s="55">
        <v>0</v>
      </c>
      <c r="O13" s="21">
        <f t="shared" si="3"/>
        <v>1400</v>
      </c>
      <c r="P13" s="8"/>
      <c r="Q13" s="9"/>
      <c r="R13" s="9"/>
      <c r="S13" s="55"/>
      <c r="T13" s="21">
        <f t="shared" si="4"/>
        <v>15300</v>
      </c>
      <c r="U13" s="60">
        <f>IF($J13="","",ROUND(($J13-$J$3)/1000,1)+(_xlfn.RANK.AVG($J13,($J13,$O13,$T13),1)-2)*20)</f>
        <v>73.3</v>
      </c>
      <c r="V13" s="61">
        <f>IF($O13="","",ROUND(($O13-$O$3)/1000,1)+(_xlfn.RANK.AVG($O13,($J13,$O13,$T13),1)-2)*20)</f>
        <v>-53.6</v>
      </c>
      <c r="W13" s="62">
        <f>IF($T13="","",ROUND(($T13-$T$3)/1000,1)+(_xlfn.RANK.AVG($T13,($J13,$O13,$T13),1)-2)*20)</f>
        <v>-19.7</v>
      </c>
      <c r="Y13" s="8"/>
      <c r="Z13" s="41"/>
      <c r="AA13" s="32"/>
      <c r="AB13" s="32"/>
      <c r="AC13" s="32">
        <v>7</v>
      </c>
      <c r="AD13" s="36" t="s">
        <v>152</v>
      </c>
      <c r="AE13" s="47" t="s">
        <v>105</v>
      </c>
      <c r="AF13" s="48" t="s">
        <v>80</v>
      </c>
      <c r="AG13" s="48" t="s">
        <v>80</v>
      </c>
      <c r="AH13" s="48" t="s">
        <v>80</v>
      </c>
      <c r="AI13" s="48" t="s">
        <v>85</v>
      </c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6DF9714-C172-4AC7-B494-73E4D1372536}">
      <formula1>"ロン,ツモ,放銃,ツモ支払,流局,チョンボ"</formula1>
    </dataValidation>
    <dataValidation type="list" allowBlank="1" showInputMessage="1" showErrorMessage="1" sqref="E4:E30" xr:uid="{37F4DD3B-098E-49E1-B61B-CC5D9C76EF5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2019-03-31T11:45:57Z</dcterms:modified>
</cp:coreProperties>
</file>