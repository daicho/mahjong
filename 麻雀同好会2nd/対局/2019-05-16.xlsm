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9D83D2DE-9109-4B15-816B-8E5CB36F9418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3" r:id="rId2"/>
    <sheet name="Sheet3" sheetId="20" r:id="rId3"/>
    <sheet name="Sheet4" sheetId="21" r:id="rId4"/>
    <sheet name="Sheet5" sheetId="22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V25" i="23"/>
  <c r="T25" i="23"/>
  <c r="W25" i="23" s="1"/>
  <c r="O25" i="23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V23" i="23"/>
  <c r="T23" i="23"/>
  <c r="W23" i="23" s="1"/>
  <c r="O23" i="23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C12" i="23"/>
  <c r="D11" i="23"/>
  <c r="D12" i="23" s="1"/>
  <c r="C11" i="23"/>
  <c r="C10" i="23"/>
  <c r="D9" i="23"/>
  <c r="D10" i="23" s="1"/>
  <c r="C9" i="23"/>
  <c r="C8" i="23"/>
  <c r="D7" i="23"/>
  <c r="D8" i="23" s="1"/>
  <c r="C7" i="23"/>
  <c r="D6" i="23"/>
  <c r="C6" i="23"/>
  <c r="D5" i="23"/>
  <c r="C5" i="23"/>
  <c r="B5" i="23"/>
  <c r="A5" i="23" s="1"/>
  <c r="T4" i="23"/>
  <c r="O4" i="23"/>
  <c r="V4" i="23" s="1"/>
  <c r="J4" i="23"/>
  <c r="W3" i="23"/>
  <c r="V3" i="23"/>
  <c r="U3" i="23"/>
  <c r="W2" i="23"/>
  <c r="V2" i="23"/>
  <c r="U2" i="23"/>
  <c r="BO1" i="23"/>
  <c r="AT1" i="23"/>
  <c r="Y1" i="23"/>
  <c r="W4" i="23" l="1"/>
  <c r="U4" i="23"/>
  <c r="B6" i="23"/>
  <c r="A6" i="23" s="1"/>
  <c r="J5" i="23"/>
  <c r="O5" i="23"/>
  <c r="B7" i="23"/>
  <c r="T5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O11" i="22"/>
  <c r="J11" i="22"/>
  <c r="D11" i="22"/>
  <c r="C11" i="22"/>
  <c r="B11" i="22"/>
  <c r="A11" i="22" s="1"/>
  <c r="D10" i="22"/>
  <c r="C10" i="22"/>
  <c r="D9" i="22"/>
  <c r="C9" i="22"/>
  <c r="D8" i="22"/>
  <c r="C8" i="22"/>
  <c r="D7" i="22"/>
  <c r="C7" i="22"/>
  <c r="B7" i="22"/>
  <c r="B8" i="22" s="1"/>
  <c r="D6" i="22"/>
  <c r="B6" i="22"/>
  <c r="A6" i="22" s="1"/>
  <c r="O5" i="22"/>
  <c r="D5" i="22"/>
  <c r="C5" i="22"/>
  <c r="C6" i="22" s="1"/>
  <c r="B5" i="22"/>
  <c r="A5" i="22" s="1"/>
  <c r="T4" i="22"/>
  <c r="O4" i="22"/>
  <c r="J4" i="22"/>
  <c r="J5" i="22" s="1"/>
  <c r="W3" i="22"/>
  <c r="V3" i="22"/>
  <c r="U3" i="22"/>
  <c r="W2" i="22"/>
  <c r="V2" i="22"/>
  <c r="U2" i="22"/>
  <c r="BO1" i="22"/>
  <c r="AT1" i="22"/>
  <c r="Y1" i="22"/>
  <c r="U5" i="23" l="1"/>
  <c r="J6" i="23"/>
  <c r="J7" i="23" s="1"/>
  <c r="T6" i="23"/>
  <c r="W5" i="23"/>
  <c r="B8" i="23"/>
  <c r="A7" i="23"/>
  <c r="O6" i="23"/>
  <c r="V5" i="23"/>
  <c r="U11" i="22"/>
  <c r="V11" i="22"/>
  <c r="W11" i="22"/>
  <c r="V4" i="22"/>
  <c r="W4" i="22"/>
  <c r="U4" i="22"/>
  <c r="B9" i="22"/>
  <c r="J6" i="22"/>
  <c r="A7" i="22"/>
  <c r="A8" i="22" s="1"/>
  <c r="T5" i="22"/>
  <c r="O6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O10" i="21"/>
  <c r="J10" i="21"/>
  <c r="D10" i="21"/>
  <c r="C10" i="21"/>
  <c r="B10" i="21"/>
  <c r="A10" i="21" s="1"/>
  <c r="D9" i="21"/>
  <c r="C9" i="21"/>
  <c r="D7" i="21"/>
  <c r="D8" i="21" s="1"/>
  <c r="C7" i="21"/>
  <c r="C8" i="21" s="1"/>
  <c r="B7" i="21"/>
  <c r="B8" i="21" s="1"/>
  <c r="D6" i="21"/>
  <c r="C6" i="21"/>
  <c r="B6" i="21"/>
  <c r="A6" i="21"/>
  <c r="T5" i="21"/>
  <c r="O5" i="21"/>
  <c r="V5" i="21" s="1"/>
  <c r="D5" i="21"/>
  <c r="C5" i="21"/>
  <c r="B5" i="21"/>
  <c r="A5" i="2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1" i="20"/>
  <c r="D12" i="20" s="1"/>
  <c r="C11" i="20"/>
  <c r="C12" i="20" s="1"/>
  <c r="D10" i="20"/>
  <c r="D9" i="20"/>
  <c r="C9" i="20"/>
  <c r="C10" i="20" s="1"/>
  <c r="D8" i="20"/>
  <c r="D7" i="20"/>
  <c r="C7" i="20"/>
  <c r="C8" i="20" s="1"/>
  <c r="D6" i="20"/>
  <c r="C6" i="20"/>
  <c r="T5" i="20"/>
  <c r="O5" i="20"/>
  <c r="D5" i="20"/>
  <c r="C5" i="20"/>
  <c r="B5" i="20"/>
  <c r="B6" i="20" s="1"/>
  <c r="A5" i="20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U6" i="23" l="1"/>
  <c r="B9" i="23"/>
  <c r="V6" i="23"/>
  <c r="O7" i="23"/>
  <c r="W6" i="23"/>
  <c r="T7" i="23"/>
  <c r="A8" i="23"/>
  <c r="A9" i="23" s="1"/>
  <c r="J8" i="23"/>
  <c r="A9" i="22"/>
  <c r="O7" i="22"/>
  <c r="W5" i="22"/>
  <c r="T6" i="22"/>
  <c r="V5" i="22"/>
  <c r="U5" i="22"/>
  <c r="U6" i="22"/>
  <c r="J7" i="22"/>
  <c r="B10" i="22"/>
  <c r="A10" i="22" s="1"/>
  <c r="U10" i="21"/>
  <c r="V10" i="21"/>
  <c r="W10" i="21"/>
  <c r="A7" i="21"/>
  <c r="W5" i="21"/>
  <c r="W4" i="21"/>
  <c r="V4" i="21"/>
  <c r="U4" i="21"/>
  <c r="U5" i="21"/>
  <c r="J6" i="21"/>
  <c r="B9" i="21"/>
  <c r="A9" i="21" s="1"/>
  <c r="A8" i="21"/>
  <c r="O6" i="21"/>
  <c r="T6" i="21"/>
  <c r="V5" i="20"/>
  <c r="W5" i="20"/>
  <c r="W4" i="20"/>
  <c r="V4" i="20"/>
  <c r="U4" i="20"/>
  <c r="B7" i="20"/>
  <c r="J6" i="20"/>
  <c r="U5" i="20"/>
  <c r="O6" i="20"/>
  <c r="T6" i="20"/>
  <c r="A6" i="20"/>
  <c r="W7" i="23" l="1"/>
  <c r="T8" i="23"/>
  <c r="J9" i="23"/>
  <c r="B10" i="23"/>
  <c r="A10" i="23" s="1"/>
  <c r="U7" i="23"/>
  <c r="O8" i="23"/>
  <c r="V7" i="23"/>
  <c r="W6" i="22"/>
  <c r="T7" i="22"/>
  <c r="O8" i="22"/>
  <c r="V6" i="22"/>
  <c r="U7" i="22"/>
  <c r="J8" i="22"/>
  <c r="W6" i="21"/>
  <c r="T7" i="21"/>
  <c r="O7" i="21"/>
  <c r="V6" i="21"/>
  <c r="U6" i="21"/>
  <c r="J7" i="21"/>
  <c r="A7" i="20"/>
  <c r="U6" i="20"/>
  <c r="J7" i="20"/>
  <c r="W6" i="20"/>
  <c r="T7" i="20"/>
  <c r="V6" i="20"/>
  <c r="O7" i="20"/>
  <c r="B8" i="20"/>
  <c r="A8" i="20" s="1"/>
  <c r="B11" i="23" l="1"/>
  <c r="V8" i="23"/>
  <c r="O9" i="23"/>
  <c r="U9" i="23"/>
  <c r="J10" i="23"/>
  <c r="W8" i="23"/>
  <c r="T9" i="23"/>
  <c r="U8" i="23"/>
  <c r="W7" i="22"/>
  <c r="T8" i="22"/>
  <c r="V8" i="22" s="1"/>
  <c r="U8" i="22"/>
  <c r="J9" i="22"/>
  <c r="V7" i="22"/>
  <c r="O9" i="22"/>
  <c r="O8" i="21"/>
  <c r="V7" i="21"/>
  <c r="W7" i="21"/>
  <c r="T8" i="21"/>
  <c r="U7" i="21"/>
  <c r="J8" i="21"/>
  <c r="U7" i="20"/>
  <c r="J8" i="20"/>
  <c r="B9" i="20"/>
  <c r="A9" i="20" s="1"/>
  <c r="O8" i="20"/>
  <c r="V7" i="20"/>
  <c r="W7" i="20"/>
  <c r="T8" i="20"/>
  <c r="B12" i="23" l="1"/>
  <c r="A12" i="23" s="1"/>
  <c r="W9" i="23"/>
  <c r="T10" i="23"/>
  <c r="O10" i="23"/>
  <c r="V9" i="23"/>
  <c r="U10" i="23"/>
  <c r="J11" i="23"/>
  <c r="A11" i="23"/>
  <c r="O10" i="22"/>
  <c r="J10" i="22"/>
  <c r="W8" i="22"/>
  <c r="T9" i="22"/>
  <c r="V9" i="22" s="1"/>
  <c r="O9" i="21"/>
  <c r="V8" i="21"/>
  <c r="U8" i="21"/>
  <c r="J9" i="21"/>
  <c r="W8" i="21"/>
  <c r="T9" i="21"/>
  <c r="W9" i="21" s="1"/>
  <c r="T9" i="20"/>
  <c r="W8" i="20"/>
  <c r="O9" i="20"/>
  <c r="V8" i="20"/>
  <c r="B10" i="20"/>
  <c r="A10" i="20" s="1"/>
  <c r="U8" i="20"/>
  <c r="J9" i="20"/>
  <c r="V10" i="23" l="1"/>
  <c r="O11" i="23"/>
  <c r="U11" i="23" s="1"/>
  <c r="J12" i="23"/>
  <c r="W10" i="23"/>
  <c r="T11" i="23"/>
  <c r="U9" i="22"/>
  <c r="W9" i="22"/>
  <c r="T10" i="22"/>
  <c r="W10" i="22" s="1"/>
  <c r="U9" i="21"/>
  <c r="V9" i="21"/>
  <c r="U9" i="20"/>
  <c r="J10" i="20"/>
  <c r="W9" i="20"/>
  <c r="T10" i="20"/>
  <c r="B11" i="20"/>
  <c r="A11" i="20" s="1"/>
  <c r="V9" i="20"/>
  <c r="O10" i="20"/>
  <c r="W11" i="23" l="1"/>
  <c r="T12" i="23"/>
  <c r="W12" i="23" s="1"/>
  <c r="O12" i="23"/>
  <c r="V11" i="23"/>
  <c r="V10" i="22"/>
  <c r="U10" i="22"/>
  <c r="V10" i="20"/>
  <c r="O11" i="20"/>
  <c r="U10" i="20"/>
  <c r="J11" i="20"/>
  <c r="W10" i="20"/>
  <c r="T11" i="20"/>
  <c r="B12" i="20"/>
  <c r="A12" i="20" s="1"/>
  <c r="U12" i="23" l="1"/>
  <c r="V12" i="23"/>
  <c r="W11" i="20"/>
  <c r="T12" i="20"/>
  <c r="W12" i="20" s="1"/>
  <c r="U11" i="20"/>
  <c r="J12" i="20"/>
  <c r="O12" i="20"/>
  <c r="V12" i="20" s="1"/>
  <c r="V11" i="20"/>
  <c r="U12" i="20" l="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/>
  <c r="T10" i="19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 s="1"/>
  <c r="T8" i="19"/>
  <c r="O8" i="19"/>
  <c r="V8" i="19" s="1"/>
  <c r="J8" i="19"/>
  <c r="U8" i="19" s="1"/>
  <c r="D8" i="19"/>
  <c r="C8" i="19"/>
  <c r="B8" i="19"/>
  <c r="A8" i="19" s="1"/>
  <c r="T7" i="19"/>
  <c r="O7" i="19"/>
  <c r="V7" i="19" s="1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/>
  <c r="T4" i="19"/>
  <c r="O4" i="19"/>
  <c r="J4" i="19"/>
  <c r="W3" i="19"/>
  <c r="V3" i="19"/>
  <c r="U3" i="19"/>
  <c r="W2" i="19"/>
  <c r="V2" i="19"/>
  <c r="U2" i="19"/>
  <c r="BO1" i="19"/>
  <c r="AT1" i="19"/>
  <c r="Y1" i="19"/>
  <c r="U12" i="19" l="1"/>
  <c r="W12" i="19"/>
  <c r="V12" i="19"/>
  <c r="W11" i="19"/>
  <c r="W10" i="19"/>
  <c r="W8" i="19"/>
  <c r="W7" i="19"/>
  <c r="U6" i="19"/>
  <c r="V6" i="19"/>
  <c r="W6" i="19"/>
  <c r="U4" i="19"/>
  <c r="V4" i="19"/>
  <c r="T5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<sst xmlns="http://schemas.openxmlformats.org/spreadsheetml/2006/main" count="938" uniqueCount="163">
  <si>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</si>
  <si>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</si>
  <si>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</si>
  <si>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</si>
  <si>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</si>
  <si>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</si>
  <si>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</si>
  <si>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</si>
  <si>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</si>
  <si>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</si>
  <si>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</si>
  <si>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</si>
  <si>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</si>
  <si>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</si>
  <si>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</si>
  <si>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</si>
  <si>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</si>
  <si>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</si>
  <si>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</si>
  <si>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</si>
  <si>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</si>
  <si>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</si>
  <si>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</si>
  <si>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</si>
  <si>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</si>
  <si>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</si>
  <si>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</si>
  <si>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</si>
  <si>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</si>
  <si>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</si>
  <si>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</si>
  <si>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</si>
  <si>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</si>
  <si>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</si>
  <si>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</si>
  <si>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</si>
  <si>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</si>
  <si>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</si>
  <si>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</si>
  <si>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</si>
  <si>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</si>
  <si>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</si>
  <si>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</si>
  <si>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</si>
  <si>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</si>
  <si>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</si>
  <si>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</si>
  <si>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</si>
  <si>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</si>
  <si>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</si>
  <si>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</si>
  <si>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</si>
  <si>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</si>
  <si>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</si>
  <si>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</si>
  <si>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</si>
  <si>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</si>
  <si>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</si>
  <si>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</si>
  <si>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</si>
  <si>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</si>
  <si>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</si>
  <si>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</si>
  <si>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</si>
  <si>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</si>
  <si>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</si>
  <si>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</si>
  <si>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</si>
  <si>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</si>
  <si>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</si>
  <si>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</si>
  <si>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</si>
  <si>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</si>
  <si>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</si>
  <si>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</si>
  <si>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</si>
  <si>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</si>
  <si>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</si>
  <si>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</si>
  <si>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</si>
  <si>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</si>
  <si>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</si>
  <si>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</si>
  <si>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</si>
  <si>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</si>
  <si>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</si>
  <si>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</si>
  <si>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</si>
  <si>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</si>
  <si>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</si>
  <si>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</si>
  <si>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</si>
  <si>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</si>
  <si>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</si>
  <si>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</si>
  <si>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</si>
  <si>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</si>
  <si>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</si>
  <si>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</si>
  <si>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</si>
  <si>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</si>
  <si>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</si>
  <si>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</si>
  <si>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</si>
  <si>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</si>
  <si>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</si>
  <si>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</si>
  <si>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</si>
  <si>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</si>
  <si>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</si>
  <si>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</si>
  <si>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</si>
  <si>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</si>
  <si>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</si>
  <si>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</si>
  <si>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</si>
  <si>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</si>
  <si>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</si>
  <si>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</si>
  <si>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</si>
  <si>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</si>
  <si>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</si>
  <si>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</si>
  <si>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</si>
  <si>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</si>
  <si>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</si>
  <si>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</si>
  <si>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</si>
  <si>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</si>
  <si>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</si>
  <si>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</si>
  <si>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</si>
  <si>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</si>
  <si>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</si>
  <si>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</si>
  <si>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</si>
  <si>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</si>
  <si>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</si>
  <si>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</si>
  <si>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</si>
  <si>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</si>
  <si>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</si>
  <si>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ぱぱ</t>
  </si>
  <si>
    <t>ぱぱ</t>
    <phoneticPr fontId="1"/>
  </si>
  <si>
    <t>ロン</t>
  </si>
  <si>
    <t>放銃</t>
  </si>
  <si>
    <t>ツモ支払</t>
  </si>
  <si>
    <t>ツモ</t>
  </si>
  <si>
    <t>01</t>
  </si>
  <si>
    <t>02</t>
  </si>
  <si>
    <t>52</t>
  </si>
  <si>
    <t>*</t>
  </si>
  <si>
    <t>T</t>
  </si>
  <si>
    <t>N</t>
  </si>
  <si>
    <t>流局</t>
    <phoneticPr fontId="1"/>
  </si>
  <si>
    <t>ただ</t>
  </si>
  <si>
    <t>ただ</t>
    <phoneticPr fontId="1"/>
  </si>
  <si>
    <t>りくと</t>
  </si>
  <si>
    <t>りくと</t>
    <phoneticPr fontId="1"/>
  </si>
  <si>
    <t>たかの</t>
  </si>
  <si>
    <t>たかの</t>
    <phoneticPr fontId="1"/>
  </si>
  <si>
    <t>51</t>
  </si>
  <si>
    <t>流局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</si>
</sst>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132" t="s">
        <v>0</v>
      </c>
      <c r="B1" s="134" t="s">
        <v>2</v>
      </c>
      <c r="C1" s="134" t="s">
        <v>1</v>
      </c>
      <c r="D1" s="134" t="s">
        <v>21</v>
      </c>
      <c r="E1" s="136" t="s">
        <v>3</v>
      </c>
      <c r="F1" s="128" t="s">
        <v>143</v>
      </c>
      <c r="G1" s="129"/>
      <c r="H1" s="129"/>
      <c r="I1" s="130"/>
      <c r="J1" s="131"/>
      <c r="K1" s="128" t="s">
        <v>139</v>
      </c>
      <c r="L1" s="129"/>
      <c r="M1" s="129"/>
      <c r="N1" s="130"/>
      <c r="O1" s="131"/>
      <c r="P1" s="128" t="s">
        <v>141</v>
      </c>
      <c r="Q1" s="129"/>
      <c r="R1" s="129"/>
      <c r="S1" s="130"/>
      <c r="T1" s="131"/>
      <c r="U1" s="128" t="s">
        <v>6</v>
      </c>
      <c r="V1" s="129"/>
      <c r="W1" s="131"/>
      <c r="Y1" s="128" t="str">
        <f>F1</f>
        <v>ぱぱ</v>
      </c>
      <c r="Z1" s="13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31"/>
      <c r="AT1" s="128" t="str">
        <f>K1</f>
        <v>だいち</v>
      </c>
      <c r="AU1" s="13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31"/>
      <c r="BO1" s="128" t="str">
        <f>P1</f>
        <v>れんたろう</v>
      </c>
      <c r="BP1" s="13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31"/>
    </row>
    <row r="2" spans="1:87" x14ac:dyDescent="0.4">
      <c r="A2" s="133"/>
      <c r="B2" s="135"/>
      <c r="C2" s="135"/>
      <c r="D2" s="135"/>
      <c r="E2" s="137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ぱぱ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138" t="s">
        <v>20</v>
      </c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138" t="s">
        <v>20</v>
      </c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138" t="s">
        <v>20</v>
      </c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/>
      <c r="G4" s="9"/>
      <c r="H4" s="9"/>
      <c r="I4" s="48"/>
      <c r="J4" s="21">
        <f>IF(COUNTA($F4,$K4,$P4)&gt;0,J3+SUM(G4:I4),"")</f>
        <v>35000</v>
      </c>
      <c r="K4" s="8" t="s">
        <v>144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145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-28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40</v>
      </c>
      <c r="AZ4" s="40" t="s">
        <v>86</v>
      </c>
      <c r="BA4" s="41" t="s">
        <v>86</v>
      </c>
      <c r="BB4" s="41" t="s">
        <v>104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146</v>
      </c>
      <c r="G5" s="9">
        <v>-500</v>
      </c>
      <c r="H5" s="9"/>
      <c r="I5" s="48">
        <v>0</v>
      </c>
      <c r="J5" s="21">
        <f t="shared" ref="J5:J30" si="2">IF(COUNTA($F5,$K5,$P5)&gt;0,J4+SUM(G5:I5),"")</f>
        <v>34500</v>
      </c>
      <c r="K5" s="8" t="s">
        <v>146</v>
      </c>
      <c r="L5" s="9">
        <v>-700</v>
      </c>
      <c r="M5" s="9"/>
      <c r="N5" s="48">
        <v>0</v>
      </c>
      <c r="O5" s="21">
        <f t="shared" ref="O5:O30" si="3">IF(COUNTA($F5,$K5,$P5)&gt;0,O4+SUM(L5:N5),"")</f>
        <v>42300</v>
      </c>
      <c r="P5" s="8" t="s">
        <v>147</v>
      </c>
      <c r="Q5" s="9">
        <v>1200</v>
      </c>
      <c r="R5" s="9"/>
      <c r="S5" s="48">
        <v>0</v>
      </c>
      <c r="T5" s="21">
        <f t="shared" ref="T5:T30" si="4">IF(COUNTA($F5,$K5,$P5)&gt;0,T4+SUM(Q5:S5),"")</f>
        <v>28200</v>
      </c>
      <c r="U5" s="53">
        <f>IF($J5="","",ROUND(($J5-$J$3)/1000,1)+(_xlfn.RANK.AVG($J5,($J5,$O5,$T5),1)-2)*20)</f>
        <v>-0.5</v>
      </c>
      <c r="V5" s="54">
        <f>IF($O5="","",ROUND(($O5-$O$3)/1000,1)+(_xlfn.RANK.AVG($O5,($J5,$O5,$T5),1)-2)*20)</f>
        <v>27.3</v>
      </c>
      <c r="W5" s="55">
        <f>IF($T5="","",ROUND(($T5-$T$3)/1000,1)+(_xlfn.RANK.AVG($T5,($J5,$O5,$T5),1)-2)*20)</f>
        <v>-26.8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30</v>
      </c>
      <c r="BU5" s="40" t="s">
        <v>82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 t="s">
        <v>145</v>
      </c>
      <c r="G6" s="9">
        <v>-2000</v>
      </c>
      <c r="H6" s="9"/>
      <c r="I6" s="48">
        <v>0</v>
      </c>
      <c r="J6" s="21">
        <f t="shared" si="2"/>
        <v>32500</v>
      </c>
      <c r="K6" s="8" t="s">
        <v>144</v>
      </c>
      <c r="L6" s="9">
        <v>2000</v>
      </c>
      <c r="M6" s="9"/>
      <c r="N6" s="48">
        <v>0</v>
      </c>
      <c r="O6" s="21">
        <f t="shared" si="3"/>
        <v>44300</v>
      </c>
      <c r="P6" s="8"/>
      <c r="Q6" s="9"/>
      <c r="R6" s="9"/>
      <c r="S6" s="48"/>
      <c r="T6" s="21">
        <f t="shared" si="4"/>
        <v>28200</v>
      </c>
      <c r="U6" s="53">
        <f>IF($J6="","",ROUND(($J6-$J$3)/1000,1)+(_xlfn.RANK.AVG($J6,($J6,$O6,$T6),1)-2)*20)</f>
        <v>-2.5</v>
      </c>
      <c r="V6" s="54">
        <f>IF($O6="","",ROUND(($O6-$O$3)/1000,1)+(_xlfn.RANK.AVG($O6,($J6,$O6,$T6),1)-2)*20)</f>
        <v>29.3</v>
      </c>
      <c r="W6" s="55">
        <f>IF($T6="","",ROUND(($T6-$T$3)/1000,1)+(_xlfn.RANK.AVG($T6,($J6,$O6,$T6),1)-2)*20)</f>
        <v>-26.8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30</v>
      </c>
      <c r="AZ6" s="40" t="s">
        <v>148</v>
      </c>
      <c r="BA6" s="41" t="s">
        <v>83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144</v>
      </c>
      <c r="G7" s="9">
        <v>11600</v>
      </c>
      <c r="H7" s="9">
        <v>1000</v>
      </c>
      <c r="I7" s="48">
        <v>0</v>
      </c>
      <c r="J7" s="21">
        <f t="shared" si="2"/>
        <v>45100</v>
      </c>
      <c r="K7" s="8"/>
      <c r="L7" s="9"/>
      <c r="M7" s="9">
        <v>-1000</v>
      </c>
      <c r="N7" s="48"/>
      <c r="O7" s="21">
        <f t="shared" si="3"/>
        <v>43300</v>
      </c>
      <c r="P7" s="8" t="s">
        <v>145</v>
      </c>
      <c r="Q7" s="9">
        <v>-11600</v>
      </c>
      <c r="R7" s="9"/>
      <c r="S7" s="48">
        <v>0</v>
      </c>
      <c r="T7" s="21">
        <f t="shared" si="4"/>
        <v>16600</v>
      </c>
      <c r="U7" s="53">
        <f>IF($J7="","",ROUND(($J7-$J$3)/1000,1)+(_xlfn.RANK.AVG($J7,($J7,$O7,$T7),1)-2)*20)</f>
        <v>30.1</v>
      </c>
      <c r="V7" s="54">
        <f>IF($O7="","",ROUND(($O7-$O$3)/1000,1)+(_xlfn.RANK.AVG($O7,($J7,$O7,$T7),1)-2)*20)</f>
        <v>8.3000000000000007</v>
      </c>
      <c r="W7" s="55">
        <f>IF($T7="","",ROUND(($T7-$T$3)/1000,1)+(_xlfn.RANK.AVG($T7,($J7,$O7,$T7),1)-2)*20)</f>
        <v>-38.4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148</v>
      </c>
      <c r="AF7" s="41" t="s">
        <v>149</v>
      </c>
      <c r="AG7" s="41" t="s">
        <v>150</v>
      </c>
      <c r="AH7" s="41" t="s">
        <v>83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142</v>
      </c>
      <c r="F8" s="8" t="s">
        <v>145</v>
      </c>
      <c r="G8" s="9">
        <v>-12000</v>
      </c>
      <c r="H8" s="9"/>
      <c r="I8" s="48">
        <v>-1000</v>
      </c>
      <c r="J8" s="21">
        <f t="shared" si="2"/>
        <v>32100</v>
      </c>
      <c r="K8" s="8"/>
      <c r="L8" s="9"/>
      <c r="M8" s="9"/>
      <c r="N8" s="48"/>
      <c r="O8" s="21">
        <f t="shared" si="3"/>
        <v>43300</v>
      </c>
      <c r="P8" s="8" t="s">
        <v>144</v>
      </c>
      <c r="Q8" s="9">
        <v>12000</v>
      </c>
      <c r="R8" s="9"/>
      <c r="S8" s="48">
        <v>1000</v>
      </c>
      <c r="T8" s="21">
        <f t="shared" si="4"/>
        <v>29600</v>
      </c>
      <c r="U8" s="53">
        <f>IF($J8="","",ROUND(($J8-$J$3)/1000,1)+(_xlfn.RANK.AVG($J8,($J8,$O8,$T8),1)-2)*20)</f>
        <v>-2.9</v>
      </c>
      <c r="V8" s="54">
        <f>IF($O8="","",ROUND(($O8-$O$3)/1000,1)+(_xlfn.RANK.AVG($O8,($J8,$O8,$T8),1)-2)*20)</f>
        <v>28.3</v>
      </c>
      <c r="W8" s="55">
        <f>IF($T8="","",ROUND(($T8-$T$3)/1000,1)+(_xlfn.RANK.AVG($T8,($J8,$O8,$T8),1)-2)*20)</f>
        <v>-25.4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151</v>
      </c>
      <c r="BU8" s="40" t="s">
        <v>148</v>
      </c>
      <c r="BV8" s="41" t="s">
        <v>85</v>
      </c>
      <c r="BW8" s="41" t="s">
        <v>79</v>
      </c>
      <c r="BX8" s="41" t="s">
        <v>79</v>
      </c>
      <c r="BY8" s="41" t="s">
        <v>79</v>
      </c>
      <c r="BZ8" s="41" t="s">
        <v>150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138</v>
      </c>
      <c r="F9" s="8"/>
      <c r="G9" s="9"/>
      <c r="H9" s="9"/>
      <c r="I9" s="48"/>
      <c r="J9" s="21">
        <f t="shared" si="2"/>
        <v>32100</v>
      </c>
      <c r="K9" s="8" t="s">
        <v>144</v>
      </c>
      <c r="L9" s="9">
        <v>12000</v>
      </c>
      <c r="M9" s="9">
        <v>1000</v>
      </c>
      <c r="N9" s="48">
        <v>0</v>
      </c>
      <c r="O9" s="21">
        <f t="shared" si="3"/>
        <v>56300</v>
      </c>
      <c r="P9" s="8" t="s">
        <v>145</v>
      </c>
      <c r="Q9" s="9">
        <v>-12000</v>
      </c>
      <c r="R9" s="9">
        <v>-1000</v>
      </c>
      <c r="S9" s="48">
        <v>0</v>
      </c>
      <c r="T9" s="21">
        <f t="shared" si="4"/>
        <v>16600</v>
      </c>
      <c r="U9" s="53">
        <f>IF($J9="","",ROUND(($J9-$J$3)/1000,1)+(_xlfn.RANK.AVG($J9,($J9,$O9,$T9),1)-2)*20)</f>
        <v>-2.9</v>
      </c>
      <c r="V9" s="54">
        <f>IF($O9="","",ROUND(($O9-$O$3)/1000,1)+(_xlfn.RANK.AVG($O9,($J9,$O9,$T9),1)-2)*20)</f>
        <v>41.3</v>
      </c>
      <c r="W9" s="55">
        <f>IF($T9="","",ROUND(($T9-$T$3)/1000,1)+(_xlfn.RANK.AVG($T9,($J9,$O9,$T9),1)-2)*20)</f>
        <v>-38.4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151</v>
      </c>
      <c r="AZ9" s="40" t="s">
        <v>86</v>
      </c>
      <c r="BA9" s="41" t="s">
        <v>79</v>
      </c>
      <c r="BB9" s="41" t="s">
        <v>79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138</v>
      </c>
      <c r="F10" s="8" t="s">
        <v>145</v>
      </c>
      <c r="G10" s="9">
        <v>-12000</v>
      </c>
      <c r="H10" s="9"/>
      <c r="I10" s="48">
        <v>-1000</v>
      </c>
      <c r="J10" s="21">
        <f t="shared" si="2"/>
        <v>19100</v>
      </c>
      <c r="K10" s="8"/>
      <c r="L10" s="9"/>
      <c r="M10" s="9"/>
      <c r="N10" s="48"/>
      <c r="O10" s="21">
        <f t="shared" si="3"/>
        <v>56300</v>
      </c>
      <c r="P10" s="8" t="s">
        <v>144</v>
      </c>
      <c r="Q10" s="9">
        <v>12000</v>
      </c>
      <c r="R10" s="9"/>
      <c r="S10" s="48">
        <v>1000</v>
      </c>
      <c r="T10" s="21">
        <f t="shared" si="4"/>
        <v>29600</v>
      </c>
      <c r="U10" s="53">
        <f>IF($J10="","",ROUND(($J10-$J$3)/1000,1)+(_xlfn.RANK.AVG($J10,($J10,$O10,$T10),1)-2)*20)</f>
        <v>-35.9</v>
      </c>
      <c r="V10" s="54">
        <f>IF($O10="","",ROUND(($O10-$O$3)/1000,1)+(_xlfn.RANK.AVG($O10,($J10,$O10,$T10),1)-2)*20)</f>
        <v>41.3</v>
      </c>
      <c r="W10" s="55">
        <f>IF($T10="","",ROUND(($T10-$T$3)/1000,1)+(_xlfn.RANK.AVG($T10,($J10,$O10,$T10),1)-2)*20)</f>
        <v>-5.4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151</v>
      </c>
      <c r="BU10" s="40" t="s">
        <v>148</v>
      </c>
      <c r="BV10" s="41" t="s">
        <v>83</v>
      </c>
      <c r="BW10" s="41" t="s">
        <v>85</v>
      </c>
      <c r="BX10" s="41" t="s">
        <v>84</v>
      </c>
      <c r="BY10" s="41" t="s">
        <v>79</v>
      </c>
      <c r="BZ10" s="41" t="s">
        <v>80</v>
      </c>
      <c r="CA10" s="41" t="s">
        <v>80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140</v>
      </c>
      <c r="F11" s="8" t="s">
        <v>154</v>
      </c>
      <c r="G11" s="9">
        <v>1500</v>
      </c>
      <c r="H11" s="9"/>
      <c r="I11" s="48"/>
      <c r="J11" s="21">
        <f t="shared" si="2"/>
        <v>20600</v>
      </c>
      <c r="K11" s="8" t="s">
        <v>154</v>
      </c>
      <c r="L11" s="9">
        <v>-3000</v>
      </c>
      <c r="M11" s="9"/>
      <c r="N11" s="48"/>
      <c r="O11" s="21">
        <f t="shared" si="3"/>
        <v>53300</v>
      </c>
      <c r="P11" s="8" t="s">
        <v>154</v>
      </c>
      <c r="Q11" s="9">
        <v>1500</v>
      </c>
      <c r="R11" s="9">
        <v>-1000</v>
      </c>
      <c r="S11" s="48"/>
      <c r="T11" s="21">
        <f t="shared" si="4"/>
        <v>30100</v>
      </c>
      <c r="U11" s="53">
        <f>IF($J11="","",ROUND(($J11-$J$3)/1000,1)+(_xlfn.RANK.AVG($J11,($J11,$O11,$T11),1)-2)*20)</f>
        <v>-34.4</v>
      </c>
      <c r="V11" s="54">
        <f>IF($O11="","",ROUND(($O11-$O$3)/1000,1)+(_xlfn.RANK.AVG($O11,($J11,$O11,$T11),1)-2)*20)</f>
        <v>38.299999999999997</v>
      </c>
      <c r="W11" s="55">
        <f>IF($T11="","",ROUND(($T11-$T$3)/1000,1)+(_xlfn.RANK.AVG($T11,($J11,$O11,$T11),1)-2)*20)</f>
        <v>-4.9000000000000004</v>
      </c>
      <c r="Y11" s="8" t="s">
        <v>152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153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152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140</v>
      </c>
      <c r="F12" s="8" t="s">
        <v>146</v>
      </c>
      <c r="G12" s="9">
        <v>-9000</v>
      </c>
      <c r="H12" s="9"/>
      <c r="I12" s="48">
        <v>-500</v>
      </c>
      <c r="J12" s="21">
        <f t="shared" si="2"/>
        <v>11100</v>
      </c>
      <c r="K12" s="8" t="s">
        <v>146</v>
      </c>
      <c r="L12" s="9">
        <v>-9000</v>
      </c>
      <c r="M12" s="9"/>
      <c r="N12" s="48">
        <v>-500</v>
      </c>
      <c r="O12" s="21">
        <f t="shared" si="3"/>
        <v>43800</v>
      </c>
      <c r="P12" s="8" t="s">
        <v>147</v>
      </c>
      <c r="Q12" s="9">
        <v>18000</v>
      </c>
      <c r="R12" s="9">
        <v>1000</v>
      </c>
      <c r="S12" s="48">
        <v>1000</v>
      </c>
      <c r="T12" s="21">
        <f t="shared" si="4"/>
        <v>50100</v>
      </c>
      <c r="U12" s="53">
        <f>IF($J12="","",ROUND(($J12-$J$3)/1000,1)+(_xlfn.RANK.AVG($J12,($J12,$O12,$T12),1)-2)*20)</f>
        <v>-43.9</v>
      </c>
      <c r="V12" s="54">
        <f>IF($O12="","",ROUND(($O12-$O$3)/1000,1)+(_xlfn.RANK.AVG($O12,($J12,$O12,$T12),1)-2)*20)</f>
        <v>8.8000000000000007</v>
      </c>
      <c r="W12" s="55">
        <f>IF($T12="","",ROUND(($T12-$T$3)/1000,1)+(_xlfn.RANK.AVG($T12,($J12,$O12,$T12),1)-2)*20)</f>
        <v>35.1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6</v>
      </c>
      <c r="BT12" s="30" t="s">
        <v>151</v>
      </c>
      <c r="BU12" s="40" t="s">
        <v>150</v>
      </c>
      <c r="BV12" s="41" t="s">
        <v>106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896-46DF-410B-820A-6E82E02CAB67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132" t="s">
        <v>0</v>
      </c>
      <c r="B1" s="134" t="s">
        <v>2</v>
      </c>
      <c r="C1" s="134" t="s">
        <v>1</v>
      </c>
      <c r="D1" s="134" t="s">
        <v>21</v>
      </c>
      <c r="E1" s="136" t="s">
        <v>3</v>
      </c>
      <c r="F1" s="128" t="s">
        <v>138</v>
      </c>
      <c r="G1" s="129"/>
      <c r="H1" s="129"/>
      <c r="I1" s="130"/>
      <c r="J1" s="131"/>
      <c r="K1" s="128" t="s">
        <v>140</v>
      </c>
      <c r="L1" s="129"/>
      <c r="M1" s="129"/>
      <c r="N1" s="130"/>
      <c r="O1" s="131"/>
      <c r="P1" s="128" t="s">
        <v>142</v>
      </c>
      <c r="Q1" s="129"/>
      <c r="R1" s="129"/>
      <c r="S1" s="130"/>
      <c r="T1" s="131"/>
      <c r="U1" s="128" t="s">
        <v>6</v>
      </c>
      <c r="V1" s="129"/>
      <c r="W1" s="131"/>
      <c r="Y1" s="128" t="str">
        <f>F1</f>
        <v>だいち</v>
      </c>
      <c r="Z1" s="13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31"/>
      <c r="AT1" s="128" t="str">
        <f>K1</f>
        <v>れんたろう</v>
      </c>
      <c r="AU1" s="13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31"/>
      <c r="BO1" s="128" t="str">
        <f>P1</f>
        <v>ぱぱ</v>
      </c>
      <c r="BP1" s="13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31"/>
    </row>
    <row r="2" spans="1:87" x14ac:dyDescent="0.4">
      <c r="A2" s="133"/>
      <c r="B2" s="135"/>
      <c r="C2" s="135"/>
      <c r="D2" s="135"/>
      <c r="E2" s="137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れんたろう</v>
      </c>
      <c r="W2" s="16" t="str">
        <f>$P$1</f>
        <v>ぱぱ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138" t="s">
        <v>20</v>
      </c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138" t="s">
        <v>20</v>
      </c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138" t="s">
        <v>20</v>
      </c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</row>
    <row r="3" spans="1:87" x14ac:dyDescent="0.4">
      <c r="A3" s="12"/>
      <c r="B3" s="17"/>
      <c r="C3" s="17"/>
      <c r="D3" s="17"/>
      <c r="E3" s="77"/>
      <c r="F3" s="80"/>
      <c r="G3" s="85"/>
      <c r="H3" s="85"/>
      <c r="I3" s="86"/>
      <c r="J3" s="20">
        <v>35000</v>
      </c>
      <c r="K3" s="89"/>
      <c r="L3" s="94"/>
      <c r="M3" s="94"/>
      <c r="N3" s="95"/>
      <c r="O3" s="20">
        <v>35000</v>
      </c>
      <c r="P3" s="98"/>
      <c r="Q3" s="103"/>
      <c r="R3" s="103"/>
      <c r="S3" s="104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107"/>
      <c r="Z3" s="116"/>
      <c r="AA3" s="112"/>
      <c r="AB3" s="112"/>
      <c r="AC3" s="112"/>
      <c r="AD3" s="113"/>
      <c r="AE3" s="119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1"/>
      <c r="AT3" s="107"/>
      <c r="AU3" s="116"/>
      <c r="AV3" s="112"/>
      <c r="AW3" s="112"/>
      <c r="AX3" s="112"/>
      <c r="AY3" s="113"/>
      <c r="AZ3" s="119"/>
      <c r="BA3" s="120"/>
      <c r="BB3" s="120"/>
      <c r="BC3" s="120"/>
      <c r="BD3" s="120"/>
      <c r="BE3" s="120"/>
      <c r="BF3" s="120"/>
      <c r="BG3" s="120"/>
      <c r="BH3" s="120"/>
      <c r="BI3" s="120"/>
      <c r="BJ3" s="120"/>
      <c r="BK3" s="120"/>
      <c r="BL3" s="120"/>
      <c r="BM3" s="120"/>
      <c r="BN3" s="121"/>
      <c r="BO3" s="107"/>
      <c r="BP3" s="116"/>
      <c r="BQ3" s="112"/>
      <c r="BR3" s="112"/>
      <c r="BS3" s="112"/>
      <c r="BT3" s="113"/>
      <c r="BU3" s="119"/>
      <c r="BV3" s="120"/>
      <c r="BW3" s="120"/>
      <c r="BX3" s="120"/>
      <c r="BY3" s="120"/>
      <c r="BZ3" s="120"/>
      <c r="CA3" s="120"/>
      <c r="CB3" s="120"/>
      <c r="CC3" s="120"/>
      <c r="CD3" s="120"/>
      <c r="CE3" s="120"/>
      <c r="CF3" s="120"/>
      <c r="CG3" s="120"/>
      <c r="CH3" s="120"/>
      <c r="CI3" s="121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78" t="s">
        <v>140</v>
      </c>
      <c r="F4" s="81"/>
      <c r="G4" s="82"/>
      <c r="H4" s="82"/>
      <c r="I4" s="87"/>
      <c r="J4" s="21">
        <f>IF(COUNTA($F4,$K4,$P4)&gt;0,J3+SUM(G4:I4),"")</f>
        <v>35000</v>
      </c>
      <c r="K4" s="90" t="s">
        <v>145</v>
      </c>
      <c r="L4" s="91">
        <v>-1000</v>
      </c>
      <c r="M4" s="91"/>
      <c r="N4" s="96">
        <v>0</v>
      </c>
      <c r="O4" s="21">
        <f>IF(COUNTA($F4,$K4,$P4)&gt;0,O3+SUM(L4:N4),"")</f>
        <v>34000</v>
      </c>
      <c r="P4" s="99" t="s">
        <v>144</v>
      </c>
      <c r="Q4" s="100">
        <v>1000</v>
      </c>
      <c r="R4" s="100"/>
      <c r="S4" s="105">
        <v>0</v>
      </c>
      <c r="T4" s="21">
        <f>IF(COUNTA($F4,$K4,$P4)&gt;0,T3+SUM(Q4:S4),"")</f>
        <v>36000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-21</v>
      </c>
      <c r="W4" s="55">
        <f>IF($T4="","",ROUND(($T4-$T$3)/1000,1)+(_xlfn.RANK.AVG($T4,($J4,$O4,$T4),1)-2)*20)</f>
        <v>21</v>
      </c>
      <c r="Y4" s="108"/>
      <c r="Z4" s="117"/>
      <c r="AA4" s="110"/>
      <c r="AB4" s="110"/>
      <c r="AC4" s="110"/>
      <c r="AD4" s="114"/>
      <c r="AE4" s="122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4"/>
      <c r="AT4" s="108"/>
      <c r="AU4" s="117"/>
      <c r="AV4" s="110"/>
      <c r="AW4" s="110">
        <v>1</v>
      </c>
      <c r="AX4" s="110"/>
      <c r="AY4" s="114"/>
      <c r="AZ4" s="122"/>
      <c r="BA4" s="123"/>
      <c r="BB4" s="123"/>
      <c r="BC4" s="123"/>
      <c r="BD4" s="123"/>
      <c r="BE4" s="123"/>
      <c r="BF4" s="123"/>
      <c r="BG4" s="123"/>
      <c r="BH4" s="123"/>
      <c r="BI4" s="123"/>
      <c r="BJ4" s="123"/>
      <c r="BK4" s="123"/>
      <c r="BL4" s="123"/>
      <c r="BM4" s="123"/>
      <c r="BN4" s="124"/>
      <c r="BO4" s="108"/>
      <c r="BP4" s="117"/>
      <c r="BQ4" s="110"/>
      <c r="BR4" s="110">
        <v>1</v>
      </c>
      <c r="BS4" s="110">
        <v>1</v>
      </c>
      <c r="BT4" s="114">
        <v>30</v>
      </c>
      <c r="BU4" s="122" t="s">
        <v>86</v>
      </c>
      <c r="BV4" s="123"/>
      <c r="BW4" s="123"/>
      <c r="BX4" s="123"/>
      <c r="BY4" s="123"/>
      <c r="BZ4" s="123"/>
      <c r="CA4" s="123"/>
      <c r="CB4" s="123"/>
      <c r="CC4" s="123"/>
      <c r="CD4" s="123"/>
      <c r="CE4" s="123"/>
      <c r="CF4" s="123"/>
      <c r="CG4" s="123"/>
      <c r="CH4" s="123"/>
      <c r="CI4" s="124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78" t="s">
        <v>142</v>
      </c>
      <c r="F5" s="81" t="s">
        <v>144</v>
      </c>
      <c r="G5" s="82">
        <v>2600</v>
      </c>
      <c r="H5" s="82"/>
      <c r="I5" s="87">
        <v>0</v>
      </c>
      <c r="J5" s="21">
        <f t="shared" ref="J5:J30" si="2">IF(COUNTA($F5,$K5,$P5)&gt;0,J4+SUM(G5:I5),"")</f>
        <v>37600</v>
      </c>
      <c r="K5" s="90"/>
      <c r="L5" s="91"/>
      <c r="M5" s="91"/>
      <c r="N5" s="96"/>
      <c r="O5" s="21">
        <f t="shared" ref="O5:O30" si="3">IF(COUNTA($F5,$K5,$P5)&gt;0,O4+SUM(L5:N5),"")</f>
        <v>34000</v>
      </c>
      <c r="P5" s="99" t="s">
        <v>145</v>
      </c>
      <c r="Q5" s="100">
        <v>-2600</v>
      </c>
      <c r="R5" s="100"/>
      <c r="S5" s="105">
        <v>0</v>
      </c>
      <c r="T5" s="21">
        <f t="shared" ref="T5:T30" si="4">IF(COUNTA($F5,$K5,$P5)&gt;0,T4+SUM(Q5:S5),"")</f>
        <v>33400</v>
      </c>
      <c r="U5" s="53">
        <f>IF($J5="","",ROUND(($J5-$J$3)/1000,1)+(_xlfn.RANK.AVG($J5,($J5,$O5,$T5),1)-2)*20)</f>
        <v>22.6</v>
      </c>
      <c r="V5" s="54">
        <f>IF($O5="","",ROUND(($O5-$O$3)/1000,1)+(_xlfn.RANK.AVG($O5,($J5,$O5,$T5),1)-2)*20)</f>
        <v>-1</v>
      </c>
      <c r="W5" s="55">
        <f>IF($T5="","",ROUND(($T5-$T$3)/1000,1)+(_xlfn.RANK.AVG($T5,($J5,$O5,$T5),1)-2)*20)</f>
        <v>-21.6</v>
      </c>
      <c r="Y5" s="108"/>
      <c r="Z5" s="117"/>
      <c r="AA5" s="110">
        <v>1</v>
      </c>
      <c r="AB5" s="110"/>
      <c r="AC5" s="110">
        <v>2</v>
      </c>
      <c r="AD5" s="114">
        <v>40</v>
      </c>
      <c r="AE5" s="122" t="s">
        <v>148</v>
      </c>
      <c r="AF5" s="123" t="s">
        <v>79</v>
      </c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4"/>
      <c r="AT5" s="108"/>
      <c r="AU5" s="117"/>
      <c r="AV5" s="110"/>
      <c r="AW5" s="110"/>
      <c r="AX5" s="110"/>
      <c r="AY5" s="114"/>
      <c r="AZ5" s="122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4"/>
      <c r="BO5" s="108"/>
      <c r="BP5" s="117"/>
      <c r="BQ5" s="110"/>
      <c r="BR5" s="110"/>
      <c r="BS5" s="110"/>
      <c r="BT5" s="114"/>
      <c r="BU5" s="122"/>
      <c r="BV5" s="123"/>
      <c r="BW5" s="123"/>
      <c r="BX5" s="123"/>
      <c r="BY5" s="123"/>
      <c r="BZ5" s="123"/>
      <c r="CA5" s="123"/>
      <c r="CB5" s="123"/>
      <c r="CC5" s="123"/>
      <c r="CD5" s="123"/>
      <c r="CE5" s="123"/>
      <c r="CF5" s="123"/>
      <c r="CG5" s="123"/>
      <c r="CH5" s="123"/>
      <c r="CI5" s="124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78" t="s">
        <v>138</v>
      </c>
      <c r="F6" s="81" t="s">
        <v>146</v>
      </c>
      <c r="G6" s="82">
        <v>-4800</v>
      </c>
      <c r="H6" s="82"/>
      <c r="I6" s="87">
        <v>0</v>
      </c>
      <c r="J6" s="21">
        <f t="shared" si="2"/>
        <v>32800</v>
      </c>
      <c r="K6" s="90" t="s">
        <v>146</v>
      </c>
      <c r="L6" s="91">
        <v>-2900</v>
      </c>
      <c r="M6" s="91"/>
      <c r="N6" s="96">
        <v>0</v>
      </c>
      <c r="O6" s="21">
        <f t="shared" si="3"/>
        <v>31100</v>
      </c>
      <c r="P6" s="99" t="s">
        <v>147</v>
      </c>
      <c r="Q6" s="100">
        <v>7700</v>
      </c>
      <c r="R6" s="100"/>
      <c r="S6" s="105">
        <v>0</v>
      </c>
      <c r="T6" s="21">
        <f t="shared" si="4"/>
        <v>41100</v>
      </c>
      <c r="U6" s="53">
        <f>IF($J6="","",ROUND(($J6-$J$3)/1000,1)+(_xlfn.RANK.AVG($J6,($J6,$O6,$T6),1)-2)*20)</f>
        <v>-2.2000000000000002</v>
      </c>
      <c r="V6" s="54">
        <f>IF($O6="","",ROUND(($O6-$O$3)/1000,1)+(_xlfn.RANK.AVG($O6,($J6,$O6,$T6),1)-2)*20)</f>
        <v>-23.9</v>
      </c>
      <c r="W6" s="55">
        <f>IF($T6="","",ROUND(($T6-$T$3)/1000,1)+(_xlfn.RANK.AVG($T6,($J6,$O6,$T6),1)-2)*20)</f>
        <v>26.1</v>
      </c>
      <c r="Y6" s="108"/>
      <c r="Z6" s="117"/>
      <c r="AA6" s="110"/>
      <c r="AB6" s="110"/>
      <c r="AC6" s="110"/>
      <c r="AD6" s="114"/>
      <c r="AE6" s="122"/>
      <c r="AF6" s="123"/>
      <c r="AG6" s="123"/>
      <c r="AH6" s="123"/>
      <c r="AI6" s="123"/>
      <c r="AJ6" s="123"/>
      <c r="AK6" s="123"/>
      <c r="AL6" s="123"/>
      <c r="AM6" s="123"/>
      <c r="AN6" s="123"/>
      <c r="AO6" s="123"/>
      <c r="AP6" s="123"/>
      <c r="AQ6" s="123"/>
      <c r="AR6" s="123"/>
      <c r="AS6" s="124"/>
      <c r="AT6" s="108"/>
      <c r="AU6" s="117"/>
      <c r="AV6" s="110"/>
      <c r="AW6" s="110"/>
      <c r="AX6" s="110"/>
      <c r="AY6" s="114"/>
      <c r="AZ6" s="122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4"/>
      <c r="BO6" s="108"/>
      <c r="BP6" s="117"/>
      <c r="BQ6" s="110">
        <v>1</v>
      </c>
      <c r="BR6" s="110"/>
      <c r="BS6" s="110">
        <v>4</v>
      </c>
      <c r="BT6" s="114">
        <v>30</v>
      </c>
      <c r="BU6" s="122" t="s">
        <v>148</v>
      </c>
      <c r="BV6" s="123" t="s">
        <v>82</v>
      </c>
      <c r="BW6" s="123" t="s">
        <v>150</v>
      </c>
      <c r="BX6" s="123" t="s">
        <v>84</v>
      </c>
      <c r="BY6" s="123"/>
      <c r="BZ6" s="123"/>
      <c r="CA6" s="123"/>
      <c r="CB6" s="123"/>
      <c r="CC6" s="123"/>
      <c r="CD6" s="123"/>
      <c r="CE6" s="123"/>
      <c r="CF6" s="123"/>
      <c r="CG6" s="123"/>
      <c r="CH6" s="123"/>
      <c r="CI6" s="124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78" t="s">
        <v>140</v>
      </c>
      <c r="F7" s="81" t="s">
        <v>162</v>
      </c>
      <c r="G7" s="82">
        <v>1500</v>
      </c>
      <c r="H7" s="82">
        <v>-1000</v>
      </c>
      <c r="I7" s="87"/>
      <c r="J7" s="21">
        <f t="shared" si="2"/>
        <v>33300</v>
      </c>
      <c r="K7" s="90" t="s">
        <v>162</v>
      </c>
      <c r="L7" s="91">
        <v>1500</v>
      </c>
      <c r="M7" s="91">
        <v>-1000</v>
      </c>
      <c r="N7" s="96"/>
      <c r="O7" s="21">
        <f t="shared" si="3"/>
        <v>31600</v>
      </c>
      <c r="P7" s="99" t="s">
        <v>162</v>
      </c>
      <c r="Q7" s="100">
        <v>-3000</v>
      </c>
      <c r="R7" s="100"/>
      <c r="S7" s="105"/>
      <c r="T7" s="21">
        <f t="shared" si="4"/>
        <v>38100</v>
      </c>
      <c r="U7" s="53">
        <f>IF($J7="","",ROUND(($J7-$J$3)/1000,1)+(_xlfn.RANK.AVG($J7,($J7,$O7,$T7),1)-2)*20)</f>
        <v>-1.7</v>
      </c>
      <c r="V7" s="54">
        <f>IF($O7="","",ROUND(($O7-$O$3)/1000,1)+(_xlfn.RANK.AVG($O7,($J7,$O7,$T7),1)-2)*20)</f>
        <v>-23.4</v>
      </c>
      <c r="W7" s="55">
        <f>IF($T7="","",ROUND(($T7-$T$3)/1000,1)+(_xlfn.RANK.AVG($T7,($J7,$O7,$T7),1)-2)*20)</f>
        <v>23.1</v>
      </c>
      <c r="Y7" s="108" t="s">
        <v>152</v>
      </c>
      <c r="Z7" s="117"/>
      <c r="AA7" s="110">
        <v>1</v>
      </c>
      <c r="AB7" s="110"/>
      <c r="AC7" s="110"/>
      <c r="AD7" s="114"/>
      <c r="AE7" s="122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4"/>
      <c r="AT7" s="108" t="s">
        <v>152</v>
      </c>
      <c r="AU7" s="117"/>
      <c r="AV7" s="110">
        <v>1</v>
      </c>
      <c r="AW7" s="110"/>
      <c r="AX7" s="110"/>
      <c r="AY7" s="114"/>
      <c r="AZ7" s="122"/>
      <c r="BA7" s="123"/>
      <c r="BB7" s="123"/>
      <c r="BC7" s="123"/>
      <c r="BD7" s="123"/>
      <c r="BE7" s="123"/>
      <c r="BF7" s="123"/>
      <c r="BG7" s="123"/>
      <c r="BH7" s="123"/>
      <c r="BI7" s="123"/>
      <c r="BJ7" s="123"/>
      <c r="BK7" s="123"/>
      <c r="BL7" s="123"/>
      <c r="BM7" s="123"/>
      <c r="BN7" s="124"/>
      <c r="BO7" s="108" t="s">
        <v>153</v>
      </c>
      <c r="BP7" s="117"/>
      <c r="BQ7" s="110"/>
      <c r="BR7" s="110"/>
      <c r="BS7" s="110"/>
      <c r="BT7" s="114"/>
      <c r="BU7" s="122"/>
      <c r="BV7" s="123"/>
      <c r="BW7" s="123"/>
      <c r="BX7" s="123"/>
      <c r="BY7" s="123"/>
      <c r="BZ7" s="123"/>
      <c r="CA7" s="123"/>
      <c r="CB7" s="123"/>
      <c r="CC7" s="123"/>
      <c r="CD7" s="123"/>
      <c r="CE7" s="123"/>
      <c r="CF7" s="123"/>
      <c r="CG7" s="123"/>
      <c r="CH7" s="123"/>
      <c r="CI7" s="124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2</v>
      </c>
      <c r="E8" s="78" t="s">
        <v>140</v>
      </c>
      <c r="F8" s="81" t="s">
        <v>146</v>
      </c>
      <c r="G8" s="82">
        <v>-1500</v>
      </c>
      <c r="H8" s="82"/>
      <c r="I8" s="87">
        <v>-500</v>
      </c>
      <c r="J8" s="21">
        <f t="shared" si="2"/>
        <v>31300</v>
      </c>
      <c r="K8" s="90" t="s">
        <v>146</v>
      </c>
      <c r="L8" s="91">
        <v>-2500</v>
      </c>
      <c r="M8" s="91"/>
      <c r="N8" s="96">
        <v>-500</v>
      </c>
      <c r="O8" s="21">
        <f t="shared" si="3"/>
        <v>28600</v>
      </c>
      <c r="P8" s="99" t="s">
        <v>147</v>
      </c>
      <c r="Q8" s="100">
        <v>4000</v>
      </c>
      <c r="R8" s="100">
        <v>2000</v>
      </c>
      <c r="S8" s="105">
        <v>1000</v>
      </c>
      <c r="T8" s="21">
        <f t="shared" si="4"/>
        <v>45100</v>
      </c>
      <c r="U8" s="53">
        <f>IF($J8="","",ROUND(($J8-$J$3)/1000,1)+(_xlfn.RANK.AVG($J8,($J8,$O8,$T8),1)-2)*20)</f>
        <v>-3.7</v>
      </c>
      <c r="V8" s="54">
        <f>IF($O8="","",ROUND(($O8-$O$3)/1000,1)+(_xlfn.RANK.AVG($O8,($J8,$O8,$T8),1)-2)*20)</f>
        <v>-26.4</v>
      </c>
      <c r="W8" s="55">
        <f>IF($T8="","",ROUND(($T8-$T$3)/1000,1)+(_xlfn.RANK.AVG($T8,($J8,$O8,$T8),1)-2)*20)</f>
        <v>30.1</v>
      </c>
      <c r="Y8" s="108"/>
      <c r="Z8" s="117"/>
      <c r="AA8" s="110"/>
      <c r="AB8" s="110"/>
      <c r="AC8" s="110"/>
      <c r="AD8" s="114"/>
      <c r="AE8" s="122"/>
      <c r="AF8" s="123"/>
      <c r="AG8" s="123"/>
      <c r="AH8" s="123"/>
      <c r="AI8" s="123"/>
      <c r="AJ8" s="123"/>
      <c r="AK8" s="123"/>
      <c r="AL8" s="123"/>
      <c r="AM8" s="123"/>
      <c r="AN8" s="123"/>
      <c r="AO8" s="123"/>
      <c r="AP8" s="123"/>
      <c r="AQ8" s="123"/>
      <c r="AR8" s="123"/>
      <c r="AS8" s="124"/>
      <c r="AT8" s="108"/>
      <c r="AU8" s="117"/>
      <c r="AV8" s="110"/>
      <c r="AW8" s="110"/>
      <c r="AX8" s="110"/>
      <c r="AY8" s="114"/>
      <c r="AZ8" s="122"/>
      <c r="BA8" s="123"/>
      <c r="BB8" s="123"/>
      <c r="BC8" s="123"/>
      <c r="BD8" s="123"/>
      <c r="BE8" s="123"/>
      <c r="BF8" s="123"/>
      <c r="BG8" s="123"/>
      <c r="BH8" s="123"/>
      <c r="BI8" s="123"/>
      <c r="BJ8" s="123"/>
      <c r="BK8" s="123"/>
      <c r="BL8" s="123"/>
      <c r="BM8" s="123"/>
      <c r="BN8" s="124"/>
      <c r="BO8" s="108"/>
      <c r="BP8" s="117"/>
      <c r="BQ8" s="110">
        <v>1</v>
      </c>
      <c r="BR8" s="110"/>
      <c r="BS8" s="110">
        <v>3</v>
      </c>
      <c r="BT8" s="114">
        <v>30</v>
      </c>
      <c r="BU8" s="122" t="s">
        <v>148</v>
      </c>
      <c r="BV8" s="123" t="s">
        <v>82</v>
      </c>
      <c r="BW8" s="123" t="s">
        <v>150</v>
      </c>
      <c r="BX8" s="123"/>
      <c r="BY8" s="123"/>
      <c r="BZ8" s="123"/>
      <c r="CA8" s="123"/>
      <c r="CB8" s="123"/>
      <c r="CC8" s="123"/>
      <c r="CD8" s="123"/>
      <c r="CE8" s="123"/>
      <c r="CF8" s="123"/>
      <c r="CG8" s="123"/>
      <c r="CH8" s="123"/>
      <c r="CI8" s="124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78" t="s">
        <v>142</v>
      </c>
      <c r="F9" s="81" t="s">
        <v>162</v>
      </c>
      <c r="G9" s="82">
        <v>-1500</v>
      </c>
      <c r="H9" s="82"/>
      <c r="I9" s="87"/>
      <c r="J9" s="21">
        <f t="shared" si="2"/>
        <v>29800</v>
      </c>
      <c r="K9" s="90" t="s">
        <v>162</v>
      </c>
      <c r="L9" s="91">
        <v>-1500</v>
      </c>
      <c r="M9" s="91"/>
      <c r="N9" s="96"/>
      <c r="O9" s="21">
        <f t="shared" si="3"/>
        <v>27100</v>
      </c>
      <c r="P9" s="99" t="s">
        <v>162</v>
      </c>
      <c r="Q9" s="100">
        <v>3000</v>
      </c>
      <c r="R9" s="100">
        <v>-1000</v>
      </c>
      <c r="S9" s="105"/>
      <c r="T9" s="21">
        <f t="shared" si="4"/>
        <v>47100</v>
      </c>
      <c r="U9" s="53">
        <f>IF($J9="","",ROUND(($J9-$J$3)/1000,1)+(_xlfn.RANK.AVG($J9,($J9,$O9,$T9),1)-2)*20)</f>
        <v>-5.2</v>
      </c>
      <c r="V9" s="54">
        <f>IF($O9="","",ROUND(($O9-$O$3)/1000,1)+(_xlfn.RANK.AVG($O9,($J9,$O9,$T9),1)-2)*20)</f>
        <v>-27.9</v>
      </c>
      <c r="W9" s="55">
        <f>IF($T9="","",ROUND(($T9-$T$3)/1000,1)+(_xlfn.RANK.AVG($T9,($J9,$O9,$T9),1)-2)*20)</f>
        <v>32.1</v>
      </c>
      <c r="Y9" s="108" t="s">
        <v>153</v>
      </c>
      <c r="Z9" s="117"/>
      <c r="AA9" s="110"/>
      <c r="AB9" s="110"/>
      <c r="AC9" s="110"/>
      <c r="AD9" s="114"/>
      <c r="AE9" s="122"/>
      <c r="AF9" s="123"/>
      <c r="AG9" s="123"/>
      <c r="AH9" s="123"/>
      <c r="AI9" s="123"/>
      <c r="AJ9" s="123"/>
      <c r="AK9" s="123"/>
      <c r="AL9" s="123"/>
      <c r="AM9" s="123"/>
      <c r="AN9" s="123"/>
      <c r="AO9" s="123"/>
      <c r="AP9" s="123"/>
      <c r="AQ9" s="123"/>
      <c r="AR9" s="123"/>
      <c r="AS9" s="124"/>
      <c r="AT9" s="108" t="s">
        <v>153</v>
      </c>
      <c r="AU9" s="117"/>
      <c r="AV9" s="110"/>
      <c r="AW9" s="110">
        <v>1</v>
      </c>
      <c r="AX9" s="110"/>
      <c r="AY9" s="114"/>
      <c r="AZ9" s="122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4"/>
      <c r="BO9" s="108" t="s">
        <v>152</v>
      </c>
      <c r="BP9" s="117"/>
      <c r="BQ9" s="110">
        <v>1</v>
      </c>
      <c r="BR9" s="110"/>
      <c r="BS9" s="110"/>
      <c r="BT9" s="114"/>
      <c r="BU9" s="122"/>
      <c r="BV9" s="123"/>
      <c r="BW9" s="123"/>
      <c r="BX9" s="123"/>
      <c r="BY9" s="123"/>
      <c r="BZ9" s="123"/>
      <c r="CA9" s="123"/>
      <c r="CB9" s="123"/>
      <c r="CC9" s="123"/>
      <c r="CD9" s="123"/>
      <c r="CE9" s="123"/>
      <c r="CF9" s="123"/>
      <c r="CG9" s="123"/>
      <c r="CH9" s="123"/>
      <c r="CI9" s="124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78" t="s">
        <v>142</v>
      </c>
      <c r="F10" s="81" t="s">
        <v>144</v>
      </c>
      <c r="G10" s="82">
        <v>5200</v>
      </c>
      <c r="H10" s="82">
        <v>2000</v>
      </c>
      <c r="I10" s="87">
        <v>1000</v>
      </c>
      <c r="J10" s="21">
        <f t="shared" si="2"/>
        <v>38000</v>
      </c>
      <c r="K10" s="90"/>
      <c r="L10" s="91"/>
      <c r="M10" s="91"/>
      <c r="N10" s="96"/>
      <c r="O10" s="21">
        <f t="shared" si="3"/>
        <v>27100</v>
      </c>
      <c r="P10" s="99" t="s">
        <v>145</v>
      </c>
      <c r="Q10" s="100">
        <v>-5200</v>
      </c>
      <c r="R10" s="100">
        <v>-1000</v>
      </c>
      <c r="S10" s="105">
        <v>-1000</v>
      </c>
      <c r="T10" s="21">
        <f t="shared" si="4"/>
        <v>39900</v>
      </c>
      <c r="U10" s="53">
        <f>IF($J10="","",ROUND(($J10-$J$3)/1000,1)+(_xlfn.RANK.AVG($J10,($J10,$O10,$T10),1)-2)*20)</f>
        <v>3</v>
      </c>
      <c r="V10" s="54">
        <f>IF($O10="","",ROUND(($O10-$O$3)/1000,1)+(_xlfn.RANK.AVG($O10,($J10,$O10,$T10),1)-2)*20)</f>
        <v>-27.9</v>
      </c>
      <c r="W10" s="55">
        <f>IF($T10="","",ROUND(($T10-$T$3)/1000,1)+(_xlfn.RANK.AVG($T10,($J10,$O10,$T10),1)-2)*20)</f>
        <v>24.9</v>
      </c>
      <c r="Y10" s="108"/>
      <c r="Z10" s="117"/>
      <c r="AA10" s="110">
        <v>1</v>
      </c>
      <c r="AB10" s="110"/>
      <c r="AC10" s="110">
        <v>3</v>
      </c>
      <c r="AD10" s="114">
        <v>40</v>
      </c>
      <c r="AE10" s="122" t="s">
        <v>148</v>
      </c>
      <c r="AF10" s="123" t="s">
        <v>86</v>
      </c>
      <c r="AG10" s="123" t="s">
        <v>80</v>
      </c>
      <c r="AH10" s="123"/>
      <c r="AI10" s="123"/>
      <c r="AJ10" s="123"/>
      <c r="AK10" s="123"/>
      <c r="AL10" s="123"/>
      <c r="AM10" s="123"/>
      <c r="AN10" s="123"/>
      <c r="AO10" s="123"/>
      <c r="AP10" s="123"/>
      <c r="AQ10" s="123"/>
      <c r="AR10" s="123"/>
      <c r="AS10" s="124"/>
      <c r="AT10" s="108"/>
      <c r="AU10" s="117"/>
      <c r="AV10" s="110"/>
      <c r="AW10" s="110"/>
      <c r="AX10" s="110"/>
      <c r="AY10" s="114"/>
      <c r="AZ10" s="122"/>
      <c r="BA10" s="123"/>
      <c r="BB10" s="123"/>
      <c r="BC10" s="123"/>
      <c r="BD10" s="123"/>
      <c r="BE10" s="123"/>
      <c r="BF10" s="123"/>
      <c r="BG10" s="123"/>
      <c r="BH10" s="123"/>
      <c r="BI10" s="123"/>
      <c r="BJ10" s="123"/>
      <c r="BK10" s="123"/>
      <c r="BL10" s="123"/>
      <c r="BM10" s="123"/>
      <c r="BN10" s="124"/>
      <c r="BO10" s="108"/>
      <c r="BP10" s="117"/>
      <c r="BQ10" s="110">
        <v>1</v>
      </c>
      <c r="BR10" s="110"/>
      <c r="BS10" s="110"/>
      <c r="BT10" s="114"/>
      <c r="BU10" s="122"/>
      <c r="BV10" s="123"/>
      <c r="BW10" s="123"/>
      <c r="BX10" s="123"/>
      <c r="BY10" s="123"/>
      <c r="BZ10" s="123"/>
      <c r="CA10" s="123"/>
      <c r="CB10" s="123"/>
      <c r="CC10" s="123"/>
      <c r="CD10" s="123"/>
      <c r="CE10" s="123"/>
      <c r="CF10" s="123"/>
      <c r="CG10" s="123"/>
      <c r="CH10" s="123"/>
      <c r="CI10" s="124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78" t="s">
        <v>138</v>
      </c>
      <c r="F11" s="81" t="s">
        <v>146</v>
      </c>
      <c r="G11" s="82">
        <v>-3300</v>
      </c>
      <c r="H11" s="82"/>
      <c r="I11" s="87">
        <v>0</v>
      </c>
      <c r="J11" s="21">
        <f t="shared" si="2"/>
        <v>34700</v>
      </c>
      <c r="K11" s="90" t="s">
        <v>147</v>
      </c>
      <c r="L11" s="91">
        <v>5300</v>
      </c>
      <c r="M11" s="91"/>
      <c r="N11" s="96">
        <v>0</v>
      </c>
      <c r="O11" s="21">
        <f t="shared" si="3"/>
        <v>32400</v>
      </c>
      <c r="P11" s="99" t="s">
        <v>146</v>
      </c>
      <c r="Q11" s="100">
        <v>-2000</v>
      </c>
      <c r="R11" s="100"/>
      <c r="S11" s="105">
        <v>0</v>
      </c>
      <c r="T11" s="21">
        <f t="shared" si="4"/>
        <v>37900</v>
      </c>
      <c r="U11" s="53">
        <f>IF($J11="","",ROUND(($J11-$J$3)/1000,1)+(_xlfn.RANK.AVG($J11,($J11,$O11,$T11),1)-2)*20)</f>
        <v>-0.3</v>
      </c>
      <c r="V11" s="54">
        <f>IF($O11="","",ROUND(($O11-$O$3)/1000,1)+(_xlfn.RANK.AVG($O11,($J11,$O11,$T11),1)-2)*20)</f>
        <v>-22.6</v>
      </c>
      <c r="W11" s="55">
        <f>IF($T11="","",ROUND(($T11-$T$3)/1000,1)+(_xlfn.RANK.AVG($T11,($J11,$O11,$T11),1)-2)*20)</f>
        <v>22.9</v>
      </c>
      <c r="Y11" s="108"/>
      <c r="Z11" s="117"/>
      <c r="AA11" s="110"/>
      <c r="AB11" s="110"/>
      <c r="AC11" s="110"/>
      <c r="AD11" s="114"/>
      <c r="AE11" s="122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4"/>
      <c r="AT11" s="108"/>
      <c r="AU11" s="117"/>
      <c r="AV11" s="110">
        <v>1</v>
      </c>
      <c r="AW11" s="110"/>
      <c r="AX11" s="110">
        <v>4</v>
      </c>
      <c r="AY11" s="114">
        <v>20</v>
      </c>
      <c r="AZ11" s="122" t="s">
        <v>148</v>
      </c>
      <c r="BA11" s="123" t="s">
        <v>82</v>
      </c>
      <c r="BB11" s="123" t="s">
        <v>83</v>
      </c>
      <c r="BC11" s="123" t="s">
        <v>79</v>
      </c>
      <c r="BD11" s="123"/>
      <c r="BE11" s="123"/>
      <c r="BF11" s="123"/>
      <c r="BG11" s="123"/>
      <c r="BH11" s="123"/>
      <c r="BI11" s="123"/>
      <c r="BJ11" s="123"/>
      <c r="BK11" s="123"/>
      <c r="BL11" s="123"/>
      <c r="BM11" s="123"/>
      <c r="BN11" s="124"/>
      <c r="BO11" s="108"/>
      <c r="BP11" s="117"/>
      <c r="BQ11" s="110"/>
      <c r="BR11" s="110">
        <v>1</v>
      </c>
      <c r="BS11" s="110"/>
      <c r="BT11" s="114"/>
      <c r="BU11" s="122"/>
      <c r="BV11" s="123"/>
      <c r="BW11" s="123"/>
      <c r="BX11" s="123"/>
      <c r="BY11" s="123"/>
      <c r="BZ11" s="123"/>
      <c r="CA11" s="123"/>
      <c r="CB11" s="123"/>
      <c r="CC11" s="123"/>
      <c r="CD11" s="123"/>
      <c r="CE11" s="123"/>
      <c r="CF11" s="123"/>
      <c r="CG11" s="123"/>
      <c r="CH11" s="123"/>
      <c r="CI11" s="124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78"/>
      <c r="F12" s="81"/>
      <c r="G12" s="82"/>
      <c r="H12" s="82"/>
      <c r="I12" s="87"/>
      <c r="J12" s="21" t="str">
        <f t="shared" si="2"/>
        <v/>
      </c>
      <c r="K12" s="90"/>
      <c r="L12" s="91"/>
      <c r="M12" s="91"/>
      <c r="N12" s="96"/>
      <c r="O12" s="21" t="str">
        <f t="shared" si="3"/>
        <v/>
      </c>
      <c r="P12" s="99"/>
      <c r="Q12" s="100"/>
      <c r="R12" s="100"/>
      <c r="S12" s="105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108"/>
      <c r="Z12" s="117"/>
      <c r="AA12" s="110"/>
      <c r="AB12" s="110"/>
      <c r="AC12" s="110"/>
      <c r="AD12" s="114"/>
      <c r="AE12" s="122"/>
      <c r="AF12" s="123"/>
      <c r="AG12" s="123"/>
      <c r="AH12" s="123"/>
      <c r="AI12" s="123"/>
      <c r="AJ12" s="123"/>
      <c r="AK12" s="123"/>
      <c r="AL12" s="123"/>
      <c r="AM12" s="123"/>
      <c r="AN12" s="123"/>
      <c r="AO12" s="123"/>
      <c r="AP12" s="123"/>
      <c r="AQ12" s="123"/>
      <c r="AR12" s="123"/>
      <c r="AS12" s="124"/>
      <c r="AT12" s="108"/>
      <c r="AU12" s="117"/>
      <c r="AV12" s="110"/>
      <c r="AW12" s="110"/>
      <c r="AX12" s="110"/>
      <c r="AY12" s="114"/>
      <c r="AZ12" s="122"/>
      <c r="BA12" s="123"/>
      <c r="BB12" s="123"/>
      <c r="BC12" s="123"/>
      <c r="BD12" s="123"/>
      <c r="BE12" s="123"/>
      <c r="BF12" s="123"/>
      <c r="BG12" s="123"/>
      <c r="BH12" s="123"/>
      <c r="BI12" s="123"/>
      <c r="BJ12" s="123"/>
      <c r="BK12" s="123"/>
      <c r="BL12" s="123"/>
      <c r="BM12" s="123"/>
      <c r="BN12" s="124"/>
      <c r="BO12" s="108"/>
      <c r="BP12" s="117"/>
      <c r="BQ12" s="110"/>
      <c r="BR12" s="110"/>
      <c r="BS12" s="110"/>
      <c r="BT12" s="114"/>
      <c r="BU12" s="122"/>
      <c r="BV12" s="123"/>
      <c r="BW12" s="123"/>
      <c r="BX12" s="123"/>
      <c r="BY12" s="123"/>
      <c r="BZ12" s="123"/>
      <c r="CA12" s="123"/>
      <c r="CB12" s="123"/>
      <c r="CC12" s="123"/>
      <c r="CD12" s="123"/>
      <c r="CE12" s="123"/>
      <c r="CF12" s="123"/>
      <c r="CG12" s="123"/>
      <c r="CH12" s="123"/>
      <c r="CI12" s="124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78"/>
      <c r="F13" s="81"/>
      <c r="G13" s="82"/>
      <c r="H13" s="82"/>
      <c r="I13" s="87"/>
      <c r="J13" s="21" t="str">
        <f t="shared" si="2"/>
        <v/>
      </c>
      <c r="K13" s="90"/>
      <c r="L13" s="91"/>
      <c r="M13" s="91"/>
      <c r="N13" s="96"/>
      <c r="O13" s="21" t="str">
        <f t="shared" si="3"/>
        <v/>
      </c>
      <c r="P13" s="99"/>
      <c r="Q13" s="100"/>
      <c r="R13" s="100"/>
      <c r="S13" s="105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108"/>
      <c r="Z13" s="117"/>
      <c r="AA13" s="110"/>
      <c r="AB13" s="110"/>
      <c r="AC13" s="110"/>
      <c r="AD13" s="114"/>
      <c r="AE13" s="122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4"/>
      <c r="AT13" s="108"/>
      <c r="AU13" s="117"/>
      <c r="AV13" s="110"/>
      <c r="AW13" s="110"/>
      <c r="AX13" s="110"/>
      <c r="AY13" s="114"/>
      <c r="AZ13" s="122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4"/>
      <c r="BO13" s="108"/>
      <c r="BP13" s="117"/>
      <c r="BQ13" s="110"/>
      <c r="BR13" s="110"/>
      <c r="BS13" s="110"/>
      <c r="BT13" s="114"/>
      <c r="BU13" s="122"/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4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78"/>
      <c r="F14" s="81"/>
      <c r="G14" s="82"/>
      <c r="H14" s="82"/>
      <c r="I14" s="87"/>
      <c r="J14" s="21" t="str">
        <f t="shared" si="2"/>
        <v/>
      </c>
      <c r="K14" s="90"/>
      <c r="L14" s="91"/>
      <c r="M14" s="91"/>
      <c r="N14" s="96"/>
      <c r="O14" s="21" t="str">
        <f t="shared" si="3"/>
        <v/>
      </c>
      <c r="P14" s="99"/>
      <c r="Q14" s="100"/>
      <c r="R14" s="100"/>
      <c r="S14" s="105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108"/>
      <c r="Z14" s="117"/>
      <c r="AA14" s="110"/>
      <c r="AB14" s="110"/>
      <c r="AC14" s="110"/>
      <c r="AD14" s="114"/>
      <c r="AE14" s="122"/>
      <c r="AF14" s="123"/>
      <c r="AG14" s="123"/>
      <c r="AH14" s="123"/>
      <c r="AI14" s="123"/>
      <c r="AJ14" s="123"/>
      <c r="AK14" s="123"/>
      <c r="AL14" s="123"/>
      <c r="AM14" s="123"/>
      <c r="AN14" s="123"/>
      <c r="AO14" s="123"/>
      <c r="AP14" s="123"/>
      <c r="AQ14" s="123"/>
      <c r="AR14" s="123"/>
      <c r="AS14" s="124"/>
      <c r="AT14" s="108"/>
      <c r="AU14" s="117"/>
      <c r="AV14" s="110"/>
      <c r="AW14" s="110"/>
      <c r="AX14" s="110"/>
      <c r="AY14" s="114"/>
      <c r="AZ14" s="122"/>
      <c r="BA14" s="123"/>
      <c r="BB14" s="123"/>
      <c r="BC14" s="123"/>
      <c r="BD14" s="123"/>
      <c r="BE14" s="123"/>
      <c r="BF14" s="123"/>
      <c r="BG14" s="123"/>
      <c r="BH14" s="123"/>
      <c r="BI14" s="123"/>
      <c r="BJ14" s="123"/>
      <c r="BK14" s="123"/>
      <c r="BL14" s="123"/>
      <c r="BM14" s="123"/>
      <c r="BN14" s="124"/>
      <c r="BO14" s="108"/>
      <c r="BP14" s="117"/>
      <c r="BQ14" s="110"/>
      <c r="BR14" s="110"/>
      <c r="BS14" s="110"/>
      <c r="BT14" s="114"/>
      <c r="BU14" s="122"/>
      <c r="BV14" s="123"/>
      <c r="BW14" s="123"/>
      <c r="BX14" s="123"/>
      <c r="BY14" s="123"/>
      <c r="BZ14" s="123"/>
      <c r="CA14" s="123"/>
      <c r="CB14" s="123"/>
      <c r="CC14" s="123"/>
      <c r="CD14" s="123"/>
      <c r="CE14" s="123"/>
      <c r="CF14" s="123"/>
      <c r="CG14" s="123"/>
      <c r="CH14" s="123"/>
      <c r="CI14" s="124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78"/>
      <c r="F15" s="81"/>
      <c r="G15" s="82"/>
      <c r="H15" s="82"/>
      <c r="I15" s="87"/>
      <c r="J15" s="21" t="str">
        <f t="shared" si="2"/>
        <v/>
      </c>
      <c r="K15" s="90"/>
      <c r="L15" s="91"/>
      <c r="M15" s="91"/>
      <c r="N15" s="96"/>
      <c r="O15" s="21" t="str">
        <f t="shared" si="3"/>
        <v/>
      </c>
      <c r="P15" s="99"/>
      <c r="Q15" s="100"/>
      <c r="R15" s="100"/>
      <c r="S15" s="105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108"/>
      <c r="Z15" s="117"/>
      <c r="AA15" s="110"/>
      <c r="AB15" s="110"/>
      <c r="AC15" s="110"/>
      <c r="AD15" s="114"/>
      <c r="AE15" s="122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  <c r="AS15" s="124"/>
      <c r="AT15" s="108"/>
      <c r="AU15" s="117"/>
      <c r="AV15" s="110"/>
      <c r="AW15" s="110"/>
      <c r="AX15" s="110"/>
      <c r="AY15" s="114"/>
      <c r="AZ15" s="122"/>
      <c r="BA15" s="123"/>
      <c r="BB15" s="123"/>
      <c r="BC15" s="123"/>
      <c r="BD15" s="123"/>
      <c r="BE15" s="123"/>
      <c r="BF15" s="123"/>
      <c r="BG15" s="123"/>
      <c r="BH15" s="123"/>
      <c r="BI15" s="123"/>
      <c r="BJ15" s="123"/>
      <c r="BK15" s="123"/>
      <c r="BL15" s="123"/>
      <c r="BM15" s="123"/>
      <c r="BN15" s="124"/>
      <c r="BO15" s="108"/>
      <c r="BP15" s="117"/>
      <c r="BQ15" s="110"/>
      <c r="BR15" s="110"/>
      <c r="BS15" s="110"/>
      <c r="BT15" s="114"/>
      <c r="BU15" s="122"/>
      <c r="BV15" s="123"/>
      <c r="BW15" s="123"/>
      <c r="BX15" s="123"/>
      <c r="BY15" s="123"/>
      <c r="BZ15" s="123"/>
      <c r="CA15" s="123"/>
      <c r="CB15" s="123"/>
      <c r="CC15" s="123"/>
      <c r="CD15" s="123"/>
      <c r="CE15" s="123"/>
      <c r="CF15" s="123"/>
      <c r="CG15" s="123"/>
      <c r="CH15" s="123"/>
      <c r="CI15" s="124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78"/>
      <c r="F16" s="81"/>
      <c r="G16" s="82"/>
      <c r="H16" s="82"/>
      <c r="I16" s="87"/>
      <c r="J16" s="21" t="str">
        <f t="shared" si="2"/>
        <v/>
      </c>
      <c r="K16" s="90"/>
      <c r="L16" s="91"/>
      <c r="M16" s="91"/>
      <c r="N16" s="96"/>
      <c r="O16" s="21" t="str">
        <f t="shared" si="3"/>
        <v/>
      </c>
      <c r="P16" s="99"/>
      <c r="Q16" s="100"/>
      <c r="R16" s="100"/>
      <c r="S16" s="105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108"/>
      <c r="Z16" s="117"/>
      <c r="AA16" s="110"/>
      <c r="AB16" s="110"/>
      <c r="AC16" s="110"/>
      <c r="AD16" s="114"/>
      <c r="AE16" s="122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4"/>
      <c r="AT16" s="108"/>
      <c r="AU16" s="117"/>
      <c r="AV16" s="110"/>
      <c r="AW16" s="110"/>
      <c r="AX16" s="110"/>
      <c r="AY16" s="114"/>
      <c r="AZ16" s="122"/>
      <c r="BA16" s="123"/>
      <c r="BB16" s="123"/>
      <c r="BC16" s="123"/>
      <c r="BD16" s="123"/>
      <c r="BE16" s="123"/>
      <c r="BF16" s="123"/>
      <c r="BG16" s="123"/>
      <c r="BH16" s="123"/>
      <c r="BI16" s="123"/>
      <c r="BJ16" s="123"/>
      <c r="BK16" s="123"/>
      <c r="BL16" s="123"/>
      <c r="BM16" s="123"/>
      <c r="BN16" s="124"/>
      <c r="BO16" s="108"/>
      <c r="BP16" s="117"/>
      <c r="BQ16" s="110"/>
      <c r="BR16" s="110"/>
      <c r="BS16" s="110"/>
      <c r="BT16" s="114"/>
      <c r="BU16" s="122"/>
      <c r="BV16" s="123"/>
      <c r="BW16" s="123"/>
      <c r="BX16" s="123"/>
      <c r="BY16" s="123"/>
      <c r="BZ16" s="123"/>
      <c r="CA16" s="123"/>
      <c r="CB16" s="123"/>
      <c r="CC16" s="123"/>
      <c r="CD16" s="123"/>
      <c r="CE16" s="123"/>
      <c r="CF16" s="123"/>
      <c r="CG16" s="123"/>
      <c r="CH16" s="123"/>
      <c r="CI16" s="124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78"/>
      <c r="F17" s="81"/>
      <c r="G17" s="82"/>
      <c r="H17" s="82"/>
      <c r="I17" s="87"/>
      <c r="J17" s="21" t="str">
        <f t="shared" si="2"/>
        <v/>
      </c>
      <c r="K17" s="90"/>
      <c r="L17" s="91"/>
      <c r="M17" s="91"/>
      <c r="N17" s="96"/>
      <c r="O17" s="21" t="str">
        <f t="shared" si="3"/>
        <v/>
      </c>
      <c r="P17" s="99"/>
      <c r="Q17" s="100"/>
      <c r="R17" s="100"/>
      <c r="S17" s="105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108"/>
      <c r="Z17" s="117"/>
      <c r="AA17" s="110"/>
      <c r="AB17" s="110"/>
      <c r="AC17" s="110"/>
      <c r="AD17" s="114"/>
      <c r="AE17" s="122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  <c r="AS17" s="124"/>
      <c r="AT17" s="108"/>
      <c r="AU17" s="117"/>
      <c r="AV17" s="110"/>
      <c r="AW17" s="110"/>
      <c r="AX17" s="110"/>
      <c r="AY17" s="114"/>
      <c r="AZ17" s="122"/>
      <c r="BA17" s="123"/>
      <c r="BB17" s="123"/>
      <c r="BC17" s="123"/>
      <c r="BD17" s="123"/>
      <c r="BE17" s="123"/>
      <c r="BF17" s="123"/>
      <c r="BG17" s="123"/>
      <c r="BH17" s="123"/>
      <c r="BI17" s="123"/>
      <c r="BJ17" s="123"/>
      <c r="BK17" s="123"/>
      <c r="BL17" s="123"/>
      <c r="BM17" s="123"/>
      <c r="BN17" s="124"/>
      <c r="BO17" s="108"/>
      <c r="BP17" s="117"/>
      <c r="BQ17" s="110"/>
      <c r="BR17" s="110"/>
      <c r="BS17" s="110"/>
      <c r="BT17" s="114"/>
      <c r="BU17" s="122"/>
      <c r="BV17" s="123"/>
      <c r="BW17" s="123"/>
      <c r="BX17" s="123"/>
      <c r="BY17" s="123"/>
      <c r="BZ17" s="123"/>
      <c r="CA17" s="123"/>
      <c r="CB17" s="123"/>
      <c r="CC17" s="123"/>
      <c r="CD17" s="123"/>
      <c r="CE17" s="123"/>
      <c r="CF17" s="123"/>
      <c r="CG17" s="123"/>
      <c r="CH17" s="123"/>
      <c r="CI17" s="124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78"/>
      <c r="F18" s="81"/>
      <c r="G18" s="82"/>
      <c r="H18" s="82"/>
      <c r="I18" s="87"/>
      <c r="J18" s="21" t="str">
        <f t="shared" si="2"/>
        <v/>
      </c>
      <c r="K18" s="90"/>
      <c r="L18" s="91"/>
      <c r="M18" s="91"/>
      <c r="N18" s="96"/>
      <c r="O18" s="21" t="str">
        <f t="shared" si="3"/>
        <v/>
      </c>
      <c r="P18" s="99"/>
      <c r="Q18" s="100"/>
      <c r="R18" s="100"/>
      <c r="S18" s="105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108"/>
      <c r="Z18" s="117"/>
      <c r="AA18" s="110"/>
      <c r="AB18" s="110"/>
      <c r="AC18" s="110"/>
      <c r="AD18" s="114"/>
      <c r="AE18" s="122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4"/>
      <c r="AT18" s="108"/>
      <c r="AU18" s="117"/>
      <c r="AV18" s="110"/>
      <c r="AW18" s="110"/>
      <c r="AX18" s="110"/>
      <c r="AY18" s="114"/>
      <c r="AZ18" s="122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4"/>
      <c r="BO18" s="108"/>
      <c r="BP18" s="117"/>
      <c r="BQ18" s="110"/>
      <c r="BR18" s="110"/>
      <c r="BS18" s="110"/>
      <c r="BT18" s="114"/>
      <c r="BU18" s="122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4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78"/>
      <c r="F19" s="81"/>
      <c r="G19" s="82"/>
      <c r="H19" s="82"/>
      <c r="I19" s="87"/>
      <c r="J19" s="21" t="str">
        <f t="shared" si="2"/>
        <v/>
      </c>
      <c r="K19" s="90"/>
      <c r="L19" s="91"/>
      <c r="M19" s="91"/>
      <c r="N19" s="96"/>
      <c r="O19" s="21" t="str">
        <f t="shared" si="3"/>
        <v/>
      </c>
      <c r="P19" s="99"/>
      <c r="Q19" s="100"/>
      <c r="R19" s="100"/>
      <c r="S19" s="105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108"/>
      <c r="Z19" s="117"/>
      <c r="AA19" s="110"/>
      <c r="AB19" s="110"/>
      <c r="AC19" s="110"/>
      <c r="AD19" s="114"/>
      <c r="AE19" s="122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4"/>
      <c r="AT19" s="108"/>
      <c r="AU19" s="117"/>
      <c r="AV19" s="110"/>
      <c r="AW19" s="110"/>
      <c r="AX19" s="110"/>
      <c r="AY19" s="114"/>
      <c r="AZ19" s="122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4"/>
      <c r="BO19" s="108"/>
      <c r="BP19" s="117"/>
      <c r="BQ19" s="110"/>
      <c r="BR19" s="110"/>
      <c r="BS19" s="110"/>
      <c r="BT19" s="114"/>
      <c r="BU19" s="122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4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78"/>
      <c r="F20" s="81"/>
      <c r="G20" s="82"/>
      <c r="H20" s="82"/>
      <c r="I20" s="87"/>
      <c r="J20" s="21" t="str">
        <f t="shared" si="2"/>
        <v/>
      </c>
      <c r="K20" s="90"/>
      <c r="L20" s="91"/>
      <c r="M20" s="91"/>
      <c r="N20" s="96"/>
      <c r="O20" s="21" t="str">
        <f t="shared" si="3"/>
        <v/>
      </c>
      <c r="P20" s="99"/>
      <c r="Q20" s="100"/>
      <c r="R20" s="100"/>
      <c r="S20" s="105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108"/>
      <c r="Z20" s="117"/>
      <c r="AA20" s="110"/>
      <c r="AB20" s="110"/>
      <c r="AC20" s="110"/>
      <c r="AD20" s="114"/>
      <c r="AE20" s="122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4"/>
      <c r="AT20" s="108"/>
      <c r="AU20" s="117"/>
      <c r="AV20" s="110"/>
      <c r="AW20" s="110"/>
      <c r="AX20" s="110"/>
      <c r="AY20" s="114"/>
      <c r="AZ20" s="122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4"/>
      <c r="BO20" s="108"/>
      <c r="BP20" s="117"/>
      <c r="BQ20" s="110"/>
      <c r="BR20" s="110"/>
      <c r="BS20" s="110"/>
      <c r="BT20" s="114"/>
      <c r="BU20" s="122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4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78"/>
      <c r="F21" s="81"/>
      <c r="G21" s="82"/>
      <c r="H21" s="82"/>
      <c r="I21" s="87"/>
      <c r="J21" s="21" t="str">
        <f t="shared" si="2"/>
        <v/>
      </c>
      <c r="K21" s="90"/>
      <c r="L21" s="91"/>
      <c r="M21" s="91"/>
      <c r="N21" s="96"/>
      <c r="O21" s="21" t="str">
        <f t="shared" si="3"/>
        <v/>
      </c>
      <c r="P21" s="99"/>
      <c r="Q21" s="100"/>
      <c r="R21" s="100"/>
      <c r="S21" s="105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108"/>
      <c r="Z21" s="117"/>
      <c r="AA21" s="110"/>
      <c r="AB21" s="110"/>
      <c r="AC21" s="110"/>
      <c r="AD21" s="114"/>
      <c r="AE21" s="122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4"/>
      <c r="AT21" s="108"/>
      <c r="AU21" s="117"/>
      <c r="AV21" s="110"/>
      <c r="AW21" s="110"/>
      <c r="AX21" s="110"/>
      <c r="AY21" s="114"/>
      <c r="AZ21" s="122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4"/>
      <c r="BO21" s="108"/>
      <c r="BP21" s="117"/>
      <c r="BQ21" s="110"/>
      <c r="BR21" s="110"/>
      <c r="BS21" s="110"/>
      <c r="BT21" s="114"/>
      <c r="BU21" s="122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4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78"/>
      <c r="F22" s="81"/>
      <c r="G22" s="82"/>
      <c r="H22" s="82"/>
      <c r="I22" s="87"/>
      <c r="J22" s="21" t="str">
        <f t="shared" si="2"/>
        <v/>
      </c>
      <c r="K22" s="90"/>
      <c r="L22" s="91"/>
      <c r="M22" s="91"/>
      <c r="N22" s="96"/>
      <c r="O22" s="21" t="str">
        <f t="shared" si="3"/>
        <v/>
      </c>
      <c r="P22" s="99"/>
      <c r="Q22" s="100"/>
      <c r="R22" s="100"/>
      <c r="S22" s="105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108"/>
      <c r="Z22" s="117"/>
      <c r="AA22" s="110"/>
      <c r="AB22" s="110"/>
      <c r="AC22" s="110"/>
      <c r="AD22" s="114"/>
      <c r="AE22" s="122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4"/>
      <c r="AT22" s="108"/>
      <c r="AU22" s="117"/>
      <c r="AV22" s="110"/>
      <c r="AW22" s="110"/>
      <c r="AX22" s="110"/>
      <c r="AY22" s="114"/>
      <c r="AZ22" s="122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4"/>
      <c r="BO22" s="108"/>
      <c r="BP22" s="117"/>
      <c r="BQ22" s="110"/>
      <c r="BR22" s="110"/>
      <c r="BS22" s="110"/>
      <c r="BT22" s="114"/>
      <c r="BU22" s="122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4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78"/>
      <c r="F23" s="81"/>
      <c r="G23" s="82"/>
      <c r="H23" s="82"/>
      <c r="I23" s="87"/>
      <c r="J23" s="21" t="str">
        <f t="shared" si="2"/>
        <v/>
      </c>
      <c r="K23" s="90"/>
      <c r="L23" s="91"/>
      <c r="M23" s="91"/>
      <c r="N23" s="96"/>
      <c r="O23" s="21" t="str">
        <f t="shared" si="3"/>
        <v/>
      </c>
      <c r="P23" s="99"/>
      <c r="Q23" s="100"/>
      <c r="R23" s="100"/>
      <c r="S23" s="105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108"/>
      <c r="Z23" s="117"/>
      <c r="AA23" s="110"/>
      <c r="AB23" s="110"/>
      <c r="AC23" s="110"/>
      <c r="AD23" s="114"/>
      <c r="AE23" s="122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4"/>
      <c r="AT23" s="108"/>
      <c r="AU23" s="117"/>
      <c r="AV23" s="110"/>
      <c r="AW23" s="110"/>
      <c r="AX23" s="110"/>
      <c r="AY23" s="114"/>
      <c r="AZ23" s="122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4"/>
      <c r="BO23" s="108"/>
      <c r="BP23" s="117"/>
      <c r="BQ23" s="110"/>
      <c r="BR23" s="110"/>
      <c r="BS23" s="110"/>
      <c r="BT23" s="114"/>
      <c r="BU23" s="122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4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78"/>
      <c r="F24" s="81"/>
      <c r="G24" s="82"/>
      <c r="H24" s="82"/>
      <c r="I24" s="87"/>
      <c r="J24" s="21" t="str">
        <f t="shared" si="2"/>
        <v/>
      </c>
      <c r="K24" s="90"/>
      <c r="L24" s="91"/>
      <c r="M24" s="91"/>
      <c r="N24" s="96"/>
      <c r="O24" s="21" t="str">
        <f t="shared" si="3"/>
        <v/>
      </c>
      <c r="P24" s="99"/>
      <c r="Q24" s="100"/>
      <c r="R24" s="100"/>
      <c r="S24" s="105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108"/>
      <c r="Z24" s="117"/>
      <c r="AA24" s="110"/>
      <c r="AB24" s="110"/>
      <c r="AC24" s="110"/>
      <c r="AD24" s="114"/>
      <c r="AE24" s="122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4"/>
      <c r="AT24" s="108"/>
      <c r="AU24" s="117"/>
      <c r="AV24" s="110"/>
      <c r="AW24" s="110"/>
      <c r="AX24" s="110"/>
      <c r="AY24" s="114"/>
      <c r="AZ24" s="122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4"/>
      <c r="BO24" s="108"/>
      <c r="BP24" s="117"/>
      <c r="BQ24" s="110"/>
      <c r="BR24" s="110"/>
      <c r="BS24" s="110"/>
      <c r="BT24" s="114"/>
      <c r="BU24" s="122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4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78"/>
      <c r="F25" s="81"/>
      <c r="G25" s="82"/>
      <c r="H25" s="82"/>
      <c r="I25" s="87"/>
      <c r="J25" s="21" t="str">
        <f t="shared" si="2"/>
        <v/>
      </c>
      <c r="K25" s="90"/>
      <c r="L25" s="91"/>
      <c r="M25" s="91"/>
      <c r="N25" s="96"/>
      <c r="O25" s="21" t="str">
        <f t="shared" si="3"/>
        <v/>
      </c>
      <c r="P25" s="99"/>
      <c r="Q25" s="100"/>
      <c r="R25" s="100"/>
      <c r="S25" s="105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108"/>
      <c r="Z25" s="117"/>
      <c r="AA25" s="110"/>
      <c r="AB25" s="110"/>
      <c r="AC25" s="110"/>
      <c r="AD25" s="114"/>
      <c r="AE25" s="122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4"/>
      <c r="AT25" s="108"/>
      <c r="AU25" s="117"/>
      <c r="AV25" s="110"/>
      <c r="AW25" s="110"/>
      <c r="AX25" s="110"/>
      <c r="AY25" s="114"/>
      <c r="AZ25" s="122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4"/>
      <c r="BO25" s="108"/>
      <c r="BP25" s="117"/>
      <c r="BQ25" s="110"/>
      <c r="BR25" s="110"/>
      <c r="BS25" s="110"/>
      <c r="BT25" s="114"/>
      <c r="BU25" s="122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4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78"/>
      <c r="F26" s="81"/>
      <c r="G26" s="82"/>
      <c r="H26" s="82"/>
      <c r="I26" s="87"/>
      <c r="J26" s="21" t="str">
        <f t="shared" si="2"/>
        <v/>
      </c>
      <c r="K26" s="90"/>
      <c r="L26" s="91"/>
      <c r="M26" s="91"/>
      <c r="N26" s="96"/>
      <c r="O26" s="21" t="str">
        <f t="shared" si="3"/>
        <v/>
      </c>
      <c r="P26" s="99"/>
      <c r="Q26" s="100"/>
      <c r="R26" s="100"/>
      <c r="S26" s="105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108"/>
      <c r="Z26" s="117"/>
      <c r="AA26" s="110"/>
      <c r="AB26" s="110"/>
      <c r="AC26" s="110"/>
      <c r="AD26" s="114"/>
      <c r="AE26" s="122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4"/>
      <c r="AT26" s="108"/>
      <c r="AU26" s="117"/>
      <c r="AV26" s="110"/>
      <c r="AW26" s="110"/>
      <c r="AX26" s="110"/>
      <c r="AY26" s="114"/>
      <c r="AZ26" s="122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4"/>
      <c r="BO26" s="108"/>
      <c r="BP26" s="117"/>
      <c r="BQ26" s="110"/>
      <c r="BR26" s="110"/>
      <c r="BS26" s="110"/>
      <c r="BT26" s="114"/>
      <c r="BU26" s="122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4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78"/>
      <c r="F27" s="81"/>
      <c r="G27" s="82"/>
      <c r="H27" s="82"/>
      <c r="I27" s="87"/>
      <c r="J27" s="21" t="str">
        <f t="shared" si="2"/>
        <v/>
      </c>
      <c r="K27" s="90"/>
      <c r="L27" s="91"/>
      <c r="M27" s="91"/>
      <c r="N27" s="96"/>
      <c r="O27" s="21" t="str">
        <f t="shared" si="3"/>
        <v/>
      </c>
      <c r="P27" s="99"/>
      <c r="Q27" s="100"/>
      <c r="R27" s="100"/>
      <c r="S27" s="105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108"/>
      <c r="Z27" s="117"/>
      <c r="AA27" s="110"/>
      <c r="AB27" s="110"/>
      <c r="AC27" s="110"/>
      <c r="AD27" s="114"/>
      <c r="AE27" s="122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4"/>
      <c r="AT27" s="108"/>
      <c r="AU27" s="117"/>
      <c r="AV27" s="110"/>
      <c r="AW27" s="110"/>
      <c r="AX27" s="110"/>
      <c r="AY27" s="114"/>
      <c r="AZ27" s="122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4"/>
      <c r="BO27" s="108"/>
      <c r="BP27" s="117"/>
      <c r="BQ27" s="110"/>
      <c r="BR27" s="110"/>
      <c r="BS27" s="110"/>
      <c r="BT27" s="114"/>
      <c r="BU27" s="122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4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78"/>
      <c r="F28" s="81"/>
      <c r="G28" s="82"/>
      <c r="H28" s="82"/>
      <c r="I28" s="87"/>
      <c r="J28" s="21" t="str">
        <f t="shared" si="2"/>
        <v/>
      </c>
      <c r="K28" s="90"/>
      <c r="L28" s="91"/>
      <c r="M28" s="91"/>
      <c r="N28" s="96"/>
      <c r="O28" s="21" t="str">
        <f t="shared" si="3"/>
        <v/>
      </c>
      <c r="P28" s="99"/>
      <c r="Q28" s="100"/>
      <c r="R28" s="100"/>
      <c r="S28" s="105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108"/>
      <c r="Z28" s="117"/>
      <c r="AA28" s="110"/>
      <c r="AB28" s="110"/>
      <c r="AC28" s="110"/>
      <c r="AD28" s="114"/>
      <c r="AE28" s="122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4"/>
      <c r="AT28" s="108"/>
      <c r="AU28" s="117"/>
      <c r="AV28" s="110"/>
      <c r="AW28" s="110"/>
      <c r="AX28" s="110"/>
      <c r="AY28" s="114"/>
      <c r="AZ28" s="122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4"/>
      <c r="BO28" s="108"/>
      <c r="BP28" s="117"/>
      <c r="BQ28" s="110"/>
      <c r="BR28" s="110"/>
      <c r="BS28" s="110"/>
      <c r="BT28" s="114"/>
      <c r="BU28" s="122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4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78"/>
      <c r="F29" s="81"/>
      <c r="G29" s="82"/>
      <c r="H29" s="82"/>
      <c r="I29" s="87"/>
      <c r="J29" s="21" t="str">
        <f t="shared" si="2"/>
        <v/>
      </c>
      <c r="K29" s="90"/>
      <c r="L29" s="91"/>
      <c r="M29" s="91"/>
      <c r="N29" s="96"/>
      <c r="O29" s="21" t="str">
        <f t="shared" si="3"/>
        <v/>
      </c>
      <c r="P29" s="99"/>
      <c r="Q29" s="100"/>
      <c r="R29" s="100"/>
      <c r="S29" s="105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108"/>
      <c r="Z29" s="117"/>
      <c r="AA29" s="110"/>
      <c r="AB29" s="110"/>
      <c r="AC29" s="110"/>
      <c r="AD29" s="114"/>
      <c r="AE29" s="122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4"/>
      <c r="AT29" s="108"/>
      <c r="AU29" s="117"/>
      <c r="AV29" s="110"/>
      <c r="AW29" s="110"/>
      <c r="AX29" s="110"/>
      <c r="AY29" s="114"/>
      <c r="AZ29" s="122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4"/>
      <c r="BO29" s="108"/>
      <c r="BP29" s="117"/>
      <c r="BQ29" s="110"/>
      <c r="BR29" s="110"/>
      <c r="BS29" s="110"/>
      <c r="BT29" s="114"/>
      <c r="BU29" s="122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4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79"/>
      <c r="F30" s="83"/>
      <c r="G30" s="84"/>
      <c r="H30" s="84"/>
      <c r="I30" s="88"/>
      <c r="J30" s="22" t="str">
        <f t="shared" si="2"/>
        <v/>
      </c>
      <c r="K30" s="92"/>
      <c r="L30" s="93"/>
      <c r="M30" s="93"/>
      <c r="N30" s="97"/>
      <c r="O30" s="22" t="str">
        <f t="shared" si="3"/>
        <v/>
      </c>
      <c r="P30" s="101"/>
      <c r="Q30" s="102"/>
      <c r="R30" s="102"/>
      <c r="S30" s="106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9"/>
      <c r="Z30" s="118"/>
      <c r="AA30" s="111"/>
      <c r="AB30" s="111"/>
      <c r="AC30" s="111"/>
      <c r="AD30" s="115"/>
      <c r="AE30" s="125"/>
      <c r="AF30" s="126"/>
      <c r="AG30" s="126"/>
      <c r="AH30" s="126"/>
      <c r="AI30" s="126"/>
      <c r="AJ30" s="126"/>
      <c r="AK30" s="126"/>
      <c r="AL30" s="126"/>
      <c r="AM30" s="126"/>
      <c r="AN30" s="126"/>
      <c r="AO30" s="126"/>
      <c r="AP30" s="126"/>
      <c r="AQ30" s="126"/>
      <c r="AR30" s="126"/>
      <c r="AS30" s="127"/>
      <c r="AT30" s="109"/>
      <c r="AU30" s="118"/>
      <c r="AV30" s="111"/>
      <c r="AW30" s="111"/>
      <c r="AX30" s="111"/>
      <c r="AY30" s="115"/>
      <c r="AZ30" s="125"/>
      <c r="BA30" s="126"/>
      <c r="BB30" s="126"/>
      <c r="BC30" s="126"/>
      <c r="BD30" s="126"/>
      <c r="BE30" s="126"/>
      <c r="BF30" s="126"/>
      <c r="BG30" s="126"/>
      <c r="BH30" s="126"/>
      <c r="BI30" s="126"/>
      <c r="BJ30" s="126"/>
      <c r="BK30" s="126"/>
      <c r="BL30" s="126"/>
      <c r="BM30" s="126"/>
      <c r="BN30" s="127"/>
      <c r="BO30" s="109"/>
      <c r="BP30" s="118"/>
      <c r="BQ30" s="111"/>
      <c r="BR30" s="111"/>
      <c r="BS30" s="111"/>
      <c r="BT30" s="115"/>
      <c r="BU30" s="125"/>
      <c r="BV30" s="126"/>
      <c r="BW30" s="126"/>
      <c r="BX30" s="126"/>
      <c r="BY30" s="126"/>
      <c r="BZ30" s="126"/>
      <c r="CA30" s="126"/>
      <c r="CB30" s="126"/>
      <c r="CC30" s="126"/>
      <c r="CD30" s="126"/>
      <c r="CE30" s="126"/>
      <c r="CF30" s="126"/>
      <c r="CG30" s="126"/>
      <c r="CH30" s="126"/>
      <c r="CI30" s="12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770BA2E3-FE07-41CC-9A79-6A8017C452E8}">
      <formula1>"ロン,ツモ,放銃,ツモ支払,流局,チョンボ"</formula1>
    </dataValidation>
    <dataValidation type="list" allowBlank="1" showInputMessage="1" showErrorMessage="1" sqref="E4:E30" xr:uid="{5E989461-6797-4EF4-8A84-826E6E32E62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27C6C-2E31-4BC6-A104-6535A36410F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132" t="s">
        <v>0</v>
      </c>
      <c r="B1" s="134" t="s">
        <v>2</v>
      </c>
      <c r="C1" s="134" t="s">
        <v>1</v>
      </c>
      <c r="D1" s="134" t="s">
        <v>21</v>
      </c>
      <c r="E1" s="136" t="s">
        <v>3</v>
      </c>
      <c r="F1" s="128" t="s">
        <v>156</v>
      </c>
      <c r="G1" s="129"/>
      <c r="H1" s="129"/>
      <c r="I1" s="130"/>
      <c r="J1" s="131"/>
      <c r="K1" s="128" t="s">
        <v>158</v>
      </c>
      <c r="L1" s="129"/>
      <c r="M1" s="129"/>
      <c r="N1" s="130"/>
      <c r="O1" s="131"/>
      <c r="P1" s="128" t="s">
        <v>160</v>
      </c>
      <c r="Q1" s="129"/>
      <c r="R1" s="129"/>
      <c r="S1" s="130"/>
      <c r="T1" s="131"/>
      <c r="U1" s="128" t="s">
        <v>6</v>
      </c>
      <c r="V1" s="129"/>
      <c r="W1" s="131"/>
      <c r="Y1" s="128" t="str">
        <f>F1</f>
        <v>ただ</v>
      </c>
      <c r="Z1" s="13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31"/>
      <c r="AT1" s="128" t="str">
        <f>K1</f>
        <v>りくと</v>
      </c>
      <c r="AU1" s="13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31"/>
      <c r="BO1" s="128" t="str">
        <f>P1</f>
        <v>たかの</v>
      </c>
      <c r="BP1" s="13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31"/>
    </row>
    <row r="2" spans="1:87" x14ac:dyDescent="0.4">
      <c r="A2" s="133"/>
      <c r="B2" s="135"/>
      <c r="C2" s="135"/>
      <c r="D2" s="135"/>
      <c r="E2" s="137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りくと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138" t="s">
        <v>20</v>
      </c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138" t="s">
        <v>20</v>
      </c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138" t="s">
        <v>20</v>
      </c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159</v>
      </c>
      <c r="F4" s="8" t="s">
        <v>146</v>
      </c>
      <c r="G4" s="9">
        <v>-4500</v>
      </c>
      <c r="H4" s="9">
        <v>-1000</v>
      </c>
      <c r="I4" s="48">
        <v>0</v>
      </c>
      <c r="J4" s="21">
        <f>IF(COUNTA($F4,$K4,$P4)&gt;0,J3+SUM(G4:I4),"")</f>
        <v>29500</v>
      </c>
      <c r="K4" s="8" t="s">
        <v>147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146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IF($J4="","",ROUND(($J4-$J$3)/1000,1)+(_xlfn.RANK.AVG($J4,($J4,$O4,$T4),1)-2)*20)</f>
        <v>-5.5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-27.5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151</v>
      </c>
      <c r="AZ4" s="40" t="s">
        <v>148</v>
      </c>
      <c r="BA4" s="41" t="s">
        <v>82</v>
      </c>
      <c r="BB4" s="41" t="s">
        <v>79</v>
      </c>
      <c r="BC4" s="41" t="s">
        <v>79</v>
      </c>
      <c r="BD4" s="41" t="s">
        <v>79</v>
      </c>
      <c r="BE4" s="41" t="s">
        <v>80</v>
      </c>
      <c r="BF4" s="41" t="s">
        <v>87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155</v>
      </c>
      <c r="F5" s="8" t="s">
        <v>145</v>
      </c>
      <c r="G5" s="9">
        <v>-8000</v>
      </c>
      <c r="H5" s="9"/>
      <c r="I5" s="48">
        <v>0</v>
      </c>
      <c r="J5" s="21">
        <f t="shared" ref="J5:J30" si="2">IF(COUNTA($F5,$K5,$P5)&gt;0,J4+SUM(G5:I5),"")</f>
        <v>21500</v>
      </c>
      <c r="K5" s="8"/>
      <c r="L5" s="9"/>
      <c r="M5" s="9"/>
      <c r="N5" s="48"/>
      <c r="O5" s="21">
        <f t="shared" ref="O5:O30" si="3">IF(COUNTA($F5,$K5,$P5)&gt;0,O4+SUM(L5:N5),"")</f>
        <v>48000</v>
      </c>
      <c r="P5" s="8" t="s">
        <v>144</v>
      </c>
      <c r="Q5" s="9">
        <v>8000</v>
      </c>
      <c r="R5" s="9"/>
      <c r="S5" s="48">
        <v>0</v>
      </c>
      <c r="T5" s="21">
        <f t="shared" ref="T5:T30" si="4">IF(COUNTA($F5,$K5,$P5)&gt;0,T4+SUM(Q5:S5),"")</f>
        <v>35500</v>
      </c>
      <c r="U5" s="53">
        <f>IF($J5="","",ROUND(($J5-$J$3)/1000,1)+(_xlfn.RANK.AVG($J5,($J5,$O5,$T5),1)-2)*20)</f>
        <v>-33.5</v>
      </c>
      <c r="V5" s="54">
        <f>IF($O5="","",ROUND(($O5-$O$3)/1000,1)+(_xlfn.RANK.AVG($O5,($J5,$O5,$T5),1)-2)*20)</f>
        <v>33</v>
      </c>
      <c r="W5" s="55">
        <f>IF($T5="","",ROUND(($T5-$T$3)/1000,1)+(_xlfn.RANK.AVG($T5,($J5,$O5,$T5),1)-2)*20)</f>
        <v>0.5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151</v>
      </c>
      <c r="BU5" s="40" t="s">
        <v>85</v>
      </c>
      <c r="BV5" s="41" t="s">
        <v>102</v>
      </c>
      <c r="BW5" s="41" t="s">
        <v>150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157</v>
      </c>
      <c r="F6" s="8" t="s">
        <v>146</v>
      </c>
      <c r="G6" s="9">
        <v>-800</v>
      </c>
      <c r="H6" s="9">
        <v>-1000</v>
      </c>
      <c r="I6" s="48">
        <v>0</v>
      </c>
      <c r="J6" s="21">
        <f t="shared" si="2"/>
        <v>19700</v>
      </c>
      <c r="K6" s="8" t="s">
        <v>146</v>
      </c>
      <c r="L6" s="9">
        <v>-1300</v>
      </c>
      <c r="M6" s="9"/>
      <c r="N6" s="48">
        <v>0</v>
      </c>
      <c r="O6" s="21">
        <f t="shared" si="3"/>
        <v>46700</v>
      </c>
      <c r="P6" s="8" t="s">
        <v>147</v>
      </c>
      <c r="Q6" s="9">
        <v>2100</v>
      </c>
      <c r="R6" s="9">
        <v>1000</v>
      </c>
      <c r="S6" s="48">
        <v>0</v>
      </c>
      <c r="T6" s="21">
        <f t="shared" si="4"/>
        <v>38600</v>
      </c>
      <c r="U6" s="53">
        <f>IF($J6="","",ROUND(($J6-$J$3)/1000,1)+(_xlfn.RANK.AVG($J6,($J6,$O6,$T6),1)-2)*20)</f>
        <v>-35.299999999999997</v>
      </c>
      <c r="V6" s="54">
        <f>IF($O6="","",ROUND(($O6-$O$3)/1000,1)+(_xlfn.RANK.AVG($O6,($J6,$O6,$T6),1)-2)*20)</f>
        <v>31.7</v>
      </c>
      <c r="W6" s="55">
        <f>IF($T6="","",ROUND(($T6-$T$3)/1000,1)+(_xlfn.RANK.AVG($T6,($J6,$O6,$T6),1)-2)*20)</f>
        <v>3.6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150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159</v>
      </c>
      <c r="F7" s="8" t="s">
        <v>154</v>
      </c>
      <c r="G7" s="9">
        <v>3000</v>
      </c>
      <c r="H7" s="9"/>
      <c r="I7" s="48"/>
      <c r="J7" s="21">
        <f t="shared" si="2"/>
        <v>22700</v>
      </c>
      <c r="K7" s="8" t="s">
        <v>154</v>
      </c>
      <c r="L7" s="9">
        <v>-1500</v>
      </c>
      <c r="M7" s="9"/>
      <c r="N7" s="48"/>
      <c r="O7" s="21">
        <f t="shared" si="3"/>
        <v>45200</v>
      </c>
      <c r="P7" s="8" t="s">
        <v>154</v>
      </c>
      <c r="Q7" s="9">
        <v>-1500</v>
      </c>
      <c r="R7" s="9"/>
      <c r="S7" s="48"/>
      <c r="T7" s="21">
        <f t="shared" si="4"/>
        <v>37100</v>
      </c>
      <c r="U7" s="53">
        <f>IF($J7="","",ROUND(($J7-$J$3)/1000,1)+(_xlfn.RANK.AVG($J7,($J7,$O7,$T7),1)-2)*20)</f>
        <v>-32.299999999999997</v>
      </c>
      <c r="V7" s="54">
        <f>IF($O7="","",ROUND(($O7-$O$3)/1000,1)+(_xlfn.RANK.AVG($O7,($J7,$O7,$T7),1)-2)*20)</f>
        <v>30.2</v>
      </c>
      <c r="W7" s="55">
        <f>IF($T7="","",ROUND(($T7-$T$3)/1000,1)+(_xlfn.RANK.AVG($T7,($J7,$O7,$T7),1)-2)*20)</f>
        <v>2.1</v>
      </c>
      <c r="Y7" s="8" t="s">
        <v>152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153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153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155</v>
      </c>
      <c r="F8" s="8"/>
      <c r="G8" s="9"/>
      <c r="H8" s="9"/>
      <c r="I8" s="48"/>
      <c r="J8" s="21">
        <f t="shared" si="2"/>
        <v>22700</v>
      </c>
      <c r="K8" s="8" t="s">
        <v>145</v>
      </c>
      <c r="L8" s="9">
        <v>-2000</v>
      </c>
      <c r="M8" s="9"/>
      <c r="N8" s="48">
        <v>-1000</v>
      </c>
      <c r="O8" s="21">
        <f t="shared" si="3"/>
        <v>42200</v>
      </c>
      <c r="P8" s="8" t="s">
        <v>144</v>
      </c>
      <c r="Q8" s="9">
        <v>2000</v>
      </c>
      <c r="R8" s="9"/>
      <c r="S8" s="48">
        <v>1000</v>
      </c>
      <c r="T8" s="21">
        <f t="shared" si="4"/>
        <v>40100</v>
      </c>
      <c r="U8" s="53">
        <f>IF($J8="","",ROUND(($J8-$J$3)/1000,1)+(_xlfn.RANK.AVG($J8,($J8,$O8,$T8),1)-2)*20)</f>
        <v>-32.299999999999997</v>
      </c>
      <c r="V8" s="54">
        <f>IF($O8="","",ROUND(($O8-$O$3)/1000,1)+(_xlfn.RANK.AVG($O8,($J8,$O8,$T8),1)-2)*20)</f>
        <v>27.2</v>
      </c>
      <c r="W8" s="55">
        <f>IF($T8="","",ROUND(($T8-$T$3)/1000,1)+(_xlfn.RANK.AVG($T8,($J8,$O8,$T8),1)-2)*20)</f>
        <v>5.0999999999999996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157</v>
      </c>
      <c r="F9" s="8" t="s">
        <v>145</v>
      </c>
      <c r="G9" s="9">
        <v>-2000</v>
      </c>
      <c r="H9" s="9"/>
      <c r="I9" s="48">
        <v>0</v>
      </c>
      <c r="J9" s="21">
        <f t="shared" si="2"/>
        <v>20700</v>
      </c>
      <c r="K9" s="8"/>
      <c r="L9" s="9"/>
      <c r="M9" s="9"/>
      <c r="N9" s="48"/>
      <c r="O9" s="21">
        <f t="shared" si="3"/>
        <v>42200</v>
      </c>
      <c r="P9" s="8" t="s">
        <v>144</v>
      </c>
      <c r="Q9" s="9">
        <v>2000</v>
      </c>
      <c r="R9" s="9"/>
      <c r="S9" s="48">
        <v>0</v>
      </c>
      <c r="T9" s="21">
        <f t="shared" si="4"/>
        <v>42100</v>
      </c>
      <c r="U9" s="53">
        <f>IF($J9="","",ROUND(($J9-$J$3)/1000,1)+(_xlfn.RANK.AVG($J9,($J9,$O9,$T9),1)-2)*20)</f>
        <v>-34.299999999999997</v>
      </c>
      <c r="V9" s="54">
        <f>IF($O9="","",ROUND(($O9-$O$3)/1000,1)+(_xlfn.RANK.AVG($O9,($J9,$O9,$T9),1)-2)*20)</f>
        <v>27.2</v>
      </c>
      <c r="W9" s="55">
        <f>IF($T9="","",ROUND(($T9-$T$3)/1000,1)+(_xlfn.RANK.AVG($T9,($J9,$O9,$T9),1)-2)*20)</f>
        <v>7.1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30</v>
      </c>
      <c r="BU9" s="40" t="s">
        <v>83</v>
      </c>
      <c r="BV9" s="41" t="s">
        <v>85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C603F4DB-815E-4D80-9774-71AF72045BED}">
      <formula1>"ロン,ツモ,放銃,ツモ支払,流局,チョンボ"</formula1>
    </dataValidation>
    <dataValidation type="list" allowBlank="1" showInputMessage="1" showErrorMessage="1" sqref="E4:E30" xr:uid="{01FC3F01-4B32-410F-B896-91C2C648E32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13D8F-BC00-4F3E-A818-3D9724A0288C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132" t="s">
        <v>0</v>
      </c>
      <c r="B1" s="134" t="s">
        <v>2</v>
      </c>
      <c r="C1" s="134" t="s">
        <v>1</v>
      </c>
      <c r="D1" s="134" t="s">
        <v>21</v>
      </c>
      <c r="E1" s="136" t="s">
        <v>3</v>
      </c>
      <c r="F1" s="128" t="s">
        <v>156</v>
      </c>
      <c r="G1" s="129"/>
      <c r="H1" s="129"/>
      <c r="I1" s="130"/>
      <c r="J1" s="131"/>
      <c r="K1" s="128" t="s">
        <v>139</v>
      </c>
      <c r="L1" s="129"/>
      <c r="M1" s="129"/>
      <c r="N1" s="130"/>
      <c r="O1" s="131"/>
      <c r="P1" s="128" t="s">
        <v>160</v>
      </c>
      <c r="Q1" s="129"/>
      <c r="R1" s="129"/>
      <c r="S1" s="130"/>
      <c r="T1" s="131"/>
      <c r="U1" s="128" t="s">
        <v>6</v>
      </c>
      <c r="V1" s="129"/>
      <c r="W1" s="131"/>
      <c r="Y1" s="128" t="str">
        <f>F1</f>
        <v>ただ</v>
      </c>
      <c r="Z1" s="13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31"/>
      <c r="AT1" s="128" t="str">
        <f>K1</f>
        <v>だいち</v>
      </c>
      <c r="AU1" s="13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31"/>
      <c r="BO1" s="128" t="str">
        <f>P1</f>
        <v>たかの</v>
      </c>
      <c r="BP1" s="13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31"/>
    </row>
    <row r="2" spans="1:87" x14ac:dyDescent="0.4">
      <c r="A2" s="133"/>
      <c r="B2" s="135"/>
      <c r="C2" s="135"/>
      <c r="D2" s="135"/>
      <c r="E2" s="137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138" t="s">
        <v>20</v>
      </c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138" t="s">
        <v>20</v>
      </c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138" t="s">
        <v>20</v>
      </c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155</v>
      </c>
      <c r="F4" s="8" t="s">
        <v>145</v>
      </c>
      <c r="G4" s="9">
        <v>-6400</v>
      </c>
      <c r="H4" s="9"/>
      <c r="I4" s="48">
        <v>0</v>
      </c>
      <c r="J4" s="21">
        <f>IF(COUNTA($F4,$K4,$P4)&gt;0,J3+SUM(G4:I4),"")</f>
        <v>28600</v>
      </c>
      <c r="K4" s="8"/>
      <c r="L4" s="9"/>
      <c r="M4" s="9"/>
      <c r="N4" s="48"/>
      <c r="O4" s="21">
        <f>IF(COUNTA($F4,$K4,$P4)&gt;0,O3+SUM(L4:N4),"")</f>
        <v>35000</v>
      </c>
      <c r="P4" s="8" t="s">
        <v>144</v>
      </c>
      <c r="Q4" s="9">
        <v>6400</v>
      </c>
      <c r="R4" s="9"/>
      <c r="S4" s="48">
        <v>0</v>
      </c>
      <c r="T4" s="21">
        <f>IF(COUNTA($F4,$K4,$P4)&gt;0,T3+SUM(Q4:S4),"")</f>
        <v>41400</v>
      </c>
      <c r="U4" s="53">
        <f>IF($J4="","",ROUND(($J4-$J$3)/1000,1)+(_xlfn.RANK.AVG($J4,($J4,$O4,$T4),1)-2)*20)</f>
        <v>-26.4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26.4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50</v>
      </c>
      <c r="BU4" s="40" t="s">
        <v>148</v>
      </c>
      <c r="BV4" s="41" t="s">
        <v>80</v>
      </c>
      <c r="BW4" s="41" t="s">
        <v>150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138</v>
      </c>
      <c r="F5" s="8"/>
      <c r="G5" s="9"/>
      <c r="H5" s="9"/>
      <c r="I5" s="48"/>
      <c r="J5" s="21">
        <f t="shared" ref="J5:J30" si="2">IF(COUNTA($F5,$K5,$P5)&gt;0,J4+SUM(G5:I5),"")</f>
        <v>28600</v>
      </c>
      <c r="K5" s="8" t="s">
        <v>144</v>
      </c>
      <c r="L5" s="9">
        <v>12000</v>
      </c>
      <c r="M5" s="9"/>
      <c r="N5" s="48">
        <v>0</v>
      </c>
      <c r="O5" s="21">
        <f t="shared" ref="O5:O30" si="3">IF(COUNTA($F5,$K5,$P5)&gt;0,O4+SUM(L5:N5),"")</f>
        <v>47000</v>
      </c>
      <c r="P5" s="8" t="s">
        <v>145</v>
      </c>
      <c r="Q5" s="9">
        <v>-12000</v>
      </c>
      <c r="R5" s="9"/>
      <c r="S5" s="48">
        <v>0</v>
      </c>
      <c r="T5" s="21">
        <f t="shared" ref="T5:T30" si="4">IF(COUNTA($F5,$K5,$P5)&gt;0,T4+SUM(Q5:S5),"")</f>
        <v>29400</v>
      </c>
      <c r="U5" s="53">
        <f>IF($J5="","",ROUND(($J5-$J$3)/1000,1)+(_xlfn.RANK.AVG($J5,($J5,$O5,$T5),1)-2)*20)</f>
        <v>-26.4</v>
      </c>
      <c r="V5" s="54">
        <f>IF($O5="","",ROUND(($O5-$O$3)/1000,1)+(_xlfn.RANK.AVG($O5,($J5,$O5,$T5),1)-2)*20)</f>
        <v>32</v>
      </c>
      <c r="W5" s="55">
        <f>IF($T5="","",ROUND(($T5-$T$3)/1000,1)+(_xlfn.RANK.AVG($T5,($J5,$O5,$T5),1)-2)*20)</f>
        <v>-5.6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148</v>
      </c>
      <c r="BA5" s="41" t="s">
        <v>79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138</v>
      </c>
      <c r="F6" s="8" t="s">
        <v>145</v>
      </c>
      <c r="G6" s="9">
        <v>-8000</v>
      </c>
      <c r="H6" s="9"/>
      <c r="I6" s="48">
        <v>-1000</v>
      </c>
      <c r="J6" s="21">
        <f t="shared" si="2"/>
        <v>19600</v>
      </c>
      <c r="K6" s="8"/>
      <c r="L6" s="9"/>
      <c r="M6" s="9"/>
      <c r="N6" s="48"/>
      <c r="O6" s="21">
        <f t="shared" si="3"/>
        <v>47000</v>
      </c>
      <c r="P6" s="8" t="s">
        <v>144</v>
      </c>
      <c r="Q6" s="9">
        <v>8000</v>
      </c>
      <c r="R6" s="9"/>
      <c r="S6" s="48">
        <v>1000</v>
      </c>
      <c r="T6" s="21">
        <f t="shared" si="4"/>
        <v>38400</v>
      </c>
      <c r="U6" s="53">
        <f>IF($J6="","",ROUND(($J6-$J$3)/1000,1)+(_xlfn.RANK.AVG($J6,($J6,$O6,$T6),1)-2)*20)</f>
        <v>-35.4</v>
      </c>
      <c r="V6" s="54">
        <f>IF($O6="","",ROUND(($O6-$O$3)/1000,1)+(_xlfn.RANK.AVG($O6,($J6,$O6,$T6),1)-2)*20)</f>
        <v>32</v>
      </c>
      <c r="W6" s="55">
        <f>IF($T6="","",ROUND(($T6-$T$3)/1000,1)+(_xlfn.RANK.AVG($T6,($J6,$O6,$T6),1)-2)*20)</f>
        <v>3.4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148</v>
      </c>
      <c r="BV6" s="41" t="s">
        <v>149</v>
      </c>
      <c r="BW6" s="41" t="s">
        <v>150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159</v>
      </c>
      <c r="F7" s="8"/>
      <c r="G7" s="9"/>
      <c r="H7" s="9"/>
      <c r="I7" s="48"/>
      <c r="J7" s="21">
        <f t="shared" si="2"/>
        <v>19600</v>
      </c>
      <c r="K7" s="8" t="s">
        <v>144</v>
      </c>
      <c r="L7" s="9">
        <v>8000</v>
      </c>
      <c r="M7" s="9"/>
      <c r="N7" s="48">
        <v>0</v>
      </c>
      <c r="O7" s="21">
        <f t="shared" si="3"/>
        <v>55000</v>
      </c>
      <c r="P7" s="8" t="s">
        <v>145</v>
      </c>
      <c r="Q7" s="9">
        <v>-8000</v>
      </c>
      <c r="R7" s="9"/>
      <c r="S7" s="48">
        <v>0</v>
      </c>
      <c r="T7" s="21">
        <f t="shared" si="4"/>
        <v>30400</v>
      </c>
      <c r="U7" s="53">
        <f>IF($J7="","",ROUND(($J7-$J$3)/1000,1)+(_xlfn.RANK.AVG($J7,($J7,$O7,$T7),1)-2)*20)</f>
        <v>-35.4</v>
      </c>
      <c r="V7" s="54">
        <f>IF($O7="","",ROUND(($O7-$O$3)/1000,1)+(_xlfn.RANK.AVG($O7,($J7,$O7,$T7),1)-2)*20)</f>
        <v>40</v>
      </c>
      <c r="W7" s="55">
        <f>IF($T7="","",ROUND(($T7-$T$3)/1000,1)+(_xlfn.RANK.AVG($T7,($J7,$O7,$T7),1)-2)*20)</f>
        <v>-4.5999999999999996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151</v>
      </c>
      <c r="AZ7" s="40" t="s">
        <v>148</v>
      </c>
      <c r="BA7" s="41" t="s">
        <v>149</v>
      </c>
      <c r="BB7" s="41" t="s">
        <v>84</v>
      </c>
      <c r="BC7" s="41" t="s">
        <v>83</v>
      </c>
      <c r="BD7" s="41" t="s">
        <v>85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155</v>
      </c>
      <c r="F8" s="8" t="s">
        <v>146</v>
      </c>
      <c r="G8" s="9">
        <v>-10000</v>
      </c>
      <c r="H8" s="9"/>
      <c r="I8" s="48">
        <v>0</v>
      </c>
      <c r="J8" s="21">
        <f t="shared" si="2"/>
        <v>9600</v>
      </c>
      <c r="K8" s="8" t="s">
        <v>147</v>
      </c>
      <c r="L8" s="9">
        <v>16000</v>
      </c>
      <c r="M8" s="9"/>
      <c r="N8" s="48">
        <v>0</v>
      </c>
      <c r="O8" s="21">
        <f t="shared" si="3"/>
        <v>71000</v>
      </c>
      <c r="P8" s="8" t="s">
        <v>146</v>
      </c>
      <c r="Q8" s="9">
        <v>-6000</v>
      </c>
      <c r="R8" s="9"/>
      <c r="S8" s="48">
        <v>0</v>
      </c>
      <c r="T8" s="21">
        <f t="shared" si="4"/>
        <v>24400</v>
      </c>
      <c r="U8" s="53">
        <f>IF($J8="","",ROUND(($J8-$J$3)/1000,1)+(_xlfn.RANK.AVG($J8,($J8,$O8,$T8),1)-2)*20)</f>
        <v>-45.4</v>
      </c>
      <c r="V8" s="54">
        <f>IF($O8="","",ROUND(($O8-$O$3)/1000,1)+(_xlfn.RANK.AVG($O8,($J8,$O8,$T8),1)-2)*20)</f>
        <v>56</v>
      </c>
      <c r="W8" s="55">
        <f>IF($T8="","",ROUND(($T8-$T$3)/1000,1)+(_xlfn.RANK.AVG($T8,($J8,$O8,$T8),1)-2)*20)</f>
        <v>-10.6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8</v>
      </c>
      <c r="AY8" s="30" t="s">
        <v>151</v>
      </c>
      <c r="AZ8" s="40" t="s">
        <v>148</v>
      </c>
      <c r="BA8" s="41" t="s">
        <v>82</v>
      </c>
      <c r="BB8" s="41" t="s">
        <v>79</v>
      </c>
      <c r="BC8" s="41" t="s">
        <v>79</v>
      </c>
      <c r="BD8" s="41" t="s">
        <v>80</v>
      </c>
      <c r="BE8" s="41" t="s">
        <v>80</v>
      </c>
      <c r="BF8" s="41" t="s">
        <v>80</v>
      </c>
      <c r="BG8" s="41" t="s">
        <v>80</v>
      </c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146</v>
      </c>
      <c r="G9" s="9">
        <v>-1500</v>
      </c>
      <c r="H9" s="9"/>
      <c r="I9" s="48">
        <v>0</v>
      </c>
      <c r="J9" s="21">
        <f t="shared" si="2"/>
        <v>8100</v>
      </c>
      <c r="K9" s="8" t="s">
        <v>146</v>
      </c>
      <c r="L9" s="9">
        <v>-2500</v>
      </c>
      <c r="M9" s="9"/>
      <c r="N9" s="48">
        <v>0</v>
      </c>
      <c r="O9" s="21">
        <f t="shared" si="3"/>
        <v>68500</v>
      </c>
      <c r="P9" s="8" t="s">
        <v>147</v>
      </c>
      <c r="Q9" s="9">
        <v>4000</v>
      </c>
      <c r="R9" s="9"/>
      <c r="S9" s="48">
        <v>0</v>
      </c>
      <c r="T9" s="21">
        <f t="shared" si="4"/>
        <v>28400</v>
      </c>
      <c r="U9" s="53">
        <f>IF($J9="","",ROUND(($J9-$J$3)/1000,1)+(_xlfn.RANK.AVG($J9,($J9,$O9,$T9),1)-2)*20)</f>
        <v>-46.9</v>
      </c>
      <c r="V9" s="54">
        <f>IF($O9="","",ROUND(($O9-$O$3)/1000,1)+(_xlfn.RANK.AVG($O9,($J9,$O9,$T9),1)-2)*20)</f>
        <v>53.5</v>
      </c>
      <c r="W9" s="55">
        <f>IF($T9="","",ROUND(($T9-$T$3)/1000,1)+(_xlfn.RANK.AVG($T9,($J9,$O9,$T9),1)-2)*20)</f>
        <v>-6.6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148</v>
      </c>
      <c r="BV9" s="41" t="s">
        <v>82</v>
      </c>
      <c r="BW9" s="41" t="s">
        <v>150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159</v>
      </c>
      <c r="F10" s="8" t="s">
        <v>144</v>
      </c>
      <c r="G10" s="9">
        <v>8000</v>
      </c>
      <c r="H10" s="9"/>
      <c r="I10" s="48">
        <v>0</v>
      </c>
      <c r="J10" s="21">
        <f t="shared" si="2"/>
        <v>16100</v>
      </c>
      <c r="K10" s="8"/>
      <c r="L10" s="9"/>
      <c r="M10" s="9"/>
      <c r="N10" s="48"/>
      <c r="O10" s="21">
        <f t="shared" si="3"/>
        <v>68500</v>
      </c>
      <c r="P10" s="8" t="s">
        <v>145</v>
      </c>
      <c r="Q10" s="9">
        <v>-8000</v>
      </c>
      <c r="R10" s="9"/>
      <c r="S10" s="48">
        <v>0</v>
      </c>
      <c r="T10" s="21">
        <f t="shared" si="4"/>
        <v>20400</v>
      </c>
      <c r="U10" s="53">
        <f>IF($J10="","",ROUND(($J10-$J$3)/1000,1)+(_xlfn.RANK.AVG($J10,($J10,$O10,$T10),1)-2)*20)</f>
        <v>-38.9</v>
      </c>
      <c r="V10" s="54">
        <f>IF($O10="","",ROUND(($O10-$O$3)/1000,1)+(_xlfn.RANK.AVG($O10,($J10,$O10,$T10),1)-2)*20)</f>
        <v>53.5</v>
      </c>
      <c r="W10" s="55">
        <f>IF($T10="","",ROUND(($T10-$T$3)/1000,1)+(_xlfn.RANK.AVG($T10,($J10,$O10,$T10),1)-2)*20)</f>
        <v>-14.6</v>
      </c>
      <c r="Y10" s="8"/>
      <c r="Z10" s="34"/>
      <c r="AA10" s="26">
        <v>1</v>
      </c>
      <c r="AB10" s="26"/>
      <c r="AC10" s="26">
        <v>5</v>
      </c>
      <c r="AD10" s="30" t="s">
        <v>151</v>
      </c>
      <c r="AE10" s="40" t="s">
        <v>148</v>
      </c>
      <c r="AF10" s="41" t="s">
        <v>83</v>
      </c>
      <c r="AG10" s="41" t="s">
        <v>79</v>
      </c>
      <c r="AH10" s="41" t="s">
        <v>150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B16989A-9A7A-4313-B579-D29A520B3D19}">
      <formula1>$U$2:$W$2</formula1>
    </dataValidation>
    <dataValidation type="list" showInputMessage="1" showErrorMessage="1" sqref="K4:K30 P4:P30 F4:F30" xr:uid="{5DD48B99-7657-4454-A4CE-A4FEB55E099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C6BC-8D25-47AF-A98D-4E3CE82C318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132" t="s">
        <v>0</v>
      </c>
      <c r="B1" s="134" t="s">
        <v>2</v>
      </c>
      <c r="C1" s="134" t="s">
        <v>1</v>
      </c>
      <c r="D1" s="134" t="s">
        <v>21</v>
      </c>
      <c r="E1" s="136" t="s">
        <v>3</v>
      </c>
      <c r="F1" s="128" t="s">
        <v>156</v>
      </c>
      <c r="G1" s="129"/>
      <c r="H1" s="129"/>
      <c r="I1" s="130"/>
      <c r="J1" s="131"/>
      <c r="K1" s="128" t="s">
        <v>139</v>
      </c>
      <c r="L1" s="129"/>
      <c r="M1" s="129"/>
      <c r="N1" s="130"/>
      <c r="O1" s="131"/>
      <c r="P1" s="128" t="s">
        <v>160</v>
      </c>
      <c r="Q1" s="129"/>
      <c r="R1" s="129"/>
      <c r="S1" s="130"/>
      <c r="T1" s="131"/>
      <c r="U1" s="128" t="s">
        <v>6</v>
      </c>
      <c r="V1" s="129"/>
      <c r="W1" s="131"/>
      <c r="Y1" s="128" t="str">
        <f>F1</f>
        <v>ただ</v>
      </c>
      <c r="Z1" s="139"/>
      <c r="AA1" s="129"/>
      <c r="AB1" s="129"/>
      <c r="AC1" s="129"/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31"/>
      <c r="AT1" s="128" t="str">
        <f>K1</f>
        <v>だいち</v>
      </c>
      <c r="AU1" s="139"/>
      <c r="AV1" s="129"/>
      <c r="AW1" s="129"/>
      <c r="AX1" s="129"/>
      <c r="AY1" s="129"/>
      <c r="AZ1" s="129"/>
      <c r="BA1" s="129"/>
      <c r="BB1" s="129"/>
      <c r="BC1" s="129"/>
      <c r="BD1" s="129"/>
      <c r="BE1" s="129"/>
      <c r="BF1" s="129"/>
      <c r="BG1" s="129"/>
      <c r="BH1" s="129"/>
      <c r="BI1" s="129"/>
      <c r="BJ1" s="129"/>
      <c r="BK1" s="129"/>
      <c r="BL1" s="129"/>
      <c r="BM1" s="129"/>
      <c r="BN1" s="131"/>
      <c r="BO1" s="128" t="str">
        <f>P1</f>
        <v>たかの</v>
      </c>
      <c r="BP1" s="139"/>
      <c r="BQ1" s="129"/>
      <c r="BR1" s="129"/>
      <c r="BS1" s="129"/>
      <c r="BT1" s="129"/>
      <c r="BU1" s="129"/>
      <c r="BV1" s="129"/>
      <c r="BW1" s="129"/>
      <c r="BX1" s="129"/>
      <c r="BY1" s="129"/>
      <c r="BZ1" s="129"/>
      <c r="CA1" s="129"/>
      <c r="CB1" s="129"/>
      <c r="CC1" s="129"/>
      <c r="CD1" s="129"/>
      <c r="CE1" s="129"/>
      <c r="CF1" s="129"/>
      <c r="CG1" s="129"/>
      <c r="CH1" s="129"/>
      <c r="CI1" s="131"/>
    </row>
    <row r="2" spans="1:87" x14ac:dyDescent="0.4">
      <c r="A2" s="133"/>
      <c r="B2" s="135"/>
      <c r="C2" s="135"/>
      <c r="D2" s="135"/>
      <c r="E2" s="137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138" t="s">
        <v>20</v>
      </c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138" t="s">
        <v>20</v>
      </c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138" t="s">
        <v>20</v>
      </c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/>
      <c r="I4" s="48"/>
      <c r="J4" s="21">
        <f>IF(COUNTA($F4,$K4,$P4)&gt;0,J3+SUM(G4:I4),"")</f>
        <v>35000</v>
      </c>
      <c r="K4" s="8" t="s">
        <v>145</v>
      </c>
      <c r="L4" s="9">
        <v>-7700</v>
      </c>
      <c r="M4" s="9"/>
      <c r="N4" s="48">
        <v>0</v>
      </c>
      <c r="O4" s="21">
        <f>IF(COUNTA($F4,$K4,$P4)&gt;0,O3+SUM(L4:N4),"")</f>
        <v>27300</v>
      </c>
      <c r="P4" s="8" t="s">
        <v>144</v>
      </c>
      <c r="Q4" s="9">
        <v>7700</v>
      </c>
      <c r="R4" s="9"/>
      <c r="S4" s="48">
        <v>0</v>
      </c>
      <c r="T4" s="21">
        <f>IF(COUNTA($F4,$K4,$P4)&gt;0,T3+SUM(Q4:S4),"")</f>
        <v>42700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-27.7</v>
      </c>
      <c r="W4" s="55">
        <f>IF($T4="","",ROUND(($T4-$T$3)/1000,1)+(_xlfn.RANK.AVG($T4,($J4,$O4,$T4),1)-2)*20)</f>
        <v>27.7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4</v>
      </c>
      <c r="BT4" s="30">
        <v>30</v>
      </c>
      <c r="BU4" s="40" t="s">
        <v>83</v>
      </c>
      <c r="BV4" s="41" t="s">
        <v>150</v>
      </c>
      <c r="BW4" s="41" t="s">
        <v>79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159</v>
      </c>
      <c r="F5" s="8" t="s">
        <v>147</v>
      </c>
      <c r="G5" s="9">
        <v>12000</v>
      </c>
      <c r="H5" s="9"/>
      <c r="I5" s="48">
        <v>0</v>
      </c>
      <c r="J5" s="21">
        <f t="shared" ref="J5:J30" si="2">IF(COUNTA($F5,$K5,$P5)&gt;0,J4+SUM(G5:I5),"")</f>
        <v>47000</v>
      </c>
      <c r="K5" s="8" t="s">
        <v>146</v>
      </c>
      <c r="L5" s="9">
        <v>-4500</v>
      </c>
      <c r="M5" s="9"/>
      <c r="N5" s="48">
        <v>0</v>
      </c>
      <c r="O5" s="21">
        <f t="shared" ref="O5:O30" si="3">IF(COUNTA($F5,$K5,$P5)&gt;0,O4+SUM(L5:N5),"")</f>
        <v>22800</v>
      </c>
      <c r="P5" s="8" t="s">
        <v>146</v>
      </c>
      <c r="Q5" s="9">
        <v>-7500</v>
      </c>
      <c r="R5" s="9"/>
      <c r="S5" s="48">
        <v>0</v>
      </c>
      <c r="T5" s="21">
        <f t="shared" ref="T5:T30" si="4">IF(COUNTA($F5,$K5,$P5)&gt;0,T4+SUM(Q5:S5),"")</f>
        <v>35200</v>
      </c>
      <c r="U5" s="53">
        <f>IF($J5="","",ROUND(($J5-$J$3)/1000,1)+(_xlfn.RANK.AVG($J5,($J5,$O5,$T5),1)-2)*20)</f>
        <v>32</v>
      </c>
      <c r="V5" s="54">
        <f>IF($O5="","",ROUND(($O5-$O$3)/1000,1)+(_xlfn.RANK.AVG($O5,($J5,$O5,$T5),1)-2)*20)</f>
        <v>-32.200000000000003</v>
      </c>
      <c r="W5" s="55">
        <f>IF($T5="","",ROUND(($T5-$T$3)/1000,1)+(_xlfn.RANK.AVG($T5,($J5,$O5,$T5),1)-2)*20)</f>
        <v>0.2</v>
      </c>
      <c r="Y5" s="8"/>
      <c r="Z5" s="34"/>
      <c r="AA5" s="26">
        <v>1</v>
      </c>
      <c r="AB5" s="26"/>
      <c r="AC5" s="26">
        <v>7</v>
      </c>
      <c r="AD5" s="30" t="s">
        <v>151</v>
      </c>
      <c r="AE5" s="40" t="s">
        <v>148</v>
      </c>
      <c r="AF5" s="41" t="s">
        <v>82</v>
      </c>
      <c r="AG5" s="41" t="s">
        <v>79</v>
      </c>
      <c r="AH5" s="41" t="s">
        <v>80</v>
      </c>
      <c r="AI5" s="41" t="s">
        <v>80</v>
      </c>
      <c r="AJ5" s="41" t="s">
        <v>86</v>
      </c>
      <c r="AK5" s="41" t="s">
        <v>150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155</v>
      </c>
      <c r="F6" s="8" t="s">
        <v>154</v>
      </c>
      <c r="G6" s="9">
        <v>-1500</v>
      </c>
      <c r="H6" s="9"/>
      <c r="I6" s="48"/>
      <c r="J6" s="21">
        <f t="shared" si="2"/>
        <v>45500</v>
      </c>
      <c r="K6" s="8" t="s">
        <v>154</v>
      </c>
      <c r="L6" s="9">
        <v>3000</v>
      </c>
      <c r="M6" s="9"/>
      <c r="N6" s="48"/>
      <c r="O6" s="21">
        <f t="shared" si="3"/>
        <v>25800</v>
      </c>
      <c r="P6" s="8" t="s">
        <v>154</v>
      </c>
      <c r="Q6" s="9">
        <v>-1500</v>
      </c>
      <c r="R6" s="9"/>
      <c r="S6" s="48"/>
      <c r="T6" s="21">
        <f t="shared" si="4"/>
        <v>33700</v>
      </c>
      <c r="U6" s="53">
        <f>IF($J6="","",ROUND(($J6-$J$3)/1000,1)+(_xlfn.RANK.AVG($J6,($J6,$O6,$T6),1)-2)*20)</f>
        <v>30.5</v>
      </c>
      <c r="V6" s="54">
        <f>IF($O6="","",ROUND(($O6-$O$3)/1000,1)+(_xlfn.RANK.AVG($O6,($J6,$O6,$T6),1)-2)*20)</f>
        <v>-29.2</v>
      </c>
      <c r="W6" s="55">
        <f>IF($T6="","",ROUND(($T6-$T$3)/1000,1)+(_xlfn.RANK.AVG($T6,($J6,$O6,$T6),1)-2)*20)</f>
        <v>-1.3</v>
      </c>
      <c r="Y6" s="8" t="s">
        <v>153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152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153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0</v>
      </c>
      <c r="E7" s="4" t="s">
        <v>138</v>
      </c>
      <c r="F7" s="8" t="s">
        <v>145</v>
      </c>
      <c r="G7" s="9">
        <v>-5800</v>
      </c>
      <c r="H7" s="9"/>
      <c r="I7" s="48">
        <v>-1000</v>
      </c>
      <c r="J7" s="21">
        <f t="shared" si="2"/>
        <v>38700</v>
      </c>
      <c r="K7" s="8" t="s">
        <v>144</v>
      </c>
      <c r="L7" s="9">
        <v>5800</v>
      </c>
      <c r="M7" s="9">
        <v>1000</v>
      </c>
      <c r="N7" s="48">
        <v>1000</v>
      </c>
      <c r="O7" s="21">
        <f t="shared" si="3"/>
        <v>33600</v>
      </c>
      <c r="P7" s="8"/>
      <c r="Q7" s="9"/>
      <c r="R7" s="9">
        <v>-1000</v>
      </c>
      <c r="S7" s="48"/>
      <c r="T7" s="21">
        <f t="shared" si="4"/>
        <v>32700</v>
      </c>
      <c r="U7" s="53">
        <f>IF($J7="","",ROUND(($J7-$J$3)/1000,1)+(_xlfn.RANK.AVG($J7,($J7,$O7,$T7),1)-2)*20)</f>
        <v>23.7</v>
      </c>
      <c r="V7" s="54">
        <f>IF($O7="","",ROUND(($O7-$O$3)/1000,1)+(_xlfn.RANK.AVG($O7,($J7,$O7,$T7),1)-2)*20)</f>
        <v>-1.4</v>
      </c>
      <c r="W7" s="55">
        <f>IF($T7="","",ROUND(($T7-$T$3)/1000,1)+(_xlfn.RANK.AVG($T7,($J7,$O7,$T7),1)-2)*20)</f>
        <v>-22.3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104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0</v>
      </c>
      <c r="E8" s="4" t="s">
        <v>138</v>
      </c>
      <c r="F8" s="8"/>
      <c r="G8" s="9"/>
      <c r="H8" s="9"/>
      <c r="I8" s="48"/>
      <c r="J8" s="21">
        <f t="shared" si="2"/>
        <v>38700</v>
      </c>
      <c r="K8" s="8" t="s">
        <v>144</v>
      </c>
      <c r="L8" s="9">
        <v>1500</v>
      </c>
      <c r="M8" s="9"/>
      <c r="N8" s="48">
        <v>2000</v>
      </c>
      <c r="O8" s="21">
        <f t="shared" si="3"/>
        <v>37100</v>
      </c>
      <c r="P8" s="8" t="s">
        <v>145</v>
      </c>
      <c r="Q8" s="9">
        <v>-1500</v>
      </c>
      <c r="R8" s="9"/>
      <c r="S8" s="48">
        <v>-2000</v>
      </c>
      <c r="T8" s="21">
        <f t="shared" si="4"/>
        <v>29200</v>
      </c>
      <c r="U8" s="53">
        <f>IF($J8="","",ROUND(($J8-$J$3)/1000,1)+(_xlfn.RANK.AVG($J8,($J8,$O8,$T8),1)-2)*20)</f>
        <v>23.7</v>
      </c>
      <c r="V8" s="54">
        <f>IF($O8="","",ROUND(($O8-$O$3)/1000,1)+(_xlfn.RANK.AVG($O8,($J8,$O8,$T8),1)-2)*20)</f>
        <v>2.1</v>
      </c>
      <c r="W8" s="55">
        <f>IF($T8="","",ROUND(($T8-$T$3)/1000,1)+(_xlfn.RANK.AVG($T8,($J8,$O8,$T8),1)-2)*20)</f>
        <v>-25.8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">
        <v>138</v>
      </c>
      <c r="F9" s="8" t="s">
        <v>147</v>
      </c>
      <c r="G9" s="9">
        <v>8000</v>
      </c>
      <c r="H9" s="9"/>
      <c r="I9" s="48">
        <v>3000</v>
      </c>
      <c r="J9" s="21">
        <f t="shared" si="2"/>
        <v>49700</v>
      </c>
      <c r="K9" s="8" t="s">
        <v>146</v>
      </c>
      <c r="L9" s="9">
        <v>-5000</v>
      </c>
      <c r="M9" s="9"/>
      <c r="N9" s="48">
        <v>-1500</v>
      </c>
      <c r="O9" s="21">
        <f t="shared" si="3"/>
        <v>30600</v>
      </c>
      <c r="P9" s="8" t="s">
        <v>146</v>
      </c>
      <c r="Q9" s="9">
        <v>-3000</v>
      </c>
      <c r="R9" s="9"/>
      <c r="S9" s="48">
        <v>-1500</v>
      </c>
      <c r="T9" s="21">
        <f t="shared" si="4"/>
        <v>24700</v>
      </c>
      <c r="U9" s="53">
        <f>IF($J9="","",ROUND(($J9-$J$3)/1000,1)+(_xlfn.RANK.AVG($J9,($J9,$O9,$T9),1)-2)*20)</f>
        <v>34.700000000000003</v>
      </c>
      <c r="V9" s="54">
        <f>IF($O9="","",ROUND(($O9-$O$3)/1000,1)+(_xlfn.RANK.AVG($O9,($J9,$O9,$T9),1)-2)*20)</f>
        <v>-4.4000000000000004</v>
      </c>
      <c r="W9" s="55">
        <f>IF($T9="","",ROUND(($T9-$T$3)/1000,1)+(_xlfn.RANK.AVG($T9,($J9,$O9,$T9),1)-2)*20)</f>
        <v>-30.3</v>
      </c>
      <c r="Y9" s="8"/>
      <c r="Z9" s="34"/>
      <c r="AA9" s="26">
        <v>1</v>
      </c>
      <c r="AB9" s="26"/>
      <c r="AC9" s="26">
        <v>5</v>
      </c>
      <c r="AD9" s="30" t="s">
        <v>151</v>
      </c>
      <c r="AE9" s="40" t="s">
        <v>148</v>
      </c>
      <c r="AF9" s="41" t="s">
        <v>82</v>
      </c>
      <c r="AG9" s="41" t="s">
        <v>80</v>
      </c>
      <c r="AH9" s="41" t="s">
        <v>80</v>
      </c>
      <c r="AI9" s="41" t="s">
        <v>80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159</v>
      </c>
      <c r="F10" s="8" t="s">
        <v>146</v>
      </c>
      <c r="G10" s="9">
        <v>-800</v>
      </c>
      <c r="H10" s="9"/>
      <c r="I10" s="48">
        <v>0</v>
      </c>
      <c r="J10" s="21">
        <f t="shared" si="2"/>
        <v>48900</v>
      </c>
      <c r="K10" s="8" t="s">
        <v>147</v>
      </c>
      <c r="L10" s="9">
        <v>2100</v>
      </c>
      <c r="M10" s="9"/>
      <c r="N10" s="48">
        <v>0</v>
      </c>
      <c r="O10" s="21">
        <f t="shared" si="3"/>
        <v>32700</v>
      </c>
      <c r="P10" s="8" t="s">
        <v>146</v>
      </c>
      <c r="Q10" s="9">
        <v>-1300</v>
      </c>
      <c r="R10" s="9"/>
      <c r="S10" s="48">
        <v>0</v>
      </c>
      <c r="T10" s="21">
        <f t="shared" si="4"/>
        <v>23400</v>
      </c>
      <c r="U10" s="53">
        <f>IF($J10="","",ROUND(($J10-$J$3)/1000,1)+(_xlfn.RANK.AVG($J10,($J10,$O10,$T10),1)-2)*20)</f>
        <v>33.9</v>
      </c>
      <c r="V10" s="54">
        <f>IF($O10="","",ROUND(($O10-$O$3)/1000,1)+(_xlfn.RANK.AVG($O10,($J10,$O10,$T10),1)-2)*20)</f>
        <v>-2.2999999999999998</v>
      </c>
      <c r="W10" s="55">
        <f>IF($T10="","",ROUND(($T10-$T$3)/1000,1)+(_xlfn.RANK.AVG($T10,($J10,$O10,$T10),1)-2)*20)</f>
        <v>-31.6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155</v>
      </c>
      <c r="F11" s="8" t="s">
        <v>146</v>
      </c>
      <c r="G11" s="9">
        <v>-3300</v>
      </c>
      <c r="H11" s="9"/>
      <c r="I11" s="48">
        <v>0</v>
      </c>
      <c r="J11" s="21">
        <f t="shared" si="2"/>
        <v>45600</v>
      </c>
      <c r="K11" s="8" t="s">
        <v>147</v>
      </c>
      <c r="L11" s="9">
        <v>5300</v>
      </c>
      <c r="M11" s="9"/>
      <c r="N11" s="48">
        <v>0</v>
      </c>
      <c r="O11" s="21">
        <f t="shared" si="3"/>
        <v>38000</v>
      </c>
      <c r="P11" s="8" t="s">
        <v>146</v>
      </c>
      <c r="Q11" s="9">
        <v>-2000</v>
      </c>
      <c r="R11" s="9"/>
      <c r="S11" s="48">
        <v>0</v>
      </c>
      <c r="T11" s="21">
        <f t="shared" si="4"/>
        <v>21400</v>
      </c>
      <c r="U11" s="53">
        <f>IF($J11="","",ROUND(($J11-$J$3)/1000,1)+(_xlfn.RANK.AVG($J11,($J11,$O11,$T11),1)-2)*20)</f>
        <v>30.6</v>
      </c>
      <c r="V11" s="54">
        <f>IF($O11="","",ROUND(($O11-$O$3)/1000,1)+(_xlfn.RANK.AVG($O11,($J11,$O11,$T11),1)-2)*20)</f>
        <v>3</v>
      </c>
      <c r="W11" s="55">
        <f>IF($T11="","",ROUND(($T11-$T$3)/1000,1)+(_xlfn.RANK.AVG($T11,($J11,$O11,$T11),1)-2)*20)</f>
        <v>-33.6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20</v>
      </c>
      <c r="AZ11" s="40" t="s">
        <v>161</v>
      </c>
      <c r="BA11" s="41" t="s">
        <v>82</v>
      </c>
      <c r="BB11" s="41" t="s">
        <v>83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7A20D40B-8788-4CCF-9512-D625D6F365BA}">
      <formula1>"ロン,ツモ,放銃,ツモ支払,流局,チョンボ"</formula1>
    </dataValidation>
    <dataValidation type="list" allowBlank="1" showInputMessage="1" showErrorMessage="1" sqref="E4:E30" xr:uid="{1E02477B-309B-4270-8EB1-96D543C942C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2019-05-16T17:32:16Z</dcterms:modified>
</cp:coreProperties>
</file>