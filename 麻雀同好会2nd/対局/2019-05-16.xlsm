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D1556692-0C61-460D-976E-D806F4B5CFE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U12" i="19" l="1"/>
  <c r="W12" i="19"/>
  <c r="V12" i="19"/>
  <c r="W11" i="19"/>
  <c r="W10" i="19"/>
  <c r="W8" i="19"/>
  <c r="W7" i="19"/>
  <c r="U6" i="19"/>
  <c r="V6" i="19"/>
  <c r="W6" i="19"/>
  <c r="U4" i="19"/>
  <c r="V4" i="19"/>
  <c r="T5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<sst xmlns="http://schemas.openxmlformats.org/spreadsheetml/2006/main" count="544" uniqueCount="155">
  <si>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</si>
  <si>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</si>
  <si>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</si>
  <si>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</si>
  <si>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</si>
  <si>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</si>
  <si>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</si>
  <si>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</si>
  <si>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</si>
  <si>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</si>
  <si>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</si>
  <si>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</si>
  <si>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</si>
  <si>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</si>
  <si>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</si>
  <si>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</si>
  <si>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</si>
  <si>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</si>
  <si>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</si>
  <si>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</si>
  <si>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</si>
  <si>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</si>
  <si>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</si>
  <si>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</si>
  <si>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</si>
  <si>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</si>
  <si>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</si>
  <si>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</si>
  <si>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</si>
  <si>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</si>
  <si>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</si>
  <si>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</si>
  <si>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</si>
  <si>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</si>
  <si>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</si>
  <si>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</si>
  <si>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</si>
  <si>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</si>
  <si>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</si>
  <si>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</si>
  <si>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</si>
  <si>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</si>
  <si>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</si>
  <si>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</si>
  <si>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</si>
  <si>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</si>
  <si>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</si>
  <si>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</si>
  <si>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</si>
  <si>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</si>
  <si>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</si>
  <si>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</si>
  <si>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</si>
  <si>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</si>
  <si>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</si>
  <si>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</si>
  <si>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</si>
  <si>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</si>
  <si>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</si>
  <si>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</si>
  <si>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</si>
  <si>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</si>
  <si>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</si>
  <si>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</si>
  <si>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</si>
  <si>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</si>
  <si>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</si>
  <si>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</si>
  <si>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</si>
  <si>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</si>
  <si>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</si>
  <si>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</si>
  <si>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</si>
  <si>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</si>
  <si>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</si>
  <si>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</si>
  <si>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</si>
  <si>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</si>
  <si>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</si>
  <si>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</si>
  <si>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</si>
  <si>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</si>
  <si>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</si>
  <si>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</si>
  <si>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</si>
  <si>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</si>
  <si>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</si>
  <si>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</si>
  <si>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</si>
  <si>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</si>
  <si>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</si>
  <si>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</si>
  <si>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</si>
  <si>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</si>
  <si>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</si>
  <si>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</si>
  <si>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</si>
  <si>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</si>
  <si>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</si>
  <si>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</si>
  <si>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</si>
  <si>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</si>
  <si>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</si>
  <si>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</si>
  <si>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</si>
  <si>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</si>
  <si>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</si>
  <si>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</si>
  <si>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</si>
  <si>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</si>
  <si>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</si>
  <si>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</si>
  <si>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</si>
  <si>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</si>
  <si>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</si>
  <si>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</si>
  <si>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</si>
  <si>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</si>
  <si>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</si>
  <si>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</si>
  <si>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</si>
  <si>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</si>
  <si>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</si>
  <si>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</si>
  <si>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</si>
  <si>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</si>
  <si>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</si>
  <si>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</si>
  <si>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</si>
  <si>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</si>
  <si>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</si>
  <si>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</si>
  <si>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</si>
  <si>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</si>
  <si>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</si>
  <si>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</si>
  <si>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</si>
  <si>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</si>
  <si>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</si>
  <si>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</si>
  <si>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</si>
  <si>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</si>
  <si>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ぱぱ</t>
  </si>
  <si>
    <t>ぱぱ</t>
    <phoneticPr fontId="1"/>
  </si>
  <si>
    <t>ロン</t>
  </si>
  <si>
    <t>放銃</t>
  </si>
  <si>
    <t>ツモ支払</t>
  </si>
  <si>
    <t>ツモ</t>
  </si>
  <si>
    <t>01</t>
  </si>
  <si>
    <t>02</t>
  </si>
  <si>
    <t>52</t>
  </si>
  <si>
    <t>*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</si>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</sst>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143</v>
      </c>
      <c r="G1" s="66"/>
      <c r="H1" s="66"/>
      <c r="I1" s="67"/>
      <c r="J1" s="68"/>
      <c r="K1" s="65" t="s">
        <v>139</v>
      </c>
      <c r="L1" s="66"/>
      <c r="M1" s="66"/>
      <c r="N1" s="67"/>
      <c r="O1" s="68"/>
      <c r="P1" s="65" t="s">
        <v>141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ぱぱ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れんたろう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145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146</v>
      </c>
      <c r="G5" s="9">
        <v>-500</v>
      </c>
      <c r="H5" s="9"/>
      <c r="I5" s="48">
        <v>0</v>
      </c>
      <c r="J5" s="21">
        <f t="shared" ref="J5:J30" si="2">IF(COUNTA($F5,$K5,$P5)&gt;0,J4+SUM(G5:I5),"")</f>
        <v>34500</v>
      </c>
      <c r="K5" s="8" t="s">
        <v>146</v>
      </c>
      <c r="L5" s="9">
        <v>-700</v>
      </c>
      <c r="M5" s="9"/>
      <c r="N5" s="48">
        <v>0</v>
      </c>
      <c r="O5" s="21">
        <f t="shared" ref="O5:O30" si="3">IF(COUNTA($F5,$K5,$P5)&gt;0,O4+SUM(L5:N5),"")</f>
        <v>42300</v>
      </c>
      <c r="P5" s="8" t="s">
        <v>147</v>
      </c>
      <c r="Q5" s="9">
        <v>1200</v>
      </c>
      <c r="R5" s="9"/>
      <c r="S5" s="48">
        <v>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27.3</v>
      </c>
      <c r="W5" s="55">
        <f>IF($T5="","",ROUND(($T5-$T$3)/1000,1)+(_xlfn.RANK.AVG($T5,($J5,$O5,$T5),1)-2)*20)</f>
        <v>-26.8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145</v>
      </c>
      <c r="G6" s="9">
        <v>-2000</v>
      </c>
      <c r="H6" s="9"/>
      <c r="I6" s="48">
        <v>0</v>
      </c>
      <c r="J6" s="21">
        <f t="shared" si="2"/>
        <v>32500</v>
      </c>
      <c r="K6" s="8" t="s">
        <v>144</v>
      </c>
      <c r="L6" s="9">
        <v>2000</v>
      </c>
      <c r="M6" s="9"/>
      <c r="N6" s="48">
        <v>0</v>
      </c>
      <c r="O6" s="21">
        <f t="shared" si="3"/>
        <v>44300</v>
      </c>
      <c r="P6" s="8"/>
      <c r="Q6" s="9"/>
      <c r="R6" s="9"/>
      <c r="S6" s="48"/>
      <c r="T6" s="21">
        <f t="shared" si="4"/>
        <v>28200</v>
      </c>
      <c r="U6" s="53">
        <f>IF($J6="","",ROUND(($J6-$J$3)/1000,1)+(_xlfn.RANK.AVG($J6,($J6,$O6,$T6),1)-2)*20)</f>
        <v>-2.5</v>
      </c>
      <c r="V6" s="54">
        <f>IF($O6="","",ROUND(($O6-$O$3)/1000,1)+(_xlfn.RANK.AVG($O6,($J6,$O6,$T6),1)-2)*20)</f>
        <v>29.3</v>
      </c>
      <c r="W6" s="55">
        <f>IF($T6="","",ROUND(($T6-$T$3)/1000,1)+(_xlfn.RANK.AVG($T6,($J6,$O6,$T6),1)-2)*20)</f>
        <v>-26.8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148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11600</v>
      </c>
      <c r="H7" s="9">
        <v>1000</v>
      </c>
      <c r="I7" s="48">
        <v>0</v>
      </c>
      <c r="J7" s="21">
        <f t="shared" si="2"/>
        <v>45100</v>
      </c>
      <c r="K7" s="8"/>
      <c r="L7" s="9"/>
      <c r="M7" s="9">
        <v>-1000</v>
      </c>
      <c r="N7" s="48"/>
      <c r="O7" s="21">
        <f t="shared" si="3"/>
        <v>43300</v>
      </c>
      <c r="P7" s="8" t="s">
        <v>145</v>
      </c>
      <c r="Q7" s="9">
        <v>-11600</v>
      </c>
      <c r="R7" s="9"/>
      <c r="S7" s="48">
        <v>0</v>
      </c>
      <c r="T7" s="21">
        <f t="shared" si="4"/>
        <v>16600</v>
      </c>
      <c r="U7" s="53">
        <f>IF($J7="","",ROUND(($J7-$J$3)/1000,1)+(_xlfn.RANK.AVG($J7,($J7,$O7,$T7),1)-2)*20)</f>
        <v>30.1</v>
      </c>
      <c r="V7" s="54">
        <f>IF($O7="","",ROUND(($O7-$O$3)/1000,1)+(_xlfn.RANK.AVG($O7,($J7,$O7,$T7),1)-2)*20)</f>
        <v>8.3000000000000007</v>
      </c>
      <c r="W7" s="55">
        <f>IF($T7="","",ROUND(($T7-$T$3)/1000,1)+(_xlfn.RANK.AVG($T7,($J7,$O7,$T7),1)-2)*20)</f>
        <v>-38.4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148</v>
      </c>
      <c r="AF7" s="41" t="s">
        <v>149</v>
      </c>
      <c r="AG7" s="41" t="s">
        <v>150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145</v>
      </c>
      <c r="G8" s="9">
        <v>-12000</v>
      </c>
      <c r="H8" s="9"/>
      <c r="I8" s="48">
        <v>-1000</v>
      </c>
      <c r="J8" s="21">
        <f t="shared" si="2"/>
        <v>32100</v>
      </c>
      <c r="K8" s="8"/>
      <c r="L8" s="9"/>
      <c r="M8" s="9"/>
      <c r="N8" s="48"/>
      <c r="O8" s="21">
        <f t="shared" si="3"/>
        <v>43300</v>
      </c>
      <c r="P8" s="8" t="s">
        <v>144</v>
      </c>
      <c r="Q8" s="9">
        <v>12000</v>
      </c>
      <c r="R8" s="9"/>
      <c r="S8" s="48">
        <v>1000</v>
      </c>
      <c r="T8" s="21">
        <f t="shared" si="4"/>
        <v>29600</v>
      </c>
      <c r="U8" s="53">
        <f>IF($J8="","",ROUND(($J8-$J$3)/1000,1)+(_xlfn.RANK.AVG($J8,($J8,$O8,$T8),1)-2)*20)</f>
        <v>-2.9</v>
      </c>
      <c r="V8" s="54">
        <f>IF($O8="","",ROUND(($O8-$O$3)/1000,1)+(_xlfn.RANK.AVG($O8,($J8,$O8,$T8),1)-2)*20)</f>
        <v>28.3</v>
      </c>
      <c r="W8" s="55">
        <f>IF($T8="","",ROUND(($T8-$T$3)/1000,1)+(_xlfn.RANK.AVG($T8,($J8,$O8,$T8),1)-2)*20)</f>
        <v>-25.4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151</v>
      </c>
      <c r="BU8" s="40" t="s">
        <v>148</v>
      </c>
      <c r="BV8" s="41" t="s">
        <v>85</v>
      </c>
      <c r="BW8" s="41" t="s">
        <v>79</v>
      </c>
      <c r="BX8" s="41" t="s">
        <v>79</v>
      </c>
      <c r="BY8" s="41" t="s">
        <v>79</v>
      </c>
      <c r="BZ8" s="41" t="s">
        <v>150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32100</v>
      </c>
      <c r="K9" s="8" t="s">
        <v>144</v>
      </c>
      <c r="L9" s="9">
        <v>12000</v>
      </c>
      <c r="M9" s="9">
        <v>1000</v>
      </c>
      <c r="N9" s="48">
        <v>0</v>
      </c>
      <c r="O9" s="21">
        <f t="shared" si="3"/>
        <v>56300</v>
      </c>
      <c r="P9" s="8" t="s">
        <v>145</v>
      </c>
      <c r="Q9" s="9">
        <v>-12000</v>
      </c>
      <c r="R9" s="9">
        <v>-1000</v>
      </c>
      <c r="S9" s="48">
        <v>0</v>
      </c>
      <c r="T9" s="21">
        <f t="shared" si="4"/>
        <v>16600</v>
      </c>
      <c r="U9" s="53">
        <f>IF($J9="","",ROUND(($J9-$J$3)/1000,1)+(_xlfn.RANK.AVG($J9,($J9,$O9,$T9),1)-2)*20)</f>
        <v>-2.9</v>
      </c>
      <c r="V9" s="54">
        <f>IF($O9="","",ROUND(($O9-$O$3)/1000,1)+(_xlfn.RANK.AVG($O9,($J9,$O9,$T9),1)-2)*20)</f>
        <v>41.3</v>
      </c>
      <c r="W9" s="55">
        <f>IF($T9="","",ROUND(($T9-$T$3)/1000,1)+(_xlfn.RANK.AVG($T9,($J9,$O9,$T9),1)-2)*20)</f>
        <v>-38.4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151</v>
      </c>
      <c r="AZ9" s="40" t="s">
        <v>86</v>
      </c>
      <c r="BA9" s="41" t="s">
        <v>79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145</v>
      </c>
      <c r="G10" s="9">
        <v>-12000</v>
      </c>
      <c r="H10" s="9"/>
      <c r="I10" s="48">
        <v>-1000</v>
      </c>
      <c r="J10" s="21">
        <f t="shared" si="2"/>
        <v>19100</v>
      </c>
      <c r="K10" s="8"/>
      <c r="L10" s="9"/>
      <c r="M10" s="9"/>
      <c r="N10" s="48"/>
      <c r="O10" s="21">
        <f t="shared" si="3"/>
        <v>56300</v>
      </c>
      <c r="P10" s="8" t="s">
        <v>144</v>
      </c>
      <c r="Q10" s="9">
        <v>12000</v>
      </c>
      <c r="R10" s="9"/>
      <c r="S10" s="48">
        <v>1000</v>
      </c>
      <c r="T10" s="21">
        <f t="shared" si="4"/>
        <v>29600</v>
      </c>
      <c r="U10" s="53">
        <f>IF($J10="","",ROUND(($J10-$J$3)/1000,1)+(_xlfn.RANK.AVG($J10,($J10,$O10,$T10),1)-2)*20)</f>
        <v>-35.9</v>
      </c>
      <c r="V10" s="54">
        <f>IF($O10="","",ROUND(($O10-$O$3)/1000,1)+(_xlfn.RANK.AVG($O10,($J10,$O10,$T10),1)-2)*20)</f>
        <v>41.3</v>
      </c>
      <c r="W10" s="55">
        <f>IF($T10="","",ROUND(($T10-$T$3)/1000,1)+(_xlfn.RANK.AVG($T10,($J10,$O10,$T10),1)-2)*20)</f>
        <v>-5.4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151</v>
      </c>
      <c r="BU10" s="40" t="s">
        <v>148</v>
      </c>
      <c r="BV10" s="41" t="s">
        <v>83</v>
      </c>
      <c r="BW10" s="41" t="s">
        <v>85</v>
      </c>
      <c r="BX10" s="41" t="s">
        <v>84</v>
      </c>
      <c r="BY10" s="41" t="s">
        <v>79</v>
      </c>
      <c r="BZ10" s="41" t="s">
        <v>80</v>
      </c>
      <c r="CA10" s="41" t="s">
        <v>80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154</v>
      </c>
      <c r="G11" s="9">
        <v>1500</v>
      </c>
      <c r="H11" s="9"/>
      <c r="I11" s="48"/>
      <c r="J11" s="21">
        <f t="shared" si="2"/>
        <v>20600</v>
      </c>
      <c r="K11" s="8" t="s">
        <v>154</v>
      </c>
      <c r="L11" s="9">
        <v>-3000</v>
      </c>
      <c r="M11" s="9"/>
      <c r="N11" s="48"/>
      <c r="O11" s="21">
        <f t="shared" si="3"/>
        <v>53300</v>
      </c>
      <c r="P11" s="8" t="s">
        <v>154</v>
      </c>
      <c r="Q11" s="9">
        <v>1500</v>
      </c>
      <c r="R11" s="9">
        <v>-1000</v>
      </c>
      <c r="S11" s="48"/>
      <c r="T11" s="21">
        <f t="shared" si="4"/>
        <v>30100</v>
      </c>
      <c r="U11" s="53">
        <f>IF($J11="","",ROUND(($J11-$J$3)/1000,1)+(_xlfn.RANK.AVG($J11,($J11,$O11,$T11),1)-2)*20)</f>
        <v>-34.4</v>
      </c>
      <c r="V11" s="54">
        <f>IF($O11="","",ROUND(($O11-$O$3)/1000,1)+(_xlfn.RANK.AVG($O11,($J11,$O11,$T11),1)-2)*20)</f>
        <v>38.299999999999997</v>
      </c>
      <c r="W11" s="55">
        <f>IF($T11="","",ROUND(($T11-$T$3)/1000,1)+(_xlfn.RANK.AVG($T11,($J11,$O11,$T11),1)-2)*20)</f>
        <v>-4.9000000000000004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140</v>
      </c>
      <c r="F12" s="8" t="s">
        <v>146</v>
      </c>
      <c r="G12" s="9">
        <v>-9000</v>
      </c>
      <c r="H12" s="9"/>
      <c r="I12" s="48">
        <v>-500</v>
      </c>
      <c r="J12" s="21">
        <f t="shared" si="2"/>
        <v>11100</v>
      </c>
      <c r="K12" s="8" t="s">
        <v>146</v>
      </c>
      <c r="L12" s="9">
        <v>-9000</v>
      </c>
      <c r="M12" s="9"/>
      <c r="N12" s="48">
        <v>-500</v>
      </c>
      <c r="O12" s="21">
        <f t="shared" si="3"/>
        <v>43800</v>
      </c>
      <c r="P12" s="8" t="s">
        <v>147</v>
      </c>
      <c r="Q12" s="9">
        <v>18000</v>
      </c>
      <c r="R12" s="9">
        <v>1000</v>
      </c>
      <c r="S12" s="48">
        <v>1000</v>
      </c>
      <c r="T12" s="21">
        <f t="shared" si="4"/>
        <v>50100</v>
      </c>
      <c r="U12" s="53">
        <f>IF($J12="","",ROUND(($J12-$J$3)/1000,1)+(_xlfn.RANK.AVG($J12,($J12,$O12,$T12),1)-2)*20)</f>
        <v>-43.9</v>
      </c>
      <c r="V12" s="54">
        <f>IF($O12="","",ROUND(($O12-$O$3)/1000,1)+(_xlfn.RANK.AVG($O12,($J12,$O12,$T12),1)-2)*20)</f>
        <v>8.8000000000000007</v>
      </c>
      <c r="W12" s="55">
        <f>IF($T12="","",ROUND(($T12-$T$3)/1000,1)+(_xlfn.RANK.AVG($T12,($J12,$O12,$T12),1)-2)*20)</f>
        <v>35.1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151</v>
      </c>
      <c r="BU12" s="40" t="s">
        <v>150</v>
      </c>
      <c r="BV12" s="41" t="s">
        <v>106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2019-05-16T14:25:44Z</dcterms:modified>
</cp:coreProperties>
</file>