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6B01E4C0-045C-49FE-944F-99C4640B2CB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O11" i="22"/>
  <c r="J11" i="22"/>
  <c r="D11" i="22"/>
  <c r="C11" i="22"/>
  <c r="B11" i="22"/>
  <c r="A11" i="22" s="1"/>
  <c r="D10" i="22"/>
  <c r="C10" i="22"/>
  <c r="D9" i="22"/>
  <c r="C9" i="22"/>
  <c r="D8" i="22"/>
  <c r="C8" i="22"/>
  <c r="D7" i="22"/>
  <c r="C7" i="22"/>
  <c r="B7" i="22"/>
  <c r="B8" i="22" s="1"/>
  <c r="D6" i="22"/>
  <c r="B6" i="22"/>
  <c r="A6" i="22" s="1"/>
  <c r="O5" i="22"/>
  <c r="D5" i="22"/>
  <c r="C5" i="22"/>
  <c r="C6" i="22" s="1"/>
  <c r="B5" i="22"/>
  <c r="A5" i="22" s="1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U11" i="22" l="1"/>
  <c r="V11" i="22"/>
  <c r="W11" i="22"/>
  <c r="V4" i="22"/>
  <c r="W4" i="22"/>
  <c r="U4" i="22"/>
  <c r="B9" i="22"/>
  <c r="J6" i="22"/>
  <c r="A7" i="22"/>
  <c r="A8" i="22" s="1"/>
  <c r="T5" i="22"/>
  <c r="O6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 s="1"/>
  <c r="D9" i="21"/>
  <c r="C9" i="21"/>
  <c r="D7" i="21"/>
  <c r="D8" i="21" s="1"/>
  <c r="C7" i="21"/>
  <c r="C8" i="21" s="1"/>
  <c r="B7" i="21"/>
  <c r="B8" i="21" s="1"/>
  <c r="D6" i="21"/>
  <c r="C6" i="21"/>
  <c r="B6" i="21"/>
  <c r="A6" i="21"/>
  <c r="T5" i="21"/>
  <c r="O5" i="21"/>
  <c r="V5" i="21" s="1"/>
  <c r="D5" i="21"/>
  <c r="C5" i="21"/>
  <c r="B5" i="21"/>
  <c r="A5" i="2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1" i="20"/>
  <c r="D12" i="20" s="1"/>
  <c r="C11" i="20"/>
  <c r="C12" i="20" s="1"/>
  <c r="D10" i="20"/>
  <c r="D9" i="20"/>
  <c r="C9" i="20"/>
  <c r="C10" i="20" s="1"/>
  <c r="D8" i="20"/>
  <c r="D7" i="20"/>
  <c r="C7" i="20"/>
  <c r="C8" i="20" s="1"/>
  <c r="D6" i="20"/>
  <c r="C6" i="20"/>
  <c r="T5" i="20"/>
  <c r="O5" i="20"/>
  <c r="D5" i="20"/>
  <c r="C5" i="20"/>
  <c r="B5" i="20"/>
  <c r="B6" i="20" s="1"/>
  <c r="A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A9" i="22" l="1"/>
  <c r="O7" i="22"/>
  <c r="W5" i="22"/>
  <c r="T6" i="22"/>
  <c r="V5" i="22"/>
  <c r="U5" i="22"/>
  <c r="U6" i="22"/>
  <c r="J7" i="22"/>
  <c r="B10" i="22"/>
  <c r="A10" i="22" s="1"/>
  <c r="U10" i="21"/>
  <c r="V10" i="21"/>
  <c r="W10" i="21"/>
  <c r="A7" i="21"/>
  <c r="W5" i="21"/>
  <c r="W4" i="21"/>
  <c r="V4" i="21"/>
  <c r="U4" i="21"/>
  <c r="U5" i="21"/>
  <c r="J6" i="21"/>
  <c r="B9" i="21"/>
  <c r="A9" i="21" s="1"/>
  <c r="A8" i="21"/>
  <c r="O6" i="21"/>
  <c r="T6" i="21"/>
  <c r="V5" i="20"/>
  <c r="W5" i="20"/>
  <c r="W4" i="20"/>
  <c r="V4" i="20"/>
  <c r="U4" i="20"/>
  <c r="B7" i="20"/>
  <c r="J6" i="20"/>
  <c r="U5" i="20"/>
  <c r="O6" i="20"/>
  <c r="T6" i="20"/>
  <c r="A6" i="20"/>
  <c r="W6" i="22" l="1"/>
  <c r="T7" i="22"/>
  <c r="O8" i="22"/>
  <c r="V6" i="22"/>
  <c r="U7" i="22"/>
  <c r="J8" i="22"/>
  <c r="W6" i="21"/>
  <c r="T7" i="21"/>
  <c r="O7" i="21"/>
  <c r="V6" i="21"/>
  <c r="U6" i="21"/>
  <c r="J7" i="21"/>
  <c r="A7" i="20"/>
  <c r="U6" i="20"/>
  <c r="J7" i="20"/>
  <c r="W6" i="20"/>
  <c r="T7" i="20"/>
  <c r="V6" i="20"/>
  <c r="O7" i="20"/>
  <c r="B8" i="20"/>
  <c r="A8" i="20" s="1"/>
  <c r="W7" i="22" l="1"/>
  <c r="T8" i="22"/>
  <c r="V8" i="22" s="1"/>
  <c r="U8" i="22"/>
  <c r="J9" i="22"/>
  <c r="V7" i="22"/>
  <c r="O9" i="22"/>
  <c r="O8" i="21"/>
  <c r="V7" i="21"/>
  <c r="W7" i="21"/>
  <c r="T8" i="21"/>
  <c r="U7" i="21"/>
  <c r="J8" i="21"/>
  <c r="U7" i="20"/>
  <c r="J8" i="20"/>
  <c r="B9" i="20"/>
  <c r="A9" i="20" s="1"/>
  <c r="O8" i="20"/>
  <c r="V7" i="20"/>
  <c r="W7" i="20"/>
  <c r="T8" i="20"/>
  <c r="O10" i="22" l="1"/>
  <c r="J10" i="22"/>
  <c r="W8" i="22"/>
  <c r="T9" i="22"/>
  <c r="V9" i="22" s="1"/>
  <c r="O9" i="21"/>
  <c r="V8" i="21"/>
  <c r="U8" i="21"/>
  <c r="J9" i="21"/>
  <c r="W8" i="21"/>
  <c r="T9" i="21"/>
  <c r="W9" i="21" s="1"/>
  <c r="T9" i="20"/>
  <c r="W8" i="20"/>
  <c r="O9" i="20"/>
  <c r="V8" i="20"/>
  <c r="B10" i="20"/>
  <c r="A10" i="20" s="1"/>
  <c r="U8" i="20"/>
  <c r="J9" i="20"/>
  <c r="U9" i="22" l="1"/>
  <c r="W9" i="22"/>
  <c r="T10" i="22"/>
  <c r="W10" i="22" s="1"/>
  <c r="U9" i="21"/>
  <c r="V9" i="21"/>
  <c r="U9" i="20"/>
  <c r="J10" i="20"/>
  <c r="W9" i="20"/>
  <c r="T10" i="20"/>
  <c r="B11" i="20"/>
  <c r="A11" i="20" s="1"/>
  <c r="V9" i="20"/>
  <c r="O10" i="20"/>
  <c r="V10" i="22" l="1"/>
  <c r="U10" i="22"/>
  <c r="V10" i="20"/>
  <c r="O11" i="20"/>
  <c r="U10" i="20"/>
  <c r="J11" i="20"/>
  <c r="W10" i="20"/>
  <c r="T11" i="20"/>
  <c r="B12" i="20"/>
  <c r="A12" i="20" s="1"/>
  <c r="W11" i="20" l="1"/>
  <c r="T12" i="20"/>
  <c r="W12" i="20" s="1"/>
  <c r="U11" i="20"/>
  <c r="J12" i="20"/>
  <c r="O12" i="20"/>
  <c r="V12" i="20" s="1"/>
  <c r="V11" i="20"/>
  <c r="U12" i="20" l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/>
  <c r="T10" i="19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V7" i="19" s="1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U12" i="19" l="1"/>
  <c r="W12" i="19"/>
  <c r="V12" i="19"/>
  <c r="W11" i="19"/>
  <c r="W10" i="19"/>
  <c r="W8" i="19"/>
  <c r="W7" i="19"/>
  <c r="U6" i="19"/>
  <c r="V6" i="19"/>
  <c r="W6" i="19"/>
  <c r="U4" i="19"/>
  <c r="V4" i="19"/>
  <c r="T5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<sst xmlns="http://schemas.openxmlformats.org/spreadsheetml/2006/main" count="840" uniqueCount="162">
  <si>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</si>
  <si>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</si>
  <si>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</si>
  <si>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</si>
  <si>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</si>
  <si>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</si>
  <si>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</si>
  <si>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</si>
  <si>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</si>
  <si>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</si>
  <si>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</si>
  <si>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</si>
  <si>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</si>
  <si>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</si>
  <si>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</si>
  <si>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</si>
  <si>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</si>
  <si>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</si>
  <si>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</si>
  <si>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</si>
  <si>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</si>
  <si>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</si>
  <si>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</si>
  <si>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</si>
  <si>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</si>
  <si>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</si>
  <si>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</si>
  <si>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</si>
  <si>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</si>
  <si>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</si>
  <si>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</si>
  <si>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</si>
  <si>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</si>
  <si>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</si>
  <si>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</si>
  <si>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</si>
  <si>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</si>
  <si>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</si>
  <si>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</si>
  <si>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</si>
  <si>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</si>
  <si>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</si>
  <si>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</si>
  <si>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</si>
  <si>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</si>
  <si>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</si>
  <si>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</si>
  <si>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</si>
  <si>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</si>
  <si>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</si>
  <si>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</si>
  <si>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</si>
  <si>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</si>
  <si>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</si>
  <si>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</si>
  <si>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</si>
  <si>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</si>
  <si>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</si>
  <si>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</si>
  <si>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</si>
  <si>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</si>
  <si>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</si>
  <si>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</si>
  <si>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</si>
  <si>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</si>
  <si>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</si>
  <si>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</si>
  <si>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</si>
  <si>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</si>
  <si>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</si>
  <si>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</si>
  <si>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</si>
  <si>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</si>
  <si>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</si>
  <si>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</si>
  <si>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</si>
  <si>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</si>
  <si>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</si>
  <si>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</si>
  <si>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</si>
  <si>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</si>
  <si>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</si>
  <si>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</si>
  <si>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</si>
  <si>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</si>
  <si>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</si>
  <si>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</si>
  <si>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</si>
  <si>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</si>
  <si>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</si>
  <si>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</si>
  <si>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</si>
  <si>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</si>
  <si>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</si>
  <si>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</si>
  <si>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</si>
  <si>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</si>
  <si>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</si>
  <si>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</si>
  <si>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</si>
  <si>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</si>
  <si>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</si>
  <si>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</si>
  <si>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</si>
  <si>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</si>
  <si>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</si>
  <si>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</si>
  <si>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</si>
  <si>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</si>
  <si>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</si>
  <si>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</si>
  <si>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</si>
  <si>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</si>
  <si>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</si>
  <si>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</si>
  <si>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</si>
  <si>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</si>
  <si>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</si>
  <si>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</si>
  <si>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</si>
  <si>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</si>
  <si>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</si>
  <si>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</si>
  <si>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</si>
  <si>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</si>
  <si>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</si>
  <si>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</si>
  <si>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</si>
  <si>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</si>
  <si>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</si>
  <si>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</si>
  <si>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</si>
  <si>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</si>
  <si>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</si>
  <si>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</si>
  <si>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</si>
  <si>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</si>
  <si>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</si>
  <si>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</si>
  <si>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</si>
  <si>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</si>
  <si>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</si>
  <si>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ぱぱ</t>
  </si>
  <si>
    <t>ぱぱ</t>
    <phoneticPr fontId="1"/>
  </si>
  <si>
    <t>ロン</t>
  </si>
  <si>
    <t>放銃</t>
  </si>
  <si>
    <t>ツモ支払</t>
  </si>
  <si>
    <t>ツモ</t>
  </si>
  <si>
    <t>01</t>
  </si>
  <si>
    <t>02</t>
  </si>
  <si>
    <t>52</t>
  </si>
  <si>
    <t>*</t>
  </si>
  <si>
    <t>T</t>
  </si>
  <si>
    <t>N</t>
  </si>
  <si>
    <t>流局</t>
    <phoneticPr fontId="1"/>
  </si>
  <si>
    <t>ただ</t>
  </si>
  <si>
    <t>ただ</t>
    <phoneticPr fontId="1"/>
  </si>
  <si>
    <t>りくと</t>
  </si>
  <si>
    <t>りくと</t>
    <phoneticPr fontId="1"/>
  </si>
  <si>
    <t>たかの</t>
  </si>
  <si>
    <t>たかの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</si>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</sst>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143</v>
      </c>
      <c r="G1" s="73"/>
      <c r="H1" s="73"/>
      <c r="I1" s="74"/>
      <c r="J1" s="75"/>
      <c r="K1" s="72" t="s">
        <v>139</v>
      </c>
      <c r="L1" s="73"/>
      <c r="M1" s="73"/>
      <c r="N1" s="74"/>
      <c r="O1" s="75"/>
      <c r="P1" s="72" t="s">
        <v>141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ぱぱ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145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86</v>
      </c>
      <c r="BA4" s="41" t="s">
        <v>86</v>
      </c>
      <c r="BB4" s="41" t="s">
        <v>104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146</v>
      </c>
      <c r="G5" s="9">
        <v>-500</v>
      </c>
      <c r="H5" s="9"/>
      <c r="I5" s="48">
        <v>0</v>
      </c>
      <c r="J5" s="21">
        <f t="shared" ref="J5:J30" si="2">IF(COUNTA($F5,$K5,$P5)&gt;0,J4+SUM(G5:I5),"")</f>
        <v>34500</v>
      </c>
      <c r="K5" s="8" t="s">
        <v>146</v>
      </c>
      <c r="L5" s="9">
        <v>-700</v>
      </c>
      <c r="M5" s="9"/>
      <c r="N5" s="48">
        <v>0</v>
      </c>
      <c r="O5" s="21">
        <f t="shared" ref="O5:O30" si="3">IF(COUNTA($F5,$K5,$P5)&gt;0,O4+SUM(L5:N5),"")</f>
        <v>42300</v>
      </c>
      <c r="P5" s="8" t="s">
        <v>147</v>
      </c>
      <c r="Q5" s="9">
        <v>1200</v>
      </c>
      <c r="R5" s="9"/>
      <c r="S5" s="48">
        <v>0</v>
      </c>
      <c r="T5" s="21">
        <f t="shared" ref="T5:T30" si="4">IF(COUNTA($F5,$K5,$P5)&gt;0,T4+SUM(Q5:S5),"")</f>
        <v>28200</v>
      </c>
      <c r="U5" s="53">
        <f>IF($J5="","",ROUND(($J5-$J$3)/1000,1)+(_xlfn.RANK.AVG($J5,($J5,$O5,$T5),1)-2)*20)</f>
        <v>-0.5</v>
      </c>
      <c r="V5" s="54">
        <f>IF($O5="","",ROUND(($O5-$O$3)/1000,1)+(_xlfn.RANK.AVG($O5,($J5,$O5,$T5),1)-2)*20)</f>
        <v>27.3</v>
      </c>
      <c r="W5" s="55">
        <f>IF($T5="","",ROUND(($T5-$T$3)/1000,1)+(_xlfn.RANK.AVG($T5,($J5,$O5,$T5),1)-2)*20)</f>
        <v>-26.8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145</v>
      </c>
      <c r="G6" s="9">
        <v>-2000</v>
      </c>
      <c r="H6" s="9"/>
      <c r="I6" s="48">
        <v>0</v>
      </c>
      <c r="J6" s="21">
        <f t="shared" si="2"/>
        <v>32500</v>
      </c>
      <c r="K6" s="8" t="s">
        <v>144</v>
      </c>
      <c r="L6" s="9">
        <v>2000</v>
      </c>
      <c r="M6" s="9"/>
      <c r="N6" s="48">
        <v>0</v>
      </c>
      <c r="O6" s="21">
        <f t="shared" si="3"/>
        <v>44300</v>
      </c>
      <c r="P6" s="8"/>
      <c r="Q6" s="9"/>
      <c r="R6" s="9"/>
      <c r="S6" s="48"/>
      <c r="T6" s="21">
        <f t="shared" si="4"/>
        <v>28200</v>
      </c>
      <c r="U6" s="53">
        <f>IF($J6="","",ROUND(($J6-$J$3)/1000,1)+(_xlfn.RANK.AVG($J6,($J6,$O6,$T6),1)-2)*20)</f>
        <v>-2.5</v>
      </c>
      <c r="V6" s="54">
        <f>IF($O6="","",ROUND(($O6-$O$3)/1000,1)+(_xlfn.RANK.AVG($O6,($J6,$O6,$T6),1)-2)*20)</f>
        <v>29.3</v>
      </c>
      <c r="W6" s="55">
        <f>IF($T6="","",ROUND(($T6-$T$3)/1000,1)+(_xlfn.RANK.AVG($T6,($J6,$O6,$T6),1)-2)*20)</f>
        <v>-26.8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30</v>
      </c>
      <c r="AZ6" s="40" t="s">
        <v>148</v>
      </c>
      <c r="BA6" s="41" t="s">
        <v>83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144</v>
      </c>
      <c r="G7" s="9">
        <v>11600</v>
      </c>
      <c r="H7" s="9">
        <v>1000</v>
      </c>
      <c r="I7" s="48">
        <v>0</v>
      </c>
      <c r="J7" s="21">
        <f t="shared" si="2"/>
        <v>45100</v>
      </c>
      <c r="K7" s="8"/>
      <c r="L7" s="9"/>
      <c r="M7" s="9">
        <v>-1000</v>
      </c>
      <c r="N7" s="48"/>
      <c r="O7" s="21">
        <f t="shared" si="3"/>
        <v>43300</v>
      </c>
      <c r="P7" s="8" t="s">
        <v>145</v>
      </c>
      <c r="Q7" s="9">
        <v>-11600</v>
      </c>
      <c r="R7" s="9"/>
      <c r="S7" s="48">
        <v>0</v>
      </c>
      <c r="T7" s="21">
        <f t="shared" si="4"/>
        <v>16600</v>
      </c>
      <c r="U7" s="53">
        <f>IF($J7="","",ROUND(($J7-$J$3)/1000,1)+(_xlfn.RANK.AVG($J7,($J7,$O7,$T7),1)-2)*20)</f>
        <v>30.1</v>
      </c>
      <c r="V7" s="54">
        <f>IF($O7="","",ROUND(($O7-$O$3)/1000,1)+(_xlfn.RANK.AVG($O7,($J7,$O7,$T7),1)-2)*20)</f>
        <v>8.3000000000000007</v>
      </c>
      <c r="W7" s="55">
        <f>IF($T7="","",ROUND(($T7-$T$3)/1000,1)+(_xlfn.RANK.AVG($T7,($J7,$O7,$T7),1)-2)*20)</f>
        <v>-38.4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148</v>
      </c>
      <c r="AF7" s="41" t="s">
        <v>149</v>
      </c>
      <c r="AG7" s="41" t="s">
        <v>150</v>
      </c>
      <c r="AH7" s="41" t="s">
        <v>83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142</v>
      </c>
      <c r="F8" s="8" t="s">
        <v>145</v>
      </c>
      <c r="G8" s="9">
        <v>-12000</v>
      </c>
      <c r="H8" s="9"/>
      <c r="I8" s="48">
        <v>-1000</v>
      </c>
      <c r="J8" s="21">
        <f t="shared" si="2"/>
        <v>32100</v>
      </c>
      <c r="K8" s="8"/>
      <c r="L8" s="9"/>
      <c r="M8" s="9"/>
      <c r="N8" s="48"/>
      <c r="O8" s="21">
        <f t="shared" si="3"/>
        <v>43300</v>
      </c>
      <c r="P8" s="8" t="s">
        <v>144</v>
      </c>
      <c r="Q8" s="9">
        <v>12000</v>
      </c>
      <c r="R8" s="9"/>
      <c r="S8" s="48">
        <v>1000</v>
      </c>
      <c r="T8" s="21">
        <f t="shared" si="4"/>
        <v>29600</v>
      </c>
      <c r="U8" s="53">
        <f>IF($J8="","",ROUND(($J8-$J$3)/1000,1)+(_xlfn.RANK.AVG($J8,($J8,$O8,$T8),1)-2)*20)</f>
        <v>-2.9</v>
      </c>
      <c r="V8" s="54">
        <f>IF($O8="","",ROUND(($O8-$O$3)/1000,1)+(_xlfn.RANK.AVG($O8,($J8,$O8,$T8),1)-2)*20)</f>
        <v>28.3</v>
      </c>
      <c r="W8" s="55">
        <f>IF($T8="","",ROUND(($T8-$T$3)/1000,1)+(_xlfn.RANK.AVG($T8,($J8,$O8,$T8),1)-2)*20)</f>
        <v>-25.4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151</v>
      </c>
      <c r="BU8" s="40" t="s">
        <v>148</v>
      </c>
      <c r="BV8" s="41" t="s">
        <v>85</v>
      </c>
      <c r="BW8" s="41" t="s">
        <v>79</v>
      </c>
      <c r="BX8" s="41" t="s">
        <v>79</v>
      </c>
      <c r="BY8" s="41" t="s">
        <v>79</v>
      </c>
      <c r="BZ8" s="41" t="s">
        <v>150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32100</v>
      </c>
      <c r="K9" s="8" t="s">
        <v>144</v>
      </c>
      <c r="L9" s="9">
        <v>12000</v>
      </c>
      <c r="M9" s="9">
        <v>1000</v>
      </c>
      <c r="N9" s="48">
        <v>0</v>
      </c>
      <c r="O9" s="21">
        <f t="shared" si="3"/>
        <v>56300</v>
      </c>
      <c r="P9" s="8" t="s">
        <v>145</v>
      </c>
      <c r="Q9" s="9">
        <v>-12000</v>
      </c>
      <c r="R9" s="9">
        <v>-1000</v>
      </c>
      <c r="S9" s="48">
        <v>0</v>
      </c>
      <c r="T9" s="21">
        <f t="shared" si="4"/>
        <v>16600</v>
      </c>
      <c r="U9" s="53">
        <f>IF($J9="","",ROUND(($J9-$J$3)/1000,1)+(_xlfn.RANK.AVG($J9,($J9,$O9,$T9),1)-2)*20)</f>
        <v>-2.9</v>
      </c>
      <c r="V9" s="54">
        <f>IF($O9="","",ROUND(($O9-$O$3)/1000,1)+(_xlfn.RANK.AVG($O9,($J9,$O9,$T9),1)-2)*20)</f>
        <v>41.3</v>
      </c>
      <c r="W9" s="55">
        <f>IF($T9="","",ROUND(($T9-$T$3)/1000,1)+(_xlfn.RANK.AVG($T9,($J9,$O9,$T9),1)-2)*20)</f>
        <v>-38.4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151</v>
      </c>
      <c r="AZ9" s="40" t="s">
        <v>86</v>
      </c>
      <c r="BA9" s="41" t="s">
        <v>79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145</v>
      </c>
      <c r="G10" s="9">
        <v>-12000</v>
      </c>
      <c r="H10" s="9"/>
      <c r="I10" s="48">
        <v>-1000</v>
      </c>
      <c r="J10" s="21">
        <f t="shared" si="2"/>
        <v>19100</v>
      </c>
      <c r="K10" s="8"/>
      <c r="L10" s="9"/>
      <c r="M10" s="9"/>
      <c r="N10" s="48"/>
      <c r="O10" s="21">
        <f t="shared" si="3"/>
        <v>56300</v>
      </c>
      <c r="P10" s="8" t="s">
        <v>144</v>
      </c>
      <c r="Q10" s="9">
        <v>12000</v>
      </c>
      <c r="R10" s="9"/>
      <c r="S10" s="48">
        <v>1000</v>
      </c>
      <c r="T10" s="21">
        <f t="shared" si="4"/>
        <v>29600</v>
      </c>
      <c r="U10" s="53">
        <f>IF($J10="","",ROUND(($J10-$J$3)/1000,1)+(_xlfn.RANK.AVG($J10,($J10,$O10,$T10),1)-2)*20)</f>
        <v>-35.9</v>
      </c>
      <c r="V10" s="54">
        <f>IF($O10="","",ROUND(($O10-$O$3)/1000,1)+(_xlfn.RANK.AVG($O10,($J10,$O10,$T10),1)-2)*20)</f>
        <v>41.3</v>
      </c>
      <c r="W10" s="55">
        <f>IF($T10="","",ROUND(($T10-$T$3)/1000,1)+(_xlfn.RANK.AVG($T10,($J10,$O10,$T10),1)-2)*20)</f>
        <v>-5.4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151</v>
      </c>
      <c r="BU10" s="40" t="s">
        <v>148</v>
      </c>
      <c r="BV10" s="41" t="s">
        <v>83</v>
      </c>
      <c r="BW10" s="41" t="s">
        <v>85</v>
      </c>
      <c r="BX10" s="41" t="s">
        <v>84</v>
      </c>
      <c r="BY10" s="41" t="s">
        <v>79</v>
      </c>
      <c r="BZ10" s="41" t="s">
        <v>80</v>
      </c>
      <c r="CA10" s="41" t="s">
        <v>80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154</v>
      </c>
      <c r="G11" s="9">
        <v>1500</v>
      </c>
      <c r="H11" s="9"/>
      <c r="I11" s="48"/>
      <c r="J11" s="21">
        <f t="shared" si="2"/>
        <v>20600</v>
      </c>
      <c r="K11" s="8" t="s">
        <v>154</v>
      </c>
      <c r="L11" s="9">
        <v>-3000</v>
      </c>
      <c r="M11" s="9"/>
      <c r="N11" s="48"/>
      <c r="O11" s="21">
        <f t="shared" si="3"/>
        <v>53300</v>
      </c>
      <c r="P11" s="8" t="s">
        <v>154</v>
      </c>
      <c r="Q11" s="9">
        <v>1500</v>
      </c>
      <c r="R11" s="9">
        <v>-1000</v>
      </c>
      <c r="S11" s="48"/>
      <c r="T11" s="21">
        <f t="shared" si="4"/>
        <v>30100</v>
      </c>
      <c r="U11" s="53">
        <f>IF($J11="","",ROUND(($J11-$J$3)/1000,1)+(_xlfn.RANK.AVG($J11,($J11,$O11,$T11),1)-2)*20)</f>
        <v>-34.4</v>
      </c>
      <c r="V11" s="54">
        <f>IF($O11="","",ROUND(($O11-$O$3)/1000,1)+(_xlfn.RANK.AVG($O11,($J11,$O11,$T11),1)-2)*20)</f>
        <v>38.299999999999997</v>
      </c>
      <c r="W11" s="55">
        <f>IF($T11="","",ROUND(($T11-$T$3)/1000,1)+(_xlfn.RANK.AVG($T11,($J11,$O11,$T11),1)-2)*20)</f>
        <v>-4.9000000000000004</v>
      </c>
      <c r="Y11" s="8" t="s">
        <v>152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152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140</v>
      </c>
      <c r="F12" s="8" t="s">
        <v>146</v>
      </c>
      <c r="G12" s="9">
        <v>-9000</v>
      </c>
      <c r="H12" s="9"/>
      <c r="I12" s="48">
        <v>-500</v>
      </c>
      <c r="J12" s="21">
        <f t="shared" si="2"/>
        <v>11100</v>
      </c>
      <c r="K12" s="8" t="s">
        <v>146</v>
      </c>
      <c r="L12" s="9">
        <v>-9000</v>
      </c>
      <c r="M12" s="9"/>
      <c r="N12" s="48">
        <v>-500</v>
      </c>
      <c r="O12" s="21">
        <f t="shared" si="3"/>
        <v>43800</v>
      </c>
      <c r="P12" s="8" t="s">
        <v>147</v>
      </c>
      <c r="Q12" s="9">
        <v>18000</v>
      </c>
      <c r="R12" s="9">
        <v>1000</v>
      </c>
      <c r="S12" s="48">
        <v>1000</v>
      </c>
      <c r="T12" s="21">
        <f t="shared" si="4"/>
        <v>50100</v>
      </c>
      <c r="U12" s="53">
        <f>IF($J12="","",ROUND(($J12-$J$3)/1000,1)+(_xlfn.RANK.AVG($J12,($J12,$O12,$T12),1)-2)*20)</f>
        <v>-43.9</v>
      </c>
      <c r="V12" s="54">
        <f>IF($O12="","",ROUND(($O12-$O$3)/1000,1)+(_xlfn.RANK.AVG($O12,($J12,$O12,$T12),1)-2)*20)</f>
        <v>8.8000000000000007</v>
      </c>
      <c r="W12" s="55">
        <f>IF($T12="","",ROUND(($T12-$T$3)/1000,1)+(_xlfn.RANK.AVG($T12,($J12,$O12,$T12),1)-2)*20)</f>
        <v>35.1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6</v>
      </c>
      <c r="BT12" s="30" t="s">
        <v>151</v>
      </c>
      <c r="BU12" s="40" t="s">
        <v>150</v>
      </c>
      <c r="BV12" s="41" t="s">
        <v>106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27C6C-2E31-4BC6-A104-6535A36410F4}">
  <sheetPr codeName="Sheet11">
    <pageSetUpPr fitToPage="1"/>
  </sheetPr>
  <dimension ref="A1:CI30"/>
  <sheetViews>
    <sheetView zoomScale="96" zoomScaleNormal="96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156</v>
      </c>
      <c r="G1" s="73"/>
      <c r="H1" s="73"/>
      <c r="I1" s="74"/>
      <c r="J1" s="75"/>
      <c r="K1" s="72" t="s">
        <v>158</v>
      </c>
      <c r="L1" s="73"/>
      <c r="M1" s="73"/>
      <c r="N1" s="74"/>
      <c r="O1" s="75"/>
      <c r="P1" s="72" t="s">
        <v>160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159</v>
      </c>
      <c r="F4" s="8" t="s">
        <v>146</v>
      </c>
      <c r="G4" s="9">
        <v>-4500</v>
      </c>
      <c r="H4" s="9">
        <v>-1000</v>
      </c>
      <c r="I4" s="48">
        <v>0</v>
      </c>
      <c r="J4" s="21">
        <f>IF(COUNTA($F4,$K4,$P4)&gt;0,J3+SUM(G4:I4),"")</f>
        <v>29500</v>
      </c>
      <c r="K4" s="8" t="s">
        <v>147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146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IF($J4="","",ROUND(($J4-$J$3)/1000,1)+(_xlfn.RANK.AVG($J4,($J4,$O4,$T4),1)-2)*20)</f>
        <v>-5.5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-27.5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151</v>
      </c>
      <c r="AZ4" s="40" t="s">
        <v>148</v>
      </c>
      <c r="BA4" s="41" t="s">
        <v>82</v>
      </c>
      <c r="BB4" s="41" t="s">
        <v>79</v>
      </c>
      <c r="BC4" s="41" t="s">
        <v>79</v>
      </c>
      <c r="BD4" s="41" t="s">
        <v>79</v>
      </c>
      <c r="BE4" s="41" t="s">
        <v>80</v>
      </c>
      <c r="BF4" s="41" t="s">
        <v>87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145</v>
      </c>
      <c r="G5" s="9">
        <v>-8000</v>
      </c>
      <c r="H5" s="9"/>
      <c r="I5" s="48">
        <v>0</v>
      </c>
      <c r="J5" s="21">
        <f t="shared" ref="J5:J30" si="2">IF(COUNTA($F5,$K5,$P5)&gt;0,J4+SUM(G5:I5),"")</f>
        <v>21500</v>
      </c>
      <c r="K5" s="8"/>
      <c r="L5" s="9"/>
      <c r="M5" s="9"/>
      <c r="N5" s="48"/>
      <c r="O5" s="21">
        <f t="shared" ref="O5:O30" si="3">IF(COUNTA($F5,$K5,$P5)&gt;0,O4+SUM(L5:N5),"")</f>
        <v>48000</v>
      </c>
      <c r="P5" s="8" t="s">
        <v>144</v>
      </c>
      <c r="Q5" s="9">
        <v>8000</v>
      </c>
      <c r="R5" s="9"/>
      <c r="S5" s="48">
        <v>0</v>
      </c>
      <c r="T5" s="21">
        <f t="shared" ref="T5:T30" si="4">IF(COUNTA($F5,$K5,$P5)&gt;0,T4+SUM(Q5:S5),"")</f>
        <v>35500</v>
      </c>
      <c r="U5" s="53">
        <f>IF($J5="","",ROUND(($J5-$J$3)/1000,1)+(_xlfn.RANK.AVG($J5,($J5,$O5,$T5),1)-2)*20)</f>
        <v>-33.5</v>
      </c>
      <c r="V5" s="54">
        <f>IF($O5="","",ROUND(($O5-$O$3)/1000,1)+(_xlfn.RANK.AVG($O5,($J5,$O5,$T5),1)-2)*20)</f>
        <v>33</v>
      </c>
      <c r="W5" s="55">
        <f>IF($T5="","",ROUND(($T5-$T$3)/1000,1)+(_xlfn.RANK.AVG($T5,($J5,$O5,$T5),1)-2)*20)</f>
        <v>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151</v>
      </c>
      <c r="BU5" s="40" t="s">
        <v>85</v>
      </c>
      <c r="BV5" s="41" t="s">
        <v>102</v>
      </c>
      <c r="BW5" s="41" t="s">
        <v>150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157</v>
      </c>
      <c r="F6" s="8" t="s">
        <v>146</v>
      </c>
      <c r="G6" s="9">
        <v>-800</v>
      </c>
      <c r="H6" s="9">
        <v>-1000</v>
      </c>
      <c r="I6" s="48">
        <v>0</v>
      </c>
      <c r="J6" s="21">
        <f t="shared" si="2"/>
        <v>19700</v>
      </c>
      <c r="K6" s="8" t="s">
        <v>146</v>
      </c>
      <c r="L6" s="9">
        <v>-1300</v>
      </c>
      <c r="M6" s="9"/>
      <c r="N6" s="48">
        <v>0</v>
      </c>
      <c r="O6" s="21">
        <f t="shared" si="3"/>
        <v>46700</v>
      </c>
      <c r="P6" s="8" t="s">
        <v>147</v>
      </c>
      <c r="Q6" s="9">
        <v>2100</v>
      </c>
      <c r="R6" s="9">
        <v>1000</v>
      </c>
      <c r="S6" s="48">
        <v>0</v>
      </c>
      <c r="T6" s="21">
        <f t="shared" si="4"/>
        <v>38600</v>
      </c>
      <c r="U6" s="53">
        <f>IF($J6="","",ROUND(($J6-$J$3)/1000,1)+(_xlfn.RANK.AVG($J6,($J6,$O6,$T6),1)-2)*20)</f>
        <v>-35.299999999999997</v>
      </c>
      <c r="V6" s="54">
        <f>IF($O6="","",ROUND(($O6-$O$3)/1000,1)+(_xlfn.RANK.AVG($O6,($J6,$O6,$T6),1)-2)*20)</f>
        <v>31.7</v>
      </c>
      <c r="W6" s="55">
        <f>IF($T6="","",ROUND(($T6-$T$3)/1000,1)+(_xlfn.RANK.AVG($T6,($J6,$O6,$T6),1)-2)*20)</f>
        <v>3.6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150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159</v>
      </c>
      <c r="F7" s="8" t="s">
        <v>154</v>
      </c>
      <c r="G7" s="9">
        <v>3000</v>
      </c>
      <c r="H7" s="9"/>
      <c r="I7" s="48"/>
      <c r="J7" s="21">
        <f t="shared" si="2"/>
        <v>22700</v>
      </c>
      <c r="K7" s="8" t="s">
        <v>154</v>
      </c>
      <c r="L7" s="9">
        <v>-1500</v>
      </c>
      <c r="M7" s="9"/>
      <c r="N7" s="48"/>
      <c r="O7" s="21">
        <f t="shared" si="3"/>
        <v>45200</v>
      </c>
      <c r="P7" s="8" t="s">
        <v>154</v>
      </c>
      <c r="Q7" s="9">
        <v>-1500</v>
      </c>
      <c r="R7" s="9"/>
      <c r="S7" s="48"/>
      <c r="T7" s="21">
        <f t="shared" si="4"/>
        <v>37100</v>
      </c>
      <c r="U7" s="53">
        <f>IF($J7="","",ROUND(($J7-$J$3)/1000,1)+(_xlfn.RANK.AVG($J7,($J7,$O7,$T7),1)-2)*20)</f>
        <v>-32.299999999999997</v>
      </c>
      <c r="V7" s="54">
        <f>IF($O7="","",ROUND(($O7-$O$3)/1000,1)+(_xlfn.RANK.AVG($O7,($J7,$O7,$T7),1)-2)*20)</f>
        <v>30.2</v>
      </c>
      <c r="W7" s="55">
        <f>IF($T7="","",ROUND(($T7-$T$3)/1000,1)+(_xlfn.RANK.AVG($T7,($J7,$O7,$T7),1)-2)*20)</f>
        <v>2.1</v>
      </c>
      <c r="Y7" s="8" t="s">
        <v>152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155</v>
      </c>
      <c r="F8" s="8"/>
      <c r="G8" s="9"/>
      <c r="H8" s="9"/>
      <c r="I8" s="48"/>
      <c r="J8" s="21">
        <f t="shared" si="2"/>
        <v>22700</v>
      </c>
      <c r="K8" s="8" t="s">
        <v>145</v>
      </c>
      <c r="L8" s="9">
        <v>-2000</v>
      </c>
      <c r="M8" s="9"/>
      <c r="N8" s="48">
        <v>-1000</v>
      </c>
      <c r="O8" s="21">
        <f t="shared" si="3"/>
        <v>42200</v>
      </c>
      <c r="P8" s="8" t="s">
        <v>144</v>
      </c>
      <c r="Q8" s="9">
        <v>2000</v>
      </c>
      <c r="R8" s="9"/>
      <c r="S8" s="48">
        <v>1000</v>
      </c>
      <c r="T8" s="21">
        <f t="shared" si="4"/>
        <v>40100</v>
      </c>
      <c r="U8" s="53">
        <f>IF($J8="","",ROUND(($J8-$J$3)/1000,1)+(_xlfn.RANK.AVG($J8,($J8,$O8,$T8),1)-2)*20)</f>
        <v>-32.299999999999997</v>
      </c>
      <c r="V8" s="54">
        <f>IF($O8="","",ROUND(($O8-$O$3)/1000,1)+(_xlfn.RANK.AVG($O8,($J8,$O8,$T8),1)-2)*20)</f>
        <v>27.2</v>
      </c>
      <c r="W8" s="55">
        <f>IF($T8="","",ROUND(($T8-$T$3)/1000,1)+(_xlfn.RANK.AVG($T8,($J8,$O8,$T8),1)-2)*20)</f>
        <v>5.0999999999999996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157</v>
      </c>
      <c r="F9" s="8" t="s">
        <v>145</v>
      </c>
      <c r="G9" s="9">
        <v>-2000</v>
      </c>
      <c r="H9" s="9"/>
      <c r="I9" s="48">
        <v>0</v>
      </c>
      <c r="J9" s="21">
        <f t="shared" si="2"/>
        <v>20700</v>
      </c>
      <c r="K9" s="8"/>
      <c r="L9" s="9"/>
      <c r="M9" s="9"/>
      <c r="N9" s="48"/>
      <c r="O9" s="21">
        <f t="shared" si="3"/>
        <v>42200</v>
      </c>
      <c r="P9" s="8" t="s">
        <v>144</v>
      </c>
      <c r="Q9" s="9">
        <v>2000</v>
      </c>
      <c r="R9" s="9"/>
      <c r="S9" s="48">
        <v>0</v>
      </c>
      <c r="T9" s="21">
        <f t="shared" si="4"/>
        <v>42100</v>
      </c>
      <c r="U9" s="53">
        <f>IF($J9="","",ROUND(($J9-$J$3)/1000,1)+(_xlfn.RANK.AVG($J9,($J9,$O9,$T9),1)-2)*20)</f>
        <v>-34.299999999999997</v>
      </c>
      <c r="V9" s="54">
        <f>IF($O9="","",ROUND(($O9-$O$3)/1000,1)+(_xlfn.RANK.AVG($O9,($J9,$O9,$T9),1)-2)*20)</f>
        <v>27.2</v>
      </c>
      <c r="W9" s="55">
        <f>IF($T9="","",ROUND(($T9-$T$3)/1000,1)+(_xlfn.RANK.AVG($T9,($J9,$O9,$T9),1)-2)*20)</f>
        <v>7.1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83</v>
      </c>
      <c r="BV9" s="41" t="s">
        <v>85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C603F4DB-815E-4D80-9774-71AF72045BED}">
      <formula1>"ロン,ツモ,放銃,ツモ支払,流局,チョンボ"</formula1>
    </dataValidation>
    <dataValidation type="list" allowBlank="1" showInputMessage="1" showErrorMessage="1" sqref="E4:E30" xr:uid="{01FC3F01-4B32-410F-B896-91C2C648E32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13D8F-BC00-4F3E-A818-3D9724A0288C}">
  <sheetPr codeName="Sheet12">
    <pageSetUpPr fitToPage="1"/>
  </sheetPr>
  <dimension ref="A1:CI30"/>
  <sheetViews>
    <sheetView zoomScale="96" zoomScaleNormal="96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156</v>
      </c>
      <c r="G1" s="73"/>
      <c r="H1" s="73"/>
      <c r="I1" s="74"/>
      <c r="J1" s="75"/>
      <c r="K1" s="72" t="s">
        <v>139</v>
      </c>
      <c r="L1" s="73"/>
      <c r="M1" s="73"/>
      <c r="N1" s="74"/>
      <c r="O1" s="75"/>
      <c r="P1" s="72" t="s">
        <v>160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-6400</v>
      </c>
      <c r="H4" s="9"/>
      <c r="I4" s="48">
        <v>0</v>
      </c>
      <c r="J4" s="21">
        <f>IF(COUNTA($F4,$K4,$P4)&gt;0,J3+SUM(G4:I4),"")</f>
        <v>28600</v>
      </c>
      <c r="K4" s="8"/>
      <c r="L4" s="9"/>
      <c r="M4" s="9"/>
      <c r="N4" s="48"/>
      <c r="O4" s="21">
        <f>IF(COUNTA($F4,$K4,$P4)&gt;0,O3+SUM(L4:N4),"")</f>
        <v>35000</v>
      </c>
      <c r="P4" s="8" t="s">
        <v>144</v>
      </c>
      <c r="Q4" s="9">
        <v>6400</v>
      </c>
      <c r="R4" s="9"/>
      <c r="S4" s="48">
        <v>0</v>
      </c>
      <c r="T4" s="21">
        <f>IF(COUNTA($F4,$K4,$P4)&gt;0,T3+SUM(Q4:S4),"")</f>
        <v>41400</v>
      </c>
      <c r="U4" s="53">
        <f>IF($J4="","",ROUND(($J4-$J$3)/1000,1)+(_xlfn.RANK.AVG($J4,($J4,$O4,$T4),1)-2)*20)</f>
        <v>-26.4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26.4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50</v>
      </c>
      <c r="BU4" s="40" t="s">
        <v>148</v>
      </c>
      <c r="BV4" s="41" t="s">
        <v>80</v>
      </c>
      <c r="BW4" s="41" t="s">
        <v>150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138</v>
      </c>
      <c r="F5" s="8"/>
      <c r="G5" s="9"/>
      <c r="H5" s="9"/>
      <c r="I5" s="48"/>
      <c r="J5" s="21">
        <f t="shared" ref="J5:J30" si="2">IF(COUNTA($F5,$K5,$P5)&gt;0,J4+SUM(G5:I5),"")</f>
        <v>28600</v>
      </c>
      <c r="K5" s="8" t="s">
        <v>144</v>
      </c>
      <c r="L5" s="9">
        <v>12000</v>
      </c>
      <c r="M5" s="9"/>
      <c r="N5" s="48">
        <v>0</v>
      </c>
      <c r="O5" s="21">
        <f t="shared" ref="O5:O30" si="3">IF(COUNTA($F5,$K5,$P5)&gt;0,O4+SUM(L5:N5),"")</f>
        <v>47000</v>
      </c>
      <c r="P5" s="8" t="s">
        <v>145</v>
      </c>
      <c r="Q5" s="9">
        <v>-12000</v>
      </c>
      <c r="R5" s="9"/>
      <c r="S5" s="48">
        <v>0</v>
      </c>
      <c r="T5" s="21">
        <f t="shared" ref="T5:T30" si="4">IF(COUNTA($F5,$K5,$P5)&gt;0,T4+SUM(Q5:S5),"")</f>
        <v>29400</v>
      </c>
      <c r="U5" s="53">
        <f>IF($J5="","",ROUND(($J5-$J$3)/1000,1)+(_xlfn.RANK.AVG($J5,($J5,$O5,$T5),1)-2)*20)</f>
        <v>-26.4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-5.6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148</v>
      </c>
      <c r="BA5" s="41" t="s">
        <v>79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138</v>
      </c>
      <c r="F6" s="8" t="s">
        <v>145</v>
      </c>
      <c r="G6" s="9">
        <v>-8000</v>
      </c>
      <c r="H6" s="9"/>
      <c r="I6" s="48">
        <v>-1000</v>
      </c>
      <c r="J6" s="21">
        <f t="shared" si="2"/>
        <v>19600</v>
      </c>
      <c r="K6" s="8"/>
      <c r="L6" s="9"/>
      <c r="M6" s="9"/>
      <c r="N6" s="48"/>
      <c r="O6" s="21">
        <f t="shared" si="3"/>
        <v>47000</v>
      </c>
      <c r="P6" s="8" t="s">
        <v>144</v>
      </c>
      <c r="Q6" s="9">
        <v>8000</v>
      </c>
      <c r="R6" s="9"/>
      <c r="S6" s="48">
        <v>1000</v>
      </c>
      <c r="T6" s="21">
        <f t="shared" si="4"/>
        <v>38400</v>
      </c>
      <c r="U6" s="53">
        <f>IF($J6="","",ROUND(($J6-$J$3)/1000,1)+(_xlfn.RANK.AVG($J6,($J6,$O6,$T6),1)-2)*20)</f>
        <v>-35.4</v>
      </c>
      <c r="V6" s="54">
        <f>IF($O6="","",ROUND(($O6-$O$3)/1000,1)+(_xlfn.RANK.AVG($O6,($J6,$O6,$T6),1)-2)*20)</f>
        <v>32</v>
      </c>
      <c r="W6" s="55">
        <f>IF($T6="","",ROUND(($T6-$T$3)/1000,1)+(_xlfn.RANK.AVG($T6,($J6,$O6,$T6),1)-2)*20)</f>
        <v>3.4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148</v>
      </c>
      <c r="BV6" s="41" t="s">
        <v>149</v>
      </c>
      <c r="BW6" s="41" t="s">
        <v>150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159</v>
      </c>
      <c r="F7" s="8"/>
      <c r="G7" s="9"/>
      <c r="H7" s="9"/>
      <c r="I7" s="48"/>
      <c r="J7" s="21">
        <f t="shared" si="2"/>
        <v>19600</v>
      </c>
      <c r="K7" s="8" t="s">
        <v>144</v>
      </c>
      <c r="L7" s="9">
        <v>8000</v>
      </c>
      <c r="M7" s="9"/>
      <c r="N7" s="48">
        <v>0</v>
      </c>
      <c r="O7" s="21">
        <f t="shared" si="3"/>
        <v>55000</v>
      </c>
      <c r="P7" s="8" t="s">
        <v>145</v>
      </c>
      <c r="Q7" s="9">
        <v>-8000</v>
      </c>
      <c r="R7" s="9"/>
      <c r="S7" s="48">
        <v>0</v>
      </c>
      <c r="T7" s="21">
        <f t="shared" si="4"/>
        <v>30400</v>
      </c>
      <c r="U7" s="53">
        <f>IF($J7="","",ROUND(($J7-$J$3)/1000,1)+(_xlfn.RANK.AVG($J7,($J7,$O7,$T7),1)-2)*20)</f>
        <v>-35.4</v>
      </c>
      <c r="V7" s="54">
        <f>IF($O7="","",ROUND(($O7-$O$3)/1000,1)+(_xlfn.RANK.AVG($O7,($J7,$O7,$T7),1)-2)*20)</f>
        <v>40</v>
      </c>
      <c r="W7" s="55">
        <f>IF($T7="","",ROUND(($T7-$T$3)/1000,1)+(_xlfn.RANK.AVG($T7,($J7,$O7,$T7),1)-2)*20)</f>
        <v>-4.5999999999999996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151</v>
      </c>
      <c r="AZ7" s="40" t="s">
        <v>148</v>
      </c>
      <c r="BA7" s="41" t="s">
        <v>149</v>
      </c>
      <c r="BB7" s="41" t="s">
        <v>84</v>
      </c>
      <c r="BC7" s="41" t="s">
        <v>83</v>
      </c>
      <c r="BD7" s="41" t="s">
        <v>85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155</v>
      </c>
      <c r="F8" s="8" t="s">
        <v>146</v>
      </c>
      <c r="G8" s="9">
        <v>-10000</v>
      </c>
      <c r="H8" s="9"/>
      <c r="I8" s="48">
        <v>0</v>
      </c>
      <c r="J8" s="21">
        <f t="shared" si="2"/>
        <v>9600</v>
      </c>
      <c r="K8" s="8" t="s">
        <v>147</v>
      </c>
      <c r="L8" s="9">
        <v>16000</v>
      </c>
      <c r="M8" s="9"/>
      <c r="N8" s="48">
        <v>0</v>
      </c>
      <c r="O8" s="21">
        <f t="shared" si="3"/>
        <v>71000</v>
      </c>
      <c r="P8" s="8" t="s">
        <v>146</v>
      </c>
      <c r="Q8" s="9">
        <v>-6000</v>
      </c>
      <c r="R8" s="9"/>
      <c r="S8" s="48">
        <v>0</v>
      </c>
      <c r="T8" s="21">
        <f t="shared" si="4"/>
        <v>24400</v>
      </c>
      <c r="U8" s="53">
        <f>IF($J8="","",ROUND(($J8-$J$3)/1000,1)+(_xlfn.RANK.AVG($J8,($J8,$O8,$T8),1)-2)*20)</f>
        <v>-45.4</v>
      </c>
      <c r="V8" s="54">
        <f>IF($O8="","",ROUND(($O8-$O$3)/1000,1)+(_xlfn.RANK.AVG($O8,($J8,$O8,$T8),1)-2)*20)</f>
        <v>56</v>
      </c>
      <c r="W8" s="55">
        <f>IF($T8="","",ROUND(($T8-$T$3)/1000,1)+(_xlfn.RANK.AVG($T8,($J8,$O8,$T8),1)-2)*20)</f>
        <v>-10.6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8</v>
      </c>
      <c r="AY8" s="30" t="s">
        <v>151</v>
      </c>
      <c r="AZ8" s="40" t="s">
        <v>148</v>
      </c>
      <c r="BA8" s="41" t="s">
        <v>82</v>
      </c>
      <c r="BB8" s="41" t="s">
        <v>79</v>
      </c>
      <c r="BC8" s="41" t="s">
        <v>79</v>
      </c>
      <c r="BD8" s="41" t="s">
        <v>80</v>
      </c>
      <c r="BE8" s="41" t="s">
        <v>80</v>
      </c>
      <c r="BF8" s="41" t="s">
        <v>80</v>
      </c>
      <c r="BG8" s="41" t="s">
        <v>80</v>
      </c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146</v>
      </c>
      <c r="G9" s="9">
        <v>-1500</v>
      </c>
      <c r="H9" s="9"/>
      <c r="I9" s="48">
        <v>0</v>
      </c>
      <c r="J9" s="21">
        <f t="shared" si="2"/>
        <v>8100</v>
      </c>
      <c r="K9" s="8" t="s">
        <v>146</v>
      </c>
      <c r="L9" s="9">
        <v>-2500</v>
      </c>
      <c r="M9" s="9"/>
      <c r="N9" s="48">
        <v>0</v>
      </c>
      <c r="O9" s="21">
        <f t="shared" si="3"/>
        <v>68500</v>
      </c>
      <c r="P9" s="8" t="s">
        <v>147</v>
      </c>
      <c r="Q9" s="9">
        <v>4000</v>
      </c>
      <c r="R9" s="9"/>
      <c r="S9" s="48">
        <v>0</v>
      </c>
      <c r="T9" s="21">
        <f t="shared" si="4"/>
        <v>28400</v>
      </c>
      <c r="U9" s="53">
        <f>IF($J9="","",ROUND(($J9-$J$3)/1000,1)+(_xlfn.RANK.AVG($J9,($J9,$O9,$T9),1)-2)*20)</f>
        <v>-46.9</v>
      </c>
      <c r="V9" s="54">
        <f>IF($O9="","",ROUND(($O9-$O$3)/1000,1)+(_xlfn.RANK.AVG($O9,($J9,$O9,$T9),1)-2)*20)</f>
        <v>53.5</v>
      </c>
      <c r="W9" s="55">
        <f>IF($T9="","",ROUND(($T9-$T$3)/1000,1)+(_xlfn.RANK.AVG($T9,($J9,$O9,$T9),1)-2)*20)</f>
        <v>-6.6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148</v>
      </c>
      <c r="BV9" s="41" t="s">
        <v>82</v>
      </c>
      <c r="BW9" s="41" t="s">
        <v>150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159</v>
      </c>
      <c r="F10" s="8" t="s">
        <v>144</v>
      </c>
      <c r="G10" s="9">
        <v>8000</v>
      </c>
      <c r="H10" s="9"/>
      <c r="I10" s="48">
        <v>0</v>
      </c>
      <c r="J10" s="21">
        <f t="shared" si="2"/>
        <v>16100</v>
      </c>
      <c r="K10" s="8"/>
      <c r="L10" s="9"/>
      <c r="M10" s="9"/>
      <c r="N10" s="48"/>
      <c r="O10" s="21">
        <f t="shared" si="3"/>
        <v>68500</v>
      </c>
      <c r="P10" s="8" t="s">
        <v>145</v>
      </c>
      <c r="Q10" s="9">
        <v>-8000</v>
      </c>
      <c r="R10" s="9"/>
      <c r="S10" s="48">
        <v>0</v>
      </c>
      <c r="T10" s="21">
        <f t="shared" si="4"/>
        <v>20400</v>
      </c>
      <c r="U10" s="53">
        <f>IF($J10="","",ROUND(($J10-$J$3)/1000,1)+(_xlfn.RANK.AVG($J10,($J10,$O10,$T10),1)-2)*20)</f>
        <v>-38.9</v>
      </c>
      <c r="V10" s="54">
        <f>IF($O10="","",ROUND(($O10-$O$3)/1000,1)+(_xlfn.RANK.AVG($O10,($J10,$O10,$T10),1)-2)*20)</f>
        <v>53.5</v>
      </c>
      <c r="W10" s="55">
        <f>IF($T10="","",ROUND(($T10-$T$3)/1000,1)+(_xlfn.RANK.AVG($T10,($J10,$O10,$T10),1)-2)*20)</f>
        <v>-14.6</v>
      </c>
      <c r="Y10" s="8"/>
      <c r="Z10" s="34"/>
      <c r="AA10" s="26">
        <v>1</v>
      </c>
      <c r="AB10" s="26"/>
      <c r="AC10" s="26">
        <v>5</v>
      </c>
      <c r="AD10" s="30" t="s">
        <v>151</v>
      </c>
      <c r="AE10" s="40" t="s">
        <v>148</v>
      </c>
      <c r="AF10" s="41" t="s">
        <v>83</v>
      </c>
      <c r="AG10" s="41" t="s">
        <v>79</v>
      </c>
      <c r="AH10" s="41" t="s">
        <v>150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B16989A-9A7A-4313-B579-D29A520B3D19}">
      <formula1>$U$2:$W$2</formula1>
    </dataValidation>
    <dataValidation type="list" showInputMessage="1" showErrorMessage="1" sqref="K4:K30 P4:P30 F4:F30" xr:uid="{5DD48B99-7657-4454-A4CE-A4FEB55E099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C6BC-8D25-47AF-A98D-4E3CE82C318C}">
  <sheetPr codeName="Sheet13">
    <pageSetUpPr fitToPage="1"/>
  </sheetPr>
  <dimension ref="A1:CI30"/>
  <sheetViews>
    <sheetView zoomScale="96" zoomScaleNormal="96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156</v>
      </c>
      <c r="G1" s="73"/>
      <c r="H1" s="73"/>
      <c r="I1" s="74"/>
      <c r="J1" s="75"/>
      <c r="K1" s="72" t="s">
        <v>139</v>
      </c>
      <c r="L1" s="73"/>
      <c r="M1" s="73"/>
      <c r="N1" s="74"/>
      <c r="O1" s="75"/>
      <c r="P1" s="72" t="s">
        <v>160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145</v>
      </c>
      <c r="L4" s="9">
        <v>-7700</v>
      </c>
      <c r="M4" s="9"/>
      <c r="N4" s="48">
        <v>0</v>
      </c>
      <c r="O4" s="21">
        <f>IF(COUNTA($F4,$K4,$P4)&gt;0,O3+SUM(L4:N4),"")</f>
        <v>27300</v>
      </c>
      <c r="P4" s="8" t="s">
        <v>144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-27.7</v>
      </c>
      <c r="W4" s="55">
        <f>IF($T4="","",ROUND(($T4-$T$3)/1000,1)+(_xlfn.RANK.AVG($T4,($J4,$O4,$T4),1)-2)*20)</f>
        <v>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30</v>
      </c>
      <c r="BU4" s="40" t="s">
        <v>83</v>
      </c>
      <c r="BV4" s="41" t="s">
        <v>150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159</v>
      </c>
      <c r="F5" s="8" t="s">
        <v>147</v>
      </c>
      <c r="G5" s="9">
        <v>12000</v>
      </c>
      <c r="H5" s="9"/>
      <c r="I5" s="48">
        <v>0</v>
      </c>
      <c r="J5" s="21">
        <f t="shared" ref="J5:J30" si="2">IF(COUNTA($F5,$K5,$P5)&gt;0,J4+SUM(G5:I5),"")</f>
        <v>47000</v>
      </c>
      <c r="K5" s="8" t="s">
        <v>146</v>
      </c>
      <c r="L5" s="9">
        <v>-4500</v>
      </c>
      <c r="M5" s="9"/>
      <c r="N5" s="48">
        <v>0</v>
      </c>
      <c r="O5" s="21">
        <f t="shared" ref="O5:O30" si="3">IF(COUNTA($F5,$K5,$P5)&gt;0,O4+SUM(L5:N5),"")</f>
        <v>22800</v>
      </c>
      <c r="P5" s="8" t="s">
        <v>146</v>
      </c>
      <c r="Q5" s="9">
        <v>-7500</v>
      </c>
      <c r="R5" s="9"/>
      <c r="S5" s="48">
        <v>0</v>
      </c>
      <c r="T5" s="21">
        <f t="shared" ref="T5:T30" si="4">IF(COUNTA($F5,$K5,$P5)&gt;0,T4+SUM(Q5:S5),"")</f>
        <v>35200</v>
      </c>
      <c r="U5" s="53">
        <f>IF($J5="","",ROUND(($J5-$J$3)/1000,1)+(_xlfn.RANK.AVG($J5,($J5,$O5,$T5),1)-2)*20)</f>
        <v>32</v>
      </c>
      <c r="V5" s="54">
        <f>IF($O5="","",ROUND(($O5-$O$3)/1000,1)+(_xlfn.RANK.AVG($O5,($J5,$O5,$T5),1)-2)*20)</f>
        <v>-32.200000000000003</v>
      </c>
      <c r="W5" s="55">
        <f>IF($T5="","",ROUND(($T5-$T$3)/1000,1)+(_xlfn.RANK.AVG($T5,($J5,$O5,$T5),1)-2)*20)</f>
        <v>0.2</v>
      </c>
      <c r="Y5" s="8"/>
      <c r="Z5" s="34"/>
      <c r="AA5" s="26">
        <v>1</v>
      </c>
      <c r="AB5" s="26"/>
      <c r="AC5" s="26">
        <v>7</v>
      </c>
      <c r="AD5" s="30" t="s">
        <v>151</v>
      </c>
      <c r="AE5" s="40" t="s">
        <v>148</v>
      </c>
      <c r="AF5" s="41" t="s">
        <v>82</v>
      </c>
      <c r="AG5" s="41" t="s">
        <v>79</v>
      </c>
      <c r="AH5" s="41" t="s">
        <v>80</v>
      </c>
      <c r="AI5" s="41" t="s">
        <v>80</v>
      </c>
      <c r="AJ5" s="41" t="s">
        <v>86</v>
      </c>
      <c r="AK5" s="41" t="s">
        <v>150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155</v>
      </c>
      <c r="F6" s="8" t="s">
        <v>154</v>
      </c>
      <c r="G6" s="9">
        <v>-1500</v>
      </c>
      <c r="H6" s="9"/>
      <c r="I6" s="48"/>
      <c r="J6" s="21">
        <f t="shared" si="2"/>
        <v>45500</v>
      </c>
      <c r="K6" s="8" t="s">
        <v>154</v>
      </c>
      <c r="L6" s="9">
        <v>3000</v>
      </c>
      <c r="M6" s="9"/>
      <c r="N6" s="48"/>
      <c r="O6" s="21">
        <f t="shared" si="3"/>
        <v>25800</v>
      </c>
      <c r="P6" s="8" t="s">
        <v>154</v>
      </c>
      <c r="Q6" s="9">
        <v>-1500</v>
      </c>
      <c r="R6" s="9"/>
      <c r="S6" s="48"/>
      <c r="T6" s="21">
        <f t="shared" si="4"/>
        <v>33700</v>
      </c>
      <c r="U6" s="53">
        <f>IF($J6="","",ROUND(($J6-$J$3)/1000,1)+(_xlfn.RANK.AVG($J6,($J6,$O6,$T6),1)-2)*20)</f>
        <v>30.5</v>
      </c>
      <c r="V6" s="54">
        <f>IF($O6="","",ROUND(($O6-$O$3)/1000,1)+(_xlfn.RANK.AVG($O6,($J6,$O6,$T6),1)-2)*20)</f>
        <v>-29.2</v>
      </c>
      <c r="W6" s="55">
        <f>IF($T6="","",ROUND(($T6-$T$3)/1000,1)+(_xlfn.RANK.AVG($T6,($J6,$O6,$T6),1)-2)*20)</f>
        <v>-1.3</v>
      </c>
      <c r="Y6" s="8" t="s">
        <v>153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152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153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0</v>
      </c>
      <c r="E7" s="4" t="s">
        <v>138</v>
      </c>
      <c r="F7" s="8" t="s">
        <v>145</v>
      </c>
      <c r="G7" s="9">
        <v>-5800</v>
      </c>
      <c r="H7" s="9"/>
      <c r="I7" s="48">
        <v>-1000</v>
      </c>
      <c r="J7" s="21">
        <f t="shared" si="2"/>
        <v>38700</v>
      </c>
      <c r="K7" s="8" t="s">
        <v>144</v>
      </c>
      <c r="L7" s="9">
        <v>5800</v>
      </c>
      <c r="M7" s="9">
        <v>1000</v>
      </c>
      <c r="N7" s="48">
        <v>1000</v>
      </c>
      <c r="O7" s="21">
        <f t="shared" si="3"/>
        <v>33600</v>
      </c>
      <c r="P7" s="8"/>
      <c r="Q7" s="9"/>
      <c r="R7" s="9">
        <v>-1000</v>
      </c>
      <c r="S7" s="48"/>
      <c r="T7" s="21">
        <f t="shared" si="4"/>
        <v>32700</v>
      </c>
      <c r="U7" s="53">
        <f>IF($J7="","",ROUND(($J7-$J$3)/1000,1)+(_xlfn.RANK.AVG($J7,($J7,$O7,$T7),1)-2)*20)</f>
        <v>23.7</v>
      </c>
      <c r="V7" s="54">
        <f>IF($O7="","",ROUND(($O7-$O$3)/1000,1)+(_xlfn.RANK.AVG($O7,($J7,$O7,$T7),1)-2)*20)</f>
        <v>-1.4</v>
      </c>
      <c r="W7" s="55">
        <f>IF($T7="","",ROUND(($T7-$T$3)/1000,1)+(_xlfn.RANK.AVG($T7,($J7,$O7,$T7),1)-2)*20)</f>
        <v>-22.3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104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0</v>
      </c>
      <c r="E8" s="4" t="s">
        <v>138</v>
      </c>
      <c r="F8" s="8"/>
      <c r="G8" s="9"/>
      <c r="H8" s="9"/>
      <c r="I8" s="48"/>
      <c r="J8" s="21">
        <f t="shared" si="2"/>
        <v>38700</v>
      </c>
      <c r="K8" s="8" t="s">
        <v>144</v>
      </c>
      <c r="L8" s="9">
        <v>1500</v>
      </c>
      <c r="M8" s="9"/>
      <c r="N8" s="48">
        <v>2000</v>
      </c>
      <c r="O8" s="21">
        <f t="shared" si="3"/>
        <v>37100</v>
      </c>
      <c r="P8" s="8" t="s">
        <v>145</v>
      </c>
      <c r="Q8" s="9">
        <v>-1500</v>
      </c>
      <c r="R8" s="9"/>
      <c r="S8" s="48">
        <v>-2000</v>
      </c>
      <c r="T8" s="21">
        <f t="shared" si="4"/>
        <v>29200</v>
      </c>
      <c r="U8" s="53">
        <f>IF($J8="","",ROUND(($J8-$J$3)/1000,1)+(_xlfn.RANK.AVG($J8,($J8,$O8,$T8),1)-2)*20)</f>
        <v>23.7</v>
      </c>
      <c r="V8" s="54">
        <f>IF($O8="","",ROUND(($O8-$O$3)/1000,1)+(_xlfn.RANK.AVG($O8,($J8,$O8,$T8),1)-2)*20)</f>
        <v>2.1</v>
      </c>
      <c r="W8" s="55">
        <f>IF($T8="","",ROUND(($T8-$T$3)/1000,1)+(_xlfn.RANK.AVG($T8,($J8,$O8,$T8),1)-2)*20)</f>
        <v>-25.8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138</v>
      </c>
      <c r="F9" s="8" t="s">
        <v>147</v>
      </c>
      <c r="G9" s="9">
        <v>8000</v>
      </c>
      <c r="H9" s="9"/>
      <c r="I9" s="48">
        <v>3000</v>
      </c>
      <c r="J9" s="21">
        <f t="shared" si="2"/>
        <v>49700</v>
      </c>
      <c r="K9" s="8" t="s">
        <v>146</v>
      </c>
      <c r="L9" s="9">
        <v>-5000</v>
      </c>
      <c r="M9" s="9"/>
      <c r="N9" s="48">
        <v>-1500</v>
      </c>
      <c r="O9" s="21">
        <f t="shared" si="3"/>
        <v>30600</v>
      </c>
      <c r="P9" s="8" t="s">
        <v>146</v>
      </c>
      <c r="Q9" s="9">
        <v>-3000</v>
      </c>
      <c r="R9" s="9"/>
      <c r="S9" s="48">
        <v>-1500</v>
      </c>
      <c r="T9" s="21">
        <f t="shared" si="4"/>
        <v>24700</v>
      </c>
      <c r="U9" s="53">
        <f>IF($J9="","",ROUND(($J9-$J$3)/1000,1)+(_xlfn.RANK.AVG($J9,($J9,$O9,$T9),1)-2)*20)</f>
        <v>34.700000000000003</v>
      </c>
      <c r="V9" s="54">
        <f>IF($O9="","",ROUND(($O9-$O$3)/1000,1)+(_xlfn.RANK.AVG($O9,($J9,$O9,$T9),1)-2)*20)</f>
        <v>-4.4000000000000004</v>
      </c>
      <c r="W9" s="55">
        <f>IF($T9="","",ROUND(($T9-$T$3)/1000,1)+(_xlfn.RANK.AVG($T9,($J9,$O9,$T9),1)-2)*20)</f>
        <v>-30.3</v>
      </c>
      <c r="Y9" s="8"/>
      <c r="Z9" s="34"/>
      <c r="AA9" s="26">
        <v>1</v>
      </c>
      <c r="AB9" s="26"/>
      <c r="AC9" s="26">
        <v>5</v>
      </c>
      <c r="AD9" s="30" t="s">
        <v>151</v>
      </c>
      <c r="AE9" s="40" t="s">
        <v>148</v>
      </c>
      <c r="AF9" s="41" t="s">
        <v>82</v>
      </c>
      <c r="AG9" s="41" t="s">
        <v>80</v>
      </c>
      <c r="AH9" s="41" t="s">
        <v>80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159</v>
      </c>
      <c r="F10" s="8" t="s">
        <v>146</v>
      </c>
      <c r="G10" s="9">
        <v>-800</v>
      </c>
      <c r="H10" s="9"/>
      <c r="I10" s="48">
        <v>0</v>
      </c>
      <c r="J10" s="21">
        <f t="shared" si="2"/>
        <v>48900</v>
      </c>
      <c r="K10" s="8" t="s">
        <v>147</v>
      </c>
      <c r="L10" s="9">
        <v>2100</v>
      </c>
      <c r="M10" s="9"/>
      <c r="N10" s="48">
        <v>0</v>
      </c>
      <c r="O10" s="21">
        <f t="shared" si="3"/>
        <v>32700</v>
      </c>
      <c r="P10" s="8" t="s">
        <v>146</v>
      </c>
      <c r="Q10" s="9">
        <v>-1300</v>
      </c>
      <c r="R10" s="9"/>
      <c r="S10" s="48">
        <v>0</v>
      </c>
      <c r="T10" s="21">
        <f t="shared" si="4"/>
        <v>23400</v>
      </c>
      <c r="U10" s="53">
        <f>IF($J10="","",ROUND(($J10-$J$3)/1000,1)+(_xlfn.RANK.AVG($J10,($J10,$O10,$T10),1)-2)*20)</f>
        <v>33.9</v>
      </c>
      <c r="V10" s="54">
        <f>IF($O10="","",ROUND(($O10-$O$3)/1000,1)+(_xlfn.RANK.AVG($O10,($J10,$O10,$T10),1)-2)*20)</f>
        <v>-2.2999999999999998</v>
      </c>
      <c r="W10" s="55">
        <f>IF($T10="","",ROUND(($T10-$T$3)/1000,1)+(_xlfn.RANK.AVG($T10,($J10,$O10,$T10),1)-2)*20)</f>
        <v>-31.6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155</v>
      </c>
      <c r="F11" s="8" t="s">
        <v>146</v>
      </c>
      <c r="G11" s="9">
        <v>-3300</v>
      </c>
      <c r="H11" s="9"/>
      <c r="I11" s="48">
        <v>0</v>
      </c>
      <c r="J11" s="21">
        <f t="shared" si="2"/>
        <v>45600</v>
      </c>
      <c r="K11" s="8" t="s">
        <v>147</v>
      </c>
      <c r="L11" s="9">
        <v>5300</v>
      </c>
      <c r="M11" s="9"/>
      <c r="N11" s="48">
        <v>0</v>
      </c>
      <c r="O11" s="21">
        <f t="shared" si="3"/>
        <v>38000</v>
      </c>
      <c r="P11" s="8" t="s">
        <v>146</v>
      </c>
      <c r="Q11" s="9">
        <v>-2000</v>
      </c>
      <c r="R11" s="9"/>
      <c r="S11" s="48">
        <v>0</v>
      </c>
      <c r="T11" s="21">
        <f t="shared" si="4"/>
        <v>21400</v>
      </c>
      <c r="U11" s="53">
        <f>IF($J11="","",ROUND(($J11-$J$3)/1000,1)+(_xlfn.RANK.AVG($J11,($J11,$O11,$T11),1)-2)*20)</f>
        <v>30.6</v>
      </c>
      <c r="V11" s="54">
        <f>IF($O11="","",ROUND(($O11-$O$3)/1000,1)+(_xlfn.RANK.AVG($O11,($J11,$O11,$T11),1)-2)*20)</f>
        <v>3</v>
      </c>
      <c r="W11" s="55">
        <f>IF($T11="","",ROUND(($T11-$T$3)/1000,1)+(_xlfn.RANK.AVG($T11,($J11,$O11,$T11),1)-2)*20)</f>
        <v>-33.6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20</v>
      </c>
      <c r="AZ11" s="40" t="s">
        <v>161</v>
      </c>
      <c r="BA11" s="41" t="s">
        <v>82</v>
      </c>
      <c r="BB11" s="41" t="s">
        <v>83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A20D40B-8788-4CCF-9512-D625D6F365BA}">
      <formula1>"ロン,ツモ,放銃,ツモ支払,流局,チョンボ"</formula1>
    </dataValidation>
    <dataValidation type="list" allowBlank="1" showInputMessage="1" showErrorMessage="1" sqref="E4:E30" xr:uid="{1E02477B-309B-4270-8EB1-96D543C942C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2019-05-16T17:08:59Z</dcterms:modified>
</cp:coreProperties>
</file>