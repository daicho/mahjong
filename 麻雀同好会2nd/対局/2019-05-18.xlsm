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AFFF561B-91E7-47D0-B6C0-ECEE7429CAE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D12" i="21"/>
  <c r="D11" i="21"/>
  <c r="D10" i="21"/>
  <c r="C10" i="21"/>
  <c r="C11" i="21" s="1"/>
  <c r="C12" i="21" s="1"/>
  <c r="D9" i="21"/>
  <c r="C9" i="21"/>
  <c r="D8" i="21"/>
  <c r="C8" i="21"/>
  <c r="D7" i="21"/>
  <c r="C7" i="21"/>
  <c r="D6" i="21"/>
  <c r="C6" i="21"/>
  <c r="B6" i="21"/>
  <c r="B7" i="21" s="1"/>
  <c r="J5" i="21"/>
  <c r="D5" i="21"/>
  <c r="C5" i="21"/>
  <c r="B5" i="21"/>
  <c r="A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D11" i="20"/>
  <c r="C11" i="20"/>
  <c r="C12" i="20" s="1"/>
  <c r="C13" i="20" s="1"/>
  <c r="D10" i="20"/>
  <c r="D9" i="20"/>
  <c r="D8" i="20"/>
  <c r="D7" i="20"/>
  <c r="C7" i="20"/>
  <c r="C8" i="20" s="1"/>
  <c r="C9" i="20" s="1"/>
  <c r="C10" i="20" s="1"/>
  <c r="B7" i="20"/>
  <c r="B8" i="20" s="1"/>
  <c r="D6" i="20"/>
  <c r="C6" i="20"/>
  <c r="B6" i="20"/>
  <c r="O5" i="20"/>
  <c r="J5" i="20"/>
  <c r="D5" i="20"/>
  <c r="C5" i="20"/>
  <c r="B5" i="20"/>
  <c r="A5" i="20"/>
  <c r="A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A5" i="21" l="1"/>
  <c r="V4" i="21"/>
  <c r="W4" i="21"/>
  <c r="A7" i="21"/>
  <c r="B8" i="21"/>
  <c r="U4" i="21"/>
  <c r="O5" i="21"/>
  <c r="U5" i="21" s="1"/>
  <c r="T5" i="21"/>
  <c r="J6" i="21"/>
  <c r="V4" i="20"/>
  <c r="U4" i="20"/>
  <c r="B9" i="20"/>
  <c r="A7" i="20"/>
  <c r="A8" i="20" s="1"/>
  <c r="T5" i="20"/>
  <c r="U5" i="20" s="1"/>
  <c r="J6" i="20"/>
  <c r="O6" i="20"/>
  <c r="A8" i="21" l="1"/>
  <c r="J7" i="21"/>
  <c r="W5" i="21"/>
  <c r="T6" i="21"/>
  <c r="V5" i="21"/>
  <c r="O6" i="21"/>
  <c r="U6" i="21" s="1"/>
  <c r="B9" i="21"/>
  <c r="A9" i="21" s="1"/>
  <c r="A9" i="20"/>
  <c r="V5" i="20"/>
  <c r="O7" i="20"/>
  <c r="J7" i="20"/>
  <c r="W5" i="20"/>
  <c r="T6" i="20"/>
  <c r="V6" i="20" s="1"/>
  <c r="B10" i="20"/>
  <c r="A10" i="20" s="1"/>
  <c r="B10" i="21" l="1"/>
  <c r="A10" i="21" s="1"/>
  <c r="V6" i="21"/>
  <c r="O7" i="21"/>
  <c r="U7" i="21" s="1"/>
  <c r="J8" i="21"/>
  <c r="W6" i="21"/>
  <c r="T7" i="21"/>
  <c r="U6" i="20"/>
  <c r="J8" i="20"/>
  <c r="O8" i="20"/>
  <c r="B11" i="20"/>
  <c r="A11" i="20" s="1"/>
  <c r="W6" i="20"/>
  <c r="T7" i="20"/>
  <c r="U7" i="20" s="1"/>
  <c r="T8" i="21" l="1"/>
  <c r="W7" i="21"/>
  <c r="J9" i="21"/>
  <c r="O8" i="21"/>
  <c r="V7" i="21"/>
  <c r="B11" i="21"/>
  <c r="V7" i="20"/>
  <c r="W7" i="20"/>
  <c r="T8" i="20"/>
  <c r="O9" i="20"/>
  <c r="V8" i="20"/>
  <c r="B12" i="20"/>
  <c r="U8" i="20"/>
  <c r="J9" i="20"/>
  <c r="B12" i="21" l="1"/>
  <c r="A12" i="21" s="1"/>
  <c r="A11" i="21"/>
  <c r="W8" i="21"/>
  <c r="T9" i="21"/>
  <c r="V8" i="21"/>
  <c r="O9" i="21"/>
  <c r="U9" i="21"/>
  <c r="J10" i="21"/>
  <c r="U8" i="21"/>
  <c r="B13" i="20"/>
  <c r="A13" i="20" s="1"/>
  <c r="J10" i="20"/>
  <c r="A12" i="20"/>
  <c r="O10" i="20"/>
  <c r="W8" i="20"/>
  <c r="T9" i="20"/>
  <c r="U9" i="20" s="1"/>
  <c r="V9" i="21" l="1"/>
  <c r="O10" i="21"/>
  <c r="W9" i="21"/>
  <c r="T10" i="21"/>
  <c r="U10" i="21"/>
  <c r="J11" i="21"/>
  <c r="W9" i="20"/>
  <c r="T10" i="20"/>
  <c r="U10" i="20"/>
  <c r="J11" i="20"/>
  <c r="V10" i="20"/>
  <c r="O11" i="20"/>
  <c r="V9" i="20"/>
  <c r="V10" i="21" l="1"/>
  <c r="O11" i="21"/>
  <c r="J12" i="21"/>
  <c r="W10" i="21"/>
  <c r="T11" i="21"/>
  <c r="O12" i="20"/>
  <c r="J12" i="20"/>
  <c r="W10" i="20"/>
  <c r="T11" i="20"/>
  <c r="V11" i="20" s="1"/>
  <c r="O12" i="21" l="1"/>
  <c r="V11" i="21"/>
  <c r="T12" i="21"/>
  <c r="W11" i="21"/>
  <c r="U12" i="21"/>
  <c r="U11" i="21"/>
  <c r="U11" i="20"/>
  <c r="J13" i="20"/>
  <c r="W11" i="20"/>
  <c r="T12" i="20"/>
  <c r="U12" i="20" s="1"/>
  <c r="V12" i="20"/>
  <c r="O13" i="20"/>
  <c r="V12" i="21" l="1"/>
  <c r="W12" i="21"/>
  <c r="U13" i="20"/>
  <c r="V13" i="20"/>
  <c r="W12" i="20"/>
  <c r="T13" i="20"/>
  <c r="W13" i="20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U13" i="19" l="1"/>
  <c r="V13" i="19"/>
  <c r="U12" i="19"/>
  <c r="W12" i="19"/>
  <c r="V11" i="19"/>
  <c r="W11" i="19"/>
  <c r="U10" i="19"/>
  <c r="W10" i="19"/>
  <c r="V9" i="19"/>
  <c r="W9" i="19"/>
  <c r="W8" i="19"/>
  <c r="V7" i="19"/>
  <c r="W7" i="19"/>
  <c r="W6" i="19"/>
  <c r="T5" i="19"/>
  <c r="V4" i="19"/>
  <c r="U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<sst xmlns="http://schemas.openxmlformats.org/spreadsheetml/2006/main" count="784" uniqueCount="156">
  <si>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</si>
  <si>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</si>
  <si>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</si>
  <si>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</si>
  <si>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</si>
  <si>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</si>
  <si>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</si>
  <si>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</si>
  <si>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</si>
  <si>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</si>
  <si>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</si>
  <si>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</si>
  <si>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</si>
  <si>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</si>
  <si>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</si>
  <si>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</si>
  <si>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</si>
  <si>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</si>
  <si>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</si>
  <si>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</si>
  <si>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</si>
  <si>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</si>
  <si>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</si>
  <si>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</si>
  <si>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</si>
  <si>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</si>
  <si>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</si>
  <si>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</si>
  <si>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</si>
  <si>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</si>
  <si>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</si>
  <si>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</si>
  <si>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</si>
  <si>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</si>
  <si>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</si>
  <si>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</si>
  <si>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</si>
  <si>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</si>
  <si>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</si>
  <si>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</si>
  <si>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</si>
  <si>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</si>
  <si>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</si>
  <si>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</si>
  <si>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</si>
  <si>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</si>
  <si>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</si>
  <si>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</si>
  <si>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</si>
  <si>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</si>
  <si>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</si>
  <si>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</si>
  <si>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</si>
  <si>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</si>
  <si>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</si>
  <si>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</si>
  <si>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</si>
  <si>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</si>
  <si>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</si>
  <si>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</si>
  <si>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</si>
  <si>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</si>
  <si>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</si>
  <si>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</si>
  <si>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</si>
  <si>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</si>
  <si>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</si>
  <si>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</si>
  <si>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</si>
  <si>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</si>
  <si>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</si>
  <si>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</si>
  <si>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</si>
  <si>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</si>
  <si>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</si>
  <si>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</si>
  <si>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</si>
  <si>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</si>
  <si>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</si>
  <si>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</si>
  <si>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</si>
  <si>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</si>
  <si>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</si>
  <si>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</si>
  <si>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</si>
  <si>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</si>
  <si>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</si>
  <si>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</si>
  <si>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</si>
  <si>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</si>
  <si>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</si>
  <si>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</si>
  <si>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</si>
  <si>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</si>
  <si>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</si>
  <si>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</si>
  <si>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</si>
  <si>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</si>
  <si>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</si>
  <si>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</si>
  <si>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</si>
  <si>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</si>
  <si>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</si>
  <si>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</si>
  <si>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</si>
  <si>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</si>
  <si>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</si>
  <si>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</si>
  <si>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</si>
  <si>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</si>
  <si>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</si>
  <si>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</si>
  <si>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</si>
  <si>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</si>
  <si>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</si>
  <si>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</si>
  <si>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</si>
  <si>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</si>
  <si>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</si>
  <si>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</si>
  <si>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</si>
  <si>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</si>
  <si>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</si>
  <si>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</si>
  <si>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</si>
  <si>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</si>
  <si>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</si>
  <si>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</si>
  <si>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</si>
  <si>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</si>
  <si>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</si>
  <si>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</si>
  <si>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</si>
  <si>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</si>
  <si>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</si>
  <si>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</si>
  <si>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</si>
  <si>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</si>
  <si>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</si>
  <si>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</si>
  <si>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りくと</t>
  </si>
  <si>
    <t>りくと</t>
    <phoneticPr fontId="1"/>
  </si>
  <si>
    <t>ただ</t>
  </si>
  <si>
    <t>ただ</t>
    <phoneticPr fontId="1"/>
  </si>
  <si>
    <t>ツモ</t>
  </si>
  <si>
    <t>ツモ支払</t>
  </si>
  <si>
    <t>52</t>
  </si>
  <si>
    <t>T</t>
  </si>
  <si>
    <t>N</t>
  </si>
  <si>
    <t>流局</t>
    <phoneticPr fontId="1"/>
  </si>
  <si>
    <t>放銃</t>
  </si>
  <si>
    <t>ロン</t>
  </si>
  <si>
    <t>01</t>
  </si>
  <si>
    <t>*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</si>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</sst>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145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-16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86</v>
      </c>
      <c r="AH4" s="41" t="s">
        <v>146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149</v>
      </c>
      <c r="G5" s="9">
        <v>1500</v>
      </c>
      <c r="H5" s="9">
        <v>-1000</v>
      </c>
      <c r="I5" s="48"/>
      <c r="J5" s="21">
        <f t="shared" ref="J5:J30" si="2">IF(COUNTA($F5,$K5,$P5)&gt;0,J4+SUM(G5:I5),"")</f>
        <v>47500</v>
      </c>
      <c r="K5" s="8" t="s">
        <v>149</v>
      </c>
      <c r="L5" s="9">
        <v>1500</v>
      </c>
      <c r="M5" s="9">
        <v>-1000</v>
      </c>
      <c r="N5" s="48"/>
      <c r="O5" s="21">
        <f t="shared" ref="O5:O30" si="3">IF(COUNTA($F5,$K5,$P5)&gt;0,O4+SUM(L5:N5),"")</f>
        <v>29500</v>
      </c>
      <c r="P5" s="8" t="s">
        <v>149</v>
      </c>
      <c r="Q5" s="9">
        <v>-3000</v>
      </c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32.5</v>
      </c>
      <c r="V5" s="54">
        <f>IF($O5="","",ROUND(($O5-$O$3)/1000,1)+(_xlfn.RANK.AVG($O5,($J5,$O5,$T5),1)-2)*20)</f>
        <v>-5.5</v>
      </c>
      <c r="W5" s="55">
        <f>IF($T5="","",ROUND(($T5-$T$3)/1000,1)+(_xlfn.RANK.AVG($T5,($J5,$O5,$T5),1)-2)*20)</f>
        <v>-29</v>
      </c>
      <c r="Y5" s="8" t="s">
        <v>147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148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138</v>
      </c>
      <c r="F6" s="8"/>
      <c r="G6" s="9"/>
      <c r="H6" s="9"/>
      <c r="I6" s="48"/>
      <c r="J6" s="21">
        <f t="shared" si="2"/>
        <v>47500</v>
      </c>
      <c r="K6" s="8" t="s">
        <v>150</v>
      </c>
      <c r="L6" s="9">
        <v>-3900</v>
      </c>
      <c r="M6" s="9"/>
      <c r="N6" s="48">
        <v>-2000</v>
      </c>
      <c r="O6" s="21">
        <f t="shared" si="3"/>
        <v>23600</v>
      </c>
      <c r="P6" s="8" t="s">
        <v>151</v>
      </c>
      <c r="Q6" s="9">
        <v>3900</v>
      </c>
      <c r="R6" s="9">
        <v>2000</v>
      </c>
      <c r="S6" s="48">
        <v>2000</v>
      </c>
      <c r="T6" s="21">
        <f t="shared" si="4"/>
        <v>33900</v>
      </c>
      <c r="U6" s="53">
        <f>IF($J6="","",ROUND(($J6-$J$3)/1000,1)+(_xlfn.RANK.AVG($J6,($J6,$O6,$T6),1)-2)*20)</f>
        <v>32.5</v>
      </c>
      <c r="V6" s="54">
        <f>IF($O6="","",ROUND(($O6-$O$3)/1000,1)+(_xlfn.RANK.AVG($O6,($J6,$O6,$T6),1)-2)*20)</f>
        <v>-31.4</v>
      </c>
      <c r="W6" s="55">
        <f>IF($T6="","",ROUND(($T6-$T$3)/1000,1)+(_xlfn.RANK.AVG($T6,($J6,$O6,$T6),1)-2)*20)</f>
        <v>-1.1000000000000001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47500</v>
      </c>
      <c r="K7" s="8" t="s">
        <v>151</v>
      </c>
      <c r="L7" s="9">
        <v>7700</v>
      </c>
      <c r="M7" s="9"/>
      <c r="N7" s="48">
        <v>0</v>
      </c>
      <c r="O7" s="21">
        <f t="shared" si="3"/>
        <v>31300</v>
      </c>
      <c r="P7" s="8" t="s">
        <v>150</v>
      </c>
      <c r="Q7" s="9">
        <v>-7700</v>
      </c>
      <c r="R7" s="9"/>
      <c r="S7" s="48">
        <v>0</v>
      </c>
      <c r="T7" s="21">
        <f t="shared" si="4"/>
        <v>26200</v>
      </c>
      <c r="U7" s="53">
        <f>IF($J7="","",ROUND(($J7-$J$3)/1000,1)+(_xlfn.RANK.AVG($J7,($J7,$O7,$T7),1)-2)*20)</f>
        <v>32.5</v>
      </c>
      <c r="V7" s="54">
        <f>IF($O7="","",ROUND(($O7-$O$3)/1000,1)+(_xlfn.RANK.AVG($O7,($J7,$O7,$T7),1)-2)*20)</f>
        <v>-3.7</v>
      </c>
      <c r="W7" s="55">
        <f>IF($T7="","",ROUND(($T7-$T$3)/1000,1)+(_xlfn.RANK.AVG($T7,($J7,$O7,$T7),1)-2)*20)</f>
        <v>-28.8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152</v>
      </c>
      <c r="BA7" s="41" t="s">
        <v>146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140</v>
      </c>
      <c r="F8" s="8" t="s">
        <v>149</v>
      </c>
      <c r="G8" s="9">
        <v>1500</v>
      </c>
      <c r="H8" s="9">
        <v>-1000</v>
      </c>
      <c r="I8" s="48"/>
      <c r="J8" s="21">
        <f t="shared" si="2"/>
        <v>48000</v>
      </c>
      <c r="K8" s="8" t="s">
        <v>149</v>
      </c>
      <c r="L8" s="9">
        <v>1500</v>
      </c>
      <c r="M8" s="9">
        <v>-1000</v>
      </c>
      <c r="N8" s="48"/>
      <c r="O8" s="21">
        <f t="shared" si="3"/>
        <v>31800</v>
      </c>
      <c r="P8" s="8" t="s">
        <v>149</v>
      </c>
      <c r="Q8" s="9">
        <v>-3000</v>
      </c>
      <c r="R8" s="9"/>
      <c r="S8" s="48"/>
      <c r="T8" s="21">
        <f t="shared" si="4"/>
        <v>23200</v>
      </c>
      <c r="U8" s="53">
        <f>IF($J8="","",ROUND(($J8-$J$3)/1000,1)+(_xlfn.RANK.AVG($J8,($J8,$O8,$T8),1)-2)*20)</f>
        <v>33</v>
      </c>
      <c r="V8" s="54">
        <f>IF($O8="","",ROUND(($O8-$O$3)/1000,1)+(_xlfn.RANK.AVG($O8,($J8,$O8,$T8),1)-2)*20)</f>
        <v>-3.2</v>
      </c>
      <c r="W8" s="55">
        <f>IF($T8="","",ROUND(($T8-$T$3)/1000,1)+(_xlfn.RANK.AVG($T8,($J8,$O8,$T8),1)-2)*20)</f>
        <v>-31.8</v>
      </c>
      <c r="Y8" s="8" t="s">
        <v>147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147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148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2</v>
      </c>
      <c r="E9" s="4" t="s">
        <v>140</v>
      </c>
      <c r="F9" s="8" t="s">
        <v>149</v>
      </c>
      <c r="G9" s="9">
        <v>3000</v>
      </c>
      <c r="H9" s="9"/>
      <c r="I9" s="48"/>
      <c r="J9" s="21">
        <f t="shared" si="2"/>
        <v>51000</v>
      </c>
      <c r="K9" s="8" t="s">
        <v>149</v>
      </c>
      <c r="L9" s="9">
        <v>-1500</v>
      </c>
      <c r="M9" s="9"/>
      <c r="N9" s="48"/>
      <c r="O9" s="21">
        <f t="shared" si="3"/>
        <v>30300</v>
      </c>
      <c r="P9" s="8" t="s">
        <v>149</v>
      </c>
      <c r="Q9" s="9">
        <v>-1500</v>
      </c>
      <c r="R9" s="9"/>
      <c r="S9" s="48"/>
      <c r="T9" s="21">
        <f t="shared" si="4"/>
        <v>21700</v>
      </c>
      <c r="U9" s="53">
        <f>IF($J9="","",ROUND(($J9-$J$3)/1000,1)+(_xlfn.RANK.AVG($J9,($J9,$O9,$T9),1)-2)*20)</f>
        <v>36</v>
      </c>
      <c r="V9" s="54">
        <f>IF($O9="","",ROUND(($O9-$O$3)/1000,1)+(_xlfn.RANK.AVG($O9,($J9,$O9,$T9),1)-2)*20)</f>
        <v>-4.7</v>
      </c>
      <c r="W9" s="55">
        <f>IF($T9="","",ROUND(($T9-$T$3)/1000,1)+(_xlfn.RANK.AVG($T9,($J9,$O9,$T9),1)-2)*20)</f>
        <v>-33.299999999999997</v>
      </c>
      <c r="Y9" s="8" t="s">
        <v>147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148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2</v>
      </c>
      <c r="E10" s="4" t="s">
        <v>142</v>
      </c>
      <c r="F10" s="8"/>
      <c r="G10" s="9"/>
      <c r="H10" s="9"/>
      <c r="I10" s="48"/>
      <c r="J10" s="21">
        <f t="shared" si="2"/>
        <v>51000</v>
      </c>
      <c r="K10" s="8" t="s">
        <v>151</v>
      </c>
      <c r="L10" s="9">
        <v>8000</v>
      </c>
      <c r="M10" s="9">
        <v>2000</v>
      </c>
      <c r="N10" s="48">
        <v>3000</v>
      </c>
      <c r="O10" s="21">
        <f t="shared" si="3"/>
        <v>43300</v>
      </c>
      <c r="P10" s="8" t="s">
        <v>150</v>
      </c>
      <c r="Q10" s="9">
        <v>-8000</v>
      </c>
      <c r="R10" s="9"/>
      <c r="S10" s="48">
        <v>-3000</v>
      </c>
      <c r="T10" s="21">
        <f t="shared" si="4"/>
        <v>10700</v>
      </c>
      <c r="U10" s="53">
        <f>IF($J10="","",ROUND(($J10-$J$3)/1000,1)+(_xlfn.RANK.AVG($J10,($J10,$O10,$T10),1)-2)*20)</f>
        <v>36</v>
      </c>
      <c r="V10" s="54">
        <f>IF($O10="","",ROUND(($O10-$O$3)/1000,1)+(_xlfn.RANK.AVG($O10,($J10,$O10,$T10),1)-2)*20)</f>
        <v>8.3000000000000007</v>
      </c>
      <c r="W10" s="55">
        <f>IF($T10="","",ROUND(($T10-$T$3)/1000,1)+(_xlfn.RANK.AVG($T10,($J10,$O10,$T10),1)-2)*20)</f>
        <v>-44.3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152</v>
      </c>
      <c r="BA10" s="41" t="s">
        <v>92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138</v>
      </c>
      <c r="F11" s="8" t="s">
        <v>144</v>
      </c>
      <c r="G11" s="9">
        <v>18000</v>
      </c>
      <c r="H11" s="9"/>
      <c r="I11" s="48">
        <v>0</v>
      </c>
      <c r="J11" s="21">
        <f t="shared" si="2"/>
        <v>69000</v>
      </c>
      <c r="K11" s="8" t="s">
        <v>145</v>
      </c>
      <c r="L11" s="9">
        <v>-9000</v>
      </c>
      <c r="M11" s="9"/>
      <c r="N11" s="48">
        <v>0</v>
      </c>
      <c r="O11" s="21">
        <f t="shared" si="3"/>
        <v>34300</v>
      </c>
      <c r="P11" s="8" t="s">
        <v>145</v>
      </c>
      <c r="Q11" s="9">
        <v>-9000</v>
      </c>
      <c r="R11" s="9"/>
      <c r="S11" s="48">
        <v>0</v>
      </c>
      <c r="T11" s="21">
        <f t="shared" si="4"/>
        <v>1700</v>
      </c>
      <c r="U11" s="53">
        <f>IF($J11="","",ROUND(($J11-$J$3)/1000,1)+(_xlfn.RANK.AVG($J11,($J11,$O11,$T11),1)-2)*20)</f>
        <v>54</v>
      </c>
      <c r="V11" s="54">
        <f>IF($O11="","",ROUND(($O11-$O$3)/1000,1)+(_xlfn.RANK.AVG($O11,($J11,$O11,$T11),1)-2)*20)</f>
        <v>-0.7</v>
      </c>
      <c r="W11" s="55">
        <f>IF($T11="","",ROUND(($T11-$T$3)/1000,1)+(_xlfn.RANK.AVG($T11,($J11,$O11,$T11),1)-2)*20)</f>
        <v>-53.3</v>
      </c>
      <c r="Y11" s="8"/>
      <c r="Z11" s="34"/>
      <c r="AA11" s="26">
        <v>1</v>
      </c>
      <c r="AB11" s="26"/>
      <c r="AC11" s="26">
        <v>6</v>
      </c>
      <c r="AD11" s="30" t="s">
        <v>153</v>
      </c>
      <c r="AE11" s="40" t="s">
        <v>152</v>
      </c>
      <c r="AF11" s="41" t="s">
        <v>83</v>
      </c>
      <c r="AG11" s="41" t="s">
        <v>154</v>
      </c>
      <c r="AH11" s="41" t="s">
        <v>82</v>
      </c>
      <c r="AI11" s="41" t="s">
        <v>146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138</v>
      </c>
      <c r="F12" s="8" t="s">
        <v>151</v>
      </c>
      <c r="G12" s="9">
        <v>7700</v>
      </c>
      <c r="H12" s="9">
        <v>1000</v>
      </c>
      <c r="I12" s="48">
        <v>1000</v>
      </c>
      <c r="J12" s="21">
        <f t="shared" si="2"/>
        <v>78700</v>
      </c>
      <c r="K12" s="8" t="s">
        <v>150</v>
      </c>
      <c r="L12" s="9">
        <v>-7700</v>
      </c>
      <c r="M12" s="9">
        <v>-1000</v>
      </c>
      <c r="N12" s="48">
        <v>-1000</v>
      </c>
      <c r="O12" s="21">
        <f t="shared" si="3"/>
        <v>24600</v>
      </c>
      <c r="P12" s="8"/>
      <c r="Q12" s="9"/>
      <c r="R12" s="9"/>
      <c r="S12" s="48"/>
      <c r="T12" s="21">
        <f t="shared" si="4"/>
        <v>1700</v>
      </c>
      <c r="U12" s="53">
        <f>IF($J12="","",ROUND(($J12-$J$3)/1000,1)+(_xlfn.RANK.AVG($J12,($J12,$O12,$T12),1)-2)*20)</f>
        <v>63.7</v>
      </c>
      <c r="V12" s="54">
        <f>IF($O12="","",ROUND(($O12-$O$3)/1000,1)+(_xlfn.RANK.AVG($O12,($J12,$O12,$T12),1)-2)*20)</f>
        <v>-10.4</v>
      </c>
      <c r="W12" s="55">
        <f>IF($T12="","",ROUND(($T12-$T$3)/1000,1)+(_xlfn.RANK.AVG($T12,($J12,$O12,$T12),1)-2)*20)</f>
        <v>-53.3</v>
      </c>
      <c r="Y12" s="8"/>
      <c r="Z12" s="34"/>
      <c r="AA12" s="26"/>
      <c r="AB12" s="26">
        <v>1</v>
      </c>
      <c r="AC12" s="26">
        <v>3</v>
      </c>
      <c r="AD12" s="30">
        <v>40</v>
      </c>
      <c r="AE12" s="40" t="s">
        <v>86</v>
      </c>
      <c r="AF12" s="41" t="s">
        <v>86</v>
      </c>
      <c r="AG12" s="41" t="s">
        <v>146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138</v>
      </c>
      <c r="F13" s="8" t="s">
        <v>151</v>
      </c>
      <c r="G13" s="9">
        <v>3900</v>
      </c>
      <c r="H13" s="9"/>
      <c r="I13" s="48">
        <v>2000</v>
      </c>
      <c r="J13" s="21">
        <f t="shared" si="2"/>
        <v>84600</v>
      </c>
      <c r="K13" s="8"/>
      <c r="L13" s="9"/>
      <c r="M13" s="9"/>
      <c r="N13" s="48"/>
      <c r="O13" s="21">
        <f t="shared" si="3"/>
        <v>24600</v>
      </c>
      <c r="P13" s="8" t="s">
        <v>150</v>
      </c>
      <c r="Q13" s="9">
        <v>-3900</v>
      </c>
      <c r="R13" s="9"/>
      <c r="S13" s="48">
        <v>-2000</v>
      </c>
      <c r="T13" s="21">
        <f t="shared" si="4"/>
        <v>-4200</v>
      </c>
      <c r="U13" s="53">
        <f>IF($J13="","",ROUND(($J13-$J$3)/1000,1)+(_xlfn.RANK.AVG($J13,($J13,$O13,$T13),1)-2)*20)</f>
        <v>69.599999999999994</v>
      </c>
      <c r="V13" s="54">
        <f>IF($O13="","",ROUND(($O13-$O$3)/1000,1)+(_xlfn.RANK.AVG($O13,($J13,$O13,$T13),1)-2)*20)</f>
        <v>-10.4</v>
      </c>
      <c r="W13" s="55">
        <f>IF($T13="","",ROUND(($T13-$T$3)/1000,1)+(_xlfn.RANK.AVG($T13,($J13,$O13,$T13),1)-2)*20)</f>
        <v>-59.2</v>
      </c>
      <c r="Y13" s="8"/>
      <c r="Z13" s="34"/>
      <c r="AA13" s="26">
        <v>1</v>
      </c>
      <c r="AB13" s="26"/>
      <c r="AC13" s="26">
        <v>2</v>
      </c>
      <c r="AD13" s="30">
        <v>40</v>
      </c>
      <c r="AE13" s="40" t="s">
        <v>152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0DDA-7B77-4A53-9655-6AC0F70BED9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150</v>
      </c>
      <c r="G4" s="9">
        <v>-3200</v>
      </c>
      <c r="H4" s="9">
        <v>-1000</v>
      </c>
      <c r="I4" s="48">
        <v>0</v>
      </c>
      <c r="J4" s="21">
        <f>IF(COUNTA($F4,$K4,$P4)&gt;0,J3+SUM(G4:I4),"")</f>
        <v>30800</v>
      </c>
      <c r="K4" s="8"/>
      <c r="L4" s="9"/>
      <c r="M4" s="9"/>
      <c r="N4" s="48"/>
      <c r="O4" s="21">
        <f>IF(COUNTA($F4,$K4,$P4)&gt;0,O3+SUM(L4:N4),"")</f>
        <v>35000</v>
      </c>
      <c r="P4" s="8" t="s">
        <v>151</v>
      </c>
      <c r="Q4" s="9">
        <v>3200</v>
      </c>
      <c r="R4" s="9">
        <v>1000</v>
      </c>
      <c r="S4" s="48">
        <v>0</v>
      </c>
      <c r="T4" s="21">
        <f>IF(COUNTA($F4,$K4,$P4)&gt;0,T3+SUM(Q4:S4),"")</f>
        <v>39200</v>
      </c>
      <c r="U4" s="53">
        <f>IF($J4="","",ROUND(($J4-$J$3)/1000,1)+(_xlfn.RANK.AVG($J4,($J4,$O4,$T4),1)-2)*20)</f>
        <v>-24.2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24.2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101</v>
      </c>
      <c r="BV4" s="41" t="s">
        <v>146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/>
      <c r="G5" s="9"/>
      <c r="H5" s="9"/>
      <c r="I5" s="48"/>
      <c r="J5" s="21">
        <f t="shared" ref="J5:J30" si="2">IF(COUNTA($F5,$K5,$P5)&gt;0,J4+SUM(G5:I5),"")</f>
        <v>30800</v>
      </c>
      <c r="K5" s="8" t="s">
        <v>151</v>
      </c>
      <c r="L5" s="9">
        <v>11600</v>
      </c>
      <c r="M5" s="9"/>
      <c r="N5" s="48">
        <v>0</v>
      </c>
      <c r="O5" s="21">
        <f t="shared" ref="O5:O30" si="3">IF(COUNTA($F5,$K5,$P5)&gt;0,O4+SUM(L5:N5),"")</f>
        <v>46600</v>
      </c>
      <c r="P5" s="8" t="s">
        <v>150</v>
      </c>
      <c r="Q5" s="9">
        <v>-11600</v>
      </c>
      <c r="R5" s="9"/>
      <c r="S5" s="48">
        <v>0</v>
      </c>
      <c r="T5" s="21">
        <f t="shared" ref="T5:T30" si="4">IF(COUNTA($F5,$K5,$P5)&gt;0,T4+SUM(Q5:S5),"")</f>
        <v>27600</v>
      </c>
      <c r="U5" s="53">
        <f>IF($J5="","",ROUND(($J5-$J$3)/1000,1)+(_xlfn.RANK.AVG($J5,($J5,$O5,$T5),1)-2)*20)</f>
        <v>-4.2</v>
      </c>
      <c r="V5" s="54">
        <f>IF($O5="","",ROUND(($O5-$O$3)/1000,1)+(_xlfn.RANK.AVG($O5,($J5,$O5,$T5),1)-2)*20)</f>
        <v>31.6</v>
      </c>
      <c r="W5" s="55">
        <f>IF($T5="","",ROUND(($T5-$T$3)/1000,1)+(_xlfn.RANK.AVG($T5,($J5,$O5,$T5),1)-2)*20)</f>
        <v>-27.4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152</v>
      </c>
      <c r="BA5" s="41" t="s">
        <v>83</v>
      </c>
      <c r="BB5" s="41" t="s">
        <v>146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144</v>
      </c>
      <c r="G6" s="9">
        <v>8000</v>
      </c>
      <c r="H6" s="9">
        <v>1000</v>
      </c>
      <c r="I6" s="48">
        <v>1000</v>
      </c>
      <c r="J6" s="21">
        <f t="shared" si="2"/>
        <v>40800</v>
      </c>
      <c r="K6" s="8" t="s">
        <v>145</v>
      </c>
      <c r="L6" s="9">
        <v>-5000</v>
      </c>
      <c r="M6" s="9"/>
      <c r="N6" s="48">
        <v>-500</v>
      </c>
      <c r="O6" s="21">
        <f t="shared" si="3"/>
        <v>41100</v>
      </c>
      <c r="P6" s="8" t="s">
        <v>145</v>
      </c>
      <c r="Q6" s="9">
        <v>-3000</v>
      </c>
      <c r="R6" s="9">
        <v>-1000</v>
      </c>
      <c r="S6" s="48">
        <v>-500</v>
      </c>
      <c r="T6" s="21">
        <f t="shared" si="4"/>
        <v>23100</v>
      </c>
      <c r="U6" s="53">
        <f>IF($J6="","",ROUND(($J6-$J$3)/1000,1)+(_xlfn.RANK.AVG($J6,($J6,$O6,$T6),1)-2)*20)</f>
        <v>5.8</v>
      </c>
      <c r="V6" s="54">
        <f>IF($O6="","",ROUND(($O6-$O$3)/1000,1)+(_xlfn.RANK.AVG($O6,($J6,$O6,$T6),1)-2)*20)</f>
        <v>26.1</v>
      </c>
      <c r="W6" s="55">
        <f>IF($T6="","",ROUND(($T6-$T$3)/1000,1)+(_xlfn.RANK.AVG($T6,($J6,$O6,$T6),1)-2)*20)</f>
        <v>-31.9</v>
      </c>
      <c r="Y6" s="8"/>
      <c r="Z6" s="34"/>
      <c r="AA6" s="26">
        <v>1</v>
      </c>
      <c r="AB6" s="26"/>
      <c r="AC6" s="26">
        <v>5</v>
      </c>
      <c r="AD6" s="30" t="s">
        <v>153</v>
      </c>
      <c r="AE6" s="40" t="s">
        <v>152</v>
      </c>
      <c r="AF6" s="41" t="s">
        <v>82</v>
      </c>
      <c r="AG6" s="41" t="s">
        <v>83</v>
      </c>
      <c r="AH6" s="41" t="s">
        <v>92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/>
      <c r="G7" s="9"/>
      <c r="H7" s="9">
        <v>-1000</v>
      </c>
      <c r="I7" s="48"/>
      <c r="J7" s="21">
        <f t="shared" si="2"/>
        <v>39800</v>
      </c>
      <c r="K7" s="8" t="s">
        <v>151</v>
      </c>
      <c r="L7" s="9">
        <v>8000</v>
      </c>
      <c r="M7" s="9">
        <v>1000</v>
      </c>
      <c r="N7" s="48">
        <v>0</v>
      </c>
      <c r="O7" s="21">
        <f t="shared" si="3"/>
        <v>50100</v>
      </c>
      <c r="P7" s="8" t="s">
        <v>150</v>
      </c>
      <c r="Q7" s="9">
        <v>-8000</v>
      </c>
      <c r="R7" s="9"/>
      <c r="S7" s="48">
        <v>0</v>
      </c>
      <c r="T7" s="21">
        <f t="shared" si="4"/>
        <v>15100</v>
      </c>
      <c r="U7" s="53">
        <f>IF($J7="","",ROUND(($J7-$J$3)/1000,1)+(_xlfn.RANK.AVG($J7,($J7,$O7,$T7),1)-2)*20)</f>
        <v>4.8</v>
      </c>
      <c r="V7" s="54">
        <f>IF($O7="","",ROUND(($O7-$O$3)/1000,1)+(_xlfn.RANK.AVG($O7,($J7,$O7,$T7),1)-2)*20)</f>
        <v>35.1</v>
      </c>
      <c r="W7" s="55">
        <f>IF($T7="","",ROUND(($T7-$T$3)/1000,1)+(_xlfn.RANK.AVG($T7,($J7,$O7,$T7),1)-2)*20)</f>
        <v>-39.9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153</v>
      </c>
      <c r="AZ7" s="40" t="s">
        <v>152</v>
      </c>
      <c r="BA7" s="41" t="s">
        <v>86</v>
      </c>
      <c r="BB7" s="41" t="s">
        <v>146</v>
      </c>
      <c r="BC7" s="41" t="s">
        <v>146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145</v>
      </c>
      <c r="G8" s="9">
        <v>-5000</v>
      </c>
      <c r="H8" s="9"/>
      <c r="I8" s="48">
        <v>0</v>
      </c>
      <c r="J8" s="21">
        <f t="shared" si="2"/>
        <v>34800</v>
      </c>
      <c r="K8" s="8" t="s">
        <v>145</v>
      </c>
      <c r="L8" s="9">
        <v>-3000</v>
      </c>
      <c r="M8" s="9">
        <v>-1000</v>
      </c>
      <c r="N8" s="48">
        <v>0</v>
      </c>
      <c r="O8" s="21">
        <f t="shared" si="3"/>
        <v>46100</v>
      </c>
      <c r="P8" s="8" t="s">
        <v>144</v>
      </c>
      <c r="Q8" s="9">
        <v>8000</v>
      </c>
      <c r="R8" s="9">
        <v>1000</v>
      </c>
      <c r="S8" s="48">
        <v>0</v>
      </c>
      <c r="T8" s="21">
        <f t="shared" si="4"/>
        <v>24100</v>
      </c>
      <c r="U8" s="53">
        <f>IF($J8="","",ROUND(($J8-$J$3)/1000,1)+(_xlfn.RANK.AVG($J8,($J8,$O8,$T8),1)-2)*20)</f>
        <v>-0.2</v>
      </c>
      <c r="V8" s="54">
        <f>IF($O8="","",ROUND(($O8-$O$3)/1000,1)+(_xlfn.RANK.AVG($O8,($J8,$O8,$T8),1)-2)*20)</f>
        <v>31.1</v>
      </c>
      <c r="W8" s="55">
        <f>IF($T8="","",ROUND(($T8-$T$3)/1000,1)+(_xlfn.RANK.AVG($T8,($J8,$O8,$T8),1)-2)*20)</f>
        <v>-30.9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153</v>
      </c>
      <c r="BU8" s="40" t="s">
        <v>152</v>
      </c>
      <c r="BV8" s="41" t="s">
        <v>82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34800</v>
      </c>
      <c r="K9" s="8" t="s">
        <v>151</v>
      </c>
      <c r="L9" s="9">
        <v>11600</v>
      </c>
      <c r="M9" s="9"/>
      <c r="N9" s="48">
        <v>0</v>
      </c>
      <c r="O9" s="21">
        <f t="shared" si="3"/>
        <v>57700</v>
      </c>
      <c r="P9" s="8" t="s">
        <v>150</v>
      </c>
      <c r="Q9" s="9">
        <v>-11600</v>
      </c>
      <c r="R9" s="9"/>
      <c r="S9" s="48">
        <v>0</v>
      </c>
      <c r="T9" s="21">
        <f t="shared" si="4"/>
        <v>12500</v>
      </c>
      <c r="U9" s="53">
        <f>IF($J9="","",ROUND(($J9-$J$3)/1000,1)+(_xlfn.RANK.AVG($J9,($J9,$O9,$T9),1)-2)*20)</f>
        <v>-0.2</v>
      </c>
      <c r="V9" s="54">
        <f>IF($O9="","",ROUND(($O9-$O$3)/1000,1)+(_xlfn.RANK.AVG($O9,($J9,$O9,$T9),1)-2)*20)</f>
        <v>42.7</v>
      </c>
      <c r="W9" s="55">
        <f>IF($T9="","",ROUND(($T9-$T$3)/1000,1)+(_xlfn.RANK.AVG($T9,($J9,$O9,$T9),1)-2)*20)</f>
        <v>-42.5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152</v>
      </c>
      <c r="BA9" s="41" t="s">
        <v>154</v>
      </c>
      <c r="BB9" s="41" t="s">
        <v>85</v>
      </c>
      <c r="BC9" s="41" t="s">
        <v>83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155</v>
      </c>
      <c r="G10" s="9">
        <v>-3000</v>
      </c>
      <c r="H10" s="9"/>
      <c r="I10" s="48"/>
      <c r="J10" s="21">
        <f t="shared" si="2"/>
        <v>31800</v>
      </c>
      <c r="K10" s="8" t="s">
        <v>155</v>
      </c>
      <c r="L10" s="9">
        <v>1500</v>
      </c>
      <c r="M10" s="9">
        <v>-1000</v>
      </c>
      <c r="N10" s="48"/>
      <c r="O10" s="21">
        <f t="shared" si="3"/>
        <v>58200</v>
      </c>
      <c r="P10" s="8" t="s">
        <v>155</v>
      </c>
      <c r="Q10" s="9">
        <v>1500</v>
      </c>
      <c r="R10" s="9"/>
      <c r="S10" s="48"/>
      <c r="T10" s="21">
        <f t="shared" si="4"/>
        <v>14000</v>
      </c>
      <c r="U10" s="53">
        <f>IF($J10="","",ROUND(($J10-$J$3)/1000,1)+(_xlfn.RANK.AVG($J10,($J10,$O10,$T10),1)-2)*20)</f>
        <v>-3.2</v>
      </c>
      <c r="V10" s="54">
        <f>IF($O10="","",ROUND(($O10-$O$3)/1000,1)+(_xlfn.RANK.AVG($O10,($J10,$O10,$T10),1)-2)*20)</f>
        <v>43.2</v>
      </c>
      <c r="W10" s="55">
        <f>IF($T10="","",ROUND(($T10-$T$3)/1000,1)+(_xlfn.RANK.AVG($T10,($J10,$O10,$T10),1)-2)*20)</f>
        <v>-41</v>
      </c>
      <c r="Y10" s="8" t="s">
        <v>148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147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147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140</v>
      </c>
      <c r="F11" s="8" t="s">
        <v>145</v>
      </c>
      <c r="G11" s="9">
        <v>-3000</v>
      </c>
      <c r="H11" s="9"/>
      <c r="I11" s="48">
        <v>-1000</v>
      </c>
      <c r="J11" s="21">
        <f t="shared" si="2"/>
        <v>27800</v>
      </c>
      <c r="K11" s="8" t="s">
        <v>144</v>
      </c>
      <c r="L11" s="9">
        <v>6000</v>
      </c>
      <c r="M11" s="9">
        <v>1000</v>
      </c>
      <c r="N11" s="48">
        <v>2000</v>
      </c>
      <c r="O11" s="21">
        <f t="shared" si="3"/>
        <v>67200</v>
      </c>
      <c r="P11" s="8" t="s">
        <v>145</v>
      </c>
      <c r="Q11" s="9">
        <v>-3000</v>
      </c>
      <c r="R11" s="9"/>
      <c r="S11" s="48">
        <v>-1000</v>
      </c>
      <c r="T11" s="21">
        <f t="shared" si="4"/>
        <v>10000</v>
      </c>
      <c r="U11" s="53">
        <f>IF($J11="","",ROUND(($J11-$J$3)/1000,1)+(_xlfn.RANK.AVG($J11,($J11,$O11,$T11),1)-2)*20)</f>
        <v>-7.2</v>
      </c>
      <c r="V11" s="54">
        <f>IF($O11="","",ROUND(($O11-$O$3)/1000,1)+(_xlfn.RANK.AVG($O11,($J11,$O11,$T11),1)-2)*20)</f>
        <v>52.2</v>
      </c>
      <c r="W11" s="55">
        <f>IF($T11="","",ROUND(($T11-$T$3)/1000,1)+(_xlfn.RANK.AVG($T11,($J11,$O11,$T11),1)-2)*20)</f>
        <v>-45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152</v>
      </c>
      <c r="BA11" s="41" t="s">
        <v>82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140</v>
      </c>
      <c r="F12" s="8" t="s">
        <v>145</v>
      </c>
      <c r="G12" s="9">
        <v>-9000</v>
      </c>
      <c r="H12" s="9">
        <v>-1000</v>
      </c>
      <c r="I12" s="48">
        <v>-1500</v>
      </c>
      <c r="J12" s="21">
        <f t="shared" si="2"/>
        <v>16300</v>
      </c>
      <c r="K12" s="8" t="s">
        <v>144</v>
      </c>
      <c r="L12" s="9">
        <v>18000</v>
      </c>
      <c r="M12" s="9">
        <v>2000</v>
      </c>
      <c r="N12" s="48">
        <v>3000</v>
      </c>
      <c r="O12" s="21">
        <f t="shared" si="3"/>
        <v>90200</v>
      </c>
      <c r="P12" s="8" t="s">
        <v>145</v>
      </c>
      <c r="Q12" s="9">
        <v>-9000</v>
      </c>
      <c r="R12" s="9">
        <v>-1000</v>
      </c>
      <c r="S12" s="48">
        <v>-1500</v>
      </c>
      <c r="T12" s="21">
        <f t="shared" si="4"/>
        <v>-1500</v>
      </c>
      <c r="U12" s="53">
        <f>IF($J12="","",ROUND(($J12-$J$3)/1000,1)+(_xlfn.RANK.AVG($J12,($J12,$O12,$T12),1)-2)*20)</f>
        <v>-18.7</v>
      </c>
      <c r="V12" s="54">
        <f>IF($O12="","",ROUND(($O12-$O$3)/1000,1)+(_xlfn.RANK.AVG($O12,($J12,$O12,$T12),1)-2)*20)</f>
        <v>75.2</v>
      </c>
      <c r="W12" s="55">
        <f>IF($T12="","",ROUND(($T12-$T$3)/1000,1)+(_xlfn.RANK.AVG($T12,($J12,$O12,$T12),1)-2)*20)</f>
        <v>-56.5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153</v>
      </c>
      <c r="AZ12" s="40" t="s">
        <v>152</v>
      </c>
      <c r="BA12" s="41" t="s">
        <v>82</v>
      </c>
      <c r="BB12" s="41" t="s">
        <v>146</v>
      </c>
      <c r="BC12" s="41" t="s">
        <v>79</v>
      </c>
      <c r="BD12" s="41" t="s">
        <v>79</v>
      </c>
      <c r="BE12" s="41" t="s">
        <v>79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BA12C4A3-64D8-440F-930C-FC3189D022AC}">
      <formula1>"ロン,ツモ,放銃,ツモ支払,流局,チョンボ"</formula1>
    </dataValidation>
    <dataValidation type="list" allowBlank="1" showInputMessage="1" showErrorMessage="1" sqref="E4:E30" xr:uid="{355CD7A6-08C0-4D8C-9CB6-F4635E9FCE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784A-5022-4773-8E33-26B8382AD6D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155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155</v>
      </c>
      <c r="L4" s="9">
        <v>1500</v>
      </c>
      <c r="M4" s="9"/>
      <c r="N4" s="48"/>
      <c r="O4" s="21">
        <f>IF(COUNTA($F4,$K4,$P4)&gt;0,O3+SUM(L4:N4),"")</f>
        <v>36500</v>
      </c>
      <c r="P4" s="8" t="s">
        <v>155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21.5</v>
      </c>
      <c r="W4" s="55">
        <f>IF($T4="","",ROUND(($T4-$T$3)/1000,1)+(_xlfn.RANK.AVG($T4,($J4,$O4,$T4),1)-2)*20)</f>
        <v>-23</v>
      </c>
      <c r="Y4" s="8" t="s">
        <v>147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147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140</v>
      </c>
      <c r="F5" s="8"/>
      <c r="G5" s="9"/>
      <c r="H5" s="9">
        <v>-1000</v>
      </c>
      <c r="I5" s="48"/>
      <c r="J5" s="21">
        <f t="shared" ref="J5:J30" si="2">IF(COUNTA($F5,$K5,$P5)&gt;0,J4+SUM(G5:I5),"")</f>
        <v>34500</v>
      </c>
      <c r="K5" s="8" t="s">
        <v>151</v>
      </c>
      <c r="L5" s="9">
        <v>12000</v>
      </c>
      <c r="M5" s="9">
        <v>2000</v>
      </c>
      <c r="N5" s="48">
        <v>1000</v>
      </c>
      <c r="O5" s="21">
        <f t="shared" ref="O5:O30" si="3">IF(COUNTA($F5,$K5,$P5)&gt;0,O4+SUM(L5:N5),"")</f>
        <v>51500</v>
      </c>
      <c r="P5" s="8" t="s">
        <v>150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19000</v>
      </c>
      <c r="U5" s="53">
        <f>IF($J5="","",ROUND(($J5-$J$3)/1000,1)+(_xlfn.RANK.AVG($J5,($J5,$O5,$T5),1)-2)*20)</f>
        <v>-0.5</v>
      </c>
      <c r="V5" s="54">
        <f>IF($O5="","",ROUND(($O5-$O$3)/1000,1)+(_xlfn.RANK.AVG($O5,($J5,$O5,$T5),1)-2)*20)</f>
        <v>36.5</v>
      </c>
      <c r="W5" s="55">
        <f>IF($T5="","",ROUND(($T5-$T$3)/1000,1)+(_xlfn.RANK.AVG($T5,($J5,$O5,$T5),1)-2)*20)</f>
        <v>-36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153</v>
      </c>
      <c r="AZ5" s="40" t="s">
        <v>93</v>
      </c>
      <c r="BA5" s="41" t="s">
        <v>86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144</v>
      </c>
      <c r="G6" s="9">
        <v>16000</v>
      </c>
      <c r="H6" s="9">
        <v>1000</v>
      </c>
      <c r="I6" s="48">
        <v>2000</v>
      </c>
      <c r="J6" s="21">
        <f t="shared" si="2"/>
        <v>53500</v>
      </c>
      <c r="K6" s="8" t="s">
        <v>145</v>
      </c>
      <c r="L6" s="9">
        <v>-10000</v>
      </c>
      <c r="M6" s="9"/>
      <c r="N6" s="48">
        <v>-1000</v>
      </c>
      <c r="O6" s="21">
        <f t="shared" si="3"/>
        <v>40500</v>
      </c>
      <c r="P6" s="8" t="s">
        <v>145</v>
      </c>
      <c r="Q6" s="9">
        <v>-6000</v>
      </c>
      <c r="R6" s="9">
        <v>-1000</v>
      </c>
      <c r="S6" s="48">
        <v>-1000</v>
      </c>
      <c r="T6" s="21">
        <f t="shared" si="4"/>
        <v>11000</v>
      </c>
      <c r="U6" s="53">
        <f>IF($J6="","",ROUND(($J6-$J$3)/1000,1)+(_xlfn.RANK.AVG($J6,($J6,$O6,$T6),1)-2)*20)</f>
        <v>38.5</v>
      </c>
      <c r="V6" s="54">
        <f>IF($O6="","",ROUND(($O6-$O$3)/1000,1)+(_xlfn.RANK.AVG($O6,($J6,$O6,$T6),1)-2)*20)</f>
        <v>5.5</v>
      </c>
      <c r="W6" s="55">
        <f>IF($T6="","",ROUND(($T6-$T$3)/1000,1)+(_xlfn.RANK.AVG($T6,($J6,$O6,$T6),1)-2)*20)</f>
        <v>-44</v>
      </c>
      <c r="Y6" s="8"/>
      <c r="Z6" s="34"/>
      <c r="AA6" s="26"/>
      <c r="AB6" s="26">
        <v>1</v>
      </c>
      <c r="AC6" s="26">
        <v>9</v>
      </c>
      <c r="AD6" s="30" t="s">
        <v>153</v>
      </c>
      <c r="AE6" s="40" t="s">
        <v>98</v>
      </c>
      <c r="AF6" s="41" t="s">
        <v>96</v>
      </c>
      <c r="AG6" s="41" t="s">
        <v>86</v>
      </c>
      <c r="AH6" s="41" t="s">
        <v>79</v>
      </c>
      <c r="AI6" s="41" t="s">
        <v>79</v>
      </c>
      <c r="AJ6" s="41" t="s">
        <v>79</v>
      </c>
      <c r="AK6" s="41" t="s">
        <v>146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151</v>
      </c>
      <c r="G7" s="9">
        <v>7700</v>
      </c>
      <c r="H7" s="9"/>
      <c r="I7" s="48">
        <v>0</v>
      </c>
      <c r="J7" s="21">
        <f t="shared" si="2"/>
        <v>61200</v>
      </c>
      <c r="K7" s="8" t="s">
        <v>150</v>
      </c>
      <c r="L7" s="9">
        <v>-7700</v>
      </c>
      <c r="M7" s="9"/>
      <c r="N7" s="48">
        <v>0</v>
      </c>
      <c r="O7" s="21">
        <f t="shared" si="3"/>
        <v>32800</v>
      </c>
      <c r="P7" s="8"/>
      <c r="Q7" s="9"/>
      <c r="R7" s="9"/>
      <c r="S7" s="48"/>
      <c r="T7" s="21">
        <f t="shared" si="4"/>
        <v>11000</v>
      </c>
      <c r="U7" s="53">
        <f>IF($J7="","",ROUND(($J7-$J$3)/1000,1)+(_xlfn.RANK.AVG($J7,($J7,$O7,$T7),1)-2)*20)</f>
        <v>46.2</v>
      </c>
      <c r="V7" s="54">
        <f>IF($O7="","",ROUND(($O7-$O$3)/1000,1)+(_xlfn.RANK.AVG($O7,($J7,$O7,$T7),1)-2)*20)</f>
        <v>-2.2000000000000002</v>
      </c>
      <c r="W7" s="55">
        <f>IF($T7="","",ROUND(($T7-$T$3)/1000,1)+(_xlfn.RANK.AVG($T7,($J7,$O7,$T7),1)-2)*20)</f>
        <v>-44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152</v>
      </c>
      <c r="AF7" s="41" t="s">
        <v>154</v>
      </c>
      <c r="AG7" s="41" t="s">
        <v>83</v>
      </c>
      <c r="AH7" s="41" t="s">
        <v>85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151</v>
      </c>
      <c r="G8" s="9">
        <v>7700</v>
      </c>
      <c r="H8" s="9"/>
      <c r="I8" s="48">
        <v>0</v>
      </c>
      <c r="J8" s="21">
        <f t="shared" si="2"/>
        <v>68900</v>
      </c>
      <c r="K8" s="8"/>
      <c r="L8" s="9"/>
      <c r="M8" s="9"/>
      <c r="N8" s="48"/>
      <c r="O8" s="21">
        <f t="shared" si="3"/>
        <v>32800</v>
      </c>
      <c r="P8" s="8" t="s">
        <v>150</v>
      </c>
      <c r="Q8" s="9">
        <v>-7700</v>
      </c>
      <c r="R8" s="9"/>
      <c r="S8" s="48">
        <v>0</v>
      </c>
      <c r="T8" s="21">
        <f t="shared" si="4"/>
        <v>3300</v>
      </c>
      <c r="U8" s="53">
        <f>IF($J8="","",ROUND(($J8-$J$3)/1000,1)+(_xlfn.RANK.AVG($J8,($J8,$O8,$T8),1)-2)*20)</f>
        <v>53.9</v>
      </c>
      <c r="V8" s="54">
        <f>IF($O8="","",ROUND(($O8-$O$3)/1000,1)+(_xlfn.RANK.AVG($O8,($J8,$O8,$T8),1)-2)*20)</f>
        <v>-2.2000000000000002</v>
      </c>
      <c r="W8" s="55">
        <f>IF($T8="","",ROUND(($T8-$T$3)/1000,1)+(_xlfn.RANK.AVG($T8,($J8,$O8,$T8),1)-2)*20)</f>
        <v>-51.7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152</v>
      </c>
      <c r="AF8" s="41" t="s">
        <v>146</v>
      </c>
      <c r="AG8" s="41" t="s">
        <v>146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138</v>
      </c>
      <c r="F9" s="8" t="s">
        <v>150</v>
      </c>
      <c r="G9" s="9">
        <v>-7700</v>
      </c>
      <c r="H9" s="9"/>
      <c r="I9" s="48">
        <v>-1000</v>
      </c>
      <c r="J9" s="21">
        <f t="shared" si="2"/>
        <v>60200</v>
      </c>
      <c r="K9" s="8"/>
      <c r="L9" s="9"/>
      <c r="M9" s="9"/>
      <c r="N9" s="48"/>
      <c r="O9" s="21">
        <f t="shared" si="3"/>
        <v>32800</v>
      </c>
      <c r="P9" s="8" t="s">
        <v>151</v>
      </c>
      <c r="Q9" s="9">
        <v>7700</v>
      </c>
      <c r="R9" s="9"/>
      <c r="S9" s="48">
        <v>1000</v>
      </c>
      <c r="T9" s="21">
        <f t="shared" si="4"/>
        <v>12000</v>
      </c>
      <c r="U9" s="53">
        <f>IF($J9="","",ROUND(($J9-$J$3)/1000,1)+(_xlfn.RANK.AVG($J9,($J9,$O9,$T9),1)-2)*20)</f>
        <v>45.2</v>
      </c>
      <c r="V9" s="54">
        <f>IF($O9="","",ROUND(($O9-$O$3)/1000,1)+(_xlfn.RANK.AVG($O9,($J9,$O9,$T9),1)-2)*20)</f>
        <v>-2.2000000000000002</v>
      </c>
      <c r="W9" s="55">
        <f>IF($T9="","",ROUND(($T9-$T$3)/1000,1)+(_xlfn.RANK.AVG($T9,($J9,$O9,$T9),1)-2)*20)</f>
        <v>-43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146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150</v>
      </c>
      <c r="G10" s="9">
        <v>-8000</v>
      </c>
      <c r="H10" s="9"/>
      <c r="I10" s="48">
        <v>0</v>
      </c>
      <c r="J10" s="21">
        <f t="shared" si="2"/>
        <v>52200</v>
      </c>
      <c r="K10" s="8"/>
      <c r="L10" s="9"/>
      <c r="M10" s="9"/>
      <c r="N10" s="48"/>
      <c r="O10" s="21">
        <f t="shared" si="3"/>
        <v>32800</v>
      </c>
      <c r="P10" s="8" t="s">
        <v>151</v>
      </c>
      <c r="Q10" s="9">
        <v>8000</v>
      </c>
      <c r="R10" s="9"/>
      <c r="S10" s="48">
        <v>0</v>
      </c>
      <c r="T10" s="21">
        <f t="shared" si="4"/>
        <v>20000</v>
      </c>
      <c r="U10" s="53">
        <f>IF($J10="","",ROUND(($J10-$J$3)/1000,1)+(_xlfn.RANK.AVG($J10,($J10,$O10,$T10),1)-2)*20)</f>
        <v>37.200000000000003</v>
      </c>
      <c r="V10" s="54">
        <f>IF($O10="","",ROUND(($O10-$O$3)/1000,1)+(_xlfn.RANK.AVG($O10,($J10,$O10,$T10),1)-2)*20)</f>
        <v>-2.2000000000000002</v>
      </c>
      <c r="W10" s="55">
        <f>IF($T10="","",ROUND(($T10-$T$3)/1000,1)+(_xlfn.RANK.AVG($T10,($J10,$O10,$T10),1)-2)*20)</f>
        <v>-35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153</v>
      </c>
      <c r="BU10" s="40" t="s">
        <v>88</v>
      </c>
      <c r="BV10" s="41" t="s">
        <v>98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144</v>
      </c>
      <c r="G11" s="9">
        <v>7700</v>
      </c>
      <c r="H11" s="9"/>
      <c r="I11" s="48">
        <v>0</v>
      </c>
      <c r="J11" s="21">
        <f t="shared" si="2"/>
        <v>59900</v>
      </c>
      <c r="K11" s="8" t="s">
        <v>145</v>
      </c>
      <c r="L11" s="9">
        <v>-2900</v>
      </c>
      <c r="M11" s="9"/>
      <c r="N11" s="48">
        <v>0</v>
      </c>
      <c r="O11" s="21">
        <f t="shared" si="3"/>
        <v>29900</v>
      </c>
      <c r="P11" s="8" t="s">
        <v>145</v>
      </c>
      <c r="Q11" s="9">
        <v>-4800</v>
      </c>
      <c r="R11" s="9"/>
      <c r="S11" s="48">
        <v>0</v>
      </c>
      <c r="T11" s="21">
        <f t="shared" si="4"/>
        <v>15200</v>
      </c>
      <c r="U11" s="53">
        <f>IF($J11="","",ROUND(($J11-$J$3)/1000,1)+(_xlfn.RANK.AVG($J11,($J11,$O11,$T11),1)-2)*20)</f>
        <v>44.9</v>
      </c>
      <c r="V11" s="54">
        <f>IF($O11="","",ROUND(($O11-$O$3)/1000,1)+(_xlfn.RANK.AVG($O11,($J11,$O11,$T11),1)-2)*20)</f>
        <v>-5.0999999999999996</v>
      </c>
      <c r="W11" s="55">
        <f>IF($T11="","",ROUND(($T11-$T$3)/1000,1)+(_xlfn.RANK.AVG($T11,($J11,$O11,$T11),1)-2)*20)</f>
        <v>-39.799999999999997</v>
      </c>
      <c r="Y11" s="8"/>
      <c r="Z11" s="34"/>
      <c r="AA11" s="26"/>
      <c r="AB11" s="26"/>
      <c r="AC11" s="26">
        <v>4</v>
      </c>
      <c r="AD11" s="30">
        <v>30</v>
      </c>
      <c r="AE11" s="40" t="s">
        <v>82</v>
      </c>
      <c r="AF11" s="41" t="s">
        <v>85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138</v>
      </c>
      <c r="F12" s="8" t="s">
        <v>145</v>
      </c>
      <c r="G12" s="9">
        <v>-7500</v>
      </c>
      <c r="H12" s="9"/>
      <c r="I12" s="48">
        <v>0</v>
      </c>
      <c r="J12" s="21">
        <f t="shared" si="2"/>
        <v>52400</v>
      </c>
      <c r="K12" s="8" t="s">
        <v>145</v>
      </c>
      <c r="L12" s="9">
        <v>-4500</v>
      </c>
      <c r="M12" s="9">
        <v>-1000</v>
      </c>
      <c r="N12" s="48">
        <v>0</v>
      </c>
      <c r="O12" s="21">
        <f t="shared" si="3"/>
        <v>24400</v>
      </c>
      <c r="P12" s="8" t="s">
        <v>144</v>
      </c>
      <c r="Q12" s="9">
        <v>12000</v>
      </c>
      <c r="R12" s="9">
        <v>1000</v>
      </c>
      <c r="S12" s="48">
        <v>0</v>
      </c>
      <c r="T12" s="21">
        <f t="shared" si="4"/>
        <v>28200</v>
      </c>
      <c r="U12" s="53">
        <f>IF($J12="","",ROUND(($J12-$J$3)/1000,1)+(_xlfn.RANK.AVG($J12,($J12,$O12,$T12),1)-2)*20)</f>
        <v>37.4</v>
      </c>
      <c r="V12" s="54">
        <f>IF($O12="","",ROUND(($O12-$O$3)/1000,1)+(_xlfn.RANK.AVG($O12,($J12,$O12,$T12),1)-2)*20)</f>
        <v>-30.6</v>
      </c>
      <c r="W12" s="55">
        <f>IF($T12="","",ROUND(($T12-$T$3)/1000,1)+(_xlfn.RANK.AVG($T12,($J12,$O12,$T12),1)-2)*20)</f>
        <v>-6.8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153</v>
      </c>
      <c r="BU12" s="40" t="s">
        <v>152</v>
      </c>
      <c r="BV12" s="41" t="s">
        <v>82</v>
      </c>
      <c r="BW12" s="41" t="s">
        <v>86</v>
      </c>
      <c r="BX12" s="41" t="s">
        <v>146</v>
      </c>
      <c r="BY12" s="41" t="s">
        <v>79</v>
      </c>
      <c r="BZ12" s="41" t="s">
        <v>79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A9A80E95-EB4F-41B7-850B-290E5DFE041C}">
      <formula1>$U$2:$W$2</formula1>
    </dataValidation>
    <dataValidation type="list" showInputMessage="1" showErrorMessage="1" sqref="K4:K30 P4:P30 F4:F30" xr:uid="{F54EAACA-071B-4F10-9D24-A4451C8B445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2019-05-18T14:07:03Z</dcterms:modified>
</cp:coreProperties>
</file>