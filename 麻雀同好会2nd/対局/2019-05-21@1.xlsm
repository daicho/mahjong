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大池　陸斗\mahjong\麻雀同好会2nd\対局\"/>
    </mc:Choice>
  </mc:AlternateContent>
  <xr:revisionPtr revIDLastSave="0" documentId="13_ncr:1_{AD1B4FB1-EE26-4CD9-926E-3B1F35B07AA0}" xr6:coauthVersionLast="36" xr6:coauthVersionMax="36" xr10:uidLastSave="{00000000-0000-0000-0000-000000000000}"/>
  <bookViews>
    <workbookView xWindow="0" yWindow="0" windowWidth="28800" windowHeight="12720" xr2:uid="{4CDB34E1-560F-4998-ABAB-D6F7F2862621}"/>
  </bookViews>
  <sheets>
    <sheet name="Sheet1" sheetId="19" r:id="rId1"/>
    <sheet name="役一覧" sheetId="15" state="hidden" r:id="rId2"/>
    <sheet name="点数表(親ロン)" sheetId="4" state="hidden" r:id="rId3"/>
    <sheet name="点数表(親ツモ)" sheetId="9" state="hidden" r:id="rId4"/>
    <sheet name="点数表(子→親)" sheetId="7" state="hidden" r:id="rId5"/>
    <sheet name="点数表(子ロン)" sheetId="3" state="hidden" r:id="rId6"/>
    <sheet name="点数表(子ツモ)" sheetId="10" state="hidden" r:id="rId7"/>
    <sheet name="点数表(子→子)" sheetId="5" state="hidden" r:id="rId8"/>
    <sheet name="点数表(親→子)" sheetId="6" state="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T30" i="19" l="1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/>
  <c r="T12" i="19"/>
  <c r="W12" i="19" s="1"/>
  <c r="O12" i="19"/>
  <c r="V12" i="19" s="1"/>
  <c r="J12" i="19"/>
  <c r="U12" i="19" s="1"/>
  <c r="D12" i="19"/>
  <c r="C12" i="19"/>
  <c r="B12" i="19"/>
  <c r="A12" i="19"/>
  <c r="T11" i="19"/>
  <c r="W11" i="19" s="1"/>
  <c r="O11" i="19"/>
  <c r="V11" i="19" s="1"/>
  <c r="J11" i="19"/>
  <c r="U11" i="19" s="1"/>
  <c r="D11" i="19"/>
  <c r="C11" i="19"/>
  <c r="B11" i="19"/>
  <c r="A11" i="19"/>
  <c r="T10" i="19"/>
  <c r="W10" i="19" s="1"/>
  <c r="O10" i="19"/>
  <c r="V10" i="19" s="1"/>
  <c r="J10" i="19"/>
  <c r="U10" i="19" s="1"/>
  <c r="D10" i="19"/>
  <c r="C10" i="19"/>
  <c r="B10" i="19"/>
  <c r="A10" i="19"/>
  <c r="T9" i="19"/>
  <c r="W9" i="19" s="1"/>
  <c r="O9" i="19"/>
  <c r="V9" i="19" s="1"/>
  <c r="J9" i="19"/>
  <c r="U9" i="19" s="1"/>
  <c r="D9" i="19"/>
  <c r="C9" i="19"/>
  <c r="B9" i="19"/>
  <c r="A9" i="19" s="1"/>
  <c r="T8" i="19"/>
  <c r="O8" i="19"/>
  <c r="J8" i="19"/>
  <c r="D8" i="19"/>
  <c r="C8" i="19"/>
  <c r="B8" i="19"/>
  <c r="A8" i="19" s="1"/>
  <c r="T7" i="19"/>
  <c r="O7" i="19"/>
  <c r="J7" i="19"/>
  <c r="D7" i="19"/>
  <c r="C7" i="19"/>
  <c r="B7" i="19"/>
  <c r="A7" i="19" s="1"/>
  <c r="T6" i="19"/>
  <c r="W6" i="19" s="1"/>
  <c r="O6" i="19"/>
  <c r="J6" i="19"/>
  <c r="D6" i="19"/>
  <c r="C6" i="19"/>
  <c r="B6" i="19"/>
  <c r="A6" i="19"/>
  <c r="D5" i="19"/>
  <c r="C5" i="19"/>
  <c r="B5" i="19"/>
  <c r="A5" i="19" s="1"/>
  <c r="T4" i="19"/>
  <c r="T5" i="19" s="1"/>
  <c r="O4" i="19"/>
  <c r="J4" i="19"/>
  <c r="W3" i="19"/>
  <c r="V3" i="19"/>
  <c r="U3" i="19"/>
  <c r="W2" i="19"/>
  <c r="V2" i="19"/>
  <c r="U2" i="19"/>
  <c r="BO1" i="19"/>
  <c r="AT1" i="19"/>
  <c r="Y1" i="19"/>
  <c r="V8" i="19" l="1"/>
  <c r="W8" i="19"/>
  <c r="U8" i="19"/>
  <c r="V7" i="19"/>
  <c r="U7" i="19"/>
  <c r="W7" i="19"/>
  <c r="U6" i="19"/>
  <c r="V6" i="19"/>
  <c r="U4" i="19"/>
  <c r="V4" i="19"/>
  <c r="W4" i="19"/>
  <c r="J5" i="19"/>
  <c r="O5" i="19"/>
  <c r="V5" i="19" l="1"/>
  <c r="W5" i="19"/>
  <c r="U5" i="19"/>
</calcChain>
</file>

<file path=xl/sharedStrings.xml><?xml version="1.0" encoding="utf-8"?>
<sst xmlns="http://schemas.openxmlformats.org/spreadsheetml/2006/main" count="573" uniqueCount="204">
  <si>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</si>
  <si>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</si>
  <si>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</si>
  <si>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</si>
  <si>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</si>
  <si>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</si>
  <si>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</si>
  <si>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</si>
  <si>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</si>
  <si>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</si>
  <si>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</si>
  <si>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</si>
  <si>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</si>
  <si>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</si>
  <si>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</si>
  <si>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</si>
  <si>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</si>
  <si>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</si>
  <si>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</si>
  <si>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</si>
  <si>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</si>
  <si>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</si>
  <si>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</si>
  <si>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</si>
  <si>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</si>
  <si>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</si>
  <si>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</si>
  <si>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</si>
  <si>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</si>
  <si>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</si>
  <si>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</si>
  <si>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</si>
  <si>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</si>
  <si>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</si>
  <si>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</si>
  <si>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</si>
  <si>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</si>
  <si>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</si>
  <si>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</si>
  <si>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</si>
  <si>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</si>
  <si>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</si>
  <si>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</si>
  <si>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</si>
  <si>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</si>
  <si>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</si>
  <si>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</si>
  <si>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</si>
  <si>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</si>
  <si>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</si>
  <si>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</si>
  <si>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</si>
  <si>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</si>
  <si>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</si>
  <si>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</si>
  <si>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</si>
  <si>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</si>
  <si>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</si>
  <si>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</si>
  <si>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</si>
  <si>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</si>
  <si>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</si>
  <si>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</si>
  <si>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</si>
  <si>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</si>
  <si>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</si>
  <si>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</si>
  <si>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</si>
  <si>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</si>
  <si>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</si>
  <si>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</si>
  <si>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</si>
  <si>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</si>
  <si>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</si>
  <si>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</si>
  <si>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</si>
  <si>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</si>
  <si>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</si>
  <si>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</si>
  <si>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</si>
  <si>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</si>
  <si>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</si>
  <si>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</si>
  <si>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</si>
  <si>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</si>
  <si>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</si>
  <si>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</si>
  <si>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</si>
  <si>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</si>
  <si>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</si>
  <si>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</si>
  <si>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</si>
  <si>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</si>
  <si>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</si>
  <si>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</si>
  <si>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</si>
  <si>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</si>
  <si>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</si>
  <si>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</si>
  <si>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</si>
  <si>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</si>
  <si>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</si>
  <si>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</si>
  <si>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</si>
  <si>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</si>
  <si>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</si>
  <si>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</si>
  <si>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</si>
  <si>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</si>
  <si>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</si>
  <si>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</si>
  <si>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</si>
  <si>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</si>
  <si>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</si>
  <si>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</si>
  <si>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</si>
  <si>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</si>
  <si>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</si>
  <si>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</si>
  <si>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</si>
  <si>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</si>
  <si>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</si>
  <si>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</si>
  <si>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</si>
  <si>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</si>
  <si>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</si>
  <si>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</si>
  <si>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</si>
  <si>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</si>
  <si>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</si>
  <si>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</si>
  <si>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</si>
  <si>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</si>
  <si>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</si>
  <si>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</si>
  <si>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</si>
  <si>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</si>
  <si>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</si>
  <si>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</si>
  <si>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</si>
  <si>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</si>
  <si>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</si>
  <si>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</si>
  <si>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</si>
  <si>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</si>
  <si>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</si>
  <si>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</si>
  <si>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</si>
  <si>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</si>
  <si>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</si>
  <si>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</si>
  <si>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</si>
  <si>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</si>
  <si>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</si>
  <si>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</si>
  <si>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</si>
  <si>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</si>
  <si>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</si>
  <si>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</si>
  <si>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</si>
  <si>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</si>
  <si>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</si>
  <si>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</si>
  <si>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</si>
  <si>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</si>
  <si>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</si>
  <si>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</si>
  <si>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</si>
  <si>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</si>
  <si>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</si>
  <si>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</si>
  <si>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</si>
  <si>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</si>
  <si>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</si>
  <si>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</si>
  <si>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</si>
  <si>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</si>
  <si>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</si>
  <si>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</si>
  <si>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</si>
  <si>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</si>
  <si>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</si>
  <si>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</si>
  <si>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</si>
  <si>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</si>
  <si>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</si>
  <si>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</si>
  <si>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</si>
  <si>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</si>
  <si>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りくと</t>
  </si>
  <si>
    <t>りくと</t>
    <phoneticPr fontId="1"/>
  </si>
  <si>
    <t>ただ</t>
  </si>
  <si>
    <t>ただ</t>
    <phoneticPr fontId="1"/>
  </si>
  <si>
    <t>ぱぱ</t>
  </si>
  <si>
    <t>ぱぱ</t>
    <phoneticPr fontId="1"/>
  </si>
  <si>
    <t>ロン</t>
  </si>
  <si>
    <t>放銃</t>
  </si>
  <si>
    <t>52</t>
  </si>
  <si>
    <t>ツモ</t>
  </si>
  <si>
    <t>ツモ支払</t>
  </si>
  <si>
    <t>*</t>
  </si>
  <si>
    <t>01</t>
  </si>
  <si>
    <t>02</t>
  </si>
  <si>
    <t>51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</si>
</sst>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7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</cellXfs>
  <cellStyles count="1">
    <cellStyle name="標準" xfId="0" builtinId="0"/>
  </cellStyles>
  <dxfs count="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tabSelected="1" zoomScaleNormal="100" workbookViewId="0">
      <selection activeCell="E9" sqref="E9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1" t="s">
        <v>0</v>
      </c>
      <c r="B1" s="73" t="s">
        <v>2</v>
      </c>
      <c r="C1" s="73" t="s">
        <v>1</v>
      </c>
      <c r="D1" s="73" t="s">
        <v>21</v>
      </c>
      <c r="E1" s="75" t="s">
        <v>3</v>
      </c>
      <c r="F1" s="66" t="s">
        <v>190</v>
      </c>
      <c r="G1" s="67"/>
      <c r="H1" s="67"/>
      <c r="I1" s="68"/>
      <c r="J1" s="69"/>
      <c r="K1" s="66" t="s">
        <v>192</v>
      </c>
      <c r="L1" s="67"/>
      <c r="M1" s="67"/>
      <c r="N1" s="68"/>
      <c r="O1" s="69"/>
      <c r="P1" s="66" t="s">
        <v>194</v>
      </c>
      <c r="Q1" s="67"/>
      <c r="R1" s="67"/>
      <c r="S1" s="68"/>
      <c r="T1" s="69"/>
      <c r="U1" s="66" t="s">
        <v>6</v>
      </c>
      <c r="V1" s="67"/>
      <c r="W1" s="69"/>
      <c r="Y1" s="66" t="str">
        <f>F1</f>
        <v>りくと</v>
      </c>
      <c r="Z1" s="70"/>
      <c r="AA1" s="67"/>
      <c r="AB1" s="67"/>
      <c r="AC1" s="67"/>
      <c r="AD1" s="67"/>
      <c r="AE1" s="67"/>
      <c r="AF1" s="67"/>
      <c r="AG1" s="67"/>
      <c r="AH1" s="67"/>
      <c r="AI1" s="67"/>
      <c r="AJ1" s="67"/>
      <c r="AK1" s="67"/>
      <c r="AL1" s="67"/>
      <c r="AM1" s="67"/>
      <c r="AN1" s="67"/>
      <c r="AO1" s="67"/>
      <c r="AP1" s="67"/>
      <c r="AQ1" s="67"/>
      <c r="AR1" s="67"/>
      <c r="AS1" s="69"/>
      <c r="AT1" s="66" t="str">
        <f>K1</f>
        <v>ただ</v>
      </c>
      <c r="AU1" s="70"/>
      <c r="AV1" s="67"/>
      <c r="AW1" s="67"/>
      <c r="AX1" s="67"/>
      <c r="AY1" s="67"/>
      <c r="AZ1" s="67"/>
      <c r="BA1" s="67"/>
      <c r="BB1" s="67"/>
      <c r="BC1" s="67"/>
      <c r="BD1" s="67"/>
      <c r="BE1" s="67"/>
      <c r="BF1" s="67"/>
      <c r="BG1" s="67"/>
      <c r="BH1" s="67"/>
      <c r="BI1" s="67"/>
      <c r="BJ1" s="67"/>
      <c r="BK1" s="67"/>
      <c r="BL1" s="67"/>
      <c r="BM1" s="67"/>
      <c r="BN1" s="69"/>
      <c r="BO1" s="66" t="str">
        <f>P1</f>
        <v>ぱぱ</v>
      </c>
      <c r="BP1" s="70"/>
      <c r="BQ1" s="67"/>
      <c r="BR1" s="67"/>
      <c r="BS1" s="67"/>
      <c r="BT1" s="67"/>
      <c r="BU1" s="67"/>
      <c r="BV1" s="67"/>
      <c r="BW1" s="67"/>
      <c r="BX1" s="67"/>
      <c r="BY1" s="67"/>
      <c r="BZ1" s="67"/>
      <c r="CA1" s="67"/>
      <c r="CB1" s="67"/>
      <c r="CC1" s="67"/>
      <c r="CD1" s="67"/>
      <c r="CE1" s="67"/>
      <c r="CF1" s="67"/>
      <c r="CG1" s="67"/>
      <c r="CH1" s="67"/>
      <c r="CI1" s="69"/>
    </row>
    <row r="2" spans="1:87" x14ac:dyDescent="0.4">
      <c r="A2" s="72"/>
      <c r="B2" s="74"/>
      <c r="C2" s="74"/>
      <c r="D2" s="74"/>
      <c r="E2" s="76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りくと</v>
      </c>
      <c r="V2" s="64" t="str">
        <f>$K$1</f>
        <v>ただ</v>
      </c>
      <c r="W2" s="16" t="str">
        <f>$P$1</f>
        <v>ぱぱ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65" t="s">
        <v>20</v>
      </c>
      <c r="AF2" s="65"/>
      <c r="AG2" s="65"/>
      <c r="AH2" s="65"/>
      <c r="AI2" s="65"/>
      <c r="AJ2" s="65"/>
      <c r="AK2" s="65"/>
      <c r="AL2" s="65"/>
      <c r="AM2" s="65"/>
      <c r="AN2" s="65"/>
      <c r="AO2" s="65"/>
      <c r="AP2" s="65"/>
      <c r="AQ2" s="65"/>
      <c r="AR2" s="65"/>
      <c r="AS2" s="65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65" t="s">
        <v>20</v>
      </c>
      <c r="BA2" s="65"/>
      <c r="BB2" s="65"/>
      <c r="BC2" s="65"/>
      <c r="BD2" s="65"/>
      <c r="BE2" s="65"/>
      <c r="BF2" s="65"/>
      <c r="BG2" s="65"/>
      <c r="BH2" s="65"/>
      <c r="BI2" s="65"/>
      <c r="BJ2" s="65"/>
      <c r="BK2" s="65"/>
      <c r="BL2" s="65"/>
      <c r="BM2" s="65"/>
      <c r="BN2" s="65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65" t="s">
        <v>20</v>
      </c>
      <c r="BV2" s="65"/>
      <c r="BW2" s="65"/>
      <c r="BX2" s="65"/>
      <c r="BY2" s="65"/>
      <c r="BZ2" s="65"/>
      <c r="CA2" s="65"/>
      <c r="CB2" s="65"/>
      <c r="CC2" s="65"/>
      <c r="CD2" s="65"/>
      <c r="CE2" s="65"/>
      <c r="CF2" s="65"/>
      <c r="CG2" s="65"/>
      <c r="CH2" s="65"/>
      <c r="CI2" s="65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189</v>
      </c>
      <c r="F4" s="8" t="s">
        <v>195</v>
      </c>
      <c r="G4" s="9">
        <v>5800</v>
      </c>
      <c r="H4" s="9">
        <v>1000</v>
      </c>
      <c r="I4" s="48">
        <v>0</v>
      </c>
      <c r="J4" s="21">
        <f>IF(COUNTA($F4,$K4,$P4)&gt;0,J3+SUM(G4:I4),"")</f>
        <v>41800</v>
      </c>
      <c r="K4" s="8"/>
      <c r="L4" s="9"/>
      <c r="M4" s="9">
        <v>-1000</v>
      </c>
      <c r="N4" s="48"/>
      <c r="O4" s="21">
        <f>IF(COUNTA($F4,$K4,$P4)&gt;0,O3+SUM(L4:N4),"")</f>
        <v>34000</v>
      </c>
      <c r="P4" s="8" t="s">
        <v>196</v>
      </c>
      <c r="Q4" s="9">
        <v>-5800</v>
      </c>
      <c r="R4" s="9"/>
      <c r="S4" s="48">
        <v>0</v>
      </c>
      <c r="T4" s="21">
        <f>IF(COUNTA($F4,$K4,$P4)&gt;0,T3+SUM(Q4:S4),"")</f>
        <v>29200</v>
      </c>
      <c r="U4" s="53">
        <f>IF($J4="","",ROUND(($J4-$J$3)/1000,1)+(_xlfn.RANK.AVG($J4,($J4,$O4,$T4),1)-2)*20)</f>
        <v>26.8</v>
      </c>
      <c r="V4" s="54">
        <f>IF($O4="","",ROUND(($O4-$O$3)/1000,1)+(_xlfn.RANK.AVG($O4,($J4,$O4,$T4),1)-2)*20)</f>
        <v>-1</v>
      </c>
      <c r="W4" s="55">
        <f>IF($T4="","",ROUND(($T4-$T$3)/1000,1)+(_xlfn.RANK.AVG($T4,($J4,$O4,$T4),1)-2)*20)</f>
        <v>-25.8</v>
      </c>
      <c r="Y4" s="8"/>
      <c r="Z4" s="34"/>
      <c r="AA4" s="26"/>
      <c r="AB4" s="26">
        <v>1</v>
      </c>
      <c r="AC4" s="26">
        <v>3</v>
      </c>
      <c r="AD4" s="30">
        <v>30</v>
      </c>
      <c r="AE4" s="40" t="s">
        <v>197</v>
      </c>
      <c r="AF4" s="41" t="s">
        <v>86</v>
      </c>
      <c r="AG4" s="41" t="s">
        <v>86</v>
      </c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189</v>
      </c>
      <c r="F5" s="8" t="s">
        <v>198</v>
      </c>
      <c r="G5" s="9">
        <v>18000</v>
      </c>
      <c r="H5" s="9">
        <v>1000</v>
      </c>
      <c r="I5" s="48">
        <v>1000</v>
      </c>
      <c r="J5" s="21">
        <f t="shared" ref="J5:J30" si="2">IF(COUNTA($F5,$K5,$P5)&gt;0,J4+SUM(G5:I5),"")</f>
        <v>61800</v>
      </c>
      <c r="K5" s="8" t="s">
        <v>199</v>
      </c>
      <c r="L5" s="9">
        <v>-9000</v>
      </c>
      <c r="M5" s="9">
        <v>-1000</v>
      </c>
      <c r="N5" s="48">
        <v>-500</v>
      </c>
      <c r="O5" s="21">
        <f t="shared" ref="O5:O30" si="3">IF(COUNTA($F5,$K5,$P5)&gt;0,O4+SUM(L5:N5),"")</f>
        <v>23500</v>
      </c>
      <c r="P5" s="8" t="s">
        <v>199</v>
      </c>
      <c r="Q5" s="9">
        <v>-9000</v>
      </c>
      <c r="R5" s="9"/>
      <c r="S5" s="48">
        <v>-500</v>
      </c>
      <c r="T5" s="21">
        <f t="shared" ref="T5:T30" si="4">IF(COUNTA($F5,$K5,$P5)&gt;0,T4+SUM(Q5:S5),"")</f>
        <v>19700</v>
      </c>
      <c r="U5" s="53">
        <f>IF($J5="","",ROUND(($J5-$J$3)/1000,1)+(_xlfn.RANK.AVG($J5,($J5,$O5,$T5),1)-2)*20)</f>
        <v>46.8</v>
      </c>
      <c r="V5" s="54">
        <f>IF($O5="","",ROUND(($O5-$O$3)/1000,1)+(_xlfn.RANK.AVG($O5,($J5,$O5,$T5),1)-2)*20)</f>
        <v>-11.5</v>
      </c>
      <c r="W5" s="55">
        <f>IF($T5="","",ROUND(($T5-$T$3)/1000,1)+(_xlfn.RANK.AVG($T5,($J5,$O5,$T5),1)-2)*20)</f>
        <v>-35.299999999999997</v>
      </c>
      <c r="Y5" s="8"/>
      <c r="Z5" s="34"/>
      <c r="AA5" s="26">
        <v>1</v>
      </c>
      <c r="AB5" s="26"/>
      <c r="AC5" s="26">
        <v>6</v>
      </c>
      <c r="AD5" s="30" t="s">
        <v>200</v>
      </c>
      <c r="AE5" s="40" t="s">
        <v>201</v>
      </c>
      <c r="AF5" s="41" t="s">
        <v>202</v>
      </c>
      <c r="AG5" s="41" t="s">
        <v>82</v>
      </c>
      <c r="AH5" s="41" t="s">
        <v>79</v>
      </c>
      <c r="AI5" s="41" t="s">
        <v>79</v>
      </c>
      <c r="AJ5" s="41" t="s">
        <v>79</v>
      </c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>
        <v>1</v>
      </c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1</v>
      </c>
      <c r="C6" s="18">
        <f t="shared" ref="C6:C30" si="6">IF($E6="","",IF($F5="チョンボ",C5,IF(OR($E5=$E6,$F5="流局"),C5+1,0)))</f>
        <v>2</v>
      </c>
      <c r="D6" s="18">
        <f t="shared" si="1"/>
        <v>0</v>
      </c>
      <c r="E6" s="4" t="s">
        <v>189</v>
      </c>
      <c r="F6" s="8"/>
      <c r="G6" s="9"/>
      <c r="H6" s="9"/>
      <c r="I6" s="48"/>
      <c r="J6" s="21">
        <f t="shared" si="2"/>
        <v>61800</v>
      </c>
      <c r="K6" s="8" t="s">
        <v>195</v>
      </c>
      <c r="L6" s="9">
        <v>5200</v>
      </c>
      <c r="M6" s="9"/>
      <c r="N6" s="48">
        <v>2000</v>
      </c>
      <c r="O6" s="21">
        <f t="shared" si="3"/>
        <v>30700</v>
      </c>
      <c r="P6" s="8" t="s">
        <v>196</v>
      </c>
      <c r="Q6" s="9">
        <v>-5200</v>
      </c>
      <c r="R6" s="9"/>
      <c r="S6" s="48">
        <v>-2000</v>
      </c>
      <c r="T6" s="21">
        <f t="shared" si="4"/>
        <v>12500</v>
      </c>
      <c r="U6" s="53">
        <f>IF($J6="","",ROUND(($J6-$J$3)/1000,1)+(_xlfn.RANK.AVG($J6,($J6,$O6,$T6),1)-2)*20)</f>
        <v>46.8</v>
      </c>
      <c r="V6" s="54">
        <f>IF($O6="","",ROUND(($O6-$O$3)/1000,1)+(_xlfn.RANK.AVG($O6,($J6,$O6,$T6),1)-2)*20)</f>
        <v>-4.3</v>
      </c>
      <c r="W6" s="55">
        <f>IF($T6="","",ROUND(($T6-$T$3)/1000,1)+(_xlfn.RANK.AVG($T6,($J6,$O6,$T6),1)-2)*20)</f>
        <v>-42.5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>
        <v>3</v>
      </c>
      <c r="AY6" s="30">
        <v>40</v>
      </c>
      <c r="AZ6" s="40" t="s">
        <v>201</v>
      </c>
      <c r="BA6" s="41" t="s">
        <v>202</v>
      </c>
      <c r="BB6" s="41" t="s">
        <v>84</v>
      </c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>
        <v>1</v>
      </c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2</v>
      </c>
      <c r="C7" s="18">
        <f t="shared" si="6"/>
        <v>0</v>
      </c>
      <c r="D7" s="18">
        <f t="shared" si="1"/>
        <v>0</v>
      </c>
      <c r="E7" s="4" t="s">
        <v>191</v>
      </c>
      <c r="F7" s="8" t="s">
        <v>198</v>
      </c>
      <c r="G7" s="9">
        <v>16000</v>
      </c>
      <c r="H7" s="9"/>
      <c r="I7" s="48">
        <v>0</v>
      </c>
      <c r="J7" s="21">
        <f t="shared" si="2"/>
        <v>77800</v>
      </c>
      <c r="K7" s="8" t="s">
        <v>199</v>
      </c>
      <c r="L7" s="9">
        <v>-10000</v>
      </c>
      <c r="M7" s="9"/>
      <c r="N7" s="48">
        <v>0</v>
      </c>
      <c r="O7" s="21">
        <f t="shared" si="3"/>
        <v>20700</v>
      </c>
      <c r="P7" s="8" t="s">
        <v>199</v>
      </c>
      <c r="Q7" s="9">
        <v>-6000</v>
      </c>
      <c r="R7" s="9"/>
      <c r="S7" s="48">
        <v>0</v>
      </c>
      <c r="T7" s="21">
        <f t="shared" si="4"/>
        <v>6500</v>
      </c>
      <c r="U7" s="53">
        <f>IF($J7="","",ROUND(($J7-$J$3)/1000,1)+(_xlfn.RANK.AVG($J7,($J7,$O7,$T7),1)-2)*20)</f>
        <v>62.8</v>
      </c>
      <c r="V7" s="54">
        <f>IF($O7="","",ROUND(($O7-$O$3)/1000,1)+(_xlfn.RANK.AVG($O7,($J7,$O7,$T7),1)-2)*20)</f>
        <v>-14.3</v>
      </c>
      <c r="W7" s="55">
        <f>IF($T7="","",ROUND(($T7-$T$3)/1000,1)+(_xlfn.RANK.AVG($T7,($J7,$O7,$T7),1)-2)*20)</f>
        <v>-48.5</v>
      </c>
      <c r="Y7" s="8"/>
      <c r="Z7" s="34"/>
      <c r="AA7" s="26">
        <v>1</v>
      </c>
      <c r="AB7" s="26"/>
      <c r="AC7" s="26">
        <v>8</v>
      </c>
      <c r="AD7" s="30" t="s">
        <v>200</v>
      </c>
      <c r="AE7" s="40" t="s">
        <v>203</v>
      </c>
      <c r="AF7" s="41" t="s">
        <v>82</v>
      </c>
      <c r="AG7" s="41" t="s">
        <v>83</v>
      </c>
      <c r="AH7" s="41" t="s">
        <v>92</v>
      </c>
      <c r="AI7" s="41" t="s">
        <v>197</v>
      </c>
      <c r="AJ7" s="41" t="s">
        <v>79</v>
      </c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>
        <v>1</v>
      </c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3</v>
      </c>
      <c r="C8" s="18">
        <f t="shared" si="6"/>
        <v>0</v>
      </c>
      <c r="D8" s="18">
        <f t="shared" si="1"/>
        <v>0</v>
      </c>
      <c r="E8" s="4" t="s">
        <v>193</v>
      </c>
      <c r="F8" s="8" t="s">
        <v>198</v>
      </c>
      <c r="G8" s="9">
        <v>12000</v>
      </c>
      <c r="H8" s="9"/>
      <c r="I8" s="48">
        <v>0</v>
      </c>
      <c r="J8" s="21">
        <f t="shared" si="2"/>
        <v>89800</v>
      </c>
      <c r="K8" s="8" t="s">
        <v>199</v>
      </c>
      <c r="L8" s="9">
        <v>-4500</v>
      </c>
      <c r="M8" s="9"/>
      <c r="N8" s="48">
        <v>0</v>
      </c>
      <c r="O8" s="21">
        <f t="shared" si="3"/>
        <v>16200</v>
      </c>
      <c r="P8" s="8" t="s">
        <v>199</v>
      </c>
      <c r="Q8" s="9">
        <v>-7500</v>
      </c>
      <c r="R8" s="9"/>
      <c r="S8" s="48">
        <v>0</v>
      </c>
      <c r="T8" s="21">
        <f t="shared" si="4"/>
        <v>-1000</v>
      </c>
      <c r="U8" s="53">
        <f>IF($J8="","",ROUND(($J8-$J$3)/1000,1)+(_xlfn.RANK.AVG($J8,($J8,$O8,$T8),1)-2)*20)</f>
        <v>74.8</v>
      </c>
      <c r="V8" s="54">
        <f>IF($O8="","",ROUND(($O8-$O$3)/1000,1)+(_xlfn.RANK.AVG($O8,($J8,$O8,$T8),1)-2)*20)</f>
        <v>-18.8</v>
      </c>
      <c r="W8" s="55">
        <f>IF($T8="","",ROUND(($T8-$T$3)/1000,1)+(_xlfn.RANK.AVG($T8,($J8,$O8,$T8),1)-2)*20)</f>
        <v>-56</v>
      </c>
      <c r="Y8" s="8"/>
      <c r="Z8" s="34"/>
      <c r="AA8" s="26">
        <v>1</v>
      </c>
      <c r="AB8" s="26"/>
      <c r="AC8" s="26">
        <v>6</v>
      </c>
      <c r="AD8" s="30" t="s">
        <v>200</v>
      </c>
      <c r="AE8" s="40" t="s">
        <v>201</v>
      </c>
      <c r="AF8" s="41" t="s">
        <v>82</v>
      </c>
      <c r="AG8" s="41" t="s">
        <v>83</v>
      </c>
      <c r="AH8" s="41" t="s">
        <v>79</v>
      </c>
      <c r="AI8" s="41" t="s">
        <v>80</v>
      </c>
      <c r="AJ8" s="41" t="s">
        <v>197</v>
      </c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/>
      </c>
      <c r="B9" s="18" t="str">
        <f t="shared" si="5"/>
        <v/>
      </c>
      <c r="C9" s="18" t="str">
        <f t="shared" si="6"/>
        <v/>
      </c>
      <c r="D9" s="18" t="str">
        <f t="shared" si="1"/>
        <v/>
      </c>
      <c r="E9" s="4"/>
      <c r="F9" s="8"/>
      <c r="G9" s="9"/>
      <c r="H9" s="9"/>
      <c r="I9" s="48"/>
      <c r="J9" s="21" t="str">
        <f t="shared" si="2"/>
        <v/>
      </c>
      <c r="K9" s="8"/>
      <c r="L9" s="9"/>
      <c r="M9" s="9"/>
      <c r="N9" s="48"/>
      <c r="O9" s="21" t="str">
        <f t="shared" si="3"/>
        <v/>
      </c>
      <c r="P9" s="8"/>
      <c r="Q9" s="9"/>
      <c r="R9" s="9"/>
      <c r="S9" s="48"/>
      <c r="T9" s="21" t="str">
        <f t="shared" si="4"/>
        <v/>
      </c>
      <c r="U9" s="53" t="str">
        <f>IF($J9="","",ROUND(($J9-$J$3)/1000,1)+(_xlfn.RANK.AVG($J9,($J9,$O9,$T9),1)-2)*20)</f>
        <v/>
      </c>
      <c r="V9" s="54" t="str">
        <f>IF($O9="","",ROUND(($O9-$O$3)/1000,1)+(_xlfn.RANK.AVG($O9,($J9,$O9,$T9),1)-2)*20)</f>
        <v/>
      </c>
      <c r="W9" s="55" t="str">
        <f>IF($T9="","",ROUND(($T9-$T$3)/1000,1)+(_xlfn.RANK.AVG($T9,($J9,$O9,$T9),1)-2)*20)</f>
        <v/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IF($J10="","",ROUND(($J10-$J$3)/1000,1)+(_xlfn.RANK.AVG($J10,($J10,$O10,$T10),1)-2)*20)</f>
        <v/>
      </c>
      <c r="V10" s="54" t="str">
        <f>IF($O10="","",ROUND(($O10-$O$3)/1000,1)+(_xlfn.RANK.AVG($O10,($J10,$O10,$T10),1)-2)*20)</f>
        <v/>
      </c>
      <c r="W10" s="55" t="str">
        <f>IF($T10="","",ROUND(($T10-$T$3)/1000,1)+(_xlfn.RANK.AVG($T10,($J10,$O10,$T10),1)-2)*20)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IF($J11="","",ROUND(($J11-$J$3)/1000,1)+(_xlfn.RANK.AVG($J11,($J11,$O11,$T11),1)-2)*20)</f>
        <v/>
      </c>
      <c r="V11" s="54" t="str">
        <f>IF($O11="","",ROUND(($O11-$O$3)/1000,1)+(_xlfn.RANK.AVG($O11,($J11,$O11,$T11),1)-2)*20)</f>
        <v/>
      </c>
      <c r="W11" s="55" t="str">
        <f>IF($T11="","",ROUND(($T11-$T$3)/1000,1)+(_xlfn.RANK.AVG($T11,($J11,$O11,$T11),1)-2)*20)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2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3"/>
  <sheetViews>
    <sheetView workbookViewId="0"/>
  </sheetViews>
  <sheetFormatPr defaultRowHeight="18.75" x14ac:dyDescent="0.4"/>
  <cols>
    <col min="1" max="1" width="9" style="36" customWidth="1"/>
    <col min="2" max="2" width="6.5" style="36" customWidth="1"/>
    <col min="3" max="3" width="19.25" style="15" bestFit="1" customWidth="1"/>
    <col min="4" max="5" width="6.5" style="15" customWidth="1"/>
  </cols>
  <sheetData>
    <row r="1" spans="1:5" x14ac:dyDescent="0.4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">
      <c r="A16" s="36" t="s">
        <v>91</v>
      </c>
      <c r="B16" s="36" t="s">
        <v>155</v>
      </c>
      <c r="C16" s="15" t="s">
        <v>43</v>
      </c>
      <c r="D16" s="15">
        <v>2</v>
      </c>
    </row>
    <row r="17" spans="1:5" x14ac:dyDescent="0.4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">
      <c r="A18" s="36" t="s">
        <v>93</v>
      </c>
      <c r="B18" s="36" t="s">
        <v>157</v>
      </c>
      <c r="C18" s="15" t="s">
        <v>131</v>
      </c>
      <c r="D18" s="15">
        <v>2</v>
      </c>
      <c r="E18" s="15">
        <v>1</v>
      </c>
    </row>
    <row r="19" spans="1:5" x14ac:dyDescent="0.4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">
      <c r="A26" s="36" t="s">
        <v>101</v>
      </c>
      <c r="B26" s="36" t="s">
        <v>156</v>
      </c>
      <c r="C26" s="15" t="s">
        <v>52</v>
      </c>
      <c r="D26" s="15">
        <v>2</v>
      </c>
    </row>
    <row r="27" spans="1:5" x14ac:dyDescent="0.4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">
      <c r="A28" s="36" t="s">
        <v>103</v>
      </c>
      <c r="B28" s="36" t="s">
        <v>158</v>
      </c>
      <c r="C28" s="15" t="s">
        <v>130</v>
      </c>
      <c r="D28" s="15">
        <v>3</v>
      </c>
      <c r="E28" s="15">
        <v>2</v>
      </c>
    </row>
    <row r="29" spans="1:5" x14ac:dyDescent="0.4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">
      <c r="A30" s="36" t="s">
        <v>105</v>
      </c>
      <c r="B30" s="36" t="s">
        <v>163</v>
      </c>
      <c r="C30" s="15" t="s">
        <v>55</v>
      </c>
      <c r="D30" s="15">
        <v>5</v>
      </c>
    </row>
    <row r="31" spans="1:5" x14ac:dyDescent="0.4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">
      <c r="A46" s="36" t="s">
        <v>121</v>
      </c>
      <c r="B46" s="36" t="s">
        <v>183</v>
      </c>
      <c r="C46" s="15" t="s">
        <v>71</v>
      </c>
      <c r="D46" s="15">
        <v>26</v>
      </c>
    </row>
    <row r="47" spans="1:5" x14ac:dyDescent="0.4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">
      <c r="A50" s="36" t="s">
        <v>125</v>
      </c>
      <c r="B50" s="36" t="s">
        <v>187</v>
      </c>
      <c r="C50" s="15" t="s">
        <v>75</v>
      </c>
      <c r="D50" s="15">
        <v>13</v>
      </c>
    </row>
    <row r="51" spans="1:5" x14ac:dyDescent="0.4">
      <c r="A51" s="36" t="s">
        <v>126</v>
      </c>
      <c r="B51" s="36" t="s">
        <v>188</v>
      </c>
      <c r="C51" s="15" t="s">
        <v>76</v>
      </c>
      <c r="D51" s="15">
        <v>13</v>
      </c>
    </row>
    <row r="52" spans="1:5" x14ac:dyDescent="0.4">
      <c r="A52" s="36" t="s">
        <v>134</v>
      </c>
      <c r="B52" s="36" t="s">
        <v>154</v>
      </c>
      <c r="C52" s="15" t="s">
        <v>135</v>
      </c>
      <c r="D52" s="15">
        <v>2</v>
      </c>
    </row>
    <row r="53" spans="1:5" x14ac:dyDescent="0.4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参行寺聖奈</cp:lastModifiedBy>
  <cp:lastPrinted>2018-10-03T09:15:05Z</cp:lastPrinted>
  <dcterms:created xsi:type="dcterms:W3CDTF">2018-10-02T11:54:05Z</dcterms:created>
  <dcterms:modified xsi:type="dcterms:W3CDTF">2019-05-21T14:39:35Z</dcterms:modified>
</cp:coreProperties>
</file>