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BF930C23-6B4C-4EB2-849B-0EE25AFF877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9" l="1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W30" i="18"/>
  <c r="V30" i="18"/>
  <c r="U30" i="18"/>
  <c r="W29" i="18"/>
  <c r="V29" i="18"/>
  <c r="U29" i="18"/>
  <c r="W28" i="18"/>
  <c r="V28" i="18"/>
  <c r="U28" i="18"/>
  <c r="W27" i="18"/>
  <c r="V27" i="18"/>
  <c r="U27" i="18"/>
  <c r="W26" i="18"/>
  <c r="V26" i="18"/>
  <c r="U26" i="18"/>
  <c r="W25" i="18"/>
  <c r="V25" i="18"/>
  <c r="U25" i="18"/>
  <c r="W24" i="18"/>
  <c r="V24" i="18"/>
  <c r="U24" i="18"/>
  <c r="W23" i="18"/>
  <c r="V23" i="18"/>
  <c r="U23" i="18"/>
  <c r="W22" i="18"/>
  <c r="V22" i="18"/>
  <c r="U22" i="18"/>
  <c r="W21" i="18"/>
  <c r="V21" i="18"/>
  <c r="U21" i="18"/>
  <c r="W20" i="18"/>
  <c r="V20" i="18"/>
  <c r="U20" i="18"/>
  <c r="W19" i="18"/>
  <c r="V19" i="18"/>
  <c r="U19" i="18"/>
  <c r="W18" i="18"/>
  <c r="V18" i="18"/>
  <c r="U18" i="18"/>
  <c r="W17" i="18"/>
  <c r="V17" i="18"/>
  <c r="U17" i="18"/>
  <c r="W16" i="18"/>
  <c r="V16" i="18"/>
  <c r="U16" i="18"/>
  <c r="W15" i="18"/>
  <c r="V15" i="18"/>
  <c r="U15" i="18"/>
  <c r="W14" i="18"/>
  <c r="V14" i="18"/>
  <c r="U14" i="18"/>
  <c r="W13" i="18"/>
  <c r="V13" i="18"/>
  <c r="U13" i="18"/>
  <c r="W12" i="18"/>
  <c r="V12" i="18"/>
  <c r="U12" i="18"/>
  <c r="W11" i="18"/>
  <c r="V11" i="18"/>
  <c r="U11" i="18"/>
  <c r="W10" i="18"/>
  <c r="V10" i="18"/>
  <c r="U10" i="18"/>
  <c r="W9" i="18"/>
  <c r="V9" i="18"/>
  <c r="U9" i="18"/>
  <c r="W8" i="18"/>
  <c r="V8" i="18"/>
  <c r="U8" i="18"/>
  <c r="W7" i="18"/>
  <c r="V7" i="18"/>
  <c r="U7" i="18"/>
  <c r="W6" i="18"/>
  <c r="V6" i="18"/>
  <c r="U6" i="18"/>
  <c r="W5" i="18"/>
  <c r="V5" i="18"/>
  <c r="U5" i="18"/>
  <c r="W4" i="18"/>
  <c r="V4" i="18"/>
  <c r="U4" i="18"/>
  <c r="W3" i="18"/>
  <c r="V3" i="18"/>
  <c r="U3" i="18"/>
  <c r="T30" i="19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D13" i="19"/>
  <c r="C13" i="19"/>
  <c r="D12" i="19"/>
  <c r="D11" i="19"/>
  <c r="C11" i="19"/>
  <c r="C12" i="19" s="1"/>
  <c r="D10" i="19"/>
  <c r="C10" i="19"/>
  <c r="D9" i="19"/>
  <c r="C9" i="19"/>
  <c r="D8" i="19"/>
  <c r="C8" i="19"/>
  <c r="D7" i="19"/>
  <c r="C7" i="19"/>
  <c r="B7" i="19"/>
  <c r="B8" i="19" s="1"/>
  <c r="D6" i="19"/>
  <c r="C6" i="19"/>
  <c r="B6" i="19"/>
  <c r="A7" i="19" s="1"/>
  <c r="T5" i="19"/>
  <c r="D5" i="19"/>
  <c r="C5" i="19"/>
  <c r="B5" i="19"/>
  <c r="A5" i="19" s="1"/>
  <c r="A6" i="19" s="1"/>
  <c r="T4" i="19"/>
  <c r="O4" i="19"/>
  <c r="J4" i="19"/>
  <c r="W2" i="19"/>
  <c r="V2" i="19"/>
  <c r="U2" i="19"/>
  <c r="BO1" i="19"/>
  <c r="AT1" i="19"/>
  <c r="Y1" i="19"/>
  <c r="O5" i="19" l="1"/>
  <c r="B9" i="19"/>
  <c r="J5" i="19"/>
  <c r="A8" i="19"/>
  <c r="T6" i="19"/>
  <c r="O6" i="19" l="1"/>
  <c r="B10" i="19"/>
  <c r="T7" i="19"/>
  <c r="O7" i="19"/>
  <c r="J6" i="19"/>
  <c r="A9" i="19"/>
  <c r="J7" i="19" l="1"/>
  <c r="B11" i="19"/>
  <c r="O8" i="19"/>
  <c r="T8" i="19"/>
  <c r="A10" i="19"/>
  <c r="O9" i="19" l="1"/>
  <c r="B12" i="19"/>
  <c r="A11" i="19"/>
  <c r="A12" i="19" s="1"/>
  <c r="J8" i="19"/>
  <c r="T9" i="19"/>
  <c r="J9" i="19" l="1"/>
  <c r="B13" i="19"/>
  <c r="A13" i="19" s="1"/>
  <c r="T10" i="19"/>
  <c r="O10" i="19"/>
  <c r="O11" i="19" l="1"/>
  <c r="J10" i="19"/>
  <c r="T11" i="19"/>
  <c r="O12" i="19" l="1"/>
  <c r="T12" i="19"/>
  <c r="J11" i="19"/>
  <c r="J12" i="19" l="1"/>
  <c r="T13" i="19"/>
  <c r="O13" i="19"/>
  <c r="J13" i="19" l="1"/>
  <c r="Y1" i="18" l="1"/>
  <c r="AT1" i="18"/>
  <c r="BO1" i="18"/>
  <c r="U2" i="18"/>
  <c r="V2" i="18"/>
  <c r="W2" i="18"/>
  <c r="J4" i="18"/>
  <c r="O4" i="18"/>
  <c r="O5" i="18" s="1"/>
  <c r="T4" i="18"/>
  <c r="B5" i="18"/>
  <c r="C5" i="18"/>
  <c r="C6" i="18" s="1"/>
  <c r="D5" i="18"/>
  <c r="J5" i="18"/>
  <c r="J6" i="18" s="1"/>
  <c r="T5" i="18"/>
  <c r="B6" i="18"/>
  <c r="D6" i="18"/>
  <c r="C7" i="18"/>
  <c r="D7" i="18"/>
  <c r="C8" i="18"/>
  <c r="D8" i="18"/>
  <c r="C9" i="18"/>
  <c r="D9" i="18"/>
  <c r="D10" i="18" s="1"/>
  <c r="C10" i="18"/>
  <c r="C11" i="18"/>
  <c r="D11" i="18"/>
  <c r="A12" i="18"/>
  <c r="B12" i="18"/>
  <c r="C12" i="18"/>
  <c r="D12" i="18"/>
  <c r="J12" i="18"/>
  <c r="O12" i="18"/>
  <c r="T12" i="18"/>
  <c r="A13" i="18"/>
  <c r="B13" i="18"/>
  <c r="C13" i="18"/>
  <c r="D13" i="18"/>
  <c r="J13" i="18"/>
  <c r="O13" i="18"/>
  <c r="T13" i="18"/>
  <c r="A14" i="18"/>
  <c r="B14" i="18"/>
  <c r="C14" i="18"/>
  <c r="D14" i="18"/>
  <c r="J14" i="18"/>
  <c r="O14" i="18"/>
  <c r="T14" i="18"/>
  <c r="A15" i="18"/>
  <c r="B15" i="18"/>
  <c r="C15" i="18"/>
  <c r="D15" i="18"/>
  <c r="J15" i="18"/>
  <c r="O15" i="18"/>
  <c r="T15" i="18"/>
  <c r="A16" i="18"/>
  <c r="B16" i="18"/>
  <c r="C16" i="18"/>
  <c r="D16" i="18"/>
  <c r="J16" i="18"/>
  <c r="O16" i="18"/>
  <c r="T16" i="18"/>
  <c r="A17" i="18"/>
  <c r="B17" i="18"/>
  <c r="C17" i="18"/>
  <c r="D17" i="18"/>
  <c r="J17" i="18"/>
  <c r="O17" i="18"/>
  <c r="T17" i="18"/>
  <c r="A18" i="18"/>
  <c r="B18" i="18"/>
  <c r="C18" i="18"/>
  <c r="D18" i="18"/>
  <c r="J18" i="18"/>
  <c r="O18" i="18"/>
  <c r="T18" i="18"/>
  <c r="A19" i="18"/>
  <c r="B19" i="18"/>
  <c r="C19" i="18"/>
  <c r="D19" i="18"/>
  <c r="J19" i="18"/>
  <c r="O19" i="18"/>
  <c r="T19" i="18"/>
  <c r="A20" i="18"/>
  <c r="B20" i="18"/>
  <c r="C20" i="18"/>
  <c r="D20" i="18"/>
  <c r="J20" i="18"/>
  <c r="O20" i="18"/>
  <c r="T20" i="18"/>
  <c r="A21" i="18"/>
  <c r="B21" i="18"/>
  <c r="C21" i="18"/>
  <c r="D21" i="18"/>
  <c r="J21" i="18"/>
  <c r="O21" i="18"/>
  <c r="T21" i="18"/>
  <c r="A22" i="18"/>
  <c r="B22" i="18"/>
  <c r="C22" i="18"/>
  <c r="D22" i="18"/>
  <c r="J22" i="18"/>
  <c r="O22" i="18"/>
  <c r="T22" i="18"/>
  <c r="A23" i="18"/>
  <c r="B23" i="18"/>
  <c r="C23" i="18"/>
  <c r="D23" i="18"/>
  <c r="J23" i="18"/>
  <c r="O23" i="18"/>
  <c r="T23" i="18"/>
  <c r="A24" i="18"/>
  <c r="B24" i="18"/>
  <c r="C24" i="18"/>
  <c r="D24" i="18"/>
  <c r="J24" i="18"/>
  <c r="O24" i="18"/>
  <c r="T24" i="18"/>
  <c r="A25" i="18"/>
  <c r="B25" i="18"/>
  <c r="C25" i="18"/>
  <c r="D25" i="18"/>
  <c r="J25" i="18"/>
  <c r="O25" i="18"/>
  <c r="T25" i="18"/>
  <c r="A26" i="18"/>
  <c r="B26" i="18"/>
  <c r="C26" i="18"/>
  <c r="D26" i="18"/>
  <c r="J26" i="18"/>
  <c r="O26" i="18"/>
  <c r="T26" i="18"/>
  <c r="A27" i="18"/>
  <c r="B27" i="18"/>
  <c r="C27" i="18"/>
  <c r="D27" i="18"/>
  <c r="J27" i="18"/>
  <c r="O27" i="18"/>
  <c r="T27" i="18"/>
  <c r="A28" i="18"/>
  <c r="B28" i="18"/>
  <c r="C28" i="18"/>
  <c r="D28" i="18"/>
  <c r="J28" i="18"/>
  <c r="O28" i="18"/>
  <c r="T28" i="18"/>
  <c r="A29" i="18"/>
  <c r="B29" i="18"/>
  <c r="C29" i="18"/>
  <c r="D29" i="18"/>
  <c r="J29" i="18"/>
  <c r="O29" i="18"/>
  <c r="T29" i="18"/>
  <c r="A30" i="18"/>
  <c r="B30" i="18"/>
  <c r="C30" i="18"/>
  <c r="D30" i="18"/>
  <c r="J30" i="18"/>
  <c r="O30" i="18"/>
  <c r="T30" i="18"/>
  <c r="O6" i="18" l="1"/>
  <c r="J7" i="18"/>
  <c r="T6" i="18"/>
  <c r="A5" i="18"/>
  <c r="A6" i="18" s="1"/>
  <c r="A7" i="18" s="1"/>
  <c r="B7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D9" i="17"/>
  <c r="C9" i="17"/>
  <c r="C10" i="17" s="1"/>
  <c r="D8" i="17"/>
  <c r="D7" i="17"/>
  <c r="B7" i="17"/>
  <c r="D6" i="17"/>
  <c r="B6" i="17"/>
  <c r="A6" i="17"/>
  <c r="O5" i="17"/>
  <c r="D5" i="17"/>
  <c r="C5" i="17"/>
  <c r="C6" i="17" s="1"/>
  <c r="C7" i="17" s="1"/>
  <c r="C8" i="17" s="1"/>
  <c r="B5" i="17"/>
  <c r="A5" i="17" s="1"/>
  <c r="T4" i="17"/>
  <c r="T5" i="17" s="1"/>
  <c r="O4" i="17"/>
  <c r="J4" i="17"/>
  <c r="W3" i="17"/>
  <c r="V3" i="17"/>
  <c r="U3" i="17"/>
  <c r="W2" i="17"/>
  <c r="V2" i="17"/>
  <c r="U2" i="17"/>
  <c r="BO1" i="17"/>
  <c r="AT1" i="17"/>
  <c r="Y1" i="17"/>
  <c r="T7" i="18" l="1"/>
  <c r="J8" i="18"/>
  <c r="O7" i="18"/>
  <c r="B8" i="18"/>
  <c r="A8" i="18" s="1"/>
  <c r="A7" i="17"/>
  <c r="W4" i="17"/>
  <c r="U4" i="17"/>
  <c r="V4" i="17"/>
  <c r="V5" i="17"/>
  <c r="J5" i="17"/>
  <c r="O6" i="17"/>
  <c r="B8" i="17"/>
  <c r="T6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D15" i="16"/>
  <c r="C15" i="16"/>
  <c r="D14" i="16"/>
  <c r="D13" i="16"/>
  <c r="C13" i="16"/>
  <c r="C14" i="16" s="1"/>
  <c r="D12" i="16"/>
  <c r="C12" i="16"/>
  <c r="D11" i="16"/>
  <c r="D10" i="16"/>
  <c r="D9" i="16"/>
  <c r="C9" i="16"/>
  <c r="C10" i="16" s="1"/>
  <c r="C11" i="16" s="1"/>
  <c r="D8" i="16"/>
  <c r="D7" i="16"/>
  <c r="C7" i="16"/>
  <c r="C8" i="16" s="1"/>
  <c r="B6" i="16"/>
  <c r="B7" i="16" s="1"/>
  <c r="T5" i="16"/>
  <c r="D5" i="16"/>
  <c r="D6" i="16" s="1"/>
  <c r="C5" i="16"/>
  <c r="C6" i="16" s="1"/>
  <c r="B5" i="16"/>
  <c r="A5" i="16" s="1"/>
  <c r="T4" i="16"/>
  <c r="O4" i="16"/>
  <c r="V4" i="16" s="1"/>
  <c r="J4" i="16"/>
  <c r="W3" i="16"/>
  <c r="V3" i="16"/>
  <c r="U3" i="16"/>
  <c r="W2" i="16"/>
  <c r="V2" i="16"/>
  <c r="U2" i="16"/>
  <c r="BO1" i="16"/>
  <c r="AT1" i="16"/>
  <c r="Y1" i="16"/>
  <c r="O8" i="18" l="1"/>
  <c r="B9" i="18"/>
  <c r="A9" i="18"/>
  <c r="J9" i="18"/>
  <c r="T8" i="18"/>
  <c r="B9" i="17"/>
  <c r="T7" i="17"/>
  <c r="O7" i="17"/>
  <c r="U5" i="17"/>
  <c r="J6" i="17"/>
  <c r="W6" i="17" s="1"/>
  <c r="A8" i="17"/>
  <c r="W5" i="17"/>
  <c r="A6" i="16"/>
  <c r="W4" i="16"/>
  <c r="U4" i="16"/>
  <c r="B8" i="16"/>
  <c r="J5" i="16"/>
  <c r="A7" i="16"/>
  <c r="A8" i="16" s="1"/>
  <c r="O5" i="16"/>
  <c r="T6" i="16"/>
  <c r="O9" i="18" l="1"/>
  <c r="J10" i="18"/>
  <c r="T9" i="18"/>
  <c r="A10" i="18"/>
  <c r="B10" i="18"/>
  <c r="A9" i="17"/>
  <c r="B10" i="17"/>
  <c r="U6" i="17"/>
  <c r="J7" i="17"/>
  <c r="O8" i="17"/>
  <c r="V7" i="17"/>
  <c r="W7" i="17"/>
  <c r="T8" i="17"/>
  <c r="V6" i="17"/>
  <c r="V5" i="16"/>
  <c r="O6" i="16"/>
  <c r="B9" i="16"/>
  <c r="A9" i="16" s="1"/>
  <c r="T7" i="16"/>
  <c r="U5" i="16"/>
  <c r="J6" i="16"/>
  <c r="W6" i="16" s="1"/>
  <c r="W5" i="16"/>
  <c r="J11" i="18" l="1"/>
  <c r="T10" i="18"/>
  <c r="B11" i="18"/>
  <c r="A11" i="18" s="1"/>
  <c r="O10" i="18"/>
  <c r="B11" i="17"/>
  <c r="O9" i="17"/>
  <c r="A10" i="17"/>
  <c r="A11" i="17" s="1"/>
  <c r="T9" i="17"/>
  <c r="J8" i="17"/>
  <c r="V8" i="17" s="1"/>
  <c r="U7" i="17"/>
  <c r="T8" i="16"/>
  <c r="B10" i="16"/>
  <c r="A10" i="16" s="1"/>
  <c r="U6" i="16"/>
  <c r="J7" i="16"/>
  <c r="O7" i="16"/>
  <c r="V6" i="16"/>
  <c r="O11" i="18" l="1"/>
  <c r="T11" i="18"/>
  <c r="W8" i="17"/>
  <c r="U8" i="17"/>
  <c r="J9" i="17"/>
  <c r="O10" i="17"/>
  <c r="T10" i="17"/>
  <c r="U7" i="16"/>
  <c r="J8" i="16"/>
  <c r="O8" i="16"/>
  <c r="V7" i="16"/>
  <c r="B11" i="16"/>
  <c r="A11" i="16" s="1"/>
  <c r="T9" i="16"/>
  <c r="W8" i="16"/>
  <c r="W7" i="16"/>
  <c r="U9" i="17" l="1"/>
  <c r="J10" i="17"/>
  <c r="T11" i="17"/>
  <c r="W9" i="17"/>
  <c r="O11" i="17"/>
  <c r="V9" i="17"/>
  <c r="T10" i="16"/>
  <c r="B12" i="16"/>
  <c r="A12" i="16" s="1"/>
  <c r="V8" i="16"/>
  <c r="O9" i="16"/>
  <c r="U8" i="16"/>
  <c r="J9" i="16"/>
  <c r="U10" i="17" l="1"/>
  <c r="J11" i="17"/>
  <c r="U11" i="17" s="1"/>
  <c r="V11" i="17"/>
  <c r="V10" i="17"/>
  <c r="W10" i="17"/>
  <c r="U9" i="16"/>
  <c r="J10" i="16"/>
  <c r="V9" i="16"/>
  <c r="O10" i="16"/>
  <c r="B13" i="16"/>
  <c r="T11" i="16"/>
  <c r="W10" i="16"/>
  <c r="W9" i="16"/>
  <c r="W11" i="17" l="1"/>
  <c r="B14" i="16"/>
  <c r="A13" i="16"/>
  <c r="O11" i="16"/>
  <c r="V10" i="16"/>
  <c r="U10" i="16"/>
  <c r="J11" i="16"/>
  <c r="W11" i="16"/>
  <c r="T12" i="16"/>
  <c r="U11" i="16" l="1"/>
  <c r="J12" i="16"/>
  <c r="V11" i="16"/>
  <c r="O12" i="16"/>
  <c r="B15" i="16"/>
  <c r="A15" i="16" s="1"/>
  <c r="W12" i="16"/>
  <c r="T13" i="16"/>
  <c r="A14" i="16"/>
  <c r="V12" i="16" l="1"/>
  <c r="O13" i="16"/>
  <c r="U12" i="16"/>
  <c r="J13" i="16"/>
  <c r="W13" i="16" s="1"/>
  <c r="T14" i="16"/>
  <c r="T15" i="16" l="1"/>
  <c r="V13" i="16"/>
  <c r="O14" i="16"/>
  <c r="U13" i="16"/>
  <c r="J14" i="16"/>
  <c r="U14" i="16" l="1"/>
  <c r="J15" i="16"/>
  <c r="U15" i="16" s="1"/>
  <c r="O15" i="16"/>
  <c r="V15" i="16" s="1"/>
  <c r="V14" i="16"/>
  <c r="W14" i="16"/>
  <c r="W15" i="16" l="1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V7" i="1" s="1"/>
  <c r="J9" i="1"/>
  <c r="T8" i="1"/>
  <c r="W8" i="1" s="1"/>
  <c r="O9" i="1"/>
  <c r="B13" i="1"/>
  <c r="A13" i="1" s="1"/>
  <c r="U8" i="1" l="1"/>
  <c r="V9" i="1"/>
  <c r="U9" i="1"/>
  <c r="V8" i="1"/>
  <c r="U7" i="1"/>
  <c r="W7" i="1"/>
  <c r="J10" i="1"/>
  <c r="J11" i="1"/>
  <c r="O10" i="1"/>
  <c r="T9" i="1"/>
  <c r="B14" i="1"/>
  <c r="A14" i="1" s="1"/>
  <c r="W9" i="1" l="1"/>
  <c r="O11" i="1"/>
  <c r="J12" i="1"/>
  <c r="T10" i="1"/>
  <c r="U10" i="1" s="1"/>
  <c r="V11" i="1" l="1"/>
  <c r="V10" i="1"/>
  <c r="W10" i="1"/>
  <c r="J13" i="1"/>
  <c r="O12" i="1"/>
  <c r="T11" i="1"/>
  <c r="U11" i="1" s="1"/>
  <c r="W11" i="1" l="1"/>
  <c r="J14" i="1"/>
  <c r="O13" i="1"/>
  <c r="T12" i="1"/>
  <c r="U12" i="1" s="1"/>
  <c r="V12" i="1" l="1"/>
  <c r="W12" i="1"/>
  <c r="O14" i="1"/>
  <c r="J15" i="1"/>
  <c r="T13" i="1"/>
  <c r="U13" i="1" s="1"/>
  <c r="V13" i="1" l="1"/>
  <c r="V14" i="1"/>
  <c r="W13" i="1"/>
  <c r="T14" i="1"/>
  <c r="U14" i="1" s="1"/>
  <c r="O15" i="1"/>
  <c r="W14" i="1" l="1"/>
  <c r="T15" i="1"/>
  <c r="U15" i="1" s="1"/>
  <c r="V15" i="1" l="1"/>
  <c r="W15" i="1"/>
</calcChain>
</file>

<file path=xl/sharedStrings.xml><?xml version="1.0" encoding="utf-8"?>
<sst xmlns="http://schemas.openxmlformats.org/spreadsheetml/2006/main" count="959" uniqueCount="166">
  <si>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</si>
  <si>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</si>
  <si>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</si>
  <si>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</si>
  <si>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</si>
  <si>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</si>
  <si>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</si>
  <si>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</si>
  <si>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</si>
  <si>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</si>
  <si>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</si>
  <si>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</si>
  <si>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</si>
  <si>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</si>
  <si>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</si>
  <si>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</si>
  <si>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</si>
  <si>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</si>
  <si>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</si>
  <si>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</si>
  <si>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</si>
  <si>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</si>
  <si>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</si>
  <si>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</si>
  <si>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</si>
  <si>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</si>
  <si>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</si>
  <si>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</si>
  <si>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</si>
  <si>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</si>
  <si>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</si>
  <si>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</si>
  <si>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</si>
  <si>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</si>
  <si>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</si>
  <si>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</si>
  <si>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</si>
  <si>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</si>
  <si>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</si>
  <si>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</si>
  <si>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</si>
  <si>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</si>
  <si>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</si>
  <si>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</si>
  <si>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</si>
  <si>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</si>
  <si>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</si>
  <si>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</si>
  <si>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</si>
  <si>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</si>
  <si>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</si>
  <si>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</si>
  <si>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</si>
  <si>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</si>
  <si>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</si>
  <si>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</si>
  <si>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</si>
  <si>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</si>
  <si>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</si>
  <si>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</si>
  <si>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</si>
  <si>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</si>
  <si>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</si>
  <si>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</si>
  <si>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</si>
  <si>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</si>
  <si>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</si>
  <si>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</si>
  <si>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</si>
  <si>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</si>
  <si>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</si>
  <si>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</si>
  <si>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</si>
  <si>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</si>
  <si>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</si>
  <si>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</si>
  <si>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</si>
  <si>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</si>
  <si>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</si>
  <si>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</si>
  <si>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</si>
  <si>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</si>
  <si>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</si>
  <si>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</si>
  <si>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</si>
  <si>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</si>
  <si>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</si>
  <si>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</si>
  <si>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</si>
  <si>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</si>
  <si>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</si>
  <si>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</si>
  <si>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</si>
  <si>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</si>
  <si>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</si>
  <si>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</si>
  <si>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</si>
  <si>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</si>
  <si>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</si>
  <si>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</si>
  <si>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</si>
  <si>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</si>
  <si>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</si>
  <si>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</si>
  <si>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</si>
  <si>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</si>
  <si>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</si>
  <si>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</si>
  <si>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</si>
  <si>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</si>
  <si>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</si>
  <si>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</si>
  <si>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</si>
  <si>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</si>
  <si>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</si>
  <si>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</si>
  <si>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</si>
  <si>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</si>
  <si>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</si>
  <si>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</si>
  <si>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</si>
  <si>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</si>
  <si>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</si>
  <si>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</si>
  <si>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</si>
  <si>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</si>
  <si>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</si>
  <si>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</si>
  <si>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</si>
  <si>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</si>
  <si>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</si>
  <si>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</si>
  <si>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</si>
  <si>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</si>
  <si>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</si>
  <si>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</si>
  <si>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</si>
  <si>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</si>
  <si>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</si>
  <si>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ただ</t>
  </si>
  <si>
    <t>ただ</t>
    <phoneticPr fontId="1"/>
  </si>
  <si>
    <t>ぱぱ</t>
  </si>
  <si>
    <t>ぱぱ</t>
    <phoneticPr fontId="1"/>
  </si>
  <si>
    <t>れんたろう</t>
  </si>
  <si>
    <t>れんたろう</t>
    <phoneticPr fontId="1"/>
  </si>
  <si>
    <t>ツモ支払</t>
  </si>
  <si>
    <t>ツモ</t>
  </si>
  <si>
    <t>01</t>
  </si>
  <si>
    <t>N</t>
  </si>
  <si>
    <t>T</t>
  </si>
  <si>
    <t>流局</t>
    <phoneticPr fontId="1"/>
  </si>
  <si>
    <t>放銃</t>
  </si>
  <si>
    <t>ロン</t>
  </si>
  <si>
    <t>52</t>
  </si>
  <si>
    <t>02</t>
  </si>
  <si>
    <t>だいち</t>
  </si>
  <si>
    <t>だいち</t>
    <phoneticPr fontId="1"/>
  </si>
  <si>
    <t>流局</t>
    <phoneticPr fontId="1"/>
  </si>
  <si>
    <t>りくと</t>
  </si>
  <si>
    <t>りくと</t>
    <phoneticPr fontId="1"/>
  </si>
  <si>
    <t>たかの</t>
  </si>
  <si>
    <t>たかの</t>
    <phoneticPr fontId="1"/>
  </si>
  <si>
    <t>*</t>
  </si>
  <si>
    <t>流局</t>
    <phoneticPr fontId="1"/>
  </si>
  <si>
    <t>まっつん</t>
    <phoneticPr fontId="1"/>
  </si>
  <si>
    <t>まっつん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</si>
</sst>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140</v>
      </c>
      <c r="G1" s="86"/>
      <c r="H1" s="86"/>
      <c r="I1" s="95"/>
      <c r="J1" s="87"/>
      <c r="K1" s="84" t="s">
        <v>142</v>
      </c>
      <c r="L1" s="86"/>
      <c r="M1" s="86"/>
      <c r="N1" s="95"/>
      <c r="O1" s="87"/>
      <c r="P1" s="84" t="s">
        <v>144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ただ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ぱぱ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れんたろう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ただ</v>
      </c>
      <c r="V2" s="27" t="str">
        <f>$K$1</f>
        <v>ぱぱ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-2500</v>
      </c>
      <c r="H4" s="9"/>
      <c r="I4" s="55">
        <v>0</v>
      </c>
      <c r="J4" s="21">
        <f>IF(COUNTA($F4,$K4,$P4)&gt;0,J3+SUM(G4:I4),"")</f>
        <v>32500</v>
      </c>
      <c r="K4" s="8" t="s">
        <v>146</v>
      </c>
      <c r="L4" s="9">
        <v>4000</v>
      </c>
      <c r="M4" s="9"/>
      <c r="N4" s="55">
        <v>0</v>
      </c>
      <c r="O4" s="21">
        <f>IF(COUNTA($F4,$K4,$P4)&gt;0,O3+SUM(L4:N4),"")</f>
        <v>39000</v>
      </c>
      <c r="P4" s="8" t="s">
        <v>145</v>
      </c>
      <c r="Q4" s="9">
        <v>-1500</v>
      </c>
      <c r="R4" s="9"/>
      <c r="S4" s="55">
        <v>0</v>
      </c>
      <c r="T4" s="21">
        <f>IF(COUNTA($F4,$K4,$P4)&gt;0,T3+SUM(Q4:S4),"")</f>
        <v>33500</v>
      </c>
      <c r="U4" s="60">
        <f>IF($J4="","",ROUND(($J4-$J$3)/1000,1)+(_xlfn.RANK.AVG($J4,($J4,$O4,$T4),1)-2)*20)</f>
        <v>-22.5</v>
      </c>
      <c r="V4" s="61">
        <f>IF($O4="","",ROUND(($O4-$O$3)/1000,1)+(_xlfn.RANK.AVG($O4,($J4,$O4,$T4),1)-2)*20)</f>
        <v>24</v>
      </c>
      <c r="W4" s="62">
        <f>IF($T4="","",ROUND(($T4-$T$3)/1000,1)+(_xlfn.RANK.AVG($T4,($J4,$O4,$T4),1)-2)*20)</f>
        <v>-1.5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30</v>
      </c>
      <c r="AZ4" s="47" t="s">
        <v>147</v>
      </c>
      <c r="BA4" s="48" t="s">
        <v>83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150</v>
      </c>
      <c r="G5" s="9">
        <v>-3000</v>
      </c>
      <c r="H5" s="9"/>
      <c r="I5" s="55"/>
      <c r="J5" s="21">
        <f t="shared" ref="J5:J30" si="2">IF(COUNTA($F5,$K5,$P5)&gt;0,J4+SUM(G5:I5),"")</f>
        <v>29500</v>
      </c>
      <c r="K5" s="8" t="s">
        <v>150</v>
      </c>
      <c r="L5" s="9">
        <v>1500</v>
      </c>
      <c r="M5" s="9"/>
      <c r="N5" s="55"/>
      <c r="O5" s="21">
        <f t="shared" ref="O5:O30" si="3">IF(COUNTA($F5,$K5,$P5)&gt;0,O4+SUM(L5:N5),"")</f>
        <v>40500</v>
      </c>
      <c r="P5" s="8" t="s">
        <v>150</v>
      </c>
      <c r="Q5" s="9">
        <v>1500</v>
      </c>
      <c r="R5" s="9"/>
      <c r="S5" s="55"/>
      <c r="T5" s="21">
        <f t="shared" ref="T5:T30" si="4">IF(COUNTA($F5,$K5,$P5)&gt;0,T4+SUM(Q5:S5),"")</f>
        <v>35000</v>
      </c>
      <c r="U5" s="60">
        <f>IF($J5="","",ROUND(($J5-$J$3)/1000,1)+(_xlfn.RANK.AVG($J5,($J5,$O5,$T5),1)-2)*20)</f>
        <v>-25.5</v>
      </c>
      <c r="V5" s="61">
        <f>IF($O5="","",ROUND(($O5-$O$3)/1000,1)+(_xlfn.RANK.AVG($O5,($J5,$O5,$T5),1)-2)*20)</f>
        <v>25.5</v>
      </c>
      <c r="W5" s="62">
        <f>IF($T5="","",ROUND(($T5-$T$3)/1000,1)+(_xlfn.RANK.AVG($T5,($J5,$O5,$T5),1)-2)*20)</f>
        <v>0</v>
      </c>
      <c r="Y5" s="8" t="s">
        <v>148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149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149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145</v>
      </c>
      <c r="G6" s="9">
        <v>-800</v>
      </c>
      <c r="H6" s="9"/>
      <c r="I6" s="55">
        <v>-500</v>
      </c>
      <c r="J6" s="21">
        <f t="shared" si="2"/>
        <v>28200</v>
      </c>
      <c r="K6" s="8" t="s">
        <v>145</v>
      </c>
      <c r="L6" s="9">
        <v>-1300</v>
      </c>
      <c r="M6" s="9"/>
      <c r="N6" s="55">
        <v>-500</v>
      </c>
      <c r="O6" s="21">
        <f t="shared" si="3"/>
        <v>38700</v>
      </c>
      <c r="P6" s="8" t="s">
        <v>146</v>
      </c>
      <c r="Q6" s="9">
        <v>2100</v>
      </c>
      <c r="R6" s="9"/>
      <c r="S6" s="55">
        <v>1000</v>
      </c>
      <c r="T6" s="21">
        <f t="shared" si="4"/>
        <v>38100</v>
      </c>
      <c r="U6" s="60">
        <f>IF($J6="","",ROUND(($J6-$J$3)/1000,1)+(_xlfn.RANK.AVG($J6,($J6,$O6,$T6),1)-2)*20)</f>
        <v>-26.8</v>
      </c>
      <c r="V6" s="61">
        <f>IF($O6="","",ROUND(($O6-$O$3)/1000,1)+(_xlfn.RANK.AVG($O6,($J6,$O6,$T6),1)-2)*20)</f>
        <v>23.7</v>
      </c>
      <c r="W6" s="62">
        <f>IF($T6="","",ROUND(($T6-$T$3)/1000,1)+(_xlfn.RANK.AVG($T6,($J6,$O6,$T6),1)-2)*20)</f>
        <v>3.1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2</v>
      </c>
      <c r="BT6" s="36">
        <v>30</v>
      </c>
      <c r="BU6" s="47" t="s">
        <v>80</v>
      </c>
      <c r="BV6" s="48" t="s">
        <v>83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151</v>
      </c>
      <c r="G7" s="9">
        <v>-11600</v>
      </c>
      <c r="H7" s="9"/>
      <c r="I7" s="55">
        <v>0</v>
      </c>
      <c r="J7" s="21">
        <f t="shared" si="2"/>
        <v>16600</v>
      </c>
      <c r="K7" s="8"/>
      <c r="L7" s="9"/>
      <c r="M7" s="9"/>
      <c r="N7" s="55"/>
      <c r="O7" s="21">
        <f t="shared" si="3"/>
        <v>38700</v>
      </c>
      <c r="P7" s="8" t="s">
        <v>152</v>
      </c>
      <c r="Q7" s="9">
        <v>11600</v>
      </c>
      <c r="R7" s="9"/>
      <c r="S7" s="55">
        <v>0</v>
      </c>
      <c r="T7" s="21">
        <f t="shared" si="4"/>
        <v>49700</v>
      </c>
      <c r="U7" s="60">
        <f>IF($J7="","",ROUND(($J7-$J$3)/1000,1)+(_xlfn.RANK.AVG($J7,($J7,$O7,$T7),1)-2)*20)</f>
        <v>-38.4</v>
      </c>
      <c r="V7" s="61">
        <f>IF($O7="","",ROUND(($O7-$O$3)/1000,1)+(_xlfn.RANK.AVG($O7,($J7,$O7,$T7),1)-2)*20)</f>
        <v>3.7</v>
      </c>
      <c r="W7" s="62">
        <f>IF($T7="","",ROUND(($T7-$T$3)/1000,1)+(_xlfn.RANK.AVG($T7,($J7,$O7,$T7),1)-2)*20)</f>
        <v>34.700000000000003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30</v>
      </c>
      <c r="BU7" s="47" t="s">
        <v>147</v>
      </c>
      <c r="BV7" s="48" t="s">
        <v>84</v>
      </c>
      <c r="BW7" s="48" t="s">
        <v>153</v>
      </c>
      <c r="BX7" s="48" t="s">
        <v>81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143</v>
      </c>
      <c r="F8" s="8" t="s">
        <v>145</v>
      </c>
      <c r="G8" s="9">
        <v>-800</v>
      </c>
      <c r="H8" s="9"/>
      <c r="I8" s="55">
        <v>-500</v>
      </c>
      <c r="J8" s="21">
        <f t="shared" si="2"/>
        <v>15300</v>
      </c>
      <c r="K8" s="8" t="s">
        <v>146</v>
      </c>
      <c r="L8" s="9">
        <v>2100</v>
      </c>
      <c r="M8" s="9">
        <v>1000</v>
      </c>
      <c r="N8" s="55">
        <v>1000</v>
      </c>
      <c r="O8" s="21">
        <f t="shared" si="3"/>
        <v>42800</v>
      </c>
      <c r="P8" s="8" t="s">
        <v>145</v>
      </c>
      <c r="Q8" s="9">
        <v>-1300</v>
      </c>
      <c r="R8" s="9">
        <v>-1000</v>
      </c>
      <c r="S8" s="55">
        <v>-500</v>
      </c>
      <c r="T8" s="21">
        <f t="shared" si="4"/>
        <v>46900</v>
      </c>
      <c r="U8" s="60">
        <f>IF($J8="","",ROUND(($J8-$J$3)/1000,1)+(_xlfn.RANK.AVG($J8,($J8,$O8,$T8),1)-2)*20)</f>
        <v>-39.700000000000003</v>
      </c>
      <c r="V8" s="61">
        <f>IF($O8="","",ROUND(($O8-$O$3)/1000,1)+(_xlfn.RANK.AVG($O8,($J8,$O8,$T8),1)-2)*20)</f>
        <v>7.8</v>
      </c>
      <c r="W8" s="62">
        <f>IF($T8="","",ROUND(($T8-$T$3)/1000,1)+(_xlfn.RANK.AVG($T8,($J8,$O8,$T8),1)-2)*20)</f>
        <v>31.9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2</v>
      </c>
      <c r="AY8" s="36">
        <v>30</v>
      </c>
      <c r="AZ8" s="47" t="s">
        <v>147</v>
      </c>
      <c r="BA8" s="48" t="s">
        <v>83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152</v>
      </c>
      <c r="G9" s="9">
        <v>2900</v>
      </c>
      <c r="H9" s="9"/>
      <c r="I9" s="55">
        <v>0</v>
      </c>
      <c r="J9" s="21">
        <f t="shared" si="2"/>
        <v>18200</v>
      </c>
      <c r="K9" s="8" t="s">
        <v>151</v>
      </c>
      <c r="L9" s="9">
        <v>-2900</v>
      </c>
      <c r="M9" s="9"/>
      <c r="N9" s="55">
        <v>0</v>
      </c>
      <c r="O9" s="21">
        <f t="shared" si="3"/>
        <v>39900</v>
      </c>
      <c r="P9" s="8"/>
      <c r="Q9" s="9"/>
      <c r="R9" s="9"/>
      <c r="S9" s="55"/>
      <c r="T9" s="21">
        <f t="shared" si="4"/>
        <v>46900</v>
      </c>
      <c r="U9" s="60">
        <f>IF($J9="","",ROUND(($J9-$J$3)/1000,1)+(_xlfn.RANK.AVG($J9,($J9,$O9,$T9),1)-2)*20)</f>
        <v>-36.799999999999997</v>
      </c>
      <c r="V9" s="61">
        <f>IF($O9="","",ROUND(($O9-$O$3)/1000,1)+(_xlfn.RANK.AVG($O9,($J9,$O9,$T9),1)-2)*20)</f>
        <v>4.9000000000000004</v>
      </c>
      <c r="W9" s="62">
        <f>IF($T9="","",ROUND(($T9-$T$3)/1000,1)+(_xlfn.RANK.AVG($T9,($J9,$O9,$T9),1)-2)*20)</f>
        <v>31.9</v>
      </c>
      <c r="Y9" s="8"/>
      <c r="Z9" s="41"/>
      <c r="AA9" s="32">
        <v>1</v>
      </c>
      <c r="AB9" s="32"/>
      <c r="AC9" s="32">
        <v>2</v>
      </c>
      <c r="AD9" s="36">
        <v>30</v>
      </c>
      <c r="AE9" s="47" t="s">
        <v>147</v>
      </c>
      <c r="AF9" s="48" t="s">
        <v>84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150</v>
      </c>
      <c r="G10" s="9">
        <v>0</v>
      </c>
      <c r="H10" s="9"/>
      <c r="I10" s="55"/>
      <c r="J10" s="21">
        <f t="shared" si="2"/>
        <v>18200</v>
      </c>
      <c r="K10" s="8" t="s">
        <v>150</v>
      </c>
      <c r="L10" s="9">
        <v>0</v>
      </c>
      <c r="M10" s="9"/>
      <c r="N10" s="55"/>
      <c r="O10" s="21">
        <f t="shared" si="3"/>
        <v>39900</v>
      </c>
      <c r="P10" s="8" t="s">
        <v>150</v>
      </c>
      <c r="Q10" s="9">
        <v>0</v>
      </c>
      <c r="R10" s="9">
        <v>-1000</v>
      </c>
      <c r="S10" s="55"/>
      <c r="T10" s="21">
        <f t="shared" si="4"/>
        <v>45900</v>
      </c>
      <c r="U10" s="60">
        <f>IF($J10="","",ROUND(($J10-$J$3)/1000,1)+(_xlfn.RANK.AVG($J10,($J10,$O10,$T10),1)-2)*20)</f>
        <v>-36.799999999999997</v>
      </c>
      <c r="V10" s="61">
        <f>IF($O10="","",ROUND(($O10-$O$3)/1000,1)+(_xlfn.RANK.AVG($O10,($J10,$O10,$T10),1)-2)*20)</f>
        <v>4.9000000000000004</v>
      </c>
      <c r="W10" s="62">
        <f>IF($T10="","",ROUND(($T10-$T$3)/1000,1)+(_xlfn.RANK.AVG($T10,($J10,$O10,$T10),1)-2)*20)</f>
        <v>30.9</v>
      </c>
      <c r="Y10" s="8" t="s">
        <v>149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149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149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1</v>
      </c>
      <c r="C11" s="18">
        <f t="shared" si="6"/>
        <v>2</v>
      </c>
      <c r="D11" s="18">
        <f t="shared" si="1"/>
        <v>1</v>
      </c>
      <c r="E11" s="4" t="s">
        <v>139</v>
      </c>
      <c r="F11" s="8"/>
      <c r="G11" s="9"/>
      <c r="H11" s="9"/>
      <c r="I11" s="55"/>
      <c r="J11" s="21">
        <f t="shared" si="2"/>
        <v>18200</v>
      </c>
      <c r="K11" s="8" t="s">
        <v>151</v>
      </c>
      <c r="L11" s="9">
        <v>-8000</v>
      </c>
      <c r="M11" s="9"/>
      <c r="N11" s="55">
        <v>-2000</v>
      </c>
      <c r="O11" s="21">
        <f t="shared" si="3"/>
        <v>29900</v>
      </c>
      <c r="P11" s="8" t="s">
        <v>152</v>
      </c>
      <c r="Q11" s="9">
        <v>8000</v>
      </c>
      <c r="R11" s="9">
        <v>1000</v>
      </c>
      <c r="S11" s="55">
        <v>2000</v>
      </c>
      <c r="T11" s="21">
        <f t="shared" si="4"/>
        <v>56900</v>
      </c>
      <c r="U11" s="60">
        <f>IF($J11="","",ROUND(($J11-$J$3)/1000,1)+(_xlfn.RANK.AVG($J11,($J11,$O11,$T11),1)-2)*20)</f>
        <v>-36.799999999999997</v>
      </c>
      <c r="V11" s="61">
        <f>IF($O11="","",ROUND(($O11-$O$3)/1000,1)+(_xlfn.RANK.AVG($O11,($J11,$O11,$T11),1)-2)*20)</f>
        <v>-5.0999999999999996</v>
      </c>
      <c r="W11" s="62">
        <f>IF($T11="","",ROUND(($T11-$T$3)/1000,1)+(_xlfn.RANK.AVG($T11,($J11,$O11,$T11),1)-2)*20)</f>
        <v>41.9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40</v>
      </c>
      <c r="BU11" s="47" t="s">
        <v>147</v>
      </c>
      <c r="BV11" s="48" t="s">
        <v>153</v>
      </c>
      <c r="BW11" s="48" t="s">
        <v>154</v>
      </c>
      <c r="BX11" s="48" t="s">
        <v>85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141</v>
      </c>
      <c r="F12" s="8" t="s">
        <v>151</v>
      </c>
      <c r="G12" s="9">
        <v>-3900</v>
      </c>
      <c r="H12" s="9">
        <v>-1000</v>
      </c>
      <c r="I12" s="55">
        <v>0</v>
      </c>
      <c r="J12" s="21">
        <f t="shared" si="2"/>
        <v>13300</v>
      </c>
      <c r="K12" s="8" t="s">
        <v>152</v>
      </c>
      <c r="L12" s="9">
        <v>3900</v>
      </c>
      <c r="M12" s="9">
        <v>1000</v>
      </c>
      <c r="N12" s="55">
        <v>0</v>
      </c>
      <c r="O12" s="21">
        <f t="shared" si="3"/>
        <v>34800</v>
      </c>
      <c r="P12" s="8"/>
      <c r="Q12" s="9"/>
      <c r="R12" s="9"/>
      <c r="S12" s="55"/>
      <c r="T12" s="21">
        <f t="shared" si="4"/>
        <v>56900</v>
      </c>
      <c r="U12" s="60">
        <f>IF($J12="","",ROUND(($J12-$J$3)/1000,1)+(_xlfn.RANK.AVG($J12,($J12,$O12,$T12),1)-2)*20)</f>
        <v>-41.7</v>
      </c>
      <c r="V12" s="61">
        <f>IF($O12="","",ROUND(($O12-$O$3)/1000,1)+(_xlfn.RANK.AVG($O12,($J12,$O12,$T12),1)-2)*20)</f>
        <v>-0.2</v>
      </c>
      <c r="W12" s="62">
        <f>IF($T12="","",ROUND(($T12-$T$3)/1000,1)+(_xlfn.RANK.AVG($T12,($J12,$O12,$T12),1)-2)*20)</f>
        <v>41.9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2</v>
      </c>
      <c r="AY12" s="36">
        <v>40</v>
      </c>
      <c r="AZ12" s="47" t="s">
        <v>147</v>
      </c>
      <c r="BA12" s="48" t="s">
        <v>80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141</v>
      </c>
      <c r="F13" s="8" t="s">
        <v>145</v>
      </c>
      <c r="G13" s="9">
        <v>-800</v>
      </c>
      <c r="H13" s="9"/>
      <c r="I13" s="55">
        <v>-500</v>
      </c>
      <c r="J13" s="21">
        <f t="shared" si="2"/>
        <v>12000</v>
      </c>
      <c r="K13" s="8" t="s">
        <v>146</v>
      </c>
      <c r="L13" s="9">
        <v>1600</v>
      </c>
      <c r="M13" s="9">
        <v>1000</v>
      </c>
      <c r="N13" s="55">
        <v>1000</v>
      </c>
      <c r="O13" s="21">
        <f t="shared" si="3"/>
        <v>38400</v>
      </c>
      <c r="P13" s="8" t="s">
        <v>145</v>
      </c>
      <c r="Q13" s="9">
        <v>-800</v>
      </c>
      <c r="R13" s="9">
        <v>-1000</v>
      </c>
      <c r="S13" s="55">
        <v>-500</v>
      </c>
      <c r="T13" s="21">
        <f t="shared" si="4"/>
        <v>54600</v>
      </c>
      <c r="U13" s="60">
        <f>IF($J13="","",ROUND(($J13-$J$3)/1000,1)+(_xlfn.RANK.AVG($J13,($J13,$O13,$T13),1)-2)*20)</f>
        <v>-43</v>
      </c>
      <c r="V13" s="61">
        <f>IF($O13="","",ROUND(($O13-$O$3)/1000,1)+(_xlfn.RANK.AVG($O13,($J13,$O13,$T13),1)-2)*20)</f>
        <v>3.4</v>
      </c>
      <c r="W13" s="62">
        <f>IF($T13="","",ROUND(($T13-$T$3)/1000,1)+(_xlfn.RANK.AVG($T13,($J13,$O13,$T13),1)-2)*20)</f>
        <v>39.6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>
        <v>1</v>
      </c>
      <c r="AY13" s="36">
        <v>30</v>
      </c>
      <c r="AZ13" s="47" t="s">
        <v>83</v>
      </c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141</v>
      </c>
      <c r="F14" s="8" t="s">
        <v>145</v>
      </c>
      <c r="G14" s="9">
        <v>-1500</v>
      </c>
      <c r="H14" s="9">
        <v>-1000</v>
      </c>
      <c r="I14" s="55">
        <v>-1000</v>
      </c>
      <c r="J14" s="21">
        <f t="shared" si="2"/>
        <v>8500</v>
      </c>
      <c r="K14" s="8" t="s">
        <v>145</v>
      </c>
      <c r="L14" s="9">
        <v>-2500</v>
      </c>
      <c r="M14" s="9"/>
      <c r="N14" s="55">
        <v>-1000</v>
      </c>
      <c r="O14" s="21">
        <f t="shared" si="3"/>
        <v>34900</v>
      </c>
      <c r="P14" s="8" t="s">
        <v>146</v>
      </c>
      <c r="Q14" s="9">
        <v>4000</v>
      </c>
      <c r="R14" s="9">
        <v>1000</v>
      </c>
      <c r="S14" s="55">
        <v>2000</v>
      </c>
      <c r="T14" s="21">
        <f t="shared" si="4"/>
        <v>61600</v>
      </c>
      <c r="U14" s="60">
        <f>IF($J14="","",ROUND(($J14-$J$3)/1000,1)+(_xlfn.RANK.AVG($J14,($J14,$O14,$T14),1)-2)*20)</f>
        <v>-46.5</v>
      </c>
      <c r="V14" s="61">
        <f>IF($O14="","",ROUND(($O14-$O$3)/1000,1)+(_xlfn.RANK.AVG($O14,($J14,$O14,$T14),1)-2)*20)</f>
        <v>-0.1</v>
      </c>
      <c r="W14" s="62">
        <f>IF($T14="","",ROUND(($T14-$T$3)/1000,1)+(_xlfn.RANK.AVG($T14,($J14,$O14,$T14),1)-2)*20)</f>
        <v>46.6</v>
      </c>
      <c r="Y14" s="8"/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>
        <v>3</v>
      </c>
      <c r="BT14" s="36">
        <v>30</v>
      </c>
      <c r="BU14" s="47" t="s">
        <v>83</v>
      </c>
      <c r="BV14" s="48" t="s">
        <v>153</v>
      </c>
      <c r="BW14" s="48" t="s">
        <v>80</v>
      </c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143</v>
      </c>
      <c r="F15" s="8" t="s">
        <v>145</v>
      </c>
      <c r="G15" s="9">
        <v>-1500</v>
      </c>
      <c r="H15" s="9"/>
      <c r="I15" s="55">
        <v>0</v>
      </c>
      <c r="J15" s="21">
        <f t="shared" si="2"/>
        <v>7000</v>
      </c>
      <c r="K15" s="8" t="s">
        <v>145</v>
      </c>
      <c r="L15" s="9">
        <v>-1500</v>
      </c>
      <c r="M15" s="9"/>
      <c r="N15" s="55">
        <v>0</v>
      </c>
      <c r="O15" s="21">
        <f t="shared" si="3"/>
        <v>33400</v>
      </c>
      <c r="P15" s="8" t="s">
        <v>146</v>
      </c>
      <c r="Q15" s="9">
        <v>3000</v>
      </c>
      <c r="R15" s="9"/>
      <c r="S15" s="55">
        <v>0</v>
      </c>
      <c r="T15" s="21">
        <f t="shared" si="4"/>
        <v>64600</v>
      </c>
      <c r="U15" s="60">
        <f>IF($J15="","",ROUND(($J15-$J$3)/1000,1)+(_xlfn.RANK.AVG($J15,($J15,$O15,$T15),1)-2)*20)</f>
        <v>-48</v>
      </c>
      <c r="V15" s="61">
        <f>IF($O15="","",ROUND(($O15-$O$3)/1000,1)+(_xlfn.RANK.AVG($O15,($J15,$O15,$T15),1)-2)*20)</f>
        <v>-1.6</v>
      </c>
      <c r="W15" s="62">
        <f>IF($T15="","",ROUND(($T15-$T$3)/1000,1)+(_xlfn.RANK.AVG($T15,($J15,$O15,$T15),1)-2)*20)</f>
        <v>49.6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>
        <v>1</v>
      </c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>
        <v>2</v>
      </c>
      <c r="BT15" s="36">
        <v>30</v>
      </c>
      <c r="BU15" s="47" t="s">
        <v>87</v>
      </c>
      <c r="BV15" s="48" t="s">
        <v>80</v>
      </c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5D3B4-A9C0-4390-B6E0-E891E2A44E21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156</v>
      </c>
      <c r="G1" s="86"/>
      <c r="H1" s="86"/>
      <c r="I1" s="95"/>
      <c r="J1" s="87"/>
      <c r="K1" s="84" t="s">
        <v>142</v>
      </c>
      <c r="L1" s="86"/>
      <c r="M1" s="86"/>
      <c r="N1" s="95"/>
      <c r="O1" s="87"/>
      <c r="P1" s="84" t="s">
        <v>144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だいち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ぱぱ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れんたろう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ぱぱ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157</v>
      </c>
      <c r="G4" s="9">
        <v>0</v>
      </c>
      <c r="H4" s="9"/>
      <c r="I4" s="55"/>
      <c r="J4" s="21">
        <f>IF(COUNTA($F4,$K4,$P4)&gt;0,J3+SUM(G4:I4),"")</f>
        <v>35000</v>
      </c>
      <c r="K4" s="8" t="s">
        <v>157</v>
      </c>
      <c r="L4" s="9">
        <v>0</v>
      </c>
      <c r="M4" s="9"/>
      <c r="N4" s="55"/>
      <c r="O4" s="21">
        <f>IF(COUNTA($F4,$K4,$P4)&gt;0,O3+SUM(L4:N4),"")</f>
        <v>35000</v>
      </c>
      <c r="P4" s="8" t="s">
        <v>157</v>
      </c>
      <c r="Q4" s="9">
        <v>0</v>
      </c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0</v>
      </c>
      <c r="Y4" s="8" t="s">
        <v>149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149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152</v>
      </c>
      <c r="G5" s="9">
        <v>7700</v>
      </c>
      <c r="H5" s="9"/>
      <c r="I5" s="55">
        <v>1000</v>
      </c>
      <c r="J5" s="21">
        <f t="shared" ref="J5:J30" si="2">IF(COUNTA($F5,$K5,$P5)&gt;0,J4+SUM(G5:I5),"")</f>
        <v>43700</v>
      </c>
      <c r="K5" s="8"/>
      <c r="L5" s="9"/>
      <c r="M5" s="9"/>
      <c r="N5" s="55"/>
      <c r="O5" s="21">
        <f t="shared" ref="O5:O30" si="3">IF(COUNTA($F5,$K5,$P5)&gt;0,O4+SUM(L5:N5),"")</f>
        <v>35000</v>
      </c>
      <c r="P5" s="8" t="s">
        <v>151</v>
      </c>
      <c r="Q5" s="9">
        <v>-7700</v>
      </c>
      <c r="R5" s="9"/>
      <c r="S5" s="55">
        <v>-1000</v>
      </c>
      <c r="T5" s="21">
        <f t="shared" ref="T5:T30" si="4">IF(COUNTA($F5,$K5,$P5)&gt;0,T4+SUM(Q5:S5),"")</f>
        <v>26300</v>
      </c>
      <c r="U5" s="60">
        <f>IF($J5="","",ROUND(($J5-$J$3)/1000,1)+(_xlfn.RANK.AVG($J5,($J5,$O5,$T5),1)-2)*20)</f>
        <v>28.7</v>
      </c>
      <c r="V5" s="61">
        <f>IF($O5="","",ROUND(($O5-$O$3)/1000,1)+(_xlfn.RANK.AVG($O5,($J5,$O5,$T5),1)-2)*20)</f>
        <v>0</v>
      </c>
      <c r="W5" s="62">
        <f>IF($T5="","",ROUND(($T5-$T$3)/1000,1)+(_xlfn.RANK.AVG($T5,($J5,$O5,$T5),1)-2)*20)</f>
        <v>-28.7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147</v>
      </c>
      <c r="AF5" s="48" t="s">
        <v>154</v>
      </c>
      <c r="AG5" s="48" t="s">
        <v>85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155</v>
      </c>
      <c r="F6" s="8" t="s">
        <v>152</v>
      </c>
      <c r="G6" s="9">
        <v>2000</v>
      </c>
      <c r="H6" s="9"/>
      <c r="I6" s="55">
        <v>2000</v>
      </c>
      <c r="J6" s="21">
        <f t="shared" si="2"/>
        <v>47700</v>
      </c>
      <c r="K6" s="8"/>
      <c r="L6" s="9"/>
      <c r="M6" s="9"/>
      <c r="N6" s="55"/>
      <c r="O6" s="21">
        <f t="shared" si="3"/>
        <v>35000</v>
      </c>
      <c r="P6" s="8" t="s">
        <v>151</v>
      </c>
      <c r="Q6" s="9">
        <v>-2000</v>
      </c>
      <c r="R6" s="9"/>
      <c r="S6" s="55">
        <v>-2000</v>
      </c>
      <c r="T6" s="21">
        <f t="shared" si="4"/>
        <v>22300</v>
      </c>
      <c r="U6" s="60">
        <f>IF($J6="","",ROUND(($J6-$J$3)/1000,1)+(_xlfn.RANK.AVG($J6,($J6,$O6,$T6),1)-2)*20)</f>
        <v>32.700000000000003</v>
      </c>
      <c r="V6" s="61">
        <f>IF($O6="","",ROUND(($O6-$O$3)/1000,1)+(_xlfn.RANK.AVG($O6,($J6,$O6,$T6),1)-2)*20)</f>
        <v>0</v>
      </c>
      <c r="W6" s="62">
        <f>IF($T6="","",ROUND(($T6-$T$3)/1000,1)+(_xlfn.RANK.AVG($T6,($J6,$O6,$T6),1)-2)*20)</f>
        <v>-32.700000000000003</v>
      </c>
      <c r="Y6" s="8"/>
      <c r="Z6" s="41"/>
      <c r="AA6" s="32">
        <v>1</v>
      </c>
      <c r="AB6" s="32"/>
      <c r="AC6" s="32">
        <v>1</v>
      </c>
      <c r="AD6" s="36">
        <v>40</v>
      </c>
      <c r="AE6" s="47" t="s">
        <v>147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155</v>
      </c>
      <c r="F7" s="8" t="s">
        <v>152</v>
      </c>
      <c r="G7" s="9">
        <v>2900</v>
      </c>
      <c r="H7" s="9"/>
      <c r="I7" s="55">
        <v>3000</v>
      </c>
      <c r="J7" s="21">
        <f t="shared" si="2"/>
        <v>53600</v>
      </c>
      <c r="K7" s="8"/>
      <c r="L7" s="9"/>
      <c r="M7" s="9"/>
      <c r="N7" s="55"/>
      <c r="O7" s="21">
        <f t="shared" si="3"/>
        <v>35000</v>
      </c>
      <c r="P7" s="8" t="s">
        <v>151</v>
      </c>
      <c r="Q7" s="9">
        <v>-2900</v>
      </c>
      <c r="R7" s="9"/>
      <c r="S7" s="55">
        <v>-3000</v>
      </c>
      <c r="T7" s="21">
        <f t="shared" si="4"/>
        <v>16400</v>
      </c>
      <c r="U7" s="60">
        <f>IF($J7="","",ROUND(($J7-$J$3)/1000,1)+(_xlfn.RANK.AVG($J7,($J7,$O7,$T7),1)-2)*20)</f>
        <v>38.6</v>
      </c>
      <c r="V7" s="61">
        <f>IF($O7="","",ROUND(($O7-$O$3)/1000,1)+(_xlfn.RANK.AVG($O7,($J7,$O7,$T7),1)-2)*20)</f>
        <v>0</v>
      </c>
      <c r="W7" s="62">
        <f>IF($T7="","",ROUND(($T7-$T$3)/1000,1)+(_xlfn.RANK.AVG($T7,($J7,$O7,$T7),1)-2)*20)</f>
        <v>-38.6</v>
      </c>
      <c r="Y7" s="8"/>
      <c r="Z7" s="41"/>
      <c r="AA7" s="32"/>
      <c r="AB7" s="32">
        <v>1</v>
      </c>
      <c r="AC7" s="32">
        <v>2</v>
      </c>
      <c r="AD7" s="36">
        <v>30</v>
      </c>
      <c r="AE7" s="47" t="s">
        <v>87</v>
      </c>
      <c r="AF7" s="48" t="s">
        <v>153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155</v>
      </c>
      <c r="F8" s="8"/>
      <c r="G8" s="9"/>
      <c r="H8" s="9">
        <v>-1000</v>
      </c>
      <c r="I8" s="55"/>
      <c r="J8" s="21">
        <f t="shared" si="2"/>
        <v>52600</v>
      </c>
      <c r="K8" s="8" t="s">
        <v>151</v>
      </c>
      <c r="L8" s="9">
        <v>-5200</v>
      </c>
      <c r="M8" s="9"/>
      <c r="N8" s="55">
        <v>-4000</v>
      </c>
      <c r="O8" s="21">
        <f t="shared" si="3"/>
        <v>25800</v>
      </c>
      <c r="P8" s="8" t="s">
        <v>152</v>
      </c>
      <c r="Q8" s="9">
        <v>5200</v>
      </c>
      <c r="R8" s="9">
        <v>1000</v>
      </c>
      <c r="S8" s="55">
        <v>4000</v>
      </c>
      <c r="T8" s="21">
        <f t="shared" si="4"/>
        <v>26600</v>
      </c>
      <c r="U8" s="60">
        <f>IF($J8="","",ROUND(($J8-$J$3)/1000,1)+(_xlfn.RANK.AVG($J8,($J8,$O8,$T8),1)-2)*20)</f>
        <v>37.6</v>
      </c>
      <c r="V8" s="61">
        <f>IF($O8="","",ROUND(($O8-$O$3)/1000,1)+(_xlfn.RANK.AVG($O8,($J8,$O8,$T8),1)-2)*20)</f>
        <v>-29.2</v>
      </c>
      <c r="W8" s="62">
        <f>IF($T8="","",ROUND(($T8-$T$3)/1000,1)+(_xlfn.RANK.AVG($T8,($J8,$O8,$T8),1)-2)*20)</f>
        <v>-8.4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3</v>
      </c>
      <c r="BT8" s="36">
        <v>40</v>
      </c>
      <c r="BU8" s="47" t="s">
        <v>147</v>
      </c>
      <c r="BV8" s="48" t="s">
        <v>154</v>
      </c>
      <c r="BW8" s="48" t="s">
        <v>80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157</v>
      </c>
      <c r="G9" s="9">
        <v>-1500</v>
      </c>
      <c r="H9" s="9"/>
      <c r="I9" s="55"/>
      <c r="J9" s="21">
        <f t="shared" si="2"/>
        <v>51100</v>
      </c>
      <c r="K9" s="8" t="s">
        <v>157</v>
      </c>
      <c r="L9" s="9">
        <v>3000</v>
      </c>
      <c r="M9" s="9">
        <v>-1000</v>
      </c>
      <c r="N9" s="55"/>
      <c r="O9" s="21">
        <f t="shared" si="3"/>
        <v>27800</v>
      </c>
      <c r="P9" s="8" t="s">
        <v>157</v>
      </c>
      <c r="Q9" s="9">
        <v>-1500</v>
      </c>
      <c r="R9" s="9"/>
      <c r="S9" s="55"/>
      <c r="T9" s="21">
        <f t="shared" si="4"/>
        <v>25100</v>
      </c>
      <c r="U9" s="60">
        <f>IF($J9="","",ROUND(($J9-$J$3)/1000,1)+(_xlfn.RANK.AVG($J9,($J9,$O9,$T9),1)-2)*20)</f>
        <v>36.1</v>
      </c>
      <c r="V9" s="61">
        <f>IF($O9="","",ROUND(($O9-$O$3)/1000,1)+(_xlfn.RANK.AVG($O9,($J9,$O9,$T9),1)-2)*20)</f>
        <v>-7.2</v>
      </c>
      <c r="W9" s="62">
        <f>IF($T9="","",ROUND(($T9-$T$3)/1000,1)+(_xlfn.RANK.AVG($T9,($J9,$O9,$T9),1)-2)*20)</f>
        <v>-29.9</v>
      </c>
      <c r="Y9" s="8" t="s">
        <v>148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149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148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141</v>
      </c>
      <c r="F10" s="8" t="s">
        <v>145</v>
      </c>
      <c r="G10" s="9">
        <v>-1100</v>
      </c>
      <c r="H10" s="9"/>
      <c r="I10" s="55">
        <v>-500</v>
      </c>
      <c r="J10" s="21">
        <f t="shared" si="2"/>
        <v>49500</v>
      </c>
      <c r="K10" s="8" t="s">
        <v>145</v>
      </c>
      <c r="L10" s="9">
        <v>-1700</v>
      </c>
      <c r="M10" s="9">
        <v>-1000</v>
      </c>
      <c r="N10" s="55">
        <v>-500</v>
      </c>
      <c r="O10" s="21">
        <f t="shared" si="3"/>
        <v>24600</v>
      </c>
      <c r="P10" s="8" t="s">
        <v>146</v>
      </c>
      <c r="Q10" s="9">
        <v>2800</v>
      </c>
      <c r="R10" s="9">
        <v>2000</v>
      </c>
      <c r="S10" s="55">
        <v>1000</v>
      </c>
      <c r="T10" s="21">
        <f t="shared" si="4"/>
        <v>30900</v>
      </c>
      <c r="U10" s="60">
        <f>IF($J10="","",ROUND(($J10-$J$3)/1000,1)+(_xlfn.RANK.AVG($J10,($J10,$O10,$T10),1)-2)*20)</f>
        <v>34.5</v>
      </c>
      <c r="V10" s="61">
        <f>IF($O10="","",ROUND(($O10-$O$3)/1000,1)+(_xlfn.RANK.AVG($O10,($J10,$O10,$T10),1)-2)*20)</f>
        <v>-30.4</v>
      </c>
      <c r="W10" s="62">
        <f>IF($T10="","",ROUND(($T10-$T$3)/1000,1)+(_xlfn.RANK.AVG($T10,($J10,$O10,$T10),1)-2)*20)</f>
        <v>-4.0999999999999996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20</v>
      </c>
      <c r="BU10" s="47" t="s">
        <v>147</v>
      </c>
      <c r="BV10" s="48" t="s">
        <v>84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143</v>
      </c>
      <c r="F11" s="8" t="s">
        <v>152</v>
      </c>
      <c r="G11" s="9">
        <v>3900</v>
      </c>
      <c r="H11" s="9"/>
      <c r="I11" s="55">
        <v>0</v>
      </c>
      <c r="J11" s="21">
        <f t="shared" si="2"/>
        <v>53400</v>
      </c>
      <c r="K11" s="8" t="s">
        <v>151</v>
      </c>
      <c r="L11" s="9">
        <v>-3900</v>
      </c>
      <c r="M11" s="9"/>
      <c r="N11" s="55">
        <v>0</v>
      </c>
      <c r="O11" s="21">
        <f t="shared" si="3"/>
        <v>20700</v>
      </c>
      <c r="P11" s="8"/>
      <c r="Q11" s="9"/>
      <c r="R11" s="9"/>
      <c r="S11" s="55"/>
      <c r="T11" s="21">
        <f t="shared" si="4"/>
        <v>30900</v>
      </c>
      <c r="U11" s="60">
        <f>IF($J11="","",ROUND(($J11-$J$3)/1000,1)+(_xlfn.RANK.AVG($J11,($J11,$O11,$T11),1)-2)*20)</f>
        <v>38.4</v>
      </c>
      <c r="V11" s="61">
        <f>IF($O11="","",ROUND(($O11-$O$3)/1000,1)+(_xlfn.RANK.AVG($O11,($J11,$O11,$T11),1)-2)*20)</f>
        <v>-34.299999999999997</v>
      </c>
      <c r="W11" s="62">
        <f>IF($T11="","",ROUND(($T11-$T$3)/1000,1)+(_xlfn.RANK.AVG($T11,($J11,$O11,$T11),1)-2)*20)</f>
        <v>-4.0999999999999996</v>
      </c>
      <c r="Y11" s="8"/>
      <c r="Z11" s="41"/>
      <c r="AA11" s="32"/>
      <c r="AB11" s="32">
        <v>1</v>
      </c>
      <c r="AC11" s="32">
        <v>3</v>
      </c>
      <c r="AD11" s="36">
        <v>30</v>
      </c>
      <c r="AE11" s="47" t="s">
        <v>87</v>
      </c>
      <c r="AF11" s="48" t="s">
        <v>80</v>
      </c>
      <c r="AG11" s="48" t="s">
        <v>80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CD5CC39D-6CB2-4125-96D0-59C50939BC3F}">
      <formula1>$U$2:$W$2</formula1>
    </dataValidation>
    <dataValidation type="list" showInputMessage="1" showErrorMessage="1" sqref="K4:K30 P4:P30 F4:F30" xr:uid="{1E8B8265-D4B1-4D13-92D9-30951B4EEDE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DDFE-5D94-4875-9506-50284877B9A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159</v>
      </c>
      <c r="G1" s="86"/>
      <c r="H1" s="86"/>
      <c r="I1" s="95"/>
      <c r="J1" s="87"/>
      <c r="K1" s="84" t="s">
        <v>142</v>
      </c>
      <c r="L1" s="86"/>
      <c r="M1" s="86"/>
      <c r="N1" s="95"/>
      <c r="O1" s="87"/>
      <c r="P1" s="84" t="s">
        <v>161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りくと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ぱぱ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たかの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ぱぱ</v>
      </c>
      <c r="W2" s="16" t="str">
        <f>$P$1</f>
        <v>たかの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158</v>
      </c>
      <c r="F4" s="8" t="s">
        <v>145</v>
      </c>
      <c r="G4" s="9">
        <v>-2000</v>
      </c>
      <c r="H4" s="9"/>
      <c r="I4" s="55">
        <v>0</v>
      </c>
      <c r="J4" s="21">
        <f>IF(COUNTA($F4,$K4,$P4)&gt;0,J3+SUM(G4:I4),"")</f>
        <v>33000</v>
      </c>
      <c r="K4" s="8" t="s">
        <v>145</v>
      </c>
      <c r="L4" s="9">
        <v>-1200</v>
      </c>
      <c r="M4" s="9"/>
      <c r="N4" s="55">
        <v>0</v>
      </c>
      <c r="O4" s="21">
        <f>IF(COUNTA($F4,$K4,$P4)&gt;0,O3+SUM(L4:N4),"")</f>
        <v>33800</v>
      </c>
      <c r="P4" s="8" t="s">
        <v>146</v>
      </c>
      <c r="Q4" s="9">
        <v>3200</v>
      </c>
      <c r="R4" s="9"/>
      <c r="S4" s="55">
        <v>0</v>
      </c>
      <c r="T4" s="21">
        <f>IF(COUNTA($F4,$K4,$P4)&gt;0,T3+SUM(Q4:S4),"")</f>
        <v>38200</v>
      </c>
      <c r="U4" s="60">
        <f>IF($J4="","",ROUND(($J4-$J$3)/1000,1)+(_xlfn.RANK.AVG($J4,($J4,$O4,$T4),1)-2)*20)</f>
        <v>-22</v>
      </c>
      <c r="V4" s="61">
        <f>IF($O4="","",ROUND(($O4-$O$3)/1000,1)+(_xlfn.RANK.AVG($O4,($J4,$O4,$T4),1)-2)*20)</f>
        <v>-1.2</v>
      </c>
      <c r="W4" s="62">
        <f>IF($T4="","",ROUND(($T4-$T$3)/1000,1)+(_xlfn.RANK.AVG($T4,($J4,$O4,$T4),1)-2)*20)</f>
        <v>23.2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25</v>
      </c>
      <c r="BU4" s="47" t="s">
        <v>83</v>
      </c>
      <c r="BV4" s="48" t="s">
        <v>102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/>
      <c r="G5" s="9"/>
      <c r="H5" s="9"/>
      <c r="I5" s="55"/>
      <c r="J5" s="21">
        <f t="shared" ref="J5:J30" si="2">IF(COUNTA($F5,$K5,$P5)&gt;0,J4+SUM(G5:I5),"")</f>
        <v>33000</v>
      </c>
      <c r="K5" s="8" t="s">
        <v>152</v>
      </c>
      <c r="L5" s="9">
        <v>5800</v>
      </c>
      <c r="M5" s="9"/>
      <c r="N5" s="55">
        <v>0</v>
      </c>
      <c r="O5" s="21">
        <f t="shared" ref="O5:O30" si="3">IF(COUNTA($F5,$K5,$P5)&gt;0,O4+SUM(L5:N5),"")</f>
        <v>39600</v>
      </c>
      <c r="P5" s="8" t="s">
        <v>151</v>
      </c>
      <c r="Q5" s="9">
        <v>-5800</v>
      </c>
      <c r="R5" s="9"/>
      <c r="S5" s="55">
        <v>0</v>
      </c>
      <c r="T5" s="21">
        <f t="shared" ref="T5:T30" si="4">IF(COUNTA($F5,$K5,$P5)&gt;0,T4+SUM(Q5:S5),"")</f>
        <v>32400</v>
      </c>
      <c r="U5" s="60">
        <f>IF($J5="","",ROUND(($J5-$J$3)/1000,1)+(_xlfn.RANK.AVG($J5,($J5,$O5,$T5),1)-2)*20)</f>
        <v>-2</v>
      </c>
      <c r="V5" s="61">
        <f>IF($O5="","",ROUND(($O5-$O$3)/1000,1)+(_xlfn.RANK.AVG($O5,($J5,$O5,$T5),1)-2)*20)</f>
        <v>24.6</v>
      </c>
      <c r="W5" s="62">
        <f>IF($T5="","",ROUND(($T5-$T$3)/1000,1)+(_xlfn.RANK.AVG($T5,($J5,$O5,$T5),1)-2)*20)</f>
        <v>-22.6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87</v>
      </c>
      <c r="BA5" s="48" t="s">
        <v>80</v>
      </c>
      <c r="BB5" s="48" t="s">
        <v>80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146</v>
      </c>
      <c r="G6" s="9">
        <v>7700</v>
      </c>
      <c r="H6" s="9"/>
      <c r="I6" s="55">
        <v>1000</v>
      </c>
      <c r="J6" s="21">
        <f t="shared" si="2"/>
        <v>41700</v>
      </c>
      <c r="K6" s="8" t="s">
        <v>145</v>
      </c>
      <c r="L6" s="9">
        <v>-4800</v>
      </c>
      <c r="M6" s="9"/>
      <c r="N6" s="55">
        <v>-500</v>
      </c>
      <c r="O6" s="21">
        <f t="shared" si="3"/>
        <v>34300</v>
      </c>
      <c r="P6" s="8" t="s">
        <v>145</v>
      </c>
      <c r="Q6" s="9">
        <v>-2900</v>
      </c>
      <c r="R6" s="9"/>
      <c r="S6" s="55">
        <v>-500</v>
      </c>
      <c r="T6" s="21">
        <f t="shared" si="4"/>
        <v>29000</v>
      </c>
      <c r="U6" s="60">
        <f>IF($J6="","",ROUND(($J6-$J$3)/1000,1)+(_xlfn.RANK.AVG($J6,($J6,$O6,$T6),1)-2)*20)</f>
        <v>26.7</v>
      </c>
      <c r="V6" s="61">
        <f>IF($O6="","",ROUND(($O6-$O$3)/1000,1)+(_xlfn.RANK.AVG($O6,($J6,$O6,$T6),1)-2)*20)</f>
        <v>-0.7</v>
      </c>
      <c r="W6" s="62">
        <f>IF($T6="","",ROUND(($T6-$T$3)/1000,1)+(_xlfn.RANK.AVG($T6,($J6,$O6,$T6),1)-2)*20)</f>
        <v>-26</v>
      </c>
      <c r="Y6" s="8"/>
      <c r="Z6" s="41"/>
      <c r="AA6" s="32"/>
      <c r="AB6" s="32"/>
      <c r="AC6" s="32">
        <v>4</v>
      </c>
      <c r="AD6" s="36">
        <v>30</v>
      </c>
      <c r="AE6" s="47" t="s">
        <v>83</v>
      </c>
      <c r="AF6" s="48" t="s">
        <v>88</v>
      </c>
      <c r="AG6" s="48" t="s">
        <v>153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160</v>
      </c>
      <c r="F7" s="8" t="s">
        <v>152</v>
      </c>
      <c r="G7" s="9">
        <v>3900</v>
      </c>
      <c r="H7" s="9"/>
      <c r="I7" s="55">
        <v>0</v>
      </c>
      <c r="J7" s="21">
        <f t="shared" si="2"/>
        <v>45600</v>
      </c>
      <c r="K7" s="8"/>
      <c r="L7" s="9"/>
      <c r="M7" s="9"/>
      <c r="N7" s="55"/>
      <c r="O7" s="21">
        <f t="shared" si="3"/>
        <v>34300</v>
      </c>
      <c r="P7" s="8" t="s">
        <v>151</v>
      </c>
      <c r="Q7" s="9">
        <v>-3900</v>
      </c>
      <c r="R7" s="9"/>
      <c r="S7" s="55">
        <v>0</v>
      </c>
      <c r="T7" s="21">
        <f t="shared" si="4"/>
        <v>25100</v>
      </c>
      <c r="U7" s="60">
        <f>IF($J7="","",ROUND(($J7-$J$3)/1000,1)+(_xlfn.RANK.AVG($J7,($J7,$O7,$T7),1)-2)*20)</f>
        <v>30.6</v>
      </c>
      <c r="V7" s="61">
        <f>IF($O7="","",ROUND(($O7-$O$3)/1000,1)+(_xlfn.RANK.AVG($O7,($J7,$O7,$T7),1)-2)*20)</f>
        <v>-0.7</v>
      </c>
      <c r="W7" s="62">
        <f>IF($T7="","",ROUND(($T7-$T$3)/1000,1)+(_xlfn.RANK.AVG($T7,($J7,$O7,$T7),1)-2)*20)</f>
        <v>-29.9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147</v>
      </c>
      <c r="AF7" s="48" t="s">
        <v>86</v>
      </c>
      <c r="AG7" s="48" t="s">
        <v>84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158</v>
      </c>
      <c r="F8" s="8" t="s">
        <v>151</v>
      </c>
      <c r="G8" s="9">
        <v>-8000</v>
      </c>
      <c r="H8" s="9"/>
      <c r="I8" s="55">
        <v>0</v>
      </c>
      <c r="J8" s="21">
        <f t="shared" si="2"/>
        <v>37600</v>
      </c>
      <c r="K8" s="8"/>
      <c r="L8" s="9"/>
      <c r="M8" s="9"/>
      <c r="N8" s="55"/>
      <c r="O8" s="21">
        <f t="shared" si="3"/>
        <v>34300</v>
      </c>
      <c r="P8" s="8" t="s">
        <v>152</v>
      </c>
      <c r="Q8" s="9">
        <v>8000</v>
      </c>
      <c r="R8" s="9"/>
      <c r="S8" s="55">
        <v>0</v>
      </c>
      <c r="T8" s="21">
        <f t="shared" si="4"/>
        <v>33100</v>
      </c>
      <c r="U8" s="60">
        <f>IF($J8="","",ROUND(($J8-$J$3)/1000,1)+(_xlfn.RANK.AVG($J8,($J8,$O8,$T8),1)-2)*20)</f>
        <v>22.6</v>
      </c>
      <c r="V8" s="61">
        <f>IF($O8="","",ROUND(($O8-$O$3)/1000,1)+(_xlfn.RANK.AVG($O8,($J8,$O8,$T8),1)-2)*20)</f>
        <v>-0.7</v>
      </c>
      <c r="W8" s="62">
        <f>IF($T8="","",ROUND(($T8-$T$3)/1000,1)+(_xlfn.RANK.AVG($T8,($J8,$O8,$T8),1)-2)*20)</f>
        <v>-21.9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147</v>
      </c>
      <c r="BV8" s="48" t="s">
        <v>154</v>
      </c>
      <c r="BW8" s="48" t="s">
        <v>153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/>
      <c r="G9" s="9"/>
      <c r="H9" s="9"/>
      <c r="I9" s="55"/>
      <c r="J9" s="21">
        <f t="shared" si="2"/>
        <v>37600</v>
      </c>
      <c r="K9" s="8" t="s">
        <v>151</v>
      </c>
      <c r="L9" s="9">
        <v>-2000</v>
      </c>
      <c r="M9" s="9"/>
      <c r="N9" s="55">
        <v>0</v>
      </c>
      <c r="O9" s="21">
        <f t="shared" si="3"/>
        <v>32300</v>
      </c>
      <c r="P9" s="8" t="s">
        <v>152</v>
      </c>
      <c r="Q9" s="9">
        <v>2000</v>
      </c>
      <c r="R9" s="9"/>
      <c r="S9" s="55">
        <v>0</v>
      </c>
      <c r="T9" s="21">
        <f t="shared" si="4"/>
        <v>35100</v>
      </c>
      <c r="U9" s="60">
        <f>IF($J9="","",ROUND(($J9-$J$3)/1000,1)+(_xlfn.RANK.AVG($J9,($J9,$O9,$T9),1)-2)*20)</f>
        <v>22.6</v>
      </c>
      <c r="V9" s="61">
        <f>IF($O9="","",ROUND(($O9-$O$3)/1000,1)+(_xlfn.RANK.AVG($O9,($J9,$O9,$T9),1)-2)*20)</f>
        <v>-22.7</v>
      </c>
      <c r="W9" s="62">
        <f>IF($T9="","",ROUND(($T9-$T$3)/1000,1)+(_xlfn.RANK.AVG($T9,($J9,$O9,$T9),1)-2)*20)</f>
        <v>0.1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2</v>
      </c>
      <c r="BT9" s="36">
        <v>30</v>
      </c>
      <c r="BU9" s="47" t="s">
        <v>87</v>
      </c>
      <c r="BV9" s="48" t="s">
        <v>80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160</v>
      </c>
      <c r="F10" s="8" t="s">
        <v>152</v>
      </c>
      <c r="G10" s="9">
        <v>5200</v>
      </c>
      <c r="H10" s="9"/>
      <c r="I10" s="55">
        <v>0</v>
      </c>
      <c r="J10" s="21">
        <f t="shared" si="2"/>
        <v>42800</v>
      </c>
      <c r="K10" s="8"/>
      <c r="L10" s="9"/>
      <c r="M10" s="9"/>
      <c r="N10" s="55"/>
      <c r="O10" s="21">
        <f t="shared" si="3"/>
        <v>32300</v>
      </c>
      <c r="P10" s="8" t="s">
        <v>151</v>
      </c>
      <c r="Q10" s="9">
        <v>-5200</v>
      </c>
      <c r="R10" s="9"/>
      <c r="S10" s="55">
        <v>0</v>
      </c>
      <c r="T10" s="21">
        <f t="shared" si="4"/>
        <v>29900</v>
      </c>
      <c r="U10" s="60">
        <f>IF($J10="","",ROUND(($J10-$J$3)/1000,1)+(_xlfn.RANK.AVG($J10,($J10,$O10,$T10),1)-2)*20)</f>
        <v>27.8</v>
      </c>
      <c r="V10" s="61">
        <f>IF($O10="","",ROUND(($O10-$O$3)/1000,1)+(_xlfn.RANK.AVG($O10,($J10,$O10,$T10),1)-2)*20)</f>
        <v>-2.7</v>
      </c>
      <c r="W10" s="62">
        <f>IF($T10="","",ROUND(($T10-$T$3)/1000,1)+(_xlfn.RANK.AVG($T10,($J10,$O10,$T10),1)-2)*20)</f>
        <v>-25.1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147</v>
      </c>
      <c r="AF10" s="48" t="s">
        <v>154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407EDA98-55A2-40C4-A707-3C4CE7F03CE9}">
      <formula1>"ロン,ツモ,放銃,ツモ支払,流局,チョンボ"</formula1>
    </dataValidation>
    <dataValidation type="list" allowBlank="1" showInputMessage="1" showErrorMessage="1" sqref="E4:E30" xr:uid="{D31631DE-3CB0-44C9-ADC8-DE094D4AF2F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3F465-03F7-460D-A12A-3D7B4F0A0461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156</v>
      </c>
      <c r="G1" s="86"/>
      <c r="H1" s="86"/>
      <c r="I1" s="95"/>
      <c r="J1" s="87"/>
      <c r="K1" s="84" t="s">
        <v>144</v>
      </c>
      <c r="L1" s="86"/>
      <c r="M1" s="86"/>
      <c r="N1" s="95"/>
      <c r="O1" s="87"/>
      <c r="P1" s="84" t="s">
        <v>161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だいち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れんたろう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たかの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だいち</v>
      </c>
      <c r="V2" s="83" t="str">
        <f>$K$1</f>
        <v>れんたろう</v>
      </c>
      <c r="W2" s="16" t="str">
        <f>$P$1</f>
        <v>たかの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146</v>
      </c>
      <c r="G4" s="9">
        <v>7700</v>
      </c>
      <c r="H4" s="9"/>
      <c r="I4" s="55">
        <v>0</v>
      </c>
      <c r="J4" s="21">
        <f>IF(COUNTA($F4,$K4,$P4)&gt;0,J3+SUM(G4:I4),"")</f>
        <v>42700</v>
      </c>
      <c r="K4" s="8" t="s">
        <v>145</v>
      </c>
      <c r="L4" s="9">
        <v>-4800</v>
      </c>
      <c r="M4" s="9"/>
      <c r="N4" s="55">
        <v>0</v>
      </c>
      <c r="O4" s="21">
        <f>IF(COUNTA($F4,$K4,$P4)&gt;0,O3+SUM(L4:N4),"")</f>
        <v>30200</v>
      </c>
      <c r="P4" s="8" t="s">
        <v>145</v>
      </c>
      <c r="Q4" s="9">
        <v>-2900</v>
      </c>
      <c r="R4" s="9"/>
      <c r="S4" s="55">
        <v>0</v>
      </c>
      <c r="T4" s="21">
        <f>IF(COUNTA($F4,$K4,$P4)&gt;0,T3+SUM(Q4:S4),"")</f>
        <v>32100</v>
      </c>
      <c r="U4" s="60">
        <f>IF($J4="","",ROUND(($J4-$J$3)/1000,1)+(_xlfn.RANK.AVG($J4,($J4,$O4,$T4),1)-2)*20)</f>
        <v>27.7</v>
      </c>
      <c r="V4" s="61">
        <f>IF($O4="","",ROUND(($O4-$O$3)/1000,1)+(_xlfn.RANK.AVG($O4,($J4,$O4,$T4),1)-2)*20)</f>
        <v>-24.8</v>
      </c>
      <c r="W4" s="62">
        <f>IF($T4="","",ROUND(($T4-$T$3)/1000,1)+(_xlfn.RANK.AVG($T4,($J4,$O4,$T4),1)-2)*20)</f>
        <v>-2.9</v>
      </c>
      <c r="Y4" s="8"/>
      <c r="Z4" s="41"/>
      <c r="AA4" s="32"/>
      <c r="AB4" s="32">
        <v>1</v>
      </c>
      <c r="AC4" s="32">
        <v>4</v>
      </c>
      <c r="AD4" s="36">
        <v>30</v>
      </c>
      <c r="AE4" s="47" t="s">
        <v>87</v>
      </c>
      <c r="AF4" s="48" t="s">
        <v>87</v>
      </c>
      <c r="AG4" s="48" t="s">
        <v>105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IF($E5="","",IF(OR($F4="流局",$F4="チョンボ"),D4+($H4+$M4+$R4)/-1000,0))</f>
        <v>0</v>
      </c>
      <c r="E5" s="4" t="s">
        <v>160</v>
      </c>
      <c r="F5" s="8"/>
      <c r="G5" s="9"/>
      <c r="H5" s="9"/>
      <c r="I5" s="55"/>
      <c r="J5" s="21">
        <f>IF(COUNTA($F5,$K5,$P5)&gt;0,J4+SUM(G5:I5),"")</f>
        <v>42700</v>
      </c>
      <c r="K5" s="8" t="s">
        <v>151</v>
      </c>
      <c r="L5" s="9">
        <v>-12000</v>
      </c>
      <c r="M5" s="9"/>
      <c r="N5" s="55">
        <v>0</v>
      </c>
      <c r="O5" s="21">
        <f>IF(COUNTA($F5,$K5,$P5)&gt;0,O4+SUM(L5:N5),"")</f>
        <v>18200</v>
      </c>
      <c r="P5" s="8" t="s">
        <v>152</v>
      </c>
      <c r="Q5" s="9">
        <v>12000</v>
      </c>
      <c r="R5" s="9"/>
      <c r="S5" s="55">
        <v>0</v>
      </c>
      <c r="T5" s="21">
        <f>IF(COUNTA($F5,$K5,$P5)&gt;0,T4+SUM(Q5:S5),"")</f>
        <v>44100</v>
      </c>
      <c r="U5" s="60">
        <f>IF($J5="","",ROUND(($J5-$J$3)/1000,1)+(_xlfn.RANK.AVG($J5,($J5,$O5,$T5),1)-2)*20)</f>
        <v>7.7</v>
      </c>
      <c r="V5" s="61">
        <f>IF($O5="","",ROUND(($O5-$O$3)/1000,1)+(_xlfn.RANK.AVG($O5,($J5,$O5,$T5),1)-2)*20)</f>
        <v>-36.799999999999997</v>
      </c>
      <c r="W5" s="62">
        <f>IF($T5="","",ROUND(($T5-$T$3)/1000,1)+(_xlfn.RANK.AVG($T5,($J5,$O5,$T5),1)-2)*20)</f>
        <v>29.1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162</v>
      </c>
      <c r="BU5" s="47" t="s">
        <v>147</v>
      </c>
      <c r="BV5" s="48" t="s">
        <v>154</v>
      </c>
      <c r="BW5" s="48" t="s">
        <v>80</v>
      </c>
      <c r="BX5" s="48" t="s">
        <v>80</v>
      </c>
      <c r="BY5" s="48" t="s">
        <v>80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>IF($E6="","",IF($E5=$E6,B5,IF(B5=3,1,B5+1)))</f>
        <v>2</v>
      </c>
      <c r="C6" s="18">
        <f>IF($E6="","",IF($F5="チョンボ",C5,IF(OR($E5=$E6,$F5="流局"),C5+1,0)))</f>
        <v>1</v>
      </c>
      <c r="D6" s="18">
        <f>IF($E6="","",IF(OR($F5="流局",$F5="チョンボ"),D5+($H5+$M5+$R5)/-1000,0))</f>
        <v>0</v>
      </c>
      <c r="E6" s="4" t="s">
        <v>160</v>
      </c>
      <c r="F6" s="8" t="s">
        <v>146</v>
      </c>
      <c r="G6" s="9">
        <v>8000</v>
      </c>
      <c r="H6" s="9">
        <v>1000</v>
      </c>
      <c r="I6" s="55">
        <v>1000</v>
      </c>
      <c r="J6" s="21">
        <f>IF(COUNTA($F6,$K6,$P6)&gt;0,J5+SUM(G6:I6),"")</f>
        <v>52700</v>
      </c>
      <c r="K6" s="8" t="s">
        <v>145</v>
      </c>
      <c r="L6" s="9">
        <v>-3000</v>
      </c>
      <c r="M6" s="9">
        <v>-1000</v>
      </c>
      <c r="N6" s="55">
        <v>-500</v>
      </c>
      <c r="O6" s="21">
        <f>IF(COUNTA($F6,$K6,$P6)&gt;0,O5+SUM(L6:N6),"")</f>
        <v>13700</v>
      </c>
      <c r="P6" s="8" t="s">
        <v>145</v>
      </c>
      <c r="Q6" s="9">
        <v>-5000</v>
      </c>
      <c r="R6" s="9"/>
      <c r="S6" s="55">
        <v>-500</v>
      </c>
      <c r="T6" s="21">
        <f>IF(COUNTA($F6,$K6,$P6)&gt;0,T5+SUM(Q6:S6),"")</f>
        <v>38600</v>
      </c>
      <c r="U6" s="60">
        <f>IF($J6="","",ROUND(($J6-$J$3)/1000,1)+(_xlfn.RANK.AVG($J6,($J6,$O6,$T6),1)-2)*20)</f>
        <v>37.700000000000003</v>
      </c>
      <c r="V6" s="61">
        <f>IF($O6="","",ROUND(($O6-$O$3)/1000,1)+(_xlfn.RANK.AVG($O6,($J6,$O6,$T6),1)-2)*20)</f>
        <v>-41.3</v>
      </c>
      <c r="W6" s="62">
        <f>IF($T6="","",ROUND(($T6-$T$3)/1000,1)+(_xlfn.RANK.AVG($T6,($J6,$O6,$T6),1)-2)*20)</f>
        <v>3.6</v>
      </c>
      <c r="Y6" s="8"/>
      <c r="Z6" s="41"/>
      <c r="AA6" s="32"/>
      <c r="AB6" s="32">
        <v>1</v>
      </c>
      <c r="AC6" s="32">
        <v>4</v>
      </c>
      <c r="AD6" s="36">
        <v>40</v>
      </c>
      <c r="AE6" s="47" t="s">
        <v>99</v>
      </c>
      <c r="AF6" s="48" t="s">
        <v>97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>IF($E7="","",IF(AND(B6=3,B7=1),_xlfn.SWITCH(A6,"東","南","南","西","西","北","北","東"),A6))</f>
        <v>東</v>
      </c>
      <c r="B7" s="18">
        <f>IF($E7="","",IF($E6=$E7,B6,IF(B6=3,1,B6+1)))</f>
        <v>3</v>
      </c>
      <c r="C7" s="18">
        <f>IF($E7="","",IF($F6="チョンボ",C6,IF(OR($E6=$E7,$F6="流局"),C6+1,0)))</f>
        <v>0</v>
      </c>
      <c r="D7" s="18">
        <f>IF($E7="","",IF(OR($F6="流局",$F6="チョンボ"),D6+($H6+$M6+$R6)/-1000,0))</f>
        <v>0</v>
      </c>
      <c r="E7" s="4" t="s">
        <v>155</v>
      </c>
      <c r="F7" s="8"/>
      <c r="G7" s="9"/>
      <c r="H7" s="9"/>
      <c r="I7" s="55"/>
      <c r="J7" s="21">
        <f>IF(COUNTA($F7,$K7,$P7)&gt;0,J6+SUM(G7:I7),"")</f>
        <v>52700</v>
      </c>
      <c r="K7" s="8" t="s">
        <v>151</v>
      </c>
      <c r="L7" s="9">
        <v>-3900</v>
      </c>
      <c r="M7" s="9"/>
      <c r="N7" s="55">
        <v>0</v>
      </c>
      <c r="O7" s="21">
        <f>IF(COUNTA($F7,$K7,$P7)&gt;0,O6+SUM(L7:N7),"")</f>
        <v>9800</v>
      </c>
      <c r="P7" s="8" t="s">
        <v>152</v>
      </c>
      <c r="Q7" s="9">
        <v>3900</v>
      </c>
      <c r="R7" s="9"/>
      <c r="S7" s="55">
        <v>0</v>
      </c>
      <c r="T7" s="21">
        <f>IF(COUNTA($F7,$K7,$P7)&gt;0,T6+SUM(Q7:S7),"")</f>
        <v>42500</v>
      </c>
      <c r="U7" s="60">
        <f>IF($J7="","",ROUND(($J7-$J$3)/1000,1)+(_xlfn.RANK.AVG($J7,($J7,$O7,$T7),1)-2)*20)</f>
        <v>37.700000000000003</v>
      </c>
      <c r="V7" s="61">
        <f>IF($O7="","",ROUND(($O7-$O$3)/1000,1)+(_xlfn.RANK.AVG($O7,($J7,$O7,$T7),1)-2)*20)</f>
        <v>-45.2</v>
      </c>
      <c r="W7" s="62">
        <f>IF($T7="","",ROUND(($T7-$T$3)/1000,1)+(_xlfn.RANK.AVG($T7,($J7,$O7,$T7),1)-2)*20)</f>
        <v>7.5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30</v>
      </c>
      <c r="BU7" s="47" t="s">
        <v>147</v>
      </c>
      <c r="BV7" s="48" t="s">
        <v>84</v>
      </c>
      <c r="BW7" s="48" t="s">
        <v>153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>IF($E8="","",IF(AND(B7=3,B8=1),_xlfn.SWITCH(A7,"東","南","南","西","西","北","北","東"),A7))</f>
        <v>南</v>
      </c>
      <c r="B8" s="18">
        <f>IF($E8="","",IF($E7=$E8,B7,IF(B7=3,1,B7+1)))</f>
        <v>1</v>
      </c>
      <c r="C8" s="18">
        <f>IF($E8="","",IF($F7="チョンボ",C7,IF(OR($E7=$E8,$F7="流局"),C7+1,0)))</f>
        <v>0</v>
      </c>
      <c r="D8" s="18">
        <f>IF($E8="","",IF(OR($F7="流局",$F7="チョンボ"),D7+($H7+$M7+$R7)/-1000,0))</f>
        <v>0</v>
      </c>
      <c r="E8" s="4" t="s">
        <v>143</v>
      </c>
      <c r="F8" s="8"/>
      <c r="G8" s="9"/>
      <c r="H8" s="9"/>
      <c r="I8" s="55"/>
      <c r="J8" s="21">
        <f>IF(COUNTA($F8,$K8,$P8)&gt;0,J7+SUM(G8:I8),"")</f>
        <v>52700</v>
      </c>
      <c r="K8" s="8" t="s">
        <v>151</v>
      </c>
      <c r="L8" s="9">
        <v>-12000</v>
      </c>
      <c r="M8" s="9"/>
      <c r="N8" s="55">
        <v>0</v>
      </c>
      <c r="O8" s="21">
        <f>IF(COUNTA($F8,$K8,$P8)&gt;0,O7+SUM(L8:N8),"")</f>
        <v>-2200</v>
      </c>
      <c r="P8" s="8" t="s">
        <v>152</v>
      </c>
      <c r="Q8" s="9">
        <v>12000</v>
      </c>
      <c r="R8" s="9"/>
      <c r="S8" s="55">
        <v>0</v>
      </c>
      <c r="T8" s="21">
        <f>IF(COUNTA($F8,$K8,$P8)&gt;0,T7+SUM(Q8:S8),"")</f>
        <v>54500</v>
      </c>
      <c r="U8" s="60">
        <f>IF($J8="","",ROUND(($J8-$J$3)/1000,1)+(_xlfn.RANK.AVG($J8,($J8,$O8,$T8),1)-2)*20)</f>
        <v>17.7</v>
      </c>
      <c r="V8" s="61">
        <f>IF($O8="","",ROUND(($O8-$O$3)/1000,1)+(_xlfn.RANK.AVG($O8,($J8,$O8,$T8),1)-2)*20)</f>
        <v>-57.2</v>
      </c>
      <c r="W8" s="62">
        <f>IF($T8="","",ROUND(($T8-$T$3)/1000,1)+(_xlfn.RANK.AVG($T8,($J8,$O8,$T8),1)-2)*20)</f>
        <v>39.5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6</v>
      </c>
      <c r="BT8" s="36" t="s">
        <v>162</v>
      </c>
      <c r="BU8" s="47" t="s">
        <v>147</v>
      </c>
      <c r="BV8" s="48" t="s">
        <v>81</v>
      </c>
      <c r="BW8" s="48" t="s">
        <v>81</v>
      </c>
      <c r="BX8" s="48" t="s">
        <v>81</v>
      </c>
      <c r="BY8" s="48" t="s">
        <v>97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>IF($E9="","",IF(AND(B8=3,B9=1),_xlfn.SWITCH(A8,"東","南","南","西","西","北","北","東"),A8))</f>
        <v>南</v>
      </c>
      <c r="B9" s="18">
        <f>IF($E9="","",IF($E8=$E9,B8,IF(B8=3,1,B8+1)))</f>
        <v>2</v>
      </c>
      <c r="C9" s="18">
        <f>IF($E9="","",IF($F8="チョンボ",C8,IF(OR($E8=$E9,$F8="流局"),C8+1,0)))</f>
        <v>0</v>
      </c>
      <c r="D9" s="18">
        <f>IF($E9="","",IF(OR($F8="流局",$F8="チョンボ"),D8+($H8+$M8+$R8)/-1000,0))</f>
        <v>0</v>
      </c>
      <c r="E9" s="4" t="s">
        <v>160</v>
      </c>
      <c r="F9" s="8" t="s">
        <v>163</v>
      </c>
      <c r="G9" s="9">
        <v>1500</v>
      </c>
      <c r="H9" s="9"/>
      <c r="I9" s="55"/>
      <c r="J9" s="21">
        <f>IF(COUNTA($F9,$K9,$P9)&gt;0,J8+SUM(G9:I9),"")</f>
        <v>54200</v>
      </c>
      <c r="K9" s="8" t="s">
        <v>163</v>
      </c>
      <c r="L9" s="9">
        <v>-3000</v>
      </c>
      <c r="M9" s="9"/>
      <c r="N9" s="55"/>
      <c r="O9" s="21">
        <f>IF(COUNTA($F9,$K9,$P9)&gt;0,O8+SUM(L9:N9),"")</f>
        <v>-5200</v>
      </c>
      <c r="P9" s="8" t="s">
        <v>163</v>
      </c>
      <c r="Q9" s="9">
        <v>1500</v>
      </c>
      <c r="R9" s="9"/>
      <c r="S9" s="55"/>
      <c r="T9" s="21">
        <f>IF(COUNTA($F9,$K9,$P9)&gt;0,T8+SUM(Q9:S9),"")</f>
        <v>56000</v>
      </c>
      <c r="U9" s="60">
        <f>IF($J9="","",ROUND(($J9-$J$3)/1000,1)+(_xlfn.RANK.AVG($J9,($J9,$O9,$T9),1)-2)*20)</f>
        <v>19.2</v>
      </c>
      <c r="V9" s="61">
        <f>IF($O9="","",ROUND(($O9-$O$3)/1000,1)+(_xlfn.RANK.AVG($O9,($J9,$O9,$T9),1)-2)*20)</f>
        <v>-60.2</v>
      </c>
      <c r="W9" s="62">
        <f>IF($T9="","",ROUND(($T9-$T$3)/1000,1)+(_xlfn.RANK.AVG($T9,($J9,$O9,$T9),1)-2)*20)</f>
        <v>41</v>
      </c>
      <c r="Y9" s="8" t="s">
        <v>149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149</v>
      </c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>IF($E10="","",IF(AND(B9=3,B10=1),_xlfn.SWITCH(A9,"東","南","南","西","西","北","北","東"),A9))</f>
        <v>南</v>
      </c>
      <c r="B10" s="18">
        <f>IF($E10="","",IF($E9=$E10,B9,IF(B9=3,1,B9+1)))</f>
        <v>2</v>
      </c>
      <c r="C10" s="18">
        <f>IF($E10="","",IF($F9="チョンボ",C9,IF(OR($E9=$E10,$F9="流局"),C9+1,0)))</f>
        <v>1</v>
      </c>
      <c r="D10" s="18">
        <f>IF($E10="","",IF(OR($F9="流局",$F9="チョンボ"),D9+($H9+$M9+$R9)/-1000,0))</f>
        <v>0</v>
      </c>
      <c r="E10" s="4" t="s">
        <v>160</v>
      </c>
      <c r="F10" s="8" t="s">
        <v>146</v>
      </c>
      <c r="G10" s="9">
        <v>8000</v>
      </c>
      <c r="H10" s="9"/>
      <c r="I10" s="55">
        <v>1000</v>
      </c>
      <c r="J10" s="21">
        <f>IF(COUNTA($F10,$K10,$P10)&gt;0,J9+SUM(G10:I10),"")</f>
        <v>63200</v>
      </c>
      <c r="K10" s="8" t="s">
        <v>145</v>
      </c>
      <c r="L10" s="9">
        <v>-3000</v>
      </c>
      <c r="M10" s="9"/>
      <c r="N10" s="55">
        <v>-500</v>
      </c>
      <c r="O10" s="21">
        <f>IF(COUNTA($F10,$K10,$P10)&gt;0,O9+SUM(L10:N10),"")</f>
        <v>-8700</v>
      </c>
      <c r="P10" s="8" t="s">
        <v>145</v>
      </c>
      <c r="Q10" s="9">
        <v>-5000</v>
      </c>
      <c r="R10" s="9"/>
      <c r="S10" s="55">
        <v>-500</v>
      </c>
      <c r="T10" s="21">
        <f>IF(COUNTA($F10,$K10,$P10)&gt;0,T9+SUM(Q10:S10),"")</f>
        <v>50500</v>
      </c>
      <c r="U10" s="60">
        <f>IF($J10="","",ROUND(($J10-$J$3)/1000,1)+(_xlfn.RANK.AVG($J10,($J10,$O10,$T10),1)-2)*20)</f>
        <v>48.2</v>
      </c>
      <c r="V10" s="61">
        <f>IF($O10="","",ROUND(($O10-$O$3)/1000,1)+(_xlfn.RANK.AVG($O10,($J10,$O10,$T10),1)-2)*20)</f>
        <v>-63.7</v>
      </c>
      <c r="W10" s="62">
        <f>IF($T10="","",ROUND(($T10-$T$3)/1000,1)+(_xlfn.RANK.AVG($T10,($J10,$O10,$T10),1)-2)*20)</f>
        <v>15.5</v>
      </c>
      <c r="Y10" s="8"/>
      <c r="Z10" s="41"/>
      <c r="AA10" s="32"/>
      <c r="AB10" s="32">
        <v>1</v>
      </c>
      <c r="AC10" s="32">
        <v>4</v>
      </c>
      <c r="AD10" s="36">
        <v>40</v>
      </c>
      <c r="AE10" s="47" t="s">
        <v>87</v>
      </c>
      <c r="AF10" s="48" t="s">
        <v>87</v>
      </c>
      <c r="AG10" s="48" t="s">
        <v>87</v>
      </c>
      <c r="AH10" s="48" t="s">
        <v>80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>IF($E11="","",IF(AND(B10=3,B11=1),_xlfn.SWITCH(A10,"東","南","南","西","西","北","北","東"),A10))</f>
        <v>南</v>
      </c>
      <c r="B11" s="18">
        <f>IF($E11="","",IF($E10=$E11,B10,IF(B10=3,1,B10+1)))</f>
        <v>3</v>
      </c>
      <c r="C11" s="18">
        <f>IF($E11="","",IF($F10="チョンボ",C10,IF(OR($E10=$E11,$F10="流局"),C10+1,0)))</f>
        <v>0</v>
      </c>
      <c r="D11" s="18">
        <f>IF($E11="","",IF(OR($F10="流局",$F10="チョンボ"),D10+($H10+$M10+$R10)/-1000,0))</f>
        <v>0</v>
      </c>
      <c r="E11" s="4" t="s">
        <v>155</v>
      </c>
      <c r="F11" s="8"/>
      <c r="G11" s="9"/>
      <c r="H11" s="9">
        <v>-1000</v>
      </c>
      <c r="I11" s="55"/>
      <c r="J11" s="21">
        <f>IF(COUNTA($F11,$K11,$P11)&gt;0,J10+SUM(G11:I11),"")</f>
        <v>62200</v>
      </c>
      <c r="K11" s="8" t="s">
        <v>152</v>
      </c>
      <c r="L11" s="9">
        <v>12000</v>
      </c>
      <c r="M11" s="9">
        <v>1000</v>
      </c>
      <c r="N11" s="55">
        <v>0</v>
      </c>
      <c r="O11" s="21">
        <f>IF(COUNTA($F11,$K11,$P11)&gt;0,O10+SUM(L11:N11),"")</f>
        <v>4300</v>
      </c>
      <c r="P11" s="8" t="s">
        <v>151</v>
      </c>
      <c r="Q11" s="9">
        <v>-12000</v>
      </c>
      <c r="R11" s="9"/>
      <c r="S11" s="55">
        <v>0</v>
      </c>
      <c r="T11" s="21">
        <f>IF(COUNTA($F11,$K11,$P11)&gt;0,T10+SUM(Q11:S11),"")</f>
        <v>38500</v>
      </c>
      <c r="U11" s="60">
        <f>IF($J11="","",ROUND(($J11-$J$3)/1000,1)+(_xlfn.RANK.AVG($J11,($J11,$O11,$T11),1)-2)*20)</f>
        <v>47.2</v>
      </c>
      <c r="V11" s="61">
        <f>IF($O11="","",ROUND(($O11-$O$3)/1000,1)+(_xlfn.RANK.AVG($O11,($J11,$O11,$T11),1)-2)*20)</f>
        <v>-50.7</v>
      </c>
      <c r="W11" s="62">
        <f>IF($T11="","",ROUND(($T11-$T$3)/1000,1)+(_xlfn.RANK.AVG($T11,($J11,$O11,$T11),1)-2)*20)</f>
        <v>3.5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6</v>
      </c>
      <c r="AY11" s="36" t="s">
        <v>162</v>
      </c>
      <c r="AZ11" s="47" t="s">
        <v>87</v>
      </c>
      <c r="BA11" s="48" t="s">
        <v>87</v>
      </c>
      <c r="BB11" s="48" t="s">
        <v>87</v>
      </c>
      <c r="BC11" s="48" t="s">
        <v>105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>IF($E12="","",IF(AND(B11=3,B12=1),_xlfn.SWITCH(A11,"東","南","南","西","西","北","北","東"),A11))</f>
        <v/>
      </c>
      <c r="B12" s="18" t="str">
        <f>IF($E12="","",IF($E11=$E12,B11,IF(B11=3,1,B11+1)))</f>
        <v/>
      </c>
      <c r="C12" s="18" t="str">
        <f>IF($E12="","",IF($F11="チョンボ",C11,IF(OR($E11=$E12,$F11="流局"),C11+1,0)))</f>
        <v/>
      </c>
      <c r="D12" s="18" t="str">
        <f>IF($E12="","",IF(OR($F11="流局",$F11="チョンボ"),D11+($H11+$M11+$R11)/-1000,0))</f>
        <v/>
      </c>
      <c r="E12" s="4"/>
      <c r="F12" s="8"/>
      <c r="G12" s="9"/>
      <c r="H12" s="9"/>
      <c r="I12" s="55"/>
      <c r="J12" s="21" t="str">
        <f>IF(COUNTA($F12,$K12,$P12)&gt;0,J11+SUM(G12:I12),"")</f>
        <v/>
      </c>
      <c r="K12" s="8"/>
      <c r="L12" s="9"/>
      <c r="M12" s="9"/>
      <c r="N12" s="55"/>
      <c r="O12" s="21" t="str">
        <f>IF(COUNTA($F12,$K12,$P12)&gt;0,O11+SUM(L12:N12),"")</f>
        <v/>
      </c>
      <c r="P12" s="8"/>
      <c r="Q12" s="9"/>
      <c r="R12" s="9"/>
      <c r="S12" s="55"/>
      <c r="T12" s="21" t="str">
        <f>IF(COUNTA($F12,$K12,$P12)&gt;0,T11+SUM(Q12:S12),"")</f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>IF($E13="","",IF(AND(B12=3,B13=1),_xlfn.SWITCH(A12,"東","南","南","西","西","北","北","東"),A12))</f>
        <v/>
      </c>
      <c r="B13" s="18" t="str">
        <f>IF($E13="","",IF($E12=$E13,B12,IF(B12=3,1,B12+1)))</f>
        <v/>
      </c>
      <c r="C13" s="18" t="str">
        <f>IF($E13="","",IF($F12="チョンボ",C12,IF(OR($E12=$E13,$F12="流局"),C12+1,0)))</f>
        <v/>
      </c>
      <c r="D13" s="18" t="str">
        <f>IF($E13="","",IF(OR($F12="流局",$F12="チョンボ"),D12+($H12+$M12+$R12)/-1000,0))</f>
        <v/>
      </c>
      <c r="E13" s="4"/>
      <c r="F13" s="8"/>
      <c r="G13" s="9"/>
      <c r="H13" s="9"/>
      <c r="I13" s="55"/>
      <c r="J13" s="21" t="str">
        <f>IF(COUNTA($F13,$K13,$P13)&gt;0,J12+SUM(G13:I13),"")</f>
        <v/>
      </c>
      <c r="K13" s="8"/>
      <c r="L13" s="9"/>
      <c r="M13" s="9"/>
      <c r="N13" s="55"/>
      <c r="O13" s="21" t="str">
        <f>IF(COUNTA($F13,$K13,$P13)&gt;0,O12+SUM(L13:N13),"")</f>
        <v/>
      </c>
      <c r="P13" s="8"/>
      <c r="Q13" s="9"/>
      <c r="R13" s="9"/>
      <c r="S13" s="55"/>
      <c r="T13" s="21" t="str">
        <f>IF(COUNTA($F13,$K13,$P13)&gt;0,T12+SUM(Q13:S13),"")</f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>IF($E14="","",IF(AND(B13=3,B14=1),_xlfn.SWITCH(A13,"東","南","南","西","西","北","北","東"),A13))</f>
        <v/>
      </c>
      <c r="B14" s="18" t="str">
        <f>IF($E14="","",IF($E13=$E14,B13,IF(B13=3,1,B13+1)))</f>
        <v/>
      </c>
      <c r="C14" s="18" t="str">
        <f>IF($E14="","",IF($F13="チョンボ",C13,IF(OR($E13=$E14,$F13="流局"),C13+1,0)))</f>
        <v/>
      </c>
      <c r="D14" s="18" t="str">
        <f>IF($E14="","",IF(OR($F13="流局",$F13="チョンボ"),D13+($H13+$M13+$R13)/-1000,0))</f>
        <v/>
      </c>
      <c r="E14" s="4"/>
      <c r="F14" s="8"/>
      <c r="G14" s="9"/>
      <c r="H14" s="9"/>
      <c r="I14" s="55"/>
      <c r="J14" s="21" t="str">
        <f>IF(COUNTA($F14,$K14,$P14)&gt;0,J13+SUM(G14:I14),"")</f>
        <v/>
      </c>
      <c r="K14" s="8"/>
      <c r="L14" s="9"/>
      <c r="M14" s="9"/>
      <c r="N14" s="55"/>
      <c r="O14" s="21" t="str">
        <f>IF(COUNTA($F14,$K14,$P14)&gt;0,O13+SUM(L14:N14),"")</f>
        <v/>
      </c>
      <c r="P14" s="8"/>
      <c r="Q14" s="9"/>
      <c r="R14" s="9"/>
      <c r="S14" s="55"/>
      <c r="T14" s="21" t="str">
        <f>IF(COUNTA($F14,$K14,$P14)&gt;0,T13+SUM(Q14:S14),"")</f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>IF($E15="","",IF(AND(B14=3,B15=1),_xlfn.SWITCH(A14,"東","南","南","西","西","北","北","東"),A14))</f>
        <v/>
      </c>
      <c r="B15" s="18" t="str">
        <f>IF($E15="","",IF($E14=$E15,B14,IF(B14=3,1,B14+1)))</f>
        <v/>
      </c>
      <c r="C15" s="18" t="str">
        <f>IF($E15="","",IF($F14="チョンボ",C14,IF(OR($E14=$E15,$F14="流局"),C14+1,0)))</f>
        <v/>
      </c>
      <c r="D15" s="18" t="str">
        <f>IF($E15="","",IF(OR($F14="流局",$F14="チョンボ"),D14+($H14+$M14+$R14)/-1000,0))</f>
        <v/>
      </c>
      <c r="E15" s="4"/>
      <c r="F15" s="8"/>
      <c r="G15" s="9"/>
      <c r="H15" s="9"/>
      <c r="I15" s="55"/>
      <c r="J15" s="21" t="str">
        <f>IF(COUNTA($F15,$K15,$P15)&gt;0,J14+SUM(G15:I15),"")</f>
        <v/>
      </c>
      <c r="K15" s="8"/>
      <c r="L15" s="9"/>
      <c r="M15" s="9"/>
      <c r="N15" s="55"/>
      <c r="O15" s="21" t="str">
        <f>IF(COUNTA($F15,$K15,$P15)&gt;0,O14+SUM(L15:N15),"")</f>
        <v/>
      </c>
      <c r="P15" s="8"/>
      <c r="Q15" s="9"/>
      <c r="R15" s="9"/>
      <c r="S15" s="55"/>
      <c r="T15" s="21" t="str">
        <f>IF(COUNTA($F15,$K15,$P15)&gt;0,T14+SUM(Q15:S15),"")</f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>IF($E16="","",IF(AND(B15=3,B16=1),_xlfn.SWITCH(A15,"東","南","南","西","西","北","北","東"),A15))</f>
        <v/>
      </c>
      <c r="B16" s="18" t="str">
        <f>IF($E16="","",IF($E15=$E16,B15,IF(B15=3,1,B15+1)))</f>
        <v/>
      </c>
      <c r="C16" s="18" t="str">
        <f>IF($E16="","",IF($F15="チョンボ",C15,IF(OR($E15=$E16,$F15="流局"),C15+1,0)))</f>
        <v/>
      </c>
      <c r="D16" s="18" t="str">
        <f>IF($E16="","",IF(OR($F15="流局",$F15="チョンボ"),D15+($H15+$M15+$R15)/-1000,0))</f>
        <v/>
      </c>
      <c r="E16" s="4"/>
      <c r="F16" s="8"/>
      <c r="G16" s="9"/>
      <c r="H16" s="9"/>
      <c r="I16" s="55"/>
      <c r="J16" s="21" t="str">
        <f>IF(COUNTA($F16,$K16,$P16)&gt;0,J15+SUM(G16:I16),"")</f>
        <v/>
      </c>
      <c r="K16" s="8"/>
      <c r="L16" s="9"/>
      <c r="M16" s="9"/>
      <c r="N16" s="55"/>
      <c r="O16" s="21" t="str">
        <f>IF(COUNTA($F16,$K16,$P16)&gt;0,O15+SUM(L16:N16),"")</f>
        <v/>
      </c>
      <c r="P16" s="8"/>
      <c r="Q16" s="9"/>
      <c r="R16" s="9"/>
      <c r="S16" s="55"/>
      <c r="T16" s="21" t="str">
        <f>IF(COUNTA($F16,$K16,$P16)&gt;0,T15+SUM(Q16:S16),"")</f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>IF($E17="","",IF(AND(B16=3,B17=1),_xlfn.SWITCH(A16,"東","南","南","西","西","北","北","東"),A16))</f>
        <v/>
      </c>
      <c r="B17" s="18" t="str">
        <f>IF($E17="","",IF($E16=$E17,B16,IF(B16=3,1,B16+1)))</f>
        <v/>
      </c>
      <c r="C17" s="18" t="str">
        <f>IF($E17="","",IF($F16="チョンボ",C16,IF(OR($E16=$E17,$F16="流局"),C16+1,0)))</f>
        <v/>
      </c>
      <c r="D17" s="18" t="str">
        <f>IF($E17="","",IF(OR($F16="流局",$F16="チョンボ"),D16+($H16+$M16+$R16)/-1000,0))</f>
        <v/>
      </c>
      <c r="E17" s="4"/>
      <c r="F17" s="8"/>
      <c r="G17" s="9"/>
      <c r="H17" s="9"/>
      <c r="I17" s="55"/>
      <c r="J17" s="21" t="str">
        <f>IF(COUNTA($F17,$K17,$P17)&gt;0,J16+SUM(G17:I17),"")</f>
        <v/>
      </c>
      <c r="K17" s="8"/>
      <c r="L17" s="9"/>
      <c r="M17" s="9"/>
      <c r="N17" s="55"/>
      <c r="O17" s="21" t="str">
        <f>IF(COUNTA($F17,$K17,$P17)&gt;0,O16+SUM(L17:N17),"")</f>
        <v/>
      </c>
      <c r="P17" s="8"/>
      <c r="Q17" s="9"/>
      <c r="R17" s="9"/>
      <c r="S17" s="55"/>
      <c r="T17" s="21" t="str">
        <f>IF(COUNTA($F17,$K17,$P17)&gt;0,T16+SUM(Q17:S17),"")</f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>IF($E18="","",IF(AND(B17=3,B18=1),_xlfn.SWITCH(A17,"東","南","南","西","西","北","北","東"),A17))</f>
        <v/>
      </c>
      <c r="B18" s="18" t="str">
        <f>IF($E18="","",IF($E17=$E18,B17,IF(B17=3,1,B17+1)))</f>
        <v/>
      </c>
      <c r="C18" s="18" t="str">
        <f>IF($E18="","",IF($F17="チョンボ",C17,IF(OR($E17=$E18,$F17="流局"),C17+1,0)))</f>
        <v/>
      </c>
      <c r="D18" s="18" t="str">
        <f>IF($E18="","",IF(OR($F17="流局",$F17="チョンボ"),D17+($H17+$M17+$R17)/-1000,0))</f>
        <v/>
      </c>
      <c r="E18" s="4"/>
      <c r="F18" s="8"/>
      <c r="G18" s="9"/>
      <c r="H18" s="9"/>
      <c r="I18" s="55"/>
      <c r="J18" s="21" t="str">
        <f>IF(COUNTA($F18,$K18,$P18)&gt;0,J17+SUM(G18:I18),"")</f>
        <v/>
      </c>
      <c r="K18" s="8"/>
      <c r="L18" s="9"/>
      <c r="M18" s="9"/>
      <c r="N18" s="55"/>
      <c r="O18" s="21" t="str">
        <f>IF(COUNTA($F18,$K18,$P18)&gt;0,O17+SUM(L18:N18),"")</f>
        <v/>
      </c>
      <c r="P18" s="8"/>
      <c r="Q18" s="9"/>
      <c r="R18" s="9"/>
      <c r="S18" s="55"/>
      <c r="T18" s="21" t="str">
        <f>IF(COUNTA($F18,$K18,$P18)&gt;0,T17+SUM(Q18:S18),"")</f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>IF($E19="","",IF(AND(B18=3,B19=1),_xlfn.SWITCH(A18,"東","南","南","西","西","北","北","東"),A18))</f>
        <v/>
      </c>
      <c r="B19" s="18" t="str">
        <f>IF($E19="","",IF($E18=$E19,B18,IF(B18=3,1,B18+1)))</f>
        <v/>
      </c>
      <c r="C19" s="18" t="str">
        <f>IF($E19="","",IF($F18="チョンボ",C18,IF(OR($E18=$E19,$F18="流局"),C18+1,0)))</f>
        <v/>
      </c>
      <c r="D19" s="18" t="str">
        <f>IF($E19="","",IF(OR($F18="流局",$F18="チョンボ"),D18+($H18+$M18+$R18)/-1000,0))</f>
        <v/>
      </c>
      <c r="E19" s="4"/>
      <c r="F19" s="8"/>
      <c r="G19" s="9"/>
      <c r="H19" s="9"/>
      <c r="I19" s="55"/>
      <c r="J19" s="21" t="str">
        <f>IF(COUNTA($F19,$K19,$P19)&gt;0,J18+SUM(G19:I19),"")</f>
        <v/>
      </c>
      <c r="K19" s="8"/>
      <c r="L19" s="9"/>
      <c r="M19" s="9"/>
      <c r="N19" s="55"/>
      <c r="O19" s="21" t="str">
        <f>IF(COUNTA($F19,$K19,$P19)&gt;0,O18+SUM(L19:N19),"")</f>
        <v/>
      </c>
      <c r="P19" s="8"/>
      <c r="Q19" s="9"/>
      <c r="R19" s="9"/>
      <c r="S19" s="55"/>
      <c r="T19" s="21" t="str">
        <f>IF(COUNTA($F19,$K19,$P19)&gt;0,T18+SUM(Q19:S19),"")</f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>IF($E20="","",IF(AND(B19=3,B20=1),_xlfn.SWITCH(A19,"東","南","南","西","西","北","北","東"),A19))</f>
        <v/>
      </c>
      <c r="B20" s="18" t="str">
        <f>IF($E20="","",IF($E19=$E20,B19,IF(B19=3,1,B19+1)))</f>
        <v/>
      </c>
      <c r="C20" s="18" t="str">
        <f>IF($E20="","",IF($F19="チョンボ",C19,IF(OR($E19=$E20,$F19="流局"),C19+1,0)))</f>
        <v/>
      </c>
      <c r="D20" s="18" t="str">
        <f>IF($E20="","",IF(OR($F19="流局",$F19="チョンボ"),D19+($H19+$M19+$R19)/-1000,0))</f>
        <v/>
      </c>
      <c r="E20" s="4"/>
      <c r="F20" s="8"/>
      <c r="G20" s="9"/>
      <c r="H20" s="9"/>
      <c r="I20" s="55"/>
      <c r="J20" s="21" t="str">
        <f>IF(COUNTA($F20,$K20,$P20)&gt;0,J19+SUM(G20:I20),"")</f>
        <v/>
      </c>
      <c r="K20" s="8"/>
      <c r="L20" s="9"/>
      <c r="M20" s="9"/>
      <c r="N20" s="55"/>
      <c r="O20" s="21" t="str">
        <f>IF(COUNTA($F20,$K20,$P20)&gt;0,O19+SUM(L20:N20),"")</f>
        <v/>
      </c>
      <c r="P20" s="8"/>
      <c r="Q20" s="9"/>
      <c r="R20" s="9"/>
      <c r="S20" s="55"/>
      <c r="T20" s="21" t="str">
        <f>IF(COUNTA($F20,$K20,$P20)&gt;0,T19+SUM(Q20:S20),"")</f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>IF($E21="","",IF(AND(B20=3,B21=1),_xlfn.SWITCH(A20,"東","南","南","西","西","北","北","東"),A20))</f>
        <v/>
      </c>
      <c r="B21" s="18" t="str">
        <f>IF($E21="","",IF($E20=$E21,B20,IF(B20=3,1,B20+1)))</f>
        <v/>
      </c>
      <c r="C21" s="18" t="str">
        <f>IF($E21="","",IF($F20="チョンボ",C20,IF(OR($E20=$E21,$F20="流局"),C20+1,0)))</f>
        <v/>
      </c>
      <c r="D21" s="18" t="str">
        <f>IF($E21="","",IF(OR($F20="流局",$F20="チョンボ"),D20+($H20+$M20+$R20)/-1000,0))</f>
        <v/>
      </c>
      <c r="E21" s="4"/>
      <c r="F21" s="8"/>
      <c r="G21" s="9"/>
      <c r="H21" s="9"/>
      <c r="I21" s="55"/>
      <c r="J21" s="21" t="str">
        <f>IF(COUNTA($F21,$K21,$P21)&gt;0,J20+SUM(G21:I21),"")</f>
        <v/>
      </c>
      <c r="K21" s="8"/>
      <c r="L21" s="9"/>
      <c r="M21" s="9"/>
      <c r="N21" s="55"/>
      <c r="O21" s="21" t="str">
        <f>IF(COUNTA($F21,$K21,$P21)&gt;0,O20+SUM(L21:N21),"")</f>
        <v/>
      </c>
      <c r="P21" s="8"/>
      <c r="Q21" s="9"/>
      <c r="R21" s="9"/>
      <c r="S21" s="55"/>
      <c r="T21" s="21" t="str">
        <f>IF(COUNTA($F21,$K21,$P21)&gt;0,T20+SUM(Q21:S21),"")</f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>IF($E22="","",IF(AND(B21=3,B22=1),_xlfn.SWITCH(A21,"東","南","南","西","西","北","北","東"),A21))</f>
        <v/>
      </c>
      <c r="B22" s="18" t="str">
        <f>IF($E22="","",IF($E21=$E22,B21,IF(B21=3,1,B21+1)))</f>
        <v/>
      </c>
      <c r="C22" s="18" t="str">
        <f>IF($E22="","",IF($F21="チョンボ",C21,IF(OR($E21=$E22,$F21="流局"),C21+1,0)))</f>
        <v/>
      </c>
      <c r="D22" s="18" t="str">
        <f>IF($E22="","",IF(OR($F21="流局",$F21="チョンボ"),D21+($H21+$M21+$R21)/-1000,0))</f>
        <v/>
      </c>
      <c r="E22" s="4"/>
      <c r="F22" s="8"/>
      <c r="G22" s="9"/>
      <c r="H22" s="9"/>
      <c r="I22" s="55"/>
      <c r="J22" s="21" t="str">
        <f>IF(COUNTA($F22,$K22,$P22)&gt;0,J21+SUM(G22:I22),"")</f>
        <v/>
      </c>
      <c r="K22" s="8"/>
      <c r="L22" s="9"/>
      <c r="M22" s="9"/>
      <c r="N22" s="55"/>
      <c r="O22" s="21" t="str">
        <f>IF(COUNTA($F22,$K22,$P22)&gt;0,O21+SUM(L22:N22),"")</f>
        <v/>
      </c>
      <c r="P22" s="8"/>
      <c r="Q22" s="9"/>
      <c r="R22" s="9"/>
      <c r="S22" s="55"/>
      <c r="T22" s="21" t="str">
        <f>IF(COUNTA($F22,$K22,$P22)&gt;0,T21+SUM(Q22:S22),"")</f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>IF($E23="","",IF(AND(B22=3,B23=1),_xlfn.SWITCH(A22,"東","南","南","西","西","北","北","東"),A22))</f>
        <v/>
      </c>
      <c r="B23" s="18" t="str">
        <f>IF($E23="","",IF($E22=$E23,B22,IF(B22=3,1,B22+1)))</f>
        <v/>
      </c>
      <c r="C23" s="18" t="str">
        <f>IF($E23="","",IF($F22="チョンボ",C22,IF(OR($E22=$E23,$F22="流局"),C22+1,0)))</f>
        <v/>
      </c>
      <c r="D23" s="18" t="str">
        <f>IF($E23="","",IF(OR($F22="流局",$F22="チョンボ"),D22+($H22+$M22+$R22)/-1000,0))</f>
        <v/>
      </c>
      <c r="E23" s="4"/>
      <c r="F23" s="8"/>
      <c r="G23" s="9"/>
      <c r="H23" s="9"/>
      <c r="I23" s="55"/>
      <c r="J23" s="21" t="str">
        <f>IF(COUNTA($F23,$K23,$P23)&gt;0,J22+SUM(G23:I23),"")</f>
        <v/>
      </c>
      <c r="K23" s="8"/>
      <c r="L23" s="9"/>
      <c r="M23" s="9"/>
      <c r="N23" s="55"/>
      <c r="O23" s="21" t="str">
        <f>IF(COUNTA($F23,$K23,$P23)&gt;0,O22+SUM(L23:N23),"")</f>
        <v/>
      </c>
      <c r="P23" s="8"/>
      <c r="Q23" s="9"/>
      <c r="R23" s="9"/>
      <c r="S23" s="55"/>
      <c r="T23" s="21" t="str">
        <f>IF(COUNTA($F23,$K23,$P23)&gt;0,T22+SUM(Q23:S23),"")</f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>IF($E24="","",IF(AND(B23=3,B24=1),_xlfn.SWITCH(A23,"東","南","南","西","西","北","北","東"),A23))</f>
        <v/>
      </c>
      <c r="B24" s="18" t="str">
        <f>IF($E24="","",IF($E23=$E24,B23,IF(B23=3,1,B23+1)))</f>
        <v/>
      </c>
      <c r="C24" s="18" t="str">
        <f>IF($E24="","",IF($F23="チョンボ",C23,IF(OR($E23=$E24,$F23="流局"),C23+1,0)))</f>
        <v/>
      </c>
      <c r="D24" s="18" t="str">
        <f>IF($E24="","",IF(OR($F23="流局",$F23="チョンボ"),D23+($H23+$M23+$R23)/-1000,0))</f>
        <v/>
      </c>
      <c r="E24" s="4"/>
      <c r="F24" s="8"/>
      <c r="G24" s="9"/>
      <c r="H24" s="9"/>
      <c r="I24" s="55"/>
      <c r="J24" s="21" t="str">
        <f>IF(COUNTA($F24,$K24,$P24)&gt;0,J23+SUM(G24:I24),"")</f>
        <v/>
      </c>
      <c r="K24" s="8"/>
      <c r="L24" s="9"/>
      <c r="M24" s="9"/>
      <c r="N24" s="55"/>
      <c r="O24" s="21" t="str">
        <f>IF(COUNTA($F24,$K24,$P24)&gt;0,O23+SUM(L24:N24),"")</f>
        <v/>
      </c>
      <c r="P24" s="8"/>
      <c r="Q24" s="9"/>
      <c r="R24" s="9"/>
      <c r="S24" s="55"/>
      <c r="T24" s="21" t="str">
        <f>IF(COUNTA($F24,$K24,$P24)&gt;0,T23+SUM(Q24:S24),"")</f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>IF($E25="","",IF(AND(B24=3,B25=1),_xlfn.SWITCH(A24,"東","南","南","西","西","北","北","東"),A24))</f>
        <v/>
      </c>
      <c r="B25" s="18" t="str">
        <f>IF($E25="","",IF($E24=$E25,B24,IF(B24=3,1,B24+1)))</f>
        <v/>
      </c>
      <c r="C25" s="18" t="str">
        <f>IF($E25="","",IF($F24="チョンボ",C24,IF(OR($E24=$E25,$F24="流局"),C24+1,0)))</f>
        <v/>
      </c>
      <c r="D25" s="18" t="str">
        <f>IF($E25="","",IF(OR($F24="流局",$F24="チョンボ"),D24+($H24+$M24+$R24)/-1000,0))</f>
        <v/>
      </c>
      <c r="E25" s="4"/>
      <c r="F25" s="8"/>
      <c r="G25" s="9"/>
      <c r="H25" s="9"/>
      <c r="I25" s="55"/>
      <c r="J25" s="21" t="str">
        <f>IF(COUNTA($F25,$K25,$P25)&gt;0,J24+SUM(G25:I25),"")</f>
        <v/>
      </c>
      <c r="K25" s="8"/>
      <c r="L25" s="9"/>
      <c r="M25" s="9"/>
      <c r="N25" s="55"/>
      <c r="O25" s="21" t="str">
        <f>IF(COUNTA($F25,$K25,$P25)&gt;0,O24+SUM(L25:N25),"")</f>
        <v/>
      </c>
      <c r="P25" s="8"/>
      <c r="Q25" s="9"/>
      <c r="R25" s="9"/>
      <c r="S25" s="55"/>
      <c r="T25" s="21" t="str">
        <f>IF(COUNTA($F25,$K25,$P25)&gt;0,T24+SUM(Q25:S25),"")</f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>IF($E26="","",IF(AND(B25=3,B26=1),_xlfn.SWITCH(A25,"東","南","南","西","西","北","北","東"),A25))</f>
        <v/>
      </c>
      <c r="B26" s="18" t="str">
        <f>IF($E26="","",IF($E25=$E26,B25,IF(B25=3,1,B25+1)))</f>
        <v/>
      </c>
      <c r="C26" s="18" t="str">
        <f>IF($E26="","",IF($F25="チョンボ",C25,IF(OR($E25=$E26,$F25="流局"),C25+1,0)))</f>
        <v/>
      </c>
      <c r="D26" s="18" t="str">
        <f>IF($E26="","",IF(OR($F25="流局",$F25="チョンボ"),D25+($H25+$M25+$R25)/-1000,0))</f>
        <v/>
      </c>
      <c r="E26" s="4"/>
      <c r="F26" s="8"/>
      <c r="G26" s="9"/>
      <c r="H26" s="9"/>
      <c r="I26" s="55"/>
      <c r="J26" s="21" t="str">
        <f>IF(COUNTA($F26,$K26,$P26)&gt;0,J25+SUM(G26:I26),"")</f>
        <v/>
      </c>
      <c r="K26" s="8"/>
      <c r="L26" s="9"/>
      <c r="M26" s="9"/>
      <c r="N26" s="55"/>
      <c r="O26" s="21" t="str">
        <f>IF(COUNTA($F26,$K26,$P26)&gt;0,O25+SUM(L26:N26),"")</f>
        <v/>
      </c>
      <c r="P26" s="8"/>
      <c r="Q26" s="9"/>
      <c r="R26" s="9"/>
      <c r="S26" s="55"/>
      <c r="T26" s="21" t="str">
        <f>IF(COUNTA($F26,$K26,$P26)&gt;0,T25+SUM(Q26:S26),"")</f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>IF($E27="","",IF(AND(B26=3,B27=1),_xlfn.SWITCH(A26,"東","南","南","西","西","北","北","東"),A26))</f>
        <v/>
      </c>
      <c r="B27" s="18" t="str">
        <f>IF($E27="","",IF($E26=$E27,B26,IF(B26=3,1,B26+1)))</f>
        <v/>
      </c>
      <c r="C27" s="18" t="str">
        <f>IF($E27="","",IF($F26="チョンボ",C26,IF(OR($E26=$E27,$F26="流局"),C26+1,0)))</f>
        <v/>
      </c>
      <c r="D27" s="18" t="str">
        <f>IF($E27="","",IF(OR($F26="流局",$F26="チョンボ"),D26+($H26+$M26+$R26)/-1000,0))</f>
        <v/>
      </c>
      <c r="E27" s="4"/>
      <c r="F27" s="8"/>
      <c r="G27" s="9"/>
      <c r="H27" s="9"/>
      <c r="I27" s="55"/>
      <c r="J27" s="21" t="str">
        <f>IF(COUNTA($F27,$K27,$P27)&gt;0,J26+SUM(G27:I27),"")</f>
        <v/>
      </c>
      <c r="K27" s="8"/>
      <c r="L27" s="9"/>
      <c r="M27" s="9"/>
      <c r="N27" s="55"/>
      <c r="O27" s="21" t="str">
        <f>IF(COUNTA($F27,$K27,$P27)&gt;0,O26+SUM(L27:N27),"")</f>
        <v/>
      </c>
      <c r="P27" s="8"/>
      <c r="Q27" s="9"/>
      <c r="R27" s="9"/>
      <c r="S27" s="55"/>
      <c r="T27" s="21" t="str">
        <f>IF(COUNTA($F27,$K27,$P27)&gt;0,T26+SUM(Q27:S27),"")</f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>IF($E28="","",IF(AND(B27=3,B28=1),_xlfn.SWITCH(A27,"東","南","南","西","西","北","北","東"),A27))</f>
        <v/>
      </c>
      <c r="B28" s="18" t="str">
        <f>IF($E28="","",IF($E27=$E28,B27,IF(B27=3,1,B27+1)))</f>
        <v/>
      </c>
      <c r="C28" s="18" t="str">
        <f>IF($E28="","",IF($F27="チョンボ",C27,IF(OR($E27=$E28,$F27="流局"),C27+1,0)))</f>
        <v/>
      </c>
      <c r="D28" s="18" t="str">
        <f>IF($E28="","",IF(OR($F27="流局",$F27="チョンボ"),D27+($H27+$M27+$R27)/-1000,0))</f>
        <v/>
      </c>
      <c r="E28" s="4"/>
      <c r="F28" s="8"/>
      <c r="G28" s="9"/>
      <c r="H28" s="9"/>
      <c r="I28" s="55"/>
      <c r="J28" s="21" t="str">
        <f>IF(COUNTA($F28,$K28,$P28)&gt;0,J27+SUM(G28:I28),"")</f>
        <v/>
      </c>
      <c r="K28" s="8"/>
      <c r="L28" s="9"/>
      <c r="M28" s="9"/>
      <c r="N28" s="55"/>
      <c r="O28" s="21" t="str">
        <f>IF(COUNTA($F28,$K28,$P28)&gt;0,O27+SUM(L28:N28),"")</f>
        <v/>
      </c>
      <c r="P28" s="8"/>
      <c r="Q28" s="9"/>
      <c r="R28" s="9"/>
      <c r="S28" s="55"/>
      <c r="T28" s="21" t="str">
        <f>IF(COUNTA($F28,$K28,$P28)&gt;0,T27+SUM(Q28:S28),"")</f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>IF($E29="","",IF(AND(B28=3,B29=1),_xlfn.SWITCH(A28,"東","南","南","西","西","北","北","東"),A28))</f>
        <v/>
      </c>
      <c r="B29" s="18" t="str">
        <f>IF($E29="","",IF($E28=$E29,B28,IF(B28=3,1,B28+1)))</f>
        <v/>
      </c>
      <c r="C29" s="18" t="str">
        <f>IF($E29="","",IF($F28="チョンボ",C28,IF(OR($E28=$E29,$F28="流局"),C28+1,0)))</f>
        <v/>
      </c>
      <c r="D29" s="18" t="str">
        <f>IF($E29="","",IF(OR($F28="流局",$F28="チョンボ"),D28+($H28+$M28+$R28)/-1000,0))</f>
        <v/>
      </c>
      <c r="E29" s="4"/>
      <c r="F29" s="8"/>
      <c r="G29" s="9"/>
      <c r="H29" s="9"/>
      <c r="I29" s="55"/>
      <c r="J29" s="21" t="str">
        <f>IF(COUNTA($F29,$K29,$P29)&gt;0,J28+SUM(G29:I29),"")</f>
        <v/>
      </c>
      <c r="K29" s="8"/>
      <c r="L29" s="9"/>
      <c r="M29" s="9"/>
      <c r="N29" s="55"/>
      <c r="O29" s="21" t="str">
        <f>IF(COUNTA($F29,$K29,$P29)&gt;0,O28+SUM(L29:N29),"")</f>
        <v/>
      </c>
      <c r="P29" s="8"/>
      <c r="Q29" s="9"/>
      <c r="R29" s="9"/>
      <c r="S29" s="55"/>
      <c r="T29" s="21" t="str">
        <f>IF(COUNTA($F29,$K29,$P29)&gt;0,T28+SUM(Q29:S29),"")</f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>IF($E30="","",IF(AND(B29=3,B30=1),_xlfn.SWITCH(A29,"東","南","南","西","西","北","北","東"),A29))</f>
        <v/>
      </c>
      <c r="B30" s="19" t="str">
        <f>IF($E30="","",IF($E29=$E30,B29,IF(B29=3,1,B29+1)))</f>
        <v/>
      </c>
      <c r="C30" s="19" t="str">
        <f>IF($E30="","",IF($F29="チョンボ",C29,IF(OR($E29=$E30,$F29="流局"),C29+1,0)))</f>
        <v/>
      </c>
      <c r="D30" s="19" t="str">
        <f>IF($E30="","",IF(OR($F29="流局",$F29="チョンボ"),D29+($H29+$M29+$R29)/-1000,0))</f>
        <v/>
      </c>
      <c r="E30" s="5"/>
      <c r="F30" s="10"/>
      <c r="G30" s="11"/>
      <c r="H30" s="11"/>
      <c r="I30" s="56"/>
      <c r="J30" s="22" t="str">
        <f>IF(COUNTA($F30,$K30,$P30)&gt;0,J29+SUM(G30:I30),"")</f>
        <v/>
      </c>
      <c r="K30" s="10"/>
      <c r="L30" s="11"/>
      <c r="M30" s="11"/>
      <c r="N30" s="56"/>
      <c r="O30" s="22" t="str">
        <f>IF(COUNTA($F30,$K30,$P30)&gt;0,O29+SUM(L30:N30),"")</f>
        <v/>
      </c>
      <c r="P30" s="10"/>
      <c r="Q30" s="11"/>
      <c r="R30" s="11"/>
      <c r="S30" s="56"/>
      <c r="T30" s="22" t="str">
        <f>IF(COUNTA($F30,$K30,$P30)&gt;0,T29+SUM(Q30:S30),"")</f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1:A2"/>
    <mergeCell ref="B1:B2"/>
    <mergeCell ref="C1:C2"/>
    <mergeCell ref="D1:D2"/>
    <mergeCell ref="E1:E2"/>
    <mergeCell ref="F1:J1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CB662A6A-73B4-4E4D-B8E3-4DEC2FC39EA7}">
      <formula1>$U$2:$W$2</formula1>
    </dataValidation>
    <dataValidation type="list" showInputMessage="1" showErrorMessage="1" sqref="K4:K30 P4:P30 F4:F30" xr:uid="{09D8DDF2-F6CB-4455-B094-6105A3C6EFC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1103-64B4-4EA9-9C52-9DC3CA84007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142</v>
      </c>
      <c r="G1" s="86"/>
      <c r="H1" s="86"/>
      <c r="I1" s="95"/>
      <c r="J1" s="87"/>
      <c r="K1" s="84" t="s">
        <v>159</v>
      </c>
      <c r="L1" s="86"/>
      <c r="M1" s="86"/>
      <c r="N1" s="95"/>
      <c r="O1" s="87"/>
      <c r="P1" s="84" t="s">
        <v>164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ぱぱ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りくと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まっつん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ぱぱ</v>
      </c>
      <c r="V2" s="83" t="str">
        <f>$K$1</f>
        <v>りくと</v>
      </c>
      <c r="W2" s="16" t="str">
        <f>$P$1</f>
        <v>まっつん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152</v>
      </c>
      <c r="G4" s="9">
        <v>12000</v>
      </c>
      <c r="H4" s="9"/>
      <c r="I4" s="55">
        <v>0</v>
      </c>
      <c r="J4" s="21">
        <f t="shared" ref="J4:J30" si="0">IF(COUNTA($F4,$K4,$P4)&gt;0,J3+SUM(G4:I4),"")</f>
        <v>47000</v>
      </c>
      <c r="K4" s="8" t="s">
        <v>151</v>
      </c>
      <c r="L4" s="9">
        <v>-12000</v>
      </c>
      <c r="M4" s="9"/>
      <c r="N4" s="55">
        <v>0</v>
      </c>
      <c r="O4" s="21">
        <f t="shared" ref="O4:O30" si="1">IF(COUNTA($F4,$K4,$P4)&gt;0,O3+SUM(L4:N4),"")</f>
        <v>23000</v>
      </c>
      <c r="P4" s="8"/>
      <c r="Q4" s="9"/>
      <c r="R4" s="9"/>
      <c r="S4" s="55"/>
      <c r="T4" s="21">
        <f t="shared" ref="T4:T30" si="2">IF(COUNTA($F4,$K4,$P4)&gt;0,T3+SUM(Q4:S4),"")</f>
        <v>35000</v>
      </c>
      <c r="U4" s="60">
        <f>IF($J4="","",ROUND(($J4-$J$3)/1000,1)+(_xlfn.RANK.AVG($J4,($J4,$O4,$T4),1)-2)*20)</f>
        <v>32</v>
      </c>
      <c r="V4" s="61">
        <f>IF($O4="","",ROUND(($O4-$O$3)/1000,1)+(_xlfn.RANK.AVG($O4,($J4,$O4,$T4),1)-2)*20)</f>
        <v>-32</v>
      </c>
      <c r="W4" s="62">
        <f>IF($T4="","",ROUND(($T4-$T$3)/1000,1)+(_xlfn.RANK.AVG($T4,($J4,$O4,$T4),1)-2)*20)</f>
        <v>0</v>
      </c>
      <c r="Y4" s="8"/>
      <c r="Z4" s="41"/>
      <c r="AA4" s="32"/>
      <c r="AB4" s="32">
        <v>1</v>
      </c>
      <c r="AC4" s="32">
        <v>4</v>
      </c>
      <c r="AD4" s="36">
        <v>40</v>
      </c>
      <c r="AE4" s="47" t="s">
        <v>99</v>
      </c>
      <c r="AF4" s="48" t="s">
        <v>87</v>
      </c>
      <c r="AG4" s="48" t="s">
        <v>87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1</v>
      </c>
      <c r="C5" s="18">
        <f t="shared" ref="C5:C30" si="5">IF($E5="","",IF($F4="チョンボ",C4,IF(OR($E4=$E5,$F4="流局"),C4+1,0)))</f>
        <v>1</v>
      </c>
      <c r="D5" s="18">
        <f t="shared" ref="D5:D30" si="6">IF($E5="","",IF(OR($F4="流局",$F4="チョンボ"),D4+($H4+$M4+$R4)/-1000,0))</f>
        <v>0</v>
      </c>
      <c r="E5" s="4" t="s">
        <v>141</v>
      </c>
      <c r="F5" s="8" t="s">
        <v>151</v>
      </c>
      <c r="G5" s="9">
        <v>-7700</v>
      </c>
      <c r="H5" s="9"/>
      <c r="I5" s="55">
        <v>-1000</v>
      </c>
      <c r="J5" s="21">
        <f t="shared" si="0"/>
        <v>38300</v>
      </c>
      <c r="K5" s="8" t="s">
        <v>152</v>
      </c>
      <c r="L5" s="9">
        <v>7700</v>
      </c>
      <c r="M5" s="9"/>
      <c r="N5" s="55">
        <v>1000</v>
      </c>
      <c r="O5" s="21">
        <f t="shared" si="1"/>
        <v>31700</v>
      </c>
      <c r="P5" s="8"/>
      <c r="Q5" s="9"/>
      <c r="R5" s="9"/>
      <c r="S5" s="55"/>
      <c r="T5" s="21">
        <f t="shared" si="2"/>
        <v>35000</v>
      </c>
      <c r="U5" s="60">
        <f>IF($J5="","",ROUND(($J5-$J$3)/1000,1)+(_xlfn.RANK.AVG($J5,($J5,$O5,$T5),1)-2)*20)</f>
        <v>23.3</v>
      </c>
      <c r="V5" s="61">
        <f>IF($O5="","",ROUND(($O5-$O$3)/1000,1)+(_xlfn.RANK.AVG($O5,($J5,$O5,$T5),1)-2)*20)</f>
        <v>-23.3</v>
      </c>
      <c r="W5" s="62">
        <f>IF($T5="","",ROUND(($T5-$T$3)/1000,1)+(_xlfn.RANK.AVG($T5,($J5,$O5,$T5),1)-2)*20)</f>
        <v>0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30</v>
      </c>
      <c r="AZ5" s="47" t="s">
        <v>147</v>
      </c>
      <c r="BA5" s="48" t="s">
        <v>84</v>
      </c>
      <c r="BB5" s="48" t="s">
        <v>80</v>
      </c>
      <c r="BC5" s="48" t="s">
        <v>153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2</v>
      </c>
      <c r="C6" s="18">
        <f t="shared" si="5"/>
        <v>0</v>
      </c>
      <c r="D6" s="18">
        <f t="shared" si="6"/>
        <v>0</v>
      </c>
      <c r="E6" s="4" t="s">
        <v>158</v>
      </c>
      <c r="F6" s="8" t="s">
        <v>146</v>
      </c>
      <c r="G6" s="9">
        <v>2800</v>
      </c>
      <c r="H6" s="9"/>
      <c r="I6" s="55">
        <v>0</v>
      </c>
      <c r="J6" s="21">
        <f t="shared" si="0"/>
        <v>41100</v>
      </c>
      <c r="K6" s="8" t="s">
        <v>145</v>
      </c>
      <c r="L6" s="9">
        <v>-1700</v>
      </c>
      <c r="M6" s="9"/>
      <c r="N6" s="55">
        <v>0</v>
      </c>
      <c r="O6" s="21">
        <f t="shared" si="1"/>
        <v>30000</v>
      </c>
      <c r="P6" s="8" t="s">
        <v>145</v>
      </c>
      <c r="Q6" s="9">
        <v>-1100</v>
      </c>
      <c r="R6" s="9"/>
      <c r="S6" s="55">
        <v>0</v>
      </c>
      <c r="T6" s="21">
        <f t="shared" si="2"/>
        <v>33900</v>
      </c>
      <c r="U6" s="60">
        <f>IF($J6="","",ROUND(($J6-$J$3)/1000,1)+(_xlfn.RANK.AVG($J6,($J6,$O6,$T6),1)-2)*20)</f>
        <v>26.1</v>
      </c>
      <c r="V6" s="61">
        <f>IF($O6="","",ROUND(($O6-$O$3)/1000,1)+(_xlfn.RANK.AVG($O6,($J6,$O6,$T6),1)-2)*20)</f>
        <v>-25</v>
      </c>
      <c r="W6" s="62">
        <f>IF($T6="","",ROUND(($T6-$T$3)/1000,1)+(_xlfn.RANK.AVG($T6,($J6,$O6,$T6),1)-2)*20)</f>
        <v>-1.1000000000000001</v>
      </c>
      <c r="Y6" s="8"/>
      <c r="Z6" s="41"/>
      <c r="AA6" s="32"/>
      <c r="AB6" s="32"/>
      <c r="AC6" s="32">
        <v>3</v>
      </c>
      <c r="AD6" s="36">
        <v>20</v>
      </c>
      <c r="AE6" s="47" t="s">
        <v>83</v>
      </c>
      <c r="AF6" s="48" t="s">
        <v>84</v>
      </c>
      <c r="AG6" s="48" t="s">
        <v>85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0</v>
      </c>
      <c r="D7" s="18">
        <f t="shared" si="6"/>
        <v>0</v>
      </c>
      <c r="E7" s="4" t="s">
        <v>165</v>
      </c>
      <c r="F7" s="8" t="s">
        <v>145</v>
      </c>
      <c r="G7" s="9">
        <v>-3000</v>
      </c>
      <c r="H7" s="9"/>
      <c r="I7" s="55">
        <v>0</v>
      </c>
      <c r="J7" s="21">
        <f t="shared" si="0"/>
        <v>38100</v>
      </c>
      <c r="K7" s="8" t="s">
        <v>146</v>
      </c>
      <c r="L7" s="9">
        <v>8000</v>
      </c>
      <c r="M7" s="9"/>
      <c r="N7" s="55">
        <v>0</v>
      </c>
      <c r="O7" s="21">
        <f t="shared" si="1"/>
        <v>38000</v>
      </c>
      <c r="P7" s="8" t="s">
        <v>145</v>
      </c>
      <c r="Q7" s="9">
        <v>-5000</v>
      </c>
      <c r="R7" s="9"/>
      <c r="S7" s="55">
        <v>0</v>
      </c>
      <c r="T7" s="21">
        <f t="shared" si="2"/>
        <v>28900</v>
      </c>
      <c r="U7" s="60">
        <f>IF($J7="","",ROUND(($J7-$J$3)/1000,1)+(_xlfn.RANK.AVG($J7,($J7,$O7,$T7),1)-2)*20)</f>
        <v>23.1</v>
      </c>
      <c r="V7" s="61">
        <f>IF($O7="","",ROUND(($O7-$O$3)/1000,1)+(_xlfn.RANK.AVG($O7,($J7,$O7,$T7),1)-2)*20)</f>
        <v>3</v>
      </c>
      <c r="W7" s="62">
        <f>IF($T7="","",ROUND(($T7-$T$3)/1000,1)+(_xlfn.RANK.AVG($T7,($J7,$O7,$T7),1)-2)*20)</f>
        <v>-26.1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4</v>
      </c>
      <c r="AY7" s="36">
        <v>40</v>
      </c>
      <c r="AZ7" s="47" t="s">
        <v>80</v>
      </c>
      <c r="BA7" s="48" t="s">
        <v>80</v>
      </c>
      <c r="BB7" s="48" t="s">
        <v>80</v>
      </c>
      <c r="BC7" s="48" t="s">
        <v>87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0</v>
      </c>
      <c r="D8" s="18">
        <f t="shared" si="6"/>
        <v>0</v>
      </c>
      <c r="E8" s="4" t="s">
        <v>141</v>
      </c>
      <c r="F8" s="8" t="s">
        <v>152</v>
      </c>
      <c r="G8" s="9">
        <v>2900</v>
      </c>
      <c r="H8" s="9"/>
      <c r="I8" s="55">
        <v>0</v>
      </c>
      <c r="J8" s="21">
        <f t="shared" si="0"/>
        <v>41000</v>
      </c>
      <c r="K8" s="8"/>
      <c r="L8" s="9"/>
      <c r="M8" s="9"/>
      <c r="N8" s="55"/>
      <c r="O8" s="21">
        <f t="shared" si="1"/>
        <v>38000</v>
      </c>
      <c r="P8" s="8" t="s">
        <v>151</v>
      </c>
      <c r="Q8" s="9">
        <v>-2900</v>
      </c>
      <c r="R8" s="9"/>
      <c r="S8" s="55">
        <v>0</v>
      </c>
      <c r="T8" s="21">
        <f t="shared" si="2"/>
        <v>26000</v>
      </c>
      <c r="U8" s="60">
        <f>IF($J8="","",ROUND(($J8-$J$3)/1000,1)+(_xlfn.RANK.AVG($J8,($J8,$O8,$T8),1)-2)*20)</f>
        <v>26</v>
      </c>
      <c r="V8" s="61">
        <f>IF($O8="","",ROUND(($O8-$O$3)/1000,1)+(_xlfn.RANK.AVG($O8,($J8,$O8,$T8),1)-2)*20)</f>
        <v>3</v>
      </c>
      <c r="W8" s="62">
        <f>IF($T8="","",ROUND(($T8-$T$3)/1000,1)+(_xlfn.RANK.AVG($T8,($J8,$O8,$T8),1)-2)*20)</f>
        <v>-29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153</v>
      </c>
      <c r="AF8" s="48" t="s">
        <v>87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4"/>
        <v>1</v>
      </c>
      <c r="C9" s="18">
        <f t="shared" si="5"/>
        <v>1</v>
      </c>
      <c r="D9" s="18">
        <f t="shared" si="6"/>
        <v>0</v>
      </c>
      <c r="E9" s="4" t="s">
        <v>141</v>
      </c>
      <c r="F9" s="8" t="s">
        <v>145</v>
      </c>
      <c r="G9" s="9">
        <v>-5000</v>
      </c>
      <c r="H9" s="9"/>
      <c r="I9" s="55">
        <v>-500</v>
      </c>
      <c r="J9" s="21">
        <f t="shared" si="0"/>
        <v>35500</v>
      </c>
      <c r="K9" s="8" t="s">
        <v>145</v>
      </c>
      <c r="L9" s="9">
        <v>-3000</v>
      </c>
      <c r="M9" s="9"/>
      <c r="N9" s="55">
        <v>-500</v>
      </c>
      <c r="O9" s="21">
        <f t="shared" si="1"/>
        <v>34500</v>
      </c>
      <c r="P9" s="8" t="s">
        <v>146</v>
      </c>
      <c r="Q9" s="9">
        <v>8000</v>
      </c>
      <c r="R9" s="9"/>
      <c r="S9" s="55">
        <v>1000</v>
      </c>
      <c r="T9" s="21">
        <f t="shared" si="2"/>
        <v>35000</v>
      </c>
      <c r="U9" s="60">
        <f>IF($J9="","",ROUND(($J9-$J$3)/1000,1)+(_xlfn.RANK.AVG($J9,($J9,$O9,$T9),1)-2)*20)</f>
        <v>20.5</v>
      </c>
      <c r="V9" s="61">
        <f>IF($O9="","",ROUND(($O9-$O$3)/1000,1)+(_xlfn.RANK.AVG($O9,($J9,$O9,$T9),1)-2)*20)</f>
        <v>-20.5</v>
      </c>
      <c r="W9" s="62">
        <f>IF($T9="","",ROUND(($T9-$T$3)/1000,1)+(_xlfn.RANK.AVG($T9,($J9,$O9,$T9),1)-2)*20)</f>
        <v>0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40</v>
      </c>
      <c r="BU9" s="47" t="s">
        <v>147</v>
      </c>
      <c r="BV9" s="48" t="s">
        <v>83</v>
      </c>
      <c r="BW9" s="48" t="s">
        <v>154</v>
      </c>
      <c r="BX9" s="48" t="s">
        <v>90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4"/>
        <v>2</v>
      </c>
      <c r="C10" s="18">
        <f t="shared" si="5"/>
        <v>0</v>
      </c>
      <c r="D10" s="18">
        <f t="shared" si="6"/>
        <v>0</v>
      </c>
      <c r="E10" s="4" t="s">
        <v>158</v>
      </c>
      <c r="F10" s="8" t="s">
        <v>145</v>
      </c>
      <c r="G10" s="9">
        <v>-9000</v>
      </c>
      <c r="H10" s="9"/>
      <c r="I10" s="55">
        <v>0</v>
      </c>
      <c r="J10" s="21">
        <f t="shared" si="0"/>
        <v>26500</v>
      </c>
      <c r="K10" s="8" t="s">
        <v>146</v>
      </c>
      <c r="L10" s="9">
        <v>18000</v>
      </c>
      <c r="M10" s="9"/>
      <c r="N10" s="55">
        <v>0</v>
      </c>
      <c r="O10" s="21">
        <f t="shared" si="1"/>
        <v>52500</v>
      </c>
      <c r="P10" s="8" t="s">
        <v>145</v>
      </c>
      <c r="Q10" s="9">
        <v>-9000</v>
      </c>
      <c r="R10" s="9"/>
      <c r="S10" s="55">
        <v>0</v>
      </c>
      <c r="T10" s="21">
        <f t="shared" si="2"/>
        <v>26000</v>
      </c>
      <c r="U10" s="60">
        <f>IF($J10="","",ROUND(($J10-$J$3)/1000,1)+(_xlfn.RANK.AVG($J10,($J10,$O10,$T10),1)-2)*20)</f>
        <v>-8.5</v>
      </c>
      <c r="V10" s="61">
        <f>IF($O10="","",ROUND(($O10-$O$3)/1000,1)+(_xlfn.RANK.AVG($O10,($J10,$O10,$T10),1)-2)*20)</f>
        <v>37.5</v>
      </c>
      <c r="W10" s="62">
        <f>IF($T10="","",ROUND(($T10-$T$3)/1000,1)+(_xlfn.RANK.AVG($T10,($J10,$O10,$T10),1)-2)*20)</f>
        <v>-29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7</v>
      </c>
      <c r="AY10" s="36" t="s">
        <v>162</v>
      </c>
      <c r="AZ10" s="47" t="s">
        <v>147</v>
      </c>
      <c r="BA10" s="48" t="s">
        <v>83</v>
      </c>
      <c r="BB10" s="48" t="s">
        <v>90</v>
      </c>
      <c r="BC10" s="48" t="s">
        <v>87</v>
      </c>
      <c r="BD10" s="48" t="s">
        <v>81</v>
      </c>
      <c r="BE10" s="48" t="s">
        <v>97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4"/>
        <v>2</v>
      </c>
      <c r="C11" s="18">
        <f t="shared" si="5"/>
        <v>1</v>
      </c>
      <c r="D11" s="18">
        <f t="shared" si="6"/>
        <v>0</v>
      </c>
      <c r="E11" s="4" t="s">
        <v>158</v>
      </c>
      <c r="F11" s="8"/>
      <c r="G11" s="9"/>
      <c r="H11" s="9"/>
      <c r="I11" s="55"/>
      <c r="J11" s="21">
        <f t="shared" si="0"/>
        <v>26500</v>
      </c>
      <c r="K11" s="8" t="s">
        <v>152</v>
      </c>
      <c r="L11" s="9">
        <v>2000</v>
      </c>
      <c r="M11" s="9"/>
      <c r="N11" s="55">
        <v>1000</v>
      </c>
      <c r="O11" s="21">
        <f t="shared" si="1"/>
        <v>55500</v>
      </c>
      <c r="P11" s="8" t="s">
        <v>151</v>
      </c>
      <c r="Q11" s="9">
        <v>-2000</v>
      </c>
      <c r="R11" s="9"/>
      <c r="S11" s="55">
        <v>-1000</v>
      </c>
      <c r="T11" s="21">
        <f t="shared" si="2"/>
        <v>23000</v>
      </c>
      <c r="U11" s="60">
        <f>IF($J11="","",ROUND(($J11-$J$3)/1000,1)+(_xlfn.RANK.AVG($J11,($J11,$O11,$T11),1)-2)*20)</f>
        <v>-8.5</v>
      </c>
      <c r="V11" s="61">
        <f>IF($O11="","",ROUND(($O11-$O$3)/1000,1)+(_xlfn.RANK.AVG($O11,($J11,$O11,$T11),1)-2)*20)</f>
        <v>40.5</v>
      </c>
      <c r="W11" s="62">
        <f>IF($T11="","",ROUND(($T11-$T$3)/1000,1)+(_xlfn.RANK.AVG($T11,($J11,$O11,$T11),1)-2)*20)</f>
        <v>-32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1</v>
      </c>
      <c r="AY11" s="36">
        <v>40</v>
      </c>
      <c r="AZ11" s="47" t="s">
        <v>85</v>
      </c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4"/>
        <v>2</v>
      </c>
      <c r="C12" s="18">
        <f t="shared" si="5"/>
        <v>2</v>
      </c>
      <c r="D12" s="18">
        <f t="shared" si="6"/>
        <v>0</v>
      </c>
      <c r="E12" s="4" t="s">
        <v>158</v>
      </c>
      <c r="F12" s="8"/>
      <c r="G12" s="9"/>
      <c r="H12" s="9"/>
      <c r="I12" s="55"/>
      <c r="J12" s="21">
        <f t="shared" si="0"/>
        <v>26500</v>
      </c>
      <c r="K12" s="8" t="s">
        <v>151</v>
      </c>
      <c r="L12" s="9">
        <v>-3900</v>
      </c>
      <c r="M12" s="9"/>
      <c r="N12" s="55">
        <v>-2000</v>
      </c>
      <c r="O12" s="21">
        <f t="shared" si="1"/>
        <v>49600</v>
      </c>
      <c r="P12" s="8" t="s">
        <v>152</v>
      </c>
      <c r="Q12" s="9">
        <v>3900</v>
      </c>
      <c r="R12" s="9"/>
      <c r="S12" s="55">
        <v>2000</v>
      </c>
      <c r="T12" s="21">
        <f t="shared" si="2"/>
        <v>28900</v>
      </c>
      <c r="U12" s="60">
        <f>IF($J12="","",ROUND(($J12-$J$3)/1000,1)+(_xlfn.RANK.AVG($J12,($J12,$O12,$T12),1)-2)*20)</f>
        <v>-28.5</v>
      </c>
      <c r="V12" s="61">
        <f>IF($O12="","",ROUND(($O12-$O$3)/1000,1)+(_xlfn.RANK.AVG($O12,($J12,$O12,$T12),1)-2)*20)</f>
        <v>34.6</v>
      </c>
      <c r="W12" s="62">
        <f>IF($T12="","",ROUND(($T12-$T$3)/1000,1)+(_xlfn.RANK.AVG($T12,($J12,$O12,$T12),1)-2)*20)</f>
        <v>-6.1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3</v>
      </c>
      <c r="BT12" s="36">
        <v>30</v>
      </c>
      <c r="BU12" s="47" t="s">
        <v>105</v>
      </c>
      <c r="BV12" s="48" t="s">
        <v>87</v>
      </c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4"/>
        <v>3</v>
      </c>
      <c r="C13" s="18">
        <f t="shared" si="5"/>
        <v>0</v>
      </c>
      <c r="D13" s="18">
        <f t="shared" si="6"/>
        <v>0</v>
      </c>
      <c r="E13" s="4" t="s">
        <v>165</v>
      </c>
      <c r="F13" s="8"/>
      <c r="G13" s="9"/>
      <c r="H13" s="9"/>
      <c r="I13" s="55"/>
      <c r="J13" s="21">
        <f t="shared" si="0"/>
        <v>26500</v>
      </c>
      <c r="K13" s="8" t="s">
        <v>151</v>
      </c>
      <c r="L13" s="9">
        <v>-18000</v>
      </c>
      <c r="M13" s="9"/>
      <c r="N13" s="55">
        <v>0</v>
      </c>
      <c r="O13" s="21">
        <f t="shared" si="1"/>
        <v>31600</v>
      </c>
      <c r="P13" s="8" t="s">
        <v>152</v>
      </c>
      <c r="Q13" s="9">
        <v>18000</v>
      </c>
      <c r="R13" s="9"/>
      <c r="S13" s="55">
        <v>0</v>
      </c>
      <c r="T13" s="21">
        <f t="shared" si="2"/>
        <v>46900</v>
      </c>
      <c r="U13" s="60">
        <f>IF($J13="","",ROUND(($J13-$J$3)/1000,1)+(_xlfn.RANK.AVG($J13,($J13,$O13,$T13),1)-2)*20)</f>
        <v>-28.5</v>
      </c>
      <c r="V13" s="61">
        <f>IF($O13="","",ROUND(($O13-$O$3)/1000,1)+(_xlfn.RANK.AVG($O13,($J13,$O13,$T13),1)-2)*20)</f>
        <v>-3.4</v>
      </c>
      <c r="W13" s="62">
        <f>IF($T13="","",ROUND(($T13-$T$3)/1000,1)+(_xlfn.RANK.AVG($T13,($J13,$O13,$T13),1)-2)*20)</f>
        <v>31.9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6</v>
      </c>
      <c r="BT13" s="36" t="s">
        <v>162</v>
      </c>
      <c r="BU13" s="47" t="s">
        <v>147</v>
      </c>
      <c r="BV13" s="48" t="s">
        <v>84</v>
      </c>
      <c r="BW13" s="48" t="s">
        <v>80</v>
      </c>
      <c r="BX13" s="48" t="s">
        <v>80</v>
      </c>
      <c r="BY13" s="48" t="s">
        <v>81</v>
      </c>
      <c r="BZ13" s="48" t="s">
        <v>81</v>
      </c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55"/>
      <c r="J14" s="21" t="str">
        <f t="shared" si="0"/>
        <v/>
      </c>
      <c r="K14" s="8"/>
      <c r="L14" s="9"/>
      <c r="M14" s="9"/>
      <c r="N14" s="55"/>
      <c r="O14" s="21" t="str">
        <f t="shared" si="1"/>
        <v/>
      </c>
      <c r="P14" s="8"/>
      <c r="Q14" s="9"/>
      <c r="R14" s="9"/>
      <c r="S14" s="55"/>
      <c r="T14" s="21" t="str">
        <f t="shared" si="2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55"/>
      <c r="J15" s="21" t="str">
        <f t="shared" si="0"/>
        <v/>
      </c>
      <c r="K15" s="8"/>
      <c r="L15" s="9"/>
      <c r="M15" s="9"/>
      <c r="N15" s="55"/>
      <c r="O15" s="21" t="str">
        <f t="shared" si="1"/>
        <v/>
      </c>
      <c r="P15" s="8"/>
      <c r="Q15" s="9"/>
      <c r="R15" s="9"/>
      <c r="S15" s="55"/>
      <c r="T15" s="21" t="str">
        <f t="shared" si="2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55"/>
      <c r="J16" s="21" t="str">
        <f t="shared" si="0"/>
        <v/>
      </c>
      <c r="K16" s="8"/>
      <c r="L16" s="9"/>
      <c r="M16" s="9"/>
      <c r="N16" s="55"/>
      <c r="O16" s="21" t="str">
        <f t="shared" si="1"/>
        <v/>
      </c>
      <c r="P16" s="8"/>
      <c r="Q16" s="9"/>
      <c r="R16" s="9"/>
      <c r="S16" s="55"/>
      <c r="T16" s="21" t="str">
        <f t="shared" si="2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19BFAF4-901F-4F42-8F0E-F132AED0F0B2}">
      <formula1>$U$2:$W$2</formula1>
    </dataValidation>
    <dataValidation type="list" showInputMessage="1" showErrorMessage="1" sqref="K4:K30 P4:P30 F4:F30" xr:uid="{604ECFA7-64F9-47B1-A38E-24E1A74E303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2019-04-05T17:35:51Z</dcterms:modified>
</cp:coreProperties>
</file>