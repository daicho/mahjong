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7159363E-02C5-47E1-BAD9-BA689EBEF034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D11" i="22"/>
  <c r="C11" i="22"/>
  <c r="D10" i="22"/>
  <c r="C10" i="22"/>
  <c r="D9" i="22"/>
  <c r="C9" i="22"/>
  <c r="D8" i="22"/>
  <c r="C8" i="22"/>
  <c r="D7" i="22"/>
  <c r="C7" i="22"/>
  <c r="D6" i="22"/>
  <c r="C6" i="22"/>
  <c r="O5" i="22"/>
  <c r="D5" i="22"/>
  <c r="C5" i="22"/>
  <c r="B5" i="22"/>
  <c r="B6" i="22" s="1"/>
  <c r="T4" i="22"/>
  <c r="W4" i="22" s="1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D11" i="21"/>
  <c r="C11" i="21"/>
  <c r="D10" i="21"/>
  <c r="C10" i="21"/>
  <c r="D9" i="21"/>
  <c r="D8" i="21"/>
  <c r="D7" i="21"/>
  <c r="C7" i="21"/>
  <c r="C8" i="21" s="1"/>
  <c r="C9" i="21" s="1"/>
  <c r="D6" i="21"/>
  <c r="C6" i="21"/>
  <c r="T5" i="21"/>
  <c r="T6" i="21" s="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A5" i="22" l="1"/>
  <c r="U4" i="22"/>
  <c r="A6" i="22"/>
  <c r="B7" i="22"/>
  <c r="V4" i="22"/>
  <c r="T5" i="22"/>
  <c r="O6" i="22"/>
  <c r="J5" i="22"/>
  <c r="V4" i="21"/>
  <c r="W4" i="21"/>
  <c r="T7" i="21"/>
  <c r="B6" i="21"/>
  <c r="A6" i="21" s="1"/>
  <c r="J5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8" i="20"/>
  <c r="D9" i="20" s="1"/>
  <c r="C8" i="20"/>
  <c r="C9" i="20" s="1"/>
  <c r="D7" i="20"/>
  <c r="C7" i="20"/>
  <c r="D6" i="20"/>
  <c r="C6" i="20"/>
  <c r="O5" i="20"/>
  <c r="O6" i="20" s="1"/>
  <c r="J5" i="20"/>
  <c r="D5" i="20"/>
  <c r="C5" i="20"/>
  <c r="B5" i="20"/>
  <c r="B6" i="20" s="1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V5" i="22" l="1"/>
  <c r="U5" i="22"/>
  <c r="J6" i="22"/>
  <c r="W5" i="22"/>
  <c r="T6" i="22"/>
  <c r="B8" i="22"/>
  <c r="O7" i="22"/>
  <c r="A7" i="22"/>
  <c r="V5" i="21"/>
  <c r="O6" i="21"/>
  <c r="W5" i="21"/>
  <c r="U5" i="21"/>
  <c r="J6" i="21"/>
  <c r="B7" i="21"/>
  <c r="A7" i="21" s="1"/>
  <c r="T8" i="21"/>
  <c r="V4" i="20"/>
  <c r="W4" i="20"/>
  <c r="B7" i="20"/>
  <c r="O7" i="20"/>
  <c r="T5" i="20"/>
  <c r="V5" i="20" s="1"/>
  <c r="J6" i="20"/>
  <c r="U4" i="20"/>
  <c r="U5" i="20"/>
  <c r="A6" i="20"/>
  <c r="A8" i="22" l="1"/>
  <c r="U6" i="22"/>
  <c r="J7" i="22"/>
  <c r="V7" i="22" s="1"/>
  <c r="O8" i="22"/>
  <c r="W6" i="22"/>
  <c r="T7" i="22"/>
  <c r="V6" i="22"/>
  <c r="B9" i="22"/>
  <c r="A9" i="22" s="1"/>
  <c r="V6" i="21"/>
  <c r="O7" i="21"/>
  <c r="T9" i="21"/>
  <c r="B8" i="21"/>
  <c r="A8" i="21" s="1"/>
  <c r="U6" i="21"/>
  <c r="J7" i="21"/>
  <c r="W6" i="21"/>
  <c r="J7" i="20"/>
  <c r="B8" i="20"/>
  <c r="A8" i="20" s="1"/>
  <c r="T6" i="20"/>
  <c r="U6" i="20" s="1"/>
  <c r="W5" i="20"/>
  <c r="A7" i="20"/>
  <c r="O8" i="20"/>
  <c r="B10" i="22" l="1"/>
  <c r="A10" i="22" s="1"/>
  <c r="U7" i="22"/>
  <c r="J8" i="22"/>
  <c r="V8" i="22" s="1"/>
  <c r="W7" i="22"/>
  <c r="T8" i="22"/>
  <c r="O9" i="22"/>
  <c r="J8" i="21"/>
  <c r="U7" i="21"/>
  <c r="W7" i="21"/>
  <c r="T10" i="21"/>
  <c r="V7" i="21"/>
  <c r="O8" i="21"/>
  <c r="B9" i="21"/>
  <c r="J8" i="20"/>
  <c r="O9" i="20"/>
  <c r="W6" i="20"/>
  <c r="T7" i="20"/>
  <c r="V6" i="20"/>
  <c r="B9" i="20"/>
  <c r="O10" i="22" l="1"/>
  <c r="W8" i="22"/>
  <c r="T9" i="22"/>
  <c r="U8" i="22"/>
  <c r="J9" i="22"/>
  <c r="V9" i="22" s="1"/>
  <c r="B11" i="22"/>
  <c r="A11" i="22" s="1"/>
  <c r="B10" i="21"/>
  <c r="A10" i="21" s="1"/>
  <c r="U8" i="21"/>
  <c r="J9" i="21"/>
  <c r="W8" i="21"/>
  <c r="A9" i="21"/>
  <c r="T11" i="21"/>
  <c r="V8" i="21"/>
  <c r="O9" i="21"/>
  <c r="B10" i="20"/>
  <c r="A10" i="20" s="1"/>
  <c r="T8" i="20"/>
  <c r="W7" i="20"/>
  <c r="V7" i="20"/>
  <c r="O10" i="20"/>
  <c r="J9" i="20"/>
  <c r="A9" i="20"/>
  <c r="U7" i="20"/>
  <c r="W9" i="22" l="1"/>
  <c r="T10" i="22"/>
  <c r="O11" i="22"/>
  <c r="U9" i="22"/>
  <c r="J10" i="22"/>
  <c r="V10" i="22" s="1"/>
  <c r="U9" i="21"/>
  <c r="J10" i="21"/>
  <c r="W9" i="21"/>
  <c r="V9" i="21"/>
  <c r="O10" i="21"/>
  <c r="B11" i="21"/>
  <c r="A11" i="21" s="1"/>
  <c r="W8" i="20"/>
  <c r="T9" i="20"/>
  <c r="V8" i="20"/>
  <c r="U8" i="20"/>
  <c r="U9" i="20"/>
  <c r="J10" i="20"/>
  <c r="O11" i="20"/>
  <c r="B11" i="20"/>
  <c r="A11" i="20" s="1"/>
  <c r="U10" i="22" l="1"/>
  <c r="J11" i="22"/>
  <c r="W10" i="22"/>
  <c r="T11" i="22"/>
  <c r="W11" i="22" s="1"/>
  <c r="U10" i="21"/>
  <c r="J11" i="21"/>
  <c r="W10" i="21"/>
  <c r="O11" i="21"/>
  <c r="V10" i="21"/>
  <c r="U10" i="20"/>
  <c r="J11" i="20"/>
  <c r="W9" i="20"/>
  <c r="T10" i="20"/>
  <c r="V9" i="20"/>
  <c r="V11" i="22" l="1"/>
  <c r="U11" i="22"/>
  <c r="V11" i="21"/>
  <c r="U11" i="21"/>
  <c r="W11" i="21"/>
  <c r="V11" i="20"/>
  <c r="W10" i="20"/>
  <c r="T11" i="20"/>
  <c r="V10" i="20"/>
  <c r="W11" i="20" l="1"/>
  <c r="U11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1" i="19" l="1"/>
  <c r="W11" i="19"/>
  <c r="V10" i="19"/>
  <c r="W10" i="19"/>
  <c r="W9" i="19"/>
  <c r="V8" i="19"/>
  <c r="W8" i="19"/>
  <c r="U8" i="19"/>
  <c r="W7" i="19"/>
  <c r="V6" i="19"/>
  <c r="U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<sst xmlns="http://schemas.openxmlformats.org/spreadsheetml/2006/main" count="896" uniqueCount="210">
  <si>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</si>
  <si>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</si>
  <si>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</si>
  <si>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</si>
  <si>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</si>
  <si>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</si>
  <si>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</si>
  <si>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</si>
  <si>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</si>
  <si>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</si>
  <si>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</si>
  <si>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</si>
  <si>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</si>
  <si>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</si>
  <si>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</si>
  <si>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</si>
  <si>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</si>
  <si>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</si>
  <si>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</si>
  <si>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</si>
  <si>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</si>
  <si>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</si>
  <si>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</si>
  <si>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</si>
  <si>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</si>
  <si>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</si>
  <si>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</si>
  <si>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</si>
  <si>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</si>
  <si>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</si>
  <si>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</si>
  <si>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</si>
  <si>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</si>
  <si>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</si>
  <si>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</si>
  <si>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</si>
  <si>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</si>
  <si>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</si>
  <si>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</si>
  <si>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</si>
  <si>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</si>
  <si>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</si>
  <si>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</si>
  <si>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</si>
  <si>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</si>
  <si>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</si>
  <si>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</si>
  <si>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</si>
  <si>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</si>
  <si>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</si>
  <si>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</si>
  <si>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</si>
  <si>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</si>
  <si>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</si>
  <si>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</si>
  <si>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</si>
  <si>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</si>
  <si>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</si>
  <si>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</si>
  <si>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</si>
  <si>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</si>
  <si>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</si>
  <si>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</si>
  <si>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</si>
  <si>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</si>
  <si>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</si>
  <si>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</si>
  <si>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</si>
  <si>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</si>
  <si>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</si>
  <si>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</si>
  <si>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</si>
  <si>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</si>
  <si>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</si>
  <si>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</si>
  <si>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</si>
  <si>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</si>
  <si>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</si>
  <si>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</si>
  <si>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</si>
  <si>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</si>
  <si>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</si>
  <si>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</si>
  <si>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</si>
  <si>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</si>
  <si>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</si>
  <si>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</si>
  <si>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</si>
  <si>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</si>
  <si>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</si>
  <si>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</si>
  <si>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</si>
  <si>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</si>
  <si>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</si>
  <si>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</si>
  <si>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</si>
  <si>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</si>
  <si>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</si>
  <si>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</si>
  <si>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</si>
  <si>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</si>
  <si>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</si>
  <si>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</si>
  <si>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</si>
  <si>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</si>
  <si>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</si>
  <si>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</si>
  <si>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</si>
  <si>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</si>
  <si>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</si>
  <si>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</si>
  <si>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</si>
  <si>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</si>
  <si>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</si>
  <si>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</si>
  <si>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</si>
  <si>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</si>
  <si>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</si>
  <si>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</si>
  <si>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</si>
  <si>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</si>
  <si>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</si>
  <si>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</si>
  <si>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</si>
  <si>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</si>
  <si>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</si>
  <si>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</si>
  <si>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</si>
  <si>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</si>
  <si>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</si>
  <si>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</si>
  <si>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</si>
  <si>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</si>
  <si>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</si>
  <si>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</si>
  <si>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</si>
  <si>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</si>
  <si>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</si>
  <si>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</si>
  <si>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</si>
  <si>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</si>
  <si>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</si>
  <si>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</si>
  <si>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</si>
  <si>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</si>
  <si>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</si>
  <si>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</si>
  <si>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</si>
  <si>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</si>
  <si>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</si>
  <si>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</si>
  <si>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</si>
  <si>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</si>
  <si>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</si>
  <si>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</si>
  <si>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</si>
  <si>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</si>
  <si>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</si>
  <si>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</si>
  <si>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</si>
  <si>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</si>
  <si>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</si>
  <si>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</si>
  <si>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</si>
  <si>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</si>
  <si>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</si>
  <si>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</si>
  <si>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</si>
  <si>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</si>
  <si>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</si>
  <si>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</si>
  <si>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</si>
  <si>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</si>
  <si>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</si>
  <si>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</si>
  <si>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</si>
  <si>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</si>
  <si>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</si>
  <si>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</si>
  <si>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</si>
  <si>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</si>
  <si>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</si>
  <si>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</si>
  <si>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</si>
  <si>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</si>
  <si>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</si>
  <si>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</si>
  <si>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</si>
  <si>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</si>
  <si>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</si>
  <si>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</si>
  <si>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</si>
  <si>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だいち</t>
  </si>
  <si>
    <t>ただ</t>
  </si>
  <si>
    <t>T</t>
  </si>
  <si>
    <t>N</t>
  </si>
  <si>
    <t>流局</t>
    <phoneticPr fontId="1"/>
  </si>
  <si>
    <t>ツモ</t>
  </si>
  <si>
    <t>ツモ支払</t>
  </si>
  <si>
    <t>52</t>
  </si>
  <si>
    <t>ロン</t>
  </si>
  <si>
    <t>放銃</t>
  </si>
  <si>
    <t>01</t>
  </si>
  <si>
    <t>02</t>
  </si>
  <si>
    <t>まっつん</t>
  </si>
  <si>
    <t>ほたに</t>
  </si>
  <si>
    <t>*</t>
  </si>
  <si>
    <t>れんたろう</t>
  </si>
  <si>
    <t>流局</t>
    <phoneticPr fontId="1"/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</si>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</sst>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21.5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196</v>
      </c>
      <c r="G5" s="9">
        <v>-1500</v>
      </c>
      <c r="H5" s="9"/>
      <c r="I5" s="48"/>
      <c r="J5" s="21">
        <f t="shared" ref="J5:J30" si="2">IF(COUNTA($F5,$K5,$P5)&gt;0,J4+SUM(G5:I5),"")</f>
        <v>34000</v>
      </c>
      <c r="K5" s="8" t="s">
        <v>196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196</v>
      </c>
      <c r="Q5" s="9">
        <v>3000</v>
      </c>
      <c r="R5" s="9"/>
      <c r="S5" s="48"/>
      <c r="T5" s="21">
        <f t="shared" ref="T5:T30" si="4">IF(COUNTA($F5,$K5,$P5)&gt;0,T4+SUM(Q5:S5),"")</f>
        <v>39500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-24.5</v>
      </c>
      <c r="W5" s="55">
        <f>IF($T5="","",ROUND(($T5-$T$3)/1000,1)+(_xlfn.RANK.AVG($T5,($J5,$O5,$T5),1)-2)*20)</f>
        <v>24.5</v>
      </c>
      <c r="Y5" s="8" t="s">
        <v>195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193</v>
      </c>
      <c r="F6" s="8" t="s">
        <v>197</v>
      </c>
      <c r="G6" s="9">
        <v>2100</v>
      </c>
      <c r="H6" s="9">
        <v>2000</v>
      </c>
      <c r="I6" s="48">
        <v>2000</v>
      </c>
      <c r="J6" s="21">
        <f t="shared" si="2"/>
        <v>40100</v>
      </c>
      <c r="K6" s="8" t="s">
        <v>198</v>
      </c>
      <c r="L6" s="9">
        <v>-800</v>
      </c>
      <c r="M6" s="9"/>
      <c r="N6" s="48">
        <v>-1000</v>
      </c>
      <c r="O6" s="21">
        <f t="shared" si="3"/>
        <v>28700</v>
      </c>
      <c r="P6" s="8" t="s">
        <v>198</v>
      </c>
      <c r="Q6" s="9">
        <v>-1300</v>
      </c>
      <c r="R6" s="9">
        <v>-1000</v>
      </c>
      <c r="S6" s="48">
        <v>-1000</v>
      </c>
      <c r="T6" s="21">
        <f t="shared" si="4"/>
        <v>36200</v>
      </c>
      <c r="U6" s="53">
        <f>IF($J6="","",ROUND(($J6-$J$3)/1000,1)+(_xlfn.RANK.AVG($J6,($J6,$O6,$T6),1)-2)*20)</f>
        <v>25.1</v>
      </c>
      <c r="V6" s="54">
        <f>IF($O6="","",ROUND(($O6-$O$3)/1000,1)+(_xlfn.RANK.AVG($O6,($J6,$O6,$T6),1)-2)*20)</f>
        <v>-26.3</v>
      </c>
      <c r="W6" s="55">
        <f>IF($T6="","",ROUND(($T6-$T$3)/1000,1)+(_xlfn.RANK.AVG($T6,($J6,$O6,$T6),1)-2)*20)</f>
        <v>1.2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199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-5000</v>
      </c>
      <c r="H7" s="9"/>
      <c r="I7" s="48">
        <v>0</v>
      </c>
      <c r="J7" s="21">
        <f t="shared" si="2"/>
        <v>35100</v>
      </c>
      <c r="K7" s="8" t="s">
        <v>197</v>
      </c>
      <c r="L7" s="9">
        <v>8000</v>
      </c>
      <c r="M7" s="9"/>
      <c r="N7" s="48">
        <v>0</v>
      </c>
      <c r="O7" s="21">
        <f t="shared" si="3"/>
        <v>36700</v>
      </c>
      <c r="P7" s="8" t="s">
        <v>198</v>
      </c>
      <c r="Q7" s="9">
        <v>-3000</v>
      </c>
      <c r="R7" s="9"/>
      <c r="S7" s="48">
        <v>0</v>
      </c>
      <c r="T7" s="21">
        <f t="shared" si="4"/>
        <v>33200</v>
      </c>
      <c r="U7" s="53">
        <f>IF($J7="","",ROUND(($J7-$J$3)/1000,1)+(_xlfn.RANK.AVG($J7,($J7,$O7,$T7),1)-2)*20)</f>
        <v>0.1</v>
      </c>
      <c r="V7" s="54">
        <f>IF($O7="","",ROUND(($O7-$O$3)/1000,1)+(_xlfn.RANK.AVG($O7,($J7,$O7,$T7),1)-2)*20)</f>
        <v>21.7</v>
      </c>
      <c r="W7" s="55">
        <f>IF($T7="","",ROUND(($T7-$T$3)/1000,1)+(_xlfn.RANK.AVG($T7,($J7,$O7,$T7),1)-2)*20)</f>
        <v>-21.8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104</v>
      </c>
      <c r="BA7" s="41" t="s">
        <v>199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196</v>
      </c>
      <c r="G8" s="9">
        <v>0</v>
      </c>
      <c r="H8" s="9"/>
      <c r="I8" s="48"/>
      <c r="J8" s="21">
        <f t="shared" si="2"/>
        <v>35100</v>
      </c>
      <c r="K8" s="8" t="s">
        <v>196</v>
      </c>
      <c r="L8" s="9">
        <v>0</v>
      </c>
      <c r="M8" s="9"/>
      <c r="N8" s="48"/>
      <c r="O8" s="21">
        <f t="shared" si="3"/>
        <v>36700</v>
      </c>
      <c r="P8" s="8" t="s">
        <v>196</v>
      </c>
      <c r="Q8" s="9">
        <v>0</v>
      </c>
      <c r="R8" s="9"/>
      <c r="S8" s="48"/>
      <c r="T8" s="21">
        <f t="shared" si="4"/>
        <v>33200</v>
      </c>
      <c r="U8" s="53">
        <f>IF($J8="","",ROUND(($J8-$J$3)/1000,1)+(_xlfn.RANK.AVG($J8,($J8,$O8,$T8),1)-2)*20)</f>
        <v>0.1</v>
      </c>
      <c r="V8" s="54">
        <f>IF($O8="","",ROUND(($O8-$O$3)/1000,1)+(_xlfn.RANK.AVG($O8,($J8,$O8,$T8),1)-2)*20)</f>
        <v>21.7</v>
      </c>
      <c r="W8" s="55">
        <f>IF($T8="","",ROUND(($T8-$T$3)/1000,1)+(_xlfn.RANK.AVG($T8,($J8,$O8,$T8),1)-2)*20)</f>
        <v>-21.8</v>
      </c>
      <c r="Y8" s="8" t="s">
        <v>195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200</v>
      </c>
      <c r="G9" s="9">
        <v>8000</v>
      </c>
      <c r="H9" s="9"/>
      <c r="I9" s="48">
        <v>1000</v>
      </c>
      <c r="J9" s="21">
        <f t="shared" si="2"/>
        <v>44100</v>
      </c>
      <c r="K9" s="8"/>
      <c r="L9" s="9"/>
      <c r="M9" s="9"/>
      <c r="N9" s="48"/>
      <c r="O9" s="21">
        <f t="shared" si="3"/>
        <v>36700</v>
      </c>
      <c r="P9" s="8" t="s">
        <v>201</v>
      </c>
      <c r="Q9" s="9">
        <v>-8000</v>
      </c>
      <c r="R9" s="9"/>
      <c r="S9" s="48">
        <v>-1000</v>
      </c>
      <c r="T9" s="21">
        <f t="shared" si="4"/>
        <v>24200</v>
      </c>
      <c r="U9" s="53">
        <f>IF($J9="","",ROUND(($J9-$J$3)/1000,1)+(_xlfn.RANK.AVG($J9,($J9,$O9,$T9),1)-2)*20)</f>
        <v>29.1</v>
      </c>
      <c r="V9" s="54">
        <f>IF($O9="","",ROUND(($O9-$O$3)/1000,1)+(_xlfn.RANK.AVG($O9,($J9,$O9,$T9),1)-2)*20)</f>
        <v>1.7</v>
      </c>
      <c r="W9" s="55">
        <f>IF($T9="","",ROUND(($T9-$T$3)/1000,1)+(_xlfn.RANK.AVG($T9,($J9,$O9,$T9),1)-2)*20)</f>
        <v>-30.8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202</v>
      </c>
      <c r="AF9" s="41" t="s">
        <v>203</v>
      </c>
      <c r="AG9" s="41" t="s">
        <v>86</v>
      </c>
      <c r="AH9" s="41" t="s">
        <v>84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-4800</v>
      </c>
      <c r="H10" s="9">
        <v>-1000</v>
      </c>
      <c r="I10" s="48">
        <v>0</v>
      </c>
      <c r="J10" s="21">
        <f t="shared" si="2"/>
        <v>38300</v>
      </c>
      <c r="K10" s="8" t="s">
        <v>198</v>
      </c>
      <c r="L10" s="9">
        <v>-2900</v>
      </c>
      <c r="M10" s="9"/>
      <c r="N10" s="48">
        <v>0</v>
      </c>
      <c r="O10" s="21">
        <f t="shared" si="3"/>
        <v>33800</v>
      </c>
      <c r="P10" s="8" t="s">
        <v>197</v>
      </c>
      <c r="Q10" s="9">
        <v>7700</v>
      </c>
      <c r="R10" s="9">
        <v>1000</v>
      </c>
      <c r="S10" s="48">
        <v>0</v>
      </c>
      <c r="T10" s="21">
        <f t="shared" si="4"/>
        <v>32900</v>
      </c>
      <c r="U10" s="53">
        <f>IF($J10="","",ROUND(($J10-$J$3)/1000,1)+(_xlfn.RANK.AVG($J10,($J10,$O10,$T10),1)-2)*20)</f>
        <v>23.3</v>
      </c>
      <c r="V10" s="54">
        <f>IF($O10="","",ROUND(($O10-$O$3)/1000,1)+(_xlfn.RANK.AVG($O10,($J10,$O10,$T10),1)-2)*20)</f>
        <v>-1.2</v>
      </c>
      <c r="W10" s="55">
        <f>IF($T10="","",ROUND(($T10-$T$3)/1000,1)+(_xlfn.RANK.AVG($T10,($J10,$O10,$T10),1)-2)*20)</f>
        <v>-22.1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202</v>
      </c>
      <c r="BV10" s="41" t="s">
        <v>82</v>
      </c>
      <c r="BW10" s="41" t="s">
        <v>84</v>
      </c>
      <c r="BX10" s="41" t="s">
        <v>85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201</v>
      </c>
      <c r="G11" s="9">
        <v>-7700</v>
      </c>
      <c r="H11" s="9"/>
      <c r="I11" s="48">
        <v>0</v>
      </c>
      <c r="J11" s="21">
        <f t="shared" si="2"/>
        <v>30600</v>
      </c>
      <c r="K11" s="8"/>
      <c r="L11" s="9"/>
      <c r="M11" s="9"/>
      <c r="N11" s="48"/>
      <c r="O11" s="21">
        <f t="shared" si="3"/>
        <v>33800</v>
      </c>
      <c r="P11" s="8" t="s">
        <v>200</v>
      </c>
      <c r="Q11" s="9">
        <v>7700</v>
      </c>
      <c r="R11" s="9"/>
      <c r="S11" s="48">
        <v>0</v>
      </c>
      <c r="T11" s="21">
        <f t="shared" si="4"/>
        <v>40600</v>
      </c>
      <c r="U11" s="53">
        <f>IF($J11="","",ROUND(($J11-$J$3)/1000,1)+(_xlfn.RANK.AVG($J11,($J11,$O11,$T11),1)-2)*20)</f>
        <v>-24.4</v>
      </c>
      <c r="V11" s="54">
        <f>IF($O11="","",ROUND(($O11-$O$3)/1000,1)+(_xlfn.RANK.AVG($O11,($J11,$O11,$T11),1)-2)*20)</f>
        <v>-1.2</v>
      </c>
      <c r="W11" s="55">
        <f>IF($T11="","",ROUND(($T11-$T$3)/1000,1)+(_xlfn.RANK.AVG($T11,($J11,$O11,$T11),1)-2)*20)</f>
        <v>25.6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30</v>
      </c>
      <c r="BU11" s="40" t="s">
        <v>79</v>
      </c>
      <c r="BV11" s="41" t="s">
        <v>86</v>
      </c>
      <c r="BW11" s="41" t="s">
        <v>86</v>
      </c>
      <c r="BX11" s="41" t="s">
        <v>86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D766330-7FF4-4D64-A3FD-BA908B1AD1E9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3C3C1-47E5-4088-AFDB-FFC46A21602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204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201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25.2</v>
      </c>
      <c r="W4" s="55">
        <f>IF($T4="","",ROUND(($T4-$T$3)/1000,1)+(_xlfn.RANK.AVG($T4,($J4,$O4,$T4),1)-2)*20)</f>
        <v>-25.2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202</v>
      </c>
      <c r="BA4" s="41" t="s">
        <v>199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-10000</v>
      </c>
      <c r="H5" s="9"/>
      <c r="I5" s="48">
        <v>0</v>
      </c>
      <c r="J5" s="21">
        <f t="shared" ref="J5:J30" si="2">IF(COUNTA($F5,$K5,$P5)&gt;0,J4+SUM(G5:I5),"")</f>
        <v>25000</v>
      </c>
      <c r="K5" s="8" t="s">
        <v>198</v>
      </c>
      <c r="L5" s="9">
        <v>-6000</v>
      </c>
      <c r="M5" s="9"/>
      <c r="N5" s="48">
        <v>0</v>
      </c>
      <c r="O5" s="21">
        <f t="shared" ref="O5:O30" si="3">IF(COUNTA($F5,$K5,$P5)&gt;0,O4+SUM(L5:N5),"")</f>
        <v>34200</v>
      </c>
      <c r="P5" s="8" t="s">
        <v>197</v>
      </c>
      <c r="Q5" s="9">
        <v>16000</v>
      </c>
      <c r="R5" s="9"/>
      <c r="S5" s="48">
        <v>0</v>
      </c>
      <c r="T5" s="21">
        <f t="shared" ref="T5:T30" si="4">IF(COUNTA($F5,$K5,$P5)&gt;0,T4+SUM(Q5:S5),"")</f>
        <v>45800</v>
      </c>
      <c r="U5" s="53">
        <f>IF($J5="","",ROUND(($J5-$J$3)/1000,1)+(_xlfn.RANK.AVG($J5,($J5,$O5,$T5),1)-2)*20)</f>
        <v>-30</v>
      </c>
      <c r="V5" s="54">
        <f>IF($O5="","",ROUND(($O5-$O$3)/1000,1)+(_xlfn.RANK.AVG($O5,($J5,$O5,$T5),1)-2)*20)</f>
        <v>-0.8</v>
      </c>
      <c r="W5" s="55">
        <f>IF($T5="","",ROUND(($T5-$T$3)/1000,1)+(_xlfn.RANK.AVG($T5,($J5,$O5,$T5),1)-2)*20)</f>
        <v>30.8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206</v>
      </c>
      <c r="BU5" s="40" t="s">
        <v>202</v>
      </c>
      <c r="BV5" s="41" t="s">
        <v>82</v>
      </c>
      <c r="BW5" s="41" t="s">
        <v>203</v>
      </c>
      <c r="BX5" s="41" t="s">
        <v>199</v>
      </c>
      <c r="BY5" s="41" t="s">
        <v>79</v>
      </c>
      <c r="BZ5" s="41" t="s">
        <v>80</v>
      </c>
      <c r="CA5" s="41" t="s">
        <v>79</v>
      </c>
      <c r="CB5" s="41" t="s">
        <v>86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201</v>
      </c>
      <c r="G6" s="9">
        <v>-2000</v>
      </c>
      <c r="H6" s="9"/>
      <c r="I6" s="48">
        <v>0</v>
      </c>
      <c r="J6" s="21">
        <f t="shared" si="2"/>
        <v>23000</v>
      </c>
      <c r="K6" s="8"/>
      <c r="L6" s="9"/>
      <c r="M6" s="9"/>
      <c r="N6" s="48"/>
      <c r="O6" s="21">
        <f t="shared" si="3"/>
        <v>34200</v>
      </c>
      <c r="P6" s="8" t="s">
        <v>200</v>
      </c>
      <c r="Q6" s="9">
        <v>2000</v>
      </c>
      <c r="R6" s="9"/>
      <c r="S6" s="48">
        <v>0</v>
      </c>
      <c r="T6" s="21">
        <f t="shared" si="4"/>
        <v>47800</v>
      </c>
      <c r="U6" s="53">
        <f>IF($J6="","",ROUND(($J6-$J$3)/1000,1)+(_xlfn.RANK.AVG($J6,($J6,$O6,$T6),1)-2)*20)</f>
        <v>-32</v>
      </c>
      <c r="V6" s="54">
        <f>IF($O6="","",ROUND(($O6-$O$3)/1000,1)+(_xlfn.RANK.AVG($O6,($J6,$O6,$T6),1)-2)*20)</f>
        <v>-0.8</v>
      </c>
      <c r="W6" s="55">
        <f>IF($T6="","",ROUND(($T6-$T$3)/1000,1)+(_xlfn.RANK.AVG($T6,($J6,$O6,$T6),1)-2)*20)</f>
        <v>32.799999999999997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198</v>
      </c>
      <c r="G7" s="9">
        <v>-800</v>
      </c>
      <c r="H7" s="9"/>
      <c r="I7" s="48">
        <v>0</v>
      </c>
      <c r="J7" s="21">
        <f t="shared" si="2"/>
        <v>22200</v>
      </c>
      <c r="K7" s="8" t="s">
        <v>198</v>
      </c>
      <c r="L7" s="9">
        <v>-800</v>
      </c>
      <c r="M7" s="9"/>
      <c r="N7" s="48">
        <v>0</v>
      </c>
      <c r="O7" s="21">
        <f t="shared" si="3"/>
        <v>33400</v>
      </c>
      <c r="P7" s="8" t="s">
        <v>197</v>
      </c>
      <c r="Q7" s="9">
        <v>1600</v>
      </c>
      <c r="R7" s="9"/>
      <c r="S7" s="48">
        <v>0</v>
      </c>
      <c r="T7" s="21">
        <f t="shared" si="4"/>
        <v>49400</v>
      </c>
      <c r="U7" s="53">
        <f>IF($J7="","",ROUND(($J7-$J$3)/1000,1)+(_xlfn.RANK.AVG($J7,($J7,$O7,$T7),1)-2)*20)</f>
        <v>-32.799999999999997</v>
      </c>
      <c r="V7" s="54">
        <f>IF($O7="","",ROUND(($O7-$O$3)/1000,1)+(_xlfn.RANK.AVG($O7,($J7,$O7,$T7),1)-2)*20)</f>
        <v>-1.6</v>
      </c>
      <c r="W7" s="55">
        <f>IF($T7="","",ROUND(($T7-$T$3)/1000,1)+(_xlfn.RANK.AVG($T7,($J7,$O7,$T7),1)-2)*20)</f>
        <v>34.4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205</v>
      </c>
      <c r="F8" s="8" t="s">
        <v>198</v>
      </c>
      <c r="G8" s="9">
        <v>-800</v>
      </c>
      <c r="H8" s="9"/>
      <c r="I8" s="48">
        <v>-500</v>
      </c>
      <c r="J8" s="21">
        <f t="shared" si="2"/>
        <v>20900</v>
      </c>
      <c r="K8" s="8" t="s">
        <v>198</v>
      </c>
      <c r="L8" s="9">
        <v>-800</v>
      </c>
      <c r="M8" s="9"/>
      <c r="N8" s="48">
        <v>-500</v>
      </c>
      <c r="O8" s="21">
        <f t="shared" si="3"/>
        <v>32100</v>
      </c>
      <c r="P8" s="8" t="s">
        <v>197</v>
      </c>
      <c r="Q8" s="9">
        <v>1600</v>
      </c>
      <c r="R8" s="9"/>
      <c r="S8" s="48">
        <v>1000</v>
      </c>
      <c r="T8" s="21">
        <f t="shared" si="4"/>
        <v>52000</v>
      </c>
      <c r="U8" s="53">
        <f>IF($J8="","",ROUND(($J8-$J$3)/1000,1)+(_xlfn.RANK.AVG($J8,($J8,$O8,$T8),1)-2)*20)</f>
        <v>-34.1</v>
      </c>
      <c r="V8" s="54">
        <f>IF($O8="","",ROUND(($O8-$O$3)/1000,1)+(_xlfn.RANK.AVG($O8,($J8,$O8,$T8),1)-2)*20)</f>
        <v>-2.9</v>
      </c>
      <c r="W8" s="55">
        <f>IF($T8="","",ROUND(($T8-$T$3)/1000,1)+(_xlfn.RANK.AVG($T8,($J8,$O8,$T8),1)-2)*20)</f>
        <v>37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205</v>
      </c>
      <c r="F9" s="8" t="s">
        <v>198</v>
      </c>
      <c r="G9" s="9">
        <v>-3000</v>
      </c>
      <c r="H9" s="9"/>
      <c r="I9" s="48">
        <v>-1000</v>
      </c>
      <c r="J9" s="21">
        <f t="shared" si="2"/>
        <v>16900</v>
      </c>
      <c r="K9" s="8" t="s">
        <v>197</v>
      </c>
      <c r="L9" s="9">
        <v>8000</v>
      </c>
      <c r="M9" s="9"/>
      <c r="N9" s="48">
        <v>2000</v>
      </c>
      <c r="O9" s="21">
        <f t="shared" si="3"/>
        <v>42100</v>
      </c>
      <c r="P9" s="8" t="s">
        <v>198</v>
      </c>
      <c r="Q9" s="9">
        <v>-5000</v>
      </c>
      <c r="R9" s="9"/>
      <c r="S9" s="48">
        <v>-1000</v>
      </c>
      <c r="T9" s="21">
        <f t="shared" si="4"/>
        <v>46000</v>
      </c>
      <c r="U9" s="53">
        <f>IF($J9="","",ROUND(($J9-$J$3)/1000,1)+(_xlfn.RANK.AVG($J9,($J9,$O9,$T9),1)-2)*20)</f>
        <v>-38.1</v>
      </c>
      <c r="V9" s="54">
        <f>IF($O9="","",ROUND(($O9-$O$3)/1000,1)+(_xlfn.RANK.AVG($O9,($J9,$O9,$T9),1)-2)*20)</f>
        <v>7.1</v>
      </c>
      <c r="W9" s="55">
        <f>IF($T9="","",ROUND(($T9-$T$3)/1000,1)+(_xlfn.RANK.AVG($T9,($J9,$O9,$T9),1)-2)*20)</f>
        <v>31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206</v>
      </c>
      <c r="AZ9" s="40" t="s">
        <v>86</v>
      </c>
      <c r="BA9" s="41" t="s">
        <v>86</v>
      </c>
      <c r="BB9" s="41" t="s">
        <v>199</v>
      </c>
      <c r="BC9" s="41" t="s">
        <v>104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-2600</v>
      </c>
      <c r="H10" s="9"/>
      <c r="I10" s="48">
        <v>0</v>
      </c>
      <c r="J10" s="21">
        <f t="shared" si="2"/>
        <v>14300</v>
      </c>
      <c r="K10" s="8" t="s">
        <v>200</v>
      </c>
      <c r="L10" s="9">
        <v>2600</v>
      </c>
      <c r="M10" s="9"/>
      <c r="N10" s="48">
        <v>0</v>
      </c>
      <c r="O10" s="21">
        <f t="shared" si="3"/>
        <v>44700</v>
      </c>
      <c r="P10" s="8"/>
      <c r="Q10" s="9"/>
      <c r="R10" s="9"/>
      <c r="S10" s="48"/>
      <c r="T10" s="21">
        <f t="shared" si="4"/>
        <v>46000</v>
      </c>
      <c r="U10" s="53">
        <f>IF($J10="","",ROUND(($J10-$J$3)/1000,1)+(_xlfn.RANK.AVG($J10,($J10,$O10,$T10),1)-2)*20)</f>
        <v>-40.700000000000003</v>
      </c>
      <c r="V10" s="54">
        <f>IF($O10="","",ROUND(($O10-$O$3)/1000,1)+(_xlfn.RANK.AVG($O10,($J10,$O10,$T10),1)-2)*20)</f>
        <v>9.6999999999999993</v>
      </c>
      <c r="W10" s="55">
        <f>IF($T10="","",ROUND(($T10-$T$3)/1000,1)+(_xlfn.RANK.AVG($T10,($J10,$O10,$T10),1)-2)*20)</f>
        <v>31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80</v>
      </c>
      <c r="BA10" s="41" t="s">
        <v>202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201</v>
      </c>
      <c r="G11" s="9">
        <v>-3900</v>
      </c>
      <c r="H11" s="9"/>
      <c r="I11" s="48">
        <v>0</v>
      </c>
      <c r="J11" s="21">
        <f t="shared" si="2"/>
        <v>10400</v>
      </c>
      <c r="K11" s="8"/>
      <c r="L11" s="9"/>
      <c r="M11" s="9"/>
      <c r="N11" s="48"/>
      <c r="O11" s="21">
        <f t="shared" si="3"/>
        <v>44700</v>
      </c>
      <c r="P11" s="8" t="s">
        <v>200</v>
      </c>
      <c r="Q11" s="9">
        <v>3900</v>
      </c>
      <c r="R11" s="9"/>
      <c r="S11" s="48">
        <v>0</v>
      </c>
      <c r="T11" s="21">
        <f t="shared" si="4"/>
        <v>49900</v>
      </c>
      <c r="U11" s="53">
        <f>IF($J11="","",ROUND(($J11-$J$3)/1000,1)+(_xlfn.RANK.AVG($J11,($J11,$O11,$T11),1)-2)*20)</f>
        <v>-44.6</v>
      </c>
      <c r="V11" s="54">
        <f>IF($O11="","",ROUND(($O11-$O$3)/1000,1)+(_xlfn.RANK.AVG($O11,($J11,$O11,$T11),1)-2)*20)</f>
        <v>9.6999999999999993</v>
      </c>
      <c r="W11" s="55">
        <f>IF($T11="","",ROUND(($T11-$T$3)/1000,1)+(_xlfn.RANK.AVG($T11,($J11,$O11,$T11),1)-2)*20)</f>
        <v>34.9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79</v>
      </c>
      <c r="BV11" s="41" t="s">
        <v>79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11C91250-99D3-4928-8E3A-48A07DFB26F9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8559907B-5A22-4910-AD12-782E86B3A2C6}">
      <formula1>"ロン,ツモ,放銃,ツモ支払,流局,チョンボ"</formula1>
    </dataValidation>
    <dataValidation type="list" allowBlank="1" showInputMessage="1" showErrorMessage="1" sqref="E4:E30" xr:uid="{63D4AEBC-1502-4EC1-B789-0EF5FA72BB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9D05-6D84-4973-94B6-C3191E16589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204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ほたに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ほたに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208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-11.5</v>
      </c>
      <c r="Y4" s="8" t="s">
        <v>195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205</v>
      </c>
      <c r="F5" s="8" t="s">
        <v>198</v>
      </c>
      <c r="G5" s="9">
        <v>-2400</v>
      </c>
      <c r="H5" s="9"/>
      <c r="I5" s="48">
        <v>-500</v>
      </c>
      <c r="J5" s="21">
        <f t="shared" ref="J5:J30" si="2">IF(COUNTA($F5,$K5,$P5)&gt;0,J4+SUM(G5:I5),"")</f>
        <v>30600</v>
      </c>
      <c r="K5" s="8" t="s">
        <v>197</v>
      </c>
      <c r="L5" s="9">
        <v>4800</v>
      </c>
      <c r="M5" s="9">
        <v>1000</v>
      </c>
      <c r="N5" s="48">
        <v>1000</v>
      </c>
      <c r="O5" s="21">
        <f t="shared" ref="O5:O30" si="3">IF(COUNTA($F5,$K5,$P5)&gt;0,O4+SUM(L5:N5),"")</f>
        <v>43800</v>
      </c>
      <c r="P5" s="8" t="s">
        <v>198</v>
      </c>
      <c r="Q5" s="9">
        <v>-2400</v>
      </c>
      <c r="R5" s="9"/>
      <c r="S5" s="48">
        <v>-500</v>
      </c>
      <c r="T5" s="21">
        <f t="shared" ref="T5:T30" si="4">IF(COUNTA($F5,$K5,$P5)&gt;0,T4+SUM(Q5:S5),"")</f>
        <v>30600</v>
      </c>
      <c r="U5" s="53">
        <f>IF($J5="","",ROUND(($J5-$J$3)/1000,1)+(_xlfn.RANK.AVG($J5,($J5,$O5,$T5),1)-2)*20)</f>
        <v>-14.4</v>
      </c>
      <c r="V5" s="54">
        <f>IF($O5="","",ROUND(($O5-$O$3)/1000,1)+(_xlfn.RANK.AVG($O5,($J5,$O5,$T5),1)-2)*20)</f>
        <v>28.8</v>
      </c>
      <c r="W5" s="55">
        <f>IF($T5="","",ROUND(($T5-$T$3)/1000,1)+(_xlfn.RANK.AVG($T5,($J5,$O5,$T5),1)-2)*20)</f>
        <v>-14.4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25</v>
      </c>
      <c r="AZ5" s="40" t="s">
        <v>82</v>
      </c>
      <c r="BA5" s="41" t="s">
        <v>101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205</v>
      </c>
      <c r="F6" s="8"/>
      <c r="G6" s="9"/>
      <c r="H6" s="9"/>
      <c r="I6" s="48"/>
      <c r="J6" s="21">
        <f t="shared" si="2"/>
        <v>30600</v>
      </c>
      <c r="K6" s="8" t="s">
        <v>201</v>
      </c>
      <c r="L6" s="9">
        <v>-3900</v>
      </c>
      <c r="M6" s="9"/>
      <c r="N6" s="48">
        <v>-2000</v>
      </c>
      <c r="O6" s="21">
        <f t="shared" si="3"/>
        <v>37900</v>
      </c>
      <c r="P6" s="8" t="s">
        <v>200</v>
      </c>
      <c r="Q6" s="9">
        <v>3900</v>
      </c>
      <c r="R6" s="9"/>
      <c r="S6" s="48">
        <v>2000</v>
      </c>
      <c r="T6" s="21">
        <f t="shared" si="4"/>
        <v>36500</v>
      </c>
      <c r="U6" s="53">
        <f>IF($J6="","",ROUND(($J6-$J$3)/1000,1)+(_xlfn.RANK.AVG($J6,($J6,$O6,$T6),1)-2)*20)</f>
        <v>-24.4</v>
      </c>
      <c r="V6" s="54">
        <f>IF($O6="","",ROUND(($O6-$O$3)/1000,1)+(_xlfn.RANK.AVG($O6,($J6,$O6,$T6),1)-2)*20)</f>
        <v>22.9</v>
      </c>
      <c r="W6" s="55">
        <f>IF($T6="","",ROUND(($T6-$T$3)/1000,1)+(_xlfn.RANK.AVG($T6,($J6,$O6,$T6),1)-2)*20)</f>
        <v>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207</v>
      </c>
      <c r="F7" s="8"/>
      <c r="G7" s="9"/>
      <c r="H7" s="9"/>
      <c r="I7" s="48"/>
      <c r="J7" s="21">
        <f t="shared" si="2"/>
        <v>30600</v>
      </c>
      <c r="K7" s="8" t="s">
        <v>200</v>
      </c>
      <c r="L7" s="9">
        <v>8000</v>
      </c>
      <c r="M7" s="9">
        <v>1000</v>
      </c>
      <c r="N7" s="48">
        <v>0</v>
      </c>
      <c r="O7" s="21">
        <f t="shared" si="3"/>
        <v>46900</v>
      </c>
      <c r="P7" s="8" t="s">
        <v>201</v>
      </c>
      <c r="Q7" s="9">
        <v>-8000</v>
      </c>
      <c r="R7" s="9">
        <v>-1000</v>
      </c>
      <c r="S7" s="48">
        <v>0</v>
      </c>
      <c r="T7" s="21">
        <f t="shared" si="4"/>
        <v>27500</v>
      </c>
      <c r="U7" s="53">
        <f>IF($J7="","",ROUND(($J7-$J$3)/1000,1)+(_xlfn.RANK.AVG($J7,($J7,$O7,$T7),1)-2)*20)</f>
        <v>-4.4000000000000004</v>
      </c>
      <c r="V7" s="54">
        <f>IF($O7="","",ROUND(($O7-$O$3)/1000,1)+(_xlfn.RANK.AVG($O7,($J7,$O7,$T7),1)-2)*20)</f>
        <v>31.9</v>
      </c>
      <c r="W7" s="55">
        <f>IF($T7="","",ROUND(($T7-$T$3)/1000,1)+(_xlfn.RANK.AVG($T7,($J7,$O7,$T7),1)-2)*20)</f>
        <v>-27.5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86</v>
      </c>
      <c r="BA7" s="41" t="s">
        <v>202</v>
      </c>
      <c r="BB7" s="41" t="s">
        <v>93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200</v>
      </c>
      <c r="G8" s="9">
        <v>18000</v>
      </c>
      <c r="H8" s="9">
        <v>1000</v>
      </c>
      <c r="I8" s="48">
        <v>0</v>
      </c>
      <c r="J8" s="21">
        <f t="shared" si="2"/>
        <v>49600</v>
      </c>
      <c r="K8" s="8"/>
      <c r="L8" s="9"/>
      <c r="M8" s="9"/>
      <c r="N8" s="48"/>
      <c r="O8" s="21">
        <f t="shared" si="3"/>
        <v>46900</v>
      </c>
      <c r="P8" s="8" t="s">
        <v>201</v>
      </c>
      <c r="Q8" s="9">
        <v>-18000</v>
      </c>
      <c r="R8" s="9">
        <v>-1000</v>
      </c>
      <c r="S8" s="48">
        <v>0</v>
      </c>
      <c r="T8" s="21">
        <f t="shared" si="4"/>
        <v>8500</v>
      </c>
      <c r="U8" s="53">
        <f>IF($J8="","",ROUND(($J8-$J$3)/1000,1)+(_xlfn.RANK.AVG($J8,($J8,$O8,$T8),1)-2)*20)</f>
        <v>34.6</v>
      </c>
      <c r="V8" s="54">
        <f>IF($O8="","",ROUND(($O8-$O$3)/1000,1)+(_xlfn.RANK.AVG($O8,($J8,$O8,$T8),1)-2)*20)</f>
        <v>11.9</v>
      </c>
      <c r="W8" s="55">
        <f>IF($T8="","",ROUND(($T8-$T$3)/1000,1)+(_xlfn.RANK.AVG($T8,($J8,$O8,$T8),1)-2)*20)</f>
        <v>-46.5</v>
      </c>
      <c r="Y8" s="8"/>
      <c r="Z8" s="34"/>
      <c r="AA8" s="26">
        <v>1</v>
      </c>
      <c r="AB8" s="26"/>
      <c r="AC8" s="26">
        <v>6</v>
      </c>
      <c r="AD8" s="30" t="s">
        <v>206</v>
      </c>
      <c r="AE8" s="40" t="s">
        <v>202</v>
      </c>
      <c r="AF8" s="41" t="s">
        <v>104</v>
      </c>
      <c r="AG8" s="41" t="s">
        <v>79</v>
      </c>
      <c r="AH8" s="41" t="s">
        <v>199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204</v>
      </c>
      <c r="F9" s="8" t="s">
        <v>198</v>
      </c>
      <c r="G9" s="9">
        <v>-1300</v>
      </c>
      <c r="H9" s="9"/>
      <c r="I9" s="48">
        <v>-500</v>
      </c>
      <c r="J9" s="21">
        <f t="shared" si="2"/>
        <v>47800</v>
      </c>
      <c r="K9" s="8" t="s">
        <v>197</v>
      </c>
      <c r="L9" s="9">
        <v>2100</v>
      </c>
      <c r="M9" s="9">
        <v>1000</v>
      </c>
      <c r="N9" s="48">
        <v>1000</v>
      </c>
      <c r="O9" s="21">
        <f t="shared" si="3"/>
        <v>51000</v>
      </c>
      <c r="P9" s="8" t="s">
        <v>198</v>
      </c>
      <c r="Q9" s="9">
        <v>-800</v>
      </c>
      <c r="R9" s="9">
        <v>-1000</v>
      </c>
      <c r="S9" s="48">
        <v>-500</v>
      </c>
      <c r="T9" s="21">
        <f t="shared" si="4"/>
        <v>6200</v>
      </c>
      <c r="U9" s="53">
        <f>IF($J9="","",ROUND(($J9-$J$3)/1000,1)+(_xlfn.RANK.AVG($J9,($J9,$O9,$T9),1)-2)*20)</f>
        <v>12.8</v>
      </c>
      <c r="V9" s="54">
        <f>IF($O9="","",ROUND(($O9-$O$3)/1000,1)+(_xlfn.RANK.AVG($O9,($J9,$O9,$T9),1)-2)*20)</f>
        <v>36</v>
      </c>
      <c r="W9" s="55">
        <f>IF($T9="","",ROUND(($T9-$T$3)/1000,1)+(_xlfn.RANK.AVG($T9,($J9,$O9,$T9),1)-2)*20)</f>
        <v>-48.8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199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205</v>
      </c>
      <c r="F10" s="8" t="s">
        <v>197</v>
      </c>
      <c r="G10" s="9">
        <v>12000</v>
      </c>
      <c r="H10" s="9"/>
      <c r="I10" s="48">
        <v>0</v>
      </c>
      <c r="J10" s="21">
        <f t="shared" si="2"/>
        <v>59800</v>
      </c>
      <c r="K10" s="8" t="s">
        <v>198</v>
      </c>
      <c r="L10" s="9">
        <v>-7500</v>
      </c>
      <c r="M10" s="9"/>
      <c r="N10" s="48">
        <v>0</v>
      </c>
      <c r="O10" s="21">
        <f t="shared" si="3"/>
        <v>43500</v>
      </c>
      <c r="P10" s="8" t="s">
        <v>198</v>
      </c>
      <c r="Q10" s="9">
        <v>-4500</v>
      </c>
      <c r="R10" s="9"/>
      <c r="S10" s="48">
        <v>0</v>
      </c>
      <c r="T10" s="21">
        <f t="shared" si="4"/>
        <v>1700</v>
      </c>
      <c r="U10" s="53">
        <f>IF($J10="","",ROUND(($J10-$J$3)/1000,1)+(_xlfn.RANK.AVG($J10,($J10,$O10,$T10),1)-2)*20)</f>
        <v>44.8</v>
      </c>
      <c r="V10" s="54">
        <f>IF($O10="","",ROUND(($O10-$O$3)/1000,1)+(_xlfn.RANK.AVG($O10,($J10,$O10,$T10),1)-2)*20)</f>
        <v>8.5</v>
      </c>
      <c r="W10" s="55">
        <f>IF($T10="","",ROUND(($T10-$T$3)/1000,1)+(_xlfn.RANK.AVG($T10,($J10,$O10,$T10),1)-2)*20)</f>
        <v>-53.3</v>
      </c>
      <c r="Y10" s="8"/>
      <c r="Z10" s="34"/>
      <c r="AA10" s="26">
        <v>1</v>
      </c>
      <c r="AB10" s="26"/>
      <c r="AC10" s="26">
        <v>6</v>
      </c>
      <c r="AD10" s="30" t="s">
        <v>206</v>
      </c>
      <c r="AE10" s="40" t="s">
        <v>202</v>
      </c>
      <c r="AF10" s="41" t="s">
        <v>82</v>
      </c>
      <c r="AG10" s="41" t="s">
        <v>84</v>
      </c>
      <c r="AH10" s="41" t="s">
        <v>199</v>
      </c>
      <c r="AI10" s="41" t="s">
        <v>80</v>
      </c>
      <c r="AJ10" s="41" t="s">
        <v>83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207</v>
      </c>
      <c r="F11" s="8" t="s">
        <v>200</v>
      </c>
      <c r="G11" s="9">
        <v>1300</v>
      </c>
      <c r="H11" s="9"/>
      <c r="I11" s="48">
        <v>0</v>
      </c>
      <c r="J11" s="21">
        <f t="shared" si="2"/>
        <v>61100</v>
      </c>
      <c r="K11" s="8"/>
      <c r="L11" s="9"/>
      <c r="M11" s="9"/>
      <c r="N11" s="48"/>
      <c r="O11" s="21">
        <f t="shared" si="3"/>
        <v>43500</v>
      </c>
      <c r="P11" s="8" t="s">
        <v>201</v>
      </c>
      <c r="Q11" s="9">
        <v>-1300</v>
      </c>
      <c r="R11" s="9"/>
      <c r="S11" s="48">
        <v>0</v>
      </c>
      <c r="T11" s="21">
        <f t="shared" si="4"/>
        <v>400</v>
      </c>
      <c r="U11" s="53">
        <f>IF($J11="","",ROUND(($J11-$J$3)/1000,1)+(_xlfn.RANK.AVG($J11,($J11,$O11,$T11),1)-2)*20)</f>
        <v>46.1</v>
      </c>
      <c r="V11" s="54">
        <f>IF($O11="","",ROUND(($O11-$O$3)/1000,1)+(_xlfn.RANK.AVG($O11,($J11,$O11,$T11),1)-2)*20)</f>
        <v>8.5</v>
      </c>
      <c r="W11" s="55">
        <f>IF($T11="","",ROUND(($T11-$T$3)/1000,1)+(_xlfn.RANK.AVG($T11,($J11,$O11,$T11),1)-2)*20)</f>
        <v>-54.6</v>
      </c>
      <c r="Y11" s="8"/>
      <c r="Z11" s="34"/>
      <c r="AA11" s="26">
        <v>1</v>
      </c>
      <c r="AB11" s="26"/>
      <c r="AC11" s="26">
        <v>1</v>
      </c>
      <c r="AD11" s="30">
        <v>40</v>
      </c>
      <c r="AE11" s="40" t="s">
        <v>202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540AC50-DCB0-40B0-8125-DB1507B2F4AA}">
      <formula1>$U$2:$W$2</formula1>
    </dataValidation>
    <dataValidation type="list" showInputMessage="1" showErrorMessage="1" sqref="K4:K30 P4:P30 F4:F30" xr:uid="{ED3AEED4-F8BD-423F-9C64-F8BC221AE299}">
      <formula1>"ロン,ツモ,放銃,ツモ支払,流局,チョンボ"</formula1>
    </dataValidation>
    <dataValidation type="list" allowBlank="1" showInputMessage="1" sqref="F1:T1" xr:uid="{F491C3EB-50DC-410A-AE23-A1F69F0144E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A9E15-EDC3-4167-87F1-F5CA998FF72E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204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/>
      <c r="AB4" s="26">
        <v>1</v>
      </c>
      <c r="AC4" s="26">
        <v>7</v>
      </c>
      <c r="AD4" s="30" t="s">
        <v>206</v>
      </c>
      <c r="AE4" s="40" t="s">
        <v>79</v>
      </c>
      <c r="AF4" s="41" t="s">
        <v>79</v>
      </c>
      <c r="AG4" s="41" t="s">
        <v>79</v>
      </c>
      <c r="AH4" s="41" t="s">
        <v>79</v>
      </c>
      <c r="AI4" s="41" t="s">
        <v>86</v>
      </c>
      <c r="AJ4" s="41" t="s">
        <v>98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208</v>
      </c>
      <c r="G5" s="9">
        <v>0</v>
      </c>
      <c r="H5" s="9">
        <v>-1000</v>
      </c>
      <c r="I5" s="48"/>
      <c r="J5" s="21">
        <f t="shared" ref="J5:J30" si="2">IF(COUNTA($F5,$K5,$P5)&gt;0,J4+SUM(G5:I5),"")</f>
        <v>46000</v>
      </c>
      <c r="K5" s="8" t="s">
        <v>208</v>
      </c>
      <c r="L5" s="9">
        <v>0</v>
      </c>
      <c r="M5" s="9"/>
      <c r="N5" s="48"/>
      <c r="O5" s="21">
        <f t="shared" ref="O5:O30" si="3">IF(COUNTA($F5,$K5,$P5)&gt;0,O4+SUM(L5:N5),"")</f>
        <v>35000</v>
      </c>
      <c r="P5" s="8" t="s">
        <v>208</v>
      </c>
      <c r="Q5" s="9">
        <v>0</v>
      </c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31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-32</v>
      </c>
      <c r="Y5" s="8" t="s">
        <v>194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194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204</v>
      </c>
      <c r="F6" s="8" t="s">
        <v>208</v>
      </c>
      <c r="G6" s="9">
        <v>1500</v>
      </c>
      <c r="H6" s="9">
        <v>-1000</v>
      </c>
      <c r="I6" s="48"/>
      <c r="J6" s="21">
        <f t="shared" si="2"/>
        <v>46500</v>
      </c>
      <c r="K6" s="8" t="s">
        <v>208</v>
      </c>
      <c r="L6" s="9">
        <v>1500</v>
      </c>
      <c r="M6" s="9"/>
      <c r="N6" s="48"/>
      <c r="O6" s="21">
        <f t="shared" si="3"/>
        <v>36500</v>
      </c>
      <c r="P6" s="8" t="s">
        <v>208</v>
      </c>
      <c r="Q6" s="9">
        <v>-3000</v>
      </c>
      <c r="R6" s="9"/>
      <c r="S6" s="48"/>
      <c r="T6" s="21">
        <f t="shared" si="4"/>
        <v>20000</v>
      </c>
      <c r="U6" s="53">
        <f>IF($J6="","",ROUND(($J6-$J$3)/1000,1)+(_xlfn.RANK.AVG($J6,($J6,$O6,$T6),1)-2)*20)</f>
        <v>31.5</v>
      </c>
      <c r="V6" s="54">
        <f>IF($O6="","",ROUND(($O6-$O$3)/1000,1)+(_xlfn.RANK.AVG($O6,($J6,$O6,$T6),1)-2)*20)</f>
        <v>1.5</v>
      </c>
      <c r="W6" s="55">
        <f>IF($T6="","",ROUND(($T6-$T$3)/1000,1)+(_xlfn.RANK.AVG($T6,($J6,$O6,$T6),1)-2)*20)</f>
        <v>-35</v>
      </c>
      <c r="Y6" s="8" t="s">
        <v>194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204</v>
      </c>
      <c r="F7" s="8" t="s">
        <v>200</v>
      </c>
      <c r="G7" s="9">
        <v>3900</v>
      </c>
      <c r="H7" s="9">
        <v>2000</v>
      </c>
      <c r="I7" s="48">
        <v>2000</v>
      </c>
      <c r="J7" s="21">
        <f t="shared" si="2"/>
        <v>54400</v>
      </c>
      <c r="K7" s="8" t="s">
        <v>201</v>
      </c>
      <c r="L7" s="9">
        <v>-3900</v>
      </c>
      <c r="M7" s="9"/>
      <c r="N7" s="48">
        <v>-2000</v>
      </c>
      <c r="O7" s="21">
        <f t="shared" si="3"/>
        <v>30600</v>
      </c>
      <c r="P7" s="8"/>
      <c r="Q7" s="9"/>
      <c r="R7" s="9"/>
      <c r="S7" s="48"/>
      <c r="T7" s="21">
        <f t="shared" si="4"/>
        <v>20000</v>
      </c>
      <c r="U7" s="53">
        <f>IF($J7="","",ROUND(($J7-$J$3)/1000,1)+(_xlfn.RANK.AVG($J7,($J7,$O7,$T7),1)-2)*20)</f>
        <v>39.4</v>
      </c>
      <c r="V7" s="54">
        <f>IF($O7="","",ROUND(($O7-$O$3)/1000,1)+(_xlfn.RANK.AVG($O7,($J7,$O7,$T7),1)-2)*20)</f>
        <v>-4.4000000000000004</v>
      </c>
      <c r="W7" s="55">
        <f>IF($T7="","",ROUND(($T7-$T$3)/1000,1)+(_xlfn.RANK.AVG($T7,($J7,$O7,$T7),1)-2)*20)</f>
        <v>-35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202</v>
      </c>
      <c r="AF7" s="41" t="s">
        <v>199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204</v>
      </c>
      <c r="F8" s="8" t="s">
        <v>197</v>
      </c>
      <c r="G8" s="9">
        <v>18000</v>
      </c>
      <c r="H8" s="9"/>
      <c r="I8" s="48">
        <v>3000</v>
      </c>
      <c r="J8" s="21">
        <f t="shared" si="2"/>
        <v>75400</v>
      </c>
      <c r="K8" s="8" t="s">
        <v>198</v>
      </c>
      <c r="L8" s="9">
        <v>-9000</v>
      </c>
      <c r="M8" s="9"/>
      <c r="N8" s="48">
        <v>-1500</v>
      </c>
      <c r="O8" s="21">
        <f t="shared" si="3"/>
        <v>20100</v>
      </c>
      <c r="P8" s="8" t="s">
        <v>198</v>
      </c>
      <c r="Q8" s="9">
        <v>-9000</v>
      </c>
      <c r="R8" s="9"/>
      <c r="S8" s="48">
        <v>-1500</v>
      </c>
      <c r="T8" s="21">
        <f t="shared" si="4"/>
        <v>9500</v>
      </c>
      <c r="U8" s="53">
        <f>IF($J8="","",ROUND(($J8-$J$3)/1000,1)+(_xlfn.RANK.AVG($J8,($J8,$O8,$T8),1)-2)*20)</f>
        <v>60.4</v>
      </c>
      <c r="V8" s="54">
        <f>IF($O8="","",ROUND(($O8-$O$3)/1000,1)+(_xlfn.RANK.AVG($O8,($J8,$O8,$T8),1)-2)*20)</f>
        <v>-14.9</v>
      </c>
      <c r="W8" s="55">
        <f>IF($T8="","",ROUND(($T8-$T$3)/1000,1)+(_xlfn.RANK.AVG($T8,($J8,$O8,$T8),1)-2)*20)</f>
        <v>-45.5</v>
      </c>
      <c r="Y8" s="8"/>
      <c r="Z8" s="34"/>
      <c r="AA8" s="26">
        <v>1</v>
      </c>
      <c r="AB8" s="26"/>
      <c r="AC8" s="26">
        <v>7</v>
      </c>
      <c r="AD8" s="30" t="s">
        <v>206</v>
      </c>
      <c r="AE8" s="40" t="s">
        <v>202</v>
      </c>
      <c r="AF8" s="41" t="s">
        <v>82</v>
      </c>
      <c r="AG8" s="41" t="s">
        <v>83</v>
      </c>
      <c r="AH8" s="41" t="s">
        <v>79</v>
      </c>
      <c r="AI8" s="41" t="s">
        <v>79</v>
      </c>
      <c r="AJ8" s="41" t="s">
        <v>79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204</v>
      </c>
      <c r="F9" s="8" t="s">
        <v>198</v>
      </c>
      <c r="G9" s="9">
        <v>-1300</v>
      </c>
      <c r="H9" s="9">
        <v>-1000</v>
      </c>
      <c r="I9" s="48">
        <v>-2000</v>
      </c>
      <c r="J9" s="21">
        <f t="shared" si="2"/>
        <v>71100</v>
      </c>
      <c r="K9" s="8" t="s">
        <v>197</v>
      </c>
      <c r="L9" s="9">
        <v>2100</v>
      </c>
      <c r="M9" s="9">
        <v>1000</v>
      </c>
      <c r="N9" s="48">
        <v>4000</v>
      </c>
      <c r="O9" s="21">
        <f t="shared" si="3"/>
        <v>27200</v>
      </c>
      <c r="P9" s="8" t="s">
        <v>198</v>
      </c>
      <c r="Q9" s="9">
        <v>-800</v>
      </c>
      <c r="R9" s="9"/>
      <c r="S9" s="48">
        <v>-2000</v>
      </c>
      <c r="T9" s="21">
        <f t="shared" si="4"/>
        <v>6700</v>
      </c>
      <c r="U9" s="53">
        <f>IF($J9="","",ROUND(($J9-$J$3)/1000,1)+(_xlfn.RANK.AVG($J9,($J9,$O9,$T9),1)-2)*20)</f>
        <v>56.1</v>
      </c>
      <c r="V9" s="54">
        <f>IF($O9="","",ROUND(($O9-$O$3)/1000,1)+(_xlfn.RANK.AVG($O9,($J9,$O9,$T9),1)-2)*20)</f>
        <v>-7.8</v>
      </c>
      <c r="W9" s="55">
        <f>IF($T9="","",ROUND(($T9-$T$3)/1000,1)+(_xlfn.RANK.AVG($T9,($J9,$O9,$T9),1)-2)*20)</f>
        <v>-48.3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98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200</v>
      </c>
      <c r="G10" s="9">
        <v>6400</v>
      </c>
      <c r="H10" s="9"/>
      <c r="I10" s="48">
        <v>0</v>
      </c>
      <c r="J10" s="21">
        <f t="shared" si="2"/>
        <v>77500</v>
      </c>
      <c r="K10" s="8"/>
      <c r="L10" s="9"/>
      <c r="M10" s="9"/>
      <c r="N10" s="48"/>
      <c r="O10" s="21">
        <f t="shared" si="3"/>
        <v>27200</v>
      </c>
      <c r="P10" s="8" t="s">
        <v>201</v>
      </c>
      <c r="Q10" s="9">
        <v>-6400</v>
      </c>
      <c r="R10" s="9"/>
      <c r="S10" s="48">
        <v>0</v>
      </c>
      <c r="T10" s="21">
        <f t="shared" si="4"/>
        <v>300</v>
      </c>
      <c r="U10" s="53">
        <f>IF($J10="","",ROUND(($J10-$J$3)/1000,1)+(_xlfn.RANK.AVG($J10,($J10,$O10,$T10),1)-2)*20)</f>
        <v>62.5</v>
      </c>
      <c r="V10" s="54">
        <f>IF($O10="","",ROUND(($O10-$O$3)/1000,1)+(_xlfn.RANK.AVG($O10,($J10,$O10,$T10),1)-2)*20)</f>
        <v>-7.8</v>
      </c>
      <c r="W10" s="55">
        <f>IF($T10="","",ROUND(($T10-$T$3)/1000,1)+(_xlfn.RANK.AVG($T10,($J10,$O10,$T10),1)-2)*20)</f>
        <v>-54.7</v>
      </c>
      <c r="Y10" s="8"/>
      <c r="Z10" s="34"/>
      <c r="AA10" s="26"/>
      <c r="AB10" s="26"/>
      <c r="AC10" s="26">
        <v>4</v>
      </c>
      <c r="AD10" s="30">
        <v>25</v>
      </c>
      <c r="AE10" s="40" t="s">
        <v>100</v>
      </c>
      <c r="AF10" s="41" t="s">
        <v>101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198</v>
      </c>
      <c r="G11" s="9">
        <v>-6000</v>
      </c>
      <c r="H11" s="9"/>
      <c r="I11" s="48">
        <v>0</v>
      </c>
      <c r="J11" s="21">
        <f t="shared" si="2"/>
        <v>71500</v>
      </c>
      <c r="K11" s="8" t="s">
        <v>197</v>
      </c>
      <c r="L11" s="9">
        <v>16000</v>
      </c>
      <c r="M11" s="9"/>
      <c r="N11" s="48">
        <v>0</v>
      </c>
      <c r="O11" s="21">
        <f t="shared" si="3"/>
        <v>43200</v>
      </c>
      <c r="P11" s="8" t="s">
        <v>198</v>
      </c>
      <c r="Q11" s="9">
        <v>-10000</v>
      </c>
      <c r="R11" s="9"/>
      <c r="S11" s="48">
        <v>0</v>
      </c>
      <c r="T11" s="21">
        <f t="shared" si="4"/>
        <v>-9700</v>
      </c>
      <c r="U11" s="53">
        <f>IF($J11="","",ROUND(($J11-$J$3)/1000,1)+(_xlfn.RANK.AVG($J11,($J11,$O11,$T11),1)-2)*20)</f>
        <v>56.5</v>
      </c>
      <c r="V11" s="54">
        <f>IF($O11="","",ROUND(($O11-$O$3)/1000,1)+(_xlfn.RANK.AVG($O11,($J11,$O11,$T11),1)-2)*20)</f>
        <v>8.1999999999999993</v>
      </c>
      <c r="W11" s="55">
        <f>IF($T11="","",ROUND(($T11-$T$3)/1000,1)+(_xlfn.RANK.AVG($T11,($J11,$O11,$T11),1)-2)*20)</f>
        <v>-64.7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8</v>
      </c>
      <c r="AY11" s="30" t="s">
        <v>206</v>
      </c>
      <c r="AZ11" s="40" t="s">
        <v>202</v>
      </c>
      <c r="BA11" s="41" t="s">
        <v>82</v>
      </c>
      <c r="BB11" s="41" t="s">
        <v>199</v>
      </c>
      <c r="BC11" s="41" t="s">
        <v>86</v>
      </c>
      <c r="BD11" s="41" t="s">
        <v>80</v>
      </c>
      <c r="BE11" s="41" t="s">
        <v>79</v>
      </c>
      <c r="BF11" s="41" t="s">
        <v>96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204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97F3B37-46CA-406B-AA07-0F6201BC6F19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C0E1B592-9DA7-46FB-B883-9171BFC32042}">
      <formula1>"ロン,ツモ,放銃,ツモ支払,流局,チョンボ"</formula1>
    </dataValidation>
    <dataValidation type="list" allowBlank="1" showInputMessage="1" showErrorMessage="1" sqref="E4:E30" xr:uid="{1BD7A3CD-D7E2-4862-A046-E7BFE9E98CC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2019-06-07T18:07:04Z</dcterms:modified>
</cp:coreProperties>
</file>