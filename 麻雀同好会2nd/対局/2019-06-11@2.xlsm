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83B5068E-4BBA-4CFC-9F53-AA3D0E8386A8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O13" i="22"/>
  <c r="J13" i="22"/>
  <c r="D13" i="22"/>
  <c r="C13" i="22"/>
  <c r="B13" i="22"/>
  <c r="A13" i="22" s="1"/>
  <c r="T12" i="22"/>
  <c r="O12" i="22"/>
  <c r="V12" i="22" s="1"/>
  <c r="J12" i="22"/>
  <c r="D12" i="22"/>
  <c r="C12" i="22"/>
  <c r="B12" i="22"/>
  <c r="A12" i="22"/>
  <c r="T11" i="22"/>
  <c r="O11" i="22"/>
  <c r="J11" i="22"/>
  <c r="U11" i="22" s="1"/>
  <c r="D11" i="22"/>
  <c r="C11" i="22"/>
  <c r="B11" i="22"/>
  <c r="A11" i="22" s="1"/>
  <c r="T10" i="22"/>
  <c r="O10" i="22"/>
  <c r="J10" i="22"/>
  <c r="U10" i="22" s="1"/>
  <c r="D10" i="22"/>
  <c r="C10" i="22"/>
  <c r="B10" i="22"/>
  <c r="A10" i="22" s="1"/>
  <c r="D9" i="22"/>
  <c r="D8" i="22"/>
  <c r="C8" i="22"/>
  <c r="C9" i="22" s="1"/>
  <c r="D7" i="22"/>
  <c r="T6" i="22"/>
  <c r="D6" i="22"/>
  <c r="T5" i="22"/>
  <c r="O5" i="22"/>
  <c r="O6" i="22" s="1"/>
  <c r="D5" i="22"/>
  <c r="C5" i="22"/>
  <c r="C6" i="22" s="1"/>
  <c r="C7" i="22" s="1"/>
  <c r="B5" i="22"/>
  <c r="B6" i="22" s="1"/>
  <c r="T4" i="22"/>
  <c r="W4" i="22" s="1"/>
  <c r="O4" i="22"/>
  <c r="J4" i="22"/>
  <c r="W3" i="22"/>
  <c r="V3" i="22"/>
  <c r="U3" i="22"/>
  <c r="W2" i="22"/>
  <c r="V2" i="22"/>
  <c r="U2" i="22"/>
  <c r="BO1" i="22"/>
  <c r="AT1" i="22"/>
  <c r="Y1" i="22"/>
  <c r="V13" i="22" l="1"/>
  <c r="W13" i="22"/>
  <c r="U13" i="22"/>
  <c r="W12" i="22"/>
  <c r="U12" i="22"/>
  <c r="V11" i="22"/>
  <c r="W11" i="22"/>
  <c r="V10" i="22"/>
  <c r="W10" i="22"/>
  <c r="A5" i="22"/>
  <c r="V4" i="22"/>
  <c r="U4" i="22"/>
  <c r="B7" i="22"/>
  <c r="A7" i="22" s="1"/>
  <c r="O7" i="22"/>
  <c r="J5" i="22"/>
  <c r="A6" i="22"/>
  <c r="T7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/>
  <c r="D9" i="21"/>
  <c r="D8" i="21"/>
  <c r="C8" i="21"/>
  <c r="C9" i="21" s="1"/>
  <c r="D7" i="21"/>
  <c r="D6" i="21"/>
  <c r="C6" i="21"/>
  <c r="C7" i="21" s="1"/>
  <c r="O5" i="2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U5" i="22" l="1"/>
  <c r="V5" i="22"/>
  <c r="J6" i="22"/>
  <c r="W5" i="22"/>
  <c r="T8" i="22"/>
  <c r="O8" i="22"/>
  <c r="B8" i="22"/>
  <c r="A8" i="22"/>
  <c r="A5" i="21"/>
  <c r="V4" i="21"/>
  <c r="U4" i="21"/>
  <c r="A6" i="21"/>
  <c r="B7" i="21"/>
  <c r="A7" i="21" s="1"/>
  <c r="T5" i="21"/>
  <c r="V5" i="21" s="1"/>
  <c r="J6" i="21"/>
  <c r="W4" i="21"/>
  <c r="O6" i="21"/>
  <c r="U6" i="22" l="1"/>
  <c r="J7" i="22"/>
  <c r="W6" i="22"/>
  <c r="V6" i="22"/>
  <c r="B9" i="22"/>
  <c r="A9" i="22" s="1"/>
  <c r="O9" i="22"/>
  <c r="T9" i="22"/>
  <c r="J7" i="21"/>
  <c r="W5" i="21"/>
  <c r="T6" i="21"/>
  <c r="U5" i="21"/>
  <c r="B8" i="21"/>
  <c r="A8" i="21" s="1"/>
  <c r="V6" i="21"/>
  <c r="O7" i="21"/>
  <c r="U7" i="22" l="1"/>
  <c r="J8" i="22"/>
  <c r="W7" i="22"/>
  <c r="V7" i="22"/>
  <c r="W6" i="21"/>
  <c r="T7" i="21"/>
  <c r="B9" i="21"/>
  <c r="A9" i="21" s="1"/>
  <c r="U7" i="21"/>
  <c r="J8" i="21"/>
  <c r="O8" i="21"/>
  <c r="V7" i="21"/>
  <c r="U6" i="21"/>
  <c r="U8" i="22" l="1"/>
  <c r="J9" i="22"/>
  <c r="W8" i="22"/>
  <c r="V8" i="22"/>
  <c r="O9" i="21"/>
  <c r="J9" i="21"/>
  <c r="W7" i="21"/>
  <c r="T8" i="21"/>
  <c r="V8" i="21" s="1"/>
  <c r="U9" i="22" l="1"/>
  <c r="W9" i="22"/>
  <c r="V9" i="22"/>
  <c r="W8" i="21"/>
  <c r="T9" i="21"/>
  <c r="W9" i="21" s="1"/>
  <c r="U8" i="21"/>
  <c r="U9" i="21" l="1"/>
  <c r="V9" i="2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C10" i="20"/>
  <c r="D9" i="20"/>
  <c r="C9" i="20"/>
  <c r="D8" i="20"/>
  <c r="C8" i="20"/>
  <c r="D7" i="20"/>
  <c r="C7" i="20"/>
  <c r="D6" i="20"/>
  <c r="T5" i="20"/>
  <c r="O5" i="20"/>
  <c r="O6" i="20" s="1"/>
  <c r="D5" i="20"/>
  <c r="C5" i="20"/>
  <c r="C6" i="20" s="1"/>
  <c r="B5" i="20"/>
  <c r="B6" i="20" s="1"/>
  <c r="A5" i="20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V4" i="20" l="1"/>
  <c r="W4" i="20"/>
  <c r="O7" i="20"/>
  <c r="B7" i="20"/>
  <c r="T6" i="20"/>
  <c r="A6" i="20"/>
  <c r="J5" i="20"/>
  <c r="W5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V11" i="19" s="1"/>
  <c r="J11" i="19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W9" i="19" s="1"/>
  <c r="O9" i="19"/>
  <c r="J9" i="19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W7" i="19" s="1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B8" i="20" l="1"/>
  <c r="O8" i="20"/>
  <c r="V5" i="20"/>
  <c r="U5" i="20"/>
  <c r="J6" i="20"/>
  <c r="W6" i="20"/>
  <c r="T7" i="20"/>
  <c r="A7" i="20"/>
  <c r="U11" i="19"/>
  <c r="W11" i="19"/>
  <c r="W10" i="19"/>
  <c r="U10" i="19"/>
  <c r="V10" i="19"/>
  <c r="U9" i="19"/>
  <c r="V9" i="19"/>
  <c r="V8" i="19"/>
  <c r="W8" i="19"/>
  <c r="V7" i="19"/>
  <c r="W6" i="19"/>
  <c r="V6" i="19"/>
  <c r="U6" i="19"/>
  <c r="U4" i="19"/>
  <c r="V4" i="19"/>
  <c r="W4" i="19"/>
  <c r="J5" i="19"/>
  <c r="O5" i="19"/>
  <c r="V5" i="19" s="1"/>
  <c r="A8" i="20" l="1"/>
  <c r="O9" i="20"/>
  <c r="J7" i="20"/>
  <c r="U6" i="20"/>
  <c r="V6" i="20"/>
  <c r="W7" i="20"/>
  <c r="T8" i="20"/>
  <c r="B9" i="20"/>
  <c r="A9" i="20" s="1"/>
  <c r="W5" i="19"/>
  <c r="U5" i="19"/>
  <c r="U7" i="20" l="1"/>
  <c r="J8" i="20"/>
  <c r="V7" i="20"/>
  <c r="O10" i="20"/>
  <c r="B10" i="20"/>
  <c r="T9" i="20"/>
  <c r="W8" i="20" l="1"/>
  <c r="O11" i="20"/>
  <c r="T10" i="20"/>
  <c r="B11" i="20"/>
  <c r="A11" i="20" s="1"/>
  <c r="U8" i="20"/>
  <c r="J9" i="20"/>
  <c r="W9" i="20" s="1"/>
  <c r="V8" i="20"/>
  <c r="A10" i="20"/>
  <c r="U9" i="20" l="1"/>
  <c r="J10" i="20"/>
  <c r="V9" i="20"/>
  <c r="W10" i="20"/>
  <c r="T11" i="20"/>
  <c r="W11" i="20" l="1"/>
  <c r="U10" i="20"/>
  <c r="J11" i="20"/>
  <c r="V10" i="20"/>
  <c r="U11" i="20" l="1"/>
  <c r="V11" i="20"/>
</calcChain>
</file>

<file path=xl/sharedStrings.xml><?xml version="1.0" encoding="utf-8"?>
<sst xmlns="http://schemas.openxmlformats.org/spreadsheetml/2006/main" count="890" uniqueCount="208">
  <si>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</si>
  <si>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</si>
  <si>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</si>
  <si>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</si>
  <si>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</si>
  <si>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</si>
  <si>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</si>
  <si>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</si>
  <si>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</si>
  <si>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</si>
  <si>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</si>
  <si>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</si>
  <si>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</si>
  <si>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</si>
  <si>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</si>
  <si>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</si>
  <si>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</si>
  <si>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</si>
  <si>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</si>
  <si>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</si>
  <si>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</si>
  <si>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</si>
  <si>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</si>
  <si>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</si>
  <si>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</si>
  <si>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</si>
  <si>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</si>
  <si>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</si>
  <si>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</si>
  <si>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</si>
  <si>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</si>
  <si>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</si>
  <si>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</si>
  <si>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</si>
  <si>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</si>
  <si>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</si>
  <si>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</si>
  <si>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</si>
  <si>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</si>
  <si>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</si>
  <si>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</si>
  <si>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</si>
  <si>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</si>
  <si>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</si>
  <si>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</si>
  <si>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</si>
  <si>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</si>
  <si>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</si>
  <si>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</si>
  <si>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</si>
  <si>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</si>
  <si>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</si>
  <si>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</si>
  <si>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</si>
  <si>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</si>
  <si>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</si>
  <si>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</si>
  <si>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</si>
  <si>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</si>
  <si>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</si>
  <si>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</si>
  <si>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</si>
  <si>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</si>
  <si>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</si>
  <si>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</si>
  <si>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</si>
  <si>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</si>
  <si>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</si>
  <si>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</si>
  <si>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</si>
  <si>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</si>
  <si>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</si>
  <si>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</si>
  <si>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</si>
  <si>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</si>
  <si>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</si>
  <si>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</si>
  <si>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</si>
  <si>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</si>
  <si>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</si>
  <si>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</si>
  <si>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</si>
  <si>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</si>
  <si>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</si>
  <si>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</si>
  <si>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</si>
  <si>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</si>
  <si>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</si>
  <si>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</si>
  <si>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</si>
  <si>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</si>
  <si>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</si>
  <si>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</si>
  <si>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</si>
  <si>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</si>
  <si>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</si>
  <si>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</si>
  <si>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</si>
  <si>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</si>
  <si>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</si>
  <si>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</si>
  <si>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</si>
  <si>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</si>
  <si>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</si>
  <si>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</si>
  <si>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</si>
  <si>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</si>
  <si>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</si>
  <si>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</si>
  <si>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</si>
  <si>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</si>
  <si>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</si>
  <si>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</si>
  <si>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</si>
  <si>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</si>
  <si>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</si>
  <si>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</si>
  <si>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</si>
  <si>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</si>
  <si>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</si>
  <si>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</si>
  <si>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</si>
  <si>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</si>
  <si>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</si>
  <si>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</si>
  <si>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</si>
  <si>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</si>
  <si>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</si>
  <si>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</si>
  <si>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</si>
  <si>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</si>
  <si>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</si>
  <si>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</si>
  <si>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</si>
  <si>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</si>
  <si>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</si>
  <si>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</si>
  <si>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</si>
  <si>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</si>
  <si>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</si>
  <si>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</si>
  <si>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</si>
  <si>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</si>
  <si>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</si>
  <si>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</si>
  <si>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</si>
  <si>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</si>
  <si>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</si>
  <si>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</si>
  <si>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</si>
  <si>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</si>
  <si>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</si>
  <si>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</si>
  <si>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</si>
  <si>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</si>
  <si>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</si>
  <si>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</si>
  <si>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</si>
  <si>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</si>
  <si>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</si>
  <si>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</si>
  <si>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</si>
  <si>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</si>
  <si>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</si>
  <si>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</si>
  <si>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</si>
  <si>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</si>
  <si>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</si>
  <si>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</si>
  <si>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</si>
  <si>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</si>
  <si>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</si>
  <si>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</si>
  <si>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</si>
  <si>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</si>
  <si>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</si>
  <si>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</si>
  <si>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</si>
  <si>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</si>
  <si>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</si>
  <si>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</si>
  <si>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</si>
  <si>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</si>
  <si>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</si>
  <si>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</si>
  <si>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</si>
  <si>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</si>
  <si>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</si>
  <si>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</si>
  <si>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</si>
  <si>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</si>
  <si>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</si>
  <si>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まっつん</t>
  </si>
  <si>
    <t>ただ</t>
  </si>
  <si>
    <t>ロン</t>
  </si>
  <si>
    <t>放銃</t>
  </si>
  <si>
    <t>*</t>
  </si>
  <si>
    <t>ツモ</t>
  </si>
  <si>
    <t>ツモ支払</t>
  </si>
  <si>
    <t>52</t>
  </si>
  <si>
    <t>01</t>
  </si>
  <si>
    <t>02</t>
  </si>
  <si>
    <t>れんたろう</t>
  </si>
  <si>
    <t>れんたろう</t>
    <phoneticPr fontId="1"/>
  </si>
  <si>
    <t>T</t>
  </si>
  <si>
    <t>N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</si>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</sst>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191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-18000</v>
      </c>
      <c r="R4" s="9"/>
      <c r="S4" s="48">
        <v>0</v>
      </c>
      <c r="T4" s="21">
        <f>IF(COUNTA($F4,$K4,$P4)&gt;0,T3+SUM(Q4:S4),"")</f>
        <v>17000</v>
      </c>
      <c r="U4" s="53">
        <f>IF($J4="","",ROUND(($J4-$J$3)/1000,1)+(_xlfn.RANK.AVG($J4,($J4,$O4,$T4),1)-2)*20)</f>
        <v>38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-38</v>
      </c>
      <c r="Y4" s="8"/>
      <c r="Z4" s="34"/>
      <c r="AA4" s="26"/>
      <c r="AB4" s="26">
        <v>1</v>
      </c>
      <c r="AC4" s="26">
        <v>6</v>
      </c>
      <c r="AD4" s="30" t="s">
        <v>196</v>
      </c>
      <c r="AE4" s="40" t="s">
        <v>104</v>
      </c>
      <c r="AF4" s="41" t="s">
        <v>98</v>
      </c>
      <c r="AG4" s="41" t="s">
        <v>86</v>
      </c>
      <c r="AH4" s="41" t="s">
        <v>86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18000</v>
      </c>
      <c r="H5" s="9">
        <v>1000</v>
      </c>
      <c r="I5" s="48">
        <v>1000</v>
      </c>
      <c r="J5" s="21">
        <f t="shared" ref="J5:J30" si="2">IF(COUNTA($F5,$K5,$P5)&gt;0,J4+SUM(G5:I5),"")</f>
        <v>73000</v>
      </c>
      <c r="K5" s="8" t="s">
        <v>198</v>
      </c>
      <c r="L5" s="9">
        <v>-9000</v>
      </c>
      <c r="M5" s="9"/>
      <c r="N5" s="48">
        <v>-500</v>
      </c>
      <c r="O5" s="21">
        <f t="shared" ref="O5:O30" si="3">IF(COUNTA($F5,$K5,$P5)&gt;0,O4+SUM(L5:N5),"")</f>
        <v>25500</v>
      </c>
      <c r="P5" s="8" t="s">
        <v>198</v>
      </c>
      <c r="Q5" s="9">
        <v>-9000</v>
      </c>
      <c r="R5" s="9">
        <v>-1000</v>
      </c>
      <c r="S5" s="48">
        <v>-500</v>
      </c>
      <c r="T5" s="21">
        <f t="shared" ref="T5:T30" si="4">IF(COUNTA($F5,$K5,$P5)&gt;0,T4+SUM(Q5:S5),"")</f>
        <v>6500</v>
      </c>
      <c r="U5" s="53">
        <f>IF($J5="","",ROUND(($J5-$J$3)/1000,1)+(_xlfn.RANK.AVG($J5,($J5,$O5,$T5),1)-2)*20)</f>
        <v>58</v>
      </c>
      <c r="V5" s="54">
        <f>IF($O5="","",ROUND(($O5-$O$3)/1000,1)+(_xlfn.RANK.AVG($O5,($J5,$O5,$T5),1)-2)*20)</f>
        <v>-9.5</v>
      </c>
      <c r="W5" s="55">
        <f>IF($T5="","",ROUND(($T5-$T$3)/1000,1)+(_xlfn.RANK.AVG($T5,($J5,$O5,$T5),1)-2)*20)</f>
        <v>-48.5</v>
      </c>
      <c r="Y5" s="8"/>
      <c r="Z5" s="34"/>
      <c r="AA5" s="26"/>
      <c r="AB5" s="26">
        <v>1</v>
      </c>
      <c r="AC5" s="26">
        <v>7</v>
      </c>
      <c r="AD5" s="30" t="s">
        <v>196</v>
      </c>
      <c r="AE5" s="40" t="s">
        <v>104</v>
      </c>
      <c r="AF5" s="41" t="s">
        <v>98</v>
      </c>
      <c r="AG5" s="41" t="s">
        <v>86</v>
      </c>
      <c r="AH5" s="41" t="s">
        <v>199</v>
      </c>
      <c r="AI5" s="41" t="s">
        <v>87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198</v>
      </c>
      <c r="G6" s="9">
        <v>-3300</v>
      </c>
      <c r="H6" s="9">
        <v>-1000</v>
      </c>
      <c r="I6" s="48">
        <v>-1000</v>
      </c>
      <c r="J6" s="21">
        <f t="shared" si="2"/>
        <v>67700</v>
      </c>
      <c r="K6" s="8" t="s">
        <v>198</v>
      </c>
      <c r="L6" s="9">
        <v>-2000</v>
      </c>
      <c r="M6" s="9"/>
      <c r="N6" s="48">
        <v>-1000</v>
      </c>
      <c r="O6" s="21">
        <f t="shared" si="3"/>
        <v>22500</v>
      </c>
      <c r="P6" s="8" t="s">
        <v>197</v>
      </c>
      <c r="Q6" s="9">
        <v>5300</v>
      </c>
      <c r="R6" s="9">
        <v>1000</v>
      </c>
      <c r="S6" s="48">
        <v>2000</v>
      </c>
      <c r="T6" s="21">
        <f t="shared" si="4"/>
        <v>14800</v>
      </c>
      <c r="U6" s="53">
        <f>IF($J6="","",ROUND(($J6-$J$3)/1000,1)+(_xlfn.RANK.AVG($J6,($J6,$O6,$T6),1)-2)*20)</f>
        <v>52.7</v>
      </c>
      <c r="V6" s="54">
        <f>IF($O6="","",ROUND(($O6-$O$3)/1000,1)+(_xlfn.RANK.AVG($O6,($J6,$O6,$T6),1)-2)*20)</f>
        <v>-12.5</v>
      </c>
      <c r="W6" s="55">
        <f>IF($T6="","",ROUND(($T6-$T$3)/1000,1)+(_xlfn.RANK.AVG($T6,($J6,$O6,$T6),1)-2)*20)</f>
        <v>-40.200000000000003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40</v>
      </c>
      <c r="BU6" s="40" t="s">
        <v>86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195</v>
      </c>
      <c r="G7" s="9">
        <v>-18000</v>
      </c>
      <c r="H7" s="9"/>
      <c r="I7" s="48">
        <v>0</v>
      </c>
      <c r="J7" s="21">
        <f t="shared" si="2"/>
        <v>49700</v>
      </c>
      <c r="K7" s="8" t="s">
        <v>194</v>
      </c>
      <c r="L7" s="9">
        <v>18000</v>
      </c>
      <c r="M7" s="9"/>
      <c r="N7" s="48">
        <v>0</v>
      </c>
      <c r="O7" s="21">
        <f t="shared" si="3"/>
        <v>40500</v>
      </c>
      <c r="P7" s="8"/>
      <c r="Q7" s="9"/>
      <c r="R7" s="9"/>
      <c r="S7" s="48"/>
      <c r="T7" s="21">
        <f t="shared" si="4"/>
        <v>14800</v>
      </c>
      <c r="U7" s="53">
        <f>IF($J7="","",ROUND(($J7-$J$3)/1000,1)+(_xlfn.RANK.AVG($J7,($J7,$O7,$T7),1)-2)*20)</f>
        <v>34.700000000000003</v>
      </c>
      <c r="V7" s="54">
        <f>IF($O7="","",ROUND(($O7-$O$3)/1000,1)+(_xlfn.RANK.AVG($O7,($J7,$O7,$T7),1)-2)*20)</f>
        <v>5.5</v>
      </c>
      <c r="W7" s="55">
        <f>IF($T7="","",ROUND(($T7-$T$3)/1000,1)+(_xlfn.RANK.AVG($T7,($J7,$O7,$T7),1)-2)*20)</f>
        <v>-40.200000000000003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196</v>
      </c>
      <c r="AZ7" s="40" t="s">
        <v>200</v>
      </c>
      <c r="BA7" s="41" t="s">
        <v>201</v>
      </c>
      <c r="BB7" s="41" t="s">
        <v>199</v>
      </c>
      <c r="BC7" s="41" t="s">
        <v>80</v>
      </c>
      <c r="BD7" s="41" t="s">
        <v>79</v>
      </c>
      <c r="BE7" s="41" t="s">
        <v>83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192</v>
      </c>
      <c r="F8" s="8" t="s">
        <v>194</v>
      </c>
      <c r="G8" s="9">
        <v>1300</v>
      </c>
      <c r="H8" s="9"/>
      <c r="I8" s="48">
        <v>1000</v>
      </c>
      <c r="J8" s="21">
        <f t="shared" si="2"/>
        <v>52000</v>
      </c>
      <c r="K8" s="8"/>
      <c r="L8" s="9"/>
      <c r="M8" s="9"/>
      <c r="N8" s="48"/>
      <c r="O8" s="21">
        <f t="shared" si="3"/>
        <v>40500</v>
      </c>
      <c r="P8" s="8" t="s">
        <v>195</v>
      </c>
      <c r="Q8" s="9">
        <v>-1300</v>
      </c>
      <c r="R8" s="9"/>
      <c r="S8" s="48">
        <v>-1000</v>
      </c>
      <c r="T8" s="21">
        <f t="shared" si="4"/>
        <v>12500</v>
      </c>
      <c r="U8" s="53">
        <f>IF($J8="","",ROUND(($J8-$J$3)/1000,1)+(_xlfn.RANK.AVG($J8,($J8,$O8,$T8),1)-2)*20)</f>
        <v>37</v>
      </c>
      <c r="V8" s="54">
        <f>IF($O8="","",ROUND(($O8-$O$3)/1000,1)+(_xlfn.RANK.AVG($O8,($J8,$O8,$T8),1)-2)*20)</f>
        <v>5.5</v>
      </c>
      <c r="W8" s="55">
        <f>IF($T8="","",ROUND(($T8-$T$3)/1000,1)+(_xlfn.RANK.AVG($T8,($J8,$O8,$T8),1)-2)*20)</f>
        <v>-42.5</v>
      </c>
      <c r="Y8" s="8"/>
      <c r="Z8" s="34"/>
      <c r="AA8" s="26"/>
      <c r="AB8" s="26"/>
      <c r="AC8" s="26">
        <v>1</v>
      </c>
      <c r="AD8" s="30">
        <v>40</v>
      </c>
      <c r="AE8" s="40" t="s">
        <v>84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-3000</v>
      </c>
      <c r="H9" s="9"/>
      <c r="I9" s="48">
        <v>0</v>
      </c>
      <c r="J9" s="21">
        <f t="shared" si="2"/>
        <v>49000</v>
      </c>
      <c r="K9" s="8" t="s">
        <v>197</v>
      </c>
      <c r="L9" s="9">
        <v>8000</v>
      </c>
      <c r="M9" s="9"/>
      <c r="N9" s="48">
        <v>0</v>
      </c>
      <c r="O9" s="21">
        <f t="shared" si="3"/>
        <v>48500</v>
      </c>
      <c r="P9" s="8" t="s">
        <v>198</v>
      </c>
      <c r="Q9" s="9">
        <v>-5000</v>
      </c>
      <c r="R9" s="9"/>
      <c r="S9" s="48">
        <v>0</v>
      </c>
      <c r="T9" s="21">
        <f t="shared" si="4"/>
        <v>7500</v>
      </c>
      <c r="U9" s="53">
        <f>IF($J9="","",ROUND(($J9-$J$3)/1000,1)+(_xlfn.RANK.AVG($J9,($J9,$O9,$T9),1)-2)*20)</f>
        <v>34</v>
      </c>
      <c r="V9" s="54">
        <f>IF($O9="","",ROUND(($O9-$O$3)/1000,1)+(_xlfn.RANK.AVG($O9,($J9,$O9,$T9),1)-2)*20)</f>
        <v>13.5</v>
      </c>
      <c r="W9" s="55">
        <f>IF($T9="","",ROUND(($T9-$T$3)/1000,1)+(_xlfn.RANK.AVG($T9,($J9,$O9,$T9),1)-2)*20)</f>
        <v>-47.5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196</v>
      </c>
      <c r="AZ9" s="40" t="s">
        <v>200</v>
      </c>
      <c r="BA9" s="41" t="s">
        <v>82</v>
      </c>
      <c r="BB9" s="41" t="s">
        <v>83</v>
      </c>
      <c r="BC9" s="41" t="s">
        <v>79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-5000</v>
      </c>
      <c r="H10" s="9"/>
      <c r="I10" s="48">
        <v>0</v>
      </c>
      <c r="J10" s="21">
        <f t="shared" si="2"/>
        <v>44000</v>
      </c>
      <c r="K10" s="8" t="s">
        <v>197</v>
      </c>
      <c r="L10" s="9">
        <v>8000</v>
      </c>
      <c r="M10" s="9">
        <v>1000</v>
      </c>
      <c r="N10" s="48">
        <v>0</v>
      </c>
      <c r="O10" s="21">
        <f t="shared" si="3"/>
        <v>57500</v>
      </c>
      <c r="P10" s="8" t="s">
        <v>198</v>
      </c>
      <c r="Q10" s="9">
        <v>-3000</v>
      </c>
      <c r="R10" s="9">
        <v>-1000</v>
      </c>
      <c r="S10" s="48">
        <v>0</v>
      </c>
      <c r="T10" s="21">
        <f t="shared" si="4"/>
        <v>3500</v>
      </c>
      <c r="U10" s="53">
        <f>IF($J10="","",ROUND(($J10-$J$3)/1000,1)+(_xlfn.RANK.AVG($J10,($J10,$O10,$T10),1)-2)*20)</f>
        <v>9</v>
      </c>
      <c r="V10" s="54">
        <f>IF($O10="","",ROUND(($O10-$O$3)/1000,1)+(_xlfn.RANK.AVG($O10,($J10,$O10,$T10),1)-2)*20)</f>
        <v>42.5</v>
      </c>
      <c r="W10" s="55">
        <f>IF($T10="","",ROUND(($T10-$T$3)/1000,1)+(_xlfn.RANK.AVG($T10,($J10,$O10,$T10),1)-2)*20)</f>
        <v>-51.5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196</v>
      </c>
      <c r="AZ10" s="40" t="s">
        <v>200</v>
      </c>
      <c r="BA10" s="41" t="s">
        <v>82</v>
      </c>
      <c r="BB10" s="41" t="s">
        <v>79</v>
      </c>
      <c r="BC10" s="41" t="s">
        <v>80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192</v>
      </c>
      <c r="F11" s="8"/>
      <c r="G11" s="9"/>
      <c r="H11" s="9"/>
      <c r="I11" s="48"/>
      <c r="J11" s="21">
        <f t="shared" si="2"/>
        <v>44000</v>
      </c>
      <c r="K11" s="8" t="s">
        <v>194</v>
      </c>
      <c r="L11" s="9">
        <v>5800</v>
      </c>
      <c r="M11" s="9"/>
      <c r="N11" s="48">
        <v>0</v>
      </c>
      <c r="O11" s="21">
        <f t="shared" si="3"/>
        <v>63300</v>
      </c>
      <c r="P11" s="8" t="s">
        <v>195</v>
      </c>
      <c r="Q11" s="9">
        <v>-5800</v>
      </c>
      <c r="R11" s="9"/>
      <c r="S11" s="48">
        <v>0</v>
      </c>
      <c r="T11" s="21">
        <f t="shared" si="4"/>
        <v>-2300</v>
      </c>
      <c r="U11" s="53">
        <f>IF($J11="","",ROUND(($J11-$J$3)/1000,1)+(_xlfn.RANK.AVG($J11,($J11,$O11,$T11),1)-2)*20)</f>
        <v>9</v>
      </c>
      <c r="V11" s="54">
        <f>IF($O11="","",ROUND(($O11-$O$3)/1000,1)+(_xlfn.RANK.AVG($O11,($J11,$O11,$T11),1)-2)*20)</f>
        <v>48.3</v>
      </c>
      <c r="W11" s="55">
        <f>IF($T11="","",ROUND(($T11-$T$3)/1000,1)+(_xlfn.RANK.AVG($T11,($J11,$O11,$T11),1)-2)*20)</f>
        <v>-57.3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104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42BC85F-CFD7-42B3-995A-EF28D9400EE9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51E-358C-4B03-9B84-29518AB878F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れんたろう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まっつん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194</v>
      </c>
      <c r="Q4" s="9">
        <v>2000</v>
      </c>
      <c r="R4" s="9"/>
      <c r="S4" s="48">
        <v>0</v>
      </c>
      <c r="T4" s="21">
        <f>IF(COUNTA($F4,$K4,$P4)&gt;0,T3+SUM(Q4:S4),"")</f>
        <v>37000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199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/>
      <c r="G5" s="9"/>
      <c r="H5" s="9">
        <v>-1000</v>
      </c>
      <c r="I5" s="48"/>
      <c r="J5" s="21">
        <f t="shared" ref="J5:J30" si="2">IF(COUNTA($F5,$K5,$P5)&gt;0,J4+SUM(G5:I5),"")</f>
        <v>34000</v>
      </c>
      <c r="K5" s="8" t="s">
        <v>194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46000</v>
      </c>
      <c r="P5" s="8" t="s">
        <v>195</v>
      </c>
      <c r="Q5" s="9">
        <v>-12000</v>
      </c>
      <c r="R5" s="9"/>
      <c r="S5" s="48">
        <v>0</v>
      </c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31</v>
      </c>
      <c r="W5" s="55">
        <f>IF($T5="","",ROUND(($T5-$T$3)/1000,1)+(_xlfn.RANK.AVG($T5,($J5,$O5,$T5),1)-2)*20)</f>
        <v>-30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196</v>
      </c>
      <c r="AZ5" s="40" t="s">
        <v>98</v>
      </c>
      <c r="BA5" s="41" t="s">
        <v>200</v>
      </c>
      <c r="BB5" s="41" t="s">
        <v>96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192</v>
      </c>
      <c r="F6" s="8"/>
      <c r="G6" s="9"/>
      <c r="H6" s="9"/>
      <c r="I6" s="48"/>
      <c r="J6" s="21">
        <f t="shared" si="2"/>
        <v>34000</v>
      </c>
      <c r="K6" s="8" t="s">
        <v>194</v>
      </c>
      <c r="L6" s="9">
        <v>12000</v>
      </c>
      <c r="M6" s="9"/>
      <c r="N6" s="48">
        <v>1000</v>
      </c>
      <c r="O6" s="21">
        <f t="shared" si="3"/>
        <v>59000</v>
      </c>
      <c r="P6" s="8" t="s">
        <v>195</v>
      </c>
      <c r="Q6" s="9">
        <v>-12000</v>
      </c>
      <c r="R6" s="9"/>
      <c r="S6" s="48">
        <v>-1000</v>
      </c>
      <c r="T6" s="21">
        <f t="shared" si="4"/>
        <v>12000</v>
      </c>
      <c r="U6" s="53">
        <f>IF($J6="","",ROUND(($J6-$J$3)/1000,1)+(_xlfn.RANK.AVG($J6,($J6,$O6,$T6),1)-2)*20)</f>
        <v>-1</v>
      </c>
      <c r="V6" s="54">
        <f>IF($O6="","",ROUND(($O6-$O$3)/1000,1)+(_xlfn.RANK.AVG($O6,($J6,$O6,$T6),1)-2)*20)</f>
        <v>44</v>
      </c>
      <c r="W6" s="55">
        <f>IF($T6="","",ROUND(($T6-$T$3)/1000,1)+(_xlfn.RANK.AVG($T6,($J6,$O6,$T6),1)-2)*20)</f>
        <v>-43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200</v>
      </c>
      <c r="BA6" s="41" t="s">
        <v>80</v>
      </c>
      <c r="BB6" s="41" t="s">
        <v>199</v>
      </c>
      <c r="BC6" s="41" t="s">
        <v>85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192</v>
      </c>
      <c r="F7" s="8" t="s">
        <v>195</v>
      </c>
      <c r="G7" s="9">
        <v>-8000</v>
      </c>
      <c r="H7" s="9"/>
      <c r="I7" s="48">
        <v>-2000</v>
      </c>
      <c r="J7" s="21">
        <f t="shared" si="2"/>
        <v>24000</v>
      </c>
      <c r="K7" s="8"/>
      <c r="L7" s="9"/>
      <c r="M7" s="9"/>
      <c r="N7" s="48"/>
      <c r="O7" s="21">
        <f t="shared" si="3"/>
        <v>59000</v>
      </c>
      <c r="P7" s="8" t="s">
        <v>194</v>
      </c>
      <c r="Q7" s="9">
        <v>8000</v>
      </c>
      <c r="R7" s="9"/>
      <c r="S7" s="48">
        <v>2000</v>
      </c>
      <c r="T7" s="21">
        <f t="shared" si="4"/>
        <v>22000</v>
      </c>
      <c r="U7" s="53">
        <f>IF($J7="","",ROUND(($J7-$J$3)/1000,1)+(_xlfn.RANK.AVG($J7,($J7,$O7,$T7),1)-2)*20)</f>
        <v>-11</v>
      </c>
      <c r="V7" s="54">
        <f>IF($O7="","",ROUND(($O7-$O$3)/1000,1)+(_xlfn.RANK.AVG($O7,($J7,$O7,$T7),1)-2)*20)</f>
        <v>44</v>
      </c>
      <c r="W7" s="55">
        <f>IF($T7="","",ROUND(($T7-$T$3)/1000,1)+(_xlfn.RANK.AVG($T7,($J7,$O7,$T7),1)-2)*20)</f>
        <v>-33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98</v>
      </c>
      <c r="BV7" s="41" t="s">
        <v>86</v>
      </c>
      <c r="BW7" s="41" t="s">
        <v>199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24000</v>
      </c>
      <c r="K8" s="8" t="s">
        <v>195</v>
      </c>
      <c r="L8" s="9">
        <v>-18000</v>
      </c>
      <c r="M8" s="9"/>
      <c r="N8" s="48">
        <v>0</v>
      </c>
      <c r="O8" s="21">
        <f t="shared" si="3"/>
        <v>41000</v>
      </c>
      <c r="P8" s="8" t="s">
        <v>194</v>
      </c>
      <c r="Q8" s="9">
        <v>18000</v>
      </c>
      <c r="R8" s="9"/>
      <c r="S8" s="48">
        <v>0</v>
      </c>
      <c r="T8" s="21">
        <f t="shared" si="4"/>
        <v>40000</v>
      </c>
      <c r="U8" s="53">
        <f>IF($J8="","",ROUND(($J8-$J$3)/1000,1)+(_xlfn.RANK.AVG($J8,($J8,$O8,$T8),1)-2)*20)</f>
        <v>-31</v>
      </c>
      <c r="V8" s="54">
        <f>IF($O8="","",ROUND(($O8-$O$3)/1000,1)+(_xlfn.RANK.AVG($O8,($J8,$O8,$T8),1)-2)*20)</f>
        <v>26</v>
      </c>
      <c r="W8" s="55">
        <f>IF($T8="","",ROUND(($T8-$T$3)/1000,1)+(_xlfn.RANK.AVG($T8,($J8,$O8,$T8),1)-2)*20)</f>
        <v>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196</v>
      </c>
      <c r="BU8" s="40" t="s">
        <v>200</v>
      </c>
      <c r="BV8" s="41" t="s">
        <v>84</v>
      </c>
      <c r="BW8" s="41" t="s">
        <v>199</v>
      </c>
      <c r="BX8" s="41" t="s">
        <v>199</v>
      </c>
      <c r="BY8" s="41" t="s">
        <v>80</v>
      </c>
      <c r="BZ8" s="41" t="s">
        <v>85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195</v>
      </c>
      <c r="G9" s="9">
        <v>-24000</v>
      </c>
      <c r="H9" s="9"/>
      <c r="I9" s="48">
        <v>-1000</v>
      </c>
      <c r="J9" s="21">
        <f t="shared" si="2"/>
        <v>-1000</v>
      </c>
      <c r="K9" s="8"/>
      <c r="L9" s="9"/>
      <c r="M9" s="9"/>
      <c r="N9" s="48"/>
      <c r="O9" s="21">
        <f t="shared" si="3"/>
        <v>41000</v>
      </c>
      <c r="P9" s="8" t="s">
        <v>194</v>
      </c>
      <c r="Q9" s="9">
        <v>24000</v>
      </c>
      <c r="R9" s="9"/>
      <c r="S9" s="48">
        <v>1000</v>
      </c>
      <c r="T9" s="21">
        <f t="shared" si="4"/>
        <v>65000</v>
      </c>
      <c r="U9" s="53">
        <f>IF($J9="","",ROUND(($J9-$J$3)/1000,1)+(_xlfn.RANK.AVG($J9,($J9,$O9,$T9),1)-2)*20)</f>
        <v>-56</v>
      </c>
      <c r="V9" s="54">
        <f>IF($O9="","",ROUND(($O9-$O$3)/1000,1)+(_xlfn.RANK.AVG($O9,($J9,$O9,$T9),1)-2)*20)</f>
        <v>6</v>
      </c>
      <c r="W9" s="55">
        <f>IF($T9="","",ROUND(($T9-$T$3)/1000,1)+(_xlfn.RANK.AVG($T9,($J9,$O9,$T9),1)-2)*20)</f>
        <v>50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196</v>
      </c>
      <c r="BU9" s="40" t="s">
        <v>200</v>
      </c>
      <c r="BV9" s="41" t="s">
        <v>86</v>
      </c>
      <c r="BW9" s="41" t="s">
        <v>86</v>
      </c>
      <c r="BX9" s="41" t="s">
        <v>98</v>
      </c>
      <c r="BY9" s="41" t="s">
        <v>96</v>
      </c>
      <c r="BZ9" s="41" t="s">
        <v>201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D1035449-7330-48CD-85FC-95D0FE368FF6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FBBAF8EB-9492-45E8-8653-1571EF881672}">
      <formula1>"ロン,ツモ,放銃,ツモ支払,流局,チョンボ"</formula1>
    </dataValidation>
    <dataValidation type="list" allowBlank="1" showInputMessage="1" showErrorMessage="1" sqref="E4:E30" xr:uid="{78E85A24-E736-4FD5-AFDB-DCD091F9A17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85E85-ABE7-4A3A-A050-87539006A66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れんたろう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まっつん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198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197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198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-19</v>
      </c>
      <c r="V4" s="54">
        <f>IF($O4="","",ROUND(($O4-$O$3)/1000,1)+(_xlfn.RANK.AVG($O4,($J4,$O4,$T4),1)-2)*20)</f>
        <v>38</v>
      </c>
      <c r="W4" s="55">
        <f>IF($T4="","",ROUND(($T4-$T$3)/1000,1)+(_xlfn.RANK.AVG($T4,($J4,$O4,$T4),1)-2)*20)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196</v>
      </c>
      <c r="AZ4" s="40" t="s">
        <v>200</v>
      </c>
      <c r="BA4" s="41" t="s">
        <v>82</v>
      </c>
      <c r="BB4" s="41" t="s">
        <v>79</v>
      </c>
      <c r="BC4" s="41" t="s">
        <v>79</v>
      </c>
      <c r="BD4" s="41" t="s">
        <v>80</v>
      </c>
      <c r="BE4" s="41" t="s">
        <v>199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195</v>
      </c>
      <c r="G5" s="9">
        <v>-18000</v>
      </c>
      <c r="H5" s="9"/>
      <c r="I5" s="48">
        <v>-1000</v>
      </c>
      <c r="J5" s="21">
        <f t="shared" ref="J5:J30" si="2">IF(COUNTA($F5,$K5,$P5)&gt;0,J4+SUM(G5:I5),"")</f>
        <v>7000</v>
      </c>
      <c r="K5" s="8" t="s">
        <v>194</v>
      </c>
      <c r="L5" s="9">
        <v>18000</v>
      </c>
      <c r="M5" s="9">
        <v>1000</v>
      </c>
      <c r="N5" s="48">
        <v>1000</v>
      </c>
      <c r="O5" s="21">
        <f t="shared" ref="O5:O30" si="3">IF(COUNTA($F5,$K5,$P5)&gt;0,O4+SUM(L5:N5),"")</f>
        <v>73000</v>
      </c>
      <c r="P5" s="8"/>
      <c r="Q5" s="9"/>
      <c r="R5" s="9">
        <v>-1000</v>
      </c>
      <c r="S5" s="48"/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-48</v>
      </c>
      <c r="V5" s="54">
        <f>IF($O5="","",ROUND(($O5-$O$3)/1000,1)+(_xlfn.RANK.AVG($O5,($J5,$O5,$T5),1)-2)*20)</f>
        <v>58</v>
      </c>
      <c r="W5" s="55">
        <f>IF($T5="","",ROUND(($T5-$T$3)/1000,1)+(_xlfn.RANK.AVG($T5,($J5,$O5,$T5),1)-2)*20)</f>
        <v>-10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196</v>
      </c>
      <c r="AZ5" s="40" t="s">
        <v>200</v>
      </c>
      <c r="BA5" s="41" t="s">
        <v>201</v>
      </c>
      <c r="BB5" s="41" t="s">
        <v>199</v>
      </c>
      <c r="BC5" s="41" t="s">
        <v>85</v>
      </c>
      <c r="BD5" s="41" t="s">
        <v>80</v>
      </c>
      <c r="BE5" s="41" t="s">
        <v>79</v>
      </c>
      <c r="BF5" s="41" t="s">
        <v>84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198</v>
      </c>
      <c r="G6" s="9">
        <v>-1500</v>
      </c>
      <c r="H6" s="9"/>
      <c r="I6" s="48">
        <v>-1000</v>
      </c>
      <c r="J6" s="21">
        <f t="shared" si="2"/>
        <v>4500</v>
      </c>
      <c r="K6" s="8" t="s">
        <v>197</v>
      </c>
      <c r="L6" s="9">
        <v>3000</v>
      </c>
      <c r="M6" s="9">
        <v>1000</v>
      </c>
      <c r="N6" s="48">
        <v>2000</v>
      </c>
      <c r="O6" s="21">
        <f t="shared" si="3"/>
        <v>79000</v>
      </c>
      <c r="P6" s="8" t="s">
        <v>198</v>
      </c>
      <c r="Q6" s="9">
        <v>-1500</v>
      </c>
      <c r="R6" s="9">
        <v>-1000</v>
      </c>
      <c r="S6" s="48">
        <v>-1000</v>
      </c>
      <c r="T6" s="21">
        <f t="shared" si="4"/>
        <v>21500</v>
      </c>
      <c r="U6" s="53">
        <f>IF($J6="","",ROUND(($J6-$J$3)/1000,1)+(_xlfn.RANK.AVG($J6,($J6,$O6,$T6),1)-2)*20)</f>
        <v>-50.5</v>
      </c>
      <c r="V6" s="54">
        <f>IF($O6="","",ROUND(($O6-$O$3)/1000,1)+(_xlfn.RANK.AVG($O6,($J6,$O6,$T6),1)-2)*20)</f>
        <v>64</v>
      </c>
      <c r="W6" s="55">
        <f>IF($T6="","",ROUND(($T6-$T$3)/1000,1)+(_xlfn.RANK.AVG($T6,($J6,$O6,$T6),1)-2)*20)</f>
        <v>-13.5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104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192</v>
      </c>
      <c r="F7" s="8" t="s">
        <v>197</v>
      </c>
      <c r="G7" s="9">
        <v>5300</v>
      </c>
      <c r="H7" s="9">
        <v>1000</v>
      </c>
      <c r="I7" s="48">
        <v>3000</v>
      </c>
      <c r="J7" s="21">
        <f t="shared" si="2"/>
        <v>13800</v>
      </c>
      <c r="K7" s="8" t="s">
        <v>198</v>
      </c>
      <c r="L7" s="9">
        <v>-3300</v>
      </c>
      <c r="M7" s="9"/>
      <c r="N7" s="48">
        <v>-1500</v>
      </c>
      <c r="O7" s="21">
        <f t="shared" si="3"/>
        <v>74200</v>
      </c>
      <c r="P7" s="8" t="s">
        <v>198</v>
      </c>
      <c r="Q7" s="9">
        <v>-2000</v>
      </c>
      <c r="R7" s="9">
        <v>-1000</v>
      </c>
      <c r="S7" s="48">
        <v>-1500</v>
      </c>
      <c r="T7" s="21">
        <f t="shared" si="4"/>
        <v>17000</v>
      </c>
      <c r="U7" s="53">
        <f>IF($J7="","",ROUND(($J7-$J$3)/1000,1)+(_xlfn.RANK.AVG($J7,($J7,$O7,$T7),1)-2)*20)</f>
        <v>-41.2</v>
      </c>
      <c r="V7" s="54">
        <f>IF($O7="","",ROUND(($O7-$O$3)/1000,1)+(_xlfn.RANK.AVG($O7,($J7,$O7,$T7),1)-2)*20)</f>
        <v>59.2</v>
      </c>
      <c r="W7" s="55">
        <f>IF($T7="","",ROUND(($T7-$T$3)/1000,1)+(_xlfn.RANK.AVG($T7,($J7,$O7,$T7),1)-2)*20)</f>
        <v>-18</v>
      </c>
      <c r="Y7" s="8"/>
      <c r="Z7" s="34"/>
      <c r="AA7" s="26">
        <v>1</v>
      </c>
      <c r="AB7" s="26"/>
      <c r="AC7" s="26">
        <v>4</v>
      </c>
      <c r="AD7" s="30">
        <v>20</v>
      </c>
      <c r="AE7" s="40" t="s">
        <v>200</v>
      </c>
      <c r="AF7" s="41" t="s">
        <v>82</v>
      </c>
      <c r="AG7" s="41" t="s">
        <v>83</v>
      </c>
      <c r="AH7" s="41" t="s">
        <v>87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195</v>
      </c>
      <c r="G8" s="9">
        <v>-11600</v>
      </c>
      <c r="H8" s="9"/>
      <c r="I8" s="48">
        <v>0</v>
      </c>
      <c r="J8" s="21">
        <f t="shared" si="2"/>
        <v>2200</v>
      </c>
      <c r="K8" s="8"/>
      <c r="L8" s="9"/>
      <c r="M8" s="9"/>
      <c r="N8" s="48"/>
      <c r="O8" s="21">
        <f t="shared" si="3"/>
        <v>74200</v>
      </c>
      <c r="P8" s="8" t="s">
        <v>194</v>
      </c>
      <c r="Q8" s="9">
        <v>11600</v>
      </c>
      <c r="R8" s="9"/>
      <c r="S8" s="48">
        <v>0</v>
      </c>
      <c r="T8" s="21">
        <f t="shared" si="4"/>
        <v>28600</v>
      </c>
      <c r="U8" s="53">
        <f>IF($J8="","",ROUND(($J8-$J$3)/1000,1)+(_xlfn.RANK.AVG($J8,($J8,$O8,$T8),1)-2)*20)</f>
        <v>-52.8</v>
      </c>
      <c r="V8" s="54">
        <f>IF($O8="","",ROUND(($O8-$O$3)/1000,1)+(_xlfn.RANK.AVG($O8,($J8,$O8,$T8),1)-2)*20)</f>
        <v>59.2</v>
      </c>
      <c r="W8" s="55">
        <f>IF($T8="","",ROUND(($T8-$T$3)/1000,1)+(_xlfn.RANK.AVG($T8,($J8,$O8,$T8),1)-2)*20)</f>
        <v>-6.4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30</v>
      </c>
      <c r="BU8" s="40" t="s">
        <v>200</v>
      </c>
      <c r="BV8" s="41" t="s">
        <v>83</v>
      </c>
      <c r="BW8" s="41" t="s">
        <v>80</v>
      </c>
      <c r="BX8" s="41" t="s">
        <v>199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198</v>
      </c>
      <c r="G9" s="9">
        <v>-2900</v>
      </c>
      <c r="H9" s="9"/>
      <c r="I9" s="48">
        <v>-500</v>
      </c>
      <c r="J9" s="21">
        <f t="shared" si="2"/>
        <v>-1200</v>
      </c>
      <c r="K9" s="8" t="s">
        <v>197</v>
      </c>
      <c r="L9" s="9">
        <v>7700</v>
      </c>
      <c r="M9" s="9"/>
      <c r="N9" s="48">
        <v>1000</v>
      </c>
      <c r="O9" s="21">
        <f t="shared" si="3"/>
        <v>82900</v>
      </c>
      <c r="P9" s="8" t="s">
        <v>198</v>
      </c>
      <c r="Q9" s="9">
        <v>-4800</v>
      </c>
      <c r="R9" s="9"/>
      <c r="S9" s="48">
        <v>-500</v>
      </c>
      <c r="T9" s="21">
        <f t="shared" si="4"/>
        <v>23300</v>
      </c>
      <c r="U9" s="53">
        <f>IF($J9="","",ROUND(($J9-$J$3)/1000,1)+(_xlfn.RANK.AVG($J9,($J9,$O9,$T9),1)-2)*20)</f>
        <v>-56.2</v>
      </c>
      <c r="V9" s="54">
        <f>IF($O9="","",ROUND(($O9-$O$3)/1000,1)+(_xlfn.RANK.AVG($O9,($J9,$O9,$T9),1)-2)*20)</f>
        <v>67.900000000000006</v>
      </c>
      <c r="W9" s="55">
        <f>IF($T9="","",ROUND(($T9-$T$3)/1000,1)+(_xlfn.RANK.AVG($T9,($J9,$O9,$T9),1)-2)*20)</f>
        <v>-11.7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200</v>
      </c>
      <c r="BA9" s="41" t="s">
        <v>82</v>
      </c>
      <c r="BB9" s="41" t="s">
        <v>79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799A5EF4-3DC1-42FF-8F05-3B3E3CED36E5}">
      <formula1>$U$2:$W$2</formula1>
    </dataValidation>
    <dataValidation type="list" showInputMessage="1" showErrorMessage="1" sqref="K4:K30 P4:P30 F4:F30" xr:uid="{510F4824-B74C-4ED2-B789-73DE921B3C45}">
      <formula1>"ロン,ツモ,放銃,ツモ支払,流局,チョンボ"</formula1>
    </dataValidation>
    <dataValidation type="list" allowBlank="1" showInputMessage="1" sqref="F1:T1" xr:uid="{5FE530D3-6C83-436F-89C2-C8BF50A63777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E016F-EAD4-4A7E-8705-EBA4D534C1B9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191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まっつん</v>
      </c>
      <c r="W2" s="16" t="str">
        <f>$P$1</f>
        <v>ただ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3900</v>
      </c>
      <c r="H4" s="9">
        <v>1000</v>
      </c>
      <c r="I4" s="48">
        <v>0</v>
      </c>
      <c r="J4" s="21">
        <f>IF(COUNTA($F4,$K4,$P4)&gt;0,J3+SUM(G4:I4),"")</f>
        <v>39900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-3900</v>
      </c>
      <c r="R4" s="9">
        <v>-1000</v>
      </c>
      <c r="S4" s="48">
        <v>0</v>
      </c>
      <c r="T4" s="21">
        <f>IF(COUNTA($F4,$K4,$P4)&gt;0,T3+SUM(Q4:S4),"")</f>
        <v>30100</v>
      </c>
      <c r="U4" s="53">
        <f>IF($J4="","",ROUND(($J4-$J$3)/1000,1)+(_xlfn.RANK.AVG($J4,($J4,$O4,$T4),1)-2)*20)</f>
        <v>24.9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-24.9</v>
      </c>
      <c r="Y4" s="8"/>
      <c r="Z4" s="34"/>
      <c r="AA4" s="26"/>
      <c r="AB4" s="26"/>
      <c r="AC4" s="26">
        <v>3</v>
      </c>
      <c r="AD4" s="30">
        <v>30</v>
      </c>
      <c r="AE4" s="40" t="s">
        <v>83</v>
      </c>
      <c r="AF4" s="41" t="s">
        <v>79</v>
      </c>
      <c r="AG4" s="41" t="s">
        <v>199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194</v>
      </c>
      <c r="G5" s="9">
        <v>3200</v>
      </c>
      <c r="H5" s="9"/>
      <c r="I5" s="48">
        <v>0</v>
      </c>
      <c r="J5" s="21">
        <f t="shared" ref="J5:J30" si="2">IF(COUNTA($F5,$K5,$P5)&gt;0,J4+SUM(G5:I5),"")</f>
        <v>43100</v>
      </c>
      <c r="K5" s="8" t="s">
        <v>195</v>
      </c>
      <c r="L5" s="9">
        <v>-3200</v>
      </c>
      <c r="M5" s="9"/>
      <c r="N5" s="48">
        <v>0</v>
      </c>
      <c r="O5" s="21">
        <f t="shared" ref="O5:O30" si="3">IF(COUNTA($F5,$K5,$P5)&gt;0,O4+SUM(L5:N5),"")</f>
        <v>31800</v>
      </c>
      <c r="P5" s="8"/>
      <c r="Q5" s="9"/>
      <c r="R5" s="9"/>
      <c r="S5" s="48"/>
      <c r="T5" s="21">
        <f t="shared" ref="T5:T30" si="4">IF(COUNTA($F5,$K5,$P5)&gt;0,T4+SUM(Q5:S5),"")</f>
        <v>30100</v>
      </c>
      <c r="U5" s="53">
        <f>IF($J5="","",ROUND(($J5-$J$3)/1000,1)+(_xlfn.RANK.AVG($J5,($J5,$O5,$T5),1)-2)*20)</f>
        <v>28.1</v>
      </c>
      <c r="V5" s="54">
        <f>IF($O5="","",ROUND(($O5-$O$3)/1000,1)+(_xlfn.RANK.AVG($O5,($J5,$O5,$T5),1)-2)*20)</f>
        <v>-3.2</v>
      </c>
      <c r="W5" s="55">
        <f>IF($T5="","",ROUND(($T5-$T$3)/1000,1)+(_xlfn.RANK.AVG($T5,($J5,$O5,$T5),1)-2)*20)</f>
        <v>-24.9</v>
      </c>
      <c r="Y5" s="8"/>
      <c r="Z5" s="34"/>
      <c r="AA5" s="26">
        <v>1</v>
      </c>
      <c r="AB5" s="26"/>
      <c r="AC5" s="26">
        <v>3</v>
      </c>
      <c r="AD5" s="30">
        <v>25</v>
      </c>
      <c r="AE5" s="40" t="s">
        <v>200</v>
      </c>
      <c r="AF5" s="41" t="s">
        <v>101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43100</v>
      </c>
      <c r="K6" s="8" t="s">
        <v>195</v>
      </c>
      <c r="L6" s="9">
        <v>-2600</v>
      </c>
      <c r="M6" s="9">
        <v>-1000</v>
      </c>
      <c r="N6" s="48">
        <v>0</v>
      </c>
      <c r="O6" s="21">
        <f t="shared" si="3"/>
        <v>28200</v>
      </c>
      <c r="P6" s="8" t="s">
        <v>194</v>
      </c>
      <c r="Q6" s="9">
        <v>2600</v>
      </c>
      <c r="R6" s="9">
        <v>1000</v>
      </c>
      <c r="S6" s="48">
        <v>0</v>
      </c>
      <c r="T6" s="21">
        <f t="shared" si="4"/>
        <v>33700</v>
      </c>
      <c r="U6" s="53">
        <f>IF($J6="","",ROUND(($J6-$J$3)/1000,1)+(_xlfn.RANK.AVG($J6,($J6,$O6,$T6),1)-2)*20)</f>
        <v>28.1</v>
      </c>
      <c r="V6" s="54">
        <f>IF($O6="","",ROUND(($O6-$O$3)/1000,1)+(_xlfn.RANK.AVG($O6,($J6,$O6,$T6),1)-2)*20)</f>
        <v>-26.8</v>
      </c>
      <c r="W6" s="55">
        <f>IF($T6="","",ROUND(($T6-$T$3)/1000,1)+(_xlfn.RANK.AVG($T6,($J6,$O6,$T6),1)-2)*20)</f>
        <v>-1.3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200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198</v>
      </c>
      <c r="G7" s="9">
        <v>-3900</v>
      </c>
      <c r="H7" s="9"/>
      <c r="I7" s="48">
        <v>0</v>
      </c>
      <c r="J7" s="21">
        <f t="shared" si="2"/>
        <v>39200</v>
      </c>
      <c r="K7" s="8" t="s">
        <v>197</v>
      </c>
      <c r="L7" s="9">
        <v>7800</v>
      </c>
      <c r="M7" s="9"/>
      <c r="N7" s="48">
        <v>0</v>
      </c>
      <c r="O7" s="21">
        <f t="shared" si="3"/>
        <v>36000</v>
      </c>
      <c r="P7" s="8" t="s">
        <v>198</v>
      </c>
      <c r="Q7" s="9">
        <v>-3900</v>
      </c>
      <c r="R7" s="9"/>
      <c r="S7" s="48">
        <v>0</v>
      </c>
      <c r="T7" s="21">
        <f t="shared" si="4"/>
        <v>29800</v>
      </c>
      <c r="U7" s="53">
        <f>IF($J7="","",ROUND(($J7-$J$3)/1000,1)+(_xlfn.RANK.AVG($J7,($J7,$O7,$T7),1)-2)*20)</f>
        <v>24.2</v>
      </c>
      <c r="V7" s="54">
        <f>IF($O7="","",ROUND(($O7-$O$3)/1000,1)+(_xlfn.RANK.AVG($O7,($J7,$O7,$T7),1)-2)*20)</f>
        <v>1</v>
      </c>
      <c r="W7" s="55">
        <f>IF($T7="","",ROUND(($T7-$T$3)/1000,1)+(_xlfn.RANK.AVG($T7,($J7,$O7,$T7),1)-2)*20)</f>
        <v>-25.2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20</v>
      </c>
      <c r="AZ7" s="40" t="s">
        <v>200</v>
      </c>
      <c r="BA7" s="41" t="s">
        <v>82</v>
      </c>
      <c r="BB7" s="41" t="s">
        <v>199</v>
      </c>
      <c r="BC7" s="41" t="s">
        <v>83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192</v>
      </c>
      <c r="F8" s="8" t="s">
        <v>206</v>
      </c>
      <c r="G8" s="9">
        <v>1500</v>
      </c>
      <c r="H8" s="9"/>
      <c r="I8" s="48"/>
      <c r="J8" s="21">
        <f t="shared" si="2"/>
        <v>40700</v>
      </c>
      <c r="K8" s="8" t="s">
        <v>206</v>
      </c>
      <c r="L8" s="9">
        <v>-3000</v>
      </c>
      <c r="M8" s="9"/>
      <c r="N8" s="48"/>
      <c r="O8" s="21">
        <f t="shared" si="3"/>
        <v>33000</v>
      </c>
      <c r="P8" s="8" t="s">
        <v>206</v>
      </c>
      <c r="Q8" s="9">
        <v>1500</v>
      </c>
      <c r="R8" s="9">
        <v>-1000</v>
      </c>
      <c r="S8" s="48"/>
      <c r="T8" s="21">
        <f t="shared" si="4"/>
        <v>30300</v>
      </c>
      <c r="U8" s="53">
        <f>IF($J8="","",ROUND(($J8-$J$3)/1000,1)+(_xlfn.RANK.AVG($J8,($J8,$O8,$T8),1)-2)*20)</f>
        <v>25.7</v>
      </c>
      <c r="V8" s="54">
        <f>IF($O8="","",ROUND(($O8-$O$3)/1000,1)+(_xlfn.RANK.AVG($O8,($J8,$O8,$T8),1)-2)*20)</f>
        <v>-2</v>
      </c>
      <c r="W8" s="55">
        <f>IF($T8="","",ROUND(($T8-$T$3)/1000,1)+(_xlfn.RANK.AVG($T8,($J8,$O8,$T8),1)-2)*20)</f>
        <v>-24.7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2</v>
      </c>
      <c r="D9" s="18">
        <f t="shared" si="1"/>
        <v>1</v>
      </c>
      <c r="E9" s="4" t="s">
        <v>193</v>
      </c>
      <c r="F9" s="8"/>
      <c r="G9" s="9"/>
      <c r="H9" s="9"/>
      <c r="I9" s="48"/>
      <c r="J9" s="21">
        <f t="shared" si="2"/>
        <v>40700</v>
      </c>
      <c r="K9" s="8" t="s">
        <v>195</v>
      </c>
      <c r="L9" s="9">
        <v>-3900</v>
      </c>
      <c r="M9" s="9">
        <v>-1000</v>
      </c>
      <c r="N9" s="48">
        <v>-2000</v>
      </c>
      <c r="O9" s="21">
        <f t="shared" si="3"/>
        <v>26100</v>
      </c>
      <c r="P9" s="8" t="s">
        <v>194</v>
      </c>
      <c r="Q9" s="9">
        <v>3900</v>
      </c>
      <c r="R9" s="9">
        <v>2000</v>
      </c>
      <c r="S9" s="48">
        <v>2000</v>
      </c>
      <c r="T9" s="21">
        <f t="shared" si="4"/>
        <v>38200</v>
      </c>
      <c r="U9" s="53">
        <f>IF($J9="","",ROUND(($J9-$J$3)/1000,1)+(_xlfn.RANK.AVG($J9,($J9,$O9,$T9),1)-2)*20)</f>
        <v>25.7</v>
      </c>
      <c r="V9" s="54">
        <f>IF($O9="","",ROUND(($O9-$O$3)/1000,1)+(_xlfn.RANK.AVG($O9,($J9,$O9,$T9),1)-2)*20)</f>
        <v>-28.9</v>
      </c>
      <c r="W9" s="55">
        <f>IF($T9="","",ROUND(($T9-$T$3)/1000,1)+(_xlfn.RANK.AVG($T9,($J9,$O9,$T9),1)-2)*20)</f>
        <v>3.2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84</v>
      </c>
      <c r="BV9" s="41" t="s">
        <v>199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">
        <v>193</v>
      </c>
      <c r="F10" s="8" t="s">
        <v>195</v>
      </c>
      <c r="G10" s="9">
        <v>-12000</v>
      </c>
      <c r="H10" s="9"/>
      <c r="I10" s="48">
        <v>-3000</v>
      </c>
      <c r="J10" s="21">
        <f t="shared" si="2"/>
        <v>25700</v>
      </c>
      <c r="K10" s="8"/>
      <c r="L10" s="9"/>
      <c r="M10" s="9">
        <v>-1000</v>
      </c>
      <c r="N10" s="48"/>
      <c r="O10" s="21">
        <f t="shared" si="3"/>
        <v>25100</v>
      </c>
      <c r="P10" s="8" t="s">
        <v>194</v>
      </c>
      <c r="Q10" s="9">
        <v>12000</v>
      </c>
      <c r="R10" s="9">
        <v>1000</v>
      </c>
      <c r="S10" s="48">
        <v>3000</v>
      </c>
      <c r="T10" s="21">
        <f t="shared" si="4"/>
        <v>54200</v>
      </c>
      <c r="U10" s="53">
        <f>IF($J10="","",ROUND(($J10-$J$3)/1000,1)+(_xlfn.RANK.AVG($J10,($J10,$O10,$T10),1)-2)*20)</f>
        <v>-9.3000000000000007</v>
      </c>
      <c r="V10" s="54">
        <f>IF($O10="","",ROUND(($O10-$O$3)/1000,1)+(_xlfn.RANK.AVG($O10,($J10,$O10,$T10),1)-2)*20)</f>
        <v>-29.9</v>
      </c>
      <c r="W10" s="55">
        <f>IF($T10="","",ROUND(($T10-$T$3)/1000,1)+(_xlfn.RANK.AVG($T10,($J10,$O10,$T10),1)-2)*20)</f>
        <v>39.200000000000003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196</v>
      </c>
      <c r="BU10" s="40" t="s">
        <v>200</v>
      </c>
      <c r="BV10" s="41" t="s">
        <v>104</v>
      </c>
      <c r="BW10" s="41" t="s">
        <v>86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4</v>
      </c>
      <c r="D11" s="18">
        <f t="shared" si="1"/>
        <v>0</v>
      </c>
      <c r="E11" s="4" t="s">
        <v>193</v>
      </c>
      <c r="F11" s="8" t="s">
        <v>195</v>
      </c>
      <c r="G11" s="9">
        <v>-11600</v>
      </c>
      <c r="H11" s="9">
        <v>-1000</v>
      </c>
      <c r="I11" s="48">
        <v>-4000</v>
      </c>
      <c r="J11" s="21">
        <f t="shared" si="2"/>
        <v>9100</v>
      </c>
      <c r="K11" s="8"/>
      <c r="L11" s="9"/>
      <c r="M11" s="9"/>
      <c r="N11" s="48"/>
      <c r="O11" s="21">
        <f t="shared" si="3"/>
        <v>25100</v>
      </c>
      <c r="P11" s="8" t="s">
        <v>194</v>
      </c>
      <c r="Q11" s="9">
        <v>11600</v>
      </c>
      <c r="R11" s="9">
        <v>1000</v>
      </c>
      <c r="S11" s="48">
        <v>4000</v>
      </c>
      <c r="T11" s="21">
        <f t="shared" si="4"/>
        <v>70800</v>
      </c>
      <c r="U11" s="53">
        <f>IF($J11="","",ROUND(($J11-$J$3)/1000,1)+(_xlfn.RANK.AVG($J11,($J11,$O11,$T11),1)-2)*20)</f>
        <v>-45.9</v>
      </c>
      <c r="V11" s="54">
        <f>IF($O11="","",ROUND(($O11-$O$3)/1000,1)+(_xlfn.RANK.AVG($O11,($J11,$O11,$T11),1)-2)*20)</f>
        <v>-9.9</v>
      </c>
      <c r="W11" s="55">
        <f>IF($T11="","",ROUND(($T11-$T$3)/1000,1)+(_xlfn.RANK.AVG($T11,($J11,$O11,$T11),1)-2)*20)</f>
        <v>55.8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200</v>
      </c>
      <c r="BV11" s="41" t="s">
        <v>83</v>
      </c>
      <c r="BW11" s="41" t="s">
        <v>79</v>
      </c>
      <c r="BX11" s="41" t="s">
        <v>84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5</v>
      </c>
      <c r="D12" s="18">
        <f t="shared" si="1"/>
        <v>0</v>
      </c>
      <c r="E12" s="4" t="s">
        <v>193</v>
      </c>
      <c r="F12" s="8" t="s">
        <v>194</v>
      </c>
      <c r="G12" s="9">
        <v>12000</v>
      </c>
      <c r="H12" s="9">
        <v>1000</v>
      </c>
      <c r="I12" s="48">
        <v>5000</v>
      </c>
      <c r="J12" s="21">
        <f t="shared" si="2"/>
        <v>27100</v>
      </c>
      <c r="K12" s="8"/>
      <c r="L12" s="9"/>
      <c r="M12" s="9"/>
      <c r="N12" s="48"/>
      <c r="O12" s="21">
        <f t="shared" si="3"/>
        <v>25100</v>
      </c>
      <c r="P12" s="8" t="s">
        <v>195</v>
      </c>
      <c r="Q12" s="9">
        <v>-12000</v>
      </c>
      <c r="R12" s="9">
        <v>-1000</v>
      </c>
      <c r="S12" s="48">
        <v>-5000</v>
      </c>
      <c r="T12" s="21">
        <f t="shared" si="4"/>
        <v>52800</v>
      </c>
      <c r="U12" s="53">
        <f>IF($J12="","",ROUND(($J12-$J$3)/1000,1)+(_xlfn.RANK.AVG($J12,($J12,$O12,$T12),1)-2)*20)</f>
        <v>-7.9</v>
      </c>
      <c r="V12" s="54">
        <f>IF($O12="","",ROUND(($O12-$O$3)/1000,1)+(_xlfn.RANK.AVG($O12,($J12,$O12,$T12),1)-2)*20)</f>
        <v>-29.9</v>
      </c>
      <c r="W12" s="55">
        <f>IF($T12="","",ROUND(($T12-$T$3)/1000,1)+(_xlfn.RANK.AVG($T12,($J12,$O12,$T12),1)-2)*20)</f>
        <v>37.799999999999997</v>
      </c>
      <c r="Y12" s="8"/>
      <c r="Z12" s="34"/>
      <c r="AA12" s="26">
        <v>1</v>
      </c>
      <c r="AB12" s="26"/>
      <c r="AC12" s="26">
        <v>7</v>
      </c>
      <c r="AD12" s="30" t="s">
        <v>196</v>
      </c>
      <c r="AE12" s="40" t="s">
        <v>207</v>
      </c>
      <c r="AF12" s="41" t="s">
        <v>96</v>
      </c>
      <c r="AG12" s="41" t="s">
        <v>98</v>
      </c>
      <c r="AH12" s="41" t="s">
        <v>86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195</v>
      </c>
      <c r="G13" s="9">
        <v>-3900</v>
      </c>
      <c r="H13" s="9"/>
      <c r="I13" s="48">
        <v>0</v>
      </c>
      <c r="J13" s="21">
        <f t="shared" si="2"/>
        <v>23200</v>
      </c>
      <c r="K13" s="8"/>
      <c r="L13" s="9"/>
      <c r="M13" s="9">
        <v>-1000</v>
      </c>
      <c r="N13" s="48"/>
      <c r="O13" s="21">
        <f t="shared" si="3"/>
        <v>24100</v>
      </c>
      <c r="P13" s="8" t="s">
        <v>194</v>
      </c>
      <c r="Q13" s="9">
        <v>3900</v>
      </c>
      <c r="R13" s="9">
        <v>1000</v>
      </c>
      <c r="S13" s="48">
        <v>0</v>
      </c>
      <c r="T13" s="21">
        <f t="shared" si="4"/>
        <v>57700</v>
      </c>
      <c r="U13" s="53">
        <f>IF($J13="","",ROUND(($J13-$J$3)/1000,1)+(_xlfn.RANK.AVG($J13,($J13,$O13,$T13),1)-2)*20)</f>
        <v>-31.8</v>
      </c>
      <c r="V13" s="54">
        <f>IF($O13="","",ROUND(($O13-$O$3)/1000,1)+(_xlfn.RANK.AVG($O13,($J13,$O13,$T13),1)-2)*20)</f>
        <v>-10.9</v>
      </c>
      <c r="W13" s="55">
        <f>IF($T13="","",ROUND(($T13-$T$3)/1000,1)+(_xlfn.RANK.AVG($T13,($J13,$O13,$T13),1)-2)*20)</f>
        <v>42.7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104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192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831D86B7-CB61-45BD-AB0F-EE5793B7BFE0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1392419B-4E56-40CE-B875-66BA1A107D84}">
      <formula1>"ロン,ツモ,放銃,ツモ支払,流局,チョンボ"</formula1>
    </dataValidation>
    <dataValidation type="list" allowBlank="1" showInputMessage="1" showErrorMessage="1" sqref="E4:E30" xr:uid="{578B66A0-BD4D-48AE-AEB8-2A7A4167F77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2019-06-11T14:57:10Z</dcterms:modified>
</cp:coreProperties>
</file>