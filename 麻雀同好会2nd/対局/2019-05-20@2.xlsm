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対局\"/>
    </mc:Choice>
  </mc:AlternateContent>
  <xr:revisionPtr revIDLastSave="0" documentId="13_ncr:1_{1F97FB61-BDF6-46FC-8FB2-D25270784B3E}" xr6:coauthVersionLast="36" xr6:coauthVersionMax="36" xr10:uidLastSave="{00000000-0000-0000-0000-000000000000}"/>
  <bookViews>
    <workbookView xWindow="0" yWindow="0" windowWidth="28800" windowHeight="12720" activeTab="5" xr2:uid="{4CDB34E1-560F-4998-ABAB-D6F7F2862621}"/>
  </bookViews>
  <sheets>
    <sheet name="Sheet1" sheetId="19" r:id="rId1"/>
    <sheet name="Sheet2" sheetId="21" r:id="rId2"/>
    <sheet name="Sheet3" sheetId="22" r:id="rId3"/>
    <sheet name="Sheet4" sheetId="23" r:id="rId4"/>
    <sheet name="Sheet5" sheetId="24" r:id="rId5"/>
    <sheet name="Sheet6" sheetId="25" r:id="rId6"/>
    <sheet name="役一覧" sheetId="15" state="hidden" r:id="rId7"/>
    <sheet name="点数表(親ロン)" sheetId="4" state="hidden" r:id="rId8"/>
    <sheet name="点数表(親ツモ)" sheetId="9" state="hidden" r:id="rId9"/>
    <sheet name="点数表(子→親)" sheetId="7" state="hidden" r:id="rId10"/>
    <sheet name="点数表(子ロン)" sheetId="3" state="hidden" r:id="rId11"/>
    <sheet name="点数表(子ツモ)" sheetId="10" state="hidden" r:id="rId12"/>
    <sheet name="点数表(子→子)" sheetId="5" state="hidden" r:id="rId13"/>
    <sheet name="点数表(親→子)" sheetId="6" state="hidden" r:id="rId1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5" l="1"/>
  <c r="W30" i="25" s="1"/>
  <c r="O30" i="25"/>
  <c r="V30" i="25" s="1"/>
  <c r="J30" i="25"/>
  <c r="U30" i="25" s="1"/>
  <c r="D30" i="25"/>
  <c r="C30" i="25"/>
  <c r="B30" i="25"/>
  <c r="A30" i="25"/>
  <c r="T29" i="25"/>
  <c r="W29" i="25" s="1"/>
  <c r="O29" i="25"/>
  <c r="V29" i="25" s="1"/>
  <c r="J29" i="25"/>
  <c r="U29" i="25" s="1"/>
  <c r="D29" i="25"/>
  <c r="C29" i="25"/>
  <c r="B29" i="25"/>
  <c r="A29" i="25"/>
  <c r="T28" i="25"/>
  <c r="W28" i="25" s="1"/>
  <c r="O28" i="25"/>
  <c r="V28" i="25" s="1"/>
  <c r="J28" i="25"/>
  <c r="U28" i="25" s="1"/>
  <c r="D28" i="25"/>
  <c r="C28" i="25"/>
  <c r="B28" i="25"/>
  <c r="A28" i="25"/>
  <c r="T27" i="25"/>
  <c r="W27" i="25" s="1"/>
  <c r="O27" i="25"/>
  <c r="V27" i="25" s="1"/>
  <c r="J27" i="25"/>
  <c r="U27" i="25" s="1"/>
  <c r="D27" i="25"/>
  <c r="C27" i="25"/>
  <c r="B27" i="25"/>
  <c r="A27" i="25"/>
  <c r="T26" i="25"/>
  <c r="W26" i="25" s="1"/>
  <c r="O26" i="25"/>
  <c r="V26" i="25" s="1"/>
  <c r="J26" i="25"/>
  <c r="U26" i="25" s="1"/>
  <c r="D26" i="25"/>
  <c r="C26" i="25"/>
  <c r="B26" i="25"/>
  <c r="A26" i="25"/>
  <c r="T25" i="25"/>
  <c r="W25" i="25" s="1"/>
  <c r="O25" i="25"/>
  <c r="V25" i="25" s="1"/>
  <c r="J25" i="25"/>
  <c r="U25" i="25" s="1"/>
  <c r="D25" i="25"/>
  <c r="C25" i="25"/>
  <c r="B25" i="25"/>
  <c r="A25" i="25"/>
  <c r="T24" i="25"/>
  <c r="W24" i="25" s="1"/>
  <c r="O24" i="25"/>
  <c r="V24" i="25" s="1"/>
  <c r="J24" i="25"/>
  <c r="U24" i="25" s="1"/>
  <c r="D24" i="25"/>
  <c r="C24" i="25"/>
  <c r="B24" i="25"/>
  <c r="A24" i="25"/>
  <c r="T23" i="25"/>
  <c r="W23" i="25" s="1"/>
  <c r="O23" i="25"/>
  <c r="V23" i="25" s="1"/>
  <c r="J23" i="25"/>
  <c r="U23" i="25" s="1"/>
  <c r="D23" i="25"/>
  <c r="C23" i="25"/>
  <c r="B23" i="25"/>
  <c r="A23" i="25"/>
  <c r="T22" i="25"/>
  <c r="W22" i="25" s="1"/>
  <c r="O22" i="25"/>
  <c r="V22" i="25" s="1"/>
  <c r="J22" i="25"/>
  <c r="U22" i="25" s="1"/>
  <c r="D22" i="25"/>
  <c r="C22" i="25"/>
  <c r="B22" i="25"/>
  <c r="A22" i="25"/>
  <c r="T21" i="25"/>
  <c r="W21" i="25" s="1"/>
  <c r="O21" i="25"/>
  <c r="V21" i="25" s="1"/>
  <c r="J21" i="25"/>
  <c r="U21" i="25" s="1"/>
  <c r="D21" i="25"/>
  <c r="C21" i="25"/>
  <c r="B21" i="25"/>
  <c r="A21" i="25"/>
  <c r="T20" i="25"/>
  <c r="W20" i="25" s="1"/>
  <c r="O20" i="25"/>
  <c r="V20" i="25" s="1"/>
  <c r="J20" i="25"/>
  <c r="U20" i="25" s="1"/>
  <c r="D20" i="25"/>
  <c r="C20" i="25"/>
  <c r="B20" i="25"/>
  <c r="A20" i="25"/>
  <c r="T19" i="25"/>
  <c r="W19" i="25" s="1"/>
  <c r="O19" i="25"/>
  <c r="V19" i="25" s="1"/>
  <c r="J19" i="25"/>
  <c r="U19" i="25" s="1"/>
  <c r="D19" i="25"/>
  <c r="C19" i="25"/>
  <c r="B19" i="25"/>
  <c r="A19" i="25"/>
  <c r="T18" i="25"/>
  <c r="W18" i="25" s="1"/>
  <c r="O18" i="25"/>
  <c r="V18" i="25" s="1"/>
  <c r="J18" i="25"/>
  <c r="U18" i="25" s="1"/>
  <c r="D18" i="25"/>
  <c r="C18" i="25"/>
  <c r="B18" i="25"/>
  <c r="A18" i="25"/>
  <c r="T17" i="25"/>
  <c r="W17" i="25" s="1"/>
  <c r="O17" i="25"/>
  <c r="V17" i="25" s="1"/>
  <c r="J17" i="25"/>
  <c r="U17" i="25" s="1"/>
  <c r="D17" i="25"/>
  <c r="C17" i="25"/>
  <c r="B17" i="25"/>
  <c r="A17" i="25"/>
  <c r="T16" i="25"/>
  <c r="W16" i="25" s="1"/>
  <c r="O16" i="25"/>
  <c r="V16" i="25" s="1"/>
  <c r="J16" i="25"/>
  <c r="U16" i="25" s="1"/>
  <c r="D16" i="25"/>
  <c r="C16" i="25"/>
  <c r="B16" i="25"/>
  <c r="A16" i="25"/>
  <c r="T15" i="25"/>
  <c r="W15" i="25" s="1"/>
  <c r="O15" i="25"/>
  <c r="V15" i="25" s="1"/>
  <c r="J15" i="25"/>
  <c r="U15" i="25" s="1"/>
  <c r="D15" i="25"/>
  <c r="C15" i="25"/>
  <c r="B15" i="25"/>
  <c r="A15" i="25"/>
  <c r="T14" i="25"/>
  <c r="W14" i="25" s="1"/>
  <c r="O14" i="25"/>
  <c r="V14" i="25" s="1"/>
  <c r="J14" i="25"/>
  <c r="U14" i="25" s="1"/>
  <c r="D14" i="25"/>
  <c r="C14" i="25"/>
  <c r="B14" i="25"/>
  <c r="A14" i="25"/>
  <c r="T13" i="25"/>
  <c r="W13" i="25" s="1"/>
  <c r="O13" i="25"/>
  <c r="V13" i="25" s="1"/>
  <c r="J13" i="25"/>
  <c r="U13" i="25" s="1"/>
  <c r="D13" i="25"/>
  <c r="C13" i="25"/>
  <c r="B13" i="25"/>
  <c r="A13" i="25"/>
  <c r="D12" i="25"/>
  <c r="C12" i="25"/>
  <c r="D11" i="25"/>
  <c r="C11" i="25"/>
  <c r="D10" i="25"/>
  <c r="C10" i="25"/>
  <c r="D9" i="25"/>
  <c r="C9" i="25"/>
  <c r="D8" i="25"/>
  <c r="C8" i="25"/>
  <c r="D7" i="25"/>
  <c r="D6" i="25"/>
  <c r="C6" i="25"/>
  <c r="C7" i="25" s="1"/>
  <c r="O5" i="25"/>
  <c r="J5" i="25"/>
  <c r="J6" i="25" s="1"/>
  <c r="D5" i="25"/>
  <c r="C5" i="25"/>
  <c r="B5" i="25"/>
  <c r="B6" i="25" s="1"/>
  <c r="A5" i="25"/>
  <c r="T4" i="25"/>
  <c r="O4" i="25"/>
  <c r="J4" i="25"/>
  <c r="W3" i="25"/>
  <c r="V3" i="25"/>
  <c r="U3" i="25"/>
  <c r="W2" i="25"/>
  <c r="V2" i="25"/>
  <c r="U2" i="25"/>
  <c r="BO1" i="25"/>
  <c r="AT1" i="25"/>
  <c r="Y1" i="25"/>
  <c r="V4" i="25" l="1"/>
  <c r="W4" i="25"/>
  <c r="U4" i="25"/>
  <c r="B7" i="25"/>
  <c r="A7" i="25" s="1"/>
  <c r="J7" i="25"/>
  <c r="T5" i="25"/>
  <c r="V5" i="25" s="1"/>
  <c r="O6" i="25"/>
  <c r="A6" i="25"/>
  <c r="T30" i="24"/>
  <c r="W30" i="24" s="1"/>
  <c r="O30" i="24"/>
  <c r="V30" i="24" s="1"/>
  <c r="J30" i="24"/>
  <c r="U30" i="24" s="1"/>
  <c r="D30" i="24"/>
  <c r="C30" i="24"/>
  <c r="B30" i="24"/>
  <c r="A30" i="24"/>
  <c r="T29" i="24"/>
  <c r="W29" i="24" s="1"/>
  <c r="O29" i="24"/>
  <c r="V29" i="24" s="1"/>
  <c r="J29" i="24"/>
  <c r="U29" i="24" s="1"/>
  <c r="D29" i="24"/>
  <c r="C29" i="24"/>
  <c r="B29" i="24"/>
  <c r="A29" i="24"/>
  <c r="T28" i="24"/>
  <c r="W28" i="24" s="1"/>
  <c r="O28" i="24"/>
  <c r="V28" i="24" s="1"/>
  <c r="J28" i="24"/>
  <c r="U28" i="24" s="1"/>
  <c r="D28" i="24"/>
  <c r="C28" i="24"/>
  <c r="B28" i="24"/>
  <c r="A28" i="24"/>
  <c r="T27" i="24"/>
  <c r="W27" i="24" s="1"/>
  <c r="O27" i="24"/>
  <c r="V27" i="24" s="1"/>
  <c r="J27" i="24"/>
  <c r="U27" i="24" s="1"/>
  <c r="D27" i="24"/>
  <c r="C27" i="24"/>
  <c r="B27" i="24"/>
  <c r="A27" i="24"/>
  <c r="T26" i="24"/>
  <c r="W26" i="24" s="1"/>
  <c r="O26" i="24"/>
  <c r="V26" i="24" s="1"/>
  <c r="J26" i="24"/>
  <c r="U26" i="24" s="1"/>
  <c r="D26" i="24"/>
  <c r="C26" i="24"/>
  <c r="B26" i="24"/>
  <c r="A26" i="24"/>
  <c r="T25" i="24"/>
  <c r="W25" i="24" s="1"/>
  <c r="O25" i="24"/>
  <c r="V25" i="24" s="1"/>
  <c r="J25" i="24"/>
  <c r="U25" i="24" s="1"/>
  <c r="D25" i="24"/>
  <c r="C25" i="24"/>
  <c r="B25" i="24"/>
  <c r="A25" i="24"/>
  <c r="T24" i="24"/>
  <c r="W24" i="24" s="1"/>
  <c r="O24" i="24"/>
  <c r="V24" i="24" s="1"/>
  <c r="J24" i="24"/>
  <c r="U24" i="24" s="1"/>
  <c r="D24" i="24"/>
  <c r="C24" i="24"/>
  <c r="B24" i="24"/>
  <c r="A24" i="24"/>
  <c r="T23" i="24"/>
  <c r="W23" i="24" s="1"/>
  <c r="O23" i="24"/>
  <c r="V23" i="24" s="1"/>
  <c r="J23" i="24"/>
  <c r="U23" i="24" s="1"/>
  <c r="D23" i="24"/>
  <c r="C23" i="24"/>
  <c r="B23" i="24"/>
  <c r="A23" i="24"/>
  <c r="T22" i="24"/>
  <c r="W22" i="24" s="1"/>
  <c r="O22" i="24"/>
  <c r="V22" i="24" s="1"/>
  <c r="J22" i="24"/>
  <c r="U22" i="24" s="1"/>
  <c r="D22" i="24"/>
  <c r="C22" i="24"/>
  <c r="B22" i="24"/>
  <c r="A22" i="24"/>
  <c r="T21" i="24"/>
  <c r="W21" i="24" s="1"/>
  <c r="O21" i="24"/>
  <c r="V21" i="24" s="1"/>
  <c r="J21" i="24"/>
  <c r="U21" i="24" s="1"/>
  <c r="D21" i="24"/>
  <c r="C21" i="24"/>
  <c r="B21" i="24"/>
  <c r="A21" i="24"/>
  <c r="T20" i="24"/>
  <c r="W20" i="24" s="1"/>
  <c r="O20" i="24"/>
  <c r="V20" i="24" s="1"/>
  <c r="J20" i="24"/>
  <c r="U20" i="24" s="1"/>
  <c r="D20" i="24"/>
  <c r="C20" i="24"/>
  <c r="B20" i="24"/>
  <c r="A20" i="24"/>
  <c r="T19" i="24"/>
  <c r="W19" i="24" s="1"/>
  <c r="O19" i="24"/>
  <c r="V19" i="24" s="1"/>
  <c r="J19" i="24"/>
  <c r="U19" i="24" s="1"/>
  <c r="D19" i="24"/>
  <c r="C19" i="24"/>
  <c r="B19" i="24"/>
  <c r="A19" i="24"/>
  <c r="T18" i="24"/>
  <c r="W18" i="24" s="1"/>
  <c r="O18" i="24"/>
  <c r="V18" i="24" s="1"/>
  <c r="J18" i="24"/>
  <c r="U18" i="24" s="1"/>
  <c r="D18" i="24"/>
  <c r="C18" i="24"/>
  <c r="B18" i="24"/>
  <c r="A18" i="24"/>
  <c r="T17" i="24"/>
  <c r="W17" i="24" s="1"/>
  <c r="O17" i="24"/>
  <c r="V17" i="24" s="1"/>
  <c r="J17" i="24"/>
  <c r="U17" i="24" s="1"/>
  <c r="D17" i="24"/>
  <c r="C17" i="24"/>
  <c r="B17" i="24"/>
  <c r="A17" i="24"/>
  <c r="T16" i="24"/>
  <c r="W16" i="24" s="1"/>
  <c r="O16" i="24"/>
  <c r="V16" i="24" s="1"/>
  <c r="J16" i="24"/>
  <c r="U16" i="24" s="1"/>
  <c r="D16" i="24"/>
  <c r="C16" i="24"/>
  <c r="B16" i="24"/>
  <c r="A16" i="24"/>
  <c r="T15" i="24"/>
  <c r="W15" i="24" s="1"/>
  <c r="O15" i="24"/>
  <c r="V15" i="24" s="1"/>
  <c r="J15" i="24"/>
  <c r="U15" i="24" s="1"/>
  <c r="D15" i="24"/>
  <c r="C15" i="24"/>
  <c r="B15" i="24"/>
  <c r="A15" i="24"/>
  <c r="T14" i="24"/>
  <c r="W14" i="24" s="1"/>
  <c r="O14" i="24"/>
  <c r="V14" i="24" s="1"/>
  <c r="J14" i="24"/>
  <c r="U14" i="24" s="1"/>
  <c r="D14" i="24"/>
  <c r="C14" i="24"/>
  <c r="B14" i="24"/>
  <c r="A14" i="24"/>
  <c r="D13" i="24"/>
  <c r="D12" i="24"/>
  <c r="C12" i="24"/>
  <c r="C13" i="24" s="1"/>
  <c r="D11" i="24"/>
  <c r="C11" i="24"/>
  <c r="D10" i="24"/>
  <c r="D9" i="24"/>
  <c r="C9" i="24"/>
  <c r="C10" i="24" s="1"/>
  <c r="D8" i="24"/>
  <c r="C8" i="24"/>
  <c r="D7" i="24"/>
  <c r="C7" i="24"/>
  <c r="T6" i="24"/>
  <c r="D6" i="24"/>
  <c r="C6" i="24"/>
  <c r="T5" i="24"/>
  <c r="O5" i="24"/>
  <c r="O6" i="24" s="1"/>
  <c r="D5" i="24"/>
  <c r="C5" i="24"/>
  <c r="B5" i="24"/>
  <c r="A5" i="24" s="1"/>
  <c r="T4" i="24"/>
  <c r="O4" i="24"/>
  <c r="V4" i="24" s="1"/>
  <c r="J4" i="24"/>
  <c r="J5" i="24" s="1"/>
  <c r="W3" i="24"/>
  <c r="V3" i="24"/>
  <c r="U3" i="24"/>
  <c r="W2" i="24"/>
  <c r="V2" i="24"/>
  <c r="U2" i="24"/>
  <c r="BO1" i="24"/>
  <c r="AT1" i="24"/>
  <c r="Y1" i="24"/>
  <c r="U5" i="25" l="1"/>
  <c r="O7" i="25"/>
  <c r="J8" i="25"/>
  <c r="W5" i="25"/>
  <c r="T6" i="25"/>
  <c r="U6" i="25" s="1"/>
  <c r="B8" i="25"/>
  <c r="A8" i="25" s="1"/>
  <c r="W4" i="24"/>
  <c r="U4" i="24"/>
  <c r="V6" i="24"/>
  <c r="O7" i="24"/>
  <c r="W6" i="24"/>
  <c r="W5" i="24"/>
  <c r="V5" i="24"/>
  <c r="U5" i="24"/>
  <c r="J6" i="24"/>
  <c r="B6" i="24"/>
  <c r="T7" i="24"/>
  <c r="T30" i="23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D13" i="23"/>
  <c r="D12" i="23"/>
  <c r="D10" i="23"/>
  <c r="D11" i="23" s="1"/>
  <c r="D9" i="23"/>
  <c r="C9" i="23"/>
  <c r="C10" i="23" s="1"/>
  <c r="C11" i="23" s="1"/>
  <c r="C12" i="23" s="1"/>
  <c r="C13" i="23" s="1"/>
  <c r="D8" i="23"/>
  <c r="C8" i="23"/>
  <c r="D7" i="23"/>
  <c r="C7" i="23"/>
  <c r="B7" i="23"/>
  <c r="B8" i="23" s="1"/>
  <c r="T6" i="23"/>
  <c r="D6" i="23"/>
  <c r="B6" i="23"/>
  <c r="T5" i="23"/>
  <c r="O5" i="23"/>
  <c r="D5" i="23"/>
  <c r="C5" i="23"/>
  <c r="C6" i="23" s="1"/>
  <c r="B5" i="23"/>
  <c r="A5" i="23" s="1"/>
  <c r="T4" i="23"/>
  <c r="O4" i="23"/>
  <c r="J4" i="23"/>
  <c r="W3" i="23"/>
  <c r="V3" i="23"/>
  <c r="U3" i="23"/>
  <c r="W2" i="23"/>
  <c r="V2" i="23"/>
  <c r="U2" i="23"/>
  <c r="BO1" i="23"/>
  <c r="AT1" i="23"/>
  <c r="Y1" i="23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D19" i="22"/>
  <c r="C19" i="22"/>
  <c r="D18" i="22"/>
  <c r="D17" i="22"/>
  <c r="D16" i="22"/>
  <c r="D15" i="22"/>
  <c r="C15" i="22"/>
  <c r="C16" i="22" s="1"/>
  <c r="C17" i="22" s="1"/>
  <c r="C18" i="22" s="1"/>
  <c r="D14" i="22"/>
  <c r="C14" i="22"/>
  <c r="D13" i="22"/>
  <c r="D12" i="22"/>
  <c r="D11" i="22"/>
  <c r="C11" i="22"/>
  <c r="C12" i="22" s="1"/>
  <c r="C13" i="22" s="1"/>
  <c r="D10" i="22"/>
  <c r="C10" i="22"/>
  <c r="D9" i="22"/>
  <c r="C9" i="22"/>
  <c r="D8" i="22"/>
  <c r="D6" i="22"/>
  <c r="D7" i="22" s="1"/>
  <c r="T5" i="22"/>
  <c r="T6" i="22" s="1"/>
  <c r="O5" i="22"/>
  <c r="D5" i="22"/>
  <c r="C5" i="22"/>
  <c r="C6" i="22" s="1"/>
  <c r="C7" i="22" s="1"/>
  <c r="C8" i="22" s="1"/>
  <c r="B5" i="22"/>
  <c r="B6" i="22" s="1"/>
  <c r="T4" i="22"/>
  <c r="O4" i="22"/>
  <c r="J4" i="22"/>
  <c r="V4" i="22" s="1"/>
  <c r="W3" i="22"/>
  <c r="V3" i="22"/>
  <c r="U3" i="22"/>
  <c r="W2" i="22"/>
  <c r="V2" i="22"/>
  <c r="U2" i="22"/>
  <c r="BO1" i="22"/>
  <c r="AT1" i="22"/>
  <c r="Y1" i="22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 s="1"/>
  <c r="T19" i="21"/>
  <c r="O19" i="21"/>
  <c r="J19" i="21"/>
  <c r="D19" i="21"/>
  <c r="C19" i="21"/>
  <c r="B19" i="21"/>
  <c r="A19" i="21" s="1"/>
  <c r="T18" i="21"/>
  <c r="O18" i="21"/>
  <c r="J18" i="21"/>
  <c r="U18" i="21" s="1"/>
  <c r="D18" i="21"/>
  <c r="C18" i="21"/>
  <c r="B18" i="21"/>
  <c r="A18" i="21"/>
  <c r="T17" i="21"/>
  <c r="O17" i="21"/>
  <c r="J17" i="21"/>
  <c r="U17" i="21" s="1"/>
  <c r="D17" i="21"/>
  <c r="C17" i="21"/>
  <c r="B17" i="21"/>
  <c r="A17" i="21"/>
  <c r="T16" i="21"/>
  <c r="O16" i="21"/>
  <c r="J16" i="21"/>
  <c r="D16" i="21"/>
  <c r="C16" i="21"/>
  <c r="B16" i="21"/>
  <c r="A16" i="21"/>
  <c r="T15" i="21"/>
  <c r="O15" i="21"/>
  <c r="J15" i="21"/>
  <c r="D15" i="21"/>
  <c r="C15" i="21"/>
  <c r="B15" i="21"/>
  <c r="A15" i="21" s="1"/>
  <c r="T14" i="21"/>
  <c r="O14" i="21"/>
  <c r="J14" i="21"/>
  <c r="D14" i="21"/>
  <c r="C14" i="21"/>
  <c r="B14" i="21"/>
  <c r="A14" i="21"/>
  <c r="T13" i="21"/>
  <c r="O13" i="21"/>
  <c r="J13" i="21"/>
  <c r="D13" i="21"/>
  <c r="C13" i="21"/>
  <c r="B13" i="21"/>
  <c r="A13" i="21" s="1"/>
  <c r="C12" i="21"/>
  <c r="D11" i="21"/>
  <c r="D12" i="21" s="1"/>
  <c r="C11" i="21"/>
  <c r="D10" i="21"/>
  <c r="C10" i="21"/>
  <c r="D9" i="21"/>
  <c r="C9" i="21"/>
  <c r="D8" i="21"/>
  <c r="C8" i="21"/>
  <c r="D7" i="21"/>
  <c r="C7" i="21"/>
  <c r="D6" i="21"/>
  <c r="C6" i="21"/>
  <c r="D5" i="21"/>
  <c r="C5" i="21"/>
  <c r="B5" i="21"/>
  <c r="B6" i="21" s="1"/>
  <c r="A5" i="21"/>
  <c r="T4" i="21"/>
  <c r="O4" i="21"/>
  <c r="O5" i="21" s="1"/>
  <c r="J4" i="21"/>
  <c r="V4" i="21" s="1"/>
  <c r="W3" i="21"/>
  <c r="V3" i="21"/>
  <c r="U3" i="21"/>
  <c r="W2" i="21"/>
  <c r="V2" i="21"/>
  <c r="U2" i="21"/>
  <c r="BO1" i="21"/>
  <c r="AT1" i="21"/>
  <c r="Y1" i="21"/>
  <c r="J9" i="25" l="1"/>
  <c r="O8" i="25"/>
  <c r="W6" i="25"/>
  <c r="T7" i="25"/>
  <c r="V7" i="25" s="1"/>
  <c r="V6" i="25"/>
  <c r="B9" i="25"/>
  <c r="U6" i="24"/>
  <c r="J7" i="24"/>
  <c r="B7" i="24"/>
  <c r="A7" i="24" s="1"/>
  <c r="A6" i="24"/>
  <c r="W7" i="24"/>
  <c r="T8" i="24"/>
  <c r="V7" i="24"/>
  <c r="O8" i="24"/>
  <c r="A7" i="23"/>
  <c r="A6" i="23"/>
  <c r="V4" i="23"/>
  <c r="W4" i="23"/>
  <c r="U4" i="23"/>
  <c r="B9" i="23"/>
  <c r="A9" i="23" s="1"/>
  <c r="J5" i="23"/>
  <c r="W5" i="23" s="1"/>
  <c r="A8" i="23"/>
  <c r="O6" i="23"/>
  <c r="T7" i="23"/>
  <c r="W4" i="22"/>
  <c r="U4" i="22"/>
  <c r="B7" i="22"/>
  <c r="T7" i="22"/>
  <c r="J5" i="22"/>
  <c r="V5" i="22" s="1"/>
  <c r="O6" i="22"/>
  <c r="A5" i="22"/>
  <c r="A6" i="22"/>
  <c r="U19" i="21"/>
  <c r="V19" i="21"/>
  <c r="W19" i="21"/>
  <c r="V18" i="21"/>
  <c r="W18" i="21"/>
  <c r="W17" i="21"/>
  <c r="V17" i="21"/>
  <c r="V16" i="21"/>
  <c r="U16" i="21"/>
  <c r="W16" i="21"/>
  <c r="U15" i="21"/>
  <c r="V15" i="21"/>
  <c r="W15" i="21"/>
  <c r="U14" i="21"/>
  <c r="W14" i="21"/>
  <c r="V14" i="21"/>
  <c r="U13" i="21"/>
  <c r="W13" i="21"/>
  <c r="V13" i="21"/>
  <c r="W4" i="21"/>
  <c r="A6" i="21"/>
  <c r="B7" i="21"/>
  <c r="A7" i="21" s="1"/>
  <c r="O6" i="21"/>
  <c r="J5" i="21"/>
  <c r="U4" i="21"/>
  <c r="T5" i="21"/>
  <c r="V5" i="21" s="1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 s="1"/>
  <c r="T12" i="19"/>
  <c r="W12" i="19" s="1"/>
  <c r="O12" i="19"/>
  <c r="V12" i="19" s="1"/>
  <c r="J12" i="19"/>
  <c r="D12" i="19"/>
  <c r="C12" i="19"/>
  <c r="B12" i="19"/>
  <c r="A12" i="19"/>
  <c r="T11" i="19"/>
  <c r="O11" i="19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/>
  <c r="T7" i="19"/>
  <c r="O7" i="19"/>
  <c r="V7" i="19" s="1"/>
  <c r="J7" i="19"/>
  <c r="D7" i="19"/>
  <c r="C7" i="19"/>
  <c r="B7" i="19"/>
  <c r="A7" i="19" s="1"/>
  <c r="T6" i="19"/>
  <c r="O6" i="19"/>
  <c r="J6" i="19"/>
  <c r="D6" i="19"/>
  <c r="C6" i="19"/>
  <c r="B6" i="19"/>
  <c r="A6" i="19"/>
  <c r="D5" i="19"/>
  <c r="C5" i="19"/>
  <c r="B5" i="19"/>
  <c r="A5" i="19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W7" i="25" l="1"/>
  <c r="T8" i="25"/>
  <c r="U8" i="25" s="1"/>
  <c r="U7" i="25"/>
  <c r="O9" i="25"/>
  <c r="B10" i="25"/>
  <c r="J10" i="25"/>
  <c r="A9" i="25"/>
  <c r="W8" i="24"/>
  <c r="T9" i="24"/>
  <c r="B8" i="24"/>
  <c r="A8" i="24" s="1"/>
  <c r="J8" i="24"/>
  <c r="U7" i="24"/>
  <c r="V8" i="24"/>
  <c r="O9" i="24"/>
  <c r="O7" i="23"/>
  <c r="U5" i="23"/>
  <c r="J6" i="23"/>
  <c r="V6" i="23" s="1"/>
  <c r="B10" i="23"/>
  <c r="A10" i="23" s="1"/>
  <c r="T8" i="23"/>
  <c r="V5" i="23"/>
  <c r="B8" i="22"/>
  <c r="O7" i="22"/>
  <c r="W5" i="22"/>
  <c r="U5" i="22"/>
  <c r="J6" i="22"/>
  <c r="V6" i="22" s="1"/>
  <c r="T8" i="22"/>
  <c r="A7" i="22"/>
  <c r="T6" i="21"/>
  <c r="W5" i="21"/>
  <c r="U5" i="21"/>
  <c r="J6" i="21"/>
  <c r="O7" i="21"/>
  <c r="B8" i="21"/>
  <c r="A8" i="21" s="1"/>
  <c r="U12" i="19"/>
  <c r="W11" i="19"/>
  <c r="V11" i="19"/>
  <c r="V10" i="19"/>
  <c r="W10" i="19"/>
  <c r="V9" i="19"/>
  <c r="W9" i="19"/>
  <c r="U9" i="19"/>
  <c r="V8" i="19"/>
  <c r="U8" i="19"/>
  <c r="W8" i="19"/>
  <c r="W7" i="19"/>
  <c r="U7" i="19"/>
  <c r="U6" i="19"/>
  <c r="V6" i="19"/>
  <c r="W6" i="19"/>
  <c r="U4" i="19"/>
  <c r="V4" i="19"/>
  <c r="W4" i="19"/>
  <c r="J5" i="19"/>
  <c r="O5" i="19"/>
  <c r="V8" i="25" l="1"/>
  <c r="B11" i="25"/>
  <c r="A11" i="25" s="1"/>
  <c r="A10" i="25"/>
  <c r="O10" i="25"/>
  <c r="W8" i="25"/>
  <c r="T9" i="25"/>
  <c r="J11" i="25"/>
  <c r="O10" i="24"/>
  <c r="U8" i="24"/>
  <c r="J9" i="24"/>
  <c r="V9" i="24" s="1"/>
  <c r="T10" i="24"/>
  <c r="B9" i="24"/>
  <c r="A9" i="24" s="1"/>
  <c r="T9" i="23"/>
  <c r="U6" i="23"/>
  <c r="J7" i="23"/>
  <c r="W6" i="23"/>
  <c r="O8" i="23"/>
  <c r="V7" i="23"/>
  <c r="B11" i="23"/>
  <c r="A11" i="23" s="1"/>
  <c r="B9" i="22"/>
  <c r="O8" i="22"/>
  <c r="V7" i="22"/>
  <c r="U6" i="22"/>
  <c r="J7" i="22"/>
  <c r="W6" i="22"/>
  <c r="T9" i="22"/>
  <c r="A8" i="22"/>
  <c r="W6" i="21"/>
  <c r="T7" i="21"/>
  <c r="U6" i="21"/>
  <c r="J7" i="21"/>
  <c r="B9" i="21"/>
  <c r="A9" i="21" s="1"/>
  <c r="O8" i="21"/>
  <c r="V6" i="21"/>
  <c r="V5" i="19"/>
  <c r="W5" i="19"/>
  <c r="U5" i="19"/>
  <c r="W9" i="25" l="1"/>
  <c r="T10" i="25"/>
  <c r="U9" i="25"/>
  <c r="V9" i="25"/>
  <c r="V10" i="25"/>
  <c r="O11" i="25"/>
  <c r="J12" i="25"/>
  <c r="B12" i="25"/>
  <c r="A12" i="25" s="1"/>
  <c r="W9" i="24"/>
  <c r="B10" i="24"/>
  <c r="U9" i="24"/>
  <c r="J10" i="24"/>
  <c r="W10" i="24"/>
  <c r="T11" i="24"/>
  <c r="V10" i="24"/>
  <c r="O11" i="24"/>
  <c r="B12" i="23"/>
  <c r="O9" i="23"/>
  <c r="U7" i="23"/>
  <c r="J8" i="23"/>
  <c r="V8" i="23" s="1"/>
  <c r="W7" i="23"/>
  <c r="T10" i="23"/>
  <c r="B10" i="22"/>
  <c r="J8" i="22"/>
  <c r="U7" i="22"/>
  <c r="W7" i="22"/>
  <c r="A9" i="22"/>
  <c r="T10" i="22"/>
  <c r="V8" i="22"/>
  <c r="O9" i="22"/>
  <c r="U7" i="21"/>
  <c r="J8" i="21"/>
  <c r="W7" i="21"/>
  <c r="T8" i="21"/>
  <c r="V7" i="21"/>
  <c r="O9" i="21"/>
  <c r="B10" i="21"/>
  <c r="A10" i="21" s="1"/>
  <c r="O12" i="25" l="1"/>
  <c r="W10" i="25"/>
  <c r="T11" i="25"/>
  <c r="U10" i="25"/>
  <c r="O12" i="24"/>
  <c r="B11" i="24"/>
  <c r="T12" i="24"/>
  <c r="U10" i="24"/>
  <c r="J11" i="24"/>
  <c r="V11" i="24" s="1"/>
  <c r="A10" i="24"/>
  <c r="O10" i="23"/>
  <c r="B13" i="23"/>
  <c r="A13" i="23" s="1"/>
  <c r="A12" i="23"/>
  <c r="T11" i="23"/>
  <c r="U8" i="23"/>
  <c r="J9" i="23"/>
  <c r="W8" i="23"/>
  <c r="O10" i="22"/>
  <c r="T11" i="22"/>
  <c r="B11" i="22"/>
  <c r="A11" i="22" s="1"/>
  <c r="A10" i="22"/>
  <c r="U8" i="22"/>
  <c r="J9" i="22"/>
  <c r="W8" i="22"/>
  <c r="W8" i="21"/>
  <c r="T9" i="21"/>
  <c r="B11" i="21"/>
  <c r="U8" i="21"/>
  <c r="J9" i="21"/>
  <c r="O10" i="21"/>
  <c r="V8" i="21"/>
  <c r="W11" i="25" l="1"/>
  <c r="T12" i="25"/>
  <c r="W12" i="25" s="1"/>
  <c r="U11" i="25"/>
  <c r="V11" i="25"/>
  <c r="V12" i="25"/>
  <c r="U12" i="25"/>
  <c r="B12" i="24"/>
  <c r="A12" i="24" s="1"/>
  <c r="U11" i="24"/>
  <c r="J12" i="24"/>
  <c r="V12" i="24" s="1"/>
  <c r="W12" i="24"/>
  <c r="T13" i="24"/>
  <c r="A11" i="24"/>
  <c r="W11" i="24"/>
  <c r="O13" i="24"/>
  <c r="U9" i="23"/>
  <c r="J10" i="23"/>
  <c r="W9" i="23"/>
  <c r="V9" i="23"/>
  <c r="O11" i="23"/>
  <c r="T12" i="23"/>
  <c r="B12" i="22"/>
  <c r="A12" i="22" s="1"/>
  <c r="T12" i="22"/>
  <c r="O11" i="22"/>
  <c r="U9" i="22"/>
  <c r="J10" i="22"/>
  <c r="V10" i="22" s="1"/>
  <c r="W9" i="22"/>
  <c r="V9" i="22"/>
  <c r="B12" i="21"/>
  <c r="A12" i="21" s="1"/>
  <c r="O11" i="21"/>
  <c r="A11" i="21"/>
  <c r="W9" i="21"/>
  <c r="T10" i="21"/>
  <c r="V10" i="21" s="1"/>
  <c r="V9" i="21"/>
  <c r="U9" i="21"/>
  <c r="J10" i="21"/>
  <c r="B13" i="24" l="1"/>
  <c r="A13" i="24" s="1"/>
  <c r="V13" i="24"/>
  <c r="W13" i="24"/>
  <c r="U12" i="24"/>
  <c r="J13" i="24"/>
  <c r="U10" i="23"/>
  <c r="J11" i="23"/>
  <c r="W10" i="23"/>
  <c r="T13" i="23"/>
  <c r="V10" i="23"/>
  <c r="O12" i="23"/>
  <c r="T13" i="22"/>
  <c r="B13" i="22"/>
  <c r="A13" i="22" s="1"/>
  <c r="U10" i="22"/>
  <c r="J11" i="22"/>
  <c r="V11" i="22" s="1"/>
  <c r="W10" i="22"/>
  <c r="O12" i="22"/>
  <c r="O12" i="21"/>
  <c r="U10" i="21"/>
  <c r="J11" i="21"/>
  <c r="W10" i="21"/>
  <c r="T11" i="21"/>
  <c r="U13" i="24" l="1"/>
  <c r="U11" i="23"/>
  <c r="J12" i="23"/>
  <c r="W11" i="23"/>
  <c r="V11" i="23"/>
  <c r="O13" i="23"/>
  <c r="V12" i="23"/>
  <c r="T14" i="22"/>
  <c r="O13" i="22"/>
  <c r="B14" i="22"/>
  <c r="A14" i="22" s="1"/>
  <c r="J12" i="22"/>
  <c r="V12" i="22" s="1"/>
  <c r="U11" i="22"/>
  <c r="W11" i="22"/>
  <c r="U11" i="21"/>
  <c r="J12" i="21"/>
  <c r="V11" i="21"/>
  <c r="W11" i="21"/>
  <c r="T12" i="21"/>
  <c r="U12" i="23" l="1"/>
  <c r="J13" i="23"/>
  <c r="V13" i="23" s="1"/>
  <c r="W12" i="23"/>
  <c r="T15" i="22"/>
  <c r="B15" i="22"/>
  <c r="U12" i="22"/>
  <c r="J13" i="22"/>
  <c r="W12" i="22"/>
  <c r="O14" i="22"/>
  <c r="W12" i="21"/>
  <c r="U12" i="21"/>
  <c r="V12" i="21"/>
  <c r="U13" i="23" l="1"/>
  <c r="W13" i="23"/>
  <c r="V13" i="22"/>
  <c r="B16" i="22"/>
  <c r="A16" i="22"/>
  <c r="T16" i="22"/>
  <c r="A15" i="22"/>
  <c r="U13" i="22"/>
  <c r="J14" i="22"/>
  <c r="W13" i="22"/>
  <c r="V14" i="22"/>
  <c r="O15" i="22"/>
  <c r="B17" i="22" l="1"/>
  <c r="A17" i="22"/>
  <c r="U14" i="22"/>
  <c r="J15" i="22"/>
  <c r="W14" i="22"/>
  <c r="T17" i="22"/>
  <c r="O16" i="22"/>
  <c r="V15" i="22"/>
  <c r="B18" i="22" l="1"/>
  <c r="A18" i="22"/>
  <c r="O17" i="22"/>
  <c r="V16" i="22"/>
  <c r="T18" i="22"/>
  <c r="U15" i="22"/>
  <c r="J16" i="22"/>
  <c r="W15" i="22"/>
  <c r="O18" i="22" l="1"/>
  <c r="B19" i="22"/>
  <c r="A19" i="22" s="1"/>
  <c r="U16" i="22"/>
  <c r="J17" i="22"/>
  <c r="V17" i="22" s="1"/>
  <c r="W16" i="22"/>
  <c r="T19" i="22"/>
  <c r="U17" i="22" l="1"/>
  <c r="J18" i="22"/>
  <c r="W17" i="22"/>
  <c r="V18" i="22"/>
  <c r="O19" i="22"/>
  <c r="U18" i="22" l="1"/>
  <c r="J19" i="22"/>
  <c r="W18" i="22"/>
  <c r="U19" i="22" l="1"/>
  <c r="W19" i="22"/>
  <c r="V19" i="22"/>
</calcChain>
</file>

<file path=xl/sharedStrings.xml><?xml version="1.0" encoding="utf-8"?>
<sst xmlns="http://schemas.openxmlformats.org/spreadsheetml/2006/main" count="1163" uniqueCount="167">
  <si>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</si>
  <si>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</si>
  <si>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</si>
  <si>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</si>
  <si>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</si>
  <si>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</si>
  <si>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</si>
  <si>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</si>
  <si>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</si>
  <si>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</si>
  <si>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</si>
  <si>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</si>
  <si>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</si>
  <si>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</si>
  <si>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</si>
  <si>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</si>
  <si>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</si>
  <si>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</si>
  <si>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</si>
  <si>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</si>
  <si>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</si>
  <si>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</si>
  <si>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</si>
  <si>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</si>
  <si>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</si>
  <si>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</si>
  <si>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</si>
  <si>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</si>
  <si>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</si>
  <si>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</si>
  <si>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</si>
  <si>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</si>
  <si>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</si>
  <si>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</si>
  <si>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</si>
  <si>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</si>
  <si>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</si>
  <si>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</si>
  <si>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</si>
  <si>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</si>
  <si>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</si>
  <si>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</si>
  <si>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</si>
  <si>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</si>
  <si>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</si>
  <si>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</si>
  <si>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</si>
  <si>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</si>
  <si>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</si>
  <si>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</si>
  <si>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</si>
  <si>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</si>
  <si>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</si>
  <si>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</si>
  <si>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</si>
  <si>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</si>
  <si>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</si>
  <si>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</si>
  <si>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</si>
  <si>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</si>
  <si>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</si>
  <si>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</si>
  <si>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</si>
  <si>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</si>
  <si>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</si>
  <si>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</si>
  <si>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</si>
  <si>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</si>
  <si>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</si>
  <si>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</si>
  <si>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</si>
  <si>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</si>
  <si>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</si>
  <si>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</si>
  <si>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</si>
  <si>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</si>
  <si>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</si>
  <si>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</si>
  <si>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</si>
  <si>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</si>
  <si>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</si>
  <si>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</si>
  <si>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</si>
  <si>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</si>
  <si>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</si>
  <si>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</si>
  <si>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</si>
  <si>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</si>
  <si>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</si>
  <si>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</si>
  <si>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</si>
  <si>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</si>
  <si>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</si>
  <si>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</si>
  <si>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</si>
  <si>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</si>
  <si>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</si>
  <si>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</si>
  <si>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</si>
  <si>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</si>
  <si>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</si>
  <si>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</si>
  <si>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</si>
  <si>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</si>
  <si>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</si>
  <si>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</si>
  <si>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</si>
  <si>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</si>
  <si>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</si>
  <si>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</si>
  <si>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</si>
  <si>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</si>
  <si>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</si>
  <si>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</si>
  <si>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</si>
  <si>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</si>
  <si>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</si>
  <si>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</si>
  <si>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</si>
  <si>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</si>
  <si>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</si>
  <si>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</si>
  <si>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</si>
  <si>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</si>
  <si>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</si>
  <si>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</si>
  <si>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</si>
  <si>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</si>
  <si>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</si>
  <si>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</si>
  <si>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</si>
  <si>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</si>
  <si>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</si>
  <si>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</si>
  <si>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</si>
  <si>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</si>
  <si>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</si>
  <si>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</si>
  <si>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いっしー</t>
  </si>
  <si>
    <t>いっしー</t>
    <phoneticPr fontId="1"/>
  </si>
  <si>
    <t>まっつん</t>
  </si>
  <si>
    <t>まっつん</t>
    <phoneticPr fontId="1"/>
  </si>
  <si>
    <t>だいち</t>
  </si>
  <si>
    <t>だいち</t>
    <phoneticPr fontId="1"/>
  </si>
  <si>
    <t>ロン</t>
  </si>
  <si>
    <t>放銃</t>
  </si>
  <si>
    <t>*</t>
  </si>
  <si>
    <t>01</t>
  </si>
  <si>
    <t>02</t>
  </si>
  <si>
    <t>52</t>
  </si>
  <si>
    <t>ツモ支払</t>
  </si>
  <si>
    <t>ツモ</t>
  </si>
  <si>
    <t>N</t>
  </si>
  <si>
    <t>T</t>
  </si>
  <si>
    <t>流局</t>
    <phoneticPr fontId="1"/>
  </si>
  <si>
    <t>ただ</t>
  </si>
  <si>
    <t>ただ</t>
    <phoneticPr fontId="1"/>
  </si>
  <si>
    <t>れんたろう</t>
  </si>
  <si>
    <t>れんたろう</t>
    <phoneticPr fontId="1"/>
  </si>
  <si>
    <t>たかの</t>
  </si>
  <si>
    <t>たかの</t>
    <phoneticPr fontId="1"/>
  </si>
  <si>
    <t>流局</t>
    <phoneticPr fontId="1"/>
  </si>
  <si>
    <t>チョンボ</t>
  </si>
  <si>
    <t>りくと</t>
  </si>
  <si>
    <t>りくと</t>
    <phoneticPr fontId="1"/>
  </si>
  <si>
    <t>ほたに</t>
  </si>
  <si>
    <t>ほたに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</si>
</sst>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3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139</v>
      </c>
      <c r="G1" s="78"/>
      <c r="H1" s="78"/>
      <c r="I1" s="79"/>
      <c r="J1" s="80"/>
      <c r="K1" s="77" t="s">
        <v>141</v>
      </c>
      <c r="L1" s="78"/>
      <c r="M1" s="78"/>
      <c r="N1" s="79"/>
      <c r="O1" s="80"/>
      <c r="P1" s="77" t="s">
        <v>143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いっしー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まっつん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だいち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いっしー</v>
      </c>
      <c r="V2" s="64" t="str">
        <f>$K$1</f>
        <v>まっつん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138</v>
      </c>
      <c r="F4" s="8" t="s">
        <v>144</v>
      </c>
      <c r="G4" s="9">
        <v>18000</v>
      </c>
      <c r="H4" s="9"/>
      <c r="I4" s="48">
        <v>0</v>
      </c>
      <c r="J4" s="21">
        <f>IF(COUNTA($F4,$K4,$P4)&gt;0,J3+SUM(G4:I4),"")</f>
        <v>53000</v>
      </c>
      <c r="K4" s="8"/>
      <c r="L4" s="9"/>
      <c r="M4" s="9"/>
      <c r="N4" s="48"/>
      <c r="O4" s="21">
        <f>IF(COUNTA($F4,$K4,$P4)&gt;0,O3+SUM(L4:N4),"")</f>
        <v>35000</v>
      </c>
      <c r="P4" s="8" t="s">
        <v>145</v>
      </c>
      <c r="Q4" s="9">
        <v>-18000</v>
      </c>
      <c r="R4" s="9"/>
      <c r="S4" s="48">
        <v>0</v>
      </c>
      <c r="T4" s="21">
        <f>IF(COUNTA($F4,$K4,$P4)&gt;0,T3+SUM(Q4:S4),"")</f>
        <v>17000</v>
      </c>
      <c r="U4" s="53">
        <f>IF($J4="","",ROUND(($J4-$J$3)/1000,1)+(_xlfn.RANK.AVG($J4,($J4,$O4,$T4),1)-2)*20)</f>
        <v>38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-38</v>
      </c>
      <c r="Y4" s="8"/>
      <c r="Z4" s="34"/>
      <c r="AA4" s="26">
        <v>1</v>
      </c>
      <c r="AB4" s="26"/>
      <c r="AC4" s="26">
        <v>6</v>
      </c>
      <c r="AD4" s="30" t="s">
        <v>146</v>
      </c>
      <c r="AE4" s="40" t="s">
        <v>147</v>
      </c>
      <c r="AF4" s="41" t="s">
        <v>83</v>
      </c>
      <c r="AG4" s="41" t="s">
        <v>85</v>
      </c>
      <c r="AH4" s="41" t="s">
        <v>148</v>
      </c>
      <c r="AI4" s="41" t="s">
        <v>84</v>
      </c>
      <c r="AJ4" s="41" t="s">
        <v>149</v>
      </c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138</v>
      </c>
      <c r="F5" s="8" t="s">
        <v>150</v>
      </c>
      <c r="G5" s="9">
        <v>-5000</v>
      </c>
      <c r="H5" s="9"/>
      <c r="I5" s="48">
        <v>-500</v>
      </c>
      <c r="J5" s="21">
        <f t="shared" ref="J5:J30" si="2">IF(COUNTA($F5,$K5,$P5)&gt;0,J4+SUM(G5:I5),"")</f>
        <v>47500</v>
      </c>
      <c r="K5" s="8" t="s">
        <v>150</v>
      </c>
      <c r="L5" s="9">
        <v>-3000</v>
      </c>
      <c r="M5" s="9">
        <v>-1000</v>
      </c>
      <c r="N5" s="48">
        <v>-500</v>
      </c>
      <c r="O5" s="21">
        <f t="shared" ref="O5:O30" si="3">IF(COUNTA($F5,$K5,$P5)&gt;0,O4+SUM(L5:N5),"")</f>
        <v>30500</v>
      </c>
      <c r="P5" s="8" t="s">
        <v>151</v>
      </c>
      <c r="Q5" s="9">
        <v>8000</v>
      </c>
      <c r="R5" s="9">
        <v>1000</v>
      </c>
      <c r="S5" s="48">
        <v>1000</v>
      </c>
      <c r="T5" s="21">
        <f t="shared" ref="T5:T30" si="4">IF(COUNTA($F5,$K5,$P5)&gt;0,T4+SUM(Q5:S5),"")</f>
        <v>27000</v>
      </c>
      <c r="U5" s="53">
        <f>IF($J5="","",ROUND(($J5-$J$3)/1000,1)+(_xlfn.RANK.AVG($J5,($J5,$O5,$T5),1)-2)*20)</f>
        <v>32.5</v>
      </c>
      <c r="V5" s="54">
        <f>IF($O5="","",ROUND(($O5-$O$3)/1000,1)+(_xlfn.RANK.AVG($O5,($J5,$O5,$T5),1)-2)*20)</f>
        <v>-4.5</v>
      </c>
      <c r="W5" s="55">
        <f>IF($T5="","",ROUND(($T5-$T$3)/1000,1)+(_xlfn.RANK.AVG($T5,($J5,$O5,$T5),1)-2)*20)</f>
        <v>-28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5</v>
      </c>
      <c r="BT5" s="30" t="s">
        <v>146</v>
      </c>
      <c r="BU5" s="40" t="s">
        <v>147</v>
      </c>
      <c r="BV5" s="41" t="s">
        <v>82</v>
      </c>
      <c r="BW5" s="41" t="s">
        <v>148</v>
      </c>
      <c r="BX5" s="41" t="s">
        <v>85</v>
      </c>
      <c r="BY5" s="41" t="s">
        <v>84</v>
      </c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140</v>
      </c>
      <c r="F6" s="8" t="s">
        <v>144</v>
      </c>
      <c r="G6" s="9">
        <v>8000</v>
      </c>
      <c r="H6" s="9">
        <v>1000</v>
      </c>
      <c r="I6" s="48">
        <v>0</v>
      </c>
      <c r="J6" s="21">
        <f t="shared" si="2"/>
        <v>56500</v>
      </c>
      <c r="K6" s="8" t="s">
        <v>145</v>
      </c>
      <c r="L6" s="9">
        <v>-8000</v>
      </c>
      <c r="M6" s="9"/>
      <c r="N6" s="48">
        <v>0</v>
      </c>
      <c r="O6" s="21">
        <f t="shared" si="3"/>
        <v>22500</v>
      </c>
      <c r="P6" s="8"/>
      <c r="Q6" s="9"/>
      <c r="R6" s="9">
        <v>-1000</v>
      </c>
      <c r="S6" s="48"/>
      <c r="T6" s="21">
        <f t="shared" si="4"/>
        <v>26000</v>
      </c>
      <c r="U6" s="53">
        <f>IF($J6="","",ROUND(($J6-$J$3)/1000,1)+(_xlfn.RANK.AVG($J6,($J6,$O6,$T6),1)-2)*20)</f>
        <v>41.5</v>
      </c>
      <c r="V6" s="54">
        <f>IF($O6="","",ROUND(($O6-$O$3)/1000,1)+(_xlfn.RANK.AVG($O6,($J6,$O6,$T6),1)-2)*20)</f>
        <v>-32.5</v>
      </c>
      <c r="W6" s="55">
        <f>IF($T6="","",ROUND(($T6-$T$3)/1000,1)+(_xlfn.RANK.AVG($T6,($J6,$O6,$T6),1)-2)*20)</f>
        <v>-9</v>
      </c>
      <c r="Y6" s="8"/>
      <c r="Z6" s="34"/>
      <c r="AA6" s="26"/>
      <c r="AB6" s="26">
        <v>1</v>
      </c>
      <c r="AC6" s="26">
        <v>4</v>
      </c>
      <c r="AD6" s="30">
        <v>40</v>
      </c>
      <c r="AE6" s="40" t="s">
        <v>86</v>
      </c>
      <c r="AF6" s="41" t="s">
        <v>104</v>
      </c>
      <c r="AG6" s="41" t="s">
        <v>86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142</v>
      </c>
      <c r="F7" s="8"/>
      <c r="G7" s="9"/>
      <c r="H7" s="9"/>
      <c r="I7" s="48"/>
      <c r="J7" s="21">
        <f t="shared" si="2"/>
        <v>56500</v>
      </c>
      <c r="K7" s="8" t="s">
        <v>145</v>
      </c>
      <c r="L7" s="9">
        <v>-12000</v>
      </c>
      <c r="M7" s="9"/>
      <c r="N7" s="48">
        <v>0</v>
      </c>
      <c r="O7" s="21">
        <f t="shared" si="3"/>
        <v>10500</v>
      </c>
      <c r="P7" s="8" t="s">
        <v>144</v>
      </c>
      <c r="Q7" s="9">
        <v>12000</v>
      </c>
      <c r="R7" s="9"/>
      <c r="S7" s="48">
        <v>0</v>
      </c>
      <c r="T7" s="21">
        <f t="shared" si="4"/>
        <v>38000</v>
      </c>
      <c r="U7" s="53">
        <f>IF($J7="","",ROUND(($J7-$J$3)/1000,1)+(_xlfn.RANK.AVG($J7,($J7,$O7,$T7),1)-2)*20)</f>
        <v>41.5</v>
      </c>
      <c r="V7" s="54">
        <f>IF($O7="","",ROUND(($O7-$O$3)/1000,1)+(_xlfn.RANK.AVG($O7,($J7,$O7,$T7),1)-2)*20)</f>
        <v>-44.5</v>
      </c>
      <c r="W7" s="55">
        <f>IF($T7="","",ROUND(($T7-$T$3)/1000,1)+(_xlfn.RANK.AVG($T7,($J7,$O7,$T7),1)-2)*20)</f>
        <v>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5</v>
      </c>
      <c r="BT7" s="30" t="s">
        <v>146</v>
      </c>
      <c r="BU7" s="40" t="s">
        <v>98</v>
      </c>
      <c r="BV7" s="41" t="s">
        <v>86</v>
      </c>
      <c r="BW7" s="41" t="s">
        <v>100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142</v>
      </c>
      <c r="F8" s="8" t="s">
        <v>150</v>
      </c>
      <c r="G8" s="9">
        <v>-500</v>
      </c>
      <c r="H8" s="9"/>
      <c r="I8" s="48">
        <v>-500</v>
      </c>
      <c r="J8" s="21">
        <f t="shared" si="2"/>
        <v>55500</v>
      </c>
      <c r="K8" s="8" t="s">
        <v>151</v>
      </c>
      <c r="L8" s="9">
        <v>1200</v>
      </c>
      <c r="M8" s="9"/>
      <c r="N8" s="48">
        <v>1000</v>
      </c>
      <c r="O8" s="21">
        <f t="shared" si="3"/>
        <v>12700</v>
      </c>
      <c r="P8" s="8" t="s">
        <v>150</v>
      </c>
      <c r="Q8" s="9">
        <v>-700</v>
      </c>
      <c r="R8" s="9"/>
      <c r="S8" s="48">
        <v>-500</v>
      </c>
      <c r="T8" s="21">
        <f t="shared" si="4"/>
        <v>36800</v>
      </c>
      <c r="U8" s="53">
        <f>IF($J8="","",ROUND(($J8-$J$3)/1000,1)+(_xlfn.RANK.AVG($J8,($J8,$O8,$T8),1)-2)*20)</f>
        <v>40.5</v>
      </c>
      <c r="V8" s="54">
        <f>IF($O8="","",ROUND(($O8-$O$3)/1000,1)+(_xlfn.RANK.AVG($O8,($J8,$O8,$T8),1)-2)*20)</f>
        <v>-42.3</v>
      </c>
      <c r="W8" s="55">
        <f>IF($T8="","",ROUND(($T8-$T$3)/1000,1)+(_xlfn.RANK.AVG($T8,($J8,$O8,$T8),1)-2)*20)</f>
        <v>1.8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1</v>
      </c>
      <c r="AY8" s="30">
        <v>30</v>
      </c>
      <c r="AZ8" s="40" t="s">
        <v>86</v>
      </c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138</v>
      </c>
      <c r="F9" s="8" t="s">
        <v>145</v>
      </c>
      <c r="G9" s="9">
        <v>-8000</v>
      </c>
      <c r="H9" s="9"/>
      <c r="I9" s="48">
        <v>0</v>
      </c>
      <c r="J9" s="21">
        <f t="shared" si="2"/>
        <v>47500</v>
      </c>
      <c r="K9" s="8" t="s">
        <v>144</v>
      </c>
      <c r="L9" s="9">
        <v>8000</v>
      </c>
      <c r="M9" s="9"/>
      <c r="N9" s="48">
        <v>0</v>
      </c>
      <c r="O9" s="21">
        <f t="shared" si="3"/>
        <v>20700</v>
      </c>
      <c r="P9" s="8"/>
      <c r="Q9" s="9"/>
      <c r="R9" s="9"/>
      <c r="S9" s="48"/>
      <c r="T9" s="21">
        <f t="shared" si="4"/>
        <v>36800</v>
      </c>
      <c r="U9" s="53">
        <f>IF($J9="","",ROUND(($J9-$J$3)/1000,1)+(_xlfn.RANK.AVG($J9,($J9,$O9,$T9),1)-2)*20)</f>
        <v>32.5</v>
      </c>
      <c r="V9" s="54">
        <f>IF($O9="","",ROUND(($O9-$O$3)/1000,1)+(_xlfn.RANK.AVG($O9,($J9,$O9,$T9),1)-2)*20)</f>
        <v>-34.299999999999997</v>
      </c>
      <c r="W9" s="55">
        <f>IF($T9="","",ROUND(($T9-$T$3)/1000,1)+(_xlfn.RANK.AVG($T9,($J9,$O9,$T9),1)-2)*20)</f>
        <v>1.8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5</v>
      </c>
      <c r="AY9" s="30" t="s">
        <v>146</v>
      </c>
      <c r="AZ9" s="40" t="s">
        <v>147</v>
      </c>
      <c r="BA9" s="41" t="s">
        <v>84</v>
      </c>
      <c r="BB9" s="41" t="s">
        <v>93</v>
      </c>
      <c r="BC9" s="41" t="s">
        <v>80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140</v>
      </c>
      <c r="F10" s="8" t="s">
        <v>144</v>
      </c>
      <c r="G10" s="9">
        <v>2000</v>
      </c>
      <c r="H10" s="9"/>
      <c r="I10" s="48">
        <v>0</v>
      </c>
      <c r="J10" s="21">
        <f t="shared" si="2"/>
        <v>49500</v>
      </c>
      <c r="K10" s="8" t="s">
        <v>145</v>
      </c>
      <c r="L10" s="9">
        <v>-2000</v>
      </c>
      <c r="M10" s="9"/>
      <c r="N10" s="48">
        <v>0</v>
      </c>
      <c r="O10" s="21">
        <f t="shared" si="3"/>
        <v>18700</v>
      </c>
      <c r="P10" s="8"/>
      <c r="Q10" s="9"/>
      <c r="R10" s="9"/>
      <c r="S10" s="48"/>
      <c r="T10" s="21">
        <f t="shared" si="4"/>
        <v>36800</v>
      </c>
      <c r="U10" s="53">
        <f>IF($J10="","",ROUND(($J10-$J$3)/1000,1)+(_xlfn.RANK.AVG($J10,($J10,$O10,$T10),1)-2)*20)</f>
        <v>34.5</v>
      </c>
      <c r="V10" s="54">
        <f>IF($O10="","",ROUND(($O10-$O$3)/1000,1)+(_xlfn.RANK.AVG($O10,($J10,$O10,$T10),1)-2)*20)</f>
        <v>-36.299999999999997</v>
      </c>
      <c r="W10" s="55">
        <f>IF($T10="","",ROUND(($T10-$T$3)/1000,1)+(_xlfn.RANK.AVG($T10,($J10,$O10,$T10),1)-2)*20)</f>
        <v>1.8</v>
      </c>
      <c r="Y10" s="8"/>
      <c r="Z10" s="34"/>
      <c r="AA10" s="26">
        <v>1</v>
      </c>
      <c r="AB10" s="26"/>
      <c r="AC10" s="26">
        <v>2</v>
      </c>
      <c r="AD10" s="30">
        <v>30</v>
      </c>
      <c r="AE10" s="40" t="s">
        <v>147</v>
      </c>
      <c r="AF10" s="41" t="s">
        <v>83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142</v>
      </c>
      <c r="F11" s="8" t="s">
        <v>154</v>
      </c>
      <c r="G11" s="9">
        <v>-1500</v>
      </c>
      <c r="H11" s="9"/>
      <c r="I11" s="48"/>
      <c r="J11" s="21">
        <f t="shared" si="2"/>
        <v>48000</v>
      </c>
      <c r="K11" s="8" t="s">
        <v>154</v>
      </c>
      <c r="L11" s="9">
        <v>-1500</v>
      </c>
      <c r="M11" s="9"/>
      <c r="N11" s="48"/>
      <c r="O11" s="21">
        <f t="shared" si="3"/>
        <v>17200</v>
      </c>
      <c r="P11" s="8" t="s">
        <v>154</v>
      </c>
      <c r="Q11" s="9">
        <v>3000</v>
      </c>
      <c r="R11" s="9">
        <v>-1000</v>
      </c>
      <c r="S11" s="48"/>
      <c r="T11" s="21">
        <f t="shared" si="4"/>
        <v>38800</v>
      </c>
      <c r="U11" s="53">
        <f>IF($J11="","",ROUND(($J11-$J$3)/1000,1)+(_xlfn.RANK.AVG($J11,($J11,$O11,$T11),1)-2)*20)</f>
        <v>33</v>
      </c>
      <c r="V11" s="54">
        <f>IF($O11="","",ROUND(($O11-$O$3)/1000,1)+(_xlfn.RANK.AVG($O11,($J11,$O11,$T11),1)-2)*20)</f>
        <v>-37.799999999999997</v>
      </c>
      <c r="W11" s="55">
        <f>IF($T11="","",ROUND(($T11-$T$3)/1000,1)+(_xlfn.RANK.AVG($T11,($J11,$O11,$T11),1)-2)*20)</f>
        <v>3.8</v>
      </c>
      <c r="Y11" s="8" t="s">
        <v>152</v>
      </c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152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153</v>
      </c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1</v>
      </c>
      <c r="D12" s="18">
        <f t="shared" si="1"/>
        <v>1</v>
      </c>
      <c r="E12" s="4" t="s">
        <v>142</v>
      </c>
      <c r="F12" s="8" t="s">
        <v>144</v>
      </c>
      <c r="G12" s="9">
        <v>1300</v>
      </c>
      <c r="H12" s="9">
        <v>1000</v>
      </c>
      <c r="I12" s="48">
        <v>1000</v>
      </c>
      <c r="J12" s="21">
        <f t="shared" si="2"/>
        <v>51300</v>
      </c>
      <c r="K12" s="8"/>
      <c r="L12" s="9"/>
      <c r="M12" s="9"/>
      <c r="N12" s="48"/>
      <c r="O12" s="21">
        <f t="shared" si="3"/>
        <v>17200</v>
      </c>
      <c r="P12" s="8" t="s">
        <v>145</v>
      </c>
      <c r="Q12" s="9">
        <v>-1300</v>
      </c>
      <c r="R12" s="9"/>
      <c r="S12" s="48">
        <v>-1000</v>
      </c>
      <c r="T12" s="21">
        <f t="shared" si="4"/>
        <v>36500</v>
      </c>
      <c r="U12" s="53">
        <f>IF($J12="","",ROUND(($J12-$J$3)/1000,1)+(_xlfn.RANK.AVG($J12,($J12,$O12,$T12),1)-2)*20)</f>
        <v>36.299999999999997</v>
      </c>
      <c r="V12" s="54">
        <f>IF($O12="","",ROUND(($O12-$O$3)/1000,1)+(_xlfn.RANK.AVG($O12,($J12,$O12,$T12),1)-2)*20)</f>
        <v>-37.799999999999997</v>
      </c>
      <c r="W12" s="55">
        <f>IF($T12="","",ROUND(($T12-$T$3)/1000,1)+(_xlfn.RANK.AVG($T12,($J12,$O12,$T12),1)-2)*20)</f>
        <v>1.5</v>
      </c>
      <c r="Y12" s="8"/>
      <c r="Z12" s="34"/>
      <c r="AA12" s="26"/>
      <c r="AB12" s="26"/>
      <c r="AC12" s="26">
        <v>1</v>
      </c>
      <c r="AD12" s="30">
        <v>40</v>
      </c>
      <c r="AE12" s="40" t="s">
        <v>84</v>
      </c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BFECA8-3544-450A-B4F8-B3F3552489E8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156</v>
      </c>
      <c r="G1" s="78"/>
      <c r="H1" s="78"/>
      <c r="I1" s="79"/>
      <c r="J1" s="80"/>
      <c r="K1" s="77" t="s">
        <v>158</v>
      </c>
      <c r="L1" s="78"/>
      <c r="M1" s="78"/>
      <c r="N1" s="79"/>
      <c r="O1" s="80"/>
      <c r="P1" s="77" t="s">
        <v>160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ただ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れんたろう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たかの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ただ</v>
      </c>
      <c r="V2" s="69" t="str">
        <f>$K$1</f>
        <v>れんたろう</v>
      </c>
      <c r="W2" s="16" t="str">
        <f>$P$1</f>
        <v>たかの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159</v>
      </c>
      <c r="F4" s="8" t="s">
        <v>150</v>
      </c>
      <c r="G4" s="9">
        <v>-1500</v>
      </c>
      <c r="H4" s="9"/>
      <c r="I4" s="48">
        <v>0</v>
      </c>
      <c r="J4" s="21">
        <f>IF(COUNTA($F4,$K4,$P4)&gt;0,J3+SUM(G4:I4),"")</f>
        <v>33500</v>
      </c>
      <c r="K4" s="8" t="s">
        <v>150</v>
      </c>
      <c r="L4" s="9">
        <v>-1500</v>
      </c>
      <c r="M4" s="9"/>
      <c r="N4" s="48">
        <v>0</v>
      </c>
      <c r="O4" s="21">
        <f>IF(COUNTA($F4,$K4,$P4)&gt;0,O3+SUM(L4:N4),"")</f>
        <v>33500</v>
      </c>
      <c r="P4" s="8" t="s">
        <v>151</v>
      </c>
      <c r="Q4" s="9">
        <v>3000</v>
      </c>
      <c r="R4" s="9"/>
      <c r="S4" s="48">
        <v>0</v>
      </c>
      <c r="T4" s="21">
        <f>IF(COUNTA($F4,$K4,$P4)&gt;0,T3+SUM(Q4:S4),"")</f>
        <v>38000</v>
      </c>
      <c r="U4" s="53">
        <f>IF($J4="","",ROUND(($J4-$J$3)/1000,1)+(_xlfn.RANK.AVG($J4,($J4,$O4,$T4),1)-2)*20)</f>
        <v>-11.5</v>
      </c>
      <c r="V4" s="54">
        <f>IF($O4="","",ROUND(($O4-$O$3)/1000,1)+(_xlfn.RANK.AVG($O4,($J4,$O4,$T4),1)-2)*20)</f>
        <v>-11.5</v>
      </c>
      <c r="W4" s="55">
        <f>IF($T4="","",ROUND(($T4-$T$3)/1000,1)+(_xlfn.RANK.AVG($T4,($J4,$O4,$T4),1)-2)*20)</f>
        <v>23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2</v>
      </c>
      <c r="BT4" s="30">
        <v>30</v>
      </c>
      <c r="BU4" s="40" t="s">
        <v>149</v>
      </c>
      <c r="BV4" s="41" t="s">
        <v>82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159</v>
      </c>
      <c r="F5" s="8"/>
      <c r="G5" s="9"/>
      <c r="H5" s="9"/>
      <c r="I5" s="48"/>
      <c r="J5" s="21">
        <f t="shared" ref="J5:J30" si="2">IF(COUNTA($F5,$K5,$P5)&gt;0,J4+SUM(G5:I5),"")</f>
        <v>33500</v>
      </c>
      <c r="K5" s="8" t="s">
        <v>145</v>
      </c>
      <c r="L5" s="9">
        <v>-2900</v>
      </c>
      <c r="M5" s="9"/>
      <c r="N5" s="48">
        <v>-1000</v>
      </c>
      <c r="O5" s="21">
        <f t="shared" ref="O5:O30" si="3">IF(COUNTA($F5,$K5,$P5)&gt;0,O4+SUM(L5:N5),"")</f>
        <v>29600</v>
      </c>
      <c r="P5" s="8" t="s">
        <v>144</v>
      </c>
      <c r="Q5" s="9">
        <v>2900</v>
      </c>
      <c r="R5" s="9"/>
      <c r="S5" s="48">
        <v>1000</v>
      </c>
      <c r="T5" s="21">
        <f t="shared" ref="T5:T30" si="4">IF(COUNTA($F5,$K5,$P5)&gt;0,T4+SUM(Q5:S5),"")</f>
        <v>41900</v>
      </c>
      <c r="U5" s="53">
        <f>IF($J5="","",ROUND(($J5-$J$3)/1000,1)+(_xlfn.RANK.AVG($J5,($J5,$O5,$T5),1)-2)*20)</f>
        <v>-1.5</v>
      </c>
      <c r="V5" s="54">
        <f>IF($O5="","",ROUND(($O5-$O$3)/1000,1)+(_xlfn.RANK.AVG($O5,($J5,$O5,$T5),1)-2)*20)</f>
        <v>-25.4</v>
      </c>
      <c r="W5" s="55">
        <f>IF($T5="","",ROUND(($T5-$T$3)/1000,1)+(_xlfn.RANK.AVG($T5,($J5,$O5,$T5),1)-2)*20)</f>
        <v>26.9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2</v>
      </c>
      <c r="BT5" s="30">
        <v>30</v>
      </c>
      <c r="BU5" s="40" t="s">
        <v>85</v>
      </c>
      <c r="BV5" s="41" t="s">
        <v>83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159</v>
      </c>
      <c r="F6" s="8" t="s">
        <v>161</v>
      </c>
      <c r="G6" s="9">
        <v>-1500</v>
      </c>
      <c r="H6" s="9"/>
      <c r="I6" s="48"/>
      <c r="J6" s="21">
        <f t="shared" si="2"/>
        <v>32000</v>
      </c>
      <c r="K6" s="8" t="s">
        <v>161</v>
      </c>
      <c r="L6" s="9">
        <v>-1500</v>
      </c>
      <c r="M6" s="9"/>
      <c r="N6" s="48"/>
      <c r="O6" s="21">
        <f t="shared" si="3"/>
        <v>28100</v>
      </c>
      <c r="P6" s="8" t="s">
        <v>161</v>
      </c>
      <c r="Q6" s="9">
        <v>3000</v>
      </c>
      <c r="R6" s="9"/>
      <c r="S6" s="48"/>
      <c r="T6" s="21">
        <f t="shared" si="4"/>
        <v>44900</v>
      </c>
      <c r="U6" s="53">
        <f>IF($J6="","",ROUND(($J6-$J$3)/1000,1)+(_xlfn.RANK.AVG($J6,($J6,$O6,$T6),1)-2)*20)</f>
        <v>-3</v>
      </c>
      <c r="V6" s="54">
        <f>IF($O6="","",ROUND(($O6-$O$3)/1000,1)+(_xlfn.RANK.AVG($O6,($J6,$O6,$T6),1)-2)*20)</f>
        <v>-26.9</v>
      </c>
      <c r="W6" s="55">
        <f>IF($T6="","",ROUND(($T6-$T$3)/1000,1)+(_xlfn.RANK.AVG($T6,($J6,$O6,$T6),1)-2)*20)</f>
        <v>29.9</v>
      </c>
      <c r="Y6" s="8" t="s">
        <v>152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152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153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">
        <v>159</v>
      </c>
      <c r="F7" s="8"/>
      <c r="G7" s="9"/>
      <c r="H7" s="9"/>
      <c r="I7" s="48"/>
      <c r="J7" s="21">
        <f t="shared" si="2"/>
        <v>32000</v>
      </c>
      <c r="K7" s="8" t="s">
        <v>145</v>
      </c>
      <c r="L7" s="9">
        <v>-1500</v>
      </c>
      <c r="M7" s="9"/>
      <c r="N7" s="48">
        <v>-3000</v>
      </c>
      <c r="O7" s="21">
        <f t="shared" si="3"/>
        <v>23600</v>
      </c>
      <c r="P7" s="8" t="s">
        <v>144</v>
      </c>
      <c r="Q7" s="9">
        <v>1500</v>
      </c>
      <c r="R7" s="9"/>
      <c r="S7" s="48">
        <v>3000</v>
      </c>
      <c r="T7" s="21">
        <f t="shared" si="4"/>
        <v>49400</v>
      </c>
      <c r="U7" s="53">
        <f>IF($J7="","",ROUND(($J7-$J$3)/1000,1)+(_xlfn.RANK.AVG($J7,($J7,$O7,$T7),1)-2)*20)</f>
        <v>-3</v>
      </c>
      <c r="V7" s="54">
        <f>IF($O7="","",ROUND(($O7-$O$3)/1000,1)+(_xlfn.RANK.AVG($O7,($J7,$O7,$T7),1)-2)*20)</f>
        <v>-31.4</v>
      </c>
      <c r="W7" s="55">
        <f>IF($T7="","",ROUND(($T7-$T$3)/1000,1)+(_xlfn.RANK.AVG($T7,($J7,$O7,$T7),1)-2)*20)</f>
        <v>34.4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1</v>
      </c>
      <c r="BT7" s="30">
        <v>30</v>
      </c>
      <c r="BU7" s="40" t="s">
        <v>86</v>
      </c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1</v>
      </c>
      <c r="C8" s="18">
        <f t="shared" si="6"/>
        <v>4</v>
      </c>
      <c r="D8" s="18">
        <f t="shared" si="1"/>
        <v>0</v>
      </c>
      <c r="E8" s="4" t="s">
        <v>159</v>
      </c>
      <c r="F8" s="8"/>
      <c r="G8" s="9"/>
      <c r="H8" s="9">
        <v>-1000</v>
      </c>
      <c r="I8" s="48"/>
      <c r="J8" s="21">
        <f t="shared" si="2"/>
        <v>31000</v>
      </c>
      <c r="K8" s="8" t="s">
        <v>144</v>
      </c>
      <c r="L8" s="9">
        <v>8000</v>
      </c>
      <c r="M8" s="9">
        <v>1000</v>
      </c>
      <c r="N8" s="48">
        <v>4000</v>
      </c>
      <c r="O8" s="21">
        <f t="shared" si="3"/>
        <v>36600</v>
      </c>
      <c r="P8" s="8" t="s">
        <v>145</v>
      </c>
      <c r="Q8" s="9">
        <v>-8000</v>
      </c>
      <c r="R8" s="9"/>
      <c r="S8" s="48">
        <v>-4000</v>
      </c>
      <c r="T8" s="21">
        <f t="shared" si="4"/>
        <v>37400</v>
      </c>
      <c r="U8" s="53">
        <f>IF($J8="","",ROUND(($J8-$J$3)/1000,1)+(_xlfn.RANK.AVG($J8,($J8,$O8,$T8),1)-2)*20)</f>
        <v>-24</v>
      </c>
      <c r="V8" s="54">
        <f>IF($O8="","",ROUND(($O8-$O$3)/1000,1)+(_xlfn.RANK.AVG($O8,($J8,$O8,$T8),1)-2)*20)</f>
        <v>1.6</v>
      </c>
      <c r="W8" s="55">
        <f>IF($T8="","",ROUND(($T8-$T$3)/1000,1)+(_xlfn.RANK.AVG($T8,($J8,$O8,$T8),1)-2)*20)</f>
        <v>22.4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4</v>
      </c>
      <c r="AY8" s="30">
        <v>50</v>
      </c>
      <c r="AZ8" s="40" t="s">
        <v>86</v>
      </c>
      <c r="BA8" s="41" t="s">
        <v>86</v>
      </c>
      <c r="BB8" s="41" t="s">
        <v>149</v>
      </c>
      <c r="BC8" s="41" t="s">
        <v>79</v>
      </c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155</v>
      </c>
      <c r="F9" s="8"/>
      <c r="G9" s="9"/>
      <c r="H9" s="9"/>
      <c r="I9" s="48"/>
      <c r="J9" s="21">
        <f t="shared" si="2"/>
        <v>31000</v>
      </c>
      <c r="K9" s="8" t="s">
        <v>145</v>
      </c>
      <c r="L9" s="9">
        <v>-8000</v>
      </c>
      <c r="M9" s="9"/>
      <c r="N9" s="48">
        <v>0</v>
      </c>
      <c r="O9" s="21">
        <f t="shared" si="3"/>
        <v>28600</v>
      </c>
      <c r="P9" s="8" t="s">
        <v>144</v>
      </c>
      <c r="Q9" s="9">
        <v>8000</v>
      </c>
      <c r="R9" s="9"/>
      <c r="S9" s="48">
        <v>0</v>
      </c>
      <c r="T9" s="21">
        <f t="shared" si="4"/>
        <v>45400</v>
      </c>
      <c r="U9" s="53">
        <f>IF($J9="","",ROUND(($J9-$J$3)/1000,1)+(_xlfn.RANK.AVG($J9,($J9,$O9,$T9),1)-2)*20)</f>
        <v>-4</v>
      </c>
      <c r="V9" s="54">
        <f>IF($O9="","",ROUND(($O9-$O$3)/1000,1)+(_xlfn.RANK.AVG($O9,($J9,$O9,$T9),1)-2)*20)</f>
        <v>-26.4</v>
      </c>
      <c r="W9" s="55">
        <f>IF($T9="","",ROUND(($T9-$T$3)/1000,1)+(_xlfn.RANK.AVG($T9,($J9,$O9,$T9),1)-2)*20)</f>
        <v>30.4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5</v>
      </c>
      <c r="BT9" s="30" t="s">
        <v>146</v>
      </c>
      <c r="BU9" s="40" t="s">
        <v>149</v>
      </c>
      <c r="BV9" s="41" t="s">
        <v>104</v>
      </c>
      <c r="BW9" s="41" t="s">
        <v>98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157</v>
      </c>
      <c r="F10" s="8"/>
      <c r="G10" s="9"/>
      <c r="H10" s="9"/>
      <c r="I10" s="48"/>
      <c r="J10" s="21">
        <f t="shared" si="2"/>
        <v>31000</v>
      </c>
      <c r="K10" s="8" t="s">
        <v>144</v>
      </c>
      <c r="L10" s="9">
        <v>24000</v>
      </c>
      <c r="M10" s="9"/>
      <c r="N10" s="48">
        <v>0</v>
      </c>
      <c r="O10" s="21">
        <f t="shared" si="3"/>
        <v>52600</v>
      </c>
      <c r="P10" s="8" t="s">
        <v>145</v>
      </c>
      <c r="Q10" s="9">
        <v>-24000</v>
      </c>
      <c r="R10" s="9"/>
      <c r="S10" s="48">
        <v>0</v>
      </c>
      <c r="T10" s="21">
        <f t="shared" si="4"/>
        <v>21400</v>
      </c>
      <c r="U10" s="53">
        <f>IF($J10="","",ROUND(($J10-$J$3)/1000,1)+(_xlfn.RANK.AVG($J10,($J10,$O10,$T10),1)-2)*20)</f>
        <v>-4</v>
      </c>
      <c r="V10" s="54">
        <f>IF($O10="","",ROUND(($O10-$O$3)/1000,1)+(_xlfn.RANK.AVG($O10,($J10,$O10,$T10),1)-2)*20)</f>
        <v>37.6</v>
      </c>
      <c r="W10" s="55">
        <f>IF($T10="","",ROUND(($T10-$T$3)/1000,1)+(_xlfn.RANK.AVG($T10,($J10,$O10,$T10),1)-2)*20)</f>
        <v>-33.6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9</v>
      </c>
      <c r="AY10" s="30" t="s">
        <v>146</v>
      </c>
      <c r="AZ10" s="40" t="s">
        <v>147</v>
      </c>
      <c r="BA10" s="41" t="s">
        <v>148</v>
      </c>
      <c r="BB10" s="41" t="s">
        <v>104</v>
      </c>
      <c r="BC10" s="41" t="s">
        <v>79</v>
      </c>
      <c r="BD10" s="41" t="s">
        <v>79</v>
      </c>
      <c r="BE10" s="41" t="s">
        <v>80</v>
      </c>
      <c r="BF10" s="41" t="s">
        <v>86</v>
      </c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東</v>
      </c>
      <c r="B11" s="18">
        <f t="shared" si="5"/>
        <v>3</v>
      </c>
      <c r="C11" s="18">
        <f t="shared" si="6"/>
        <v>1</v>
      </c>
      <c r="D11" s="18">
        <f t="shared" si="1"/>
        <v>0</v>
      </c>
      <c r="E11" s="4" t="s">
        <v>157</v>
      </c>
      <c r="F11" s="8" t="s">
        <v>150</v>
      </c>
      <c r="G11" s="9">
        <v>-3000</v>
      </c>
      <c r="H11" s="9">
        <v>-1000</v>
      </c>
      <c r="I11" s="48">
        <v>-500</v>
      </c>
      <c r="J11" s="21">
        <f t="shared" si="2"/>
        <v>26500</v>
      </c>
      <c r="K11" s="8" t="s">
        <v>151</v>
      </c>
      <c r="L11" s="9">
        <v>6000</v>
      </c>
      <c r="M11" s="9">
        <v>1000</v>
      </c>
      <c r="N11" s="48">
        <v>1000</v>
      </c>
      <c r="O11" s="21">
        <f t="shared" si="3"/>
        <v>60600</v>
      </c>
      <c r="P11" s="8" t="s">
        <v>150</v>
      </c>
      <c r="Q11" s="9">
        <v>-3000</v>
      </c>
      <c r="R11" s="9"/>
      <c r="S11" s="48">
        <v>-500</v>
      </c>
      <c r="T11" s="21">
        <f t="shared" si="4"/>
        <v>17900</v>
      </c>
      <c r="U11" s="53">
        <f>IF($J11="","",ROUND(($J11-$J$3)/1000,1)+(_xlfn.RANK.AVG($J11,($J11,$O11,$T11),1)-2)*20)</f>
        <v>-8.5</v>
      </c>
      <c r="V11" s="54">
        <f>IF($O11="","",ROUND(($O11-$O$3)/1000,1)+(_xlfn.RANK.AVG($O11,($J11,$O11,$T11),1)-2)*20)</f>
        <v>45.6</v>
      </c>
      <c r="W11" s="55">
        <f>IF($T11="","",ROUND(($T11-$T$3)/1000,1)+(_xlfn.RANK.AVG($T11,($J11,$O11,$T11),1)-2)*20)</f>
        <v>-37.1</v>
      </c>
      <c r="Y11" s="8"/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3</v>
      </c>
      <c r="AY11" s="30">
        <v>30</v>
      </c>
      <c r="AZ11" s="40" t="s">
        <v>86</v>
      </c>
      <c r="BA11" s="41" t="s">
        <v>104</v>
      </c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東</v>
      </c>
      <c r="B12" s="18">
        <f t="shared" si="5"/>
        <v>3</v>
      </c>
      <c r="C12" s="18">
        <f t="shared" si="6"/>
        <v>2</v>
      </c>
      <c r="D12" s="18">
        <f t="shared" si="1"/>
        <v>0</v>
      </c>
      <c r="E12" s="4" t="s">
        <v>157</v>
      </c>
      <c r="F12" s="8" t="s">
        <v>150</v>
      </c>
      <c r="G12" s="9">
        <v>-9000</v>
      </c>
      <c r="H12" s="9"/>
      <c r="I12" s="48">
        <v>-1000</v>
      </c>
      <c r="J12" s="21">
        <f t="shared" si="2"/>
        <v>16500</v>
      </c>
      <c r="K12" s="8" t="s">
        <v>151</v>
      </c>
      <c r="L12" s="9">
        <v>18000</v>
      </c>
      <c r="M12" s="9"/>
      <c r="N12" s="48">
        <v>2000</v>
      </c>
      <c r="O12" s="21">
        <f t="shared" si="3"/>
        <v>80600</v>
      </c>
      <c r="P12" s="8" t="s">
        <v>150</v>
      </c>
      <c r="Q12" s="9">
        <v>-9000</v>
      </c>
      <c r="R12" s="9"/>
      <c r="S12" s="48">
        <v>-1000</v>
      </c>
      <c r="T12" s="21">
        <f t="shared" si="4"/>
        <v>7900</v>
      </c>
      <c r="U12" s="53">
        <f>IF($J12="","",ROUND(($J12-$J$3)/1000,1)+(_xlfn.RANK.AVG($J12,($J12,$O12,$T12),1)-2)*20)</f>
        <v>-18.5</v>
      </c>
      <c r="V12" s="54">
        <f>IF($O12="","",ROUND(($O12-$O$3)/1000,1)+(_xlfn.RANK.AVG($O12,($J12,$O12,$T12),1)-2)*20)</f>
        <v>65.599999999999994</v>
      </c>
      <c r="W12" s="55">
        <f>IF($T12="","",ROUND(($T12-$T$3)/1000,1)+(_xlfn.RANK.AVG($T12,($J12,$O12,$T12),1)-2)*20)</f>
        <v>-47.1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>
        <v>7</v>
      </c>
      <c r="AY12" s="30" t="s">
        <v>146</v>
      </c>
      <c r="AZ12" s="40" t="s">
        <v>79</v>
      </c>
      <c r="BA12" s="41" t="s">
        <v>86</v>
      </c>
      <c r="BB12" s="41" t="s">
        <v>86</v>
      </c>
      <c r="BC12" s="41" t="s">
        <v>99</v>
      </c>
      <c r="BD12" s="41" t="s">
        <v>89</v>
      </c>
      <c r="BE12" s="41" t="s">
        <v>93</v>
      </c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東</v>
      </c>
      <c r="B13" s="18">
        <f t="shared" si="5"/>
        <v>3</v>
      </c>
      <c r="C13" s="18">
        <f t="shared" si="6"/>
        <v>3</v>
      </c>
      <c r="D13" s="18">
        <f t="shared" si="1"/>
        <v>0</v>
      </c>
      <c r="E13" s="4" t="s">
        <v>157</v>
      </c>
      <c r="F13" s="8" t="s">
        <v>150</v>
      </c>
      <c r="G13" s="9">
        <v>-2900</v>
      </c>
      <c r="H13" s="9"/>
      <c r="I13" s="48">
        <v>-1500</v>
      </c>
      <c r="J13" s="21">
        <f t="shared" si="2"/>
        <v>12100</v>
      </c>
      <c r="K13" s="8" t="s">
        <v>150</v>
      </c>
      <c r="L13" s="9">
        <v>-4800</v>
      </c>
      <c r="M13" s="9">
        <v>-1000</v>
      </c>
      <c r="N13" s="48">
        <v>-1500</v>
      </c>
      <c r="O13" s="21">
        <f t="shared" si="3"/>
        <v>73300</v>
      </c>
      <c r="P13" s="8" t="s">
        <v>151</v>
      </c>
      <c r="Q13" s="9">
        <v>7700</v>
      </c>
      <c r="R13" s="9">
        <v>1000</v>
      </c>
      <c r="S13" s="48">
        <v>3000</v>
      </c>
      <c r="T13" s="21">
        <f t="shared" si="4"/>
        <v>19600</v>
      </c>
      <c r="U13" s="53">
        <f>IF($J13="","",ROUND(($J13-$J$3)/1000,1)+(_xlfn.RANK.AVG($J13,($J13,$O13,$T13),1)-2)*20)</f>
        <v>-42.9</v>
      </c>
      <c r="V13" s="54">
        <f>IF($O13="","",ROUND(($O13-$O$3)/1000,1)+(_xlfn.RANK.AVG($O13,($J13,$O13,$T13),1)-2)*20)</f>
        <v>58.3</v>
      </c>
      <c r="W13" s="55">
        <f>IF($T13="","",ROUND(($T13-$T$3)/1000,1)+(_xlfn.RANK.AVG($T13,($J13,$O13,$T13),1)-2)*20)</f>
        <v>-15.4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>
        <v>3</v>
      </c>
      <c r="BT13" s="30">
        <v>60</v>
      </c>
      <c r="BU13" s="40" t="s">
        <v>82</v>
      </c>
      <c r="BV13" s="41" t="s">
        <v>89</v>
      </c>
      <c r="BW13" s="41" t="s">
        <v>79</v>
      </c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1</v>
      </c>
      <c r="C14" s="18">
        <f t="shared" si="6"/>
        <v>0</v>
      </c>
      <c r="D14" s="18">
        <f t="shared" si="1"/>
        <v>0</v>
      </c>
      <c r="E14" s="4" t="s">
        <v>159</v>
      </c>
      <c r="F14" s="8" t="s">
        <v>150</v>
      </c>
      <c r="G14" s="9">
        <v>-2000</v>
      </c>
      <c r="H14" s="9">
        <v>-1000</v>
      </c>
      <c r="I14" s="48">
        <v>0</v>
      </c>
      <c r="J14" s="21">
        <f t="shared" si="2"/>
        <v>9100</v>
      </c>
      <c r="K14" s="8" t="s">
        <v>151</v>
      </c>
      <c r="L14" s="9">
        <v>5300</v>
      </c>
      <c r="M14" s="9">
        <v>1000</v>
      </c>
      <c r="N14" s="48">
        <v>0</v>
      </c>
      <c r="O14" s="21">
        <f t="shared" si="3"/>
        <v>79600</v>
      </c>
      <c r="P14" s="8" t="s">
        <v>150</v>
      </c>
      <c r="Q14" s="9">
        <v>-3300</v>
      </c>
      <c r="R14" s="9"/>
      <c r="S14" s="48">
        <v>0</v>
      </c>
      <c r="T14" s="21">
        <f t="shared" si="4"/>
        <v>16300</v>
      </c>
      <c r="U14" s="53">
        <f>IF($J14="","",ROUND(($J14-$J$3)/1000,1)+(_xlfn.RANK.AVG($J14,($J14,$O14,$T14),1)-2)*20)</f>
        <v>-45.9</v>
      </c>
      <c r="V14" s="54">
        <f>IF($O14="","",ROUND(($O14-$O$3)/1000,1)+(_xlfn.RANK.AVG($O14,($J14,$O14,$T14),1)-2)*20)</f>
        <v>64.599999999999994</v>
      </c>
      <c r="W14" s="55">
        <f>IF($T14="","",ROUND(($T14-$T$3)/1000,1)+(_xlfn.RANK.AVG($T14,($J14,$O14,$T14),1)-2)*20)</f>
        <v>-18.7</v>
      </c>
      <c r="Y14" s="8"/>
      <c r="Z14" s="34"/>
      <c r="AA14" s="26">
        <v>1</v>
      </c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>
        <v>1</v>
      </c>
      <c r="AW14" s="26"/>
      <c r="AX14" s="26">
        <v>4</v>
      </c>
      <c r="AY14" s="30">
        <v>20</v>
      </c>
      <c r="AZ14" s="40" t="s">
        <v>147</v>
      </c>
      <c r="BA14" s="41" t="s">
        <v>82</v>
      </c>
      <c r="BB14" s="41" t="s">
        <v>83</v>
      </c>
      <c r="BC14" s="41" t="s">
        <v>149</v>
      </c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2</v>
      </c>
      <c r="C15" s="18">
        <f t="shared" si="6"/>
        <v>0</v>
      </c>
      <c r="D15" s="18">
        <f t="shared" si="1"/>
        <v>0</v>
      </c>
      <c r="E15" s="4" t="s">
        <v>155</v>
      </c>
      <c r="F15" s="8" t="s">
        <v>151</v>
      </c>
      <c r="G15" s="9">
        <v>6000</v>
      </c>
      <c r="H15" s="9">
        <v>1000</v>
      </c>
      <c r="I15" s="48">
        <v>0</v>
      </c>
      <c r="J15" s="21">
        <f t="shared" si="2"/>
        <v>16100</v>
      </c>
      <c r="K15" s="8" t="s">
        <v>150</v>
      </c>
      <c r="L15" s="9">
        <v>-3000</v>
      </c>
      <c r="M15" s="9">
        <v>-1000</v>
      </c>
      <c r="N15" s="48">
        <v>0</v>
      </c>
      <c r="O15" s="21">
        <f t="shared" si="3"/>
        <v>75600</v>
      </c>
      <c r="P15" s="8" t="s">
        <v>150</v>
      </c>
      <c r="Q15" s="9">
        <v>-3000</v>
      </c>
      <c r="R15" s="9"/>
      <c r="S15" s="48">
        <v>0</v>
      </c>
      <c r="T15" s="21">
        <f t="shared" si="4"/>
        <v>13300</v>
      </c>
      <c r="U15" s="53">
        <f>IF($J15="","",ROUND(($J15-$J$3)/1000,1)+(_xlfn.RANK.AVG($J15,($J15,$O15,$T15),1)-2)*20)</f>
        <v>-18.899999999999999</v>
      </c>
      <c r="V15" s="54">
        <f>IF($O15="","",ROUND(($O15-$O$3)/1000,1)+(_xlfn.RANK.AVG($O15,($J15,$O15,$T15),1)-2)*20)</f>
        <v>60.6</v>
      </c>
      <c r="W15" s="55">
        <f>IF($T15="","",ROUND(($T15-$T$3)/1000,1)+(_xlfn.RANK.AVG($T15,($J15,$O15,$T15),1)-2)*20)</f>
        <v>-41.7</v>
      </c>
      <c r="Y15" s="8"/>
      <c r="Z15" s="34"/>
      <c r="AA15" s="26"/>
      <c r="AB15" s="26"/>
      <c r="AC15" s="26">
        <v>3</v>
      </c>
      <c r="AD15" s="30">
        <v>30</v>
      </c>
      <c r="AE15" s="40" t="s">
        <v>82</v>
      </c>
      <c r="AF15" s="41" t="s">
        <v>86</v>
      </c>
      <c r="AG15" s="41" t="s">
        <v>149</v>
      </c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>
        <v>1</v>
      </c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>南</v>
      </c>
      <c r="B16" s="18">
        <f t="shared" si="5"/>
        <v>2</v>
      </c>
      <c r="C16" s="18">
        <f t="shared" si="6"/>
        <v>1</v>
      </c>
      <c r="D16" s="18">
        <f t="shared" si="1"/>
        <v>0</v>
      </c>
      <c r="E16" s="4" t="s">
        <v>155</v>
      </c>
      <c r="F16" s="8" t="s">
        <v>151</v>
      </c>
      <c r="G16" s="9">
        <v>18000</v>
      </c>
      <c r="H16" s="9">
        <v>2000</v>
      </c>
      <c r="I16" s="48">
        <v>1000</v>
      </c>
      <c r="J16" s="21">
        <f t="shared" si="2"/>
        <v>37100</v>
      </c>
      <c r="K16" s="8" t="s">
        <v>150</v>
      </c>
      <c r="L16" s="9">
        <v>-9000</v>
      </c>
      <c r="M16" s="9">
        <v>-1000</v>
      </c>
      <c r="N16" s="48">
        <v>-500</v>
      </c>
      <c r="O16" s="21">
        <f t="shared" si="3"/>
        <v>65100</v>
      </c>
      <c r="P16" s="8" t="s">
        <v>150</v>
      </c>
      <c r="Q16" s="9">
        <v>-9000</v>
      </c>
      <c r="R16" s="9">
        <v>-1000</v>
      </c>
      <c r="S16" s="48">
        <v>-500</v>
      </c>
      <c r="T16" s="21">
        <f t="shared" si="4"/>
        <v>2800</v>
      </c>
      <c r="U16" s="53">
        <f>IF($J16="","",ROUND(($J16-$J$3)/1000,1)+(_xlfn.RANK.AVG($J16,($J16,$O16,$T16),1)-2)*20)</f>
        <v>2.1</v>
      </c>
      <c r="V16" s="54">
        <f>IF($O16="","",ROUND(($O16-$O$3)/1000,1)+(_xlfn.RANK.AVG($O16,($J16,$O16,$T16),1)-2)*20)</f>
        <v>50.1</v>
      </c>
      <c r="W16" s="55">
        <f>IF($T16="","",ROUND(($T16-$T$3)/1000,1)+(_xlfn.RANK.AVG($T16,($J16,$O16,$T16),1)-2)*20)</f>
        <v>-52.2</v>
      </c>
      <c r="Y16" s="8"/>
      <c r="Z16" s="34"/>
      <c r="AA16" s="26">
        <v>1</v>
      </c>
      <c r="AB16" s="26"/>
      <c r="AC16" s="26">
        <v>6</v>
      </c>
      <c r="AD16" s="30" t="s">
        <v>146</v>
      </c>
      <c r="AE16" s="40" t="s">
        <v>147</v>
      </c>
      <c r="AF16" s="41" t="s">
        <v>79</v>
      </c>
      <c r="AG16" s="41" t="s">
        <v>79</v>
      </c>
      <c r="AH16" s="41" t="s">
        <v>82</v>
      </c>
      <c r="AI16" s="41" t="s">
        <v>101</v>
      </c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>
        <v>1</v>
      </c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>
        <v>1</v>
      </c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>南</v>
      </c>
      <c r="B17" s="18">
        <f t="shared" si="5"/>
        <v>2</v>
      </c>
      <c r="C17" s="18">
        <f t="shared" si="6"/>
        <v>2</v>
      </c>
      <c r="D17" s="18">
        <f t="shared" si="1"/>
        <v>0</v>
      </c>
      <c r="E17" s="4" t="s">
        <v>155</v>
      </c>
      <c r="F17" s="8" t="s">
        <v>161</v>
      </c>
      <c r="G17" s="9">
        <v>0</v>
      </c>
      <c r="H17" s="9">
        <v>-1000</v>
      </c>
      <c r="I17" s="48"/>
      <c r="J17" s="21">
        <f t="shared" si="2"/>
        <v>36100</v>
      </c>
      <c r="K17" s="8" t="s">
        <v>161</v>
      </c>
      <c r="L17" s="9">
        <v>0</v>
      </c>
      <c r="M17" s="9"/>
      <c r="N17" s="48"/>
      <c r="O17" s="21">
        <f t="shared" si="3"/>
        <v>65100</v>
      </c>
      <c r="P17" s="8" t="s">
        <v>161</v>
      </c>
      <c r="Q17" s="9">
        <v>0</v>
      </c>
      <c r="R17" s="9">
        <v>-1000</v>
      </c>
      <c r="S17" s="48"/>
      <c r="T17" s="21">
        <f t="shared" si="4"/>
        <v>1800</v>
      </c>
      <c r="U17" s="53">
        <f>IF($J17="","",ROUND(($J17-$J$3)/1000,1)+(_xlfn.RANK.AVG($J17,($J17,$O17,$T17),1)-2)*20)</f>
        <v>1.1000000000000001</v>
      </c>
      <c r="V17" s="54">
        <f>IF($O17="","",ROUND(($O17-$O$3)/1000,1)+(_xlfn.RANK.AVG($O17,($J17,$O17,$T17),1)-2)*20)</f>
        <v>50.1</v>
      </c>
      <c r="W17" s="55">
        <f>IF($T17="","",ROUND(($T17-$T$3)/1000,1)+(_xlfn.RANK.AVG($T17,($J17,$O17,$T17),1)-2)*20)</f>
        <v>-53.2</v>
      </c>
      <c r="Y17" s="8" t="s">
        <v>153</v>
      </c>
      <c r="Z17" s="34"/>
      <c r="AA17" s="26">
        <v>1</v>
      </c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 t="s">
        <v>153</v>
      </c>
      <c r="AU17" s="34"/>
      <c r="AV17" s="26"/>
      <c r="AW17" s="26">
        <v>1</v>
      </c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 t="s">
        <v>153</v>
      </c>
      <c r="BP17" s="34"/>
      <c r="BQ17" s="26">
        <v>1</v>
      </c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>南</v>
      </c>
      <c r="B18" s="18">
        <f t="shared" si="5"/>
        <v>2</v>
      </c>
      <c r="C18" s="18">
        <f t="shared" si="6"/>
        <v>3</v>
      </c>
      <c r="D18" s="18">
        <f t="shared" si="1"/>
        <v>2</v>
      </c>
      <c r="E18" s="4" t="s">
        <v>155</v>
      </c>
      <c r="F18" s="8" t="s">
        <v>145</v>
      </c>
      <c r="G18" s="9">
        <v>-2600</v>
      </c>
      <c r="H18" s="9"/>
      <c r="I18" s="48">
        <v>-3000</v>
      </c>
      <c r="J18" s="21">
        <f t="shared" si="2"/>
        <v>30500</v>
      </c>
      <c r="K18" s="8"/>
      <c r="L18" s="9"/>
      <c r="M18" s="9"/>
      <c r="N18" s="48"/>
      <c r="O18" s="21">
        <f t="shared" si="3"/>
        <v>65100</v>
      </c>
      <c r="P18" s="8" t="s">
        <v>144</v>
      </c>
      <c r="Q18" s="9">
        <v>2600</v>
      </c>
      <c r="R18" s="9">
        <v>2000</v>
      </c>
      <c r="S18" s="48">
        <v>3000</v>
      </c>
      <c r="T18" s="21">
        <f t="shared" si="4"/>
        <v>9400</v>
      </c>
      <c r="U18" s="53">
        <f>IF($J18="","",ROUND(($J18-$J$3)/1000,1)+(_xlfn.RANK.AVG($J18,($J18,$O18,$T18),1)-2)*20)</f>
        <v>-4.5</v>
      </c>
      <c r="V18" s="54">
        <f>IF($O18="","",ROUND(($O18-$O$3)/1000,1)+(_xlfn.RANK.AVG($O18,($J18,$O18,$T18),1)-2)*20)</f>
        <v>50.1</v>
      </c>
      <c r="W18" s="55">
        <f>IF($T18="","",ROUND(($T18-$T$3)/1000,1)+(_xlfn.RANK.AVG($T18,($J18,$O18,$T18),1)-2)*20)</f>
        <v>-45.6</v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>
        <v>1</v>
      </c>
      <c r="BR18" s="26"/>
      <c r="BS18" s="26">
        <v>2</v>
      </c>
      <c r="BT18" s="30">
        <v>40</v>
      </c>
      <c r="BU18" s="40" t="s">
        <v>147</v>
      </c>
      <c r="BV18" s="41" t="s">
        <v>148</v>
      </c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>南</v>
      </c>
      <c r="B19" s="18">
        <f t="shared" si="5"/>
        <v>3</v>
      </c>
      <c r="C19" s="18">
        <f t="shared" si="6"/>
        <v>0</v>
      </c>
      <c r="D19" s="18">
        <f t="shared" si="1"/>
        <v>0</v>
      </c>
      <c r="E19" s="4" t="s">
        <v>157</v>
      </c>
      <c r="F19" s="8" t="s">
        <v>150</v>
      </c>
      <c r="G19" s="9">
        <v>-6000</v>
      </c>
      <c r="H19" s="9"/>
      <c r="I19" s="48">
        <v>0</v>
      </c>
      <c r="J19" s="21">
        <f t="shared" si="2"/>
        <v>24500</v>
      </c>
      <c r="K19" s="8" t="s">
        <v>150</v>
      </c>
      <c r="L19" s="9">
        <v>-10000</v>
      </c>
      <c r="M19" s="9"/>
      <c r="N19" s="48">
        <v>0</v>
      </c>
      <c r="O19" s="21">
        <f t="shared" si="3"/>
        <v>55100</v>
      </c>
      <c r="P19" s="8" t="s">
        <v>151</v>
      </c>
      <c r="Q19" s="9">
        <v>16000</v>
      </c>
      <c r="R19" s="9"/>
      <c r="S19" s="48">
        <v>0</v>
      </c>
      <c r="T19" s="21">
        <f t="shared" si="4"/>
        <v>25400</v>
      </c>
      <c r="U19" s="53">
        <f>IF($J19="","",ROUND(($J19-$J$3)/1000,1)+(_xlfn.RANK.AVG($J19,($J19,$O19,$T19),1)-2)*20)</f>
        <v>-30.5</v>
      </c>
      <c r="V19" s="54">
        <f>IF($O19="","",ROUND(($O19-$O$3)/1000,1)+(_xlfn.RANK.AVG($O19,($J19,$O19,$T19),1)-2)*20)</f>
        <v>40.1</v>
      </c>
      <c r="W19" s="55">
        <f>IF($T19="","",ROUND(($T19-$T$3)/1000,1)+(_xlfn.RANK.AVG($T19,($J19,$O19,$T19),1)-2)*20)</f>
        <v>-9.6</v>
      </c>
      <c r="Y19" s="8"/>
      <c r="Z19" s="34"/>
      <c r="AA19" s="26"/>
      <c r="AB19" s="26">
        <v>1</v>
      </c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>
        <v>1</v>
      </c>
      <c r="BR19" s="26"/>
      <c r="BS19" s="26">
        <v>8</v>
      </c>
      <c r="BT19" s="30" t="s">
        <v>146</v>
      </c>
      <c r="BU19" s="40" t="s">
        <v>147</v>
      </c>
      <c r="BV19" s="41" t="s">
        <v>82</v>
      </c>
      <c r="BW19" s="41" t="s">
        <v>148</v>
      </c>
      <c r="BX19" s="41" t="s">
        <v>86</v>
      </c>
      <c r="BY19" s="41" t="s">
        <v>149</v>
      </c>
      <c r="BZ19" s="41" t="s">
        <v>80</v>
      </c>
      <c r="CA19" s="41" t="s">
        <v>80</v>
      </c>
      <c r="CB19" s="41" t="s">
        <v>79</v>
      </c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2">
    <dataValidation type="list" showInputMessage="1" showErrorMessage="1" sqref="K4:K30 P4:P30 F4:F30" xr:uid="{D961F2B0-4BC9-40AA-AC1A-A4F74E297064}">
      <formula1>"ロン,ツモ,放銃,ツモ支払,流局,チョンボ"</formula1>
    </dataValidation>
    <dataValidation type="list" allowBlank="1" showInputMessage="1" showErrorMessage="1" sqref="E4:E30" xr:uid="{C1FF51D4-D81D-484F-88E6-CFDACC5329A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C9172-DACC-4BF0-A776-10CFF1834539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139</v>
      </c>
      <c r="G1" s="78"/>
      <c r="H1" s="78"/>
      <c r="I1" s="79"/>
      <c r="J1" s="80"/>
      <c r="K1" s="77" t="s">
        <v>156</v>
      </c>
      <c r="L1" s="78"/>
      <c r="M1" s="78"/>
      <c r="N1" s="79"/>
      <c r="O1" s="80"/>
      <c r="P1" s="77" t="s">
        <v>143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いっしー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ただ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だいち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いっしー</v>
      </c>
      <c r="V2" s="69" t="str">
        <f>$K$1</f>
        <v>ただ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138</v>
      </c>
      <c r="F4" s="8"/>
      <c r="G4" s="9"/>
      <c r="H4" s="9"/>
      <c r="I4" s="48"/>
      <c r="J4" s="21">
        <f>IF(COUNTA($F4,$K4,$P4)&gt;0,J3+SUM(G4:I4),"")</f>
        <v>35000</v>
      </c>
      <c r="K4" s="8" t="s">
        <v>144</v>
      </c>
      <c r="L4" s="9">
        <v>7700</v>
      </c>
      <c r="M4" s="9"/>
      <c r="N4" s="48">
        <v>0</v>
      </c>
      <c r="O4" s="21">
        <f>IF(COUNTA($F4,$K4,$P4)&gt;0,O3+SUM(L4:N4),"")</f>
        <v>42700</v>
      </c>
      <c r="P4" s="8" t="s">
        <v>145</v>
      </c>
      <c r="Q4" s="9">
        <v>-7700</v>
      </c>
      <c r="R4" s="9"/>
      <c r="S4" s="48">
        <v>0</v>
      </c>
      <c r="T4" s="21">
        <f>IF(COUNTA($F4,$K4,$P4)&gt;0,T3+SUM(Q4:S4),"")</f>
        <v>27300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27.7</v>
      </c>
      <c r="W4" s="55">
        <f>IF($T4="","",ROUND(($T4-$T$3)/1000,1)+(_xlfn.RANK.AVG($T4,($J4,$O4,$T4),1)-2)*20)</f>
        <v>-27.7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4</v>
      </c>
      <c r="AY4" s="30">
        <v>30</v>
      </c>
      <c r="AZ4" s="40" t="s">
        <v>79</v>
      </c>
      <c r="BA4" s="41" t="s">
        <v>79</v>
      </c>
      <c r="BB4" s="41" t="s">
        <v>79</v>
      </c>
      <c r="BC4" s="41" t="s">
        <v>86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155</v>
      </c>
      <c r="F5" s="8" t="s">
        <v>150</v>
      </c>
      <c r="G5" s="9">
        <v>-9000</v>
      </c>
      <c r="H5" s="9"/>
      <c r="I5" s="48">
        <v>0</v>
      </c>
      <c r="J5" s="21">
        <f t="shared" ref="J5:J30" si="2">IF(COUNTA($F5,$K5,$P5)&gt;0,J4+SUM(G5:I5),"")</f>
        <v>26000</v>
      </c>
      <c r="K5" s="8" t="s">
        <v>151</v>
      </c>
      <c r="L5" s="9">
        <v>18000</v>
      </c>
      <c r="M5" s="9"/>
      <c r="N5" s="48">
        <v>0</v>
      </c>
      <c r="O5" s="21">
        <f t="shared" ref="O5:O30" si="3">IF(COUNTA($F5,$K5,$P5)&gt;0,O4+SUM(L5:N5),"")</f>
        <v>60700</v>
      </c>
      <c r="P5" s="8" t="s">
        <v>150</v>
      </c>
      <c r="Q5" s="9">
        <v>-9000</v>
      </c>
      <c r="R5" s="9"/>
      <c r="S5" s="48">
        <v>0</v>
      </c>
      <c r="T5" s="21">
        <f t="shared" ref="T5:T30" si="4">IF(COUNTA($F5,$K5,$P5)&gt;0,T4+SUM(Q5:S5),"")</f>
        <v>18300</v>
      </c>
      <c r="U5" s="53">
        <f>IF($J5="","",ROUND(($J5-$J$3)/1000,1)+(_xlfn.RANK.AVG($J5,($J5,$O5,$T5),1)-2)*20)</f>
        <v>-9</v>
      </c>
      <c r="V5" s="54">
        <f>IF($O5="","",ROUND(($O5-$O$3)/1000,1)+(_xlfn.RANK.AVG($O5,($J5,$O5,$T5),1)-2)*20)</f>
        <v>45.7</v>
      </c>
      <c r="W5" s="55">
        <f>IF($T5="","",ROUND(($T5-$T$3)/1000,1)+(_xlfn.RANK.AVG($T5,($J5,$O5,$T5),1)-2)*20)</f>
        <v>-36.700000000000003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6</v>
      </c>
      <c r="AY5" s="30" t="s">
        <v>146</v>
      </c>
      <c r="AZ5" s="40" t="s">
        <v>147</v>
      </c>
      <c r="BA5" s="41" t="s">
        <v>82</v>
      </c>
      <c r="BB5" s="41" t="s">
        <v>79</v>
      </c>
      <c r="BC5" s="41" t="s">
        <v>79</v>
      </c>
      <c r="BD5" s="41" t="s">
        <v>79</v>
      </c>
      <c r="BE5" s="41" t="s">
        <v>79</v>
      </c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155</v>
      </c>
      <c r="F6" s="8" t="s">
        <v>151</v>
      </c>
      <c r="G6" s="9">
        <v>7700</v>
      </c>
      <c r="H6" s="9"/>
      <c r="I6" s="48">
        <v>1000</v>
      </c>
      <c r="J6" s="21">
        <f t="shared" si="2"/>
        <v>34700</v>
      </c>
      <c r="K6" s="8" t="s">
        <v>150</v>
      </c>
      <c r="L6" s="9">
        <v>-4800</v>
      </c>
      <c r="M6" s="9"/>
      <c r="N6" s="48">
        <v>-500</v>
      </c>
      <c r="O6" s="21">
        <f t="shared" si="3"/>
        <v>55400</v>
      </c>
      <c r="P6" s="8" t="s">
        <v>150</v>
      </c>
      <c r="Q6" s="9">
        <v>-2900</v>
      </c>
      <c r="R6" s="9"/>
      <c r="S6" s="48">
        <v>-500</v>
      </c>
      <c r="T6" s="21">
        <f t="shared" si="4"/>
        <v>14900</v>
      </c>
      <c r="U6" s="53">
        <f>IF($J6="","",ROUND(($J6-$J$3)/1000,1)+(_xlfn.RANK.AVG($J6,($J6,$O6,$T6),1)-2)*20)</f>
        <v>-0.3</v>
      </c>
      <c r="V6" s="54">
        <f>IF($O6="","",ROUND(($O6-$O$3)/1000,1)+(_xlfn.RANK.AVG($O6,($J6,$O6,$T6),1)-2)*20)</f>
        <v>40.4</v>
      </c>
      <c r="W6" s="55">
        <f>IF($T6="","",ROUND(($T6-$T$3)/1000,1)+(_xlfn.RANK.AVG($T6,($J6,$O6,$T6),1)-2)*20)</f>
        <v>-40.1</v>
      </c>
      <c r="Y6" s="8"/>
      <c r="Z6" s="34"/>
      <c r="AA6" s="26">
        <v>1</v>
      </c>
      <c r="AB6" s="26"/>
      <c r="AC6" s="26">
        <v>4</v>
      </c>
      <c r="AD6" s="30">
        <v>30</v>
      </c>
      <c r="AE6" s="40" t="s">
        <v>147</v>
      </c>
      <c r="AF6" s="41" t="s">
        <v>82</v>
      </c>
      <c r="AG6" s="41" t="s">
        <v>86</v>
      </c>
      <c r="AH6" s="41" t="s">
        <v>79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142</v>
      </c>
      <c r="F7" s="8" t="s">
        <v>161</v>
      </c>
      <c r="G7" s="9">
        <v>-3000</v>
      </c>
      <c r="H7" s="9"/>
      <c r="I7" s="48"/>
      <c r="J7" s="21">
        <f t="shared" si="2"/>
        <v>31700</v>
      </c>
      <c r="K7" s="8" t="s">
        <v>161</v>
      </c>
      <c r="L7" s="9">
        <v>1500</v>
      </c>
      <c r="M7" s="9">
        <v>-1000</v>
      </c>
      <c r="N7" s="48"/>
      <c r="O7" s="21">
        <f t="shared" si="3"/>
        <v>55900</v>
      </c>
      <c r="P7" s="8" t="s">
        <v>161</v>
      </c>
      <c r="Q7" s="9">
        <v>1500</v>
      </c>
      <c r="R7" s="9"/>
      <c r="S7" s="48"/>
      <c r="T7" s="21">
        <f t="shared" si="4"/>
        <v>16400</v>
      </c>
      <c r="U7" s="53">
        <f>IF($J7="","",ROUND(($J7-$J$3)/1000,1)+(_xlfn.RANK.AVG($J7,($J7,$O7,$T7),1)-2)*20)</f>
        <v>-3.3</v>
      </c>
      <c r="V7" s="54">
        <f>IF($O7="","",ROUND(($O7-$O$3)/1000,1)+(_xlfn.RANK.AVG($O7,($J7,$O7,$T7),1)-2)*20)</f>
        <v>40.9</v>
      </c>
      <c r="W7" s="55">
        <f>IF($T7="","",ROUND(($T7-$T$3)/1000,1)+(_xlfn.RANK.AVG($T7,($J7,$O7,$T7),1)-2)*20)</f>
        <v>-38.6</v>
      </c>
      <c r="Y7" s="8" t="s">
        <v>152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153</v>
      </c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153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1</v>
      </c>
      <c r="E8" s="4" t="s">
        <v>142</v>
      </c>
      <c r="F8" s="8" t="s">
        <v>151</v>
      </c>
      <c r="G8" s="9">
        <v>5300</v>
      </c>
      <c r="H8" s="9">
        <v>1000</v>
      </c>
      <c r="I8" s="48">
        <v>1000</v>
      </c>
      <c r="J8" s="21">
        <f t="shared" si="2"/>
        <v>39000</v>
      </c>
      <c r="K8" s="8" t="s">
        <v>150</v>
      </c>
      <c r="L8" s="9">
        <v>-2000</v>
      </c>
      <c r="M8" s="9"/>
      <c r="N8" s="48">
        <v>-500</v>
      </c>
      <c r="O8" s="21">
        <f t="shared" si="3"/>
        <v>53400</v>
      </c>
      <c r="P8" s="8" t="s">
        <v>150</v>
      </c>
      <c r="Q8" s="9">
        <v>-3300</v>
      </c>
      <c r="R8" s="9"/>
      <c r="S8" s="48">
        <v>-500</v>
      </c>
      <c r="T8" s="21">
        <f t="shared" si="4"/>
        <v>12600</v>
      </c>
      <c r="U8" s="53">
        <f>IF($J8="","",ROUND(($J8-$J$3)/1000,1)+(_xlfn.RANK.AVG($J8,($J8,$O8,$T8),1)-2)*20)</f>
        <v>4</v>
      </c>
      <c r="V8" s="54">
        <f>IF($O8="","",ROUND(($O8-$O$3)/1000,1)+(_xlfn.RANK.AVG($O8,($J8,$O8,$T8),1)-2)*20)</f>
        <v>38.4</v>
      </c>
      <c r="W8" s="55">
        <f>IF($T8="","",ROUND(($T8-$T$3)/1000,1)+(_xlfn.RANK.AVG($T8,($J8,$O8,$T8),1)-2)*20)</f>
        <v>-42.4</v>
      </c>
      <c r="Y8" s="8"/>
      <c r="Z8" s="34"/>
      <c r="AA8" s="26"/>
      <c r="AB8" s="26"/>
      <c r="AC8" s="26">
        <v>3</v>
      </c>
      <c r="AD8" s="30">
        <v>40</v>
      </c>
      <c r="AE8" s="40" t="s">
        <v>82</v>
      </c>
      <c r="AF8" s="41" t="s">
        <v>149</v>
      </c>
      <c r="AG8" s="41" t="s">
        <v>79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138</v>
      </c>
      <c r="F9" s="8" t="s">
        <v>144</v>
      </c>
      <c r="G9" s="9">
        <v>18000</v>
      </c>
      <c r="H9" s="9"/>
      <c r="I9" s="48">
        <v>0</v>
      </c>
      <c r="J9" s="21">
        <f t="shared" si="2"/>
        <v>57000</v>
      </c>
      <c r="K9" s="8" t="s">
        <v>145</v>
      </c>
      <c r="L9" s="9">
        <v>-18000</v>
      </c>
      <c r="M9" s="9"/>
      <c r="N9" s="48">
        <v>0</v>
      </c>
      <c r="O9" s="21">
        <f t="shared" si="3"/>
        <v>35400</v>
      </c>
      <c r="P9" s="8"/>
      <c r="Q9" s="9"/>
      <c r="R9" s="9"/>
      <c r="S9" s="48"/>
      <c r="T9" s="21">
        <f t="shared" si="4"/>
        <v>12600</v>
      </c>
      <c r="U9" s="53">
        <f>IF($J9="","",ROUND(($J9-$J$3)/1000,1)+(_xlfn.RANK.AVG($J9,($J9,$O9,$T9),1)-2)*20)</f>
        <v>42</v>
      </c>
      <c r="V9" s="54">
        <f>IF($O9="","",ROUND(($O9-$O$3)/1000,1)+(_xlfn.RANK.AVG($O9,($J9,$O9,$T9),1)-2)*20)</f>
        <v>0.4</v>
      </c>
      <c r="W9" s="55">
        <f>IF($T9="","",ROUND(($T9-$T$3)/1000,1)+(_xlfn.RANK.AVG($T9,($J9,$O9,$T9),1)-2)*20)</f>
        <v>-42.4</v>
      </c>
      <c r="Y9" s="8"/>
      <c r="Z9" s="34"/>
      <c r="AA9" s="26">
        <v>1</v>
      </c>
      <c r="AB9" s="26"/>
      <c r="AC9" s="26">
        <v>7</v>
      </c>
      <c r="AD9" s="30" t="s">
        <v>146</v>
      </c>
      <c r="AE9" s="40" t="s">
        <v>147</v>
      </c>
      <c r="AF9" s="41" t="s">
        <v>79</v>
      </c>
      <c r="AG9" s="41" t="s">
        <v>79</v>
      </c>
      <c r="AH9" s="41" t="s">
        <v>79</v>
      </c>
      <c r="AI9" s="41" t="s">
        <v>80</v>
      </c>
      <c r="AJ9" s="41" t="s">
        <v>80</v>
      </c>
      <c r="AK9" s="41" t="s">
        <v>80</v>
      </c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0</v>
      </c>
      <c r="E10" s="4" t="s">
        <v>138</v>
      </c>
      <c r="F10" s="8" t="s">
        <v>161</v>
      </c>
      <c r="G10" s="9">
        <v>-3000</v>
      </c>
      <c r="H10" s="9"/>
      <c r="I10" s="48"/>
      <c r="J10" s="21">
        <f t="shared" si="2"/>
        <v>54000</v>
      </c>
      <c r="K10" s="8" t="s">
        <v>161</v>
      </c>
      <c r="L10" s="9">
        <v>1500</v>
      </c>
      <c r="M10" s="9"/>
      <c r="N10" s="48"/>
      <c r="O10" s="21">
        <f t="shared" si="3"/>
        <v>36900</v>
      </c>
      <c r="P10" s="8" t="s">
        <v>161</v>
      </c>
      <c r="Q10" s="9">
        <v>1500</v>
      </c>
      <c r="R10" s="9">
        <v>-1000</v>
      </c>
      <c r="S10" s="48"/>
      <c r="T10" s="21">
        <f t="shared" si="4"/>
        <v>13100</v>
      </c>
      <c r="U10" s="53">
        <f>IF($J10="","",ROUND(($J10-$J$3)/1000,1)+(_xlfn.RANK.AVG($J10,($J10,$O10,$T10),1)-2)*20)</f>
        <v>39</v>
      </c>
      <c r="V10" s="54">
        <f>IF($O10="","",ROUND(($O10-$O$3)/1000,1)+(_xlfn.RANK.AVG($O10,($J10,$O10,$T10),1)-2)*20)</f>
        <v>1.9</v>
      </c>
      <c r="W10" s="55">
        <f>IF($T10="","",ROUND(($T10-$T$3)/1000,1)+(_xlfn.RANK.AVG($T10,($J10,$O10,$T10),1)-2)*20)</f>
        <v>-41.9</v>
      </c>
      <c r="Y10" s="8" t="s">
        <v>152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153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153</v>
      </c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2</v>
      </c>
      <c r="D11" s="18">
        <f t="shared" si="1"/>
        <v>1</v>
      </c>
      <c r="E11" s="4" t="s">
        <v>155</v>
      </c>
      <c r="F11" s="8" t="s">
        <v>150</v>
      </c>
      <c r="G11" s="9">
        <v>-3900</v>
      </c>
      <c r="H11" s="9">
        <v>-1000</v>
      </c>
      <c r="I11" s="48">
        <v>-1000</v>
      </c>
      <c r="J11" s="21">
        <f t="shared" si="2"/>
        <v>48100</v>
      </c>
      <c r="K11" s="8" t="s">
        <v>151</v>
      </c>
      <c r="L11" s="9">
        <v>7800</v>
      </c>
      <c r="M11" s="9">
        <v>2000</v>
      </c>
      <c r="N11" s="48">
        <v>2000</v>
      </c>
      <c r="O11" s="21">
        <f t="shared" si="3"/>
        <v>48700</v>
      </c>
      <c r="P11" s="8" t="s">
        <v>150</v>
      </c>
      <c r="Q11" s="9">
        <v>-3900</v>
      </c>
      <c r="R11" s="9"/>
      <c r="S11" s="48">
        <v>-1000</v>
      </c>
      <c r="T11" s="21">
        <f t="shared" si="4"/>
        <v>8200</v>
      </c>
      <c r="U11" s="53">
        <f>IF($J11="","",ROUND(($J11-$J$3)/1000,1)+(_xlfn.RANK.AVG($J11,($J11,$O11,$T11),1)-2)*20)</f>
        <v>13.1</v>
      </c>
      <c r="V11" s="54">
        <f>IF($O11="","",ROUND(($O11-$O$3)/1000,1)+(_xlfn.RANK.AVG($O11,($J11,$O11,$T11),1)-2)*20)</f>
        <v>33.700000000000003</v>
      </c>
      <c r="W11" s="55">
        <f>IF($T11="","",ROUND(($T11-$T$3)/1000,1)+(_xlfn.RANK.AVG($T11,($J11,$O11,$T11),1)-2)*20)</f>
        <v>-46.8</v>
      </c>
      <c r="Y11" s="8"/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4</v>
      </c>
      <c r="AY11" s="30">
        <v>20</v>
      </c>
      <c r="AZ11" s="40" t="s">
        <v>147</v>
      </c>
      <c r="BA11" s="41" t="s">
        <v>82</v>
      </c>
      <c r="BB11" s="41" t="s">
        <v>79</v>
      </c>
      <c r="BC11" s="41" t="s">
        <v>83</v>
      </c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3</v>
      </c>
      <c r="D12" s="18">
        <f t="shared" si="1"/>
        <v>0</v>
      </c>
      <c r="E12" s="4" t="s">
        <v>155</v>
      </c>
      <c r="F12" s="8" t="s">
        <v>161</v>
      </c>
      <c r="G12" s="9">
        <v>-1500</v>
      </c>
      <c r="H12" s="9"/>
      <c r="I12" s="48"/>
      <c r="J12" s="21">
        <f t="shared" si="2"/>
        <v>46600</v>
      </c>
      <c r="K12" s="8" t="s">
        <v>161</v>
      </c>
      <c r="L12" s="9">
        <v>-1500</v>
      </c>
      <c r="M12" s="9"/>
      <c r="N12" s="48"/>
      <c r="O12" s="21">
        <f t="shared" si="3"/>
        <v>47200</v>
      </c>
      <c r="P12" s="8" t="s">
        <v>161</v>
      </c>
      <c r="Q12" s="9">
        <v>3000</v>
      </c>
      <c r="R12" s="9"/>
      <c r="S12" s="48"/>
      <c r="T12" s="21">
        <f t="shared" si="4"/>
        <v>11200</v>
      </c>
      <c r="U12" s="53">
        <f>IF($J12="","",ROUND(($J12-$J$3)/1000,1)+(_xlfn.RANK.AVG($J12,($J12,$O12,$T12),1)-2)*20)</f>
        <v>11.6</v>
      </c>
      <c r="V12" s="54">
        <f>IF($O12="","",ROUND(($O12-$O$3)/1000,1)+(_xlfn.RANK.AVG($O12,($J12,$O12,$T12),1)-2)*20)</f>
        <v>32.200000000000003</v>
      </c>
      <c r="W12" s="55">
        <f>IF($T12="","",ROUND(($T12-$T$3)/1000,1)+(_xlfn.RANK.AVG($T12,($J12,$O12,$T12),1)-2)*20)</f>
        <v>-43.8</v>
      </c>
      <c r="Y12" s="8" t="s">
        <v>152</v>
      </c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152</v>
      </c>
      <c r="AU12" s="34"/>
      <c r="AV12" s="26"/>
      <c r="AW12" s="26">
        <v>1</v>
      </c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153</v>
      </c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4</v>
      </c>
      <c r="D13" s="18">
        <f t="shared" si="1"/>
        <v>0</v>
      </c>
      <c r="E13" s="4" t="s">
        <v>142</v>
      </c>
      <c r="F13" s="8" t="s">
        <v>151</v>
      </c>
      <c r="G13" s="9">
        <v>8000</v>
      </c>
      <c r="H13" s="9">
        <v>1000</v>
      </c>
      <c r="I13" s="48">
        <v>4000</v>
      </c>
      <c r="J13" s="21">
        <f t="shared" si="2"/>
        <v>59600</v>
      </c>
      <c r="K13" s="8" t="s">
        <v>150</v>
      </c>
      <c r="L13" s="9">
        <v>-3000</v>
      </c>
      <c r="M13" s="9"/>
      <c r="N13" s="48">
        <v>-2000</v>
      </c>
      <c r="O13" s="21">
        <f t="shared" si="3"/>
        <v>42200</v>
      </c>
      <c r="P13" s="8" t="s">
        <v>150</v>
      </c>
      <c r="Q13" s="9">
        <v>-5000</v>
      </c>
      <c r="R13" s="9">
        <v>-1000</v>
      </c>
      <c r="S13" s="48">
        <v>-2000</v>
      </c>
      <c r="T13" s="21">
        <f t="shared" si="4"/>
        <v>3200</v>
      </c>
      <c r="U13" s="53">
        <f>IF($J13="","",ROUND(($J13-$J$3)/1000,1)+(_xlfn.RANK.AVG($J13,($J13,$O13,$T13),1)-2)*20)</f>
        <v>44.6</v>
      </c>
      <c r="V13" s="54">
        <f>IF($O13="","",ROUND(($O13-$O$3)/1000,1)+(_xlfn.RANK.AVG($O13,($J13,$O13,$T13),1)-2)*20)</f>
        <v>7.2</v>
      </c>
      <c r="W13" s="55">
        <f>IF($T13="","",ROUND(($T13-$T$3)/1000,1)+(_xlfn.RANK.AVG($T13,($J13,$O13,$T13),1)-2)*20)</f>
        <v>-51.8</v>
      </c>
      <c r="Y13" s="8"/>
      <c r="Z13" s="34"/>
      <c r="AA13" s="26">
        <v>1</v>
      </c>
      <c r="AB13" s="26"/>
      <c r="AC13" s="26">
        <v>5</v>
      </c>
      <c r="AD13" s="30" t="s">
        <v>146</v>
      </c>
      <c r="AE13" s="40" t="s">
        <v>147</v>
      </c>
      <c r="AF13" s="41" t="s">
        <v>82</v>
      </c>
      <c r="AG13" s="41" t="s">
        <v>79</v>
      </c>
      <c r="AH13" s="41" t="s">
        <v>80</v>
      </c>
      <c r="AI13" s="41" t="s">
        <v>149</v>
      </c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allowBlank="1" showInputMessage="1" showErrorMessage="1" sqref="E4:E30" xr:uid="{1669F85D-B30D-4DE1-9138-28DB569B83AD}">
      <formula1>$U$2:$W$2</formula1>
    </dataValidation>
    <dataValidation type="list" showInputMessage="1" showErrorMessage="1" sqref="K4:K30 P4:P30 F4:F30" xr:uid="{7FAC321C-411B-4F2F-8AD6-CEB47C7231E1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817B8-9D08-4052-9881-2F89B54F1407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143</v>
      </c>
      <c r="G1" s="78"/>
      <c r="H1" s="78"/>
      <c r="I1" s="79"/>
      <c r="J1" s="80"/>
      <c r="K1" s="77" t="s">
        <v>158</v>
      </c>
      <c r="L1" s="78"/>
      <c r="M1" s="78"/>
      <c r="N1" s="79"/>
      <c r="O1" s="80"/>
      <c r="P1" s="77" t="s">
        <v>141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だいち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れんたろう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まっつん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れんたろう</v>
      </c>
      <c r="W2" s="16" t="str">
        <f>$P$1</f>
        <v>まっつん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157</v>
      </c>
      <c r="F4" s="8" t="s">
        <v>150</v>
      </c>
      <c r="G4" s="9">
        <v>-9000</v>
      </c>
      <c r="H4" s="9"/>
      <c r="I4" s="48">
        <v>0</v>
      </c>
      <c r="J4" s="21">
        <f>IF(COUNTA($F4,$K4,$P4)&gt;0,J3+SUM(G4:I4),"")</f>
        <v>26000</v>
      </c>
      <c r="K4" s="8" t="s">
        <v>151</v>
      </c>
      <c r="L4" s="9">
        <v>18000</v>
      </c>
      <c r="M4" s="9"/>
      <c r="N4" s="48">
        <v>0</v>
      </c>
      <c r="O4" s="21">
        <f>IF(COUNTA($F4,$K4,$P4)&gt;0,O3+SUM(L4:N4),"")</f>
        <v>53000</v>
      </c>
      <c r="P4" s="8" t="s">
        <v>150</v>
      </c>
      <c r="Q4" s="9">
        <v>-9000</v>
      </c>
      <c r="R4" s="9"/>
      <c r="S4" s="48">
        <v>0</v>
      </c>
      <c r="T4" s="21">
        <f>IF(COUNTA($F4,$K4,$P4)&gt;0,T3+SUM(Q4:S4),"")</f>
        <v>26000</v>
      </c>
      <c r="U4" s="53">
        <f>IF($J4="","",ROUND(($J4-$J$3)/1000,1)+(_xlfn.RANK.AVG($J4,($J4,$O4,$T4),1)-2)*20)</f>
        <v>-19</v>
      </c>
      <c r="V4" s="54">
        <f>IF($O4="","",ROUND(($O4-$O$3)/1000,1)+(_xlfn.RANK.AVG($O4,($J4,$O4,$T4),1)-2)*20)</f>
        <v>38</v>
      </c>
      <c r="W4" s="55">
        <f>IF($T4="","",ROUND(($T4-$T$3)/1000,1)+(_xlfn.RANK.AVG($T4,($J4,$O4,$T4),1)-2)*20)</f>
        <v>-19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7</v>
      </c>
      <c r="AY4" s="30" t="s">
        <v>146</v>
      </c>
      <c r="AZ4" s="40" t="s">
        <v>147</v>
      </c>
      <c r="BA4" s="41" t="s">
        <v>82</v>
      </c>
      <c r="BB4" s="41" t="s">
        <v>86</v>
      </c>
      <c r="BC4" s="41" t="s">
        <v>79</v>
      </c>
      <c r="BD4" s="41" t="s">
        <v>80</v>
      </c>
      <c r="BE4" s="41" t="s">
        <v>80</v>
      </c>
      <c r="BF4" s="41" t="s">
        <v>80</v>
      </c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157</v>
      </c>
      <c r="F5" s="8" t="s">
        <v>151</v>
      </c>
      <c r="G5" s="9">
        <v>6400</v>
      </c>
      <c r="H5" s="9">
        <v>1000</v>
      </c>
      <c r="I5" s="48">
        <v>1000</v>
      </c>
      <c r="J5" s="21">
        <f t="shared" ref="J5:J30" si="2">IF(COUNTA($F5,$K5,$P5)&gt;0,J4+SUM(G5:I5),"")</f>
        <v>34400</v>
      </c>
      <c r="K5" s="8" t="s">
        <v>150</v>
      </c>
      <c r="L5" s="9">
        <v>-4000</v>
      </c>
      <c r="M5" s="9">
        <v>-1000</v>
      </c>
      <c r="N5" s="48">
        <v>-500</v>
      </c>
      <c r="O5" s="21">
        <f t="shared" ref="O5:O30" si="3">IF(COUNTA($F5,$K5,$P5)&gt;0,O4+SUM(L5:N5),"")</f>
        <v>47500</v>
      </c>
      <c r="P5" s="8" t="s">
        <v>150</v>
      </c>
      <c r="Q5" s="9">
        <v>-2400</v>
      </c>
      <c r="R5" s="9"/>
      <c r="S5" s="48">
        <v>-500</v>
      </c>
      <c r="T5" s="21">
        <f t="shared" ref="T5:T30" si="4">IF(COUNTA($F5,$K5,$P5)&gt;0,T4+SUM(Q5:S5),"")</f>
        <v>23100</v>
      </c>
      <c r="U5" s="53">
        <f>IF($J5="","",ROUND(($J5-$J$3)/1000,1)+(_xlfn.RANK.AVG($J5,($J5,$O5,$T5),1)-2)*20)</f>
        <v>-0.6</v>
      </c>
      <c r="V5" s="54">
        <f>IF($O5="","",ROUND(($O5-$O$3)/1000,1)+(_xlfn.RANK.AVG($O5,($J5,$O5,$T5),1)-2)*20)</f>
        <v>32.5</v>
      </c>
      <c r="W5" s="55">
        <f>IF($T5="","",ROUND(($T5-$T$3)/1000,1)+(_xlfn.RANK.AVG($T5,($J5,$O5,$T5),1)-2)*20)</f>
        <v>-31.9</v>
      </c>
      <c r="Y5" s="8"/>
      <c r="Z5" s="34"/>
      <c r="AA5" s="26">
        <v>1</v>
      </c>
      <c r="AB5" s="26"/>
      <c r="AC5" s="26">
        <v>4</v>
      </c>
      <c r="AD5" s="30">
        <v>25</v>
      </c>
      <c r="AE5" s="40" t="s">
        <v>82</v>
      </c>
      <c r="AF5" s="41" t="s">
        <v>147</v>
      </c>
      <c r="AG5" s="41" t="s">
        <v>101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140</v>
      </c>
      <c r="F6" s="8"/>
      <c r="G6" s="9"/>
      <c r="H6" s="9"/>
      <c r="I6" s="48"/>
      <c r="J6" s="21">
        <f t="shared" si="2"/>
        <v>34400</v>
      </c>
      <c r="K6" s="8" t="s">
        <v>144</v>
      </c>
      <c r="L6" s="9">
        <v>12000</v>
      </c>
      <c r="M6" s="9"/>
      <c r="N6" s="48">
        <v>0</v>
      </c>
      <c r="O6" s="21">
        <f t="shared" si="3"/>
        <v>59500</v>
      </c>
      <c r="P6" s="8" t="s">
        <v>145</v>
      </c>
      <c r="Q6" s="9">
        <v>-12000</v>
      </c>
      <c r="R6" s="9"/>
      <c r="S6" s="48">
        <v>0</v>
      </c>
      <c r="T6" s="21">
        <f t="shared" si="4"/>
        <v>11100</v>
      </c>
      <c r="U6" s="53">
        <f>IF($J6="","",ROUND(($J6-$J$3)/1000,1)+(_xlfn.RANK.AVG($J6,($J6,$O6,$T6),1)-2)*20)</f>
        <v>-0.6</v>
      </c>
      <c r="V6" s="54">
        <f>IF($O6="","",ROUND(($O6-$O$3)/1000,1)+(_xlfn.RANK.AVG($O6,($J6,$O6,$T6),1)-2)*20)</f>
        <v>44.5</v>
      </c>
      <c r="W6" s="55">
        <f>IF($T6="","",ROUND(($T6-$T$3)/1000,1)+(_xlfn.RANK.AVG($T6,($J6,$O6,$T6),1)-2)*20)</f>
        <v>-43.9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6</v>
      </c>
      <c r="AY6" s="30" t="s">
        <v>146</v>
      </c>
      <c r="AZ6" s="40" t="s">
        <v>86</v>
      </c>
      <c r="BA6" s="41" t="s">
        <v>104</v>
      </c>
      <c r="BB6" s="41" t="s">
        <v>149</v>
      </c>
      <c r="BC6" s="41" t="s">
        <v>79</v>
      </c>
      <c r="BD6" s="41" t="s">
        <v>79</v>
      </c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142</v>
      </c>
      <c r="F7" s="8" t="s">
        <v>161</v>
      </c>
      <c r="G7" s="9">
        <v>1500</v>
      </c>
      <c r="H7" s="9"/>
      <c r="I7" s="48"/>
      <c r="J7" s="21">
        <f t="shared" si="2"/>
        <v>35900</v>
      </c>
      <c r="K7" s="8" t="s">
        <v>161</v>
      </c>
      <c r="L7" s="9">
        <v>1500</v>
      </c>
      <c r="M7" s="9">
        <v>-1000</v>
      </c>
      <c r="N7" s="48"/>
      <c r="O7" s="21">
        <f t="shared" si="3"/>
        <v>60000</v>
      </c>
      <c r="P7" s="8" t="s">
        <v>161</v>
      </c>
      <c r="Q7" s="9">
        <v>-3000</v>
      </c>
      <c r="R7" s="9"/>
      <c r="S7" s="48"/>
      <c r="T7" s="21">
        <f t="shared" si="4"/>
        <v>8100</v>
      </c>
      <c r="U7" s="53">
        <f>IF($J7="","",ROUND(($J7-$J$3)/1000,1)+(_xlfn.RANK.AVG($J7,($J7,$O7,$T7),1)-2)*20)</f>
        <v>0.9</v>
      </c>
      <c r="V7" s="54">
        <f>IF($O7="","",ROUND(($O7-$O$3)/1000,1)+(_xlfn.RANK.AVG($O7,($J7,$O7,$T7),1)-2)*20)</f>
        <v>45</v>
      </c>
      <c r="W7" s="55">
        <f>IF($T7="","",ROUND(($T7-$T$3)/1000,1)+(_xlfn.RANK.AVG($T7,($J7,$O7,$T7),1)-2)*20)</f>
        <v>-46.9</v>
      </c>
      <c r="Y7" s="8" t="s">
        <v>153</v>
      </c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153</v>
      </c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152</v>
      </c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1</v>
      </c>
      <c r="E8" s="4" t="s">
        <v>142</v>
      </c>
      <c r="F8" s="8" t="s">
        <v>150</v>
      </c>
      <c r="G8" s="9">
        <v>-5000</v>
      </c>
      <c r="H8" s="9">
        <v>-1000</v>
      </c>
      <c r="I8" s="48">
        <v>-500</v>
      </c>
      <c r="J8" s="21">
        <f t="shared" si="2"/>
        <v>29400</v>
      </c>
      <c r="K8" s="8" t="s">
        <v>151</v>
      </c>
      <c r="L8" s="9">
        <v>8000</v>
      </c>
      <c r="M8" s="9">
        <v>2000</v>
      </c>
      <c r="N8" s="48">
        <v>1000</v>
      </c>
      <c r="O8" s="21">
        <f t="shared" si="3"/>
        <v>71000</v>
      </c>
      <c r="P8" s="8" t="s">
        <v>150</v>
      </c>
      <c r="Q8" s="9">
        <v>-3000</v>
      </c>
      <c r="R8" s="9"/>
      <c r="S8" s="48">
        <v>-500</v>
      </c>
      <c r="T8" s="21">
        <f t="shared" si="4"/>
        <v>4600</v>
      </c>
      <c r="U8" s="53">
        <f>IF($J8="","",ROUND(($J8-$J$3)/1000,1)+(_xlfn.RANK.AVG($J8,($J8,$O8,$T8),1)-2)*20)</f>
        <v>-5.6</v>
      </c>
      <c r="V8" s="54">
        <f>IF($O8="","",ROUND(($O8-$O$3)/1000,1)+(_xlfn.RANK.AVG($O8,($J8,$O8,$T8),1)-2)*20)</f>
        <v>56</v>
      </c>
      <c r="W8" s="55">
        <f>IF($T8="","",ROUND(($T8-$T$3)/1000,1)+(_xlfn.RANK.AVG($T8,($J8,$O8,$T8),1)-2)*20)</f>
        <v>-50.4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5</v>
      </c>
      <c r="AY8" s="30" t="s">
        <v>146</v>
      </c>
      <c r="AZ8" s="40" t="s">
        <v>147</v>
      </c>
      <c r="BA8" s="41" t="s">
        <v>82</v>
      </c>
      <c r="BB8" s="41" t="s">
        <v>79</v>
      </c>
      <c r="BC8" s="41" t="s">
        <v>149</v>
      </c>
      <c r="BD8" s="41" t="s">
        <v>148</v>
      </c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157</v>
      </c>
      <c r="F9" s="8" t="s">
        <v>162</v>
      </c>
      <c r="G9" s="9">
        <v>-8000</v>
      </c>
      <c r="H9" s="9">
        <v>-1000</v>
      </c>
      <c r="I9" s="48"/>
      <c r="J9" s="21">
        <f t="shared" si="2"/>
        <v>20400</v>
      </c>
      <c r="K9" s="8" t="s">
        <v>162</v>
      </c>
      <c r="L9" s="9">
        <v>5000</v>
      </c>
      <c r="M9" s="9">
        <v>-1000</v>
      </c>
      <c r="N9" s="48"/>
      <c r="O9" s="21">
        <f t="shared" si="3"/>
        <v>75000</v>
      </c>
      <c r="P9" s="8" t="s">
        <v>162</v>
      </c>
      <c r="Q9" s="9">
        <v>3000</v>
      </c>
      <c r="R9" s="9"/>
      <c r="S9" s="48"/>
      <c r="T9" s="21">
        <f t="shared" si="4"/>
        <v>7600</v>
      </c>
      <c r="U9" s="53">
        <f>IF($J9="","",ROUND(($J9-$J$3)/1000,1)+(_xlfn.RANK.AVG($J9,($J9,$O9,$T9),1)-2)*20)</f>
        <v>-14.6</v>
      </c>
      <c r="V9" s="54">
        <f>IF($O9="","",ROUND(($O9-$O$3)/1000,1)+(_xlfn.RANK.AVG($O9,($J9,$O9,$T9),1)-2)*20)</f>
        <v>60</v>
      </c>
      <c r="W9" s="55">
        <f>IF($T9="","",ROUND(($T9-$T$3)/1000,1)+(_xlfn.RANK.AVG($T9,($J9,$O9,$T9),1)-2)*20)</f>
        <v>-47.4</v>
      </c>
      <c r="Y9" s="8"/>
      <c r="Z9" s="34">
        <v>1</v>
      </c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2</v>
      </c>
      <c r="E10" s="4" t="s">
        <v>157</v>
      </c>
      <c r="F10" s="8" t="s">
        <v>145</v>
      </c>
      <c r="G10" s="9">
        <v>-12000</v>
      </c>
      <c r="H10" s="9">
        <v>-1000</v>
      </c>
      <c r="I10" s="48">
        <v>0</v>
      </c>
      <c r="J10" s="21">
        <f t="shared" si="2"/>
        <v>7400</v>
      </c>
      <c r="K10" s="8"/>
      <c r="L10" s="9"/>
      <c r="M10" s="9">
        <v>-1000</v>
      </c>
      <c r="N10" s="48"/>
      <c r="O10" s="21">
        <f t="shared" si="3"/>
        <v>74000</v>
      </c>
      <c r="P10" s="8" t="s">
        <v>144</v>
      </c>
      <c r="Q10" s="9">
        <v>12000</v>
      </c>
      <c r="R10" s="9">
        <v>4000</v>
      </c>
      <c r="S10" s="48">
        <v>0</v>
      </c>
      <c r="T10" s="21">
        <f t="shared" si="4"/>
        <v>23600</v>
      </c>
      <c r="U10" s="53">
        <f>IF($J10="","",ROUND(($J10-$J$3)/1000,1)+(_xlfn.RANK.AVG($J10,($J10,$O10,$T10),1)-2)*20)</f>
        <v>-47.6</v>
      </c>
      <c r="V10" s="54">
        <f>IF($O10="","",ROUND(($O10-$O$3)/1000,1)+(_xlfn.RANK.AVG($O10,($J10,$O10,$T10),1)-2)*20)</f>
        <v>59</v>
      </c>
      <c r="W10" s="55">
        <f>IF($T10="","",ROUND(($T10-$T$3)/1000,1)+(_xlfn.RANK.AVG($T10,($J10,$O10,$T10),1)-2)*20)</f>
        <v>-11.4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7</v>
      </c>
      <c r="BT10" s="30" t="s">
        <v>146</v>
      </c>
      <c r="BU10" s="40" t="s">
        <v>147</v>
      </c>
      <c r="BV10" s="41" t="s">
        <v>148</v>
      </c>
      <c r="BW10" s="41" t="s">
        <v>86</v>
      </c>
      <c r="BX10" s="41" t="s">
        <v>86</v>
      </c>
      <c r="BY10" s="41" t="s">
        <v>149</v>
      </c>
      <c r="BZ10" s="41" t="s">
        <v>79</v>
      </c>
      <c r="CA10" s="41" t="s">
        <v>79</v>
      </c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140</v>
      </c>
      <c r="F11" s="8" t="s">
        <v>161</v>
      </c>
      <c r="G11" s="9">
        <v>-3000</v>
      </c>
      <c r="H11" s="9"/>
      <c r="I11" s="48"/>
      <c r="J11" s="21">
        <f t="shared" si="2"/>
        <v>4400</v>
      </c>
      <c r="K11" s="8" t="s">
        <v>161</v>
      </c>
      <c r="L11" s="9">
        <v>1500</v>
      </c>
      <c r="M11" s="9"/>
      <c r="N11" s="48"/>
      <c r="O11" s="21">
        <f t="shared" si="3"/>
        <v>75500</v>
      </c>
      <c r="P11" s="8" t="s">
        <v>161</v>
      </c>
      <c r="Q11" s="9">
        <v>1500</v>
      </c>
      <c r="R11" s="9"/>
      <c r="S11" s="48"/>
      <c r="T11" s="21">
        <f t="shared" si="4"/>
        <v>25100</v>
      </c>
      <c r="U11" s="53">
        <f>IF($J11="","",ROUND(($J11-$J$3)/1000,1)+(_xlfn.RANK.AVG($J11,($J11,$O11,$T11),1)-2)*20)</f>
        <v>-50.6</v>
      </c>
      <c r="V11" s="54">
        <f>IF($O11="","",ROUND(($O11-$O$3)/1000,1)+(_xlfn.RANK.AVG($O11,($J11,$O11,$T11),1)-2)*20)</f>
        <v>60.5</v>
      </c>
      <c r="W11" s="55">
        <f>IF($T11="","",ROUND(($T11-$T$3)/1000,1)+(_xlfn.RANK.AVG($T11,($J11,$O11,$T11),1)-2)*20)</f>
        <v>-9.9</v>
      </c>
      <c r="Y11" s="8" t="s">
        <v>152</v>
      </c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153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153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1</v>
      </c>
      <c r="D12" s="18">
        <f t="shared" si="1"/>
        <v>0</v>
      </c>
      <c r="E12" s="4" t="s">
        <v>140</v>
      </c>
      <c r="F12" s="8"/>
      <c r="G12" s="9"/>
      <c r="H12" s="9"/>
      <c r="I12" s="48"/>
      <c r="J12" s="21">
        <f t="shared" si="2"/>
        <v>4400</v>
      </c>
      <c r="K12" s="8" t="s">
        <v>145</v>
      </c>
      <c r="L12" s="9">
        <v>-2000</v>
      </c>
      <c r="M12" s="9"/>
      <c r="N12" s="48">
        <v>-1000</v>
      </c>
      <c r="O12" s="21">
        <f t="shared" si="3"/>
        <v>72500</v>
      </c>
      <c r="P12" s="8" t="s">
        <v>144</v>
      </c>
      <c r="Q12" s="9">
        <v>2000</v>
      </c>
      <c r="R12" s="9"/>
      <c r="S12" s="48">
        <v>1000</v>
      </c>
      <c r="T12" s="21">
        <f t="shared" si="4"/>
        <v>28100</v>
      </c>
      <c r="U12" s="53">
        <f>IF($J12="","",ROUND(($J12-$J$3)/1000,1)+(_xlfn.RANK.AVG($J12,($J12,$O12,$T12),1)-2)*20)</f>
        <v>-50.6</v>
      </c>
      <c r="V12" s="54">
        <f>IF($O12="","",ROUND(($O12-$O$3)/1000,1)+(_xlfn.RANK.AVG($O12,($J12,$O12,$T12),1)-2)*20)</f>
        <v>57.5</v>
      </c>
      <c r="W12" s="55">
        <f>IF($T12="","",ROUND(($T12-$T$3)/1000,1)+(_xlfn.RANK.AVG($T12,($J12,$O12,$T12),1)-2)*20)</f>
        <v>-6.9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>
        <v>1</v>
      </c>
      <c r="BT12" s="30">
        <v>40</v>
      </c>
      <c r="BU12" s="40" t="s">
        <v>86</v>
      </c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2</v>
      </c>
      <c r="D13" s="18">
        <f t="shared" si="1"/>
        <v>0</v>
      </c>
      <c r="E13" s="4" t="s">
        <v>140</v>
      </c>
      <c r="F13" s="8" t="s">
        <v>150</v>
      </c>
      <c r="G13" s="9">
        <v>-4500</v>
      </c>
      <c r="H13" s="9"/>
      <c r="I13" s="48">
        <v>-1000</v>
      </c>
      <c r="J13" s="21">
        <f t="shared" si="2"/>
        <v>-1100</v>
      </c>
      <c r="K13" s="8" t="s">
        <v>151</v>
      </c>
      <c r="L13" s="9">
        <v>12000</v>
      </c>
      <c r="M13" s="9"/>
      <c r="N13" s="48">
        <v>2000</v>
      </c>
      <c r="O13" s="21">
        <f t="shared" si="3"/>
        <v>86500</v>
      </c>
      <c r="P13" s="8" t="s">
        <v>150</v>
      </c>
      <c r="Q13" s="9">
        <v>-7500</v>
      </c>
      <c r="R13" s="9"/>
      <c r="S13" s="48">
        <v>-1000</v>
      </c>
      <c r="T13" s="21">
        <f t="shared" si="4"/>
        <v>19600</v>
      </c>
      <c r="U13" s="53">
        <f>IF($J13="","",ROUND(($J13-$J$3)/1000,1)+(_xlfn.RANK.AVG($J13,($J13,$O13,$T13),1)-2)*20)</f>
        <v>-56.1</v>
      </c>
      <c r="V13" s="54">
        <f>IF($O13="","",ROUND(($O13-$O$3)/1000,1)+(_xlfn.RANK.AVG($O13,($J13,$O13,$T13),1)-2)*20)</f>
        <v>71.5</v>
      </c>
      <c r="W13" s="55">
        <f>IF($T13="","",ROUND(($T13-$T$3)/1000,1)+(_xlfn.RANK.AVG($T13,($J13,$O13,$T13),1)-2)*20)</f>
        <v>-15.4</v>
      </c>
      <c r="Y13" s="8"/>
      <c r="Z13" s="34"/>
      <c r="AA13" s="26"/>
      <c r="AB13" s="26">
        <v>1</v>
      </c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>
        <v>6</v>
      </c>
      <c r="AY13" s="30" t="s">
        <v>146</v>
      </c>
      <c r="AZ13" s="40" t="s">
        <v>147</v>
      </c>
      <c r="BA13" s="41" t="s">
        <v>82</v>
      </c>
      <c r="BB13" s="41" t="s">
        <v>149</v>
      </c>
      <c r="BC13" s="41" t="s">
        <v>87</v>
      </c>
      <c r="BD13" s="41" t="s">
        <v>96</v>
      </c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showInputMessage="1" showErrorMessage="1" sqref="K4:K30 P4:P30 F4:F30" xr:uid="{EBCC1839-3485-4813-97C4-EA9D6ECE5376}">
      <formula1>"ロン,ツモ,放銃,ツモ支払,流局,チョンボ"</formula1>
    </dataValidation>
    <dataValidation type="list" allowBlank="1" showInputMessage="1" showErrorMessage="1" sqref="E4:E30" xr:uid="{C282FFE2-A113-47EF-85D1-5AFF631E6186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EE95B-BF55-486C-B662-DD74984C01AA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164</v>
      </c>
      <c r="G1" s="78"/>
      <c r="H1" s="78"/>
      <c r="I1" s="79"/>
      <c r="J1" s="80"/>
      <c r="K1" s="77" t="s">
        <v>158</v>
      </c>
      <c r="L1" s="78"/>
      <c r="M1" s="78"/>
      <c r="N1" s="79"/>
      <c r="O1" s="80"/>
      <c r="P1" s="77" t="s">
        <v>141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りくと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れんたろう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まっつん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りくと</v>
      </c>
      <c r="V2" s="76" t="str">
        <f>$K$1</f>
        <v>れんたろう</v>
      </c>
      <c r="W2" s="16" t="str">
        <f>$P$1</f>
        <v>まっつん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163</v>
      </c>
      <c r="F4" s="8"/>
      <c r="G4" s="9"/>
      <c r="H4" s="9"/>
      <c r="I4" s="48"/>
      <c r="J4" s="21">
        <f>IF(COUNTA($F4,$K4,$P4)&gt;0,J3+SUM(G4:I4),"")</f>
        <v>35000</v>
      </c>
      <c r="K4" s="8" t="s">
        <v>145</v>
      </c>
      <c r="L4" s="9">
        <v>-32000</v>
      </c>
      <c r="M4" s="9"/>
      <c r="N4" s="48">
        <v>0</v>
      </c>
      <c r="O4" s="21">
        <f>IF(COUNTA($F4,$K4,$P4)&gt;0,O3+SUM(L4:N4),"")</f>
        <v>3000</v>
      </c>
      <c r="P4" s="8" t="s">
        <v>144</v>
      </c>
      <c r="Q4" s="9">
        <v>32000</v>
      </c>
      <c r="R4" s="9"/>
      <c r="S4" s="48">
        <v>0</v>
      </c>
      <c r="T4" s="21">
        <f>IF(COUNTA($F4,$K4,$P4)&gt;0,T3+SUM(Q4:S4),"")</f>
        <v>67000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-52</v>
      </c>
      <c r="W4" s="55">
        <f>IF($T4="","",ROUND(($T4-$T$3)/1000,1)+(_xlfn.RANK.AVG($T4,($J4,$O4,$T4),1)-2)*20)</f>
        <v>52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13</v>
      </c>
      <c r="BT4" s="30" t="s">
        <v>146</v>
      </c>
      <c r="BU4" s="40" t="s">
        <v>116</v>
      </c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157</v>
      </c>
      <c r="F5" s="8" t="s">
        <v>154</v>
      </c>
      <c r="G5" s="9">
        <v>0</v>
      </c>
      <c r="H5" s="9"/>
      <c r="I5" s="48"/>
      <c r="J5" s="21">
        <f t="shared" ref="J5:J30" si="2">IF(COUNTA($F5,$K5,$P5)&gt;0,J4+SUM(G5:I5),"")</f>
        <v>35000</v>
      </c>
      <c r="K5" s="8" t="s">
        <v>154</v>
      </c>
      <c r="L5" s="9">
        <v>0</v>
      </c>
      <c r="M5" s="9"/>
      <c r="N5" s="48"/>
      <c r="O5" s="21">
        <f t="shared" ref="O5:O30" si="3">IF(COUNTA($F5,$K5,$P5)&gt;0,O4+SUM(L5:N5),"")</f>
        <v>3000</v>
      </c>
      <c r="P5" s="8" t="s">
        <v>154</v>
      </c>
      <c r="Q5" s="9">
        <v>0</v>
      </c>
      <c r="R5" s="9"/>
      <c r="S5" s="48"/>
      <c r="T5" s="21">
        <f t="shared" ref="T5:T30" si="4">IF(COUNTA($F5,$K5,$P5)&gt;0,T4+SUM(Q5:S5),"")</f>
        <v>67000</v>
      </c>
      <c r="U5" s="53">
        <f>IF($J5="","",ROUND(($J5-$J$3)/1000,1)+(_xlfn.RANK.AVG($J5,($J5,$O5,$T5),1)-2)*20)</f>
        <v>0</v>
      </c>
      <c r="V5" s="54">
        <f>IF($O5="","",ROUND(($O5-$O$3)/1000,1)+(_xlfn.RANK.AVG($O5,($J5,$O5,$T5),1)-2)*20)</f>
        <v>-52</v>
      </c>
      <c r="W5" s="55">
        <f>IF($T5="","",ROUND(($T5-$T$3)/1000,1)+(_xlfn.RANK.AVG($T5,($J5,$O5,$T5),1)-2)*20)</f>
        <v>52</v>
      </c>
      <c r="Y5" s="8" t="s">
        <v>153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153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153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157</v>
      </c>
      <c r="F6" s="8" t="s">
        <v>145</v>
      </c>
      <c r="G6" s="9">
        <v>-3900</v>
      </c>
      <c r="H6" s="9"/>
      <c r="I6" s="48">
        <v>-1000</v>
      </c>
      <c r="J6" s="21">
        <f t="shared" si="2"/>
        <v>30100</v>
      </c>
      <c r="K6" s="8" t="s">
        <v>144</v>
      </c>
      <c r="L6" s="9">
        <v>3900</v>
      </c>
      <c r="M6" s="9"/>
      <c r="N6" s="48">
        <v>1000</v>
      </c>
      <c r="O6" s="21">
        <f t="shared" si="3"/>
        <v>7900</v>
      </c>
      <c r="P6" s="8"/>
      <c r="Q6" s="9"/>
      <c r="R6" s="9"/>
      <c r="S6" s="48"/>
      <c r="T6" s="21">
        <f t="shared" si="4"/>
        <v>67000</v>
      </c>
      <c r="U6" s="53">
        <f>IF($J6="","",ROUND(($J6-$J$3)/1000,1)+(_xlfn.RANK.AVG($J6,($J6,$O6,$T6),1)-2)*20)</f>
        <v>-4.9000000000000004</v>
      </c>
      <c r="V6" s="54">
        <f>IF($O6="","",ROUND(($O6-$O$3)/1000,1)+(_xlfn.RANK.AVG($O6,($J6,$O6,$T6),1)-2)*20)</f>
        <v>-47.1</v>
      </c>
      <c r="W6" s="55">
        <f>IF($T6="","",ROUND(($T6-$T$3)/1000,1)+(_xlfn.RANK.AVG($T6,($J6,$O6,$T6),1)-2)*20)</f>
        <v>52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2</v>
      </c>
      <c r="AY6" s="30">
        <v>40</v>
      </c>
      <c r="AZ6" s="40" t="s">
        <v>147</v>
      </c>
      <c r="BA6" s="41" t="s">
        <v>84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157</v>
      </c>
      <c r="F7" s="8" t="s">
        <v>150</v>
      </c>
      <c r="G7" s="9">
        <v>-2900</v>
      </c>
      <c r="H7" s="9"/>
      <c r="I7" s="48">
        <v>-1000</v>
      </c>
      <c r="J7" s="21">
        <f t="shared" si="2"/>
        <v>26200</v>
      </c>
      <c r="K7" s="8" t="s">
        <v>150</v>
      </c>
      <c r="L7" s="9">
        <v>-4800</v>
      </c>
      <c r="M7" s="9"/>
      <c r="N7" s="48">
        <v>-1000</v>
      </c>
      <c r="O7" s="21">
        <f t="shared" si="3"/>
        <v>2100</v>
      </c>
      <c r="P7" s="8" t="s">
        <v>151</v>
      </c>
      <c r="Q7" s="9">
        <v>7700</v>
      </c>
      <c r="R7" s="9"/>
      <c r="S7" s="48">
        <v>2000</v>
      </c>
      <c r="T7" s="21">
        <f t="shared" si="4"/>
        <v>76700</v>
      </c>
      <c r="U7" s="53">
        <f>IF($J7="","",ROUND(($J7-$J$3)/1000,1)+(_xlfn.RANK.AVG($J7,($J7,$O7,$T7),1)-2)*20)</f>
        <v>-8.8000000000000007</v>
      </c>
      <c r="V7" s="54">
        <f>IF($O7="","",ROUND(($O7-$O$3)/1000,1)+(_xlfn.RANK.AVG($O7,($J7,$O7,$T7),1)-2)*20)</f>
        <v>-52.9</v>
      </c>
      <c r="W7" s="55">
        <f>IF($T7="","",ROUND(($T7-$T$3)/1000,1)+(_xlfn.RANK.AVG($T7,($J7,$O7,$T7),1)-2)*20)</f>
        <v>61.7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4</v>
      </c>
      <c r="BT7" s="30">
        <v>30</v>
      </c>
      <c r="BU7" s="40" t="s">
        <v>82</v>
      </c>
      <c r="BV7" s="41" t="s">
        <v>79</v>
      </c>
      <c r="BW7" s="41" t="s">
        <v>92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140</v>
      </c>
      <c r="F8" s="8"/>
      <c r="G8" s="9"/>
      <c r="H8" s="9">
        <v>-1000</v>
      </c>
      <c r="I8" s="48"/>
      <c r="J8" s="21">
        <f t="shared" si="2"/>
        <v>25200</v>
      </c>
      <c r="K8" s="8" t="s">
        <v>144</v>
      </c>
      <c r="L8" s="9">
        <v>3200</v>
      </c>
      <c r="M8" s="9">
        <v>1000</v>
      </c>
      <c r="N8" s="48">
        <v>0</v>
      </c>
      <c r="O8" s="21">
        <f t="shared" si="3"/>
        <v>6300</v>
      </c>
      <c r="P8" s="8" t="s">
        <v>145</v>
      </c>
      <c r="Q8" s="9">
        <v>-3200</v>
      </c>
      <c r="R8" s="9"/>
      <c r="S8" s="48">
        <v>0</v>
      </c>
      <c r="T8" s="21">
        <f t="shared" si="4"/>
        <v>73500</v>
      </c>
      <c r="U8" s="53">
        <f>IF($J8="","",ROUND(($J8-$J$3)/1000,1)+(_xlfn.RANK.AVG($J8,($J8,$O8,$T8),1)-2)*20)</f>
        <v>-9.8000000000000007</v>
      </c>
      <c r="V8" s="54">
        <f>IF($O8="","",ROUND(($O8-$O$3)/1000,1)+(_xlfn.RANK.AVG($O8,($J8,$O8,$T8),1)-2)*20)</f>
        <v>-48.7</v>
      </c>
      <c r="W8" s="55">
        <f>IF($T8="","",ROUND(($T8-$T$3)/1000,1)+(_xlfn.RANK.AVG($T8,($J8,$O8,$T8),1)-2)*20)</f>
        <v>58.5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3</v>
      </c>
      <c r="AY8" s="30">
        <v>25</v>
      </c>
      <c r="AZ8" s="40" t="s">
        <v>147</v>
      </c>
      <c r="BA8" s="41" t="s">
        <v>101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163</v>
      </c>
      <c r="F9" s="8" t="s">
        <v>150</v>
      </c>
      <c r="G9" s="9">
        <v>-1300</v>
      </c>
      <c r="H9" s="9">
        <v>-1000</v>
      </c>
      <c r="I9" s="48">
        <v>0</v>
      </c>
      <c r="J9" s="21">
        <f t="shared" si="2"/>
        <v>22900</v>
      </c>
      <c r="K9" s="8" t="s">
        <v>151</v>
      </c>
      <c r="L9" s="9">
        <v>2100</v>
      </c>
      <c r="M9" s="9">
        <v>1000</v>
      </c>
      <c r="N9" s="48">
        <v>0</v>
      </c>
      <c r="O9" s="21">
        <f t="shared" si="3"/>
        <v>9400</v>
      </c>
      <c r="P9" s="8" t="s">
        <v>150</v>
      </c>
      <c r="Q9" s="9">
        <v>-800</v>
      </c>
      <c r="R9" s="9"/>
      <c r="S9" s="48">
        <v>0</v>
      </c>
      <c r="T9" s="21">
        <f t="shared" si="4"/>
        <v>72700</v>
      </c>
      <c r="U9" s="53">
        <f>IF($J9="","",ROUND(($J9-$J$3)/1000,1)+(_xlfn.RANK.AVG($J9,($J9,$O9,$T9),1)-2)*20)</f>
        <v>-12.1</v>
      </c>
      <c r="V9" s="54">
        <f>IF($O9="","",ROUND(($O9-$O$3)/1000,1)+(_xlfn.RANK.AVG($O9,($J9,$O9,$T9),1)-2)*20)</f>
        <v>-45.6</v>
      </c>
      <c r="W9" s="55">
        <f>IF($T9="","",ROUND(($T9-$T$3)/1000,1)+(_xlfn.RANK.AVG($T9,($J9,$O9,$T9),1)-2)*20)</f>
        <v>57.7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>
        <v>2</v>
      </c>
      <c r="AY9" s="30">
        <v>30</v>
      </c>
      <c r="AZ9" s="40" t="s">
        <v>82</v>
      </c>
      <c r="BA9" s="41" t="s">
        <v>149</v>
      </c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157</v>
      </c>
      <c r="F10" s="8" t="s">
        <v>150</v>
      </c>
      <c r="G10" s="9">
        <v>-3000</v>
      </c>
      <c r="H10" s="9"/>
      <c r="I10" s="48">
        <v>0</v>
      </c>
      <c r="J10" s="21">
        <f t="shared" si="2"/>
        <v>19900</v>
      </c>
      <c r="K10" s="8" t="s">
        <v>151</v>
      </c>
      <c r="L10" s="9">
        <v>6000</v>
      </c>
      <c r="M10" s="9">
        <v>1000</v>
      </c>
      <c r="N10" s="48">
        <v>0</v>
      </c>
      <c r="O10" s="21">
        <f t="shared" si="3"/>
        <v>16400</v>
      </c>
      <c r="P10" s="8" t="s">
        <v>150</v>
      </c>
      <c r="Q10" s="9">
        <v>-3000</v>
      </c>
      <c r="R10" s="9">
        <v>-1000</v>
      </c>
      <c r="S10" s="48">
        <v>0</v>
      </c>
      <c r="T10" s="21">
        <f t="shared" si="4"/>
        <v>68700</v>
      </c>
      <c r="U10" s="53">
        <f>IF($J10="","",ROUND(($J10-$J$3)/1000,1)+(_xlfn.RANK.AVG($J10,($J10,$O10,$T10),1)-2)*20)</f>
        <v>-15.1</v>
      </c>
      <c r="V10" s="54">
        <f>IF($O10="","",ROUND(($O10-$O$3)/1000,1)+(_xlfn.RANK.AVG($O10,($J10,$O10,$T10),1)-2)*20)</f>
        <v>-38.6</v>
      </c>
      <c r="W10" s="55">
        <f>IF($T10="","",ROUND(($T10-$T$3)/1000,1)+(_xlfn.RANK.AVG($T10,($J10,$O10,$T10),1)-2)*20)</f>
        <v>53.7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3</v>
      </c>
      <c r="AY10" s="30">
        <v>30</v>
      </c>
      <c r="AZ10" s="40" t="s">
        <v>82</v>
      </c>
      <c r="BA10" s="41" t="s">
        <v>79</v>
      </c>
      <c r="BB10" s="41" t="s">
        <v>79</v>
      </c>
      <c r="BC10" s="41" t="s">
        <v>79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">
        <v>157</v>
      </c>
      <c r="F11" s="8"/>
      <c r="G11" s="9"/>
      <c r="H11" s="9"/>
      <c r="I11" s="48"/>
      <c r="J11" s="21">
        <f t="shared" si="2"/>
        <v>19900</v>
      </c>
      <c r="K11" s="8" t="s">
        <v>145</v>
      </c>
      <c r="L11" s="9">
        <v>-1000</v>
      </c>
      <c r="M11" s="9"/>
      <c r="N11" s="48">
        <v>-1000</v>
      </c>
      <c r="O11" s="21">
        <f t="shared" si="3"/>
        <v>14400</v>
      </c>
      <c r="P11" s="8" t="s">
        <v>144</v>
      </c>
      <c r="Q11" s="9">
        <v>1000</v>
      </c>
      <c r="R11" s="9"/>
      <c r="S11" s="48">
        <v>1000</v>
      </c>
      <c r="T11" s="21">
        <f t="shared" si="4"/>
        <v>70700</v>
      </c>
      <c r="U11" s="53">
        <f>IF($J11="","",ROUND(($J11-$J$3)/1000,1)+(_xlfn.RANK.AVG($J11,($J11,$O11,$T11),1)-2)*20)</f>
        <v>-15.1</v>
      </c>
      <c r="V11" s="54">
        <f>IF($O11="","",ROUND(($O11-$O$3)/1000,1)+(_xlfn.RANK.AVG($O11,($J11,$O11,$T11),1)-2)*20)</f>
        <v>-40.6</v>
      </c>
      <c r="W11" s="55">
        <f>IF($T11="","",ROUND(($T11-$T$3)/1000,1)+(_xlfn.RANK.AVG($T11,($J11,$O11,$T11),1)-2)*20)</f>
        <v>55.7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1</v>
      </c>
      <c r="BT11" s="30">
        <v>30</v>
      </c>
      <c r="BU11" s="40" t="s">
        <v>86</v>
      </c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140</v>
      </c>
      <c r="F12" s="8"/>
      <c r="G12" s="9"/>
      <c r="H12" s="9">
        <v>-1000</v>
      </c>
      <c r="I12" s="48"/>
      <c r="J12" s="21">
        <f t="shared" si="2"/>
        <v>18900</v>
      </c>
      <c r="K12" s="8" t="s">
        <v>145</v>
      </c>
      <c r="L12" s="9">
        <v>-3900</v>
      </c>
      <c r="M12" s="9">
        <v>-1000</v>
      </c>
      <c r="N12" s="48">
        <v>0</v>
      </c>
      <c r="O12" s="21">
        <f t="shared" si="3"/>
        <v>9500</v>
      </c>
      <c r="P12" s="8" t="s">
        <v>144</v>
      </c>
      <c r="Q12" s="9">
        <v>3900</v>
      </c>
      <c r="R12" s="9">
        <v>2000</v>
      </c>
      <c r="S12" s="48">
        <v>0</v>
      </c>
      <c r="T12" s="21">
        <f t="shared" si="4"/>
        <v>76600</v>
      </c>
      <c r="U12" s="53">
        <f>IF($J12="","",ROUND(($J12-$J$3)/1000,1)+(_xlfn.RANK.AVG($J12,($J12,$O12,$T12),1)-2)*20)</f>
        <v>-16.100000000000001</v>
      </c>
      <c r="V12" s="54">
        <f>IF($O12="","",ROUND(($O12-$O$3)/1000,1)+(_xlfn.RANK.AVG($O12,($J12,$O12,$T12),1)-2)*20)</f>
        <v>-45.5</v>
      </c>
      <c r="W12" s="55">
        <f>IF($T12="","",ROUND(($T12-$T$3)/1000,1)+(_xlfn.RANK.AVG($T12,($J12,$O12,$T12),1)-2)*20)</f>
        <v>61.6</v>
      </c>
      <c r="Y12" s="8"/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2</v>
      </c>
      <c r="BT12" s="30">
        <v>40</v>
      </c>
      <c r="BU12" s="40" t="s">
        <v>147</v>
      </c>
      <c r="BV12" s="41" t="s">
        <v>84</v>
      </c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5E96AC7D-3193-48F5-836D-1220B8E47495}">
      <formula1>$U$2:$W$2</formula1>
    </dataValidation>
    <dataValidation type="list" showInputMessage="1" showErrorMessage="1" sqref="K4:K30 P4:P30 F4:F30" xr:uid="{443A2157-C4D2-4424-A19A-264D67A77F65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788D22-FBE4-4AAA-965C-F3B1F58E03FD}">
  <sheetPr codeName="Sheet15">
    <pageSetUpPr fitToPage="1"/>
  </sheetPr>
  <dimension ref="A1:CI30"/>
  <sheetViews>
    <sheetView tabSelected="1" zoomScaleNormal="100" workbookViewId="0">
      <selection activeCell="E12" sqref="E1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143</v>
      </c>
      <c r="G1" s="78"/>
      <c r="H1" s="78"/>
      <c r="I1" s="79"/>
      <c r="J1" s="80"/>
      <c r="K1" s="77" t="s">
        <v>158</v>
      </c>
      <c r="L1" s="78"/>
      <c r="M1" s="78"/>
      <c r="N1" s="79"/>
      <c r="O1" s="80"/>
      <c r="P1" s="77" t="s">
        <v>166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だいち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れんたろう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ほたに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だいち</v>
      </c>
      <c r="V2" s="76" t="str">
        <f>$K$1</f>
        <v>れんたろう</v>
      </c>
      <c r="W2" s="16" t="str">
        <f>$P$1</f>
        <v>ほたに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165</v>
      </c>
      <c r="F4" s="8" t="s">
        <v>150</v>
      </c>
      <c r="G4" s="9">
        <v>-3000</v>
      </c>
      <c r="H4" s="9"/>
      <c r="I4" s="48">
        <v>0</v>
      </c>
      <c r="J4" s="21">
        <f>IF(COUNTA($F4,$K4,$P4)&gt;0,J3+SUM(G4:I4),"")</f>
        <v>32000</v>
      </c>
      <c r="K4" s="8" t="s">
        <v>150</v>
      </c>
      <c r="L4" s="9">
        <v>-3000</v>
      </c>
      <c r="M4" s="9"/>
      <c r="N4" s="48">
        <v>0</v>
      </c>
      <c r="O4" s="21">
        <f>IF(COUNTA($F4,$K4,$P4)&gt;0,O3+SUM(L4:N4),"")</f>
        <v>32000</v>
      </c>
      <c r="P4" s="8" t="s">
        <v>151</v>
      </c>
      <c r="Q4" s="9">
        <v>6000</v>
      </c>
      <c r="R4" s="9"/>
      <c r="S4" s="48">
        <v>0</v>
      </c>
      <c r="T4" s="21">
        <f>IF(COUNTA($F4,$K4,$P4)&gt;0,T3+SUM(Q4:S4),"")</f>
        <v>41000</v>
      </c>
      <c r="U4" s="53">
        <f>IF($J4="","",ROUND(($J4-$J$3)/1000,1)+(_xlfn.RANK.AVG($J4,($J4,$O4,$T4),1)-2)*20)</f>
        <v>-13</v>
      </c>
      <c r="V4" s="54">
        <f>IF($O4="","",ROUND(($O4-$O$3)/1000,1)+(_xlfn.RANK.AVG($O4,($J4,$O4,$T4),1)-2)*20)</f>
        <v>-13</v>
      </c>
      <c r="W4" s="55">
        <f>IF($T4="","",ROUND(($T4-$T$3)/1000,1)+(_xlfn.RANK.AVG($T4,($J4,$O4,$T4),1)-2)*20)</f>
        <v>26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3</v>
      </c>
      <c r="BT4" s="30">
        <v>30</v>
      </c>
      <c r="BU4" s="40" t="s">
        <v>147</v>
      </c>
      <c r="BV4" s="41" t="s">
        <v>82</v>
      </c>
      <c r="BW4" s="41" t="s">
        <v>86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165</v>
      </c>
      <c r="F5" s="8"/>
      <c r="G5" s="9"/>
      <c r="H5" s="9"/>
      <c r="I5" s="48"/>
      <c r="J5" s="21">
        <f t="shared" ref="J5:J30" si="2">IF(COUNTA($F5,$K5,$P5)&gt;0,J4+SUM(G5:I5),"")</f>
        <v>32000</v>
      </c>
      <c r="K5" s="8" t="s">
        <v>145</v>
      </c>
      <c r="L5" s="9">
        <v>-12000</v>
      </c>
      <c r="M5" s="9"/>
      <c r="N5" s="48">
        <v>-1000</v>
      </c>
      <c r="O5" s="21">
        <f t="shared" ref="O5:O30" si="3">IF(COUNTA($F5,$K5,$P5)&gt;0,O4+SUM(L5:N5),"")</f>
        <v>19000</v>
      </c>
      <c r="P5" s="8" t="s">
        <v>144</v>
      </c>
      <c r="Q5" s="9">
        <v>12000</v>
      </c>
      <c r="R5" s="9"/>
      <c r="S5" s="48">
        <v>1000</v>
      </c>
      <c r="T5" s="21">
        <f t="shared" ref="T5:T30" si="4">IF(COUNTA($F5,$K5,$P5)&gt;0,T4+SUM(Q5:S5),"")</f>
        <v>54000</v>
      </c>
      <c r="U5" s="53">
        <f>IF($J5="","",ROUND(($J5-$J$3)/1000,1)+(_xlfn.RANK.AVG($J5,($J5,$O5,$T5),1)-2)*20)</f>
        <v>-3</v>
      </c>
      <c r="V5" s="54">
        <f>IF($O5="","",ROUND(($O5-$O$3)/1000,1)+(_xlfn.RANK.AVG($O5,($J5,$O5,$T5),1)-2)*20)</f>
        <v>-36</v>
      </c>
      <c r="W5" s="55">
        <f>IF($T5="","",ROUND(($T5-$T$3)/1000,1)+(_xlfn.RANK.AVG($T5,($J5,$O5,$T5),1)-2)*20)</f>
        <v>39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5</v>
      </c>
      <c r="BT5" s="30" t="s">
        <v>146</v>
      </c>
      <c r="BU5" s="40" t="s">
        <v>79</v>
      </c>
      <c r="BV5" s="41" t="s">
        <v>147</v>
      </c>
      <c r="BW5" s="41" t="s">
        <v>79</v>
      </c>
      <c r="BX5" s="41" t="s">
        <v>101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165</v>
      </c>
      <c r="F6" s="8"/>
      <c r="G6" s="9"/>
      <c r="H6" s="9"/>
      <c r="I6" s="48"/>
      <c r="J6" s="21">
        <f t="shared" si="2"/>
        <v>32000</v>
      </c>
      <c r="K6" s="8" t="s">
        <v>145</v>
      </c>
      <c r="L6" s="9">
        <v>-1500</v>
      </c>
      <c r="M6" s="9"/>
      <c r="N6" s="48">
        <v>-2000</v>
      </c>
      <c r="O6" s="21">
        <f t="shared" si="3"/>
        <v>15500</v>
      </c>
      <c r="P6" s="8" t="s">
        <v>144</v>
      </c>
      <c r="Q6" s="9">
        <v>1500</v>
      </c>
      <c r="R6" s="9"/>
      <c r="S6" s="48">
        <v>2000</v>
      </c>
      <c r="T6" s="21">
        <f t="shared" si="4"/>
        <v>57500</v>
      </c>
      <c r="U6" s="53">
        <f>IF($J6="","",ROUND(($J6-$J$3)/1000,1)+(_xlfn.RANK.AVG($J6,($J6,$O6,$T6),1)-2)*20)</f>
        <v>-3</v>
      </c>
      <c r="V6" s="54">
        <f>IF($O6="","",ROUND(($O6-$O$3)/1000,1)+(_xlfn.RANK.AVG($O6,($J6,$O6,$T6),1)-2)*20)</f>
        <v>-39.5</v>
      </c>
      <c r="W6" s="55">
        <f>IF($T6="","",ROUND(($T6-$T$3)/1000,1)+(_xlfn.RANK.AVG($T6,($J6,$O6,$T6),1)-2)*20)</f>
        <v>42.5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1</v>
      </c>
      <c r="BT6" s="30">
        <v>30</v>
      </c>
      <c r="BU6" s="40" t="s">
        <v>86</v>
      </c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">
        <v>165</v>
      </c>
      <c r="F7" s="8"/>
      <c r="G7" s="9"/>
      <c r="H7" s="9">
        <v>-1000</v>
      </c>
      <c r="I7" s="48"/>
      <c r="J7" s="21">
        <f t="shared" si="2"/>
        <v>31000</v>
      </c>
      <c r="K7" s="8" t="s">
        <v>144</v>
      </c>
      <c r="L7" s="9">
        <v>8000</v>
      </c>
      <c r="M7" s="9">
        <v>1000</v>
      </c>
      <c r="N7" s="48">
        <v>3000</v>
      </c>
      <c r="O7" s="21">
        <f t="shared" si="3"/>
        <v>27500</v>
      </c>
      <c r="P7" s="8" t="s">
        <v>145</v>
      </c>
      <c r="Q7" s="9">
        <v>-8000</v>
      </c>
      <c r="R7" s="9"/>
      <c r="S7" s="48">
        <v>-3000</v>
      </c>
      <c r="T7" s="21">
        <f t="shared" si="4"/>
        <v>46500</v>
      </c>
      <c r="U7" s="53">
        <f>IF($J7="","",ROUND(($J7-$J$3)/1000,1)+(_xlfn.RANK.AVG($J7,($J7,$O7,$T7),1)-2)*20)</f>
        <v>-4</v>
      </c>
      <c r="V7" s="54">
        <f>IF($O7="","",ROUND(($O7-$O$3)/1000,1)+(_xlfn.RANK.AVG($O7,($J7,$O7,$T7),1)-2)*20)</f>
        <v>-27.5</v>
      </c>
      <c r="W7" s="55">
        <f>IF($T7="","",ROUND(($T7-$T$3)/1000,1)+(_xlfn.RANK.AVG($T7,($J7,$O7,$T7),1)-2)*20)</f>
        <v>31.5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5</v>
      </c>
      <c r="AY7" s="30" t="s">
        <v>146</v>
      </c>
      <c r="AZ7" s="40" t="s">
        <v>86</v>
      </c>
      <c r="BA7" s="41" t="s">
        <v>79</v>
      </c>
      <c r="BB7" s="41" t="s">
        <v>79</v>
      </c>
      <c r="BC7" s="41" t="s">
        <v>104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142</v>
      </c>
      <c r="F8" s="8" t="s">
        <v>150</v>
      </c>
      <c r="G8" s="9">
        <v>-2500</v>
      </c>
      <c r="H8" s="9">
        <v>-1000</v>
      </c>
      <c r="I8" s="48">
        <v>0</v>
      </c>
      <c r="J8" s="21">
        <f t="shared" si="2"/>
        <v>27500</v>
      </c>
      <c r="K8" s="8" t="s">
        <v>150</v>
      </c>
      <c r="L8" s="9">
        <v>-1500</v>
      </c>
      <c r="M8" s="9"/>
      <c r="N8" s="48">
        <v>0</v>
      </c>
      <c r="O8" s="21">
        <f t="shared" si="3"/>
        <v>26000</v>
      </c>
      <c r="P8" s="8" t="s">
        <v>151</v>
      </c>
      <c r="Q8" s="9">
        <v>4000</v>
      </c>
      <c r="R8" s="9">
        <v>1000</v>
      </c>
      <c r="S8" s="48">
        <v>0</v>
      </c>
      <c r="T8" s="21">
        <f t="shared" si="4"/>
        <v>51500</v>
      </c>
      <c r="U8" s="53">
        <f>IF($J8="","",ROUND(($J8-$J$3)/1000,1)+(_xlfn.RANK.AVG($J8,($J8,$O8,$T8),1)-2)*20)</f>
        <v>-7.5</v>
      </c>
      <c r="V8" s="54">
        <f>IF($O8="","",ROUND(($O8-$O$3)/1000,1)+(_xlfn.RANK.AVG($O8,($J8,$O8,$T8),1)-2)*20)</f>
        <v>-29</v>
      </c>
      <c r="W8" s="55">
        <f>IF($T8="","",ROUND(($T8-$T$3)/1000,1)+(_xlfn.RANK.AVG($T8,($J8,$O8,$T8),1)-2)*20)</f>
        <v>36.5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3</v>
      </c>
      <c r="BT8" s="30">
        <v>30</v>
      </c>
      <c r="BU8" s="40" t="s">
        <v>86</v>
      </c>
      <c r="BV8" s="41" t="s">
        <v>98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157</v>
      </c>
      <c r="F9" s="8" t="s">
        <v>150</v>
      </c>
      <c r="G9" s="9">
        <v>-24000</v>
      </c>
      <c r="H9" s="9"/>
      <c r="I9" s="48">
        <v>0</v>
      </c>
      <c r="J9" s="21">
        <f t="shared" si="2"/>
        <v>3500</v>
      </c>
      <c r="K9" s="8" t="s">
        <v>151</v>
      </c>
      <c r="L9" s="9">
        <v>48000</v>
      </c>
      <c r="M9" s="9"/>
      <c r="N9" s="48">
        <v>0</v>
      </c>
      <c r="O9" s="21">
        <f t="shared" si="3"/>
        <v>74000</v>
      </c>
      <c r="P9" s="8" t="s">
        <v>150</v>
      </c>
      <c r="Q9" s="9">
        <v>-24000</v>
      </c>
      <c r="R9" s="9"/>
      <c r="S9" s="48">
        <v>0</v>
      </c>
      <c r="T9" s="21">
        <f t="shared" si="4"/>
        <v>27500</v>
      </c>
      <c r="U9" s="53">
        <f>IF($J9="","",ROUND(($J9-$J$3)/1000,1)+(_xlfn.RANK.AVG($J9,($J9,$O9,$T9),1)-2)*20)</f>
        <v>-51.5</v>
      </c>
      <c r="V9" s="54">
        <f>IF($O9="","",ROUND(($O9-$O$3)/1000,1)+(_xlfn.RANK.AVG($O9,($J9,$O9,$T9),1)-2)*20)</f>
        <v>59</v>
      </c>
      <c r="W9" s="55">
        <f>IF($T9="","",ROUND(($T9-$T$3)/1000,1)+(_xlfn.RANK.AVG($T9,($J9,$O9,$T9),1)-2)*20)</f>
        <v>-7.5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13</v>
      </c>
      <c r="AY9" s="30" t="s">
        <v>146</v>
      </c>
      <c r="AZ9" s="40" t="s">
        <v>108</v>
      </c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1</v>
      </c>
      <c r="D10" s="18">
        <f t="shared" si="1"/>
        <v>0</v>
      </c>
      <c r="E10" s="4" t="s">
        <v>157</v>
      </c>
      <c r="F10" s="8" t="s">
        <v>150</v>
      </c>
      <c r="G10" s="9">
        <v>-1500</v>
      </c>
      <c r="H10" s="9">
        <v>-1000</v>
      </c>
      <c r="I10" s="48">
        <v>-500</v>
      </c>
      <c r="J10" s="21">
        <f t="shared" si="2"/>
        <v>500</v>
      </c>
      <c r="K10" s="8" t="s">
        <v>150</v>
      </c>
      <c r="L10" s="9">
        <v>-2500</v>
      </c>
      <c r="M10" s="9"/>
      <c r="N10" s="48">
        <v>-500</v>
      </c>
      <c r="O10" s="21">
        <f t="shared" si="3"/>
        <v>71000</v>
      </c>
      <c r="P10" s="8" t="s">
        <v>151</v>
      </c>
      <c r="Q10" s="9">
        <v>4000</v>
      </c>
      <c r="R10" s="9">
        <v>1000</v>
      </c>
      <c r="S10" s="48">
        <v>1000</v>
      </c>
      <c r="T10" s="21">
        <f t="shared" si="4"/>
        <v>33500</v>
      </c>
      <c r="U10" s="53">
        <f>IF($J10="","",ROUND(($J10-$J$3)/1000,1)+(_xlfn.RANK.AVG($J10,($J10,$O10,$T10),1)-2)*20)</f>
        <v>-54.5</v>
      </c>
      <c r="V10" s="54">
        <f>IF($O10="","",ROUND(($O10-$O$3)/1000,1)+(_xlfn.RANK.AVG($O10,($J10,$O10,$T10),1)-2)*20)</f>
        <v>56</v>
      </c>
      <c r="W10" s="55">
        <f>IF($T10="","",ROUND(($T10-$T$3)/1000,1)+(_xlfn.RANK.AVG($T10,($J10,$O10,$T10),1)-2)*20)</f>
        <v>-1.5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3</v>
      </c>
      <c r="BT10" s="30">
        <v>30</v>
      </c>
      <c r="BU10" s="40" t="s">
        <v>86</v>
      </c>
      <c r="BV10" s="41" t="s">
        <v>149</v>
      </c>
      <c r="BW10" s="41" t="s">
        <v>79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">
        <v>165</v>
      </c>
      <c r="F11" s="8" t="s">
        <v>150</v>
      </c>
      <c r="G11" s="9">
        <v>-4500</v>
      </c>
      <c r="H11" s="9"/>
      <c r="I11" s="48">
        <v>0</v>
      </c>
      <c r="J11" s="21">
        <f t="shared" si="2"/>
        <v>-4000</v>
      </c>
      <c r="K11" s="8" t="s">
        <v>151</v>
      </c>
      <c r="L11" s="9">
        <v>12000</v>
      </c>
      <c r="M11" s="9"/>
      <c r="N11" s="48">
        <v>0</v>
      </c>
      <c r="O11" s="21">
        <f t="shared" si="3"/>
        <v>83000</v>
      </c>
      <c r="P11" s="8" t="s">
        <v>150</v>
      </c>
      <c r="Q11" s="9">
        <v>-7500</v>
      </c>
      <c r="R11" s="9"/>
      <c r="S11" s="48">
        <v>0</v>
      </c>
      <c r="T11" s="21">
        <f t="shared" si="4"/>
        <v>26000</v>
      </c>
      <c r="U11" s="53">
        <f>IF($J11="","",ROUND(($J11-$J$3)/1000,1)+(_xlfn.RANK.AVG($J11,($J11,$O11,$T11),1)-2)*20)</f>
        <v>-59</v>
      </c>
      <c r="V11" s="54">
        <f>IF($O11="","",ROUND(($O11-$O$3)/1000,1)+(_xlfn.RANK.AVG($O11,($J11,$O11,$T11),1)-2)*20)</f>
        <v>68</v>
      </c>
      <c r="W11" s="55">
        <f>IF($T11="","",ROUND(($T11-$T$3)/1000,1)+(_xlfn.RANK.AVG($T11,($J11,$O11,$T11),1)-2)*20)</f>
        <v>-9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6</v>
      </c>
      <c r="AY11" s="30" t="s">
        <v>146</v>
      </c>
      <c r="AZ11" s="40" t="s">
        <v>147</v>
      </c>
      <c r="BA11" s="41" t="s">
        <v>82</v>
      </c>
      <c r="BB11" s="41" t="s">
        <v>79</v>
      </c>
      <c r="BC11" s="41" t="s">
        <v>79</v>
      </c>
      <c r="BD11" s="41" t="s">
        <v>79</v>
      </c>
      <c r="BE11" s="41" t="s">
        <v>86</v>
      </c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D504AD17-D029-4C0E-8456-71760F6DF775}">
      <formula1>"ロン,ツモ,放銃,ツモ支払,流局,チョンボ"</formula1>
    </dataValidation>
    <dataValidation type="list" allowBlank="1" showInputMessage="1" showErrorMessage="1" sqref="E4:E30" xr:uid="{3681E3A3-120A-4869-AB54-A8BDA1CF1DBC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36" customWidth="1"/>
    <col min="2" max="2" width="19.25" style="15" bestFit="1" customWidth="1"/>
    <col min="3" max="4" width="6.5" style="15" customWidth="1"/>
  </cols>
  <sheetData>
    <row r="1" spans="1:4" x14ac:dyDescent="0.4">
      <c r="A1" s="36" t="s">
        <v>27</v>
      </c>
      <c r="B1" s="15" t="s">
        <v>28</v>
      </c>
      <c r="C1" s="15" t="s">
        <v>29</v>
      </c>
      <c r="D1" s="15" t="s">
        <v>30</v>
      </c>
    </row>
    <row r="2" spans="1:4" x14ac:dyDescent="0.4">
      <c r="A2" s="36" t="s">
        <v>77</v>
      </c>
      <c r="B2" s="15" t="s">
        <v>132</v>
      </c>
      <c r="C2" s="15">
        <v>1</v>
      </c>
    </row>
    <row r="3" spans="1:4" x14ac:dyDescent="0.4">
      <c r="A3" s="36" t="s">
        <v>78</v>
      </c>
      <c r="B3" s="15" t="s">
        <v>31</v>
      </c>
      <c r="C3" s="15">
        <v>1</v>
      </c>
    </row>
    <row r="4" spans="1:4" x14ac:dyDescent="0.4">
      <c r="A4" s="36" t="s">
        <v>79</v>
      </c>
      <c r="B4" s="15" t="s">
        <v>32</v>
      </c>
      <c r="C4" s="15">
        <v>1</v>
      </c>
      <c r="D4" s="15">
        <v>1</v>
      </c>
    </row>
    <row r="5" spans="1:4" x14ac:dyDescent="0.4">
      <c r="A5" s="36" t="s">
        <v>80</v>
      </c>
      <c r="B5" s="15" t="s">
        <v>33</v>
      </c>
      <c r="C5" s="15">
        <v>1</v>
      </c>
    </row>
    <row r="6" spans="1:4" x14ac:dyDescent="0.4">
      <c r="A6" s="36" t="s">
        <v>81</v>
      </c>
      <c r="B6" s="15" t="s">
        <v>34</v>
      </c>
      <c r="C6" s="15">
        <v>1</v>
      </c>
      <c r="D6" s="15">
        <v>1</v>
      </c>
    </row>
    <row r="7" spans="1:4" x14ac:dyDescent="0.4">
      <c r="A7" s="36" t="s">
        <v>82</v>
      </c>
      <c r="B7" s="15" t="s">
        <v>35</v>
      </c>
      <c r="C7" s="15">
        <v>1</v>
      </c>
    </row>
    <row r="8" spans="1:4" x14ac:dyDescent="0.4">
      <c r="A8" s="36" t="s">
        <v>83</v>
      </c>
      <c r="B8" s="15" t="s">
        <v>36</v>
      </c>
      <c r="C8" s="15">
        <v>1</v>
      </c>
    </row>
    <row r="9" spans="1:4" x14ac:dyDescent="0.4">
      <c r="A9" s="36" t="s">
        <v>84</v>
      </c>
      <c r="B9" s="15" t="s">
        <v>37</v>
      </c>
      <c r="C9" s="15">
        <v>1</v>
      </c>
    </row>
    <row r="10" spans="1:4" x14ac:dyDescent="0.4">
      <c r="A10" s="36" t="s">
        <v>85</v>
      </c>
      <c r="B10" s="15" t="s">
        <v>129</v>
      </c>
      <c r="C10" s="15">
        <v>1</v>
      </c>
      <c r="D10" s="15">
        <v>1</v>
      </c>
    </row>
    <row r="11" spans="1:4" x14ac:dyDescent="0.4">
      <c r="A11" s="36" t="s">
        <v>86</v>
      </c>
      <c r="B11" s="15" t="s">
        <v>38</v>
      </c>
      <c r="C11" s="15">
        <v>1</v>
      </c>
      <c r="D11" s="15">
        <v>1</v>
      </c>
    </row>
    <row r="12" spans="1:4" x14ac:dyDescent="0.4">
      <c r="A12" s="36" t="s">
        <v>87</v>
      </c>
      <c r="B12" s="15" t="s">
        <v>39</v>
      </c>
      <c r="C12" s="15">
        <v>1</v>
      </c>
      <c r="D12" s="15">
        <v>1</v>
      </c>
    </row>
    <row r="13" spans="1:4" x14ac:dyDescent="0.4">
      <c r="A13" s="36" t="s">
        <v>88</v>
      </c>
      <c r="B13" s="15" t="s">
        <v>40</v>
      </c>
      <c r="C13" s="15">
        <v>1</v>
      </c>
      <c r="D13" s="15">
        <v>1</v>
      </c>
    </row>
    <row r="14" spans="1:4" x14ac:dyDescent="0.4">
      <c r="A14" s="36" t="s">
        <v>89</v>
      </c>
      <c r="B14" s="15" t="s">
        <v>41</v>
      </c>
      <c r="C14" s="15">
        <v>1</v>
      </c>
      <c r="D14" s="15">
        <v>1</v>
      </c>
    </row>
    <row r="15" spans="1:4" x14ac:dyDescent="0.4">
      <c r="A15" s="36" t="s">
        <v>90</v>
      </c>
      <c r="B15" s="15" t="s">
        <v>42</v>
      </c>
      <c r="C15" s="15">
        <v>1</v>
      </c>
      <c r="D15" s="15">
        <v>1</v>
      </c>
    </row>
    <row r="16" spans="1:4" x14ac:dyDescent="0.4">
      <c r="A16" s="36" t="s">
        <v>91</v>
      </c>
      <c r="B16" s="15" t="s">
        <v>43</v>
      </c>
      <c r="C16" s="15">
        <v>2</v>
      </c>
    </row>
    <row r="17" spans="1:4" x14ac:dyDescent="0.4">
      <c r="A17" s="36" t="s">
        <v>92</v>
      </c>
      <c r="B17" s="15" t="s">
        <v>44</v>
      </c>
      <c r="C17" s="15">
        <v>2</v>
      </c>
      <c r="D17" s="15">
        <v>1</v>
      </c>
    </row>
    <row r="18" spans="1:4" x14ac:dyDescent="0.4">
      <c r="A18" s="36" t="s">
        <v>93</v>
      </c>
      <c r="B18" s="15" t="s">
        <v>131</v>
      </c>
      <c r="C18" s="15">
        <v>2</v>
      </c>
      <c r="D18" s="15">
        <v>1</v>
      </c>
    </row>
    <row r="19" spans="1:4" x14ac:dyDescent="0.4">
      <c r="A19" s="36" t="s">
        <v>94</v>
      </c>
      <c r="B19" s="15" t="s">
        <v>45</v>
      </c>
      <c r="C19" s="15">
        <v>2</v>
      </c>
      <c r="D19" s="15">
        <v>1</v>
      </c>
    </row>
    <row r="20" spans="1:4" x14ac:dyDescent="0.4">
      <c r="A20" s="36" t="s">
        <v>95</v>
      </c>
      <c r="B20" s="15" t="s">
        <v>46</v>
      </c>
      <c r="C20" s="15">
        <v>2</v>
      </c>
      <c r="D20" s="15">
        <v>2</v>
      </c>
    </row>
    <row r="21" spans="1:4" x14ac:dyDescent="0.4">
      <c r="A21" s="36" t="s">
        <v>96</v>
      </c>
      <c r="B21" s="15" t="s">
        <v>47</v>
      </c>
      <c r="C21" s="15">
        <v>2</v>
      </c>
      <c r="D21" s="15">
        <v>2</v>
      </c>
    </row>
    <row r="22" spans="1:4" x14ac:dyDescent="0.4">
      <c r="A22" s="36" t="s">
        <v>97</v>
      </c>
      <c r="B22" s="15" t="s">
        <v>48</v>
      </c>
      <c r="C22" s="15">
        <v>2</v>
      </c>
      <c r="D22" s="15">
        <v>2</v>
      </c>
    </row>
    <row r="23" spans="1:4" x14ac:dyDescent="0.4">
      <c r="A23" s="36" t="s">
        <v>98</v>
      </c>
      <c r="B23" s="15" t="s">
        <v>49</v>
      </c>
      <c r="C23" s="15">
        <v>2</v>
      </c>
      <c r="D23" s="15">
        <v>2</v>
      </c>
    </row>
    <row r="24" spans="1:4" x14ac:dyDescent="0.4">
      <c r="A24" s="36" t="s">
        <v>99</v>
      </c>
      <c r="B24" s="15" t="s">
        <v>50</v>
      </c>
      <c r="C24" s="15">
        <v>2</v>
      </c>
      <c r="D24" s="15">
        <v>2</v>
      </c>
    </row>
    <row r="25" spans="1:4" x14ac:dyDescent="0.4">
      <c r="A25" s="36" t="s">
        <v>100</v>
      </c>
      <c r="B25" s="15" t="s">
        <v>51</v>
      </c>
      <c r="C25" s="15">
        <v>2</v>
      </c>
      <c r="D25" s="15">
        <v>2</v>
      </c>
    </row>
    <row r="26" spans="1:4" x14ac:dyDescent="0.4">
      <c r="A26" s="36" t="s">
        <v>101</v>
      </c>
      <c r="B26" s="15" t="s">
        <v>52</v>
      </c>
      <c r="C26" s="15">
        <v>2</v>
      </c>
    </row>
    <row r="27" spans="1:4" x14ac:dyDescent="0.4">
      <c r="A27" s="36" t="s">
        <v>102</v>
      </c>
      <c r="B27" s="15" t="s">
        <v>53</v>
      </c>
      <c r="C27" s="15">
        <v>3</v>
      </c>
    </row>
    <row r="28" spans="1:4" x14ac:dyDescent="0.4">
      <c r="A28" s="36" t="s">
        <v>103</v>
      </c>
      <c r="B28" s="15" t="s">
        <v>130</v>
      </c>
      <c r="C28" s="15">
        <v>3</v>
      </c>
      <c r="D28" s="15">
        <v>2</v>
      </c>
    </row>
    <row r="29" spans="1:4" x14ac:dyDescent="0.4">
      <c r="A29" s="36" t="s">
        <v>104</v>
      </c>
      <c r="B29" s="15" t="s">
        <v>54</v>
      </c>
      <c r="C29" s="15">
        <v>3</v>
      </c>
      <c r="D29" s="15">
        <v>2</v>
      </c>
    </row>
    <row r="30" spans="1:4" x14ac:dyDescent="0.4">
      <c r="A30" s="36" t="s">
        <v>105</v>
      </c>
      <c r="B30" s="15" t="s">
        <v>55</v>
      </c>
      <c r="C30" s="15">
        <v>5</v>
      </c>
    </row>
    <row r="31" spans="1:4" x14ac:dyDescent="0.4">
      <c r="A31" s="36" t="s">
        <v>106</v>
      </c>
      <c r="B31" s="15" t="s">
        <v>56</v>
      </c>
      <c r="C31" s="15">
        <v>6</v>
      </c>
      <c r="D31" s="15">
        <v>5</v>
      </c>
    </row>
    <row r="32" spans="1:4" x14ac:dyDescent="0.4">
      <c r="A32" s="36" t="s">
        <v>107</v>
      </c>
      <c r="B32" s="15" t="s">
        <v>57</v>
      </c>
      <c r="C32" s="15">
        <v>13</v>
      </c>
    </row>
    <row r="33" spans="1:4" x14ac:dyDescent="0.4">
      <c r="A33" s="36" t="s">
        <v>108</v>
      </c>
      <c r="B33" s="15" t="s">
        <v>58</v>
      </c>
      <c r="C33" s="15">
        <v>13</v>
      </c>
    </row>
    <row r="34" spans="1:4" x14ac:dyDescent="0.4">
      <c r="A34" s="36" t="s">
        <v>109</v>
      </c>
      <c r="B34" s="15" t="s">
        <v>59</v>
      </c>
      <c r="C34" s="15">
        <v>13</v>
      </c>
      <c r="D34" s="15">
        <v>13</v>
      </c>
    </row>
    <row r="35" spans="1:4" x14ac:dyDescent="0.4">
      <c r="A35" s="36" t="s">
        <v>110</v>
      </c>
      <c r="B35" s="15" t="s">
        <v>60</v>
      </c>
      <c r="C35" s="15">
        <v>13</v>
      </c>
      <c r="D35" s="15">
        <v>13</v>
      </c>
    </row>
    <row r="36" spans="1:4" x14ac:dyDescent="0.4">
      <c r="A36" s="36" t="s">
        <v>111</v>
      </c>
      <c r="B36" s="15" t="s">
        <v>61</v>
      </c>
      <c r="C36" s="15">
        <v>26</v>
      </c>
      <c r="D36" s="15">
        <v>26</v>
      </c>
    </row>
    <row r="37" spans="1:4" x14ac:dyDescent="0.4">
      <c r="A37" s="36" t="s">
        <v>112</v>
      </c>
      <c r="B37" s="15" t="s">
        <v>62</v>
      </c>
      <c r="C37" s="15">
        <v>13</v>
      </c>
      <c r="D37" s="15">
        <v>13</v>
      </c>
    </row>
    <row r="38" spans="1:4" x14ac:dyDescent="0.4">
      <c r="A38" s="36" t="s">
        <v>113</v>
      </c>
      <c r="B38" s="15" t="s">
        <v>63</v>
      </c>
      <c r="C38" s="15">
        <v>13</v>
      </c>
      <c r="D38" s="15">
        <v>13</v>
      </c>
    </row>
    <row r="39" spans="1:4" x14ac:dyDescent="0.4">
      <c r="A39" s="36" t="s">
        <v>114</v>
      </c>
      <c r="B39" s="15" t="s">
        <v>64</v>
      </c>
      <c r="C39" s="15">
        <v>13</v>
      </c>
      <c r="D39" s="15">
        <v>13</v>
      </c>
    </row>
    <row r="40" spans="1:4" x14ac:dyDescent="0.4">
      <c r="A40" s="36" t="s">
        <v>115</v>
      </c>
      <c r="B40" s="15" t="s">
        <v>65</v>
      </c>
      <c r="C40" s="15">
        <v>13</v>
      </c>
      <c r="D40" s="15">
        <v>13</v>
      </c>
    </row>
    <row r="41" spans="1:4" x14ac:dyDescent="0.4">
      <c r="A41" s="36" t="s">
        <v>116</v>
      </c>
      <c r="B41" s="15" t="s">
        <v>66</v>
      </c>
      <c r="C41" s="15">
        <v>13</v>
      </c>
    </row>
    <row r="42" spans="1:4" x14ac:dyDescent="0.4">
      <c r="A42" s="36" t="s">
        <v>117</v>
      </c>
      <c r="B42" s="15" t="s">
        <v>67</v>
      </c>
      <c r="C42" s="15">
        <v>13</v>
      </c>
    </row>
    <row r="43" spans="1:4" x14ac:dyDescent="0.4">
      <c r="A43" s="36" t="s">
        <v>118</v>
      </c>
      <c r="B43" s="15" t="s">
        <v>68</v>
      </c>
      <c r="C43" s="15">
        <v>13</v>
      </c>
    </row>
    <row r="44" spans="1:4" x14ac:dyDescent="0.4">
      <c r="A44" s="36" t="s">
        <v>119</v>
      </c>
      <c r="B44" s="15" t="s">
        <v>69</v>
      </c>
      <c r="C44" s="15">
        <v>13</v>
      </c>
    </row>
    <row r="45" spans="1:4" x14ac:dyDescent="0.4">
      <c r="A45" s="36" t="s">
        <v>120</v>
      </c>
      <c r="B45" s="15" t="s">
        <v>70</v>
      </c>
      <c r="C45" s="15">
        <v>26</v>
      </c>
    </row>
    <row r="46" spans="1:4" x14ac:dyDescent="0.4">
      <c r="A46" s="36" t="s">
        <v>121</v>
      </c>
      <c r="B46" s="15" t="s">
        <v>71</v>
      </c>
      <c r="C46" s="15">
        <v>26</v>
      </c>
    </row>
    <row r="47" spans="1:4" x14ac:dyDescent="0.4">
      <c r="A47" s="36" t="s">
        <v>122</v>
      </c>
      <c r="B47" s="15" t="s">
        <v>72</v>
      </c>
      <c r="C47" s="15">
        <v>26</v>
      </c>
    </row>
    <row r="48" spans="1:4" x14ac:dyDescent="0.4">
      <c r="A48" s="36" t="s">
        <v>123</v>
      </c>
      <c r="B48" s="15" t="s">
        <v>73</v>
      </c>
      <c r="C48" s="15">
        <v>13</v>
      </c>
    </row>
    <row r="49" spans="1:4" x14ac:dyDescent="0.4">
      <c r="A49" s="36" t="s">
        <v>124</v>
      </c>
      <c r="B49" s="15" t="s">
        <v>74</v>
      </c>
      <c r="C49" s="15">
        <v>13</v>
      </c>
    </row>
    <row r="50" spans="1:4" x14ac:dyDescent="0.4">
      <c r="A50" s="36" t="s">
        <v>125</v>
      </c>
      <c r="B50" s="15" t="s">
        <v>75</v>
      </c>
      <c r="C50" s="15">
        <v>13</v>
      </c>
    </row>
    <row r="51" spans="1:4" x14ac:dyDescent="0.4">
      <c r="A51" s="36" t="s">
        <v>126</v>
      </c>
      <c r="B51" s="15" t="s">
        <v>76</v>
      </c>
      <c r="C51" s="15">
        <v>13</v>
      </c>
    </row>
    <row r="52" spans="1:4" x14ac:dyDescent="0.4">
      <c r="A52" s="36" t="s">
        <v>134</v>
      </c>
      <c r="B52" s="15" t="s">
        <v>135</v>
      </c>
      <c r="C52" s="15">
        <v>2</v>
      </c>
    </row>
    <row r="53" spans="1:4" x14ac:dyDescent="0.4">
      <c r="A53" s="36" t="s">
        <v>136</v>
      </c>
      <c r="B53" s="15" t="s">
        <v>137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Sheet1</vt:lpstr>
      <vt:lpstr>Sheet2</vt:lpstr>
      <vt:lpstr>Sheet3</vt:lpstr>
      <vt:lpstr>Sheet4</vt:lpstr>
      <vt:lpstr>Sheet5</vt:lpstr>
      <vt:lpstr>Sheet6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2019-05-20T15:50:37Z</dcterms:modified>
</cp:coreProperties>
</file>