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70BD3512-32F8-48D9-A29D-D6630E07580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V10" i="19" s="1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/>
  <c r="T6" i="19"/>
  <c r="O6" i="19"/>
  <c r="J6" i="19"/>
  <c r="D6" i="19"/>
  <c r="C6" i="19"/>
  <c r="B6" i="19"/>
  <c r="A6" i="19" s="1"/>
  <c r="D5" i="19"/>
  <c r="C5" i="19"/>
  <c r="B5" i="19"/>
  <c r="A5" i="19"/>
  <c r="T4" i="19"/>
  <c r="T5" i="19" s="1"/>
  <c r="O4" i="19"/>
  <c r="J4" i="19"/>
  <c r="U4" i="19" s="1"/>
  <c r="W3" i="19"/>
  <c r="V3" i="19"/>
  <c r="U3" i="19"/>
  <c r="W2" i="19"/>
  <c r="V2" i="19"/>
  <c r="U2" i="19"/>
  <c r="BO1" i="19"/>
  <c r="AT1" i="19"/>
  <c r="Y1" i="19"/>
  <c r="V11" i="19" l="1"/>
  <c r="W11" i="19"/>
  <c r="W10" i="19"/>
  <c r="V9" i="19"/>
  <c r="W9" i="19"/>
  <c r="V7" i="19"/>
  <c r="W7" i="19"/>
  <c r="V6" i="19"/>
  <c r="U6" i="19"/>
  <c r="W6" i="19"/>
  <c r="V4" i="19"/>
  <c r="W4" i="19"/>
  <c r="J5" i="19"/>
  <c r="O5" i="19"/>
  <c r="V5" i="19" l="1"/>
  <c r="W5" i="19"/>
  <c r="U5" i="19"/>
</calcChain>
</file>

<file path=xl/sharedStrings.xml><?xml version="1.0" encoding="utf-8"?>
<sst xmlns="http://schemas.openxmlformats.org/spreadsheetml/2006/main" count="540" uniqueCount="155">
  <si>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</si>
  <si>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</si>
  <si>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</si>
  <si>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</si>
  <si>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</si>
  <si>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</si>
  <si>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</si>
  <si>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</si>
  <si>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</si>
  <si>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</si>
  <si>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</si>
  <si>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</si>
  <si>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</si>
  <si>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</si>
  <si>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</si>
  <si>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</si>
  <si>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</si>
  <si>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</si>
  <si>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</si>
  <si>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</si>
  <si>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</si>
  <si>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</si>
  <si>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</si>
  <si>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</si>
  <si>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</si>
  <si>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</si>
  <si>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</si>
  <si>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</si>
  <si>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</si>
  <si>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</si>
  <si>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</si>
  <si>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</si>
  <si>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</si>
  <si>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</si>
  <si>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</si>
  <si>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</si>
  <si>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</si>
  <si>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</si>
  <si>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</si>
  <si>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</si>
  <si>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</si>
  <si>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</si>
  <si>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</si>
  <si>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</si>
  <si>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</si>
  <si>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</si>
  <si>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</si>
  <si>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</si>
  <si>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</si>
  <si>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</si>
  <si>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</si>
  <si>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</si>
  <si>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</si>
  <si>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</si>
  <si>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</si>
  <si>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</si>
  <si>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</si>
  <si>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</si>
  <si>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</si>
  <si>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</si>
  <si>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</si>
  <si>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</si>
  <si>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</si>
  <si>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</si>
  <si>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</si>
  <si>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</si>
  <si>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</si>
  <si>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</si>
  <si>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</si>
  <si>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</si>
  <si>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</si>
  <si>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</si>
  <si>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</si>
  <si>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</si>
  <si>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</si>
  <si>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</si>
  <si>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</si>
  <si>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</si>
  <si>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</si>
  <si>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</si>
  <si>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</si>
  <si>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</si>
  <si>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</si>
  <si>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</si>
  <si>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</si>
  <si>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</si>
  <si>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</si>
  <si>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</si>
  <si>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</si>
  <si>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</si>
  <si>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</si>
  <si>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</si>
  <si>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</si>
  <si>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</si>
  <si>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</si>
  <si>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</si>
  <si>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</si>
  <si>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</si>
  <si>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</si>
  <si>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</si>
  <si>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</si>
  <si>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</si>
  <si>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</si>
  <si>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</si>
  <si>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</si>
  <si>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</si>
  <si>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</si>
  <si>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</si>
  <si>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</si>
  <si>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</si>
  <si>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</si>
  <si>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</si>
  <si>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</si>
  <si>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</si>
  <si>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</si>
  <si>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</si>
  <si>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</si>
  <si>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</si>
  <si>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</si>
  <si>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</si>
  <si>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</si>
  <si>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</si>
  <si>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</si>
  <si>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</si>
  <si>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</si>
  <si>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</si>
  <si>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</si>
  <si>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</si>
  <si>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</si>
  <si>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</si>
  <si>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</si>
  <si>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</si>
  <si>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</si>
  <si>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</si>
  <si>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</si>
  <si>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</si>
  <si>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</si>
  <si>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</si>
  <si>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</si>
  <si>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</si>
  <si>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ただ</t>
  </si>
  <si>
    <t>ただ</t>
    <phoneticPr fontId="1"/>
  </si>
  <si>
    <t>だいち</t>
  </si>
  <si>
    <t>だいち</t>
    <phoneticPr fontId="1"/>
  </si>
  <si>
    <t>ツモ支払</t>
  </si>
  <si>
    <t>ツモ</t>
  </si>
  <si>
    <t>52</t>
  </si>
  <si>
    <t>*</t>
  </si>
  <si>
    <t>01</t>
  </si>
  <si>
    <t>02</t>
  </si>
  <si>
    <t>ロン</t>
  </si>
  <si>
    <t>放銃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</si>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</sst>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139</v>
      </c>
      <c r="G1" s="67"/>
      <c r="H1" s="67"/>
      <c r="I1" s="68"/>
      <c r="J1" s="69"/>
      <c r="K1" s="66" t="s">
        <v>141</v>
      </c>
      <c r="L1" s="67"/>
      <c r="M1" s="67"/>
      <c r="N1" s="68"/>
      <c r="O1" s="69"/>
      <c r="P1" s="66" t="s">
        <v>143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りくと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ただ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だいち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-2500</v>
      </c>
      <c r="H4" s="9"/>
      <c r="I4" s="48">
        <v>0</v>
      </c>
      <c r="J4" s="21">
        <f>IF(COUNTA($F4,$K4,$P4)&gt;0,J3+SUM(G4:I4),"")</f>
        <v>32500</v>
      </c>
      <c r="K4" s="8" t="s">
        <v>144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145</v>
      </c>
      <c r="Q4" s="9">
        <v>4000</v>
      </c>
      <c r="R4" s="9"/>
      <c r="S4" s="48">
        <v>0</v>
      </c>
      <c r="T4" s="21">
        <f>IF(COUNTA($F4,$K4,$P4)&gt;0,T3+SUM(Q4:S4),"")</f>
        <v>39000</v>
      </c>
      <c r="U4" s="53">
        <f>IF($J4="","",ROUND(($J4-$J$3)/1000,1)+(_xlfn.RANK.AVG($J4,($J4,$O4,$T4),1)-2)*20)</f>
        <v>-22.5</v>
      </c>
      <c r="V4" s="54">
        <f>IF($O4="","",ROUND(($O4-$O$3)/1000,1)+(_xlfn.RANK.AVG($O4,($J4,$O4,$T4),1)-2)*20)</f>
        <v>-1.5</v>
      </c>
      <c r="W4" s="55">
        <f>IF($T4="","",ROUND(($T4-$T$3)/1000,1)+(_xlfn.RANK.AVG($T4,($J4,$O4,$T4),1)-2)*20)</f>
        <v>24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30</v>
      </c>
      <c r="BU4" s="40" t="s">
        <v>82</v>
      </c>
      <c r="BV4" s="41" t="s">
        <v>79</v>
      </c>
      <c r="BW4" s="41" t="s">
        <v>146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140</v>
      </c>
      <c r="F5" s="8" t="s">
        <v>144</v>
      </c>
      <c r="G5" s="9">
        <v>-4500</v>
      </c>
      <c r="H5" s="9"/>
      <c r="I5" s="48">
        <v>0</v>
      </c>
      <c r="J5" s="21">
        <f t="shared" ref="J5:J30" si="2">IF(COUNTA($F5,$K5,$P5)&gt;0,J4+SUM(G5:I5),"")</f>
        <v>28000</v>
      </c>
      <c r="K5" s="8" t="s">
        <v>144</v>
      </c>
      <c r="L5" s="9">
        <v>-7500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145</v>
      </c>
      <c r="Q5" s="9">
        <v>12000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IF($J5="","",ROUND(($J5-$J$3)/1000,1)+(_xlfn.RANK.AVG($J5,($J5,$O5,$T5),1)-2)*20)</f>
        <v>-7</v>
      </c>
      <c r="V5" s="54">
        <f>IF($O5="","",ROUND(($O5-$O$3)/1000,1)+(_xlfn.RANK.AVG($O5,($J5,$O5,$T5),1)-2)*20)</f>
        <v>-29</v>
      </c>
      <c r="W5" s="55">
        <f>IF($T5="","",ROUND(($T5-$T$3)/1000,1)+(_xlfn.RANK.AVG($T5,($J5,$O5,$T5),1)-2)*20)</f>
        <v>36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7</v>
      </c>
      <c r="BT5" s="30" t="s">
        <v>147</v>
      </c>
      <c r="BU5" s="40" t="s">
        <v>148</v>
      </c>
      <c r="BV5" s="41" t="s">
        <v>82</v>
      </c>
      <c r="BW5" s="41" t="s">
        <v>149</v>
      </c>
      <c r="BX5" s="41" t="s">
        <v>79</v>
      </c>
      <c r="BY5" s="41" t="s">
        <v>79</v>
      </c>
      <c r="BZ5" s="41" t="s">
        <v>80</v>
      </c>
      <c r="CA5" s="41" t="s">
        <v>146</v>
      </c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142</v>
      </c>
      <c r="F6" s="8" t="s">
        <v>144</v>
      </c>
      <c r="G6" s="9">
        <v>-2000</v>
      </c>
      <c r="H6" s="9"/>
      <c r="I6" s="48">
        <v>0</v>
      </c>
      <c r="J6" s="21">
        <f t="shared" si="2"/>
        <v>26000</v>
      </c>
      <c r="K6" s="8" t="s">
        <v>145</v>
      </c>
      <c r="L6" s="9">
        <v>5300</v>
      </c>
      <c r="M6" s="9">
        <v>1000</v>
      </c>
      <c r="N6" s="48">
        <v>0</v>
      </c>
      <c r="O6" s="21">
        <f t="shared" si="3"/>
        <v>32300</v>
      </c>
      <c r="P6" s="8" t="s">
        <v>144</v>
      </c>
      <c r="Q6" s="9">
        <v>-3300</v>
      </c>
      <c r="R6" s="9">
        <v>-1000</v>
      </c>
      <c r="S6" s="48">
        <v>0</v>
      </c>
      <c r="T6" s="21">
        <f t="shared" si="4"/>
        <v>46700</v>
      </c>
      <c r="U6" s="53">
        <f>IF($J6="","",ROUND(($J6-$J$3)/1000,1)+(_xlfn.RANK.AVG($J6,($J6,$O6,$T6),1)-2)*20)</f>
        <v>-29</v>
      </c>
      <c r="V6" s="54">
        <f>IF($O6="","",ROUND(($O6-$O$3)/1000,1)+(_xlfn.RANK.AVG($O6,($J6,$O6,$T6),1)-2)*20)</f>
        <v>-2.7</v>
      </c>
      <c r="W6" s="55">
        <f>IF($T6="","",ROUND(($T6-$T$3)/1000,1)+(_xlfn.RANK.AVG($T6,($J6,$O6,$T6),1)-2)*20)</f>
        <v>31.7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20</v>
      </c>
      <c r="AZ6" s="40" t="s">
        <v>82</v>
      </c>
      <c r="BA6" s="41" t="s">
        <v>83</v>
      </c>
      <c r="BB6" s="41" t="s">
        <v>79</v>
      </c>
      <c r="BC6" s="41" t="s">
        <v>79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138</v>
      </c>
      <c r="F7" s="8" t="s">
        <v>150</v>
      </c>
      <c r="G7" s="9">
        <v>11600</v>
      </c>
      <c r="H7" s="9"/>
      <c r="I7" s="48">
        <v>0</v>
      </c>
      <c r="J7" s="21">
        <f t="shared" si="2"/>
        <v>37600</v>
      </c>
      <c r="K7" s="8" t="s">
        <v>151</v>
      </c>
      <c r="L7" s="9">
        <v>-11600</v>
      </c>
      <c r="M7" s="9"/>
      <c r="N7" s="48">
        <v>0</v>
      </c>
      <c r="O7" s="21">
        <f t="shared" si="3"/>
        <v>20700</v>
      </c>
      <c r="P7" s="8"/>
      <c r="Q7" s="9"/>
      <c r="R7" s="9"/>
      <c r="S7" s="48"/>
      <c r="T7" s="21">
        <f t="shared" si="4"/>
        <v>46700</v>
      </c>
      <c r="U7" s="53">
        <f>IF($J7="","",ROUND(($J7-$J$3)/1000,1)+(_xlfn.RANK.AVG($J7,($J7,$O7,$T7),1)-2)*20)</f>
        <v>2.6</v>
      </c>
      <c r="V7" s="54">
        <f>IF($O7="","",ROUND(($O7-$O$3)/1000,1)+(_xlfn.RANK.AVG($O7,($J7,$O7,$T7),1)-2)*20)</f>
        <v>-34.299999999999997</v>
      </c>
      <c r="W7" s="55">
        <f>IF($T7="","",ROUND(($T7-$T$3)/1000,1)+(_xlfn.RANK.AVG($T7,($J7,$O7,$T7),1)-2)*20)</f>
        <v>31.7</v>
      </c>
      <c r="Y7" s="8"/>
      <c r="Z7" s="34"/>
      <c r="AA7" s="26">
        <v>1</v>
      </c>
      <c r="AB7" s="26"/>
      <c r="AC7" s="26">
        <v>4</v>
      </c>
      <c r="AD7" s="30">
        <v>30</v>
      </c>
      <c r="AE7" s="40" t="s">
        <v>148</v>
      </c>
      <c r="AF7" s="41" t="s">
        <v>83</v>
      </c>
      <c r="AG7" s="41" t="s">
        <v>79</v>
      </c>
      <c r="AH7" s="41" t="s">
        <v>80</v>
      </c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138</v>
      </c>
      <c r="F8" s="8" t="s">
        <v>145</v>
      </c>
      <c r="G8" s="9">
        <v>24000</v>
      </c>
      <c r="H8" s="9">
        <v>1000</v>
      </c>
      <c r="I8" s="48">
        <v>1000</v>
      </c>
      <c r="J8" s="21">
        <f t="shared" si="2"/>
        <v>63600</v>
      </c>
      <c r="K8" s="8" t="s">
        <v>144</v>
      </c>
      <c r="L8" s="9">
        <v>-12000</v>
      </c>
      <c r="M8" s="9">
        <v>-1000</v>
      </c>
      <c r="N8" s="48">
        <v>-500</v>
      </c>
      <c r="O8" s="21">
        <f t="shared" si="3"/>
        <v>7200</v>
      </c>
      <c r="P8" s="8" t="s">
        <v>144</v>
      </c>
      <c r="Q8" s="9">
        <v>-12000</v>
      </c>
      <c r="R8" s="9"/>
      <c r="S8" s="48">
        <v>-500</v>
      </c>
      <c r="T8" s="21">
        <f t="shared" si="4"/>
        <v>34200</v>
      </c>
      <c r="U8" s="53">
        <f>IF($J8="","",ROUND(($J8-$J$3)/1000,1)+(_xlfn.RANK.AVG($J8,($J8,$O8,$T8),1)-2)*20)</f>
        <v>48.6</v>
      </c>
      <c r="V8" s="54">
        <f>IF($O8="","",ROUND(($O8-$O$3)/1000,1)+(_xlfn.RANK.AVG($O8,($J8,$O8,$T8),1)-2)*20)</f>
        <v>-47.8</v>
      </c>
      <c r="W8" s="55">
        <f>IF($T8="","",ROUND(($T8-$T$3)/1000,1)+(_xlfn.RANK.AVG($T8,($J8,$O8,$T8),1)-2)*20)</f>
        <v>-0.8</v>
      </c>
      <c r="Y8" s="8"/>
      <c r="Z8" s="34"/>
      <c r="AA8" s="26"/>
      <c r="AB8" s="26"/>
      <c r="AC8" s="26">
        <v>8</v>
      </c>
      <c r="AD8" s="30" t="s">
        <v>147</v>
      </c>
      <c r="AE8" s="40" t="s">
        <v>106</v>
      </c>
      <c r="AF8" s="41" t="s">
        <v>82</v>
      </c>
      <c r="AG8" s="41" t="s">
        <v>146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">
        <v>138</v>
      </c>
      <c r="F9" s="8" t="s">
        <v>154</v>
      </c>
      <c r="G9" s="9">
        <v>-1500</v>
      </c>
      <c r="H9" s="9"/>
      <c r="I9" s="48"/>
      <c r="J9" s="21">
        <f t="shared" si="2"/>
        <v>62100</v>
      </c>
      <c r="K9" s="8" t="s">
        <v>154</v>
      </c>
      <c r="L9" s="9">
        <v>3000</v>
      </c>
      <c r="M9" s="9"/>
      <c r="N9" s="48"/>
      <c r="O9" s="21">
        <f t="shared" si="3"/>
        <v>10200</v>
      </c>
      <c r="P9" s="8" t="s">
        <v>154</v>
      </c>
      <c r="Q9" s="9">
        <v>-1500</v>
      </c>
      <c r="R9" s="9"/>
      <c r="S9" s="48"/>
      <c r="T9" s="21">
        <f t="shared" si="4"/>
        <v>32700</v>
      </c>
      <c r="U9" s="53">
        <f>IF($J9="","",ROUND(($J9-$J$3)/1000,1)+(_xlfn.RANK.AVG($J9,($J9,$O9,$T9),1)-2)*20)</f>
        <v>47.1</v>
      </c>
      <c r="V9" s="54">
        <f>IF($O9="","",ROUND(($O9-$O$3)/1000,1)+(_xlfn.RANK.AVG($O9,($J9,$O9,$T9),1)-2)*20)</f>
        <v>-44.8</v>
      </c>
      <c r="W9" s="55">
        <f>IF($T9="","",ROUND(($T9-$T$3)/1000,1)+(_xlfn.RANK.AVG($T9,($J9,$O9,$T9),1)-2)*20)</f>
        <v>-2.2999999999999998</v>
      </c>
      <c r="Y9" s="8" t="s">
        <v>152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153</v>
      </c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152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3</v>
      </c>
      <c r="D10" s="18">
        <f t="shared" si="1"/>
        <v>0</v>
      </c>
      <c r="E10" s="4" t="s">
        <v>140</v>
      </c>
      <c r="F10" s="8" t="s">
        <v>154</v>
      </c>
      <c r="G10" s="9">
        <v>-1500</v>
      </c>
      <c r="H10" s="9"/>
      <c r="I10" s="48"/>
      <c r="J10" s="21">
        <f t="shared" si="2"/>
        <v>60600</v>
      </c>
      <c r="K10" s="8" t="s">
        <v>154</v>
      </c>
      <c r="L10" s="9">
        <v>-1500</v>
      </c>
      <c r="M10" s="9"/>
      <c r="N10" s="48"/>
      <c r="O10" s="21">
        <f t="shared" si="3"/>
        <v>8700</v>
      </c>
      <c r="P10" s="8" t="s">
        <v>154</v>
      </c>
      <c r="Q10" s="9">
        <v>3000</v>
      </c>
      <c r="R10" s="9"/>
      <c r="S10" s="48"/>
      <c r="T10" s="21">
        <f t="shared" si="4"/>
        <v>35700</v>
      </c>
      <c r="U10" s="53">
        <f>IF($J10="","",ROUND(($J10-$J$3)/1000,1)+(_xlfn.RANK.AVG($J10,($J10,$O10,$T10),1)-2)*20)</f>
        <v>45.6</v>
      </c>
      <c r="V10" s="54">
        <f>IF($O10="","",ROUND(($O10-$O$3)/1000,1)+(_xlfn.RANK.AVG($O10,($J10,$O10,$T10),1)-2)*20)</f>
        <v>-46.3</v>
      </c>
      <c r="W10" s="55">
        <f>IF($T10="","",ROUND(($T10-$T$3)/1000,1)+(_xlfn.RANK.AVG($T10,($J10,$O10,$T10),1)-2)*20)</f>
        <v>0.7</v>
      </c>
      <c r="Y10" s="8" t="s">
        <v>152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152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153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4</v>
      </c>
      <c r="D11" s="18">
        <f t="shared" si="1"/>
        <v>0</v>
      </c>
      <c r="E11" s="4" t="s">
        <v>142</v>
      </c>
      <c r="F11" s="8" t="s">
        <v>144</v>
      </c>
      <c r="G11" s="9">
        <v>-1100</v>
      </c>
      <c r="H11" s="9"/>
      <c r="I11" s="48">
        <v>-2000</v>
      </c>
      <c r="J11" s="21">
        <f t="shared" si="2"/>
        <v>57500</v>
      </c>
      <c r="K11" s="8" t="s">
        <v>145</v>
      </c>
      <c r="L11" s="9">
        <v>2800</v>
      </c>
      <c r="M11" s="9"/>
      <c r="N11" s="48">
        <v>4000</v>
      </c>
      <c r="O11" s="21">
        <f t="shared" si="3"/>
        <v>15500</v>
      </c>
      <c r="P11" s="8" t="s">
        <v>144</v>
      </c>
      <c r="Q11" s="9">
        <v>-1700</v>
      </c>
      <c r="R11" s="9"/>
      <c r="S11" s="48">
        <v>-2000</v>
      </c>
      <c r="T11" s="21">
        <f t="shared" si="4"/>
        <v>32000</v>
      </c>
      <c r="U11" s="53">
        <f>IF($J11="","",ROUND(($J11-$J$3)/1000,1)+(_xlfn.RANK.AVG($J11,($J11,$O11,$T11),1)-2)*20)</f>
        <v>42.5</v>
      </c>
      <c r="V11" s="54">
        <f>IF($O11="","",ROUND(($O11-$O$3)/1000,1)+(_xlfn.RANK.AVG($O11,($J11,$O11,$T11),1)-2)*20)</f>
        <v>-39.5</v>
      </c>
      <c r="W11" s="55">
        <f>IF($T11="","",ROUND(($T11-$T$3)/1000,1)+(_xlfn.RANK.AVG($T11,($J11,$O11,$T11),1)-2)*20)</f>
        <v>-3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3</v>
      </c>
      <c r="AY11" s="30">
        <v>20</v>
      </c>
      <c r="AZ11" s="40" t="s">
        <v>82</v>
      </c>
      <c r="BA11" s="41" t="s">
        <v>83</v>
      </c>
      <c r="BB11" s="41" t="s">
        <v>84</v>
      </c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2019-05-07T11:39:12Z</dcterms:modified>
</cp:coreProperties>
</file>