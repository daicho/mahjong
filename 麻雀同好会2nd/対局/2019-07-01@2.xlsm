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50D3895E-B9A4-426D-879B-A7CCD9386F22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 s="1"/>
  <c r="T17" i="20"/>
  <c r="O17" i="20"/>
  <c r="V17" i="20" s="1"/>
  <c r="J17" i="20"/>
  <c r="D17" i="20"/>
  <c r="C17" i="20"/>
  <c r="B17" i="20"/>
  <c r="A17" i="20"/>
  <c r="T16" i="20"/>
  <c r="O16" i="20"/>
  <c r="J16" i="20"/>
  <c r="D16" i="20"/>
  <c r="C16" i="20"/>
  <c r="B16" i="20"/>
  <c r="A16" i="20"/>
  <c r="T15" i="20"/>
  <c r="W15" i="20" s="1"/>
  <c r="O15" i="20"/>
  <c r="J15" i="20"/>
  <c r="D15" i="20"/>
  <c r="C15" i="20"/>
  <c r="B15" i="20"/>
  <c r="A15" i="20"/>
  <c r="T14" i="20"/>
  <c r="O14" i="20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O12" i="20"/>
  <c r="V12" i="20" s="1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 s="1"/>
  <c r="D10" i="20"/>
  <c r="C10" i="20"/>
  <c r="D9" i="20"/>
  <c r="C9" i="20"/>
  <c r="D8" i="20"/>
  <c r="C8" i="20"/>
  <c r="D7" i="20"/>
  <c r="B7" i="20"/>
  <c r="B8" i="20" s="1"/>
  <c r="D6" i="20"/>
  <c r="C6" i="20"/>
  <c r="C7" i="20" s="1"/>
  <c r="B6" i="20"/>
  <c r="A6" i="20" s="1"/>
  <c r="A7" i="20" s="1"/>
  <c r="O5" i="20"/>
  <c r="J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7" i="20" l="1"/>
  <c r="W17" i="20"/>
  <c r="V16" i="20"/>
  <c r="U16" i="20"/>
  <c r="W16" i="20"/>
  <c r="U15" i="20"/>
  <c r="V15" i="20"/>
  <c r="V14" i="20"/>
  <c r="W14" i="20"/>
  <c r="W13" i="20"/>
  <c r="V13" i="20"/>
  <c r="W12" i="20"/>
  <c r="W11" i="20"/>
  <c r="V11" i="20"/>
  <c r="V4" i="20"/>
  <c r="U4" i="20"/>
  <c r="B9" i="20"/>
  <c r="A9" i="20" s="1"/>
  <c r="T5" i="20"/>
  <c r="V5" i="20" s="1"/>
  <c r="A8" i="20"/>
  <c r="J6" i="20"/>
  <c r="W4" i="20"/>
  <c r="O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5" i="20" l="1"/>
  <c r="W5" i="20"/>
  <c r="T6" i="20"/>
  <c r="U6" i="20"/>
  <c r="J7" i="20"/>
  <c r="B10" i="20"/>
  <c r="A10" i="20" s="1"/>
  <c r="V6" i="20"/>
  <c r="O7" i="20"/>
  <c r="V10" i="19"/>
  <c r="W10" i="19"/>
  <c r="W9" i="19"/>
  <c r="U9" i="19"/>
  <c r="V9" i="19"/>
  <c r="U8" i="19"/>
  <c r="V8" i="19"/>
  <c r="W8" i="19"/>
  <c r="V7" i="19"/>
  <c r="W7" i="19"/>
  <c r="U6" i="19"/>
  <c r="V6" i="19"/>
  <c r="W6" i="19"/>
  <c r="U4" i="19"/>
  <c r="V4" i="19"/>
  <c r="W4" i="19"/>
  <c r="J5" i="19"/>
  <c r="O5" i="19"/>
  <c r="V5" i="19" s="1"/>
  <c r="J8" i="20" l="1"/>
  <c r="W6" i="20"/>
  <c r="T7" i="20"/>
  <c r="U7" i="20" s="1"/>
  <c r="O8" i="20"/>
  <c r="W5" i="19"/>
  <c r="U5" i="19"/>
  <c r="V7" i="20" l="1"/>
  <c r="O9" i="20"/>
  <c r="W7" i="20"/>
  <c r="T8" i="20"/>
  <c r="J9" i="20"/>
  <c r="V8" i="20" l="1"/>
  <c r="O10" i="20"/>
  <c r="W8" i="20"/>
  <c r="T9" i="20"/>
  <c r="U9" i="20"/>
  <c r="J10" i="20"/>
  <c r="U8" i="20"/>
  <c r="W9" i="20" l="1"/>
  <c r="T10" i="20"/>
  <c r="V10" i="20"/>
  <c r="V9" i="20"/>
  <c r="W10" i="20" l="1"/>
  <c r="U10" i="20"/>
</calcChain>
</file>

<file path=xl/sharedStrings.xml><?xml version="1.0" encoding="utf-8"?>
<sst xmlns="http://schemas.openxmlformats.org/spreadsheetml/2006/main" count="722" uniqueCount="206">
  <si>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</si>
  <si>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</si>
  <si>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</si>
  <si>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</si>
  <si>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</si>
  <si>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</si>
  <si>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</si>
  <si>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</si>
  <si>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</si>
  <si>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</si>
  <si>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</si>
  <si>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</si>
  <si>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</si>
  <si>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</si>
  <si>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</si>
  <si>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</si>
  <si>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</si>
  <si>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</si>
  <si>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</si>
  <si>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</si>
  <si>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</si>
  <si>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</si>
  <si>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</si>
  <si>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</si>
  <si>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</si>
  <si>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</si>
  <si>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</si>
  <si>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</si>
  <si>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</si>
  <si>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</si>
  <si>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</si>
  <si>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</si>
  <si>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</si>
  <si>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</si>
  <si>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</si>
  <si>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</si>
  <si>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</si>
  <si>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</si>
  <si>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</si>
  <si>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</si>
  <si>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</si>
  <si>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</si>
  <si>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</si>
  <si>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</si>
  <si>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</si>
  <si>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</si>
  <si>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</si>
  <si>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</si>
  <si>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</si>
  <si>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</si>
  <si>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</si>
  <si>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</si>
  <si>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</si>
  <si>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</si>
  <si>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</si>
  <si>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</si>
  <si>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</si>
  <si>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</si>
  <si>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</si>
  <si>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</si>
  <si>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</si>
  <si>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</si>
  <si>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</si>
  <si>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</si>
  <si>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</si>
  <si>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</si>
  <si>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</si>
  <si>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</si>
  <si>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</si>
  <si>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</si>
  <si>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</si>
  <si>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</si>
  <si>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</si>
  <si>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</si>
  <si>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</si>
  <si>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</si>
  <si>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</si>
  <si>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</si>
  <si>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</si>
  <si>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</si>
  <si>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</si>
  <si>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</si>
  <si>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</si>
  <si>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</si>
  <si>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</si>
  <si>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</si>
  <si>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</si>
  <si>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</si>
  <si>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</si>
  <si>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</si>
  <si>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</si>
  <si>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</si>
  <si>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</si>
  <si>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</si>
  <si>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</si>
  <si>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</si>
  <si>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</si>
  <si>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</si>
  <si>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</si>
  <si>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</si>
  <si>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</si>
  <si>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</si>
  <si>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</si>
  <si>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</si>
  <si>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</si>
  <si>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</si>
  <si>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</si>
  <si>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</si>
  <si>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</si>
  <si>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</si>
  <si>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</si>
  <si>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</si>
  <si>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</si>
  <si>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</si>
  <si>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</si>
  <si>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</si>
  <si>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</si>
  <si>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</si>
  <si>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</si>
  <si>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</si>
  <si>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</si>
  <si>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</si>
  <si>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</si>
  <si>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</si>
  <si>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</si>
  <si>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</si>
  <si>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</si>
  <si>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</si>
  <si>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</si>
  <si>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</si>
  <si>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</si>
  <si>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</si>
  <si>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</si>
  <si>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</si>
  <si>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</si>
  <si>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</si>
  <si>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</si>
  <si>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</si>
  <si>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</si>
  <si>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</si>
  <si>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</si>
  <si>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</si>
  <si>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</si>
  <si>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</si>
  <si>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</si>
  <si>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</si>
  <si>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</si>
  <si>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</si>
  <si>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</si>
  <si>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</si>
  <si>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</si>
  <si>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</si>
  <si>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</si>
  <si>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</si>
  <si>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</si>
  <si>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</si>
  <si>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</si>
  <si>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</si>
  <si>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</si>
  <si>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</si>
  <si>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</si>
  <si>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</si>
  <si>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</si>
  <si>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</si>
  <si>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</si>
  <si>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</si>
  <si>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</si>
  <si>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</si>
  <si>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</si>
  <si>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</si>
  <si>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</si>
  <si>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</si>
  <si>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</si>
  <si>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</si>
  <si>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</si>
  <si>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</si>
  <si>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</si>
  <si>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</si>
  <si>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</si>
  <si>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</si>
  <si>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</si>
  <si>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</si>
  <si>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</si>
  <si>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</si>
  <si>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</si>
  <si>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</si>
  <si>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</si>
  <si>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</si>
  <si>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</si>
  <si>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</si>
  <si>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</si>
  <si>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</si>
  <si>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</si>
  <si>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まっつん</t>
  </si>
  <si>
    <t>ただ</t>
  </si>
  <si>
    <t>ツモ支払</t>
  </si>
  <si>
    <t>ツモ</t>
  </si>
  <si>
    <t>*</t>
  </si>
  <si>
    <t>52</t>
  </si>
  <si>
    <t>01</t>
  </si>
  <si>
    <t>02</t>
  </si>
  <si>
    <t>放銃</t>
  </si>
  <si>
    <t>ロン</t>
  </si>
  <si>
    <t>T</t>
  </si>
  <si>
    <t>流局</t>
    <phoneticPr fontId="1"/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</si>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</sst>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195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196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IF($J4="","",ROUND(($J4-$J$3)/1000,1)+(_xlfn.RANK.AVG($J4,($J4,$O4,$T4),1)-2)*20)</f>
        <v>-25</v>
      </c>
      <c r="V4" s="54">
        <f>IF($O4="","",ROUND(($O4-$O$3)/1000,1)+(_xlfn.RANK.AVG($O4,($J4,$O4,$T4),1)-2)*20)</f>
        <v>-3</v>
      </c>
      <c r="W4" s="55">
        <f>IF($T4="","",ROUND(($T4-$T$3)/1000,1)+(_xlfn.RANK.AVG($T4,($J4,$O4,$T4),1)-2)*20)</f>
        <v>28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197</v>
      </c>
      <c r="BU4" s="40" t="s">
        <v>101</v>
      </c>
      <c r="BV4" s="41" t="s">
        <v>79</v>
      </c>
      <c r="BW4" s="41" t="s">
        <v>79</v>
      </c>
      <c r="BX4" s="41" t="s">
        <v>198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195</v>
      </c>
      <c r="G5" s="9">
        <v>-3000</v>
      </c>
      <c r="H5" s="9"/>
      <c r="I5" s="48">
        <v>0</v>
      </c>
      <c r="J5" s="21">
        <f t="shared" ref="J5:J30" si="2">IF(COUNTA($F5,$K5,$P5)&gt;0,J4+SUM(G5:I5),"")</f>
        <v>27000</v>
      </c>
      <c r="K5" s="8" t="s">
        <v>195</v>
      </c>
      <c r="L5" s="9">
        <v>-5000</v>
      </c>
      <c r="M5" s="9"/>
      <c r="N5" s="48">
        <v>0</v>
      </c>
      <c r="O5" s="21">
        <f t="shared" ref="O5:O30" si="3">IF(COUNTA($F5,$K5,$P5)&gt;0,O4+SUM(L5:N5),"")</f>
        <v>27000</v>
      </c>
      <c r="P5" s="8" t="s">
        <v>196</v>
      </c>
      <c r="Q5" s="9">
        <v>8000</v>
      </c>
      <c r="R5" s="9"/>
      <c r="S5" s="48">
        <v>0</v>
      </c>
      <c r="T5" s="21">
        <f t="shared" ref="T5:T30" si="4">IF(COUNTA($F5,$K5,$P5)&gt;0,T4+SUM(Q5:S5),"")</f>
        <v>51000</v>
      </c>
      <c r="U5" s="53">
        <f>IF($J5="","",ROUND(($J5-$J$3)/1000,1)+(_xlfn.RANK.AVG($J5,($J5,$O5,$T5),1)-2)*20)</f>
        <v>-18</v>
      </c>
      <c r="V5" s="54">
        <f>IF($O5="","",ROUND(($O5-$O$3)/1000,1)+(_xlfn.RANK.AVG($O5,($J5,$O5,$T5),1)-2)*20)</f>
        <v>-18</v>
      </c>
      <c r="W5" s="55">
        <f>IF($T5="","",ROUND(($T5-$T$3)/1000,1)+(_xlfn.RANK.AVG($T5,($J5,$O5,$T5),1)-2)*20)</f>
        <v>36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197</v>
      </c>
      <c r="BU5" s="40" t="s">
        <v>199</v>
      </c>
      <c r="BV5" s="41" t="s">
        <v>82</v>
      </c>
      <c r="BW5" s="41" t="s">
        <v>200</v>
      </c>
      <c r="BX5" s="41" t="s">
        <v>198</v>
      </c>
      <c r="BY5" s="41" t="s">
        <v>86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 t="s">
        <v>195</v>
      </c>
      <c r="G6" s="9">
        <v>-2000</v>
      </c>
      <c r="H6" s="9"/>
      <c r="I6" s="48">
        <v>0</v>
      </c>
      <c r="J6" s="21">
        <f t="shared" si="2"/>
        <v>25000</v>
      </c>
      <c r="K6" s="8" t="s">
        <v>195</v>
      </c>
      <c r="L6" s="9">
        <v>-2000</v>
      </c>
      <c r="M6" s="9">
        <v>-1000</v>
      </c>
      <c r="N6" s="48">
        <v>0</v>
      </c>
      <c r="O6" s="21">
        <f t="shared" si="3"/>
        <v>24000</v>
      </c>
      <c r="P6" s="8" t="s">
        <v>196</v>
      </c>
      <c r="Q6" s="9">
        <v>4000</v>
      </c>
      <c r="R6" s="9">
        <v>1000</v>
      </c>
      <c r="S6" s="48">
        <v>0</v>
      </c>
      <c r="T6" s="21">
        <f t="shared" si="4"/>
        <v>56000</v>
      </c>
      <c r="U6" s="53">
        <f>IF($J6="","",ROUND(($J6-$J$3)/1000,1)+(_xlfn.RANK.AVG($J6,($J6,$O6,$T6),1)-2)*20)</f>
        <v>-10</v>
      </c>
      <c r="V6" s="54">
        <f>IF($O6="","",ROUND(($O6-$O$3)/1000,1)+(_xlfn.RANK.AVG($O6,($J6,$O6,$T6),1)-2)*20)</f>
        <v>-31</v>
      </c>
      <c r="W6" s="55">
        <f>IF($T6="","",ROUND(($T6-$T$3)/1000,1)+(_xlfn.RANK.AVG($T6,($J6,$O6,$T6),1)-2)*20)</f>
        <v>41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20</v>
      </c>
      <c r="BU6" s="40" t="s">
        <v>82</v>
      </c>
      <c r="BV6" s="41" t="s">
        <v>83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194</v>
      </c>
      <c r="F7" s="8" t="s">
        <v>201</v>
      </c>
      <c r="G7" s="9">
        <v>-3200</v>
      </c>
      <c r="H7" s="9"/>
      <c r="I7" s="48">
        <v>-1000</v>
      </c>
      <c r="J7" s="21">
        <f t="shared" si="2"/>
        <v>20800</v>
      </c>
      <c r="K7" s="8" t="s">
        <v>202</v>
      </c>
      <c r="L7" s="9">
        <v>3200</v>
      </c>
      <c r="M7" s="9"/>
      <c r="N7" s="48">
        <v>1000</v>
      </c>
      <c r="O7" s="21">
        <f t="shared" si="3"/>
        <v>28200</v>
      </c>
      <c r="P7" s="8"/>
      <c r="Q7" s="9"/>
      <c r="R7" s="9"/>
      <c r="S7" s="48"/>
      <c r="T7" s="21">
        <f t="shared" si="4"/>
        <v>56000</v>
      </c>
      <c r="U7" s="53">
        <f>IF($J7="","",ROUND(($J7-$J$3)/1000,1)+(_xlfn.RANK.AVG($J7,($J7,$O7,$T7),1)-2)*20)</f>
        <v>-34.200000000000003</v>
      </c>
      <c r="V7" s="54">
        <f>IF($O7="","",ROUND(($O7-$O$3)/1000,1)+(_xlfn.RANK.AVG($O7,($J7,$O7,$T7),1)-2)*20)</f>
        <v>-6.8</v>
      </c>
      <c r="W7" s="55">
        <f>IF($T7="","",ROUND(($T7-$T$3)/1000,1)+(_xlfn.RANK.AVG($T7,($J7,$O7,$T7),1)-2)*20)</f>
        <v>41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50</v>
      </c>
      <c r="AZ7" s="40" t="s">
        <v>199</v>
      </c>
      <c r="BA7" s="41" t="s">
        <v>198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195</v>
      </c>
      <c r="G8" s="9">
        <v>-10000</v>
      </c>
      <c r="H8" s="9"/>
      <c r="I8" s="48">
        <v>0</v>
      </c>
      <c r="J8" s="21">
        <f t="shared" si="2"/>
        <v>10800</v>
      </c>
      <c r="K8" s="8" t="s">
        <v>196</v>
      </c>
      <c r="L8" s="9">
        <v>16000</v>
      </c>
      <c r="M8" s="9"/>
      <c r="N8" s="48">
        <v>0</v>
      </c>
      <c r="O8" s="21">
        <f t="shared" si="3"/>
        <v>44200</v>
      </c>
      <c r="P8" s="8" t="s">
        <v>195</v>
      </c>
      <c r="Q8" s="9">
        <v>-6000</v>
      </c>
      <c r="R8" s="9"/>
      <c r="S8" s="48">
        <v>0</v>
      </c>
      <c r="T8" s="21">
        <f t="shared" si="4"/>
        <v>50000</v>
      </c>
      <c r="U8" s="53">
        <f>IF($J8="","",ROUND(($J8-$J$3)/1000,1)+(_xlfn.RANK.AVG($J8,($J8,$O8,$T8),1)-2)*20)</f>
        <v>-44.2</v>
      </c>
      <c r="V8" s="54">
        <f>IF($O8="","",ROUND(($O8-$O$3)/1000,1)+(_xlfn.RANK.AVG($O8,($J8,$O8,$T8),1)-2)*20)</f>
        <v>9.1999999999999993</v>
      </c>
      <c r="W8" s="55">
        <f>IF($T8="","",ROUND(($T8-$T$3)/1000,1)+(_xlfn.RANK.AVG($T8,($J8,$O8,$T8),1)-2)*20)</f>
        <v>35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9</v>
      </c>
      <c r="AY8" s="30" t="s">
        <v>197</v>
      </c>
      <c r="AZ8" s="40" t="s">
        <v>199</v>
      </c>
      <c r="BA8" s="41" t="s">
        <v>82</v>
      </c>
      <c r="BB8" s="41" t="s">
        <v>106</v>
      </c>
      <c r="BC8" s="41" t="s">
        <v>198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195</v>
      </c>
      <c r="G9" s="9">
        <v>-2900</v>
      </c>
      <c r="H9" s="9"/>
      <c r="I9" s="48">
        <v>0</v>
      </c>
      <c r="J9" s="21">
        <f t="shared" si="2"/>
        <v>7900</v>
      </c>
      <c r="K9" s="8" t="s">
        <v>195</v>
      </c>
      <c r="L9" s="9">
        <v>-4800</v>
      </c>
      <c r="M9" s="9">
        <v>-1000</v>
      </c>
      <c r="N9" s="48">
        <v>0</v>
      </c>
      <c r="O9" s="21">
        <f t="shared" si="3"/>
        <v>38400</v>
      </c>
      <c r="P9" s="8" t="s">
        <v>196</v>
      </c>
      <c r="Q9" s="9">
        <v>7700</v>
      </c>
      <c r="R9" s="9">
        <v>1000</v>
      </c>
      <c r="S9" s="48">
        <v>0</v>
      </c>
      <c r="T9" s="21">
        <f t="shared" si="4"/>
        <v>58700</v>
      </c>
      <c r="U9" s="53">
        <f>IF($J9="","",ROUND(($J9-$J$3)/1000,1)+(_xlfn.RANK.AVG($J9,($J9,$O9,$T9),1)-2)*20)</f>
        <v>-47.1</v>
      </c>
      <c r="V9" s="54">
        <f>IF($O9="","",ROUND(($O9-$O$3)/1000,1)+(_xlfn.RANK.AVG($O9,($J9,$O9,$T9),1)-2)*20)</f>
        <v>3.4</v>
      </c>
      <c r="W9" s="55">
        <f>IF($T9="","",ROUND(($T9-$T$3)/1000,1)+(_xlfn.RANK.AVG($T9,($J9,$O9,$T9),1)-2)*20)</f>
        <v>43.7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82</v>
      </c>
      <c r="BW9" s="41" t="s">
        <v>80</v>
      </c>
      <c r="BX9" s="41" t="s">
        <v>198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194</v>
      </c>
      <c r="F10" s="8" t="s">
        <v>202</v>
      </c>
      <c r="G10" s="9">
        <v>3900</v>
      </c>
      <c r="H10" s="9"/>
      <c r="I10" s="48">
        <v>0</v>
      </c>
      <c r="J10" s="21">
        <f t="shared" si="2"/>
        <v>11800</v>
      </c>
      <c r="K10" s="8"/>
      <c r="L10" s="9"/>
      <c r="M10" s="9"/>
      <c r="N10" s="48"/>
      <c r="O10" s="21">
        <f t="shared" si="3"/>
        <v>38400</v>
      </c>
      <c r="P10" s="8" t="s">
        <v>201</v>
      </c>
      <c r="Q10" s="9">
        <v>-3900</v>
      </c>
      <c r="R10" s="9"/>
      <c r="S10" s="48">
        <v>0</v>
      </c>
      <c r="T10" s="21">
        <f t="shared" si="4"/>
        <v>54800</v>
      </c>
      <c r="U10" s="53">
        <f>IF($J10="","",ROUND(($J10-$J$3)/1000,1)+(_xlfn.RANK.AVG($J10,($J10,$O10,$T10),1)-2)*20)</f>
        <v>-43.2</v>
      </c>
      <c r="V10" s="54">
        <f>IF($O10="","",ROUND(($O10-$O$3)/1000,1)+(_xlfn.RANK.AVG($O10,($J10,$O10,$T10),1)-2)*20)</f>
        <v>3.4</v>
      </c>
      <c r="W10" s="55">
        <f>IF($T10="","",ROUND(($T10-$T$3)/1000,1)+(_xlfn.RANK.AVG($T10,($J10,$O10,$T10),1)-2)*20)</f>
        <v>39.799999999999997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198</v>
      </c>
      <c r="AF10" s="41" t="s">
        <v>198</v>
      </c>
      <c r="AG10" s="41" t="s">
        <v>86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C603B3C-B501-44E9-B036-CCF36835049A}">
      <formula1>"だいち,りくと,ただ,れんたろう,たかの,ぱぱ,まっつん,あさひ,いっしー,ほたに,かわたつ,やがさき,"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C74A-6CF6-4ACF-A9BA-CE2CCD90DED9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のり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 t="s">
        <v>204</v>
      </c>
      <c r="G4" s="9">
        <v>0</v>
      </c>
      <c r="H4" s="9"/>
      <c r="I4" s="48"/>
      <c r="J4" s="21">
        <f>IF(COUNTA($F4,$K4,$P4)&gt;0,J3+SUM(G4:I4),"")</f>
        <v>35000</v>
      </c>
      <c r="K4" s="8" t="s">
        <v>204</v>
      </c>
      <c r="L4" s="9">
        <v>0</v>
      </c>
      <c r="M4" s="9"/>
      <c r="N4" s="48"/>
      <c r="O4" s="21">
        <f>IF(COUNTA($F4,$K4,$P4)&gt;0,O3+SUM(L4:N4),"")</f>
        <v>35000</v>
      </c>
      <c r="P4" s="8" t="s">
        <v>204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0</v>
      </c>
      <c r="Y4" s="8" t="s">
        <v>203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194</v>
      </c>
      <c r="F5" s="8" t="s">
        <v>201</v>
      </c>
      <c r="G5" s="9">
        <v>-3900</v>
      </c>
      <c r="H5" s="9"/>
      <c r="I5" s="48">
        <v>-1000</v>
      </c>
      <c r="J5" s="21">
        <f t="shared" ref="J5:J30" si="2">IF(COUNTA($F5,$K5,$P5)&gt;0,J4+SUM(G5:I5),"")</f>
        <v>30100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202</v>
      </c>
      <c r="Q5" s="9">
        <v>3900</v>
      </c>
      <c r="R5" s="9"/>
      <c r="S5" s="48">
        <v>1000</v>
      </c>
      <c r="T5" s="21">
        <f t="shared" ref="T5:T30" si="4">IF(COUNTA($F5,$K5,$P5)&gt;0,T4+SUM(Q5:S5),"")</f>
        <v>39900</v>
      </c>
      <c r="U5" s="53">
        <f>IF($J5="","",ROUND(($J5-$J$3)/1000,1)+(_xlfn.RANK.AVG($J5,($J5,$O5,$T5),1)-2)*20)</f>
        <v>-24.9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24.9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85</v>
      </c>
      <c r="BV5" s="41" t="s">
        <v>198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194</v>
      </c>
      <c r="F6" s="8" t="s">
        <v>204</v>
      </c>
      <c r="G6" s="9">
        <v>-3000</v>
      </c>
      <c r="H6" s="9"/>
      <c r="I6" s="48"/>
      <c r="J6" s="21">
        <f t="shared" si="2"/>
        <v>27100</v>
      </c>
      <c r="K6" s="8" t="s">
        <v>204</v>
      </c>
      <c r="L6" s="9">
        <v>1500</v>
      </c>
      <c r="M6" s="9">
        <v>-1000</v>
      </c>
      <c r="N6" s="48"/>
      <c r="O6" s="21">
        <f t="shared" si="3"/>
        <v>35500</v>
      </c>
      <c r="P6" s="8" t="s">
        <v>204</v>
      </c>
      <c r="Q6" s="9">
        <v>1500</v>
      </c>
      <c r="R6" s="9"/>
      <c r="S6" s="48"/>
      <c r="T6" s="21">
        <f t="shared" si="4"/>
        <v>41400</v>
      </c>
      <c r="U6" s="53">
        <f>IF($J6="","",ROUND(($J6-$J$3)/1000,1)+(_xlfn.RANK.AVG($J6,($J6,$O6,$T6),1)-2)*20)</f>
        <v>-27.9</v>
      </c>
      <c r="V6" s="54">
        <f>IF($O6="","",ROUND(($O6-$O$3)/1000,1)+(_xlfn.RANK.AVG($O6,($J6,$O6,$T6),1)-2)*20)</f>
        <v>0.5</v>
      </c>
      <c r="W6" s="55">
        <f>IF($T6="","",ROUND(($T6-$T$3)/1000,1)+(_xlfn.RANK.AVG($T6,($J6,$O6,$T6),1)-2)*20)</f>
        <v>26.4</v>
      </c>
      <c r="Y6" s="8" t="s">
        <v>205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1</v>
      </c>
      <c r="E7" s="4" t="s">
        <v>194</v>
      </c>
      <c r="F7" s="8"/>
      <c r="G7" s="9"/>
      <c r="H7" s="9"/>
      <c r="I7" s="48"/>
      <c r="J7" s="21">
        <f t="shared" si="2"/>
        <v>27100</v>
      </c>
      <c r="K7" s="8" t="s">
        <v>201</v>
      </c>
      <c r="L7" s="9">
        <v>-7700</v>
      </c>
      <c r="M7" s="9"/>
      <c r="N7" s="48">
        <v>-3000</v>
      </c>
      <c r="O7" s="21">
        <f t="shared" si="3"/>
        <v>24800</v>
      </c>
      <c r="P7" s="8" t="s">
        <v>202</v>
      </c>
      <c r="Q7" s="9">
        <v>7700</v>
      </c>
      <c r="R7" s="9">
        <v>1000</v>
      </c>
      <c r="S7" s="48">
        <v>3000</v>
      </c>
      <c r="T7" s="21">
        <f t="shared" si="4"/>
        <v>53100</v>
      </c>
      <c r="U7" s="53">
        <f>IF($J7="","",ROUND(($J7-$J$3)/1000,1)+(_xlfn.RANK.AVG($J7,($J7,$O7,$T7),1)-2)*20)</f>
        <v>-7.9</v>
      </c>
      <c r="V7" s="54">
        <f>IF($O7="","",ROUND(($O7-$O$3)/1000,1)+(_xlfn.RANK.AVG($O7,($J7,$O7,$T7),1)-2)*20)</f>
        <v>-30.2</v>
      </c>
      <c r="W7" s="55">
        <f>IF($T7="","",ROUND(($T7-$T$3)/1000,1)+(_xlfn.RANK.AVG($T7,($J7,$O7,$T7),1)-2)*20)</f>
        <v>38.1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3</v>
      </c>
      <c r="BT7" s="30">
        <v>40</v>
      </c>
      <c r="BU7" s="40" t="s">
        <v>84</v>
      </c>
      <c r="BV7" s="41" t="s">
        <v>79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194</v>
      </c>
      <c r="F8" s="8" t="s">
        <v>201</v>
      </c>
      <c r="G8" s="9">
        <v>-12000</v>
      </c>
      <c r="H8" s="9"/>
      <c r="I8" s="48">
        <v>-4000</v>
      </c>
      <c r="J8" s="21">
        <f t="shared" si="2"/>
        <v>11100</v>
      </c>
      <c r="K8" s="8"/>
      <c r="L8" s="9"/>
      <c r="M8" s="9">
        <v>-1000</v>
      </c>
      <c r="N8" s="48"/>
      <c r="O8" s="21">
        <f t="shared" si="3"/>
        <v>23800</v>
      </c>
      <c r="P8" s="8" t="s">
        <v>202</v>
      </c>
      <c r="Q8" s="9">
        <v>12000</v>
      </c>
      <c r="R8" s="9">
        <v>1000</v>
      </c>
      <c r="S8" s="48">
        <v>4000</v>
      </c>
      <c r="T8" s="21">
        <f t="shared" si="4"/>
        <v>70100</v>
      </c>
      <c r="U8" s="53">
        <f>IF($J8="","",ROUND(($J8-$J$3)/1000,1)+(_xlfn.RANK.AVG($J8,($J8,$O8,$T8),1)-2)*20)</f>
        <v>-43.9</v>
      </c>
      <c r="V8" s="54">
        <f>IF($O8="","",ROUND(($O8-$O$3)/1000,1)+(_xlfn.RANK.AVG($O8,($J8,$O8,$T8),1)-2)*20)</f>
        <v>-11.2</v>
      </c>
      <c r="W8" s="55">
        <f>IF($T8="","",ROUND(($T8-$T$3)/1000,1)+(_xlfn.RANK.AVG($T8,($J8,$O8,$T8),1)-2)*20)</f>
        <v>55.1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197</v>
      </c>
      <c r="BU8" s="40" t="s">
        <v>79</v>
      </c>
      <c r="BV8" s="41" t="s">
        <v>79</v>
      </c>
      <c r="BW8" s="41" t="s">
        <v>104</v>
      </c>
      <c r="BX8" s="41" t="s">
        <v>198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194</v>
      </c>
      <c r="F9" s="8" t="s">
        <v>202</v>
      </c>
      <c r="G9" s="9">
        <v>8000</v>
      </c>
      <c r="H9" s="9"/>
      <c r="I9" s="48">
        <v>5000</v>
      </c>
      <c r="J9" s="21">
        <f t="shared" si="2"/>
        <v>24100</v>
      </c>
      <c r="K9" s="8"/>
      <c r="L9" s="9"/>
      <c r="M9" s="9"/>
      <c r="N9" s="48"/>
      <c r="O9" s="21">
        <f t="shared" si="3"/>
        <v>23800</v>
      </c>
      <c r="P9" s="8" t="s">
        <v>201</v>
      </c>
      <c r="Q9" s="9">
        <v>-8000</v>
      </c>
      <c r="R9" s="9"/>
      <c r="S9" s="48">
        <v>-5000</v>
      </c>
      <c r="T9" s="21">
        <f t="shared" si="4"/>
        <v>57100</v>
      </c>
      <c r="U9" s="53">
        <f>IF($J9="","",ROUND(($J9-$J$3)/1000,1)+(_xlfn.RANK.AVG($J9,($J9,$O9,$T9),1)-2)*20)</f>
        <v>-10.9</v>
      </c>
      <c r="V9" s="54">
        <f>IF($O9="","",ROUND(($O9-$O$3)/1000,1)+(_xlfn.RANK.AVG($O9,($J9,$O9,$T9),1)-2)*20)</f>
        <v>-31.2</v>
      </c>
      <c r="W9" s="55">
        <f>IF($T9="","",ROUND(($T9-$T$3)/1000,1)+(_xlfn.RANK.AVG($T9,($J9,$O9,$T9),1)-2)*20)</f>
        <v>42.1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86</v>
      </c>
      <c r="AF9" s="41" t="s">
        <v>86</v>
      </c>
      <c r="AG9" s="41" t="s">
        <v>198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204</v>
      </c>
      <c r="G10" s="9">
        <v>3000</v>
      </c>
      <c r="H10" s="9"/>
      <c r="I10" s="48"/>
      <c r="J10" s="21">
        <f t="shared" si="2"/>
        <v>27100</v>
      </c>
      <c r="K10" s="8" t="s">
        <v>204</v>
      </c>
      <c r="L10" s="9">
        <v>-1500</v>
      </c>
      <c r="M10" s="9"/>
      <c r="N10" s="48"/>
      <c r="O10" s="21">
        <f t="shared" si="3"/>
        <v>22300</v>
      </c>
      <c r="P10" s="8" t="s">
        <v>204</v>
      </c>
      <c r="Q10" s="9">
        <v>-1500</v>
      </c>
      <c r="R10" s="9"/>
      <c r="S10" s="48"/>
      <c r="T10" s="21">
        <f t="shared" si="4"/>
        <v>55600</v>
      </c>
      <c r="U10" s="53">
        <f>IF($J10="","",ROUND(($J10-$J$3)/1000,1)+(_xlfn.RANK.AVG($J10,($J10,$O10,$T10),1)-2)*20)</f>
        <v>-7.9</v>
      </c>
      <c r="V10" s="54">
        <f>IF($O10="","",ROUND(($O10-$O$3)/1000,1)+(_xlfn.RANK.AVG($O10,($J10,$O10,$T10),1)-2)*20)</f>
        <v>-32.700000000000003</v>
      </c>
      <c r="W10" s="55">
        <f>IF($T10="","",ROUND(($T10-$T$3)/1000,1)+(_xlfn.RANK.AVG($T10,($J10,$O10,$T10),1)-2)*20)</f>
        <v>40.6</v>
      </c>
      <c r="Y10" s="8" t="s">
        <v>203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195</v>
      </c>
      <c r="G11" s="9">
        <v>-15000</v>
      </c>
      <c r="H11" s="9"/>
      <c r="I11" s="48">
        <v>-500</v>
      </c>
      <c r="J11" s="21">
        <f t="shared" si="2"/>
        <v>11600</v>
      </c>
      <c r="K11" s="8" t="s">
        <v>195</v>
      </c>
      <c r="L11" s="9">
        <v>-9000</v>
      </c>
      <c r="M11" s="9"/>
      <c r="N11" s="48">
        <v>-500</v>
      </c>
      <c r="O11" s="21">
        <f t="shared" si="3"/>
        <v>12800</v>
      </c>
      <c r="P11" s="8" t="s">
        <v>196</v>
      </c>
      <c r="Q11" s="9">
        <v>24000</v>
      </c>
      <c r="R11" s="9"/>
      <c r="S11" s="48">
        <v>1000</v>
      </c>
      <c r="T11" s="21">
        <f t="shared" si="4"/>
        <v>80600</v>
      </c>
      <c r="U11" s="53">
        <f>IF($J11="","",ROUND(($J11-$J$3)/1000,1)+(_xlfn.RANK.AVG($J11,($J11,$O11,$T11),1)-2)*20)</f>
        <v>-43.4</v>
      </c>
      <c r="V11" s="54">
        <f>IF($O11="","",ROUND(($O11-$O$3)/1000,1)+(_xlfn.RANK.AVG($O11,($J11,$O11,$T11),1)-2)*20)</f>
        <v>-22.2</v>
      </c>
      <c r="W11" s="55">
        <f>IF($T11="","",ROUND(($T11-$T$3)/1000,1)+(_xlfn.RANK.AVG($T11,($J11,$O11,$T11),1)-2)*20)</f>
        <v>65.599999999999994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11</v>
      </c>
      <c r="BT11" s="30" t="s">
        <v>197</v>
      </c>
      <c r="BU11" s="40" t="s">
        <v>82</v>
      </c>
      <c r="BV11" s="41" t="s">
        <v>85</v>
      </c>
      <c r="BW11" s="41" t="s">
        <v>106</v>
      </c>
      <c r="BX11" s="41" t="s">
        <v>198</v>
      </c>
      <c r="BY11" s="41" t="s">
        <v>96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202</v>
      </c>
      <c r="G12" s="9">
        <v>3900</v>
      </c>
      <c r="H12" s="9"/>
      <c r="I12" s="48">
        <v>0</v>
      </c>
      <c r="J12" s="21">
        <f t="shared" si="2"/>
        <v>15500</v>
      </c>
      <c r="K12" s="8"/>
      <c r="L12" s="9"/>
      <c r="M12" s="9"/>
      <c r="N12" s="48"/>
      <c r="O12" s="21">
        <f t="shared" si="3"/>
        <v>12800</v>
      </c>
      <c r="P12" s="8" t="s">
        <v>201</v>
      </c>
      <c r="Q12" s="9">
        <v>-3900</v>
      </c>
      <c r="R12" s="9"/>
      <c r="S12" s="48">
        <v>0</v>
      </c>
      <c r="T12" s="21">
        <f t="shared" si="4"/>
        <v>76700</v>
      </c>
      <c r="U12" s="53">
        <f>IF($J12="","",ROUND(($J12-$J$3)/1000,1)+(_xlfn.RANK.AVG($J12,($J12,$O12,$T12),1)-2)*20)</f>
        <v>-19.5</v>
      </c>
      <c r="V12" s="54">
        <f>IF($O12="","",ROUND(($O12-$O$3)/1000,1)+(_xlfn.RANK.AVG($O12,($J12,$O12,$T12),1)-2)*20)</f>
        <v>-42.2</v>
      </c>
      <c r="W12" s="55">
        <f>IF($T12="","",ROUND(($T12-$T$3)/1000,1)+(_xlfn.RANK.AVG($T12,($J12,$O12,$T12),1)-2)*20)</f>
        <v>61.7</v>
      </c>
      <c r="Y12" s="8"/>
      <c r="Z12" s="34"/>
      <c r="AA12" s="26"/>
      <c r="AB12" s="26"/>
      <c r="AC12" s="26">
        <v>3</v>
      </c>
      <c r="AD12" s="30">
        <v>30</v>
      </c>
      <c r="AE12" s="40" t="s">
        <v>83</v>
      </c>
      <c r="AF12" s="41" t="s">
        <v>79</v>
      </c>
      <c r="AG12" s="41" t="s">
        <v>198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194</v>
      </c>
      <c r="F13" s="8" t="s">
        <v>196</v>
      </c>
      <c r="G13" s="9">
        <v>2100</v>
      </c>
      <c r="H13" s="9"/>
      <c r="I13" s="48">
        <v>0</v>
      </c>
      <c r="J13" s="21">
        <f t="shared" si="2"/>
        <v>17600</v>
      </c>
      <c r="K13" s="8" t="s">
        <v>195</v>
      </c>
      <c r="L13" s="9">
        <v>-800</v>
      </c>
      <c r="M13" s="9"/>
      <c r="N13" s="48">
        <v>0</v>
      </c>
      <c r="O13" s="21">
        <f t="shared" si="3"/>
        <v>12000</v>
      </c>
      <c r="P13" s="8" t="s">
        <v>195</v>
      </c>
      <c r="Q13" s="9">
        <v>-1300</v>
      </c>
      <c r="R13" s="9"/>
      <c r="S13" s="48">
        <v>0</v>
      </c>
      <c r="T13" s="21">
        <f t="shared" si="4"/>
        <v>75400</v>
      </c>
      <c r="U13" s="53">
        <f>IF($J13="","",ROUND(($J13-$J$3)/1000,1)+(_xlfn.RANK.AVG($J13,($J13,$O13,$T13),1)-2)*20)</f>
        <v>-17.399999999999999</v>
      </c>
      <c r="V13" s="54">
        <f>IF($O13="","",ROUND(($O13-$O$3)/1000,1)+(_xlfn.RANK.AVG($O13,($J13,$O13,$T13),1)-2)*20)</f>
        <v>-43</v>
      </c>
      <c r="W13" s="55">
        <f>IF($T13="","",ROUND(($T13-$T$3)/1000,1)+(_xlfn.RANK.AVG($T13,($J13,$O13,$T13),1)-2)*20)</f>
        <v>60.4</v>
      </c>
      <c r="Y13" s="8"/>
      <c r="Z13" s="34"/>
      <c r="AA13" s="26">
        <v>1</v>
      </c>
      <c r="AB13" s="26"/>
      <c r="AC13" s="26">
        <v>2</v>
      </c>
      <c r="AD13" s="30">
        <v>30</v>
      </c>
      <c r="AE13" s="40" t="s">
        <v>199</v>
      </c>
      <c r="AF13" s="41" t="s">
        <v>82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195</v>
      </c>
      <c r="G14" s="9">
        <v>-1300</v>
      </c>
      <c r="H14" s="9"/>
      <c r="I14" s="48">
        <v>0</v>
      </c>
      <c r="J14" s="21">
        <f t="shared" si="2"/>
        <v>16300</v>
      </c>
      <c r="K14" s="8" t="s">
        <v>196</v>
      </c>
      <c r="L14" s="9">
        <v>2100</v>
      </c>
      <c r="M14" s="9"/>
      <c r="N14" s="48">
        <v>0</v>
      </c>
      <c r="O14" s="21">
        <f t="shared" si="3"/>
        <v>14100</v>
      </c>
      <c r="P14" s="8" t="s">
        <v>195</v>
      </c>
      <c r="Q14" s="9">
        <v>-800</v>
      </c>
      <c r="R14" s="9"/>
      <c r="S14" s="48">
        <v>0</v>
      </c>
      <c r="T14" s="21">
        <f t="shared" si="4"/>
        <v>74600</v>
      </c>
      <c r="U14" s="53">
        <f>IF($J14="","",ROUND(($J14-$J$3)/1000,1)+(_xlfn.RANK.AVG($J14,($J14,$O14,$T14),1)-2)*20)</f>
        <v>-18.7</v>
      </c>
      <c r="V14" s="54">
        <f>IF($O14="","",ROUND(($O14-$O$3)/1000,1)+(_xlfn.RANK.AVG($O14,($J14,$O14,$T14),1)-2)*20)</f>
        <v>-40.9</v>
      </c>
      <c r="W14" s="55">
        <f>IF($T14="","",ROUND(($T14-$T$3)/1000,1)+(_xlfn.RANK.AVG($T14,($J14,$O14,$T14),1)-2)*20)</f>
        <v>59.6</v>
      </c>
      <c r="Y14" s="8"/>
      <c r="Z14" s="34"/>
      <c r="AA14" s="26"/>
      <c r="AB14" s="26">
        <v>1</v>
      </c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2</v>
      </c>
      <c r="AY14" s="30">
        <v>30</v>
      </c>
      <c r="AZ14" s="40" t="s">
        <v>82</v>
      </c>
      <c r="BA14" s="41" t="s">
        <v>198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>
        <f t="shared" si="2"/>
        <v>16300</v>
      </c>
      <c r="K15" s="8" t="s">
        <v>202</v>
      </c>
      <c r="L15" s="9">
        <v>3900</v>
      </c>
      <c r="M15" s="9"/>
      <c r="N15" s="48">
        <v>0</v>
      </c>
      <c r="O15" s="21">
        <f t="shared" si="3"/>
        <v>18000</v>
      </c>
      <c r="P15" s="8" t="s">
        <v>201</v>
      </c>
      <c r="Q15" s="9">
        <v>-3900</v>
      </c>
      <c r="R15" s="9"/>
      <c r="S15" s="48">
        <v>0</v>
      </c>
      <c r="T15" s="21">
        <f t="shared" si="4"/>
        <v>70700</v>
      </c>
      <c r="U15" s="53">
        <f>IF($J15="","",ROUND(($J15-$J$3)/1000,1)+(_xlfn.RANK.AVG($J15,($J15,$O15,$T15),1)-2)*20)</f>
        <v>-38.700000000000003</v>
      </c>
      <c r="V15" s="54">
        <f>IF($O15="","",ROUND(($O15-$O$3)/1000,1)+(_xlfn.RANK.AVG($O15,($J15,$O15,$T15),1)-2)*20)</f>
        <v>-17</v>
      </c>
      <c r="W15" s="55">
        <f>IF($T15="","",ROUND(($T15-$T$3)/1000,1)+(_xlfn.RANK.AVG($T15,($J15,$O15,$T15),1)-2)*20)</f>
        <v>55.7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2</v>
      </c>
      <c r="AY15" s="30">
        <v>40</v>
      </c>
      <c r="AZ15" s="40" t="s">
        <v>104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193</v>
      </c>
      <c r="F16" s="8" t="s">
        <v>201</v>
      </c>
      <c r="G16" s="9">
        <v>-7700</v>
      </c>
      <c r="H16" s="9"/>
      <c r="I16" s="48">
        <v>-1000</v>
      </c>
      <c r="J16" s="21">
        <f t="shared" si="2"/>
        <v>7600</v>
      </c>
      <c r="K16" s="8" t="s">
        <v>202</v>
      </c>
      <c r="L16" s="9">
        <v>7700</v>
      </c>
      <c r="M16" s="9"/>
      <c r="N16" s="48">
        <v>1000</v>
      </c>
      <c r="O16" s="21">
        <f t="shared" si="3"/>
        <v>26700</v>
      </c>
      <c r="P16" s="8"/>
      <c r="Q16" s="9"/>
      <c r="R16" s="9"/>
      <c r="S16" s="48"/>
      <c r="T16" s="21">
        <f t="shared" si="4"/>
        <v>70700</v>
      </c>
      <c r="U16" s="53">
        <f>IF($J16="","",ROUND(($J16-$J$3)/1000,1)+(_xlfn.RANK.AVG($J16,($J16,$O16,$T16),1)-2)*20)</f>
        <v>-47.4</v>
      </c>
      <c r="V16" s="54">
        <f>IF($O16="","",ROUND(($O16-$O$3)/1000,1)+(_xlfn.RANK.AVG($O16,($J16,$O16,$T16),1)-2)*20)</f>
        <v>-8.3000000000000007</v>
      </c>
      <c r="W16" s="55">
        <f>IF($T16="","",ROUND(($T16-$T$3)/1000,1)+(_xlfn.RANK.AVG($T16,($J16,$O16,$T16),1)-2)*20)</f>
        <v>55.7</v>
      </c>
      <c r="Y16" s="8"/>
      <c r="Z16" s="34"/>
      <c r="AA16" s="26"/>
      <c r="AB16" s="26">
        <v>1</v>
      </c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>
        <v>3</v>
      </c>
      <c r="AY16" s="30">
        <v>40</v>
      </c>
      <c r="AZ16" s="40" t="s">
        <v>199</v>
      </c>
      <c r="BA16" s="41" t="s">
        <v>79</v>
      </c>
      <c r="BB16" s="41" t="s">
        <v>80</v>
      </c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3</v>
      </c>
      <c r="C17" s="18">
        <f t="shared" si="6"/>
        <v>2</v>
      </c>
      <c r="D17" s="18">
        <f t="shared" si="1"/>
        <v>0</v>
      </c>
      <c r="E17" s="4" t="s">
        <v>193</v>
      </c>
      <c r="F17" s="8" t="s">
        <v>201</v>
      </c>
      <c r="G17" s="9">
        <v>-3900</v>
      </c>
      <c r="H17" s="9"/>
      <c r="I17" s="48">
        <v>-2000</v>
      </c>
      <c r="J17" s="21">
        <f t="shared" si="2"/>
        <v>1700</v>
      </c>
      <c r="K17" s="8"/>
      <c r="L17" s="9"/>
      <c r="M17" s="9"/>
      <c r="N17" s="48"/>
      <c r="O17" s="21">
        <f t="shared" si="3"/>
        <v>26700</v>
      </c>
      <c r="P17" s="8" t="s">
        <v>202</v>
      </c>
      <c r="Q17" s="9">
        <v>3900</v>
      </c>
      <c r="R17" s="9"/>
      <c r="S17" s="48">
        <v>2000</v>
      </c>
      <c r="T17" s="21">
        <f t="shared" si="4"/>
        <v>76600</v>
      </c>
      <c r="U17" s="53">
        <f>IF($J17="","",ROUND(($J17-$J$3)/1000,1)+(_xlfn.RANK.AVG($J17,($J17,$O17,$T17),1)-2)*20)</f>
        <v>-53.3</v>
      </c>
      <c r="V17" s="54">
        <f>IF($O17="","",ROUND(($O17-$O$3)/1000,1)+(_xlfn.RANK.AVG($O17,($J17,$O17,$T17),1)-2)*20)</f>
        <v>-8.3000000000000007</v>
      </c>
      <c r="W17" s="55">
        <f>IF($T17="","",ROUND(($T17-$T$3)/1000,1)+(_xlfn.RANK.AVG($T17,($J17,$O17,$T17),1)-2)*20)</f>
        <v>61.6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>
        <v>1</v>
      </c>
      <c r="BR17" s="26"/>
      <c r="BS17" s="26">
        <v>3</v>
      </c>
      <c r="BT17" s="30">
        <v>30</v>
      </c>
      <c r="BU17" s="40" t="s">
        <v>199</v>
      </c>
      <c r="BV17" s="41" t="s">
        <v>83</v>
      </c>
      <c r="BW17" s="41" t="s">
        <v>84</v>
      </c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">
        <v>194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BE437B29-5E2C-4AA9-A3ED-A20D4D5A9909}">
      <formula1>"だいち,りくと,ただ,れんたろう,たかの,ぱぱ,まっつん,あさひ,いっしー,ほたに,かわたつ,やがさき,"</formula1>
    </dataValidation>
    <dataValidation type="list" showInputMessage="1" showErrorMessage="1" sqref="K4:K30 P4:P30 F4:F30" xr:uid="{B5766371-6541-4B27-962C-CDFF2E4A81B6}">
      <formula1>"ロン,ツモ,放銃,ツモ支払,流局,チョンボ"</formula1>
    </dataValidation>
    <dataValidation type="list" allowBlank="1" showInputMessage="1" showErrorMessage="1" sqref="E4:E30" xr:uid="{3D25DCFC-B804-4A07-B1A9-58EF9209D0D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2019-07-01T16:53:38Z</dcterms:modified>
</cp:coreProperties>
</file>