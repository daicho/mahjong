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1AE725F3-48CC-4029-A085-FDCE5558BE7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U9" i="19" l="1"/>
  <c r="V9" i="19"/>
  <c r="W9" i="19"/>
  <c r="W8" i="19"/>
  <c r="V8" i="19"/>
  <c r="U8" i="19"/>
  <c r="V7" i="19"/>
  <c r="U7" i="19"/>
  <c r="W7" i="19"/>
  <c r="U6" i="19"/>
  <c r="V6" i="19"/>
  <c r="W6" i="19"/>
  <c r="U4" i="19"/>
  <c r="V4" i="19"/>
  <c r="T5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<sst xmlns="http://schemas.openxmlformats.org/spreadsheetml/2006/main" count="531" uniqueCount="153">
  <si>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</si>
  <si>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</si>
  <si>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</si>
  <si>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</si>
  <si>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</si>
  <si>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</si>
  <si>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</si>
  <si>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</si>
  <si>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</si>
  <si>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</si>
  <si>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</si>
  <si>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</si>
  <si>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</si>
  <si>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</si>
  <si>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</si>
  <si>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</si>
  <si>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</si>
  <si>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</si>
  <si>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</si>
  <si>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</si>
  <si>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</si>
  <si>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</si>
  <si>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</si>
  <si>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</si>
  <si>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</si>
  <si>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</si>
  <si>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</si>
  <si>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</si>
  <si>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</si>
  <si>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</si>
  <si>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</si>
  <si>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</si>
  <si>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</si>
  <si>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</si>
  <si>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</si>
  <si>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</si>
  <si>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</si>
  <si>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</si>
  <si>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</si>
  <si>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</si>
  <si>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</si>
  <si>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</si>
  <si>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</si>
  <si>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</si>
  <si>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</si>
  <si>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</si>
  <si>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</si>
  <si>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</si>
  <si>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</si>
  <si>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</si>
  <si>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</si>
  <si>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</si>
  <si>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</si>
  <si>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</si>
  <si>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</si>
  <si>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</si>
  <si>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</si>
  <si>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</si>
  <si>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</si>
  <si>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</si>
  <si>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</si>
  <si>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</si>
  <si>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</si>
  <si>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</si>
  <si>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</si>
  <si>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</si>
  <si>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</si>
  <si>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</si>
  <si>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</si>
  <si>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</si>
  <si>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</si>
  <si>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</si>
  <si>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</si>
  <si>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</si>
  <si>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</si>
  <si>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</si>
  <si>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</si>
  <si>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</si>
  <si>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</si>
  <si>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</si>
  <si>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</si>
  <si>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</si>
  <si>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</si>
  <si>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</si>
  <si>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</si>
  <si>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</si>
  <si>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</si>
  <si>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</si>
  <si>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</si>
  <si>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</si>
  <si>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</si>
  <si>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</si>
  <si>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</si>
  <si>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</si>
  <si>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</si>
  <si>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</si>
  <si>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</si>
  <si>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</si>
  <si>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</si>
  <si>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</si>
  <si>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</si>
  <si>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</si>
  <si>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</si>
  <si>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</si>
  <si>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</si>
  <si>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</si>
  <si>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</si>
  <si>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</si>
  <si>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</si>
  <si>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</si>
  <si>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</si>
  <si>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</si>
  <si>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</si>
  <si>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</si>
  <si>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</si>
  <si>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</si>
  <si>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</si>
  <si>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</si>
  <si>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</si>
  <si>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</si>
  <si>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</si>
  <si>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</si>
  <si>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</si>
  <si>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</si>
  <si>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</si>
  <si>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</si>
  <si>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</si>
  <si>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</si>
  <si>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</si>
  <si>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</si>
  <si>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</si>
  <si>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</si>
  <si>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</si>
  <si>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</si>
  <si>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</si>
  <si>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</si>
  <si>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</si>
  <si>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</si>
  <si>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</si>
  <si>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</si>
  <si>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</si>
  <si>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</si>
  <si>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りくと</t>
  </si>
  <si>
    <t>りくと</t>
    <phoneticPr fontId="1"/>
  </si>
  <si>
    <t>放銃</t>
  </si>
  <si>
    <t>ロン</t>
  </si>
  <si>
    <t>01</t>
  </si>
  <si>
    <t>ツモ支払</t>
  </si>
  <si>
    <t>ツモ</t>
  </si>
  <si>
    <t>*</t>
  </si>
  <si>
    <t>52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</si>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</sst>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X18" sqref="X18:Y19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143</v>
      </c>
      <c r="G1" s="66"/>
      <c r="H1" s="66"/>
      <c r="I1" s="67"/>
      <c r="J1" s="68"/>
      <c r="K1" s="65" t="s">
        <v>141</v>
      </c>
      <c r="L1" s="66"/>
      <c r="M1" s="66"/>
      <c r="N1" s="67"/>
      <c r="O1" s="68"/>
      <c r="P1" s="65" t="s">
        <v>139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-1300</v>
      </c>
      <c r="M4" s="9">
        <v>-1000</v>
      </c>
      <c r="N4" s="48">
        <v>0</v>
      </c>
      <c r="O4" s="21">
        <f>IF(COUNTA($F4,$K4,$P4)&gt;0,O3+SUM(L4:N4),"")</f>
        <v>32700</v>
      </c>
      <c r="P4" s="8" t="s">
        <v>145</v>
      </c>
      <c r="Q4" s="9">
        <v>1300</v>
      </c>
      <c r="R4" s="9">
        <v>1000</v>
      </c>
      <c r="S4" s="48">
        <v>0</v>
      </c>
      <c r="T4" s="21">
        <f>IF(COUNTA($F4,$K4,$P4)&gt;0,T3+SUM(Q4:S4),"")</f>
        <v>37300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-22.3</v>
      </c>
      <c r="W4" s="55">
        <f>IF($T4="","",ROUND(($T4-$T$3)/1000,1)+(_xlfn.RANK.AVG($T4,($J4,$O4,$T4),1)-2)*20)</f>
        <v>22.3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146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147</v>
      </c>
      <c r="G5" s="9">
        <v>-12000</v>
      </c>
      <c r="H5" s="9"/>
      <c r="I5" s="48">
        <v>0</v>
      </c>
      <c r="J5" s="21">
        <f t="shared" ref="J5:J30" si="2">IF(COUNTA($F5,$K5,$P5)&gt;0,J4+SUM(G5:I5),"")</f>
        <v>23000</v>
      </c>
      <c r="K5" s="8" t="s">
        <v>148</v>
      </c>
      <c r="L5" s="9">
        <v>24000</v>
      </c>
      <c r="M5" s="9"/>
      <c r="N5" s="48">
        <v>0</v>
      </c>
      <c r="O5" s="21">
        <f t="shared" ref="O5:O30" si="3">IF(COUNTA($F5,$K5,$P5)&gt;0,O4+SUM(L5:N5),"")</f>
        <v>56700</v>
      </c>
      <c r="P5" s="8" t="s">
        <v>147</v>
      </c>
      <c r="Q5" s="9">
        <v>-12000</v>
      </c>
      <c r="R5" s="9"/>
      <c r="S5" s="48">
        <v>0</v>
      </c>
      <c r="T5" s="21">
        <f t="shared" ref="T5:T30" si="4">IF(COUNTA($F5,$K5,$P5)&gt;0,T4+SUM(Q5:S5),"")</f>
        <v>25300</v>
      </c>
      <c r="U5" s="53">
        <f>IF($J5="","",ROUND(($J5-$J$3)/1000,1)+(_xlfn.RANK.AVG($J5,($J5,$O5,$T5),1)-2)*20)</f>
        <v>-32</v>
      </c>
      <c r="V5" s="54">
        <f>IF($O5="","",ROUND(($O5-$O$3)/1000,1)+(_xlfn.RANK.AVG($O5,($J5,$O5,$T5),1)-2)*20)</f>
        <v>41.7</v>
      </c>
      <c r="W5" s="55">
        <f>IF($T5="","",ROUND(($T5-$T$3)/1000,1)+(_xlfn.RANK.AVG($T5,($J5,$O5,$T5),1)-2)*20)</f>
        <v>-9.6999999999999993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9</v>
      </c>
      <c r="AY5" s="30" t="s">
        <v>149</v>
      </c>
      <c r="AZ5" s="40" t="s">
        <v>146</v>
      </c>
      <c r="BA5" s="41" t="s">
        <v>82</v>
      </c>
      <c r="BB5" s="41" t="s">
        <v>79</v>
      </c>
      <c r="BC5" s="41" t="s">
        <v>79</v>
      </c>
      <c r="BD5" s="41" t="s">
        <v>80</v>
      </c>
      <c r="BE5" s="41" t="s">
        <v>80</v>
      </c>
      <c r="BF5" s="41" t="s">
        <v>150</v>
      </c>
      <c r="BG5" s="41" t="s">
        <v>101</v>
      </c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-18000</v>
      </c>
      <c r="H6" s="9">
        <v>-1000</v>
      </c>
      <c r="I6" s="48">
        <v>-1000</v>
      </c>
      <c r="J6" s="21">
        <f t="shared" si="2"/>
        <v>3000</v>
      </c>
      <c r="K6" s="8" t="s">
        <v>145</v>
      </c>
      <c r="L6" s="9">
        <v>18000</v>
      </c>
      <c r="M6" s="9">
        <v>1000</v>
      </c>
      <c r="N6" s="48">
        <v>1000</v>
      </c>
      <c r="O6" s="21">
        <f t="shared" si="3"/>
        <v>76700</v>
      </c>
      <c r="P6" s="8"/>
      <c r="Q6" s="9"/>
      <c r="R6" s="9"/>
      <c r="S6" s="48"/>
      <c r="T6" s="21">
        <f t="shared" si="4"/>
        <v>25300</v>
      </c>
      <c r="U6" s="53">
        <f>IF($J6="","",ROUND(($J6-$J$3)/1000,1)+(_xlfn.RANK.AVG($J6,($J6,$O6,$T6),1)-2)*20)</f>
        <v>-52</v>
      </c>
      <c r="V6" s="54">
        <f>IF($O6="","",ROUND(($O6-$O$3)/1000,1)+(_xlfn.RANK.AVG($O6,($J6,$O6,$T6),1)-2)*20)</f>
        <v>61.7</v>
      </c>
      <c r="W6" s="55">
        <f>IF($T6="","",ROUND(($T6-$T$3)/1000,1)+(_xlfn.RANK.AVG($T6,($J6,$O6,$T6),1)-2)*20)</f>
        <v>-9.6999999999999993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149</v>
      </c>
      <c r="AZ6" s="40" t="s">
        <v>146</v>
      </c>
      <c r="BA6" s="41" t="s">
        <v>83</v>
      </c>
      <c r="BB6" s="41" t="s">
        <v>150</v>
      </c>
      <c r="BC6" s="41" t="s">
        <v>79</v>
      </c>
      <c r="BD6" s="41" t="s">
        <v>79</v>
      </c>
      <c r="BE6" s="41" t="s">
        <v>80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 t="s">
        <v>152</v>
      </c>
      <c r="G7" s="9">
        <v>0</v>
      </c>
      <c r="H7" s="9">
        <v>-1000</v>
      </c>
      <c r="I7" s="48"/>
      <c r="J7" s="21">
        <f t="shared" si="2"/>
        <v>2000</v>
      </c>
      <c r="K7" s="8" t="s">
        <v>152</v>
      </c>
      <c r="L7" s="9">
        <v>0</v>
      </c>
      <c r="M7" s="9"/>
      <c r="N7" s="48"/>
      <c r="O7" s="21">
        <f t="shared" si="3"/>
        <v>76700</v>
      </c>
      <c r="P7" s="8" t="s">
        <v>152</v>
      </c>
      <c r="Q7" s="9">
        <v>0</v>
      </c>
      <c r="R7" s="9"/>
      <c r="S7" s="48"/>
      <c r="T7" s="21">
        <f t="shared" si="4"/>
        <v>25300</v>
      </c>
      <c r="U7" s="53">
        <f>IF($J7="","",ROUND(($J7-$J$3)/1000,1)+(_xlfn.RANK.AVG($J7,($J7,$O7,$T7),1)-2)*20)</f>
        <v>-53</v>
      </c>
      <c r="V7" s="54">
        <f>IF($O7="","",ROUND(($O7-$O$3)/1000,1)+(_xlfn.RANK.AVG($O7,($J7,$O7,$T7),1)-2)*20)</f>
        <v>61.7</v>
      </c>
      <c r="W7" s="55">
        <f>IF($T7="","",ROUND(($T7-$T$3)/1000,1)+(_xlfn.RANK.AVG($T7,($J7,$O7,$T7),1)-2)*20)</f>
        <v>-9.6999999999999993</v>
      </c>
      <c r="Y7" s="8" t="s">
        <v>151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151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1</v>
      </c>
      <c r="E8" s="4" t="s">
        <v>140</v>
      </c>
      <c r="F8" s="8"/>
      <c r="G8" s="9"/>
      <c r="H8" s="9"/>
      <c r="I8" s="48"/>
      <c r="J8" s="21">
        <f t="shared" si="2"/>
        <v>2000</v>
      </c>
      <c r="K8" s="8" t="s">
        <v>144</v>
      </c>
      <c r="L8" s="9">
        <v>-8000</v>
      </c>
      <c r="M8" s="9"/>
      <c r="N8" s="48">
        <v>-3000</v>
      </c>
      <c r="O8" s="21">
        <f t="shared" si="3"/>
        <v>65700</v>
      </c>
      <c r="P8" s="8" t="s">
        <v>145</v>
      </c>
      <c r="Q8" s="9">
        <v>8000</v>
      </c>
      <c r="R8" s="9">
        <v>1000</v>
      </c>
      <c r="S8" s="48">
        <v>3000</v>
      </c>
      <c r="T8" s="21">
        <f t="shared" si="4"/>
        <v>37300</v>
      </c>
      <c r="U8" s="53">
        <f>IF($J8="","",ROUND(($J8-$J$3)/1000,1)+(_xlfn.RANK.AVG($J8,($J8,$O8,$T8),1)-2)*20)</f>
        <v>-53</v>
      </c>
      <c r="V8" s="54">
        <f>IF($O8="","",ROUND(($O8-$O$3)/1000,1)+(_xlfn.RANK.AVG($O8,($J8,$O8,$T8),1)-2)*20)</f>
        <v>50.7</v>
      </c>
      <c r="W8" s="55">
        <f>IF($T8="","",ROUND(($T8-$T$3)/1000,1)+(_xlfn.RANK.AVG($T8,($J8,$O8,$T8),1)-2)*20)</f>
        <v>2.2999999999999998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149</v>
      </c>
      <c r="BU8" s="40" t="s">
        <v>146</v>
      </c>
      <c r="BV8" s="41" t="s">
        <v>79</v>
      </c>
      <c r="BW8" s="41" t="s">
        <v>79</v>
      </c>
      <c r="BX8" s="41" t="s">
        <v>79</v>
      </c>
      <c r="BY8" s="41" t="s">
        <v>150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147</v>
      </c>
      <c r="G9" s="9">
        <v>-4500</v>
      </c>
      <c r="H9" s="9"/>
      <c r="I9" s="48">
        <v>0</v>
      </c>
      <c r="J9" s="21">
        <f t="shared" si="2"/>
        <v>-2500</v>
      </c>
      <c r="K9" s="8" t="s">
        <v>148</v>
      </c>
      <c r="L9" s="9">
        <v>12000</v>
      </c>
      <c r="M9" s="9"/>
      <c r="N9" s="48">
        <v>0</v>
      </c>
      <c r="O9" s="21">
        <f t="shared" si="3"/>
        <v>77700</v>
      </c>
      <c r="P9" s="8" t="s">
        <v>147</v>
      </c>
      <c r="Q9" s="9">
        <v>-7500</v>
      </c>
      <c r="R9" s="9"/>
      <c r="S9" s="48">
        <v>0</v>
      </c>
      <c r="T9" s="21">
        <f t="shared" si="4"/>
        <v>29800</v>
      </c>
      <c r="U9" s="53">
        <f>IF($J9="","",ROUND(($J9-$J$3)/1000,1)+(_xlfn.RANK.AVG($J9,($J9,$O9,$T9),1)-2)*20)</f>
        <v>-57.5</v>
      </c>
      <c r="V9" s="54">
        <f>IF($O9="","",ROUND(($O9-$O$3)/1000,1)+(_xlfn.RANK.AVG($O9,($J9,$O9,$T9),1)-2)*20)</f>
        <v>62.7</v>
      </c>
      <c r="W9" s="55">
        <f>IF($T9="","",ROUND(($T9-$T$3)/1000,1)+(_xlfn.RANK.AVG($T9,($J9,$O9,$T9),1)-2)*20)</f>
        <v>-5.2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149</v>
      </c>
      <c r="AZ9" s="40" t="s">
        <v>146</v>
      </c>
      <c r="BA9" s="41" t="s">
        <v>82</v>
      </c>
      <c r="BB9" s="41" t="s">
        <v>86</v>
      </c>
      <c r="BC9" s="41" t="s">
        <v>80</v>
      </c>
      <c r="BD9" s="41" t="s">
        <v>80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2019-05-15T15:44:24Z</dcterms:modified>
</cp:coreProperties>
</file>