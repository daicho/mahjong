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対局\"/>
    </mc:Choice>
  </mc:AlternateContent>
  <xr:revisionPtr revIDLastSave="0" documentId="13_ncr:1_{D67C36E1-B607-43AE-8229-42562FF89AB9}" xr6:coauthVersionLast="36" xr6:coauthVersionMax="36" xr10:uidLastSave="{00000000-0000-0000-0000-000000000000}"/>
  <bookViews>
    <workbookView xWindow="0" yWindow="0" windowWidth="28800" windowHeight="12720" activeTab="3" xr2:uid="{4CDB34E1-560F-4998-ABAB-D6F7F2862621}"/>
  </bookViews>
  <sheets>
    <sheet name="Sheet1" sheetId="1" r:id="rId1"/>
    <sheet name="Sheet2" sheetId="16" r:id="rId2"/>
    <sheet name="Sheet3" sheetId="17" r:id="rId3"/>
    <sheet name="Sheet4" sheetId="18" r:id="rId4"/>
    <sheet name="役一覧" sheetId="15" state="hidden" r:id="rId5"/>
    <sheet name="点数表(親ロン)" sheetId="4" state="hidden" r:id="rId6"/>
    <sheet name="点数表(親ツモ)" sheetId="9" state="hidden" r:id="rId7"/>
    <sheet name="点数表(子→親)" sheetId="7" state="hidden" r:id="rId8"/>
    <sheet name="点数表(子ロン)" sheetId="3" state="hidden" r:id="rId9"/>
    <sheet name="点数表(子ツモ)" sheetId="10" state="hidden" r:id="rId10"/>
    <sheet name="点数表(子→子)" sheetId="5" state="hidden" r:id="rId11"/>
    <sheet name="点数表(親→子)" sheetId="6" state="hidden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8" l="1"/>
  <c r="W30" i="18" s="1"/>
  <c r="O30" i="18"/>
  <c r="V30" i="18" s="1"/>
  <c r="J30" i="18"/>
  <c r="U30" i="18" s="1"/>
  <c r="D30" i="18"/>
  <c r="C30" i="18"/>
  <c r="B30" i="18"/>
  <c r="A30" i="18"/>
  <c r="T29" i="18"/>
  <c r="W29" i="18" s="1"/>
  <c r="O29" i="18"/>
  <c r="V29" i="18" s="1"/>
  <c r="J29" i="18"/>
  <c r="U29" i="18" s="1"/>
  <c r="D29" i="18"/>
  <c r="C29" i="18"/>
  <c r="B29" i="18"/>
  <c r="A29" i="18"/>
  <c r="T28" i="18"/>
  <c r="W28" i="18" s="1"/>
  <c r="O28" i="18"/>
  <c r="V28" i="18" s="1"/>
  <c r="J28" i="18"/>
  <c r="U28" i="18" s="1"/>
  <c r="D28" i="18"/>
  <c r="C28" i="18"/>
  <c r="B28" i="18"/>
  <c r="A28" i="18"/>
  <c r="T27" i="18"/>
  <c r="W27" i="18" s="1"/>
  <c r="O27" i="18"/>
  <c r="V27" i="18" s="1"/>
  <c r="J27" i="18"/>
  <c r="U27" i="18" s="1"/>
  <c r="D27" i="18"/>
  <c r="C27" i="18"/>
  <c r="B27" i="18"/>
  <c r="A27" i="18"/>
  <c r="T26" i="18"/>
  <c r="W26" i="18" s="1"/>
  <c r="O26" i="18"/>
  <c r="V26" i="18" s="1"/>
  <c r="J26" i="18"/>
  <c r="U26" i="18" s="1"/>
  <c r="D26" i="18"/>
  <c r="C26" i="18"/>
  <c r="B26" i="18"/>
  <c r="A26" i="18"/>
  <c r="T25" i="18"/>
  <c r="W25" i="18" s="1"/>
  <c r="O25" i="18"/>
  <c r="V25" i="18" s="1"/>
  <c r="J25" i="18"/>
  <c r="U25" i="18" s="1"/>
  <c r="D25" i="18"/>
  <c r="C25" i="18"/>
  <c r="B25" i="18"/>
  <c r="A25" i="18"/>
  <c r="T24" i="18"/>
  <c r="W24" i="18" s="1"/>
  <c r="O24" i="18"/>
  <c r="V24" i="18" s="1"/>
  <c r="J24" i="18"/>
  <c r="U24" i="18" s="1"/>
  <c r="D24" i="18"/>
  <c r="C24" i="18"/>
  <c r="B24" i="18"/>
  <c r="A24" i="18"/>
  <c r="T23" i="18"/>
  <c r="W23" i="18" s="1"/>
  <c r="O23" i="18"/>
  <c r="V23" i="18" s="1"/>
  <c r="J23" i="18"/>
  <c r="U23" i="18" s="1"/>
  <c r="D23" i="18"/>
  <c r="C23" i="18"/>
  <c r="B23" i="18"/>
  <c r="A23" i="18"/>
  <c r="T22" i="18"/>
  <c r="W22" i="18" s="1"/>
  <c r="O22" i="18"/>
  <c r="V22" i="18" s="1"/>
  <c r="J22" i="18"/>
  <c r="U22" i="18" s="1"/>
  <c r="D22" i="18"/>
  <c r="C22" i="18"/>
  <c r="B22" i="18"/>
  <c r="A22" i="18"/>
  <c r="T21" i="18"/>
  <c r="W21" i="18" s="1"/>
  <c r="O21" i="18"/>
  <c r="V21" i="18" s="1"/>
  <c r="J21" i="18"/>
  <c r="U21" i="18" s="1"/>
  <c r="D21" i="18"/>
  <c r="C21" i="18"/>
  <c r="B21" i="18"/>
  <c r="A21" i="18"/>
  <c r="T20" i="18"/>
  <c r="W20" i="18" s="1"/>
  <c r="O20" i="18"/>
  <c r="V20" i="18" s="1"/>
  <c r="J20" i="18"/>
  <c r="U20" i="18" s="1"/>
  <c r="D20" i="18"/>
  <c r="C20" i="18"/>
  <c r="B20" i="18"/>
  <c r="A20" i="18"/>
  <c r="T19" i="18"/>
  <c r="W19" i="18" s="1"/>
  <c r="O19" i="18"/>
  <c r="V19" i="18" s="1"/>
  <c r="J19" i="18"/>
  <c r="U19" i="18" s="1"/>
  <c r="D19" i="18"/>
  <c r="C19" i="18"/>
  <c r="B19" i="18"/>
  <c r="A19" i="18"/>
  <c r="T18" i="18"/>
  <c r="W18" i="18" s="1"/>
  <c r="O18" i="18"/>
  <c r="V18" i="18" s="1"/>
  <c r="J18" i="18"/>
  <c r="U18" i="18" s="1"/>
  <c r="D18" i="18"/>
  <c r="C18" i="18"/>
  <c r="B18" i="18"/>
  <c r="A18" i="18"/>
  <c r="T17" i="18"/>
  <c r="W17" i="18" s="1"/>
  <c r="O17" i="18"/>
  <c r="V17" i="18" s="1"/>
  <c r="J17" i="18"/>
  <c r="U17" i="18" s="1"/>
  <c r="D17" i="18"/>
  <c r="C17" i="18"/>
  <c r="B17" i="18"/>
  <c r="A17" i="18"/>
  <c r="T16" i="18"/>
  <c r="W16" i="18" s="1"/>
  <c r="O16" i="18"/>
  <c r="V16" i="18" s="1"/>
  <c r="J16" i="18"/>
  <c r="U16" i="18" s="1"/>
  <c r="D16" i="18"/>
  <c r="C16" i="18"/>
  <c r="B16" i="18"/>
  <c r="A16" i="18"/>
  <c r="T15" i="18"/>
  <c r="W15" i="18" s="1"/>
  <c r="O15" i="18"/>
  <c r="V15" i="18" s="1"/>
  <c r="J15" i="18"/>
  <c r="U15" i="18" s="1"/>
  <c r="D15" i="18"/>
  <c r="C15" i="18"/>
  <c r="B15" i="18"/>
  <c r="A15" i="18"/>
  <c r="T14" i="18"/>
  <c r="W14" i="18" s="1"/>
  <c r="O14" i="18"/>
  <c r="V14" i="18" s="1"/>
  <c r="J14" i="18"/>
  <c r="U14" i="18" s="1"/>
  <c r="D14" i="18"/>
  <c r="C14" i="18"/>
  <c r="B14" i="18"/>
  <c r="A14" i="18"/>
  <c r="T13" i="18"/>
  <c r="W13" i="18" s="1"/>
  <c r="O13" i="18"/>
  <c r="V13" i="18" s="1"/>
  <c r="J13" i="18"/>
  <c r="U13" i="18" s="1"/>
  <c r="D13" i="18"/>
  <c r="C13" i="18"/>
  <c r="B13" i="18"/>
  <c r="A13" i="18"/>
  <c r="T12" i="18"/>
  <c r="W12" i="18" s="1"/>
  <c r="O12" i="18"/>
  <c r="V12" i="18" s="1"/>
  <c r="J12" i="18"/>
  <c r="U12" i="18" s="1"/>
  <c r="D12" i="18"/>
  <c r="C12" i="18"/>
  <c r="B12" i="18"/>
  <c r="A12" i="18"/>
  <c r="T11" i="18"/>
  <c r="W11" i="18" s="1"/>
  <c r="O11" i="18"/>
  <c r="V11" i="18" s="1"/>
  <c r="J11" i="18"/>
  <c r="U11" i="18" s="1"/>
  <c r="D11" i="18"/>
  <c r="C11" i="18"/>
  <c r="B11" i="18"/>
  <c r="A11" i="18"/>
  <c r="T10" i="18"/>
  <c r="O10" i="18"/>
  <c r="J10" i="18"/>
  <c r="D10" i="18"/>
  <c r="C10" i="18"/>
  <c r="B10" i="18"/>
  <c r="A10" i="18" s="1"/>
  <c r="D9" i="18"/>
  <c r="C9" i="18"/>
  <c r="D8" i="18"/>
  <c r="D7" i="18"/>
  <c r="D6" i="18"/>
  <c r="C6" i="18"/>
  <c r="C7" i="18" s="1"/>
  <c r="C8" i="18" s="1"/>
  <c r="O5" i="18"/>
  <c r="J5" i="18"/>
  <c r="D5" i="18"/>
  <c r="C5" i="18"/>
  <c r="B5" i="18"/>
  <c r="B6" i="18" s="1"/>
  <c r="A5" i="18"/>
  <c r="T4" i="18"/>
  <c r="W4" i="18" s="1"/>
  <c r="O4" i="18"/>
  <c r="J4" i="18"/>
  <c r="W3" i="18"/>
  <c r="V3" i="18"/>
  <c r="U3" i="18"/>
  <c r="W2" i="18"/>
  <c r="V2" i="18"/>
  <c r="U2" i="18"/>
  <c r="BO1" i="18"/>
  <c r="AT1" i="18"/>
  <c r="Y1" i="18"/>
  <c r="T30" i="17"/>
  <c r="W30" i="17" s="1"/>
  <c r="O30" i="17"/>
  <c r="V30" i="17" s="1"/>
  <c r="J30" i="17"/>
  <c r="U30" i="17" s="1"/>
  <c r="D30" i="17"/>
  <c r="C30" i="17"/>
  <c r="B30" i="17"/>
  <c r="A30" i="17"/>
  <c r="T29" i="17"/>
  <c r="W29" i="17" s="1"/>
  <c r="O29" i="17"/>
  <c r="V29" i="17" s="1"/>
  <c r="J29" i="17"/>
  <c r="U29" i="17" s="1"/>
  <c r="D29" i="17"/>
  <c r="C29" i="17"/>
  <c r="B29" i="17"/>
  <c r="A29" i="17"/>
  <c r="T28" i="17"/>
  <c r="W28" i="17" s="1"/>
  <c r="O28" i="17"/>
  <c r="V28" i="17" s="1"/>
  <c r="J28" i="17"/>
  <c r="U28" i="17" s="1"/>
  <c r="D28" i="17"/>
  <c r="C28" i="17"/>
  <c r="B28" i="17"/>
  <c r="A28" i="17"/>
  <c r="T27" i="17"/>
  <c r="W27" i="17" s="1"/>
  <c r="O27" i="17"/>
  <c r="V27" i="17" s="1"/>
  <c r="J27" i="17"/>
  <c r="U27" i="17" s="1"/>
  <c r="D27" i="17"/>
  <c r="C27" i="17"/>
  <c r="B27" i="17"/>
  <c r="A27" i="17"/>
  <c r="T26" i="17"/>
  <c r="W26" i="17" s="1"/>
  <c r="O26" i="17"/>
  <c r="V26" i="17" s="1"/>
  <c r="J26" i="17"/>
  <c r="U26" i="17" s="1"/>
  <c r="D26" i="17"/>
  <c r="C26" i="17"/>
  <c r="B26" i="17"/>
  <c r="A26" i="17"/>
  <c r="T25" i="17"/>
  <c r="W25" i="17" s="1"/>
  <c r="O25" i="17"/>
  <c r="V25" i="17" s="1"/>
  <c r="J25" i="17"/>
  <c r="U25" i="17" s="1"/>
  <c r="D25" i="17"/>
  <c r="C25" i="17"/>
  <c r="B25" i="17"/>
  <c r="A25" i="17"/>
  <c r="T24" i="17"/>
  <c r="W24" i="17" s="1"/>
  <c r="O24" i="17"/>
  <c r="V24" i="17" s="1"/>
  <c r="J24" i="17"/>
  <c r="U24" i="17" s="1"/>
  <c r="D24" i="17"/>
  <c r="C24" i="17"/>
  <c r="B24" i="17"/>
  <c r="A24" i="17"/>
  <c r="T23" i="17"/>
  <c r="W23" i="17" s="1"/>
  <c r="O23" i="17"/>
  <c r="V23" i="17" s="1"/>
  <c r="J23" i="17"/>
  <c r="U23" i="17" s="1"/>
  <c r="D23" i="17"/>
  <c r="C23" i="17"/>
  <c r="B23" i="17"/>
  <c r="A23" i="17"/>
  <c r="T22" i="17"/>
  <c r="W22" i="17" s="1"/>
  <c r="O22" i="17"/>
  <c r="V22" i="17" s="1"/>
  <c r="J22" i="17"/>
  <c r="U22" i="17" s="1"/>
  <c r="D22" i="17"/>
  <c r="C22" i="17"/>
  <c r="B22" i="17"/>
  <c r="A22" i="17"/>
  <c r="T21" i="17"/>
  <c r="W21" i="17" s="1"/>
  <c r="O21" i="17"/>
  <c r="V21" i="17" s="1"/>
  <c r="J21" i="17"/>
  <c r="U21" i="17" s="1"/>
  <c r="D21" i="17"/>
  <c r="C21" i="17"/>
  <c r="B21" i="17"/>
  <c r="A21" i="17"/>
  <c r="T20" i="17"/>
  <c r="W20" i="17" s="1"/>
  <c r="O20" i="17"/>
  <c r="V20" i="17" s="1"/>
  <c r="J20" i="17"/>
  <c r="U20" i="17" s="1"/>
  <c r="D20" i="17"/>
  <c r="C20" i="17"/>
  <c r="B20" i="17"/>
  <c r="A20" i="17"/>
  <c r="T19" i="17"/>
  <c r="W19" i="17" s="1"/>
  <c r="O19" i="17"/>
  <c r="V19" i="17" s="1"/>
  <c r="J19" i="17"/>
  <c r="U19" i="17" s="1"/>
  <c r="D19" i="17"/>
  <c r="C19" i="17"/>
  <c r="B19" i="17"/>
  <c r="A19" i="17"/>
  <c r="T18" i="17"/>
  <c r="W18" i="17" s="1"/>
  <c r="O18" i="17"/>
  <c r="V18" i="17" s="1"/>
  <c r="J18" i="17"/>
  <c r="U18" i="17" s="1"/>
  <c r="D18" i="17"/>
  <c r="C18" i="17"/>
  <c r="B18" i="17"/>
  <c r="A18" i="17"/>
  <c r="T17" i="17"/>
  <c r="W17" i="17" s="1"/>
  <c r="O17" i="17"/>
  <c r="V17" i="17" s="1"/>
  <c r="J17" i="17"/>
  <c r="U17" i="17" s="1"/>
  <c r="D17" i="17"/>
  <c r="C17" i="17"/>
  <c r="B17" i="17"/>
  <c r="A17" i="17"/>
  <c r="T16" i="17"/>
  <c r="W16" i="17" s="1"/>
  <c r="O16" i="17"/>
  <c r="V16" i="17" s="1"/>
  <c r="J16" i="17"/>
  <c r="U16" i="17" s="1"/>
  <c r="D16" i="17"/>
  <c r="C16" i="17"/>
  <c r="B16" i="17"/>
  <c r="A16" i="17"/>
  <c r="D15" i="17"/>
  <c r="C15" i="17"/>
  <c r="D14" i="17"/>
  <c r="C14" i="17"/>
  <c r="D13" i="17"/>
  <c r="D12" i="17"/>
  <c r="D11" i="17"/>
  <c r="C11" i="17"/>
  <c r="C12" i="17" s="1"/>
  <c r="C13" i="17" s="1"/>
  <c r="D10" i="17"/>
  <c r="D9" i="17"/>
  <c r="D7" i="17"/>
  <c r="D8" i="17" s="1"/>
  <c r="C7" i="17"/>
  <c r="C8" i="17" s="1"/>
  <c r="C9" i="17" s="1"/>
  <c r="C10" i="17" s="1"/>
  <c r="D6" i="17"/>
  <c r="C6" i="17"/>
  <c r="J5" i="17"/>
  <c r="D5" i="17"/>
  <c r="C5" i="17"/>
  <c r="B5" i="17"/>
  <c r="B6" i="17" s="1"/>
  <c r="A5" i="17"/>
  <c r="T4" i="17"/>
  <c r="O4" i="17"/>
  <c r="O5" i="17" s="1"/>
  <c r="J4" i="17"/>
  <c r="W3" i="17"/>
  <c r="V3" i="17"/>
  <c r="U3" i="17"/>
  <c r="W2" i="17"/>
  <c r="V2" i="17"/>
  <c r="U2" i="17"/>
  <c r="BO1" i="17"/>
  <c r="AT1" i="17"/>
  <c r="Y1" i="17"/>
  <c r="T30" i="16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 s="1"/>
  <c r="T15" i="16"/>
  <c r="O15" i="16"/>
  <c r="J15" i="16"/>
  <c r="U15" i="16" s="1"/>
  <c r="D15" i="16"/>
  <c r="C15" i="16"/>
  <c r="B15" i="16"/>
  <c r="A15" i="16" s="1"/>
  <c r="T14" i="16"/>
  <c r="O14" i="16"/>
  <c r="J14" i="16"/>
  <c r="D14" i="16"/>
  <c r="C14" i="16"/>
  <c r="B14" i="16"/>
  <c r="A14" i="16" s="1"/>
  <c r="D13" i="16"/>
  <c r="D12" i="16"/>
  <c r="D11" i="16"/>
  <c r="D10" i="16"/>
  <c r="D8" i="16"/>
  <c r="D9" i="16" s="1"/>
  <c r="C8" i="16"/>
  <c r="C9" i="16" s="1"/>
  <c r="C10" i="16" s="1"/>
  <c r="C11" i="16" s="1"/>
  <c r="C12" i="16" s="1"/>
  <c r="C13" i="16" s="1"/>
  <c r="D7" i="16"/>
  <c r="C7" i="16"/>
  <c r="D6" i="16"/>
  <c r="C6" i="16"/>
  <c r="O5" i="16"/>
  <c r="J5" i="16"/>
  <c r="D5" i="16"/>
  <c r="C5" i="16"/>
  <c r="B5" i="16"/>
  <c r="B6" i="16" s="1"/>
  <c r="T4" i="16"/>
  <c r="O4" i="16"/>
  <c r="J4" i="16"/>
  <c r="W3" i="16"/>
  <c r="V3" i="16"/>
  <c r="U3" i="16"/>
  <c r="W2" i="16"/>
  <c r="V2" i="16"/>
  <c r="U2" i="16"/>
  <c r="BO1" i="16"/>
  <c r="AT1" i="16"/>
  <c r="Y1" i="16"/>
  <c r="V10" i="18" l="1"/>
  <c r="U10" i="18"/>
  <c r="W10" i="18"/>
  <c r="U4" i="18"/>
  <c r="A6" i="18"/>
  <c r="B7" i="18"/>
  <c r="V4" i="18"/>
  <c r="T5" i="18"/>
  <c r="U5" i="18" s="1"/>
  <c r="J6" i="18"/>
  <c r="O6" i="18"/>
  <c r="U4" i="17"/>
  <c r="V4" i="17"/>
  <c r="O6" i="17"/>
  <c r="B7" i="17"/>
  <c r="T5" i="17"/>
  <c r="U5" i="17" s="1"/>
  <c r="J6" i="17"/>
  <c r="W4" i="17"/>
  <c r="A6" i="17"/>
  <c r="V15" i="16"/>
  <c r="W15" i="16"/>
  <c r="V14" i="16"/>
  <c r="U14" i="16"/>
  <c r="W14" i="16"/>
  <c r="V4" i="16"/>
  <c r="W4" i="16"/>
  <c r="U4" i="16"/>
  <c r="B7" i="16"/>
  <c r="T5" i="16"/>
  <c r="V5" i="16" s="1"/>
  <c r="J6" i="16"/>
  <c r="O6" i="16"/>
  <c r="A5" i="16"/>
  <c r="A6" i="16" s="1"/>
  <c r="W3" i="1"/>
  <c r="V3" i="1"/>
  <c r="U3" i="1"/>
  <c r="W5" i="18" l="1"/>
  <c r="T6" i="18"/>
  <c r="U6" i="18"/>
  <c r="J7" i="18"/>
  <c r="B8" i="18"/>
  <c r="A7" i="18"/>
  <c r="V6" i="18"/>
  <c r="O7" i="18"/>
  <c r="V5" i="18"/>
  <c r="V5" i="17"/>
  <c r="J7" i="17"/>
  <c r="B8" i="17"/>
  <c r="A8" i="17" s="1"/>
  <c r="W5" i="17"/>
  <c r="T6" i="17"/>
  <c r="U6" i="17" s="1"/>
  <c r="A7" i="17"/>
  <c r="V6" i="17"/>
  <c r="O7" i="17"/>
  <c r="A7" i="16"/>
  <c r="O7" i="16"/>
  <c r="J7" i="16"/>
  <c r="B8" i="16"/>
  <c r="A8" i="16" s="1"/>
  <c r="W5" i="16"/>
  <c r="T6" i="16"/>
  <c r="U6" i="16" s="1"/>
  <c r="U5" i="16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A8" i="18" l="1"/>
  <c r="B9" i="18"/>
  <c r="A9" i="18" s="1"/>
  <c r="J8" i="18"/>
  <c r="W6" i="18"/>
  <c r="T7" i="18"/>
  <c r="U7" i="18" s="1"/>
  <c r="O8" i="18"/>
  <c r="V7" i="18"/>
  <c r="O8" i="17"/>
  <c r="V7" i="17"/>
  <c r="J8" i="17"/>
  <c r="W6" i="17"/>
  <c r="T7" i="17"/>
  <c r="B9" i="17"/>
  <c r="A9" i="17" s="1"/>
  <c r="J8" i="16"/>
  <c r="W6" i="16"/>
  <c r="T7" i="16"/>
  <c r="U7" i="16" s="1"/>
  <c r="B9" i="16"/>
  <c r="A9" i="16"/>
  <c r="O8" i="16"/>
  <c r="V7" i="16"/>
  <c r="V6" i="16"/>
  <c r="B5" i="1"/>
  <c r="A5" i="1" s="1"/>
  <c r="D6" i="1"/>
  <c r="B6" i="1"/>
  <c r="A6" i="1" s="1"/>
  <c r="D5" i="1"/>
  <c r="O9" i="18" l="1"/>
  <c r="T8" i="18"/>
  <c r="W7" i="18"/>
  <c r="J9" i="18"/>
  <c r="U8" i="18"/>
  <c r="B10" i="17"/>
  <c r="A10" i="17" s="1"/>
  <c r="J9" i="17"/>
  <c r="O9" i="17"/>
  <c r="W7" i="17"/>
  <c r="T8" i="17"/>
  <c r="U7" i="17"/>
  <c r="O9" i="16"/>
  <c r="B10" i="16"/>
  <c r="A10" i="16" s="1"/>
  <c r="T8" i="16"/>
  <c r="W7" i="16"/>
  <c r="U8" i="16"/>
  <c r="J9" i="16"/>
  <c r="Y1" i="1"/>
  <c r="W8" i="18" l="1"/>
  <c r="T9" i="18"/>
  <c r="W9" i="18" s="1"/>
  <c r="V9" i="18"/>
  <c r="U9" i="18"/>
  <c r="V8" i="18"/>
  <c r="W8" i="17"/>
  <c r="T9" i="17"/>
  <c r="V9" i="17"/>
  <c r="O10" i="17"/>
  <c r="U8" i="17"/>
  <c r="B11" i="17"/>
  <c r="V8" i="17"/>
  <c r="J10" i="17"/>
  <c r="J10" i="16"/>
  <c r="O10" i="16"/>
  <c r="W8" i="16"/>
  <c r="T9" i="16"/>
  <c r="V9" i="16" s="1"/>
  <c r="B11" i="16"/>
  <c r="V8" i="16"/>
  <c r="BO1" i="1"/>
  <c r="AT1" i="1"/>
  <c r="U10" i="17" l="1"/>
  <c r="J11" i="17"/>
  <c r="W9" i="17"/>
  <c r="T10" i="17"/>
  <c r="U9" i="17"/>
  <c r="B12" i="17"/>
  <c r="A11" i="17"/>
  <c r="A12" i="17" s="1"/>
  <c r="V10" i="17"/>
  <c r="O11" i="17"/>
  <c r="U9" i="16"/>
  <c r="B12" i="16"/>
  <c r="A11" i="16"/>
  <c r="W9" i="16"/>
  <c r="T10" i="16"/>
  <c r="V10" i="16"/>
  <c r="O11" i="16"/>
  <c r="U10" i="16"/>
  <c r="J11" i="16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O12" i="17" l="1"/>
  <c r="V11" i="17"/>
  <c r="U11" i="17"/>
  <c r="J12" i="17"/>
  <c r="B13" i="17"/>
  <c r="A13" i="17"/>
  <c r="W10" i="17"/>
  <c r="T11" i="17"/>
  <c r="B13" i="16"/>
  <c r="A13" i="16" s="1"/>
  <c r="W10" i="16"/>
  <c r="T11" i="16"/>
  <c r="U11" i="16"/>
  <c r="J12" i="16"/>
  <c r="O12" i="16"/>
  <c r="V11" i="16"/>
  <c r="A12" i="16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V12" i="17" l="1"/>
  <c r="O13" i="17"/>
  <c r="T12" i="17"/>
  <c r="W11" i="17"/>
  <c r="B14" i="17"/>
  <c r="A14" i="17" s="1"/>
  <c r="J13" i="17"/>
  <c r="U12" i="17"/>
  <c r="J13" i="16"/>
  <c r="O13" i="16"/>
  <c r="W11" i="16"/>
  <c r="T12" i="16"/>
  <c r="W2" i="1"/>
  <c r="V2" i="1"/>
  <c r="U2" i="1"/>
  <c r="U13" i="17" l="1"/>
  <c r="J14" i="17"/>
  <c r="A15" i="17"/>
  <c r="B15" i="17"/>
  <c r="W12" i="17"/>
  <c r="T13" i="17"/>
  <c r="V13" i="17"/>
  <c r="O14" i="17"/>
  <c r="W12" i="16"/>
  <c r="T13" i="16"/>
  <c r="W13" i="16" s="1"/>
  <c r="V12" i="16"/>
  <c r="V13" i="16"/>
  <c r="U12" i="16"/>
  <c r="J4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V14" i="17" l="1"/>
  <c r="O15" i="17"/>
  <c r="W13" i="17"/>
  <c r="T14" i="17"/>
  <c r="U14" i="17"/>
  <c r="J15" i="17"/>
  <c r="U13" i="16"/>
  <c r="B8" i="1"/>
  <c r="A8" i="1" s="1"/>
  <c r="A7" i="1"/>
  <c r="J5" i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V15" i="17" l="1"/>
  <c r="W14" i="17"/>
  <c r="T15" i="17"/>
  <c r="W15" i="17" s="1"/>
  <c r="U4" i="1"/>
  <c r="W4" i="1"/>
  <c r="V4" i="1"/>
  <c r="J6" i="1"/>
  <c r="T5" i="1"/>
  <c r="V5" i="1" s="1"/>
  <c r="O6" i="1"/>
  <c r="B10" i="1"/>
  <c r="U15" i="17" l="1"/>
  <c r="U6" i="1"/>
  <c r="U5" i="1"/>
  <c r="W5" i="1"/>
  <c r="O7" i="1"/>
  <c r="J7" i="1"/>
  <c r="J8" i="1"/>
  <c r="B11" i="1"/>
  <c r="A11" i="1" s="1"/>
  <c r="A10" i="1"/>
  <c r="O8" i="1"/>
  <c r="T6" i="1"/>
  <c r="V6" i="1" s="1"/>
  <c r="B12" i="1"/>
  <c r="A12" i="1" s="1"/>
  <c r="W6" i="1" l="1"/>
  <c r="T7" i="1"/>
  <c r="U7" i="1" s="1"/>
  <c r="J9" i="1"/>
  <c r="T8" i="1"/>
  <c r="W8" i="1" s="1"/>
  <c r="O9" i="1"/>
  <c r="B13" i="1"/>
  <c r="A13" i="1" s="1"/>
  <c r="V8" i="1" l="1"/>
  <c r="U8" i="1"/>
  <c r="V7" i="1"/>
  <c r="W7" i="1"/>
  <c r="J10" i="1"/>
  <c r="J11" i="1"/>
  <c r="O10" i="1"/>
  <c r="T9" i="1"/>
  <c r="U9" i="1" s="1"/>
  <c r="B14" i="1"/>
  <c r="A14" i="1" s="1"/>
  <c r="V9" i="1" l="1"/>
  <c r="W9" i="1"/>
  <c r="O11" i="1"/>
  <c r="J12" i="1"/>
  <c r="T10" i="1"/>
  <c r="V10" i="1" s="1"/>
  <c r="U10" i="1" l="1"/>
  <c r="W10" i="1"/>
  <c r="J13" i="1"/>
  <c r="O12" i="1"/>
  <c r="T11" i="1"/>
  <c r="V11" i="1" s="1"/>
  <c r="U11" i="1" l="1"/>
  <c r="W11" i="1"/>
  <c r="J14" i="1"/>
  <c r="O13" i="1"/>
  <c r="T12" i="1"/>
  <c r="U12" i="1" s="1"/>
  <c r="U14" i="1" l="1"/>
  <c r="V12" i="1"/>
  <c r="W12" i="1"/>
  <c r="O14" i="1"/>
  <c r="J15" i="1"/>
  <c r="U15" i="1" s="1"/>
  <c r="T13" i="1"/>
  <c r="U13" i="1" s="1"/>
  <c r="V14" i="1" l="1"/>
  <c r="V13" i="1"/>
  <c r="W13" i="1"/>
  <c r="T14" i="1"/>
  <c r="O15" i="1"/>
  <c r="V15" i="1" s="1"/>
  <c r="W14" i="1" l="1"/>
  <c r="T15" i="1"/>
  <c r="W15" i="1" s="1"/>
</calcChain>
</file>

<file path=xl/sharedStrings.xml><?xml version="1.0" encoding="utf-8"?>
<sst xmlns="http://schemas.openxmlformats.org/spreadsheetml/2006/main" count="858" uniqueCount="161">
  <si>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</si>
  <si>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</si>
  <si>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</si>
  <si>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</si>
  <si>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</si>
  <si>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</si>
  <si>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</si>
  <si>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</si>
  <si>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</si>
  <si>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</si>
  <si>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</si>
  <si>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</si>
  <si>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</si>
  <si>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</si>
  <si>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</si>
  <si>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</si>
  <si>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</si>
  <si>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</si>
  <si>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</si>
  <si>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</si>
  <si>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</si>
  <si>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</si>
  <si>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</si>
  <si>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</si>
  <si>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</si>
  <si>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</si>
  <si>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</si>
  <si>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</si>
  <si>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</si>
  <si>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</si>
  <si>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</si>
  <si>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</si>
  <si>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</si>
  <si>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</si>
  <si>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</si>
  <si>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</si>
  <si>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</si>
  <si>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</si>
  <si>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</si>
  <si>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</si>
  <si>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</si>
  <si>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</si>
  <si>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</si>
  <si>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</si>
  <si>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</si>
  <si>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</si>
  <si>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</si>
  <si>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</si>
  <si>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</si>
  <si>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</si>
  <si>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</si>
  <si>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</si>
  <si>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</si>
  <si>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</si>
  <si>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</si>
  <si>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</si>
  <si>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</si>
  <si>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</si>
  <si>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</si>
  <si>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</si>
  <si>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</si>
  <si>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</si>
  <si>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</si>
  <si>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</si>
  <si>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</si>
  <si>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</si>
  <si>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</si>
  <si>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</si>
  <si>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</si>
  <si>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</si>
  <si>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</si>
  <si>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</si>
  <si>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</si>
  <si>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</si>
  <si>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</si>
  <si>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</si>
  <si>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</si>
  <si>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</si>
  <si>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</si>
  <si>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</si>
  <si>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</si>
  <si>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</si>
  <si>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</si>
  <si>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</si>
  <si>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</si>
  <si>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</si>
  <si>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</si>
  <si>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</si>
  <si>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</si>
  <si>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</si>
  <si>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</si>
  <si>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</si>
  <si>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</si>
  <si>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</si>
  <si>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</si>
  <si>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</si>
  <si>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</si>
  <si>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</si>
  <si>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</si>
  <si>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</si>
  <si>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</si>
  <si>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</si>
  <si>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</si>
  <si>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</si>
  <si>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</si>
  <si>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</si>
  <si>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</si>
  <si>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</si>
  <si>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</si>
  <si>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</si>
  <si>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</si>
  <si>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</si>
  <si>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</si>
  <si>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</si>
  <si>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</si>
  <si>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</si>
  <si>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</si>
  <si>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</si>
  <si>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</si>
  <si>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</si>
  <si>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</si>
  <si>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</si>
  <si>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</si>
  <si>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</si>
  <si>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</si>
  <si>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</si>
  <si>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</si>
  <si>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</si>
  <si>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</si>
  <si>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</si>
  <si>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</si>
  <si>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</si>
  <si>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</si>
  <si>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</si>
  <si>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</si>
  <si>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</si>
  <si>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</si>
  <si>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</si>
  <si>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</si>
  <si>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だいち</t>
  </si>
  <si>
    <t>だいち</t>
    <phoneticPr fontId="1"/>
  </si>
  <si>
    <t>ただ</t>
  </si>
  <si>
    <t>ただ</t>
    <phoneticPr fontId="1"/>
  </si>
  <si>
    <t>たかの</t>
  </si>
  <si>
    <t>たかの</t>
    <phoneticPr fontId="1"/>
  </si>
  <si>
    <t>ロン</t>
  </si>
  <si>
    <t>放銃</t>
  </si>
  <si>
    <t>T</t>
  </si>
  <si>
    <t>N</t>
  </si>
  <si>
    <t>流局</t>
    <phoneticPr fontId="1"/>
  </si>
  <si>
    <t>01</t>
  </si>
  <si>
    <t>ツモ支払</t>
  </si>
  <si>
    <t>ツモ</t>
  </si>
  <si>
    <t>*</t>
  </si>
  <si>
    <t>52</t>
  </si>
  <si>
    <t>りくと</t>
  </si>
  <si>
    <t>りくと</t>
    <phoneticPr fontId="1"/>
  </si>
  <si>
    <t>02</t>
  </si>
  <si>
    <t>51</t>
  </si>
  <si>
    <t>れんたろう</t>
  </si>
  <si>
    <t>れんたろう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</si>
</sst>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2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140</v>
      </c>
      <c r="G1" s="74"/>
      <c r="H1" s="74"/>
      <c r="I1" s="83"/>
      <c r="J1" s="75"/>
      <c r="K1" s="72" t="s">
        <v>142</v>
      </c>
      <c r="L1" s="74"/>
      <c r="M1" s="74"/>
      <c r="N1" s="83"/>
      <c r="O1" s="75"/>
      <c r="P1" s="72" t="s">
        <v>144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ただ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たかの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だいち</v>
      </c>
      <c r="V2" s="27" t="str">
        <f>$K$1</f>
        <v>ただ</v>
      </c>
      <c r="W2" s="16" t="str">
        <f>$P$1</f>
        <v>たかの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141</v>
      </c>
      <c r="F4" s="8" t="s">
        <v>145</v>
      </c>
      <c r="G4" s="9">
        <v>2600</v>
      </c>
      <c r="H4" s="9"/>
      <c r="I4" s="55">
        <v>0</v>
      </c>
      <c r="J4" s="21">
        <f>IF(COUNTA($F4,$K4,$P4)&gt;0,J3+SUM(G4:I4),"")</f>
        <v>37600</v>
      </c>
      <c r="K4" s="8"/>
      <c r="L4" s="9"/>
      <c r="M4" s="9"/>
      <c r="N4" s="55"/>
      <c r="O4" s="21">
        <f>IF(COUNTA($F4,$K4,$P4)&gt;0,O3+SUM(L4:N4),"")</f>
        <v>35000</v>
      </c>
      <c r="P4" s="8" t="s">
        <v>146</v>
      </c>
      <c r="Q4" s="9">
        <v>-2600</v>
      </c>
      <c r="R4" s="9"/>
      <c r="S4" s="55">
        <v>0</v>
      </c>
      <c r="T4" s="21">
        <f>IF(COUNTA($F4,$K4,$P4)&gt;0,T3+SUM(Q4:S4),"")</f>
        <v>32400</v>
      </c>
      <c r="U4" s="60">
        <f>IF($J4="","",ROUND(($J4-$J$3)/1000,1)+(_xlfn.RANK.AVG($J4,($J4,$O4,$T4),1)-2)*20)</f>
        <v>22.6</v>
      </c>
      <c r="V4" s="61">
        <f>IF($O4="","",ROUND(($O4-$O$3)/1000,1)+(_xlfn.RANK.AVG($O4,($J4,$O4,$T4),1)-2)*20)</f>
        <v>0</v>
      </c>
      <c r="W4" s="62">
        <f>IF($T4="","",ROUND(($T4-$T$3)/1000,1)+(_xlfn.RANK.AVG($T4,($J4,$O4,$T4),1)-2)*20)</f>
        <v>-22.6</v>
      </c>
      <c r="Y4" s="8"/>
      <c r="Z4" s="41"/>
      <c r="AA4" s="32"/>
      <c r="AB4" s="32">
        <v>1</v>
      </c>
      <c r="AC4" s="32">
        <v>2</v>
      </c>
      <c r="AD4" s="36">
        <v>40</v>
      </c>
      <c r="AE4" s="47" t="s">
        <v>99</v>
      </c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>
        <v>1</v>
      </c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>
        <v>1</v>
      </c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143</v>
      </c>
      <c r="F5" s="8" t="s">
        <v>149</v>
      </c>
      <c r="G5" s="9">
        <v>1500</v>
      </c>
      <c r="H5" s="9">
        <v>-1000</v>
      </c>
      <c r="I5" s="55"/>
      <c r="J5" s="21">
        <f t="shared" ref="J5:J30" si="2">IF(COUNTA($F5,$K5,$P5)&gt;0,J4+SUM(G5:I5),"")</f>
        <v>38100</v>
      </c>
      <c r="K5" s="8" t="s">
        <v>149</v>
      </c>
      <c r="L5" s="9">
        <v>-3000</v>
      </c>
      <c r="M5" s="9"/>
      <c r="N5" s="55"/>
      <c r="O5" s="21">
        <f t="shared" ref="O5:O30" si="3">IF(COUNTA($F5,$K5,$P5)&gt;0,O4+SUM(L5:N5),"")</f>
        <v>32000</v>
      </c>
      <c r="P5" s="8" t="s">
        <v>149</v>
      </c>
      <c r="Q5" s="9">
        <v>1500</v>
      </c>
      <c r="R5" s="9"/>
      <c r="S5" s="55"/>
      <c r="T5" s="21">
        <f t="shared" ref="T5:T30" si="4">IF(COUNTA($F5,$K5,$P5)&gt;0,T4+SUM(Q5:S5),"")</f>
        <v>33900</v>
      </c>
      <c r="U5" s="60">
        <f>IF($J5="","",ROUND(($J5-$J$3)/1000,1)+(_xlfn.RANK.AVG($J5,($J5,$O5,$T5),1)-2)*20)</f>
        <v>23.1</v>
      </c>
      <c r="V5" s="61">
        <f>IF($O5="","",ROUND(($O5-$O$3)/1000,1)+(_xlfn.RANK.AVG($O5,($J5,$O5,$T5),1)-2)*20)</f>
        <v>-23</v>
      </c>
      <c r="W5" s="62">
        <f>IF($T5="","",ROUND(($T5-$T$3)/1000,1)+(_xlfn.RANK.AVG($T5,($J5,$O5,$T5),1)-2)*20)</f>
        <v>-1.1000000000000001</v>
      </c>
      <c r="Y5" s="8" t="s">
        <v>147</v>
      </c>
      <c r="Z5" s="41"/>
      <c r="AA5" s="32">
        <v>1</v>
      </c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 t="s">
        <v>148</v>
      </c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 t="s">
        <v>147</v>
      </c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1</v>
      </c>
      <c r="E6" s="4" t="s">
        <v>143</v>
      </c>
      <c r="F6" s="8" t="s">
        <v>145</v>
      </c>
      <c r="G6" s="9">
        <v>3900</v>
      </c>
      <c r="H6" s="9">
        <v>2000</v>
      </c>
      <c r="I6" s="55">
        <v>1000</v>
      </c>
      <c r="J6" s="21">
        <f t="shared" si="2"/>
        <v>45000</v>
      </c>
      <c r="K6" s="8" t="s">
        <v>146</v>
      </c>
      <c r="L6" s="9">
        <v>-3900</v>
      </c>
      <c r="M6" s="9"/>
      <c r="N6" s="55">
        <v>-1000</v>
      </c>
      <c r="O6" s="21">
        <f t="shared" si="3"/>
        <v>27100</v>
      </c>
      <c r="P6" s="8"/>
      <c r="Q6" s="9"/>
      <c r="R6" s="9">
        <v>-1000</v>
      </c>
      <c r="S6" s="55"/>
      <c r="T6" s="21">
        <f t="shared" si="4"/>
        <v>32900</v>
      </c>
      <c r="U6" s="60">
        <f>IF($J6="","",ROUND(($J6-$J$3)/1000,1)+(_xlfn.RANK.AVG($J6,($J6,$O6,$T6),1)-2)*20)</f>
        <v>30</v>
      </c>
      <c r="V6" s="61">
        <f>IF($O6="","",ROUND(($O6-$O$3)/1000,1)+(_xlfn.RANK.AVG($O6,($J6,$O6,$T6),1)-2)*20)</f>
        <v>-27.9</v>
      </c>
      <c r="W6" s="62">
        <f>IF($T6="","",ROUND(($T6-$T$3)/1000,1)+(_xlfn.RANK.AVG($T6,($J6,$O6,$T6),1)-2)*20)</f>
        <v>-2.1</v>
      </c>
      <c r="Y6" s="8"/>
      <c r="Z6" s="41"/>
      <c r="AA6" s="32"/>
      <c r="AB6" s="32">
        <v>1</v>
      </c>
      <c r="AC6" s="32">
        <v>3</v>
      </c>
      <c r="AD6" s="36">
        <v>30</v>
      </c>
      <c r="AE6" s="47" t="s">
        <v>87</v>
      </c>
      <c r="AF6" s="48" t="s">
        <v>87</v>
      </c>
      <c r="AG6" s="48" t="s">
        <v>80</v>
      </c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7">IF($E7="","",IF(AND(B6=3,B7=1),_xlfn.SWITCH(A6,"東","南","南","西","西","北","北","東"),A6))</f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139</v>
      </c>
      <c r="F7" s="8"/>
      <c r="G7" s="9"/>
      <c r="H7" s="9"/>
      <c r="I7" s="55"/>
      <c r="J7" s="21">
        <f t="shared" si="2"/>
        <v>45000</v>
      </c>
      <c r="K7" s="8" t="s">
        <v>146</v>
      </c>
      <c r="L7" s="9">
        <v>-1300</v>
      </c>
      <c r="M7" s="9"/>
      <c r="N7" s="55">
        <v>0</v>
      </c>
      <c r="O7" s="21">
        <f t="shared" si="3"/>
        <v>25800</v>
      </c>
      <c r="P7" s="8" t="s">
        <v>145</v>
      </c>
      <c r="Q7" s="9">
        <v>1300</v>
      </c>
      <c r="R7" s="9"/>
      <c r="S7" s="55">
        <v>0</v>
      </c>
      <c r="T7" s="21">
        <f t="shared" si="4"/>
        <v>34200</v>
      </c>
      <c r="U7" s="60">
        <f>IF($J7="","",ROUND(($J7-$J$3)/1000,1)+(_xlfn.RANK.AVG($J7,($J7,$O7,$T7),1)-2)*20)</f>
        <v>30</v>
      </c>
      <c r="V7" s="61">
        <f>IF($O7="","",ROUND(($O7-$O$3)/1000,1)+(_xlfn.RANK.AVG($O7,($J7,$O7,$T7),1)-2)*20)</f>
        <v>-29.2</v>
      </c>
      <c r="W7" s="62">
        <f>IF($T7="","",ROUND(($T7-$T$3)/1000,1)+(_xlfn.RANK.AVG($T7,($J7,$O7,$T7),1)-2)*20)</f>
        <v>-0.8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1</v>
      </c>
      <c r="BT7" s="36">
        <v>40</v>
      </c>
      <c r="BU7" s="47" t="s">
        <v>150</v>
      </c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7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141</v>
      </c>
      <c r="F8" s="8" t="s">
        <v>149</v>
      </c>
      <c r="G8" s="9">
        <v>3000</v>
      </c>
      <c r="H8" s="9"/>
      <c r="I8" s="55"/>
      <c r="J8" s="21">
        <f t="shared" si="2"/>
        <v>48000</v>
      </c>
      <c r="K8" s="8" t="s">
        <v>149</v>
      </c>
      <c r="L8" s="9">
        <v>-1500</v>
      </c>
      <c r="M8" s="9"/>
      <c r="N8" s="55"/>
      <c r="O8" s="21">
        <f t="shared" si="3"/>
        <v>24300</v>
      </c>
      <c r="P8" s="8" t="s">
        <v>149</v>
      </c>
      <c r="Q8" s="9">
        <v>-1500</v>
      </c>
      <c r="R8" s="9"/>
      <c r="S8" s="55"/>
      <c r="T8" s="21">
        <f t="shared" si="4"/>
        <v>32700</v>
      </c>
      <c r="U8" s="60">
        <f>IF($J8="","",ROUND(($J8-$J$3)/1000,1)+(_xlfn.RANK.AVG($J8,($J8,$O8,$T8),1)-2)*20)</f>
        <v>33</v>
      </c>
      <c r="V8" s="61">
        <f>IF($O8="","",ROUND(($O8-$O$3)/1000,1)+(_xlfn.RANK.AVG($O8,($J8,$O8,$T8),1)-2)*20)</f>
        <v>-30.7</v>
      </c>
      <c r="W8" s="62">
        <f>IF($T8="","",ROUND(($T8-$T$3)/1000,1)+(_xlfn.RANK.AVG($T8,($J8,$O8,$T8),1)-2)*20)</f>
        <v>-2.2999999999999998</v>
      </c>
      <c r="Y8" s="8" t="s">
        <v>147</v>
      </c>
      <c r="Z8" s="41"/>
      <c r="AA8" s="32"/>
      <c r="AB8" s="32">
        <v>1</v>
      </c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 t="s">
        <v>148</v>
      </c>
      <c r="AU8" s="41"/>
      <c r="AV8" s="32"/>
      <c r="AW8" s="32">
        <v>1</v>
      </c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 t="s">
        <v>148</v>
      </c>
      <c r="BP8" s="41"/>
      <c r="BQ8" s="32"/>
      <c r="BR8" s="32">
        <v>1</v>
      </c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7"/>
        <v>南</v>
      </c>
      <c r="B9" s="18">
        <f t="shared" si="5"/>
        <v>2</v>
      </c>
      <c r="C9" s="18">
        <f t="shared" si="6"/>
        <v>1</v>
      </c>
      <c r="D9" s="18">
        <f t="shared" si="1"/>
        <v>0</v>
      </c>
      <c r="E9" s="4" t="s">
        <v>143</v>
      </c>
      <c r="F9" s="8"/>
      <c r="G9" s="9"/>
      <c r="H9" s="9">
        <v>-1000</v>
      </c>
      <c r="I9" s="55"/>
      <c r="J9" s="21">
        <f t="shared" si="2"/>
        <v>47000</v>
      </c>
      <c r="K9" s="8" t="s">
        <v>146</v>
      </c>
      <c r="L9" s="9">
        <v>-7700</v>
      </c>
      <c r="M9" s="9"/>
      <c r="N9" s="55">
        <v>-1000</v>
      </c>
      <c r="O9" s="21">
        <f t="shared" si="3"/>
        <v>15600</v>
      </c>
      <c r="P9" s="8" t="s">
        <v>145</v>
      </c>
      <c r="Q9" s="9">
        <v>7700</v>
      </c>
      <c r="R9" s="9">
        <v>1000</v>
      </c>
      <c r="S9" s="55">
        <v>1000</v>
      </c>
      <c r="T9" s="21">
        <f t="shared" si="4"/>
        <v>42400</v>
      </c>
      <c r="U9" s="60">
        <f>IF($J9="","",ROUND(($J9-$J$3)/1000,1)+(_xlfn.RANK.AVG($J9,($J9,$O9,$T9),1)-2)*20)</f>
        <v>32</v>
      </c>
      <c r="V9" s="61">
        <f>IF($O9="","",ROUND(($O9-$O$3)/1000,1)+(_xlfn.RANK.AVG($O9,($J9,$O9,$T9),1)-2)*20)</f>
        <v>-39.4</v>
      </c>
      <c r="W9" s="62">
        <f>IF($T9="","",ROUND(($T9-$T$3)/1000,1)+(_xlfn.RANK.AVG($T9,($J9,$O9,$T9),1)-2)*20)</f>
        <v>7.4</v>
      </c>
      <c r="Y9" s="8"/>
      <c r="Z9" s="41"/>
      <c r="AA9" s="32">
        <v>1</v>
      </c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>
        <v>1</v>
      </c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>
        <v>1</v>
      </c>
      <c r="BS9" s="32">
        <v>3</v>
      </c>
      <c r="BT9" s="36">
        <v>40</v>
      </c>
      <c r="BU9" s="47" t="s">
        <v>99</v>
      </c>
      <c r="BV9" s="48" t="s">
        <v>87</v>
      </c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7"/>
        <v>南</v>
      </c>
      <c r="B10" s="18">
        <f t="shared" si="5"/>
        <v>2</v>
      </c>
      <c r="C10" s="18">
        <f t="shared" si="6"/>
        <v>2</v>
      </c>
      <c r="D10" s="18">
        <f t="shared" si="1"/>
        <v>0</v>
      </c>
      <c r="E10" s="4" t="s">
        <v>143</v>
      </c>
      <c r="F10" s="8" t="s">
        <v>151</v>
      </c>
      <c r="G10" s="9">
        <v>-12000</v>
      </c>
      <c r="H10" s="9"/>
      <c r="I10" s="55">
        <v>-1000</v>
      </c>
      <c r="J10" s="21">
        <f t="shared" si="2"/>
        <v>34000</v>
      </c>
      <c r="K10" s="8" t="s">
        <v>151</v>
      </c>
      <c r="L10" s="9">
        <v>-12000</v>
      </c>
      <c r="M10" s="9"/>
      <c r="N10" s="55">
        <v>-1000</v>
      </c>
      <c r="O10" s="21">
        <f t="shared" si="3"/>
        <v>2600</v>
      </c>
      <c r="P10" s="8" t="s">
        <v>152</v>
      </c>
      <c r="Q10" s="9">
        <v>24000</v>
      </c>
      <c r="R10" s="9"/>
      <c r="S10" s="55">
        <v>2000</v>
      </c>
      <c r="T10" s="21">
        <f t="shared" si="4"/>
        <v>68400</v>
      </c>
      <c r="U10" s="60">
        <f>IF($J10="","",ROUND(($J10-$J$3)/1000,1)+(_xlfn.RANK.AVG($J10,($J10,$O10,$T10),1)-2)*20)</f>
        <v>-1</v>
      </c>
      <c r="V10" s="61">
        <f>IF($O10="","",ROUND(($O10-$O$3)/1000,1)+(_xlfn.RANK.AVG($O10,($J10,$O10,$T10),1)-2)*20)</f>
        <v>-52.4</v>
      </c>
      <c r="W10" s="62">
        <f>IF($T10="","",ROUND(($T10-$T$3)/1000,1)+(_xlfn.RANK.AVG($T10,($J10,$O10,$T10),1)-2)*20)</f>
        <v>53.4</v>
      </c>
      <c r="Y10" s="8"/>
      <c r="Z10" s="41"/>
      <c r="AA10" s="32"/>
      <c r="AB10" s="32">
        <v>1</v>
      </c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>
        <v>1</v>
      </c>
      <c r="BS10" s="32">
        <v>8</v>
      </c>
      <c r="BT10" s="36" t="s">
        <v>153</v>
      </c>
      <c r="BU10" s="47" t="s">
        <v>105</v>
      </c>
      <c r="BV10" s="48" t="s">
        <v>87</v>
      </c>
      <c r="BW10" s="48" t="s">
        <v>87</v>
      </c>
      <c r="BX10" s="48" t="s">
        <v>154</v>
      </c>
      <c r="BY10" s="48" t="s">
        <v>80</v>
      </c>
      <c r="BZ10" s="48" t="s">
        <v>80</v>
      </c>
      <c r="CA10" s="48" t="s">
        <v>80</v>
      </c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7"/>
        <v>南</v>
      </c>
      <c r="B11" s="18">
        <f t="shared" si="5"/>
        <v>2</v>
      </c>
      <c r="C11" s="18">
        <f t="shared" si="6"/>
        <v>3</v>
      </c>
      <c r="D11" s="18">
        <f t="shared" si="1"/>
        <v>0</v>
      </c>
      <c r="E11" s="4" t="s">
        <v>143</v>
      </c>
      <c r="F11" s="8" t="s">
        <v>146</v>
      </c>
      <c r="G11" s="9">
        <v>-7700</v>
      </c>
      <c r="H11" s="9"/>
      <c r="I11" s="55">
        <v>-3000</v>
      </c>
      <c r="J11" s="21">
        <f t="shared" si="2"/>
        <v>23300</v>
      </c>
      <c r="K11" s="8"/>
      <c r="L11" s="9"/>
      <c r="M11" s="9"/>
      <c r="N11" s="55"/>
      <c r="O11" s="21">
        <f t="shared" si="3"/>
        <v>2600</v>
      </c>
      <c r="P11" s="8" t="s">
        <v>145</v>
      </c>
      <c r="Q11" s="9">
        <v>7700</v>
      </c>
      <c r="R11" s="9"/>
      <c r="S11" s="55">
        <v>3000</v>
      </c>
      <c r="T11" s="21">
        <f t="shared" si="4"/>
        <v>79100</v>
      </c>
      <c r="U11" s="60">
        <f>IF($J11="","",ROUND(($J11-$J$3)/1000,1)+(_xlfn.RANK.AVG($J11,($J11,$O11,$T11),1)-2)*20)</f>
        <v>-11.7</v>
      </c>
      <c r="V11" s="61">
        <f>IF($O11="","",ROUND(($O11-$O$3)/1000,1)+(_xlfn.RANK.AVG($O11,($J11,$O11,$T11),1)-2)*20)</f>
        <v>-52.4</v>
      </c>
      <c r="W11" s="62">
        <f>IF($T11="","",ROUND(($T11-$T$3)/1000,1)+(_xlfn.RANK.AVG($T11,($J11,$O11,$T11),1)-2)*20)</f>
        <v>64.099999999999994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>
        <v>1</v>
      </c>
      <c r="BR11" s="32"/>
      <c r="BS11" s="32">
        <v>3</v>
      </c>
      <c r="BT11" s="36">
        <v>40</v>
      </c>
      <c r="BU11" s="47" t="s">
        <v>150</v>
      </c>
      <c r="BV11" s="48" t="s">
        <v>80</v>
      </c>
      <c r="BW11" s="48" t="s">
        <v>80</v>
      </c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7"/>
        <v>南</v>
      </c>
      <c r="B12" s="18">
        <f t="shared" si="5"/>
        <v>2</v>
      </c>
      <c r="C12" s="18">
        <f t="shared" si="6"/>
        <v>4</v>
      </c>
      <c r="D12" s="18">
        <f t="shared" si="1"/>
        <v>0</v>
      </c>
      <c r="E12" s="4" t="s">
        <v>143</v>
      </c>
      <c r="F12" s="8" t="s">
        <v>146</v>
      </c>
      <c r="G12" s="9">
        <v>-5800</v>
      </c>
      <c r="H12" s="9"/>
      <c r="I12" s="55">
        <v>-4000</v>
      </c>
      <c r="J12" s="21">
        <f t="shared" si="2"/>
        <v>13500</v>
      </c>
      <c r="K12" s="8"/>
      <c r="L12" s="9"/>
      <c r="M12" s="9">
        <v>-1000</v>
      </c>
      <c r="N12" s="55"/>
      <c r="O12" s="21">
        <f t="shared" si="3"/>
        <v>1600</v>
      </c>
      <c r="P12" s="8" t="s">
        <v>145</v>
      </c>
      <c r="Q12" s="9">
        <v>5800</v>
      </c>
      <c r="R12" s="9">
        <v>1000</v>
      </c>
      <c r="S12" s="55">
        <v>4000</v>
      </c>
      <c r="T12" s="21">
        <f t="shared" si="4"/>
        <v>89900</v>
      </c>
      <c r="U12" s="60">
        <f>IF($J12="","",ROUND(($J12-$J$3)/1000,1)+(_xlfn.RANK.AVG($J12,($J12,$O12,$T12),1)-2)*20)</f>
        <v>-21.5</v>
      </c>
      <c r="V12" s="61">
        <f>IF($O12="","",ROUND(($O12-$O$3)/1000,1)+(_xlfn.RANK.AVG($O12,($J12,$O12,$T12),1)-2)*20)</f>
        <v>-53.4</v>
      </c>
      <c r="W12" s="62">
        <f>IF($T12="","",ROUND(($T12-$T$3)/1000,1)+(_xlfn.RANK.AVG($T12,($J12,$O12,$T12),1)-2)*20)</f>
        <v>74.900000000000006</v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>
        <v>1</v>
      </c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>
        <v>1</v>
      </c>
      <c r="BS12" s="32">
        <v>3</v>
      </c>
      <c r="BT12" s="36">
        <v>30</v>
      </c>
      <c r="BU12" s="47" t="s">
        <v>87</v>
      </c>
      <c r="BV12" s="48" t="s">
        <v>80</v>
      </c>
      <c r="BW12" s="48" t="s">
        <v>80</v>
      </c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7"/>
        <v>南</v>
      </c>
      <c r="B13" s="18">
        <f t="shared" si="5"/>
        <v>2</v>
      </c>
      <c r="C13" s="18">
        <f t="shared" si="6"/>
        <v>5</v>
      </c>
      <c r="D13" s="18">
        <f t="shared" si="1"/>
        <v>0</v>
      </c>
      <c r="E13" s="4" t="s">
        <v>143</v>
      </c>
      <c r="F13" s="8" t="s">
        <v>151</v>
      </c>
      <c r="G13" s="9">
        <v>-800</v>
      </c>
      <c r="H13" s="9"/>
      <c r="I13" s="55">
        <v>-2500</v>
      </c>
      <c r="J13" s="21">
        <f t="shared" si="2"/>
        <v>10200</v>
      </c>
      <c r="K13" s="8" t="s">
        <v>151</v>
      </c>
      <c r="L13" s="9">
        <v>-800</v>
      </c>
      <c r="M13" s="9">
        <v>-1000</v>
      </c>
      <c r="N13" s="55">
        <v>-2500</v>
      </c>
      <c r="O13" s="21">
        <f t="shared" si="3"/>
        <v>-2700</v>
      </c>
      <c r="P13" s="8" t="s">
        <v>152</v>
      </c>
      <c r="Q13" s="9">
        <v>1600</v>
      </c>
      <c r="R13" s="9">
        <v>1000</v>
      </c>
      <c r="S13" s="55">
        <v>5000</v>
      </c>
      <c r="T13" s="21">
        <f t="shared" si="4"/>
        <v>97500</v>
      </c>
      <c r="U13" s="60">
        <f>IF($J13="","",ROUND(($J13-$J$3)/1000,1)+(_xlfn.RANK.AVG($J13,($J13,$O13,$T13),1)-2)*20)</f>
        <v>-24.8</v>
      </c>
      <c r="V13" s="61">
        <f>IF($O13="","",ROUND(($O13-$O$3)/1000,1)+(_xlfn.RANK.AVG($O13,($J13,$O13,$T13),1)-2)*20)</f>
        <v>-57.7</v>
      </c>
      <c r="W13" s="62">
        <f>IF($T13="","",ROUND(($T13-$T$3)/1000,1)+(_xlfn.RANK.AVG($T13,($J13,$O13,$T13),1)-2)*20)</f>
        <v>82.5</v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>
        <v>1</v>
      </c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>
        <v>1</v>
      </c>
      <c r="BT13" s="36">
        <v>30</v>
      </c>
      <c r="BU13" s="47" t="s">
        <v>83</v>
      </c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7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7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7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7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7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7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7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7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7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7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7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7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7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7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7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7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7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86B57-ECCE-4E8A-98FB-728602775B18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156</v>
      </c>
      <c r="G1" s="74"/>
      <c r="H1" s="74"/>
      <c r="I1" s="83"/>
      <c r="J1" s="75"/>
      <c r="K1" s="72" t="s">
        <v>140</v>
      </c>
      <c r="L1" s="74"/>
      <c r="M1" s="74"/>
      <c r="N1" s="83"/>
      <c r="O1" s="75"/>
      <c r="P1" s="72" t="s">
        <v>144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りくと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だいち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たかの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りくと</v>
      </c>
      <c r="V2" s="71" t="str">
        <f>$K$1</f>
        <v>だいち</v>
      </c>
      <c r="W2" s="16" t="str">
        <f>$P$1</f>
        <v>たかの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143</v>
      </c>
      <c r="F4" s="8" t="s">
        <v>151</v>
      </c>
      <c r="G4" s="9">
        <v>-6000</v>
      </c>
      <c r="H4" s="9"/>
      <c r="I4" s="55">
        <v>0</v>
      </c>
      <c r="J4" s="21">
        <f>IF(COUNTA($F4,$K4,$P4)&gt;0,J3+SUM(G4:I4),"")</f>
        <v>29000</v>
      </c>
      <c r="K4" s="8" t="s">
        <v>151</v>
      </c>
      <c r="L4" s="9">
        <v>-6000</v>
      </c>
      <c r="M4" s="9"/>
      <c r="N4" s="55">
        <v>0</v>
      </c>
      <c r="O4" s="21">
        <f>IF(COUNTA($F4,$K4,$P4)&gt;0,O3+SUM(L4:N4),"")</f>
        <v>29000</v>
      </c>
      <c r="P4" s="8" t="s">
        <v>152</v>
      </c>
      <c r="Q4" s="9">
        <v>12000</v>
      </c>
      <c r="R4" s="9"/>
      <c r="S4" s="55">
        <v>0</v>
      </c>
      <c r="T4" s="21">
        <f>IF(COUNTA($F4,$K4,$P4)&gt;0,T3+SUM(Q4:S4),"")</f>
        <v>47000</v>
      </c>
      <c r="U4" s="60">
        <f>IF($J4="","",ROUND(($J4-$J$3)/1000,1)+(_xlfn.RANK.AVG($J4,($J4,$O4,$T4),1)-2)*20)</f>
        <v>-16</v>
      </c>
      <c r="V4" s="61">
        <f>IF($O4="","",ROUND(($O4-$O$3)/1000,1)+(_xlfn.RANK.AVG($O4,($J4,$O4,$T4),1)-2)*20)</f>
        <v>-16</v>
      </c>
      <c r="W4" s="62">
        <f>IF($T4="","",ROUND(($T4-$T$3)/1000,1)+(_xlfn.RANK.AVG($T4,($J4,$O4,$T4),1)-2)*20)</f>
        <v>32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>
        <v>1</v>
      </c>
      <c r="BS4" s="32">
        <v>4</v>
      </c>
      <c r="BT4" s="36">
        <v>40</v>
      </c>
      <c r="BU4" s="47" t="s">
        <v>105</v>
      </c>
      <c r="BV4" s="48" t="s">
        <v>80</v>
      </c>
      <c r="BW4" s="48" t="s">
        <v>80</v>
      </c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143</v>
      </c>
      <c r="F5" s="8" t="s">
        <v>146</v>
      </c>
      <c r="G5" s="9">
        <v>-1500</v>
      </c>
      <c r="H5" s="9"/>
      <c r="I5" s="55">
        <v>-1000</v>
      </c>
      <c r="J5" s="21">
        <f t="shared" ref="J5:J30" si="2">IF(COUNTA($F5,$K5,$P5)&gt;0,J4+SUM(G5:I5),"")</f>
        <v>26500</v>
      </c>
      <c r="K5" s="8"/>
      <c r="L5" s="9"/>
      <c r="M5" s="9"/>
      <c r="N5" s="55"/>
      <c r="O5" s="21">
        <f t="shared" ref="O5:O30" si="3">IF(COUNTA($F5,$K5,$P5)&gt;0,O4+SUM(L5:N5),"")</f>
        <v>29000</v>
      </c>
      <c r="P5" s="8" t="s">
        <v>145</v>
      </c>
      <c r="Q5" s="9">
        <v>1500</v>
      </c>
      <c r="R5" s="9"/>
      <c r="S5" s="55">
        <v>1000</v>
      </c>
      <c r="T5" s="21">
        <f t="shared" ref="T5:T30" si="4">IF(COUNTA($F5,$K5,$P5)&gt;0,T4+SUM(Q5:S5),"")</f>
        <v>49500</v>
      </c>
      <c r="U5" s="60">
        <f>IF($J5="","",ROUND(($J5-$J$3)/1000,1)+(_xlfn.RANK.AVG($J5,($J5,$O5,$T5),1)-2)*20)</f>
        <v>-28.5</v>
      </c>
      <c r="V5" s="61">
        <f>IF($O5="","",ROUND(($O5-$O$3)/1000,1)+(_xlfn.RANK.AVG($O5,($J5,$O5,$T5),1)-2)*20)</f>
        <v>-6</v>
      </c>
      <c r="W5" s="62">
        <f>IF($T5="","",ROUND(($T5-$T$3)/1000,1)+(_xlfn.RANK.AVG($T5,($J5,$O5,$T5),1)-2)*20)</f>
        <v>34.5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>
        <v>1</v>
      </c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>
        <v>1</v>
      </c>
      <c r="BT5" s="36">
        <v>30</v>
      </c>
      <c r="BU5" s="47" t="s">
        <v>87</v>
      </c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143</v>
      </c>
      <c r="F6" s="8" t="s">
        <v>152</v>
      </c>
      <c r="G6" s="9">
        <v>2100</v>
      </c>
      <c r="H6" s="9"/>
      <c r="I6" s="55">
        <v>2000</v>
      </c>
      <c r="J6" s="21">
        <f t="shared" si="2"/>
        <v>30600</v>
      </c>
      <c r="K6" s="8" t="s">
        <v>151</v>
      </c>
      <c r="L6" s="9">
        <v>-800</v>
      </c>
      <c r="M6" s="9"/>
      <c r="N6" s="55">
        <v>-1000</v>
      </c>
      <c r="O6" s="21">
        <f t="shared" si="3"/>
        <v>27200</v>
      </c>
      <c r="P6" s="8" t="s">
        <v>151</v>
      </c>
      <c r="Q6" s="9">
        <v>-1300</v>
      </c>
      <c r="R6" s="9"/>
      <c r="S6" s="55">
        <v>-1000</v>
      </c>
      <c r="T6" s="21">
        <f t="shared" si="4"/>
        <v>47200</v>
      </c>
      <c r="U6" s="60">
        <f>IF($J6="","",ROUND(($J6-$J$3)/1000,1)+(_xlfn.RANK.AVG($J6,($J6,$O6,$T6),1)-2)*20)</f>
        <v>-4.4000000000000004</v>
      </c>
      <c r="V6" s="61">
        <f>IF($O6="","",ROUND(($O6-$O$3)/1000,1)+(_xlfn.RANK.AVG($O6,($J6,$O6,$T6),1)-2)*20)</f>
        <v>-27.8</v>
      </c>
      <c r="W6" s="62">
        <f>IF($T6="","",ROUND(($T6-$T$3)/1000,1)+(_xlfn.RANK.AVG($T6,($J6,$O6,$T6),1)-2)*20)</f>
        <v>32.200000000000003</v>
      </c>
      <c r="Y6" s="8"/>
      <c r="Z6" s="41"/>
      <c r="AA6" s="32"/>
      <c r="AB6" s="32">
        <v>1</v>
      </c>
      <c r="AC6" s="32">
        <v>2</v>
      </c>
      <c r="AD6" s="36">
        <v>30</v>
      </c>
      <c r="AE6" s="47" t="s">
        <v>87</v>
      </c>
      <c r="AF6" s="48" t="s">
        <v>154</v>
      </c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">
        <v>155</v>
      </c>
      <c r="F7" s="8" t="s">
        <v>149</v>
      </c>
      <c r="G7" s="9">
        <v>-1500</v>
      </c>
      <c r="H7" s="9"/>
      <c r="I7" s="55"/>
      <c r="J7" s="21">
        <f t="shared" si="2"/>
        <v>29100</v>
      </c>
      <c r="K7" s="8" t="s">
        <v>149</v>
      </c>
      <c r="L7" s="9">
        <v>3000</v>
      </c>
      <c r="M7" s="9">
        <v>-1000</v>
      </c>
      <c r="N7" s="55"/>
      <c r="O7" s="21">
        <f t="shared" si="3"/>
        <v>29200</v>
      </c>
      <c r="P7" s="8" t="s">
        <v>149</v>
      </c>
      <c r="Q7" s="9">
        <v>-1500</v>
      </c>
      <c r="R7" s="9"/>
      <c r="S7" s="55"/>
      <c r="T7" s="21">
        <f t="shared" si="4"/>
        <v>45700</v>
      </c>
      <c r="U7" s="60">
        <f>IF($J7="","",ROUND(($J7-$J$3)/1000,1)+(_xlfn.RANK.AVG($J7,($J7,$O7,$T7),1)-2)*20)</f>
        <v>-25.9</v>
      </c>
      <c r="V7" s="61">
        <f>IF($O7="","",ROUND(($O7-$O$3)/1000,1)+(_xlfn.RANK.AVG($O7,($J7,$O7,$T7),1)-2)*20)</f>
        <v>-5.8</v>
      </c>
      <c r="W7" s="62">
        <f>IF($T7="","",ROUND(($T7-$T$3)/1000,1)+(_xlfn.RANK.AVG($T7,($J7,$O7,$T7),1)-2)*20)</f>
        <v>30.7</v>
      </c>
      <c r="Y7" s="8" t="s">
        <v>148</v>
      </c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 t="s">
        <v>147</v>
      </c>
      <c r="AU7" s="41"/>
      <c r="AV7" s="32">
        <v>1</v>
      </c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 t="s">
        <v>148</v>
      </c>
      <c r="BP7" s="41"/>
      <c r="BQ7" s="32"/>
      <c r="BR7" s="32">
        <v>1</v>
      </c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1</v>
      </c>
      <c r="E8" s="4" t="s">
        <v>139</v>
      </c>
      <c r="F8" s="8" t="s">
        <v>151</v>
      </c>
      <c r="G8" s="9">
        <v>-6000</v>
      </c>
      <c r="H8" s="9"/>
      <c r="I8" s="55">
        <v>-500</v>
      </c>
      <c r="J8" s="21">
        <f t="shared" si="2"/>
        <v>22600</v>
      </c>
      <c r="K8" s="8" t="s">
        <v>152</v>
      </c>
      <c r="L8" s="9">
        <v>12000</v>
      </c>
      <c r="M8" s="9">
        <v>1000</v>
      </c>
      <c r="N8" s="55">
        <v>1000</v>
      </c>
      <c r="O8" s="21">
        <f t="shared" si="3"/>
        <v>43200</v>
      </c>
      <c r="P8" s="8" t="s">
        <v>151</v>
      </c>
      <c r="Q8" s="9">
        <v>-6000</v>
      </c>
      <c r="R8" s="9"/>
      <c r="S8" s="55">
        <v>-500</v>
      </c>
      <c r="T8" s="21">
        <f t="shared" si="4"/>
        <v>39200</v>
      </c>
      <c r="U8" s="60">
        <f>IF($J8="","",ROUND(($J8-$J$3)/1000,1)+(_xlfn.RANK.AVG($J8,($J8,$O8,$T8),1)-2)*20)</f>
        <v>-32.4</v>
      </c>
      <c r="V8" s="61">
        <f>IF($O8="","",ROUND(($O8-$O$3)/1000,1)+(_xlfn.RANK.AVG($O8,($J8,$O8,$T8),1)-2)*20)</f>
        <v>28.2</v>
      </c>
      <c r="W8" s="62">
        <f>IF($T8="","",ROUND(($T8-$T$3)/1000,1)+(_xlfn.RANK.AVG($T8,($J8,$O8,$T8),1)-2)*20)</f>
        <v>4.2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>
        <v>4</v>
      </c>
      <c r="AY8" s="36">
        <v>50</v>
      </c>
      <c r="AZ8" s="47" t="s">
        <v>97</v>
      </c>
      <c r="BA8" s="48" t="s">
        <v>99</v>
      </c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2</v>
      </c>
      <c r="D9" s="18">
        <f t="shared" si="1"/>
        <v>0</v>
      </c>
      <c r="E9" s="4" t="s">
        <v>139</v>
      </c>
      <c r="F9" s="8" t="s">
        <v>151</v>
      </c>
      <c r="G9" s="9">
        <v>-2000</v>
      </c>
      <c r="H9" s="9"/>
      <c r="I9" s="55">
        <v>-1000</v>
      </c>
      <c r="J9" s="21">
        <f t="shared" si="2"/>
        <v>19600</v>
      </c>
      <c r="K9" s="8" t="s">
        <v>152</v>
      </c>
      <c r="L9" s="9">
        <v>4000</v>
      </c>
      <c r="M9" s="9"/>
      <c r="N9" s="55">
        <v>2000</v>
      </c>
      <c r="O9" s="21">
        <f t="shared" si="3"/>
        <v>49200</v>
      </c>
      <c r="P9" s="8" t="s">
        <v>151</v>
      </c>
      <c r="Q9" s="9">
        <v>-2000</v>
      </c>
      <c r="R9" s="9"/>
      <c r="S9" s="55">
        <v>-1000</v>
      </c>
      <c r="T9" s="21">
        <f t="shared" si="4"/>
        <v>36200</v>
      </c>
      <c r="U9" s="60">
        <f>IF($J9="","",ROUND(($J9-$J$3)/1000,1)+(_xlfn.RANK.AVG($J9,($J9,$O9,$T9),1)-2)*20)</f>
        <v>-35.4</v>
      </c>
      <c r="V9" s="61">
        <f>IF($O9="","",ROUND(($O9-$O$3)/1000,1)+(_xlfn.RANK.AVG($O9,($J9,$O9,$T9),1)-2)*20)</f>
        <v>34.200000000000003</v>
      </c>
      <c r="W9" s="62">
        <f>IF($T9="","",ROUND(($T9-$T$3)/1000,1)+(_xlfn.RANK.AVG($T9,($J9,$O9,$T9),1)-2)*20)</f>
        <v>1.2</v>
      </c>
      <c r="Y9" s="8"/>
      <c r="Z9" s="41"/>
      <c r="AA9" s="32"/>
      <c r="AB9" s="32">
        <v>1</v>
      </c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>
        <v>1</v>
      </c>
      <c r="AX9" s="32">
        <v>2</v>
      </c>
      <c r="AY9" s="36">
        <v>40</v>
      </c>
      <c r="AZ9" s="47" t="s">
        <v>87</v>
      </c>
      <c r="BA9" s="48" t="s">
        <v>87</v>
      </c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3</v>
      </c>
      <c r="D10" s="18">
        <f t="shared" si="1"/>
        <v>0</v>
      </c>
      <c r="E10" s="4" t="s">
        <v>139</v>
      </c>
      <c r="F10" s="8" t="s">
        <v>145</v>
      </c>
      <c r="G10" s="9">
        <v>5200</v>
      </c>
      <c r="H10" s="9"/>
      <c r="I10" s="55">
        <v>3000</v>
      </c>
      <c r="J10" s="21">
        <f t="shared" si="2"/>
        <v>27800</v>
      </c>
      <c r="K10" s="8"/>
      <c r="L10" s="9"/>
      <c r="M10" s="9"/>
      <c r="N10" s="55"/>
      <c r="O10" s="21">
        <f t="shared" si="3"/>
        <v>49200</v>
      </c>
      <c r="P10" s="8" t="s">
        <v>146</v>
      </c>
      <c r="Q10" s="9">
        <v>-5200</v>
      </c>
      <c r="R10" s="9"/>
      <c r="S10" s="55">
        <v>-3000</v>
      </c>
      <c r="T10" s="21">
        <f t="shared" si="4"/>
        <v>28000</v>
      </c>
      <c r="U10" s="60">
        <f>IF($J10="","",ROUND(($J10-$J$3)/1000,1)+(_xlfn.RANK.AVG($J10,($J10,$O10,$T10),1)-2)*20)</f>
        <v>-27.2</v>
      </c>
      <c r="V10" s="61">
        <f>IF($O10="","",ROUND(($O10-$O$3)/1000,1)+(_xlfn.RANK.AVG($O10,($J10,$O10,$T10),1)-2)*20)</f>
        <v>34.200000000000003</v>
      </c>
      <c r="W10" s="62">
        <f>IF($T10="","",ROUND(($T10-$T$3)/1000,1)+(_xlfn.RANK.AVG($T10,($J10,$O10,$T10),1)-2)*20)</f>
        <v>-7</v>
      </c>
      <c r="Y10" s="8"/>
      <c r="Z10" s="41"/>
      <c r="AA10" s="32">
        <v>1</v>
      </c>
      <c r="AB10" s="32"/>
      <c r="AC10" s="32">
        <v>3</v>
      </c>
      <c r="AD10" s="36">
        <v>40</v>
      </c>
      <c r="AE10" s="47" t="s">
        <v>150</v>
      </c>
      <c r="AF10" s="48" t="s">
        <v>80</v>
      </c>
      <c r="AG10" s="48" t="s">
        <v>81</v>
      </c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>
        <v>1</v>
      </c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">
        <v>143</v>
      </c>
      <c r="F11" s="8"/>
      <c r="G11" s="9"/>
      <c r="H11" s="9">
        <v>-1000</v>
      </c>
      <c r="I11" s="55"/>
      <c r="J11" s="21">
        <f t="shared" si="2"/>
        <v>26800</v>
      </c>
      <c r="K11" s="8" t="s">
        <v>146</v>
      </c>
      <c r="L11" s="9">
        <v>-18000</v>
      </c>
      <c r="M11" s="9">
        <v>-1000</v>
      </c>
      <c r="N11" s="55">
        <v>0</v>
      </c>
      <c r="O11" s="21">
        <f t="shared" si="3"/>
        <v>30200</v>
      </c>
      <c r="P11" s="8" t="s">
        <v>145</v>
      </c>
      <c r="Q11" s="9">
        <v>18000</v>
      </c>
      <c r="R11" s="9">
        <v>2000</v>
      </c>
      <c r="S11" s="55">
        <v>0</v>
      </c>
      <c r="T11" s="21">
        <f t="shared" si="4"/>
        <v>48000</v>
      </c>
      <c r="U11" s="60">
        <f>IF($J11="","",ROUND(($J11-$J$3)/1000,1)+(_xlfn.RANK.AVG($J11,($J11,$O11,$T11),1)-2)*20)</f>
        <v>-28.2</v>
      </c>
      <c r="V11" s="61">
        <f>IF($O11="","",ROUND(($O11-$O$3)/1000,1)+(_xlfn.RANK.AVG($O11,($J11,$O11,$T11),1)-2)*20)</f>
        <v>-4.8</v>
      </c>
      <c r="W11" s="62">
        <f>IF($T11="","",ROUND(($T11-$T$3)/1000,1)+(_xlfn.RANK.AVG($T11,($J11,$O11,$T11),1)-2)*20)</f>
        <v>33</v>
      </c>
      <c r="Y11" s="8"/>
      <c r="Z11" s="41"/>
      <c r="AA11" s="32">
        <v>1</v>
      </c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>
        <v>1</v>
      </c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>
        <v>1</v>
      </c>
      <c r="BS11" s="32">
        <v>6</v>
      </c>
      <c r="BT11" s="36" t="s">
        <v>153</v>
      </c>
      <c r="BU11" s="47" t="s">
        <v>99</v>
      </c>
      <c r="BV11" s="48" t="s">
        <v>87</v>
      </c>
      <c r="BW11" s="48" t="s">
        <v>87</v>
      </c>
      <c r="BX11" s="48" t="s">
        <v>105</v>
      </c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>南</v>
      </c>
      <c r="B12" s="18">
        <f t="shared" si="5"/>
        <v>1</v>
      </c>
      <c r="C12" s="18">
        <f t="shared" si="6"/>
        <v>1</v>
      </c>
      <c r="D12" s="18">
        <f t="shared" si="1"/>
        <v>0</v>
      </c>
      <c r="E12" s="4" t="s">
        <v>143</v>
      </c>
      <c r="F12" s="8" t="s">
        <v>149</v>
      </c>
      <c r="G12" s="9">
        <v>0</v>
      </c>
      <c r="H12" s="9"/>
      <c r="I12" s="55"/>
      <c r="J12" s="21">
        <f t="shared" si="2"/>
        <v>26800</v>
      </c>
      <c r="K12" s="8" t="s">
        <v>149</v>
      </c>
      <c r="L12" s="9">
        <v>0</v>
      </c>
      <c r="M12" s="9"/>
      <c r="N12" s="55"/>
      <c r="O12" s="21">
        <f t="shared" si="3"/>
        <v>30200</v>
      </c>
      <c r="P12" s="8" t="s">
        <v>149</v>
      </c>
      <c r="Q12" s="9">
        <v>0</v>
      </c>
      <c r="R12" s="9"/>
      <c r="S12" s="55"/>
      <c r="T12" s="21">
        <f t="shared" si="4"/>
        <v>48000</v>
      </c>
      <c r="U12" s="60">
        <f>IF($J12="","",ROUND(($J12-$J$3)/1000,1)+(_xlfn.RANK.AVG($J12,($J12,$O12,$T12),1)-2)*20)</f>
        <v>-28.2</v>
      </c>
      <c r="V12" s="61">
        <f>IF($O12="","",ROUND(($O12-$O$3)/1000,1)+(_xlfn.RANK.AVG($O12,($J12,$O12,$T12),1)-2)*20)</f>
        <v>-4.8</v>
      </c>
      <c r="W12" s="62">
        <f>IF($T12="","",ROUND(($T12-$T$3)/1000,1)+(_xlfn.RANK.AVG($T12,($J12,$O12,$T12),1)-2)*20)</f>
        <v>33</v>
      </c>
      <c r="Y12" s="8" t="s">
        <v>147</v>
      </c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 t="s">
        <v>147</v>
      </c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 t="s">
        <v>147</v>
      </c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>南</v>
      </c>
      <c r="B13" s="18">
        <f t="shared" si="5"/>
        <v>1</v>
      </c>
      <c r="C13" s="18">
        <f t="shared" si="6"/>
        <v>2</v>
      </c>
      <c r="D13" s="18">
        <f t="shared" si="1"/>
        <v>0</v>
      </c>
      <c r="E13" s="4" t="s">
        <v>143</v>
      </c>
      <c r="F13" s="8" t="s">
        <v>145</v>
      </c>
      <c r="G13" s="9">
        <v>8000</v>
      </c>
      <c r="H13" s="9"/>
      <c r="I13" s="55">
        <v>2000</v>
      </c>
      <c r="J13" s="21">
        <f t="shared" si="2"/>
        <v>36800</v>
      </c>
      <c r="K13" s="8" t="s">
        <v>146</v>
      </c>
      <c r="L13" s="9">
        <v>-8000</v>
      </c>
      <c r="M13" s="9"/>
      <c r="N13" s="55">
        <v>-2000</v>
      </c>
      <c r="O13" s="21">
        <f t="shared" si="3"/>
        <v>20200</v>
      </c>
      <c r="P13" s="8"/>
      <c r="Q13" s="9"/>
      <c r="R13" s="9"/>
      <c r="S13" s="55"/>
      <c r="T13" s="21">
        <f t="shared" si="4"/>
        <v>48000</v>
      </c>
      <c r="U13" s="60">
        <f>IF($J13="","",ROUND(($J13-$J$3)/1000,1)+(_xlfn.RANK.AVG($J13,($J13,$O13,$T13),1)-2)*20)</f>
        <v>1.8</v>
      </c>
      <c r="V13" s="61">
        <f>IF($O13="","",ROUND(($O13-$O$3)/1000,1)+(_xlfn.RANK.AVG($O13,($J13,$O13,$T13),1)-2)*20)</f>
        <v>-34.799999999999997</v>
      </c>
      <c r="W13" s="62">
        <f>IF($T13="","",ROUND(($T13-$T$3)/1000,1)+(_xlfn.RANK.AVG($T13,($J13,$O13,$T13),1)-2)*20)</f>
        <v>33</v>
      </c>
      <c r="Y13" s="8"/>
      <c r="Z13" s="41"/>
      <c r="AA13" s="32">
        <v>1</v>
      </c>
      <c r="AB13" s="32"/>
      <c r="AC13" s="32">
        <v>4</v>
      </c>
      <c r="AD13" s="36">
        <v>40</v>
      </c>
      <c r="AE13" s="47" t="s">
        <v>150</v>
      </c>
      <c r="AF13" s="48" t="s">
        <v>157</v>
      </c>
      <c r="AG13" s="48" t="s">
        <v>154</v>
      </c>
      <c r="AH13" s="48" t="s">
        <v>81</v>
      </c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>南</v>
      </c>
      <c r="B14" s="18">
        <f t="shared" si="5"/>
        <v>2</v>
      </c>
      <c r="C14" s="18">
        <f t="shared" si="6"/>
        <v>0</v>
      </c>
      <c r="D14" s="18">
        <f t="shared" si="1"/>
        <v>0</v>
      </c>
      <c r="E14" s="4" t="s">
        <v>155</v>
      </c>
      <c r="F14" s="8" t="s">
        <v>151</v>
      </c>
      <c r="G14" s="9">
        <v>-7500</v>
      </c>
      <c r="H14" s="9"/>
      <c r="I14" s="55">
        <v>0</v>
      </c>
      <c r="J14" s="21">
        <f t="shared" si="2"/>
        <v>29300</v>
      </c>
      <c r="K14" s="8" t="s">
        <v>152</v>
      </c>
      <c r="L14" s="9">
        <v>12000</v>
      </c>
      <c r="M14" s="9"/>
      <c r="N14" s="55">
        <v>0</v>
      </c>
      <c r="O14" s="21">
        <f t="shared" si="3"/>
        <v>32200</v>
      </c>
      <c r="P14" s="8" t="s">
        <v>151</v>
      </c>
      <c r="Q14" s="9">
        <v>-4500</v>
      </c>
      <c r="R14" s="9"/>
      <c r="S14" s="55">
        <v>0</v>
      </c>
      <c r="T14" s="21">
        <f t="shared" si="4"/>
        <v>43500</v>
      </c>
      <c r="U14" s="60">
        <f>IF($J14="","",ROUND(($J14-$J$3)/1000,1)+(_xlfn.RANK.AVG($J14,($J14,$O14,$T14),1)-2)*20)</f>
        <v>-25.7</v>
      </c>
      <c r="V14" s="61">
        <f>IF($O14="","",ROUND(($O14-$O$3)/1000,1)+(_xlfn.RANK.AVG($O14,($J14,$O14,$T14),1)-2)*20)</f>
        <v>-2.8</v>
      </c>
      <c r="W14" s="62">
        <f>IF($T14="","",ROUND(($T14-$T$3)/1000,1)+(_xlfn.RANK.AVG($T14,($J14,$O14,$T14),1)-2)*20)</f>
        <v>28.5</v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>
        <v>1</v>
      </c>
      <c r="AW14" s="32"/>
      <c r="AX14" s="32">
        <v>6</v>
      </c>
      <c r="AY14" s="36" t="s">
        <v>153</v>
      </c>
      <c r="AZ14" s="47" t="s">
        <v>158</v>
      </c>
      <c r="BA14" s="48" t="s">
        <v>83</v>
      </c>
      <c r="BB14" s="48" t="s">
        <v>157</v>
      </c>
      <c r="BC14" s="48" t="s">
        <v>84</v>
      </c>
      <c r="BD14" s="48" t="s">
        <v>80</v>
      </c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>南</v>
      </c>
      <c r="B15" s="18">
        <f t="shared" si="5"/>
        <v>3</v>
      </c>
      <c r="C15" s="18">
        <f t="shared" si="6"/>
        <v>0</v>
      </c>
      <c r="D15" s="18">
        <f t="shared" si="1"/>
        <v>0</v>
      </c>
      <c r="E15" s="4" t="s">
        <v>139</v>
      </c>
      <c r="F15" s="8" t="s">
        <v>145</v>
      </c>
      <c r="G15" s="9">
        <v>16000</v>
      </c>
      <c r="H15" s="9"/>
      <c r="I15" s="55">
        <v>0</v>
      </c>
      <c r="J15" s="21">
        <f t="shared" si="2"/>
        <v>45300</v>
      </c>
      <c r="K15" s="8"/>
      <c r="L15" s="9"/>
      <c r="M15" s="9"/>
      <c r="N15" s="55"/>
      <c r="O15" s="21">
        <f t="shared" si="3"/>
        <v>32200</v>
      </c>
      <c r="P15" s="8" t="s">
        <v>146</v>
      </c>
      <c r="Q15" s="9">
        <v>-16000</v>
      </c>
      <c r="R15" s="9"/>
      <c r="S15" s="55">
        <v>0</v>
      </c>
      <c r="T15" s="21">
        <f t="shared" si="4"/>
        <v>27500</v>
      </c>
      <c r="U15" s="60">
        <f>IF($J15="","",ROUND(($J15-$J$3)/1000,1)+(_xlfn.RANK.AVG($J15,($J15,$O15,$T15),1)-2)*20)</f>
        <v>30.3</v>
      </c>
      <c r="V15" s="61">
        <f>IF($O15="","",ROUND(($O15-$O$3)/1000,1)+(_xlfn.RANK.AVG($O15,($J15,$O15,$T15),1)-2)*20)</f>
        <v>-2.8</v>
      </c>
      <c r="W15" s="62">
        <f>IF($T15="","",ROUND(($T15-$T$3)/1000,1)+(_xlfn.RANK.AVG($T15,($J15,$O15,$T15),1)-2)*20)</f>
        <v>-27.5</v>
      </c>
      <c r="Y15" s="8"/>
      <c r="Z15" s="41"/>
      <c r="AA15" s="32">
        <v>1</v>
      </c>
      <c r="AB15" s="32"/>
      <c r="AC15" s="32">
        <v>8</v>
      </c>
      <c r="AD15" s="36" t="s">
        <v>153</v>
      </c>
      <c r="AE15" s="47" t="s">
        <v>150</v>
      </c>
      <c r="AF15" s="48" t="s">
        <v>157</v>
      </c>
      <c r="AG15" s="48" t="s">
        <v>87</v>
      </c>
      <c r="AH15" s="48" t="s">
        <v>80</v>
      </c>
      <c r="AI15" s="48" t="s">
        <v>80</v>
      </c>
      <c r="AJ15" s="48" t="s">
        <v>80</v>
      </c>
      <c r="AK15" s="48" t="s">
        <v>154</v>
      </c>
      <c r="AL15" s="48" t="s">
        <v>81</v>
      </c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>
        <v>1</v>
      </c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allowBlank="1" showInputMessage="1" showErrorMessage="1" sqref="E4:E30" xr:uid="{6D024451-294C-4C37-B1AE-53377A8D1B5F}">
      <formula1>$U$2:$W$2</formula1>
    </dataValidation>
    <dataValidation type="list" showInputMessage="1" showErrorMessage="1" sqref="K4:K30 P4:P30 F4:F30" xr:uid="{DA6221FD-B00C-4DAB-A0E6-CCA642D483EF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C57D2F-F9E0-4865-B6EA-041CE1448BCF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156</v>
      </c>
      <c r="G1" s="74"/>
      <c r="H1" s="74"/>
      <c r="I1" s="83"/>
      <c r="J1" s="75"/>
      <c r="K1" s="72" t="s">
        <v>140</v>
      </c>
      <c r="L1" s="74"/>
      <c r="M1" s="74"/>
      <c r="N1" s="83"/>
      <c r="O1" s="75"/>
      <c r="P1" s="72" t="s">
        <v>160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りくと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だいち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れんたろう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りくと</v>
      </c>
      <c r="V2" s="71" t="str">
        <f>$K$1</f>
        <v>だいち</v>
      </c>
      <c r="W2" s="16" t="str">
        <f>$P$1</f>
        <v>れんたろう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159</v>
      </c>
      <c r="F4" s="8" t="s">
        <v>152</v>
      </c>
      <c r="G4" s="9">
        <v>8000</v>
      </c>
      <c r="H4" s="9"/>
      <c r="I4" s="55">
        <v>0</v>
      </c>
      <c r="J4" s="21">
        <f>IF(COUNTA($F4,$K4,$P4)&gt;0,J3+SUM(G4:I4),"")</f>
        <v>43000</v>
      </c>
      <c r="K4" s="8" t="s">
        <v>151</v>
      </c>
      <c r="L4" s="9">
        <v>-3000</v>
      </c>
      <c r="M4" s="9"/>
      <c r="N4" s="55">
        <v>0</v>
      </c>
      <c r="O4" s="21">
        <f>IF(COUNTA($F4,$K4,$P4)&gt;0,O3+SUM(L4:N4),"")</f>
        <v>32000</v>
      </c>
      <c r="P4" s="8" t="s">
        <v>151</v>
      </c>
      <c r="Q4" s="9">
        <v>-5000</v>
      </c>
      <c r="R4" s="9"/>
      <c r="S4" s="55">
        <v>0</v>
      </c>
      <c r="T4" s="21">
        <f>IF(COUNTA($F4,$K4,$P4)&gt;0,T3+SUM(Q4:S4),"")</f>
        <v>30000</v>
      </c>
      <c r="U4" s="60">
        <f>IF($J4="","",ROUND(($J4-$J$3)/1000,1)+(_xlfn.RANK.AVG($J4,($J4,$O4,$T4),1)-2)*20)</f>
        <v>28</v>
      </c>
      <c r="V4" s="61">
        <f>IF($O4="","",ROUND(($O4-$O$3)/1000,1)+(_xlfn.RANK.AVG($O4,($J4,$O4,$T4),1)-2)*20)</f>
        <v>-3</v>
      </c>
      <c r="W4" s="62">
        <f>IF($T4="","",ROUND(($T4-$T$3)/1000,1)+(_xlfn.RANK.AVG($T4,($J4,$O4,$T4),1)-2)*20)</f>
        <v>-25</v>
      </c>
      <c r="Y4" s="8"/>
      <c r="Z4" s="41"/>
      <c r="AA4" s="32"/>
      <c r="AB4" s="32"/>
      <c r="AC4" s="32">
        <v>4</v>
      </c>
      <c r="AD4" s="36">
        <v>40</v>
      </c>
      <c r="AE4" s="47" t="s">
        <v>83</v>
      </c>
      <c r="AF4" s="48" t="s">
        <v>97</v>
      </c>
      <c r="AG4" s="48" t="s">
        <v>87</v>
      </c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>
        <v>1</v>
      </c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155</v>
      </c>
      <c r="F5" s="8" t="s">
        <v>151</v>
      </c>
      <c r="G5" s="9">
        <v>-900</v>
      </c>
      <c r="H5" s="9"/>
      <c r="I5" s="55">
        <v>0</v>
      </c>
      <c r="J5" s="21">
        <f t="shared" ref="J5:J30" si="2">IF(COUNTA($F5,$K5,$P5)&gt;0,J4+SUM(G5:I5),"")</f>
        <v>42100</v>
      </c>
      <c r="K5" s="8" t="s">
        <v>152</v>
      </c>
      <c r="L5" s="9">
        <v>1500</v>
      </c>
      <c r="M5" s="9">
        <v>1000</v>
      </c>
      <c r="N5" s="55">
        <v>0</v>
      </c>
      <c r="O5" s="21">
        <f t="shared" ref="O5:O30" si="3">IF(COUNTA($F5,$K5,$P5)&gt;0,O4+SUM(L5:N5),"")</f>
        <v>34500</v>
      </c>
      <c r="P5" s="8" t="s">
        <v>151</v>
      </c>
      <c r="Q5" s="9">
        <v>-600</v>
      </c>
      <c r="R5" s="9">
        <v>-1000</v>
      </c>
      <c r="S5" s="55">
        <v>0</v>
      </c>
      <c r="T5" s="21">
        <f t="shared" ref="T5:T30" si="4">IF(COUNTA($F5,$K5,$P5)&gt;0,T4+SUM(Q5:S5),"")</f>
        <v>28400</v>
      </c>
      <c r="U5" s="60">
        <f>IF($J5="","",ROUND(($J5-$J$3)/1000,1)+(_xlfn.RANK.AVG($J5,($J5,$O5,$T5),1)-2)*20)</f>
        <v>27.1</v>
      </c>
      <c r="V5" s="61">
        <f>IF($O5="","",ROUND(($O5-$O$3)/1000,1)+(_xlfn.RANK.AVG($O5,($J5,$O5,$T5),1)-2)*20)</f>
        <v>-0.5</v>
      </c>
      <c r="W5" s="62">
        <f>IF($T5="","",ROUND(($T5-$T$3)/1000,1)+(_xlfn.RANK.AVG($T5,($J5,$O5,$T5),1)-2)*20)</f>
        <v>-26.6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>
        <v>2</v>
      </c>
      <c r="AY5" s="36">
        <v>20</v>
      </c>
      <c r="AZ5" s="47" t="s">
        <v>83</v>
      </c>
      <c r="BA5" s="48" t="s">
        <v>84</v>
      </c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139</v>
      </c>
      <c r="F6" s="8" t="s">
        <v>151</v>
      </c>
      <c r="G6" s="9">
        <v>-5800</v>
      </c>
      <c r="H6" s="9"/>
      <c r="I6" s="55">
        <v>0</v>
      </c>
      <c r="J6" s="21">
        <f t="shared" si="2"/>
        <v>36300</v>
      </c>
      <c r="K6" s="8" t="s">
        <v>152</v>
      </c>
      <c r="L6" s="9">
        <v>11600</v>
      </c>
      <c r="M6" s="9"/>
      <c r="N6" s="55">
        <v>0</v>
      </c>
      <c r="O6" s="21">
        <f t="shared" si="3"/>
        <v>46100</v>
      </c>
      <c r="P6" s="8" t="s">
        <v>151</v>
      </c>
      <c r="Q6" s="9">
        <v>-5800</v>
      </c>
      <c r="R6" s="9"/>
      <c r="S6" s="55">
        <v>0</v>
      </c>
      <c r="T6" s="21">
        <f t="shared" si="4"/>
        <v>22600</v>
      </c>
      <c r="U6" s="60">
        <f>IF($J6="","",ROUND(($J6-$J$3)/1000,1)+(_xlfn.RANK.AVG($J6,($J6,$O6,$T6),1)-2)*20)</f>
        <v>1.3</v>
      </c>
      <c r="V6" s="61">
        <f>IF($O6="","",ROUND(($O6-$O$3)/1000,1)+(_xlfn.RANK.AVG($O6,($J6,$O6,$T6),1)-2)*20)</f>
        <v>31.1</v>
      </c>
      <c r="W6" s="62">
        <f>IF($T6="","",ROUND(($T6-$T$3)/1000,1)+(_xlfn.RANK.AVG($T6,($J6,$O6,$T6),1)-2)*20)</f>
        <v>-32.4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>
        <v>4</v>
      </c>
      <c r="AY6" s="36">
        <v>30</v>
      </c>
      <c r="AZ6" s="47" t="s">
        <v>150</v>
      </c>
      <c r="BA6" s="48" t="s">
        <v>83</v>
      </c>
      <c r="BB6" s="48" t="s">
        <v>86</v>
      </c>
      <c r="BC6" s="48" t="s">
        <v>81</v>
      </c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139</v>
      </c>
      <c r="F7" s="8" t="s">
        <v>146</v>
      </c>
      <c r="G7" s="9">
        <v>-5800</v>
      </c>
      <c r="H7" s="9"/>
      <c r="I7" s="55">
        <v>-1000</v>
      </c>
      <c r="J7" s="21">
        <f t="shared" si="2"/>
        <v>29500</v>
      </c>
      <c r="K7" s="8" t="s">
        <v>145</v>
      </c>
      <c r="L7" s="9">
        <v>5800</v>
      </c>
      <c r="M7" s="9"/>
      <c r="N7" s="55">
        <v>1000</v>
      </c>
      <c r="O7" s="21">
        <f t="shared" si="3"/>
        <v>52900</v>
      </c>
      <c r="P7" s="8"/>
      <c r="Q7" s="9"/>
      <c r="R7" s="9"/>
      <c r="S7" s="55"/>
      <c r="T7" s="21">
        <f t="shared" si="4"/>
        <v>22600</v>
      </c>
      <c r="U7" s="60">
        <f>IF($J7="","",ROUND(($J7-$J$3)/1000,1)+(_xlfn.RANK.AVG($J7,($J7,$O7,$T7),1)-2)*20)</f>
        <v>-5.5</v>
      </c>
      <c r="V7" s="61">
        <f>IF($O7="","",ROUND(($O7-$O$3)/1000,1)+(_xlfn.RANK.AVG($O7,($J7,$O7,$T7),1)-2)*20)</f>
        <v>37.9</v>
      </c>
      <c r="W7" s="62">
        <f>IF($T7="","",ROUND(($T7-$T$3)/1000,1)+(_xlfn.RANK.AVG($T7,($J7,$O7,$T7),1)-2)*20)</f>
        <v>-32.4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>
        <v>1</v>
      </c>
      <c r="AW7" s="32"/>
      <c r="AX7" s="32">
        <v>3</v>
      </c>
      <c r="AY7" s="36">
        <v>30</v>
      </c>
      <c r="AZ7" s="47" t="s">
        <v>150</v>
      </c>
      <c r="BA7" s="48" t="s">
        <v>84</v>
      </c>
      <c r="BB7" s="48" t="s">
        <v>80</v>
      </c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0</v>
      </c>
      <c r="E8" s="4" t="s">
        <v>139</v>
      </c>
      <c r="F8" s="8"/>
      <c r="G8" s="9"/>
      <c r="H8" s="9"/>
      <c r="I8" s="55"/>
      <c r="J8" s="21">
        <f t="shared" si="2"/>
        <v>29500</v>
      </c>
      <c r="K8" s="8" t="s">
        <v>146</v>
      </c>
      <c r="L8" s="9">
        <v>-8000</v>
      </c>
      <c r="M8" s="9"/>
      <c r="N8" s="55">
        <v>-2000</v>
      </c>
      <c r="O8" s="21">
        <f t="shared" si="3"/>
        <v>42900</v>
      </c>
      <c r="P8" s="8" t="s">
        <v>145</v>
      </c>
      <c r="Q8" s="9">
        <v>8000</v>
      </c>
      <c r="R8" s="9"/>
      <c r="S8" s="55">
        <v>2000</v>
      </c>
      <c r="T8" s="21">
        <f t="shared" si="4"/>
        <v>32600</v>
      </c>
      <c r="U8" s="60">
        <f>IF($J8="","",ROUND(($J8-$J$3)/1000,1)+(_xlfn.RANK.AVG($J8,($J8,$O8,$T8),1)-2)*20)</f>
        <v>-25.5</v>
      </c>
      <c r="V8" s="61">
        <f>IF($O8="","",ROUND(($O8-$O$3)/1000,1)+(_xlfn.RANK.AVG($O8,($J8,$O8,$T8),1)-2)*20)</f>
        <v>27.9</v>
      </c>
      <c r="W8" s="62">
        <f>IF($T8="","",ROUND(($T8-$T$3)/1000,1)+(_xlfn.RANK.AVG($T8,($J8,$O8,$T8),1)-2)*20)</f>
        <v>-2.4</v>
      </c>
      <c r="Y8" s="8"/>
      <c r="Z8" s="41"/>
      <c r="AA8" s="32"/>
      <c r="AB8" s="32">
        <v>1</v>
      </c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>
        <v>5</v>
      </c>
      <c r="BT8" s="36" t="s">
        <v>153</v>
      </c>
      <c r="BU8" s="47" t="s">
        <v>87</v>
      </c>
      <c r="BV8" s="48" t="s">
        <v>87</v>
      </c>
      <c r="BW8" s="48" t="s">
        <v>80</v>
      </c>
      <c r="BX8" s="48" t="s">
        <v>80</v>
      </c>
      <c r="BY8" s="48" t="s">
        <v>80</v>
      </c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159</v>
      </c>
      <c r="F9" s="8"/>
      <c r="G9" s="9"/>
      <c r="H9" s="9"/>
      <c r="I9" s="55"/>
      <c r="J9" s="21">
        <f t="shared" si="2"/>
        <v>29500</v>
      </c>
      <c r="K9" s="8" t="s">
        <v>146</v>
      </c>
      <c r="L9" s="9">
        <v>-48000</v>
      </c>
      <c r="M9" s="9">
        <v>-1000</v>
      </c>
      <c r="N9" s="55">
        <v>0</v>
      </c>
      <c r="O9" s="21">
        <f t="shared" si="3"/>
        <v>-6100</v>
      </c>
      <c r="P9" s="8" t="s">
        <v>145</v>
      </c>
      <c r="Q9" s="9">
        <v>48000</v>
      </c>
      <c r="R9" s="9">
        <v>1000</v>
      </c>
      <c r="S9" s="55">
        <v>0</v>
      </c>
      <c r="T9" s="21">
        <f t="shared" si="4"/>
        <v>81600</v>
      </c>
      <c r="U9" s="60">
        <f>IF($J9="","",ROUND(($J9-$J$3)/1000,1)+(_xlfn.RANK.AVG($J9,($J9,$O9,$T9),1)-2)*20)</f>
        <v>-5.5</v>
      </c>
      <c r="V9" s="61">
        <f>IF($O9="","",ROUND(($O9-$O$3)/1000,1)+(_xlfn.RANK.AVG($O9,($J9,$O9,$T9),1)-2)*20)</f>
        <v>-61.1</v>
      </c>
      <c r="W9" s="62">
        <f>IF($T9="","",ROUND(($T9-$T$3)/1000,1)+(_xlfn.RANK.AVG($T9,($J9,$O9,$T9),1)-2)*20)</f>
        <v>66.599999999999994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>
        <v>13</v>
      </c>
      <c r="BT9" s="36" t="s">
        <v>153</v>
      </c>
      <c r="BU9" s="47" t="s">
        <v>108</v>
      </c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55"/>
      <c r="J10" s="21" t="str">
        <f t="shared" si="2"/>
        <v/>
      </c>
      <c r="K10" s="8"/>
      <c r="L10" s="9"/>
      <c r="M10" s="9"/>
      <c r="N10" s="55"/>
      <c r="O10" s="21" t="str">
        <f t="shared" si="3"/>
        <v/>
      </c>
      <c r="P10" s="8"/>
      <c r="Q10" s="9"/>
      <c r="R10" s="9"/>
      <c r="S10" s="55"/>
      <c r="T10" s="21" t="str">
        <f t="shared" si="4"/>
        <v/>
      </c>
      <c r="U10" s="60" t="str">
        <f>IF($J10="","",ROUND(($J10-$J$3)/1000,1)+(_xlfn.RANK.AVG($J10,($J10,$O10,$T10),1)-2)*20)</f>
        <v/>
      </c>
      <c r="V10" s="61" t="str">
        <f>IF($O10="","",ROUND(($O10-$O$3)/1000,1)+(_xlfn.RANK.AVG($O10,($J10,$O10,$T10),1)-2)*20)</f>
        <v/>
      </c>
      <c r="W10" s="62" t="str">
        <f>IF($T10="","",ROUND(($T10-$T$3)/1000,1)+(_xlfn.RANK.AVG($T10,($J10,$O10,$T10),1)-2)*20)</f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55"/>
      <c r="J11" s="21" t="str">
        <f t="shared" si="2"/>
        <v/>
      </c>
      <c r="K11" s="8"/>
      <c r="L11" s="9"/>
      <c r="M11" s="9"/>
      <c r="N11" s="55"/>
      <c r="O11" s="21" t="str">
        <f t="shared" si="3"/>
        <v/>
      </c>
      <c r="P11" s="8"/>
      <c r="Q11" s="9"/>
      <c r="R11" s="9"/>
      <c r="S11" s="55"/>
      <c r="T11" s="21" t="str">
        <f t="shared" si="4"/>
        <v/>
      </c>
      <c r="U11" s="60" t="str">
        <f>IF($J11="","",ROUND(($J11-$J$3)/1000,1)+(_xlfn.RANK.AVG($J11,($J11,$O11,$T11),1)-2)*20)</f>
        <v/>
      </c>
      <c r="V11" s="61" t="str">
        <f>IF($O11="","",ROUND(($O11-$O$3)/1000,1)+(_xlfn.RANK.AVG($O11,($J11,$O11,$T11),1)-2)*20)</f>
        <v/>
      </c>
      <c r="W11" s="62" t="str">
        <f>IF($T11="","",ROUND(($T11-$T$3)/1000,1)+(_xlfn.RANK.AVG($T11,($J11,$O11,$T11),1)-2)*20)</f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55"/>
      <c r="J12" s="21" t="str">
        <f t="shared" si="2"/>
        <v/>
      </c>
      <c r="K12" s="8"/>
      <c r="L12" s="9"/>
      <c r="M12" s="9"/>
      <c r="N12" s="55"/>
      <c r="O12" s="21" t="str">
        <f t="shared" si="3"/>
        <v/>
      </c>
      <c r="P12" s="8"/>
      <c r="Q12" s="9"/>
      <c r="R12" s="9"/>
      <c r="S12" s="55"/>
      <c r="T12" s="21" t="str">
        <f t="shared" si="4"/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CF6B5081-3304-45B7-8AD4-B36258029AF7}">
      <formula1>"ロン,ツモ,放銃,ツモ支払,流局,チョンボ"</formula1>
    </dataValidation>
    <dataValidation type="list" allowBlank="1" showInputMessage="1" showErrorMessage="1" sqref="E4:E30" xr:uid="{869D1D6A-0D7D-44C6-9F40-3A1019C511F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CF942-8F0E-427C-8FBA-88B40FB35EBA}">
  <sheetPr codeName="Sheet12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156</v>
      </c>
      <c r="G1" s="74"/>
      <c r="H1" s="74"/>
      <c r="I1" s="83"/>
      <c r="J1" s="75"/>
      <c r="K1" s="72" t="s">
        <v>140</v>
      </c>
      <c r="L1" s="74"/>
      <c r="M1" s="74"/>
      <c r="N1" s="83"/>
      <c r="O1" s="75"/>
      <c r="P1" s="72" t="s">
        <v>160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りくと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だいち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れんたろう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りくと</v>
      </c>
      <c r="V2" s="71" t="str">
        <f>$K$1</f>
        <v>だいち</v>
      </c>
      <c r="W2" s="16" t="str">
        <f>$P$1</f>
        <v>れんたろう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/>
      <c r="G4" s="9"/>
      <c r="H4" s="9">
        <v>-1000</v>
      </c>
      <c r="I4" s="55"/>
      <c r="J4" s="21">
        <f>IF(COUNTA($F4,$K4,$P4)&gt;0,J3+SUM(G4:I4),"")</f>
        <v>34000</v>
      </c>
      <c r="K4" s="8" t="s">
        <v>145</v>
      </c>
      <c r="L4" s="9">
        <v>12000</v>
      </c>
      <c r="M4" s="9">
        <v>2000</v>
      </c>
      <c r="N4" s="55">
        <v>0</v>
      </c>
      <c r="O4" s="21">
        <f>IF(COUNTA($F4,$K4,$P4)&gt;0,O3+SUM(L4:N4),"")</f>
        <v>49000</v>
      </c>
      <c r="P4" s="8" t="s">
        <v>146</v>
      </c>
      <c r="Q4" s="9">
        <v>-12000</v>
      </c>
      <c r="R4" s="9">
        <v>-1000</v>
      </c>
      <c r="S4" s="55">
        <v>0</v>
      </c>
      <c r="T4" s="21">
        <f>IF(COUNTA($F4,$K4,$P4)&gt;0,T3+SUM(Q4:S4),"")</f>
        <v>22000</v>
      </c>
      <c r="U4" s="60">
        <f>IF($J4="","",ROUND(($J4-$J$3)/1000,1)+(_xlfn.RANK.AVG($J4,($J4,$O4,$T4),1)-2)*20)</f>
        <v>-1</v>
      </c>
      <c r="V4" s="61">
        <f>IF($O4="","",ROUND(($O4-$O$3)/1000,1)+(_xlfn.RANK.AVG($O4,($J4,$O4,$T4),1)-2)*20)</f>
        <v>34</v>
      </c>
      <c r="W4" s="62">
        <f>IF($T4="","",ROUND(($T4-$T$3)/1000,1)+(_xlfn.RANK.AVG($T4,($J4,$O4,$T4),1)-2)*20)</f>
        <v>-33</v>
      </c>
      <c r="Y4" s="8"/>
      <c r="Z4" s="41"/>
      <c r="AA4" s="32">
        <v>1</v>
      </c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>
        <v>1</v>
      </c>
      <c r="AX4" s="32">
        <v>4</v>
      </c>
      <c r="AY4" s="36">
        <v>40</v>
      </c>
      <c r="AZ4" s="47" t="s">
        <v>87</v>
      </c>
      <c r="BA4" s="48" t="s">
        <v>87</v>
      </c>
      <c r="BB4" s="48" t="s">
        <v>105</v>
      </c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139</v>
      </c>
      <c r="F5" s="8" t="s">
        <v>146</v>
      </c>
      <c r="G5" s="9">
        <v>-6400</v>
      </c>
      <c r="H5" s="9"/>
      <c r="I5" s="55">
        <v>-1000</v>
      </c>
      <c r="J5" s="21">
        <f t="shared" ref="J5:J30" si="2">IF(COUNTA($F5,$K5,$P5)&gt;0,J4+SUM(G5:I5),"")</f>
        <v>26600</v>
      </c>
      <c r="K5" s="8"/>
      <c r="L5" s="9"/>
      <c r="M5" s="9"/>
      <c r="N5" s="55"/>
      <c r="O5" s="21">
        <f t="shared" ref="O5:O30" si="3">IF(COUNTA($F5,$K5,$P5)&gt;0,O4+SUM(L5:N5),"")</f>
        <v>49000</v>
      </c>
      <c r="P5" s="8" t="s">
        <v>145</v>
      </c>
      <c r="Q5" s="9">
        <v>6400</v>
      </c>
      <c r="R5" s="9"/>
      <c r="S5" s="55">
        <v>1000</v>
      </c>
      <c r="T5" s="21">
        <f t="shared" ref="T5:T30" si="4">IF(COUNTA($F5,$K5,$P5)&gt;0,T4+SUM(Q5:S5),"")</f>
        <v>29400</v>
      </c>
      <c r="U5" s="60">
        <f>IF($J5="","",ROUND(($J5-$J$3)/1000,1)+(_xlfn.RANK.AVG($J5,($J5,$O5,$T5),1)-2)*20)</f>
        <v>-28.4</v>
      </c>
      <c r="V5" s="61">
        <f>IF($O5="","",ROUND(($O5-$O$3)/1000,1)+(_xlfn.RANK.AVG($O5,($J5,$O5,$T5),1)-2)*20)</f>
        <v>34</v>
      </c>
      <c r="W5" s="62">
        <f>IF($T5="","",ROUND(($T5-$T$3)/1000,1)+(_xlfn.RANK.AVG($T5,($J5,$O5,$T5),1)-2)*20)</f>
        <v>-5.6</v>
      </c>
      <c r="Y5" s="8"/>
      <c r="Z5" s="41"/>
      <c r="AA5" s="32"/>
      <c r="AB5" s="32">
        <v>1</v>
      </c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>
        <v>1</v>
      </c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>
        <v>4</v>
      </c>
      <c r="BT5" s="36">
        <v>25</v>
      </c>
      <c r="BU5" s="47" t="s">
        <v>102</v>
      </c>
      <c r="BV5" s="48" t="s">
        <v>154</v>
      </c>
      <c r="BW5" s="48" t="s">
        <v>154</v>
      </c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159</v>
      </c>
      <c r="F6" s="8" t="s">
        <v>152</v>
      </c>
      <c r="G6" s="9">
        <v>7700</v>
      </c>
      <c r="H6" s="9"/>
      <c r="I6" s="55">
        <v>0</v>
      </c>
      <c r="J6" s="21">
        <f t="shared" si="2"/>
        <v>34300</v>
      </c>
      <c r="K6" s="8" t="s">
        <v>151</v>
      </c>
      <c r="L6" s="9">
        <v>-2900</v>
      </c>
      <c r="M6" s="9"/>
      <c r="N6" s="55">
        <v>0</v>
      </c>
      <c r="O6" s="21">
        <f t="shared" si="3"/>
        <v>46100</v>
      </c>
      <c r="P6" s="8" t="s">
        <v>151</v>
      </c>
      <c r="Q6" s="9">
        <v>-4800</v>
      </c>
      <c r="R6" s="9"/>
      <c r="S6" s="55">
        <v>0</v>
      </c>
      <c r="T6" s="21">
        <f t="shared" si="4"/>
        <v>24600</v>
      </c>
      <c r="U6" s="60">
        <f>IF($J6="","",ROUND(($J6-$J$3)/1000,1)+(_xlfn.RANK.AVG($J6,($J6,$O6,$T6),1)-2)*20)</f>
        <v>-0.7</v>
      </c>
      <c r="V6" s="61">
        <f>IF($O6="","",ROUND(($O6-$O$3)/1000,1)+(_xlfn.RANK.AVG($O6,($J6,$O6,$T6),1)-2)*20)</f>
        <v>31.1</v>
      </c>
      <c r="W6" s="62">
        <f>IF($T6="","",ROUND(($T6-$T$3)/1000,1)+(_xlfn.RANK.AVG($T6,($J6,$O6,$T6),1)-2)*20)</f>
        <v>-30.4</v>
      </c>
      <c r="Y6" s="8"/>
      <c r="Z6" s="41"/>
      <c r="AA6" s="32">
        <v>1</v>
      </c>
      <c r="AB6" s="32"/>
      <c r="AC6" s="32">
        <v>4</v>
      </c>
      <c r="AD6" s="36">
        <v>30</v>
      </c>
      <c r="AE6" s="47" t="s">
        <v>150</v>
      </c>
      <c r="AF6" s="48" t="s">
        <v>83</v>
      </c>
      <c r="AG6" s="48" t="s">
        <v>154</v>
      </c>
      <c r="AH6" s="48" t="s">
        <v>87</v>
      </c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155</v>
      </c>
      <c r="F7" s="8" t="s">
        <v>151</v>
      </c>
      <c r="G7" s="9">
        <v>-3300</v>
      </c>
      <c r="H7" s="9"/>
      <c r="I7" s="55">
        <v>0</v>
      </c>
      <c r="J7" s="21">
        <f t="shared" si="2"/>
        <v>31000</v>
      </c>
      <c r="K7" s="8" t="s">
        <v>152</v>
      </c>
      <c r="L7" s="9">
        <v>5300</v>
      </c>
      <c r="M7" s="9"/>
      <c r="N7" s="55">
        <v>0</v>
      </c>
      <c r="O7" s="21">
        <f t="shared" si="3"/>
        <v>51400</v>
      </c>
      <c r="P7" s="8" t="s">
        <v>151</v>
      </c>
      <c r="Q7" s="9">
        <v>-2000</v>
      </c>
      <c r="R7" s="9"/>
      <c r="S7" s="55">
        <v>0</v>
      </c>
      <c r="T7" s="21">
        <f t="shared" si="4"/>
        <v>22600</v>
      </c>
      <c r="U7" s="60">
        <f>IF($J7="","",ROUND(($J7-$J$3)/1000,1)+(_xlfn.RANK.AVG($J7,($J7,$O7,$T7),1)-2)*20)</f>
        <v>-4</v>
      </c>
      <c r="V7" s="61">
        <f>IF($O7="","",ROUND(($O7-$O$3)/1000,1)+(_xlfn.RANK.AVG($O7,($J7,$O7,$T7),1)-2)*20)</f>
        <v>36.4</v>
      </c>
      <c r="W7" s="62">
        <f>IF($T7="","",ROUND(($T7-$T$3)/1000,1)+(_xlfn.RANK.AVG($T7,($J7,$O7,$T7),1)-2)*20)</f>
        <v>-32.4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>
        <v>1</v>
      </c>
      <c r="AW7" s="32"/>
      <c r="AX7" s="32">
        <v>4</v>
      </c>
      <c r="AY7" s="36">
        <v>20</v>
      </c>
      <c r="AZ7" s="47" t="s">
        <v>150</v>
      </c>
      <c r="BA7" s="48" t="s">
        <v>83</v>
      </c>
      <c r="BB7" s="48" t="s">
        <v>84</v>
      </c>
      <c r="BC7" s="48" t="s">
        <v>154</v>
      </c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>
        <v>1</v>
      </c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139</v>
      </c>
      <c r="F8" s="8" t="s">
        <v>151</v>
      </c>
      <c r="G8" s="9">
        <v>-3000</v>
      </c>
      <c r="H8" s="9"/>
      <c r="I8" s="55">
        <v>0</v>
      </c>
      <c r="J8" s="21">
        <f t="shared" si="2"/>
        <v>28000</v>
      </c>
      <c r="K8" s="8" t="s">
        <v>151</v>
      </c>
      <c r="L8" s="9">
        <v>-5000</v>
      </c>
      <c r="M8" s="9"/>
      <c r="N8" s="55">
        <v>0</v>
      </c>
      <c r="O8" s="21">
        <f t="shared" si="3"/>
        <v>46400</v>
      </c>
      <c r="P8" s="8" t="s">
        <v>152</v>
      </c>
      <c r="Q8" s="9">
        <v>8000</v>
      </c>
      <c r="R8" s="9"/>
      <c r="S8" s="55">
        <v>0</v>
      </c>
      <c r="T8" s="21">
        <f t="shared" si="4"/>
        <v>30600</v>
      </c>
      <c r="U8" s="60">
        <f>IF($J8="","",ROUND(($J8-$J$3)/1000,1)+(_xlfn.RANK.AVG($J8,($J8,$O8,$T8),1)-2)*20)</f>
        <v>-27</v>
      </c>
      <c r="V8" s="61">
        <f>IF($O8="","",ROUND(($O8-$O$3)/1000,1)+(_xlfn.RANK.AVG($O8,($J8,$O8,$T8),1)-2)*20)</f>
        <v>31.4</v>
      </c>
      <c r="W8" s="62">
        <f>IF($T8="","",ROUND(($T8-$T$3)/1000,1)+(_xlfn.RANK.AVG($T8,($J8,$O8,$T8),1)-2)*20)</f>
        <v>-4.4000000000000004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>
        <v>5</v>
      </c>
      <c r="BT8" s="36" t="s">
        <v>153</v>
      </c>
      <c r="BU8" s="47" t="s">
        <v>150</v>
      </c>
      <c r="BV8" s="48" t="s">
        <v>83</v>
      </c>
      <c r="BW8" s="48" t="s">
        <v>84</v>
      </c>
      <c r="BX8" s="48" t="s">
        <v>85</v>
      </c>
      <c r="BY8" s="48" t="s">
        <v>81</v>
      </c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159</v>
      </c>
      <c r="F9" s="8" t="s">
        <v>145</v>
      </c>
      <c r="G9" s="9">
        <v>2600</v>
      </c>
      <c r="H9" s="9"/>
      <c r="I9" s="55">
        <v>0</v>
      </c>
      <c r="J9" s="21">
        <f t="shared" si="2"/>
        <v>30600</v>
      </c>
      <c r="K9" s="8"/>
      <c r="L9" s="9"/>
      <c r="M9" s="9"/>
      <c r="N9" s="55"/>
      <c r="O9" s="21">
        <f t="shared" si="3"/>
        <v>46400</v>
      </c>
      <c r="P9" s="8" t="s">
        <v>146</v>
      </c>
      <c r="Q9" s="9">
        <v>-2600</v>
      </c>
      <c r="R9" s="9"/>
      <c r="S9" s="55">
        <v>0</v>
      </c>
      <c r="T9" s="21">
        <f t="shared" si="4"/>
        <v>28000</v>
      </c>
      <c r="U9" s="60">
        <f>IF($J9="","",ROUND(($J9-$J$3)/1000,1)+(_xlfn.RANK.AVG($J9,($J9,$O9,$T9),1)-2)*20)</f>
        <v>-4.4000000000000004</v>
      </c>
      <c r="V9" s="61">
        <f>IF($O9="","",ROUND(($O9-$O$3)/1000,1)+(_xlfn.RANK.AVG($O9,($J9,$O9,$T9),1)-2)*20)</f>
        <v>31.4</v>
      </c>
      <c r="W9" s="62">
        <f>IF($T9="","",ROUND(($T9-$T$3)/1000,1)+(_xlfn.RANK.AVG($T9,($J9,$O9,$T9),1)-2)*20)</f>
        <v>-27</v>
      </c>
      <c r="Y9" s="8"/>
      <c r="Z9" s="41"/>
      <c r="AA9" s="32">
        <v>1</v>
      </c>
      <c r="AB9" s="32"/>
      <c r="AC9" s="32">
        <v>2</v>
      </c>
      <c r="AD9" s="36">
        <v>40</v>
      </c>
      <c r="AE9" s="47" t="s">
        <v>150</v>
      </c>
      <c r="AF9" s="48" t="s">
        <v>87</v>
      </c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155</v>
      </c>
      <c r="F10" s="8" t="s">
        <v>151</v>
      </c>
      <c r="G10" s="9">
        <v>-7500</v>
      </c>
      <c r="H10" s="9">
        <v>-1000</v>
      </c>
      <c r="I10" s="55">
        <v>0</v>
      </c>
      <c r="J10" s="21">
        <f t="shared" si="2"/>
        <v>22100</v>
      </c>
      <c r="K10" s="8" t="s">
        <v>152</v>
      </c>
      <c r="L10" s="9">
        <v>12000</v>
      </c>
      <c r="M10" s="9">
        <v>2000</v>
      </c>
      <c r="N10" s="55">
        <v>0</v>
      </c>
      <c r="O10" s="21">
        <f t="shared" si="3"/>
        <v>60400</v>
      </c>
      <c r="P10" s="8" t="s">
        <v>151</v>
      </c>
      <c r="Q10" s="9">
        <v>-4500</v>
      </c>
      <c r="R10" s="9">
        <v>-1000</v>
      </c>
      <c r="S10" s="55">
        <v>0</v>
      </c>
      <c r="T10" s="21">
        <f t="shared" si="4"/>
        <v>22500</v>
      </c>
      <c r="U10" s="60">
        <f>IF($J10="","",ROUND(($J10-$J$3)/1000,1)+(_xlfn.RANK.AVG($J10,($J10,$O10,$T10),1)-2)*20)</f>
        <v>-32.9</v>
      </c>
      <c r="V10" s="61">
        <f>IF($O10="","",ROUND(($O10-$O$3)/1000,1)+(_xlfn.RANK.AVG($O10,($J10,$O10,$T10),1)-2)*20)</f>
        <v>45.4</v>
      </c>
      <c r="W10" s="62">
        <f>IF($T10="","",ROUND(($T10-$T$3)/1000,1)+(_xlfn.RANK.AVG($T10,($J10,$O10,$T10),1)-2)*20)</f>
        <v>-12.5</v>
      </c>
      <c r="Y10" s="8"/>
      <c r="Z10" s="41"/>
      <c r="AA10" s="32">
        <v>1</v>
      </c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>
        <v>1</v>
      </c>
      <c r="AW10" s="32"/>
      <c r="AX10" s="32">
        <v>7</v>
      </c>
      <c r="AY10" s="36" t="s">
        <v>153</v>
      </c>
      <c r="AZ10" s="47" t="s">
        <v>158</v>
      </c>
      <c r="BA10" s="48" t="s">
        <v>83</v>
      </c>
      <c r="BB10" s="48" t="s">
        <v>157</v>
      </c>
      <c r="BC10" s="48" t="s">
        <v>84</v>
      </c>
      <c r="BD10" s="48" t="s">
        <v>154</v>
      </c>
      <c r="BE10" s="48" t="s">
        <v>80</v>
      </c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55"/>
      <c r="J11" s="21" t="str">
        <f t="shared" si="2"/>
        <v/>
      </c>
      <c r="K11" s="8"/>
      <c r="L11" s="9"/>
      <c r="M11" s="9"/>
      <c r="N11" s="55"/>
      <c r="O11" s="21" t="str">
        <f t="shared" si="3"/>
        <v/>
      </c>
      <c r="P11" s="8"/>
      <c r="Q11" s="9"/>
      <c r="R11" s="9"/>
      <c r="S11" s="55"/>
      <c r="T11" s="21" t="str">
        <f t="shared" si="4"/>
        <v/>
      </c>
      <c r="U11" s="60" t="str">
        <f>IF($J11="","",ROUND(($J11-$J$3)/1000,1)+(_xlfn.RANK.AVG($J11,($J11,$O11,$T11),1)-2)*20)</f>
        <v/>
      </c>
      <c r="V11" s="61" t="str">
        <f>IF($O11="","",ROUND(($O11-$O$3)/1000,1)+(_xlfn.RANK.AVG($O11,($J11,$O11,$T11),1)-2)*20)</f>
        <v/>
      </c>
      <c r="W11" s="62" t="str">
        <f>IF($T11="","",ROUND(($T11-$T$3)/1000,1)+(_xlfn.RANK.AVG($T11,($J11,$O11,$T11),1)-2)*20)</f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55"/>
      <c r="J12" s="21" t="str">
        <f t="shared" si="2"/>
        <v/>
      </c>
      <c r="K12" s="8"/>
      <c r="L12" s="9"/>
      <c r="M12" s="9"/>
      <c r="N12" s="55"/>
      <c r="O12" s="21" t="str">
        <f t="shared" si="3"/>
        <v/>
      </c>
      <c r="P12" s="8"/>
      <c r="Q12" s="9"/>
      <c r="R12" s="9"/>
      <c r="S12" s="55"/>
      <c r="T12" s="21" t="str">
        <f t="shared" si="4"/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B757813A-942F-4344-8138-68B982D9F891}">
      <formula1>$U$2:$W$2</formula1>
    </dataValidation>
    <dataValidation type="list" showInputMessage="1" showErrorMessage="1" sqref="K4:K30 P4:P30 F4:F30" xr:uid="{C1E362F7-CC99-47AA-8380-2964D9EAD4B4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4" x14ac:dyDescent="0.4">
      <c r="A49" s="43" t="s">
        <v>125</v>
      </c>
      <c r="B49" s="15" t="s">
        <v>75</v>
      </c>
      <c r="C49" s="15">
        <v>13</v>
      </c>
    </row>
    <row r="50" spans="1:4" x14ac:dyDescent="0.4">
      <c r="A50" s="43" t="s">
        <v>126</v>
      </c>
      <c r="B50" s="15" t="s">
        <v>76</v>
      </c>
      <c r="C50" s="15">
        <v>13</v>
      </c>
    </row>
    <row r="51" spans="1:4" x14ac:dyDescent="0.4">
      <c r="A51" s="43" t="s">
        <v>127</v>
      </c>
      <c r="B51" s="15" t="s">
        <v>77</v>
      </c>
      <c r="C51" s="15">
        <v>13</v>
      </c>
    </row>
    <row r="52" spans="1:4" x14ac:dyDescent="0.4">
      <c r="A52" s="43" t="s">
        <v>135</v>
      </c>
      <c r="B52" s="15" t="s">
        <v>136</v>
      </c>
      <c r="C52" s="15">
        <v>2</v>
      </c>
    </row>
    <row r="53" spans="1:4" x14ac:dyDescent="0.4">
      <c r="A53" s="43" t="s">
        <v>137</v>
      </c>
      <c r="B53" s="15" t="s">
        <v>138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11600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11600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-5800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-5800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7700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7700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7700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7700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-2900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-2900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-4800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-4800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Sheet4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2019-04-23T16:01:09Z</dcterms:modified>
</cp:coreProperties>
</file>