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197AF8C-23C6-4802-84B7-F21BF70B7CB4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 s="1"/>
  <c r="T16" i="22"/>
  <c r="O16" i="22"/>
  <c r="J16" i="22"/>
  <c r="U16" i="22" s="1"/>
  <c r="D16" i="22"/>
  <c r="C16" i="22"/>
  <c r="B16" i="22"/>
  <c r="A16" i="22" s="1"/>
  <c r="T15" i="22"/>
  <c r="O15" i="22"/>
  <c r="J15" i="22"/>
  <c r="D15" i="22"/>
  <c r="C15" i="22"/>
  <c r="B15" i="22"/>
  <c r="A15" i="22" s="1"/>
  <c r="T14" i="22"/>
  <c r="O14" i="22"/>
  <c r="J14" i="22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V12" i="22" s="1"/>
  <c r="J12" i="22"/>
  <c r="D12" i="22"/>
  <c r="C12" i="22"/>
  <c r="B12" i="22"/>
  <c r="A12" i="22"/>
  <c r="T11" i="22"/>
  <c r="O11" i="22"/>
  <c r="J11" i="22"/>
  <c r="U11" i="22" s="1"/>
  <c r="D11" i="22"/>
  <c r="C11" i="22"/>
  <c r="B11" i="22"/>
  <c r="A11" i="22"/>
  <c r="D10" i="22"/>
  <c r="C10" i="22"/>
  <c r="D9" i="22"/>
  <c r="C9" i="22"/>
  <c r="D8" i="22"/>
  <c r="C8" i="22"/>
  <c r="D7" i="22"/>
  <c r="D6" i="22"/>
  <c r="C6" i="22"/>
  <c r="C7" i="22" s="1"/>
  <c r="B6" i="22"/>
  <c r="B7" i="22" s="1"/>
  <c r="D5" i="22"/>
  <c r="C5" i="22"/>
  <c r="B5" i="22"/>
  <c r="A5" i="22" s="1"/>
  <c r="T4" i="22"/>
  <c r="W4" i="22" s="1"/>
  <c r="O4" i="22"/>
  <c r="V4" i="22" s="1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T9" i="21"/>
  <c r="O9" i="21"/>
  <c r="J9" i="21"/>
  <c r="D9" i="21"/>
  <c r="C9" i="21"/>
  <c r="B9" i="21"/>
  <c r="A9" i="21" s="1"/>
  <c r="D8" i="21"/>
  <c r="C8" i="21"/>
  <c r="D7" i="21"/>
  <c r="D6" i="21"/>
  <c r="C6" i="21"/>
  <c r="C7" i="21" s="1"/>
  <c r="B6" i="21"/>
  <c r="A6" i="21" s="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7" i="20"/>
  <c r="D8" i="20" s="1"/>
  <c r="C7" i="20"/>
  <c r="C8" i="20" s="1"/>
  <c r="D6" i="20"/>
  <c r="C6" i="20"/>
  <c r="B6" i="20"/>
  <c r="A6" i="20" s="1"/>
  <c r="D5" i="20"/>
  <c r="C5" i="20"/>
  <c r="B5" i="20"/>
  <c r="A5" i="20" s="1"/>
  <c r="T4" i="20"/>
  <c r="W4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U18" i="22" l="1"/>
  <c r="V18" i="22"/>
  <c r="W18" i="22"/>
  <c r="V17" i="22"/>
  <c r="U17" i="22"/>
  <c r="W17" i="22"/>
  <c r="V16" i="22"/>
  <c r="W16" i="22"/>
  <c r="V15" i="22"/>
  <c r="U15" i="22"/>
  <c r="W15" i="22"/>
  <c r="U14" i="22"/>
  <c r="W14" i="22"/>
  <c r="V14" i="22"/>
  <c r="W13" i="22"/>
  <c r="U13" i="22"/>
  <c r="V13" i="22"/>
  <c r="W12" i="22"/>
  <c r="U12" i="22"/>
  <c r="V11" i="22"/>
  <c r="W11" i="22"/>
  <c r="A6" i="22"/>
  <c r="B8" i="22"/>
  <c r="A7" i="22"/>
  <c r="J6" i="22"/>
  <c r="U4" i="22"/>
  <c r="O5" i="22"/>
  <c r="T5" i="22"/>
  <c r="U10" i="21"/>
  <c r="V10" i="21"/>
  <c r="W10" i="21"/>
  <c r="V9" i="21"/>
  <c r="U9" i="21"/>
  <c r="W9" i="21"/>
  <c r="V4" i="21"/>
  <c r="W4" i="21"/>
  <c r="J5" i="21"/>
  <c r="O5" i="21"/>
  <c r="B7" i="21"/>
  <c r="A7" i="21" s="1"/>
  <c r="T5" i="21"/>
  <c r="V4" i="20"/>
  <c r="J6" i="20"/>
  <c r="U4" i="20"/>
  <c r="O5" i="20"/>
  <c r="B7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2" l="1"/>
  <c r="T6" i="22"/>
  <c r="V5" i="22"/>
  <c r="O6" i="22"/>
  <c r="U5" i="22"/>
  <c r="U6" i="22"/>
  <c r="J7" i="22"/>
  <c r="B9" i="22"/>
  <c r="A9" i="22" s="1"/>
  <c r="A8" i="22"/>
  <c r="B8" i="21"/>
  <c r="A8" i="21" s="1"/>
  <c r="U5" i="21"/>
  <c r="J6" i="21"/>
  <c r="W5" i="21"/>
  <c r="T6" i="21"/>
  <c r="V5" i="21"/>
  <c r="O6" i="21"/>
  <c r="W5" i="20"/>
  <c r="T6" i="20"/>
  <c r="B8" i="20"/>
  <c r="O6" i="20"/>
  <c r="V5" i="20"/>
  <c r="U5" i="20"/>
  <c r="J7" i="20"/>
  <c r="A7" i="20"/>
  <c r="U9" i="19"/>
  <c r="V9" i="19"/>
  <c r="W9" i="19"/>
  <c r="V7" i="19"/>
  <c r="W7" i="19"/>
  <c r="U6" i="19"/>
  <c r="V6" i="19"/>
  <c r="W6" i="19"/>
  <c r="U4" i="19"/>
  <c r="V4" i="19"/>
  <c r="W4" i="19"/>
  <c r="J5" i="19"/>
  <c r="O5" i="19"/>
  <c r="V5" i="19" s="1"/>
  <c r="J8" i="22" l="1"/>
  <c r="B10" i="22"/>
  <c r="A10" i="22" s="1"/>
  <c r="O7" i="22"/>
  <c r="V6" i="22"/>
  <c r="W6" i="22"/>
  <c r="T7" i="22"/>
  <c r="O7" i="21"/>
  <c r="V6" i="21"/>
  <c r="U6" i="21"/>
  <c r="J7" i="21"/>
  <c r="W6" i="21"/>
  <c r="T7" i="21"/>
  <c r="A8" i="20"/>
  <c r="W6" i="20"/>
  <c r="T7" i="20"/>
  <c r="J8" i="20"/>
  <c r="U6" i="20"/>
  <c r="O7" i="20"/>
  <c r="V6" i="20"/>
  <c r="B9" i="20"/>
  <c r="A9" i="20" s="1"/>
  <c r="W5" i="19"/>
  <c r="U5" i="19"/>
  <c r="U7" i="22" l="1"/>
  <c r="T8" i="22"/>
  <c r="W7" i="22"/>
  <c r="O8" i="22"/>
  <c r="V7" i="22"/>
  <c r="J9" i="22"/>
  <c r="O8" i="21"/>
  <c r="V7" i="21"/>
  <c r="W7" i="21"/>
  <c r="T8" i="21"/>
  <c r="U7" i="21"/>
  <c r="J8" i="21"/>
  <c r="U7" i="20"/>
  <c r="J9" i="20"/>
  <c r="T8" i="20"/>
  <c r="W7" i="20"/>
  <c r="O8" i="20"/>
  <c r="V7" i="20"/>
  <c r="J10" i="22" l="1"/>
  <c r="W8" i="22"/>
  <c r="T9" i="22"/>
  <c r="V8" i="22"/>
  <c r="O9" i="22"/>
  <c r="U8" i="22"/>
  <c r="U8" i="21"/>
  <c r="W8" i="21"/>
  <c r="V8" i="21"/>
  <c r="V8" i="20"/>
  <c r="O9" i="20"/>
  <c r="U9" i="20"/>
  <c r="U8" i="20"/>
  <c r="W8" i="20"/>
  <c r="T9" i="20"/>
  <c r="U9" i="22" l="1"/>
  <c r="W9" i="22"/>
  <c r="T10" i="22"/>
  <c r="U10" i="22" s="1"/>
  <c r="V9" i="22"/>
  <c r="O10" i="22"/>
  <c r="V9" i="20"/>
  <c r="W9" i="20"/>
  <c r="V10" i="22" l="1"/>
  <c r="W10" i="22"/>
</calcChain>
</file>

<file path=xl/sharedStrings.xml><?xml version="1.0" encoding="utf-8"?>
<sst xmlns="http://schemas.openxmlformats.org/spreadsheetml/2006/main" count="929" uniqueCount="210">
  <si>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</si>
  <si>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</si>
  <si>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</si>
  <si>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</si>
  <si>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</si>
  <si>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</si>
  <si>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</si>
  <si>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</si>
  <si>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</si>
  <si>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</si>
  <si>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</si>
  <si>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</si>
  <si>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</si>
  <si>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</si>
  <si>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</si>
  <si>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</si>
  <si>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</si>
  <si>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</si>
  <si>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</si>
  <si>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</si>
  <si>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</si>
  <si>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</si>
  <si>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</si>
  <si>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</si>
  <si>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</si>
  <si>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</si>
  <si>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</si>
  <si>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</si>
  <si>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</si>
  <si>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</si>
  <si>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</si>
  <si>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</si>
  <si>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</si>
  <si>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</si>
  <si>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</si>
  <si>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</si>
  <si>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</si>
  <si>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</si>
  <si>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</si>
  <si>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</si>
  <si>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</si>
  <si>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</si>
  <si>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</si>
  <si>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</si>
  <si>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</si>
  <si>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</si>
  <si>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</si>
  <si>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</si>
  <si>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</si>
  <si>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</si>
  <si>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</si>
  <si>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</si>
  <si>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</si>
  <si>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</si>
  <si>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</si>
  <si>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</si>
  <si>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</si>
  <si>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</si>
  <si>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</si>
  <si>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</si>
  <si>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</si>
  <si>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</si>
  <si>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</si>
  <si>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</si>
  <si>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</si>
  <si>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</si>
  <si>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</si>
  <si>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</si>
  <si>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</si>
  <si>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</si>
  <si>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</si>
  <si>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</si>
  <si>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</si>
  <si>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</si>
  <si>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</si>
  <si>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</si>
  <si>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</si>
  <si>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</si>
  <si>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</si>
  <si>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</si>
  <si>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</si>
  <si>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</si>
  <si>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</si>
  <si>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</si>
  <si>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</si>
  <si>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</si>
  <si>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</si>
  <si>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</si>
  <si>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</si>
  <si>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</si>
  <si>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</si>
  <si>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</si>
  <si>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</si>
  <si>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</si>
  <si>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</si>
  <si>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</si>
  <si>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</si>
  <si>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</si>
  <si>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</si>
  <si>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</si>
  <si>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</si>
  <si>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</si>
  <si>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</si>
  <si>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</si>
  <si>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</si>
  <si>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</si>
  <si>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</si>
  <si>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</si>
  <si>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</si>
  <si>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</si>
  <si>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</si>
  <si>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</si>
  <si>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</si>
  <si>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</si>
  <si>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</si>
  <si>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</si>
  <si>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</si>
  <si>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</si>
  <si>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</si>
  <si>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</si>
  <si>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</si>
  <si>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</si>
  <si>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</si>
  <si>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</si>
  <si>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</si>
  <si>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</si>
  <si>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</si>
  <si>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</si>
  <si>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</si>
  <si>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</si>
  <si>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</si>
  <si>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</si>
  <si>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</si>
  <si>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</si>
  <si>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</si>
  <si>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</si>
  <si>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</si>
  <si>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</si>
  <si>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</si>
  <si>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</si>
  <si>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</si>
  <si>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</si>
  <si>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</si>
  <si>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</si>
  <si>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</si>
  <si>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</si>
  <si>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</si>
  <si>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</si>
  <si>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</si>
  <si>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</si>
  <si>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</si>
  <si>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</si>
  <si>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</si>
  <si>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</si>
  <si>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</si>
  <si>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</si>
  <si>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</si>
  <si>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</si>
  <si>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</si>
  <si>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</si>
  <si>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</si>
  <si>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</si>
  <si>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</si>
  <si>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</si>
  <si>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</si>
  <si>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</si>
  <si>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</si>
  <si>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</si>
  <si>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</si>
  <si>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</si>
  <si>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</si>
  <si>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</si>
  <si>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</si>
  <si>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</si>
  <si>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</si>
  <si>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</si>
  <si>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</si>
  <si>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</si>
  <si>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</si>
  <si>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</si>
  <si>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</si>
  <si>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</si>
  <si>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</si>
  <si>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</si>
  <si>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</si>
  <si>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</si>
  <si>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</si>
  <si>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</si>
  <si>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</si>
  <si>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</si>
  <si>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</si>
  <si>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</si>
  <si>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</si>
  <si>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れんたろう</t>
  </si>
  <si>
    <t>ツモ支払</t>
  </si>
  <si>
    <t>ツモ</t>
  </si>
  <si>
    <t>放銃</t>
  </si>
  <si>
    <t>ロン</t>
  </si>
  <si>
    <t>*</t>
  </si>
  <si>
    <t>51</t>
  </si>
  <si>
    <t>02</t>
  </si>
  <si>
    <t>N</t>
  </si>
  <si>
    <t>T</t>
  </si>
  <si>
    <t>流局</t>
    <phoneticPr fontId="1"/>
  </si>
  <si>
    <t>52</t>
  </si>
  <si>
    <t>ただ</t>
  </si>
  <si>
    <t>ただ</t>
    <phoneticPr fontId="1"/>
  </si>
  <si>
    <t>01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</si>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</sst>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194</v>
      </c>
      <c r="L4" s="9">
        <v>-800</v>
      </c>
      <c r="M4" s="9">
        <v>-1000</v>
      </c>
      <c r="N4" s="48">
        <v>0</v>
      </c>
      <c r="O4" s="21">
        <f>IF(COUNTA($F4,$K4,$P4)&gt;0,O3+SUM(L4:N4),"")</f>
        <v>33200</v>
      </c>
      <c r="P4" s="8" t="s">
        <v>195</v>
      </c>
      <c r="Q4" s="9">
        <v>2100</v>
      </c>
      <c r="R4" s="9">
        <v>1000</v>
      </c>
      <c r="S4" s="48">
        <v>0</v>
      </c>
      <c r="T4" s="21">
        <f>IF(COUNTA($F4,$K4,$P4)&gt;0,T3+SUM(Q4:S4),"")</f>
        <v>38100</v>
      </c>
      <c r="U4" s="53">
        <f>IF($J4="","",ROUND(($J4-$J$3)/1000,1)+(_xlfn.RANK.AVG($J4,($J4,$O4,$T4),1)-2)*20)</f>
        <v>-1.3</v>
      </c>
      <c r="V4" s="54">
        <f>IF($O4="","",ROUND(($O4-$O$3)/1000,1)+(_xlfn.RANK.AVG($O4,($J4,$O4,$T4),1)-2)*20)</f>
        <v>-21.8</v>
      </c>
      <c r="W4" s="55">
        <f>IF($T4="","",ROUND(($T4-$T$3)/1000,1)+(_xlfn.RANK.AVG($T4,($J4,$O4,$T4),1)-2)*20)</f>
        <v>23.1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82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196</v>
      </c>
      <c r="L5" s="9">
        <v>-32000</v>
      </c>
      <c r="M5" s="9"/>
      <c r="N5" s="48">
        <v>0</v>
      </c>
      <c r="O5" s="21">
        <f t="shared" ref="O5:O30" si="3">IF(COUNTA($F5,$K5,$P5)&gt;0,O4+SUM(L5:N5),"")</f>
        <v>1200</v>
      </c>
      <c r="P5" s="8" t="s">
        <v>197</v>
      </c>
      <c r="Q5" s="9">
        <v>32000</v>
      </c>
      <c r="R5" s="9"/>
      <c r="S5" s="48">
        <v>0</v>
      </c>
      <c r="T5" s="21">
        <f t="shared" ref="T5:T30" si="4">IF(COUNTA($F5,$K5,$P5)&gt;0,T4+SUM(Q5:S5),"")</f>
        <v>70100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-53.8</v>
      </c>
      <c r="W5" s="55">
        <f>IF($T5="","",ROUND(($T5-$T$3)/1000,1)+(_xlfn.RANK.AVG($T5,($J5,$O5,$T5),1)-2)*20)</f>
        <v>55.1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13</v>
      </c>
      <c r="BT5" s="30" t="s">
        <v>198</v>
      </c>
      <c r="BU5" s="40" t="s">
        <v>107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-6000</v>
      </c>
      <c r="H6" s="9">
        <v>-1000</v>
      </c>
      <c r="I6" s="48">
        <v>0</v>
      </c>
      <c r="J6" s="21">
        <f t="shared" si="2"/>
        <v>26700</v>
      </c>
      <c r="K6" s="8" t="s">
        <v>195</v>
      </c>
      <c r="L6" s="9">
        <v>16000</v>
      </c>
      <c r="M6" s="9">
        <v>1000</v>
      </c>
      <c r="N6" s="48">
        <v>0</v>
      </c>
      <c r="O6" s="21">
        <f t="shared" si="3"/>
        <v>18200</v>
      </c>
      <c r="P6" s="8" t="s">
        <v>194</v>
      </c>
      <c r="Q6" s="9">
        <v>-10000</v>
      </c>
      <c r="R6" s="9"/>
      <c r="S6" s="48">
        <v>0</v>
      </c>
      <c r="T6" s="21">
        <f t="shared" si="4"/>
        <v>60100</v>
      </c>
      <c r="U6" s="53">
        <f>IF($J6="","",ROUND(($J6-$J$3)/1000,1)+(_xlfn.RANK.AVG($J6,($J6,$O6,$T6),1)-2)*20)</f>
        <v>-8.3000000000000007</v>
      </c>
      <c r="V6" s="54">
        <f>IF($O6="","",ROUND(($O6-$O$3)/1000,1)+(_xlfn.RANK.AVG($O6,($J6,$O6,$T6),1)-2)*20)</f>
        <v>-36.799999999999997</v>
      </c>
      <c r="W6" s="55">
        <f>IF($T6="","",ROUND(($T6-$T$3)/1000,1)+(_xlfn.RANK.AVG($T6,($J6,$O6,$T6),1)-2)*20)</f>
        <v>45.1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198</v>
      </c>
      <c r="AZ6" s="40" t="s">
        <v>83</v>
      </c>
      <c r="BA6" s="41" t="s">
        <v>199</v>
      </c>
      <c r="BB6" s="41" t="s">
        <v>200</v>
      </c>
      <c r="BC6" s="41" t="s">
        <v>79</v>
      </c>
      <c r="BD6" s="41" t="s">
        <v>92</v>
      </c>
      <c r="BE6" s="41" t="s">
        <v>82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-3000</v>
      </c>
      <c r="H7" s="9"/>
      <c r="I7" s="48"/>
      <c r="J7" s="21">
        <f t="shared" si="2"/>
        <v>23700</v>
      </c>
      <c r="K7" s="8" t="s">
        <v>203</v>
      </c>
      <c r="L7" s="9">
        <v>1500</v>
      </c>
      <c r="M7" s="9"/>
      <c r="N7" s="48"/>
      <c r="O7" s="21">
        <f t="shared" si="3"/>
        <v>19700</v>
      </c>
      <c r="P7" s="8" t="s">
        <v>203</v>
      </c>
      <c r="Q7" s="9">
        <v>1500</v>
      </c>
      <c r="R7" s="9">
        <v>-1000</v>
      </c>
      <c r="S7" s="48"/>
      <c r="T7" s="21">
        <f t="shared" si="4"/>
        <v>60600</v>
      </c>
      <c r="U7" s="53">
        <f>IF($J7="","",ROUND(($J7-$J$3)/1000,1)+(_xlfn.RANK.AVG($J7,($J7,$O7,$T7),1)-2)*20)</f>
        <v>-11.3</v>
      </c>
      <c r="V7" s="54">
        <f>IF($O7="","",ROUND(($O7-$O$3)/1000,1)+(_xlfn.RANK.AVG($O7,($J7,$O7,$T7),1)-2)*20)</f>
        <v>-35.299999999999997</v>
      </c>
      <c r="W7" s="55">
        <f>IF($T7="","",ROUND(($T7-$T$3)/1000,1)+(_xlfn.RANK.AVG($T7,($J7,$O7,$T7),1)-2)*20)</f>
        <v>45.6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">
        <v>192</v>
      </c>
      <c r="F8" s="8"/>
      <c r="G8" s="9"/>
      <c r="H8" s="9"/>
      <c r="I8" s="48"/>
      <c r="J8" s="21">
        <f t="shared" si="2"/>
        <v>23700</v>
      </c>
      <c r="K8" s="8" t="s">
        <v>196</v>
      </c>
      <c r="L8" s="9">
        <v>-12000</v>
      </c>
      <c r="M8" s="9"/>
      <c r="N8" s="48">
        <v>-1000</v>
      </c>
      <c r="O8" s="21">
        <f t="shared" si="3"/>
        <v>6700</v>
      </c>
      <c r="P8" s="8" t="s">
        <v>197</v>
      </c>
      <c r="Q8" s="9">
        <v>12000</v>
      </c>
      <c r="R8" s="9">
        <v>1000</v>
      </c>
      <c r="S8" s="48">
        <v>1000</v>
      </c>
      <c r="T8" s="21">
        <f t="shared" si="4"/>
        <v>74600</v>
      </c>
      <c r="U8" s="53">
        <f>IF($J8="","",ROUND(($J8-$J$3)/1000,1)+(_xlfn.RANK.AVG($J8,($J8,$O8,$T8),1)-2)*20)</f>
        <v>-11.3</v>
      </c>
      <c r="V8" s="54">
        <f>IF($O8="","",ROUND(($O8-$O$3)/1000,1)+(_xlfn.RANK.AVG($O8,($J8,$O8,$T8),1)-2)*20)</f>
        <v>-48.3</v>
      </c>
      <c r="W8" s="55">
        <f>IF($T8="","",ROUND(($T8-$T$3)/1000,1)+(_xlfn.RANK.AVG($T8,($J8,$O8,$T8),1)-2)*20)</f>
        <v>59.6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7</v>
      </c>
      <c r="BT8" s="30" t="s">
        <v>198</v>
      </c>
      <c r="BU8" s="40" t="s">
        <v>204</v>
      </c>
      <c r="BV8" s="41" t="s">
        <v>106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203</v>
      </c>
      <c r="G9" s="9">
        <v>1500</v>
      </c>
      <c r="H9" s="9">
        <v>-1000</v>
      </c>
      <c r="I9" s="48"/>
      <c r="J9" s="21">
        <f t="shared" si="2"/>
        <v>24200</v>
      </c>
      <c r="K9" s="8" t="s">
        <v>203</v>
      </c>
      <c r="L9" s="9">
        <v>1500</v>
      </c>
      <c r="M9" s="9"/>
      <c r="N9" s="48"/>
      <c r="O9" s="21">
        <f t="shared" si="3"/>
        <v>8200</v>
      </c>
      <c r="P9" s="8" t="s">
        <v>203</v>
      </c>
      <c r="Q9" s="9">
        <v>-3000</v>
      </c>
      <c r="R9" s="9">
        <v>1000</v>
      </c>
      <c r="S9" s="48"/>
      <c r="T9" s="21">
        <f t="shared" si="4"/>
        <v>72600</v>
      </c>
      <c r="U9" s="53">
        <f>IF($J9="","",ROUND(($J9-$J$3)/1000,1)+(_xlfn.RANK.AVG($J9,($J9,$O9,$T9),1)-2)*20)</f>
        <v>-10.8</v>
      </c>
      <c r="V9" s="54">
        <f>IF($O9="","",ROUND(($O9-$O$3)/1000,1)+(_xlfn.RANK.AVG($O9,($J9,$O9,$T9),1)-2)*20)</f>
        <v>-46.8</v>
      </c>
      <c r="W9" s="55">
        <f>IF($T9="","",ROUND(($T9-$T$3)/1000,1)+(_xlfn.RANK.AVG($T9,($J9,$O9,$T9),1)-2)*20)</f>
        <v>57.6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D0F5D21-CD5D-4F73-BA64-B568238DA42F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FAF5-6519-4F80-8CB3-6F9EDA1A55B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198</v>
      </c>
      <c r="BU4" s="40" t="s">
        <v>104</v>
      </c>
      <c r="BV4" s="41" t="s">
        <v>79</v>
      </c>
      <c r="BW4" s="41" t="s">
        <v>79</v>
      </c>
      <c r="BX4" s="41" t="s">
        <v>86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196</v>
      </c>
      <c r="G5" s="9">
        <v>-8000</v>
      </c>
      <c r="H5" s="9"/>
      <c r="I5" s="48">
        <v>0</v>
      </c>
      <c r="J5" s="21">
        <f t="shared" ref="J5:J30" si="2">IF(COUNTA($F5,$K5,$P5)&gt;0,J4+SUM(G5:I5),"")</f>
        <v>15000</v>
      </c>
      <c r="K5" s="8" t="s">
        <v>197</v>
      </c>
      <c r="L5" s="9">
        <v>8000</v>
      </c>
      <c r="M5" s="9"/>
      <c r="N5" s="48">
        <v>0</v>
      </c>
      <c r="O5" s="21">
        <f t="shared" ref="O5:O30" si="3">IF(COUNTA($F5,$K5,$P5)&gt;0,O4+SUM(L5:N5),"")</f>
        <v>43000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IF($J5="","",ROUND(($J5-$J$3)/1000,1)+(_xlfn.RANK.AVG($J5,($J5,$O5,$T5),1)-2)*20)</f>
        <v>-40</v>
      </c>
      <c r="V5" s="54">
        <f>IF($O5="","",ROUND(($O5-$O$3)/1000,1)+(_xlfn.RANK.AVG($O5,($J5,$O5,$T5),1)-2)*20)</f>
        <v>8</v>
      </c>
      <c r="W5" s="55">
        <f>IF($T5="","",ROUND(($T5-$T$3)/1000,1)+(_xlfn.RANK.AVG($T5,($J5,$O5,$T5),1)-2)*20)</f>
        <v>32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198</v>
      </c>
      <c r="AZ5" s="40" t="s">
        <v>207</v>
      </c>
      <c r="BA5" s="41" t="s">
        <v>80</v>
      </c>
      <c r="BB5" s="41" t="s">
        <v>80</v>
      </c>
      <c r="BC5" s="41" t="s">
        <v>101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3000</v>
      </c>
      <c r="H6" s="9"/>
      <c r="I6" s="48">
        <v>0</v>
      </c>
      <c r="J6" s="21">
        <f t="shared" si="2"/>
        <v>18000</v>
      </c>
      <c r="K6" s="8" t="s">
        <v>194</v>
      </c>
      <c r="L6" s="9">
        <v>-1500</v>
      </c>
      <c r="M6" s="9"/>
      <c r="N6" s="48">
        <v>0</v>
      </c>
      <c r="O6" s="21">
        <f t="shared" si="3"/>
        <v>41500</v>
      </c>
      <c r="P6" s="8" t="s">
        <v>194</v>
      </c>
      <c r="Q6" s="9">
        <v>-1500</v>
      </c>
      <c r="R6" s="9"/>
      <c r="S6" s="48">
        <v>0</v>
      </c>
      <c r="T6" s="21">
        <f t="shared" si="4"/>
        <v>45500</v>
      </c>
      <c r="U6" s="53">
        <f>IF($J6="","",ROUND(($J6-$J$3)/1000,1)+(_xlfn.RANK.AVG($J6,($J6,$O6,$T6),1)-2)*20)</f>
        <v>-37</v>
      </c>
      <c r="V6" s="54">
        <f>IF($O6="","",ROUND(($O6-$O$3)/1000,1)+(_xlfn.RANK.AVG($O6,($J6,$O6,$T6),1)-2)*20)</f>
        <v>6.5</v>
      </c>
      <c r="W6" s="55">
        <f>IF($T6="","",ROUND(($T6-$T$3)/1000,1)+(_xlfn.RANK.AVG($T6,($J6,$O6,$T6),1)-2)*20)</f>
        <v>30.5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93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194</v>
      </c>
      <c r="G7" s="9">
        <v>-5000</v>
      </c>
      <c r="H7" s="9"/>
      <c r="I7" s="48">
        <v>-500</v>
      </c>
      <c r="J7" s="21">
        <f t="shared" si="2"/>
        <v>12500</v>
      </c>
      <c r="K7" s="8" t="s">
        <v>194</v>
      </c>
      <c r="L7" s="9">
        <v>-3000</v>
      </c>
      <c r="M7" s="9"/>
      <c r="N7" s="48">
        <v>-500</v>
      </c>
      <c r="O7" s="21">
        <f t="shared" si="3"/>
        <v>38000</v>
      </c>
      <c r="P7" s="8" t="s">
        <v>195</v>
      </c>
      <c r="Q7" s="9">
        <v>8000</v>
      </c>
      <c r="R7" s="9"/>
      <c r="S7" s="48">
        <v>1000</v>
      </c>
      <c r="T7" s="21">
        <f t="shared" si="4"/>
        <v>54500</v>
      </c>
      <c r="U7" s="53">
        <f>IF($J7="","",ROUND(($J7-$J$3)/1000,1)+(_xlfn.RANK.AVG($J7,($J7,$O7,$T7),1)-2)*20)</f>
        <v>-42.5</v>
      </c>
      <c r="V7" s="54">
        <f>IF($O7="","",ROUND(($O7-$O$3)/1000,1)+(_xlfn.RANK.AVG($O7,($J7,$O7,$T7),1)-2)*20)</f>
        <v>3</v>
      </c>
      <c r="W7" s="55">
        <f>IF($T7="","",ROUND(($T7-$T$3)/1000,1)+(_xlfn.RANK.AVG($T7,($J7,$O7,$T7),1)-2)*20)</f>
        <v>39.5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198</v>
      </c>
      <c r="BU7" s="40" t="s">
        <v>79</v>
      </c>
      <c r="BV7" s="41" t="s">
        <v>86</v>
      </c>
      <c r="BW7" s="41" t="s">
        <v>86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196</v>
      </c>
      <c r="G8" s="9">
        <v>-24000</v>
      </c>
      <c r="H8" s="9"/>
      <c r="I8" s="48">
        <v>0</v>
      </c>
      <c r="J8" s="21">
        <f t="shared" si="2"/>
        <v>-11500</v>
      </c>
      <c r="K8" s="8" t="s">
        <v>197</v>
      </c>
      <c r="L8" s="9">
        <v>24000</v>
      </c>
      <c r="M8" s="9"/>
      <c r="N8" s="48">
        <v>0</v>
      </c>
      <c r="O8" s="21">
        <f t="shared" si="3"/>
        <v>62000</v>
      </c>
      <c r="P8" s="8"/>
      <c r="Q8" s="9"/>
      <c r="R8" s="9"/>
      <c r="S8" s="48"/>
      <c r="T8" s="21">
        <f t="shared" si="4"/>
        <v>54500</v>
      </c>
      <c r="U8" s="53">
        <f>IF($J8="","",ROUND(($J8-$J$3)/1000,1)+(_xlfn.RANK.AVG($J8,($J8,$O8,$T8),1)-2)*20)</f>
        <v>-66.5</v>
      </c>
      <c r="V8" s="54">
        <f>IF($O8="","",ROUND(($O8-$O$3)/1000,1)+(_xlfn.RANK.AVG($O8,($J8,$O8,$T8),1)-2)*20)</f>
        <v>47</v>
      </c>
      <c r="W8" s="55">
        <f>IF($T8="","",ROUND(($T8-$T$3)/1000,1)+(_xlfn.RANK.AVG($T8,($J8,$O8,$T8),1)-2)*20)</f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10</v>
      </c>
      <c r="AY8" s="30" t="s">
        <v>198</v>
      </c>
      <c r="AZ8" s="40" t="s">
        <v>104</v>
      </c>
      <c r="BA8" s="41" t="s">
        <v>79</v>
      </c>
      <c r="BB8" s="41" t="s">
        <v>79</v>
      </c>
      <c r="BC8" s="41" t="s">
        <v>79</v>
      </c>
      <c r="BD8" s="41" t="s">
        <v>86</v>
      </c>
      <c r="BE8" s="41" t="s">
        <v>86</v>
      </c>
      <c r="BF8" s="41" t="s">
        <v>86</v>
      </c>
      <c r="BG8" s="41" t="s">
        <v>98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340EEB9-A13B-43BB-B2D2-6055BC1DABB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14E13D39-9300-46B2-9061-D052537FCCEF}">
      <formula1>"ロン,ツモ,放銃,ツモ支払,流局,チョンボ"</formula1>
    </dataValidation>
    <dataValidation type="list" allowBlank="1" showInputMessage="1" showErrorMessage="1" sqref="E4:E30" xr:uid="{3C04092C-3CAF-4F4E-96EE-1F274E483E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4955-ED89-477A-9C9D-870A2B6933D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25.3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20</v>
      </c>
      <c r="BU4" s="40" t="s">
        <v>207</v>
      </c>
      <c r="BV4" s="41" t="s">
        <v>83</v>
      </c>
      <c r="BW4" s="41" t="s">
        <v>82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-4500</v>
      </c>
      <c r="H5" s="9">
        <v>-1000</v>
      </c>
      <c r="I5" s="48">
        <v>0</v>
      </c>
      <c r="J5" s="21">
        <f t="shared" ref="J5:J30" si="2">IF(COUNTA($F5,$K5,$P5)&gt;0,J4+SUM(G5:I5),"")</f>
        <v>26200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25500</v>
      </c>
      <c r="P5" s="8" t="s">
        <v>195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53300</v>
      </c>
      <c r="U5" s="53">
        <f>IF($J5="","",ROUND(($J5-$J$3)/1000,1)+(_xlfn.RANK.AVG($J5,($J5,$O5,$T5),1)-2)*20)</f>
        <v>-8.8000000000000007</v>
      </c>
      <c r="V5" s="54">
        <f>IF($O5="","",ROUND(($O5-$O$3)/1000,1)+(_xlfn.RANK.AVG($O5,($J5,$O5,$T5),1)-2)*20)</f>
        <v>-29.5</v>
      </c>
      <c r="W5" s="55">
        <f>IF($T5="","",ROUND(($T5-$T$3)/1000,1)+(_xlfn.RANK.AVG($T5,($J5,$O5,$T5),1)-2)*20)</f>
        <v>38.299999999999997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198</v>
      </c>
      <c r="BU5" s="40" t="s">
        <v>82</v>
      </c>
      <c r="BV5" s="41" t="s">
        <v>89</v>
      </c>
      <c r="BW5" s="41" t="s">
        <v>96</v>
      </c>
      <c r="BX5" s="41" t="s">
        <v>85</v>
      </c>
      <c r="BY5" s="41" t="s">
        <v>204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/>
      <c r="G6" s="9"/>
      <c r="H6" s="9"/>
      <c r="I6" s="48"/>
      <c r="J6" s="21">
        <f t="shared" si="2"/>
        <v>26200</v>
      </c>
      <c r="K6" s="8" t="s">
        <v>196</v>
      </c>
      <c r="L6" s="9">
        <v>-12000</v>
      </c>
      <c r="M6" s="9"/>
      <c r="N6" s="48">
        <v>0</v>
      </c>
      <c r="O6" s="21">
        <f t="shared" si="3"/>
        <v>13500</v>
      </c>
      <c r="P6" s="8" t="s">
        <v>197</v>
      </c>
      <c r="Q6" s="9">
        <v>12000</v>
      </c>
      <c r="R6" s="9"/>
      <c r="S6" s="48">
        <v>0</v>
      </c>
      <c r="T6" s="21">
        <f t="shared" si="4"/>
        <v>65300</v>
      </c>
      <c r="U6" s="53">
        <f>IF($J6="","",ROUND(($J6-$J$3)/1000,1)+(_xlfn.RANK.AVG($J6,($J6,$O6,$T6),1)-2)*20)</f>
        <v>-8.8000000000000007</v>
      </c>
      <c r="V6" s="54">
        <f>IF($O6="","",ROUND(($O6-$O$3)/1000,1)+(_xlfn.RANK.AVG($O6,($J6,$O6,$T6),1)-2)*20)</f>
        <v>-41.5</v>
      </c>
      <c r="W6" s="55">
        <f>IF($T6="","",ROUND(($T6-$T$3)/1000,1)+(_xlfn.RANK.AVG($T6,($J6,$O6,$T6),1)-2)*20)</f>
        <v>50.3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79</v>
      </c>
      <c r="BV6" s="41" t="s">
        <v>79</v>
      </c>
      <c r="BW6" s="41" t="s">
        <v>79</v>
      </c>
      <c r="BX6" s="41" t="s">
        <v>86</v>
      </c>
      <c r="BY6" s="41" t="s">
        <v>93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205</v>
      </c>
      <c r="F7" s="8" t="s">
        <v>195</v>
      </c>
      <c r="G7" s="9">
        <v>8000</v>
      </c>
      <c r="H7" s="9"/>
      <c r="I7" s="48">
        <v>1000</v>
      </c>
      <c r="J7" s="21">
        <f t="shared" si="2"/>
        <v>35200</v>
      </c>
      <c r="K7" s="8" t="s">
        <v>194</v>
      </c>
      <c r="L7" s="9">
        <v>-3000</v>
      </c>
      <c r="M7" s="9"/>
      <c r="N7" s="48">
        <v>-500</v>
      </c>
      <c r="O7" s="21">
        <f t="shared" si="3"/>
        <v>10000</v>
      </c>
      <c r="P7" s="8" t="s">
        <v>194</v>
      </c>
      <c r="Q7" s="9">
        <v>-5000</v>
      </c>
      <c r="R7" s="9"/>
      <c r="S7" s="48">
        <v>-500</v>
      </c>
      <c r="T7" s="21">
        <f t="shared" si="4"/>
        <v>59800</v>
      </c>
      <c r="U7" s="53">
        <f>IF($J7="","",ROUND(($J7-$J$3)/1000,1)+(_xlfn.RANK.AVG($J7,($J7,$O7,$T7),1)-2)*20)</f>
        <v>0.2</v>
      </c>
      <c r="V7" s="54">
        <f>IF($O7="","",ROUND(($O7-$O$3)/1000,1)+(_xlfn.RANK.AVG($O7,($J7,$O7,$T7),1)-2)*20)</f>
        <v>-45</v>
      </c>
      <c r="W7" s="55">
        <f>IF($T7="","",ROUND(($T7-$T$3)/1000,1)+(_xlfn.RANK.AVG($T7,($J7,$O7,$T7),1)-2)*20)</f>
        <v>44.8</v>
      </c>
      <c r="Y7" s="8"/>
      <c r="Z7" s="34"/>
      <c r="AA7" s="26"/>
      <c r="AB7" s="26"/>
      <c r="AC7" s="26">
        <v>5</v>
      </c>
      <c r="AD7" s="30" t="s">
        <v>198</v>
      </c>
      <c r="AE7" s="40" t="s">
        <v>82</v>
      </c>
      <c r="AF7" s="41" t="s">
        <v>79</v>
      </c>
      <c r="AG7" s="41" t="s">
        <v>79</v>
      </c>
      <c r="AH7" s="41" t="s">
        <v>101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-2500</v>
      </c>
      <c r="H8" s="9"/>
      <c r="I8" s="48">
        <v>0</v>
      </c>
      <c r="J8" s="21">
        <f t="shared" si="2"/>
        <v>32700</v>
      </c>
      <c r="K8" s="8" t="s">
        <v>195</v>
      </c>
      <c r="L8" s="9">
        <v>4000</v>
      </c>
      <c r="M8" s="9"/>
      <c r="N8" s="48">
        <v>0</v>
      </c>
      <c r="O8" s="21">
        <f t="shared" si="3"/>
        <v>14000</v>
      </c>
      <c r="P8" s="8" t="s">
        <v>194</v>
      </c>
      <c r="Q8" s="9">
        <v>-1500</v>
      </c>
      <c r="R8" s="9"/>
      <c r="S8" s="48">
        <v>0</v>
      </c>
      <c r="T8" s="21">
        <f t="shared" si="4"/>
        <v>58300</v>
      </c>
      <c r="U8" s="53">
        <f>IF($J8="","",ROUND(($J8-$J$3)/1000,1)+(_xlfn.RANK.AVG($J8,($J8,$O8,$T8),1)-2)*20)</f>
        <v>-2.2999999999999998</v>
      </c>
      <c r="V8" s="54">
        <f>IF($O8="","",ROUND(($O8-$O$3)/1000,1)+(_xlfn.RANK.AVG($O8,($J8,$O8,$T8),1)-2)*20)</f>
        <v>-41</v>
      </c>
      <c r="W8" s="55">
        <f>IF($T8="","",ROUND(($T8-$T$3)/1000,1)+(_xlfn.RANK.AVG($T8,($J8,$O8,$T8),1)-2)*20)</f>
        <v>43.3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196</v>
      </c>
      <c r="G9" s="9">
        <v>-2600</v>
      </c>
      <c r="H9" s="9"/>
      <c r="I9" s="48">
        <v>0</v>
      </c>
      <c r="J9" s="21">
        <f t="shared" si="2"/>
        <v>30100</v>
      </c>
      <c r="K9" s="8"/>
      <c r="L9" s="9"/>
      <c r="M9" s="9"/>
      <c r="N9" s="48"/>
      <c r="O9" s="21">
        <f t="shared" si="3"/>
        <v>14000</v>
      </c>
      <c r="P9" s="8" t="s">
        <v>197</v>
      </c>
      <c r="Q9" s="9">
        <v>2600</v>
      </c>
      <c r="R9" s="9"/>
      <c r="S9" s="48">
        <v>0</v>
      </c>
      <c r="T9" s="21">
        <f t="shared" si="4"/>
        <v>60900</v>
      </c>
      <c r="U9" s="53">
        <f>IF($J9="","",ROUND(($J9-$J$3)/1000,1)+(_xlfn.RANK.AVG($J9,($J9,$O9,$T9),1)-2)*20)</f>
        <v>-4.9000000000000004</v>
      </c>
      <c r="V9" s="54">
        <f>IF($O9="","",ROUND(($O9-$O$3)/1000,1)+(_xlfn.RANK.AVG($O9,($J9,$O9,$T9),1)-2)*20)</f>
        <v>-41</v>
      </c>
      <c r="W9" s="55">
        <f>IF($T9="","",ROUND(($T9-$T$3)/1000,1)+(_xlfn.RANK.AVG($T9,($J9,$O9,$T9),1)-2)*20)</f>
        <v>45.9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204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205</v>
      </c>
      <c r="F10" s="8" t="s">
        <v>195</v>
      </c>
      <c r="G10" s="9">
        <v>16000</v>
      </c>
      <c r="H10" s="9"/>
      <c r="I10" s="48">
        <v>0</v>
      </c>
      <c r="J10" s="21">
        <f t="shared" si="2"/>
        <v>46100</v>
      </c>
      <c r="K10" s="8" t="s">
        <v>194</v>
      </c>
      <c r="L10" s="9">
        <v>-6000</v>
      </c>
      <c r="M10" s="9"/>
      <c r="N10" s="48">
        <v>0</v>
      </c>
      <c r="O10" s="21">
        <f t="shared" si="3"/>
        <v>8000</v>
      </c>
      <c r="P10" s="8" t="s">
        <v>194</v>
      </c>
      <c r="Q10" s="9">
        <v>-10000</v>
      </c>
      <c r="R10" s="9"/>
      <c r="S10" s="48">
        <v>0</v>
      </c>
      <c r="T10" s="21">
        <f t="shared" si="4"/>
        <v>50900</v>
      </c>
      <c r="U10" s="53">
        <f>IF($J10="","",ROUND(($J10-$J$3)/1000,1)+(_xlfn.RANK.AVG($J10,($J10,$O10,$T10),1)-2)*20)</f>
        <v>11.1</v>
      </c>
      <c r="V10" s="54">
        <f>IF($O10="","",ROUND(($O10-$O$3)/1000,1)+(_xlfn.RANK.AVG($O10,($J10,$O10,$T10),1)-2)*20)</f>
        <v>-47</v>
      </c>
      <c r="W10" s="55">
        <f>IF($T10="","",ROUND(($T10-$T$3)/1000,1)+(_xlfn.RANK.AVG($T10,($J10,$O10,$T10),1)-2)*20)</f>
        <v>35.9</v>
      </c>
      <c r="Y10" s="8"/>
      <c r="Z10" s="34"/>
      <c r="AA10" s="26">
        <v>1</v>
      </c>
      <c r="AB10" s="26"/>
      <c r="AC10" s="26">
        <v>9</v>
      </c>
      <c r="AD10" s="30" t="s">
        <v>198</v>
      </c>
      <c r="AE10" s="40" t="s">
        <v>207</v>
      </c>
      <c r="AF10" s="41" t="s">
        <v>82</v>
      </c>
      <c r="AG10" s="41" t="s">
        <v>200</v>
      </c>
      <c r="AH10" s="41" t="s">
        <v>85</v>
      </c>
      <c r="AI10" s="41" t="s">
        <v>79</v>
      </c>
      <c r="AJ10" s="41" t="s">
        <v>79</v>
      </c>
      <c r="AK10" s="41" t="s">
        <v>79</v>
      </c>
      <c r="AL10" s="41" t="s">
        <v>79</v>
      </c>
      <c r="AM10" s="41" t="s">
        <v>80</v>
      </c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F2DB53D5-2309-4B88-A8C8-65C28EF907CF}">
      <formula1>$U$2:$W$2</formula1>
    </dataValidation>
    <dataValidation type="list" showInputMessage="1" showErrorMessage="1" sqref="K4:K30 P4:P30 F4:F30" xr:uid="{7F435B6B-F4EB-4B3F-98EE-82AA64BB8E28}">
      <formula1>"ロン,ツモ,放銃,ツモ支払,流局,チョンボ"</formula1>
    </dataValidation>
    <dataValidation type="list" allowBlank="1" showInputMessage="1" sqref="F1:T1" xr:uid="{2B2063C3-C3BC-4616-BB44-CBF260FA7BD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DA6-E6B8-4CE2-BF1A-E24C2D1AD580}">
  <sheetPr codeName="Sheet13">
    <pageSetUpPr fitToPage="1"/>
  </sheetPr>
  <dimension ref="A1:CI30"/>
  <sheetViews>
    <sheetView topLeftCell="A4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196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208</v>
      </c>
      <c r="G5" s="9">
        <v>0</v>
      </c>
      <c r="H5" s="9"/>
      <c r="I5" s="48"/>
      <c r="J5" s="21">
        <f t="shared" ref="J5:J30" si="2">IF(COUNTA($F5,$K5,$P5)&gt;0,J4+SUM(G5:I5),"")</f>
        <v>37000</v>
      </c>
      <c r="K5" s="8" t="s">
        <v>208</v>
      </c>
      <c r="L5" s="9">
        <v>0</v>
      </c>
      <c r="M5" s="9">
        <v>-1000</v>
      </c>
      <c r="N5" s="48"/>
      <c r="O5" s="21">
        <f t="shared" ref="O5:O30" si="3">IF(COUNTA($F5,$K5,$P5)&gt;0,O4+SUM(L5:N5),"")</f>
        <v>32000</v>
      </c>
      <c r="P5" s="8" t="s">
        <v>208</v>
      </c>
      <c r="Q5" s="9">
        <v>0</v>
      </c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22</v>
      </c>
      <c r="V5" s="54">
        <f>IF($O5="","",ROUND(($O5-$O$3)/1000,1)+(_xlfn.RANK.AVG($O5,($J5,$O5,$T5),1)-2)*20)</f>
        <v>-23</v>
      </c>
      <c r="W5" s="55">
        <f>IF($T5="","",ROUND(($T5-$T$3)/1000,1)+(_xlfn.RANK.AVG($T5,($J5,$O5,$T5),1)-2)*20)</f>
        <v>0</v>
      </c>
      <c r="Y5" s="8" t="s">
        <v>202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205</v>
      </c>
      <c r="F6" s="8" t="s">
        <v>208</v>
      </c>
      <c r="G6" s="9">
        <v>-1500</v>
      </c>
      <c r="H6" s="9"/>
      <c r="I6" s="48"/>
      <c r="J6" s="21">
        <f t="shared" si="2"/>
        <v>35500</v>
      </c>
      <c r="K6" s="8" t="s">
        <v>208</v>
      </c>
      <c r="L6" s="9">
        <v>-1500</v>
      </c>
      <c r="M6" s="9"/>
      <c r="N6" s="48"/>
      <c r="O6" s="21">
        <f t="shared" si="3"/>
        <v>30500</v>
      </c>
      <c r="P6" s="8" t="s">
        <v>208</v>
      </c>
      <c r="Q6" s="9">
        <v>3000</v>
      </c>
      <c r="R6" s="9">
        <v>-1000</v>
      </c>
      <c r="S6" s="48"/>
      <c r="T6" s="21">
        <f t="shared" si="4"/>
        <v>37000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22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205</v>
      </c>
      <c r="F7" s="8" t="s">
        <v>208</v>
      </c>
      <c r="G7" s="9">
        <v>1500</v>
      </c>
      <c r="H7" s="9">
        <v>-1000</v>
      </c>
      <c r="I7" s="48"/>
      <c r="J7" s="21">
        <f t="shared" si="2"/>
        <v>36000</v>
      </c>
      <c r="K7" s="8" t="s">
        <v>208</v>
      </c>
      <c r="L7" s="9">
        <v>-3000</v>
      </c>
      <c r="M7" s="9"/>
      <c r="N7" s="48"/>
      <c r="O7" s="21">
        <f t="shared" si="3"/>
        <v>27500</v>
      </c>
      <c r="P7" s="8" t="s">
        <v>208</v>
      </c>
      <c r="Q7" s="9">
        <v>1500</v>
      </c>
      <c r="R7" s="9"/>
      <c r="S7" s="48"/>
      <c r="T7" s="21">
        <f t="shared" si="4"/>
        <v>38500</v>
      </c>
      <c r="U7" s="53">
        <f>IF($J7="","",ROUND(($J7-$J$3)/1000,1)+(_xlfn.RANK.AVG($J7,($J7,$O7,$T7),1)-2)*20)</f>
        <v>1</v>
      </c>
      <c r="V7" s="54">
        <f>IF($O7="","",ROUND(($O7-$O$3)/1000,1)+(_xlfn.RANK.AVG($O7,($J7,$O7,$T7),1)-2)*20)</f>
        <v>-27.5</v>
      </c>
      <c r="W7" s="55">
        <f>IF($T7="","",ROUND(($T7-$T$3)/1000,1)+(_xlfn.RANK.AVG($T7,($J7,$O7,$T7),1)-2)*20)</f>
        <v>23.5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3</v>
      </c>
      <c r="E8" s="4" t="s">
        <v>205</v>
      </c>
      <c r="F8" s="8" t="s">
        <v>197</v>
      </c>
      <c r="G8" s="9">
        <v>1300</v>
      </c>
      <c r="H8" s="9">
        <v>4000</v>
      </c>
      <c r="I8" s="48">
        <v>3000</v>
      </c>
      <c r="J8" s="21">
        <f t="shared" si="2"/>
        <v>44300</v>
      </c>
      <c r="K8" s="8" t="s">
        <v>196</v>
      </c>
      <c r="L8" s="9">
        <v>-1300</v>
      </c>
      <c r="M8" s="9">
        <v>-1000</v>
      </c>
      <c r="N8" s="48">
        <v>-3000</v>
      </c>
      <c r="O8" s="21">
        <f t="shared" si="3"/>
        <v>22200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IF($J8="","",ROUND(($J8-$J$3)/1000,1)+(_xlfn.RANK.AVG($J8,($J8,$O8,$T8),1)-2)*20)</f>
        <v>29.3</v>
      </c>
      <c r="V8" s="54">
        <f>IF($O8="","",ROUND(($O8-$O$3)/1000,1)+(_xlfn.RANK.AVG($O8,($J8,$O8,$T8),1)-2)*20)</f>
        <v>-32.799999999999997</v>
      </c>
      <c r="W8" s="55">
        <f>IF($T8="","",ROUND(($T8-$T$3)/1000,1)+(_xlfn.RANK.AVG($T8,($J8,$O8,$T8),1)-2)*20)</f>
        <v>3.5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207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24000</v>
      </c>
      <c r="H9" s="9"/>
      <c r="I9" s="48">
        <v>0</v>
      </c>
      <c r="J9" s="21">
        <f t="shared" si="2"/>
        <v>68300</v>
      </c>
      <c r="K9" s="8" t="s">
        <v>194</v>
      </c>
      <c r="L9" s="9">
        <v>-12000</v>
      </c>
      <c r="M9" s="9"/>
      <c r="N9" s="48">
        <v>0</v>
      </c>
      <c r="O9" s="21">
        <f t="shared" si="3"/>
        <v>10200</v>
      </c>
      <c r="P9" s="8" t="s">
        <v>194</v>
      </c>
      <c r="Q9" s="9">
        <v>-12000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IF($J9="","",ROUND(($J9-$J$3)/1000,1)+(_xlfn.RANK.AVG($J9,($J9,$O9,$T9),1)-2)*20)</f>
        <v>53.3</v>
      </c>
      <c r="V9" s="54">
        <f>IF($O9="","",ROUND(($O9-$O$3)/1000,1)+(_xlfn.RANK.AVG($O9,($J9,$O9,$T9),1)-2)*20)</f>
        <v>-44.8</v>
      </c>
      <c r="W9" s="55">
        <f>IF($T9="","",ROUND(($T9-$T$3)/1000,1)+(_xlfn.RANK.AVG($T9,($J9,$O9,$T9),1)-2)*20)</f>
        <v>-8.5</v>
      </c>
      <c r="Y9" s="8"/>
      <c r="Z9" s="34"/>
      <c r="AA9" s="26">
        <v>1</v>
      </c>
      <c r="AB9" s="26"/>
      <c r="AC9" s="26">
        <v>8</v>
      </c>
      <c r="AD9" s="30" t="s">
        <v>198</v>
      </c>
      <c r="AE9" s="40" t="s">
        <v>207</v>
      </c>
      <c r="AF9" s="41" t="s">
        <v>82</v>
      </c>
      <c r="AG9" s="41" t="s">
        <v>83</v>
      </c>
      <c r="AH9" s="41" t="s">
        <v>200</v>
      </c>
      <c r="AI9" s="41" t="s">
        <v>79</v>
      </c>
      <c r="AJ9" s="41" t="s">
        <v>204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196</v>
      </c>
      <c r="G10" s="9">
        <v>-2000</v>
      </c>
      <c r="H10" s="9">
        <v>-1000</v>
      </c>
      <c r="I10" s="48">
        <v>-1000</v>
      </c>
      <c r="J10" s="21">
        <f t="shared" si="2"/>
        <v>64300</v>
      </c>
      <c r="K10" s="8"/>
      <c r="L10" s="9"/>
      <c r="M10" s="9"/>
      <c r="N10" s="48"/>
      <c r="O10" s="21">
        <f t="shared" si="3"/>
        <v>10200</v>
      </c>
      <c r="P10" s="8" t="s">
        <v>197</v>
      </c>
      <c r="Q10" s="9">
        <v>2000</v>
      </c>
      <c r="R10" s="9">
        <v>1000</v>
      </c>
      <c r="S10" s="48">
        <v>1000</v>
      </c>
      <c r="T10" s="21">
        <f t="shared" si="4"/>
        <v>30500</v>
      </c>
      <c r="U10" s="53">
        <f>IF($J10="","",ROUND(($J10-$J$3)/1000,1)+(_xlfn.RANK.AVG($J10,($J10,$O10,$T10),1)-2)*20)</f>
        <v>49.3</v>
      </c>
      <c r="V10" s="54">
        <f>IF($O10="","",ROUND(($O10-$O$3)/1000,1)+(_xlfn.RANK.AVG($O10,($J10,$O10,$T10),1)-2)*20)</f>
        <v>-44.8</v>
      </c>
      <c r="W10" s="55">
        <f>IF($T10="","",ROUND(($T10-$T$3)/1000,1)+(_xlfn.RANK.AVG($T10,($J10,$O10,$T10),1)-2)*20)</f>
        <v>-4.5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79</v>
      </c>
      <c r="BV10" s="41" t="s">
        <v>83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194</v>
      </c>
      <c r="G11" s="9">
        <v>-9000</v>
      </c>
      <c r="H11" s="9"/>
      <c r="I11" s="48">
        <v>0</v>
      </c>
      <c r="J11" s="21">
        <f t="shared" si="2"/>
        <v>55300</v>
      </c>
      <c r="K11" s="8" t="s">
        <v>195</v>
      </c>
      <c r="L11" s="9">
        <v>18000</v>
      </c>
      <c r="M11" s="9"/>
      <c r="N11" s="48">
        <v>0</v>
      </c>
      <c r="O11" s="21">
        <f t="shared" si="3"/>
        <v>28200</v>
      </c>
      <c r="P11" s="8" t="s">
        <v>194</v>
      </c>
      <c r="Q11" s="9">
        <v>-9000</v>
      </c>
      <c r="R11" s="9"/>
      <c r="S11" s="48">
        <v>0</v>
      </c>
      <c r="T11" s="21">
        <f t="shared" si="4"/>
        <v>21500</v>
      </c>
      <c r="U11" s="53">
        <f>IF($J11="","",ROUND(($J11-$J$3)/1000,1)+(_xlfn.RANK.AVG($J11,($J11,$O11,$T11),1)-2)*20)</f>
        <v>40.299999999999997</v>
      </c>
      <c r="V11" s="54">
        <f>IF($O11="","",ROUND(($O11-$O$3)/1000,1)+(_xlfn.RANK.AVG($O11,($J11,$O11,$T11),1)-2)*20)</f>
        <v>-6.8</v>
      </c>
      <c r="W11" s="55">
        <f>IF($T11="","",ROUND(($T11-$T$3)/1000,1)+(_xlfn.RANK.AVG($T11,($J11,$O11,$T11),1)-2)*20)</f>
        <v>-33.5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198</v>
      </c>
      <c r="AZ11" s="40" t="s">
        <v>207</v>
      </c>
      <c r="BA11" s="41" t="s">
        <v>82</v>
      </c>
      <c r="BB11" s="41" t="s">
        <v>200</v>
      </c>
      <c r="BC11" s="41" t="s">
        <v>80</v>
      </c>
      <c r="BD11" s="41" t="s">
        <v>80</v>
      </c>
      <c r="BE11" s="41" t="s">
        <v>80</v>
      </c>
      <c r="BF11" s="41" t="s">
        <v>80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197</v>
      </c>
      <c r="G12" s="9">
        <v>8000</v>
      </c>
      <c r="H12" s="9"/>
      <c r="I12" s="48">
        <v>1000</v>
      </c>
      <c r="J12" s="21">
        <f t="shared" si="2"/>
        <v>64300</v>
      </c>
      <c r="K12" s="8"/>
      <c r="L12" s="9"/>
      <c r="M12" s="9"/>
      <c r="N12" s="48"/>
      <c r="O12" s="21">
        <f t="shared" si="3"/>
        <v>28200</v>
      </c>
      <c r="P12" s="8" t="s">
        <v>196</v>
      </c>
      <c r="Q12" s="9">
        <v>-8000</v>
      </c>
      <c r="R12" s="9"/>
      <c r="S12" s="48">
        <v>-1000</v>
      </c>
      <c r="T12" s="21">
        <f t="shared" si="4"/>
        <v>12500</v>
      </c>
      <c r="U12" s="53">
        <f>IF($J12="","",ROUND(($J12-$J$3)/1000,1)+(_xlfn.RANK.AVG($J12,($J12,$O12,$T12),1)-2)*20)</f>
        <v>49.3</v>
      </c>
      <c r="V12" s="54">
        <f>IF($O12="","",ROUND(($O12-$O$3)/1000,1)+(_xlfn.RANK.AVG($O12,($J12,$O12,$T12),1)-2)*20)</f>
        <v>-6.8</v>
      </c>
      <c r="W12" s="55">
        <f>IF($T12="","",ROUND(($T12-$T$3)/1000,1)+(_xlfn.RANK.AVG($T12,($J12,$O12,$T12),1)-2)*20)</f>
        <v>-42.5</v>
      </c>
      <c r="Y12" s="8"/>
      <c r="Z12" s="34"/>
      <c r="AA12" s="26"/>
      <c r="AB12" s="26">
        <v>1</v>
      </c>
      <c r="AC12" s="26">
        <v>5</v>
      </c>
      <c r="AD12" s="30" t="s">
        <v>198</v>
      </c>
      <c r="AE12" s="40" t="s">
        <v>98</v>
      </c>
      <c r="AF12" s="41" t="s">
        <v>104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205</v>
      </c>
      <c r="F13" s="8" t="s">
        <v>194</v>
      </c>
      <c r="G13" s="9">
        <v>-6000</v>
      </c>
      <c r="H13" s="9"/>
      <c r="I13" s="48">
        <v>0</v>
      </c>
      <c r="J13" s="21">
        <f t="shared" si="2"/>
        <v>58300</v>
      </c>
      <c r="K13" s="8" t="s">
        <v>194</v>
      </c>
      <c r="L13" s="9">
        <v>-6000</v>
      </c>
      <c r="M13" s="9"/>
      <c r="N13" s="48">
        <v>0</v>
      </c>
      <c r="O13" s="21">
        <f t="shared" si="3"/>
        <v>22200</v>
      </c>
      <c r="P13" s="8" t="s">
        <v>195</v>
      </c>
      <c r="Q13" s="9">
        <v>12000</v>
      </c>
      <c r="R13" s="9"/>
      <c r="S13" s="48">
        <v>0</v>
      </c>
      <c r="T13" s="21">
        <f t="shared" si="4"/>
        <v>24500</v>
      </c>
      <c r="U13" s="53">
        <f>IF($J13="","",ROUND(($J13-$J$3)/1000,1)+(_xlfn.RANK.AVG($J13,($J13,$O13,$T13),1)-2)*20)</f>
        <v>43.3</v>
      </c>
      <c r="V13" s="54">
        <f>IF($O13="","",ROUND(($O13-$O$3)/1000,1)+(_xlfn.RANK.AVG($O13,($J13,$O13,$T13),1)-2)*20)</f>
        <v>-32.799999999999997</v>
      </c>
      <c r="W13" s="55">
        <f>IF($T13="","",ROUND(($T13-$T$3)/1000,1)+(_xlfn.RANK.AVG($T13,($J13,$O13,$T13),1)-2)*20)</f>
        <v>-10.5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5</v>
      </c>
      <c r="BT13" s="30" t="s">
        <v>198</v>
      </c>
      <c r="BU13" s="40" t="s">
        <v>82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205</v>
      </c>
      <c r="F14" s="8" t="s">
        <v>194</v>
      </c>
      <c r="G14" s="9">
        <v>-6000</v>
      </c>
      <c r="H14" s="9"/>
      <c r="I14" s="48">
        <v>-500</v>
      </c>
      <c r="J14" s="21">
        <f t="shared" si="2"/>
        <v>51800</v>
      </c>
      <c r="K14" s="8" t="s">
        <v>194</v>
      </c>
      <c r="L14" s="9">
        <v>-6000</v>
      </c>
      <c r="M14" s="9"/>
      <c r="N14" s="48">
        <v>-500</v>
      </c>
      <c r="O14" s="21">
        <f t="shared" si="3"/>
        <v>15700</v>
      </c>
      <c r="P14" s="8" t="s">
        <v>195</v>
      </c>
      <c r="Q14" s="9">
        <v>12000</v>
      </c>
      <c r="R14" s="9"/>
      <c r="S14" s="48">
        <v>1000</v>
      </c>
      <c r="T14" s="21">
        <f t="shared" si="4"/>
        <v>37500</v>
      </c>
      <c r="U14" s="53">
        <f>IF($J14="","",ROUND(($J14-$J$3)/1000,1)+(_xlfn.RANK.AVG($J14,($J14,$O14,$T14),1)-2)*20)</f>
        <v>36.799999999999997</v>
      </c>
      <c r="V14" s="54">
        <f>IF($O14="","",ROUND(($O14-$O$3)/1000,1)+(_xlfn.RANK.AVG($O14,($J14,$O14,$T14),1)-2)*20)</f>
        <v>-39.299999999999997</v>
      </c>
      <c r="W14" s="55">
        <f>IF($T14="","",ROUND(($T14-$T$3)/1000,1)+(_xlfn.RANK.AVG($T14,($J14,$O14,$T14),1)-2)*20)</f>
        <v>2.5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198</v>
      </c>
      <c r="BU14" s="40" t="s">
        <v>207</v>
      </c>
      <c r="BV14" s="41" t="s">
        <v>82</v>
      </c>
      <c r="BW14" s="41" t="s">
        <v>84</v>
      </c>
      <c r="BX14" s="41" t="s">
        <v>85</v>
      </c>
      <c r="BY14" s="41" t="s">
        <v>83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205</v>
      </c>
      <c r="F15" s="8" t="s">
        <v>194</v>
      </c>
      <c r="G15" s="9">
        <v>-3000</v>
      </c>
      <c r="H15" s="9"/>
      <c r="I15" s="48">
        <v>-1000</v>
      </c>
      <c r="J15" s="21">
        <f t="shared" si="2"/>
        <v>47800</v>
      </c>
      <c r="K15" s="8" t="s">
        <v>194</v>
      </c>
      <c r="L15" s="9">
        <v>-3000</v>
      </c>
      <c r="M15" s="9">
        <v>-1000</v>
      </c>
      <c r="N15" s="48">
        <v>-1000</v>
      </c>
      <c r="O15" s="21">
        <f t="shared" si="3"/>
        <v>10700</v>
      </c>
      <c r="P15" s="8" t="s">
        <v>195</v>
      </c>
      <c r="Q15" s="9">
        <v>6000</v>
      </c>
      <c r="R15" s="9">
        <v>1000</v>
      </c>
      <c r="S15" s="48">
        <v>2000</v>
      </c>
      <c r="T15" s="21">
        <f t="shared" si="4"/>
        <v>46500</v>
      </c>
      <c r="U15" s="53">
        <f>IF($J15="","",ROUND(($J15-$J$3)/1000,1)+(_xlfn.RANK.AVG($J15,($J15,$O15,$T15),1)-2)*20)</f>
        <v>32.799999999999997</v>
      </c>
      <c r="V15" s="54">
        <f>IF($O15="","",ROUND(($O15-$O$3)/1000,1)+(_xlfn.RANK.AVG($O15,($J15,$O15,$T15),1)-2)*20)</f>
        <v>-44.3</v>
      </c>
      <c r="W15" s="55">
        <f>IF($T15="","",ROUND(($T15-$T$3)/1000,1)+(_xlfn.RANK.AVG($T15,($J15,$O15,$T15),1)-2)*20)</f>
        <v>11.5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3</v>
      </c>
      <c r="BT15" s="30">
        <v>30</v>
      </c>
      <c r="BU15" s="40" t="s">
        <v>82</v>
      </c>
      <c r="BV15" s="41" t="s">
        <v>87</v>
      </c>
      <c r="BW15" s="41" t="s">
        <v>86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3</v>
      </c>
      <c r="D16" s="18">
        <f t="shared" si="1"/>
        <v>0</v>
      </c>
      <c r="E16" s="4" t="s">
        <v>205</v>
      </c>
      <c r="F16" s="8" t="s">
        <v>196</v>
      </c>
      <c r="G16" s="9">
        <v>-12000</v>
      </c>
      <c r="H16" s="9">
        <v>-1000</v>
      </c>
      <c r="I16" s="48">
        <v>-3000</v>
      </c>
      <c r="J16" s="21">
        <f t="shared" si="2"/>
        <v>31800</v>
      </c>
      <c r="K16" s="8" t="s">
        <v>197</v>
      </c>
      <c r="L16" s="9">
        <v>12000</v>
      </c>
      <c r="M16" s="9">
        <v>1000</v>
      </c>
      <c r="N16" s="48">
        <v>3000</v>
      </c>
      <c r="O16" s="21">
        <f t="shared" si="3"/>
        <v>26700</v>
      </c>
      <c r="P16" s="8"/>
      <c r="Q16" s="9"/>
      <c r="R16" s="9"/>
      <c r="S16" s="48"/>
      <c r="T16" s="21">
        <f t="shared" si="4"/>
        <v>46500</v>
      </c>
      <c r="U16" s="53">
        <f>IF($J16="","",ROUND(($J16-$J$3)/1000,1)+(_xlfn.RANK.AVG($J16,($J16,$O16,$T16),1)-2)*20)</f>
        <v>-3.2</v>
      </c>
      <c r="V16" s="54">
        <f>IF($O16="","",ROUND(($O16-$O$3)/1000,1)+(_xlfn.RANK.AVG($O16,($J16,$O16,$T16),1)-2)*20)</f>
        <v>-28.3</v>
      </c>
      <c r="W16" s="55">
        <f>IF($T16="","",ROUND(($T16-$T$3)/1000,1)+(_xlfn.RANK.AVG($T16,($J16,$O16,$T16),1)-2)*20)</f>
        <v>31.5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6</v>
      </c>
      <c r="AY16" s="30" t="s">
        <v>198</v>
      </c>
      <c r="AZ16" s="40" t="s">
        <v>207</v>
      </c>
      <c r="BA16" s="41" t="s">
        <v>83</v>
      </c>
      <c r="BB16" s="41" t="s">
        <v>204</v>
      </c>
      <c r="BC16" s="41" t="s">
        <v>204</v>
      </c>
      <c r="BD16" s="41" t="s">
        <v>80</v>
      </c>
      <c r="BE16" s="41" t="s">
        <v>79</v>
      </c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191</v>
      </c>
      <c r="F17" s="8" t="s">
        <v>209</v>
      </c>
      <c r="G17" s="9">
        <v>5000</v>
      </c>
      <c r="H17" s="9"/>
      <c r="I17" s="48"/>
      <c r="J17" s="21">
        <f t="shared" si="2"/>
        <v>36800</v>
      </c>
      <c r="K17" s="8" t="s">
        <v>209</v>
      </c>
      <c r="L17" s="9">
        <v>3000</v>
      </c>
      <c r="M17" s="9">
        <v>-1000</v>
      </c>
      <c r="N17" s="48"/>
      <c r="O17" s="21">
        <f t="shared" si="3"/>
        <v>28700</v>
      </c>
      <c r="P17" s="8" t="s">
        <v>209</v>
      </c>
      <c r="Q17" s="9">
        <v>-8000</v>
      </c>
      <c r="R17" s="9"/>
      <c r="S17" s="48"/>
      <c r="T17" s="21">
        <f t="shared" si="4"/>
        <v>38500</v>
      </c>
      <c r="U17" s="53">
        <f>IF($J17="","",ROUND(($J17-$J$3)/1000,1)+(_xlfn.RANK.AVG($J17,($J17,$O17,$T17),1)-2)*20)</f>
        <v>1.8</v>
      </c>
      <c r="V17" s="54">
        <f>IF($O17="","",ROUND(($O17-$O$3)/1000,1)+(_xlfn.RANK.AVG($O17,($J17,$O17,$T17),1)-2)*20)</f>
        <v>-26.3</v>
      </c>
      <c r="W17" s="55">
        <f>IF($T17="","",ROUND(($T17-$T$3)/1000,1)+(_xlfn.RANK.AVG($T17,($J17,$O17,$T17),1)-2)*20)</f>
        <v>23.5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>
        <v>1</v>
      </c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1</v>
      </c>
      <c r="E18" s="4" t="s">
        <v>191</v>
      </c>
      <c r="F18" s="8" t="s">
        <v>196</v>
      </c>
      <c r="G18" s="9">
        <v>-2000</v>
      </c>
      <c r="H18" s="9"/>
      <c r="I18" s="48">
        <v>0</v>
      </c>
      <c r="J18" s="21">
        <f t="shared" si="2"/>
        <v>34800</v>
      </c>
      <c r="K18" s="8"/>
      <c r="L18" s="9"/>
      <c r="M18" s="9"/>
      <c r="N18" s="48"/>
      <c r="O18" s="21">
        <f t="shared" si="3"/>
        <v>28700</v>
      </c>
      <c r="P18" s="8" t="s">
        <v>197</v>
      </c>
      <c r="Q18" s="9">
        <v>2000</v>
      </c>
      <c r="R18" s="9">
        <v>1000</v>
      </c>
      <c r="S18" s="48">
        <v>0</v>
      </c>
      <c r="T18" s="21">
        <f t="shared" si="4"/>
        <v>41500</v>
      </c>
      <c r="U18" s="53">
        <f>IF($J18="","",ROUND(($J18-$J$3)/1000,1)+(_xlfn.RANK.AVG($J18,($J18,$O18,$T18),1)-2)*20)</f>
        <v>-0.2</v>
      </c>
      <c r="V18" s="54">
        <f>IF($O18="","",ROUND(($O18-$O$3)/1000,1)+(_xlfn.RANK.AVG($O18,($J18,$O18,$T18),1)-2)*20)</f>
        <v>-26.3</v>
      </c>
      <c r="W18" s="55">
        <f>IF($T18="","",ROUND(($T18-$T$3)/1000,1)+(_xlfn.RANK.AVG($T18,($J18,$O18,$T18),1)-2)*20)</f>
        <v>26.5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>
        <v>1</v>
      </c>
      <c r="BS18" s="26">
        <v>2</v>
      </c>
      <c r="BT18" s="30">
        <v>30</v>
      </c>
      <c r="BU18" s="40" t="s">
        <v>86</v>
      </c>
      <c r="BV18" s="41" t="s">
        <v>204</v>
      </c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西</v>
      </c>
      <c r="B19" s="18">
        <f t="shared" si="5"/>
        <v>1</v>
      </c>
      <c r="C19" s="18">
        <f t="shared" si="6"/>
        <v>0</v>
      </c>
      <c r="D19" s="18">
        <f t="shared" si="1"/>
        <v>0</v>
      </c>
      <c r="E19" s="4" t="s">
        <v>192</v>
      </c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C4E7D41E-9989-4251-AA24-669B9749A657}">
      <formula1>"ロン,ツモ,放銃,ツモ支払,流局,チョンボ"</formula1>
    </dataValidation>
    <dataValidation type="list" allowBlank="1" showInputMessage="1" showErrorMessage="1" sqref="E4:E30" xr:uid="{3838C546-F90E-45B0-9BAC-5DE6CACC601B}">
      <formula1>$U$2:$W$2</formula1>
    </dataValidation>
    <dataValidation type="list" allowBlank="1" showInputMessage="1" sqref="F1:T1" xr:uid="{5448F611-5F8E-48A8-A603-CA712948C127}">
      <formula1>"だいち,りくと,ただ,れんたろう,たかの,ぱぱ,まっつん,あさひ,いっしー,ほたに,かわたつ,やがさき,のり,ちさと,"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2019-10-12T17:40:48Z</dcterms:modified>
</cp:coreProperties>
</file>