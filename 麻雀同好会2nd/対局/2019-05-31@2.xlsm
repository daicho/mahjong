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9396DAFD-0CDF-42AB-81DB-F079B6F9F0F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 s="1"/>
  <c r="T14" i="23"/>
  <c r="O14" i="23"/>
  <c r="J14" i="23"/>
  <c r="U14" i="23" s="1"/>
  <c r="D14" i="23"/>
  <c r="C14" i="23"/>
  <c r="B14" i="23"/>
  <c r="A14" i="23" s="1"/>
  <c r="T13" i="23"/>
  <c r="W13" i="23" s="1"/>
  <c r="O13" i="23"/>
  <c r="J13" i="23"/>
  <c r="D13" i="23"/>
  <c r="C13" i="23"/>
  <c r="B13" i="23"/>
  <c r="A13" i="23"/>
  <c r="T12" i="23"/>
  <c r="O12" i="23"/>
  <c r="V12" i="23" s="1"/>
  <c r="J12" i="23"/>
  <c r="D12" i="23"/>
  <c r="C12" i="23"/>
  <c r="B12" i="23"/>
  <c r="A12" i="23" s="1"/>
  <c r="D11" i="23"/>
  <c r="C11" i="23"/>
  <c r="D10" i="23"/>
  <c r="C10" i="23"/>
  <c r="D8" i="23"/>
  <c r="D9" i="23" s="1"/>
  <c r="C8" i="23"/>
  <c r="C9" i="23" s="1"/>
  <c r="D7" i="23"/>
  <c r="D6" i="23"/>
  <c r="C6" i="23"/>
  <c r="C7" i="23" s="1"/>
  <c r="O5" i="23"/>
  <c r="O6" i="23" s="1"/>
  <c r="D5" i="23"/>
  <c r="C5" i="23"/>
  <c r="B5" i="23"/>
  <c r="B6" i="23" s="1"/>
  <c r="T4" i="23"/>
  <c r="T5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V14" i="23" l="1"/>
  <c r="W14" i="23"/>
  <c r="U13" i="23"/>
  <c r="V13" i="23"/>
  <c r="W12" i="23"/>
  <c r="U12" i="23"/>
  <c r="A5" i="23"/>
  <c r="W4" i="23"/>
  <c r="O7" i="23"/>
  <c r="B7" i="23"/>
  <c r="A7" i="23" s="1"/>
  <c r="T6" i="23"/>
  <c r="J5" i="23"/>
  <c r="W5" i="23" s="1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C12" i="22"/>
  <c r="D11" i="22"/>
  <c r="C11" i="22"/>
  <c r="D10" i="22"/>
  <c r="C10" i="22"/>
  <c r="D9" i="22"/>
  <c r="C9" i="22"/>
  <c r="D8" i="22"/>
  <c r="D7" i="22"/>
  <c r="D6" i="22"/>
  <c r="C6" i="22"/>
  <c r="C7" i="22" s="1"/>
  <c r="C8" i="22" s="1"/>
  <c r="O5" i="22"/>
  <c r="J5" i="22"/>
  <c r="J6" i="22" s="1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7" i="23" l="1"/>
  <c r="W6" i="23"/>
  <c r="O8" i="23"/>
  <c r="V5" i="23"/>
  <c r="U5" i="23"/>
  <c r="J6" i="23"/>
  <c r="B8" i="23"/>
  <c r="A8" i="23" s="1"/>
  <c r="V4" i="22"/>
  <c r="B7" i="22"/>
  <c r="J7" i="22"/>
  <c r="U4" i="22"/>
  <c r="T5" i="22"/>
  <c r="V5" i="22" s="1"/>
  <c r="W4" i="22"/>
  <c r="O6" i="22"/>
  <c r="A5" i="22"/>
  <c r="A6" i="22" s="1"/>
  <c r="T8" i="23" l="1"/>
  <c r="B9" i="23"/>
  <c r="A9" i="23" s="1"/>
  <c r="O9" i="23"/>
  <c r="U6" i="23"/>
  <c r="J7" i="23"/>
  <c r="W7" i="23" s="1"/>
  <c r="V6" i="23"/>
  <c r="O7" i="22"/>
  <c r="W5" i="22"/>
  <c r="T6" i="22"/>
  <c r="V6" i="22" s="1"/>
  <c r="J8" i="22"/>
  <c r="B8" i="22"/>
  <c r="U6" i="22"/>
  <c r="U5" i="22"/>
  <c r="A7" i="22"/>
  <c r="J8" i="23" l="1"/>
  <c r="W8" i="23" s="1"/>
  <c r="U7" i="23"/>
  <c r="V7" i="23"/>
  <c r="T9" i="23"/>
  <c r="O10" i="23"/>
  <c r="B10" i="23"/>
  <c r="A10" i="23" s="1"/>
  <c r="B9" i="22"/>
  <c r="J9" i="22"/>
  <c r="O8" i="22"/>
  <c r="V7" i="22"/>
  <c r="U7" i="22"/>
  <c r="W6" i="22"/>
  <c r="T7" i="22"/>
  <c r="A8" i="22"/>
  <c r="A9" i="22" s="1"/>
  <c r="U8" i="23" l="1"/>
  <c r="J9" i="23"/>
  <c r="V8" i="23"/>
  <c r="B11" i="23"/>
  <c r="A11" i="23" s="1"/>
  <c r="O11" i="23"/>
  <c r="T10" i="23"/>
  <c r="W9" i="23"/>
  <c r="O9" i="22"/>
  <c r="J10" i="22"/>
  <c r="T8" i="22"/>
  <c r="W7" i="22"/>
  <c r="B10" i="22"/>
  <c r="T11" i="23" l="1"/>
  <c r="U9" i="23"/>
  <c r="J10" i="23"/>
  <c r="W10" i="23" s="1"/>
  <c r="V9" i="23"/>
  <c r="B11" i="22"/>
  <c r="W8" i="22"/>
  <c r="T9" i="22"/>
  <c r="U8" i="22"/>
  <c r="J11" i="22"/>
  <c r="A10" i="22"/>
  <c r="O10" i="22"/>
  <c r="V8" i="22"/>
  <c r="U10" i="23" l="1"/>
  <c r="J11" i="23"/>
  <c r="V10" i="23"/>
  <c r="W11" i="23"/>
  <c r="J12" i="22"/>
  <c r="W9" i="22"/>
  <c r="T10" i="22"/>
  <c r="U9" i="22"/>
  <c r="V10" i="22"/>
  <c r="O11" i="22"/>
  <c r="B12" i="22"/>
  <c r="V9" i="22"/>
  <c r="A11" i="22"/>
  <c r="U11" i="23" l="1"/>
  <c r="V11" i="23"/>
  <c r="A12" i="22"/>
  <c r="W10" i="22"/>
  <c r="T11" i="22"/>
  <c r="V11" i="22" s="1"/>
  <c r="O12" i="22"/>
  <c r="J13" i="22"/>
  <c r="U11" i="22"/>
  <c r="B13" i="22"/>
  <c r="A13" i="22" s="1"/>
  <c r="U10" i="22"/>
  <c r="V12" i="22" l="1"/>
  <c r="O13" i="22"/>
  <c r="T12" i="22"/>
  <c r="W11" i="22"/>
  <c r="T13" i="22" l="1"/>
  <c r="W13" i="22" s="1"/>
  <c r="W12" i="22"/>
  <c r="U12" i="22"/>
  <c r="V13" i="22"/>
  <c r="U13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W13" i="21" s="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 s="1"/>
  <c r="D10" i="21"/>
  <c r="D9" i="21"/>
  <c r="C9" i="21"/>
  <c r="C10" i="21" s="1"/>
  <c r="D8" i="21"/>
  <c r="C8" i="21"/>
  <c r="D7" i="21"/>
  <c r="C7" i="21"/>
  <c r="D6" i="21"/>
  <c r="C6" i="21"/>
  <c r="B6" i="21"/>
  <c r="B7" i="21" s="1"/>
  <c r="D5" i="21"/>
  <c r="C5" i="21"/>
  <c r="B5" i="21"/>
  <c r="A5" i="21" s="1"/>
  <c r="T4" i="21"/>
  <c r="T5" i="21" s="1"/>
  <c r="O4" i="21"/>
  <c r="V4" i="21" s="1"/>
  <c r="J4" i="21"/>
  <c r="W3" i="21"/>
  <c r="V3" i="21"/>
  <c r="U3" i="21"/>
  <c r="W2" i="21"/>
  <c r="V2" i="21"/>
  <c r="U2" i="21"/>
  <c r="BO1" i="21"/>
  <c r="AT1" i="21"/>
  <c r="Y1" i="21"/>
  <c r="U13" i="21" l="1"/>
  <c r="V13" i="21"/>
  <c r="V12" i="21"/>
  <c r="W12" i="21"/>
  <c r="U12" i="21"/>
  <c r="V11" i="21"/>
  <c r="W11" i="21"/>
  <c r="A6" i="21"/>
  <c r="W4" i="21"/>
  <c r="T6" i="21"/>
  <c r="B8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T9" i="20"/>
  <c r="O9" i="20"/>
  <c r="J9" i="20"/>
  <c r="U9" i="20" s="1"/>
  <c r="D9" i="20"/>
  <c r="C9" i="20"/>
  <c r="B9" i="20"/>
  <c r="A9" i="20" s="1"/>
  <c r="D8" i="20"/>
  <c r="D7" i="20"/>
  <c r="D6" i="20"/>
  <c r="C6" i="20"/>
  <c r="C7" i="20" s="1"/>
  <c r="C8" i="20" s="1"/>
  <c r="O5" i="20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U5" i="21" l="1"/>
  <c r="J6" i="21"/>
  <c r="W5" i="21"/>
  <c r="O6" i="21"/>
  <c r="W6" i="21" s="1"/>
  <c r="V5" i="21"/>
  <c r="B9" i="21"/>
  <c r="A8" i="21"/>
  <c r="T7" i="21"/>
  <c r="V10" i="20"/>
  <c r="W10" i="20"/>
  <c r="V9" i="20"/>
  <c r="W9" i="20"/>
  <c r="W4" i="20"/>
  <c r="A6" i="20"/>
  <c r="B7" i="20"/>
  <c r="U4" i="20"/>
  <c r="T5" i="20"/>
  <c r="U5" i="20" s="1"/>
  <c r="J6" i="20"/>
  <c r="V4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9" i="21" l="1"/>
  <c r="U6" i="21"/>
  <c r="J7" i="21"/>
  <c r="B10" i="21"/>
  <c r="A10" i="21" s="1"/>
  <c r="O7" i="21"/>
  <c r="V6" i="21"/>
  <c r="T8" i="21"/>
  <c r="U6" i="20"/>
  <c r="J7" i="20"/>
  <c r="W5" i="20"/>
  <c r="T6" i="20"/>
  <c r="V5" i="20"/>
  <c r="B8" i="20"/>
  <c r="A8" i="20" s="1"/>
  <c r="V6" i="20"/>
  <c r="O7" i="20"/>
  <c r="A7" i="20"/>
  <c r="U8" i="19"/>
  <c r="U7" i="19"/>
  <c r="W7" i="19"/>
  <c r="V6" i="19"/>
  <c r="W6" i="19"/>
  <c r="U4" i="19"/>
  <c r="V4" i="19"/>
  <c r="W4" i="19"/>
  <c r="J5" i="19"/>
  <c r="O5" i="19"/>
  <c r="V5" i="19" s="1"/>
  <c r="V7" i="21" l="1"/>
  <c r="O8" i="21"/>
  <c r="J8" i="21"/>
  <c r="W8" i="21" s="1"/>
  <c r="U7" i="21"/>
  <c r="T9" i="21"/>
  <c r="W7" i="21"/>
  <c r="W6" i="20"/>
  <c r="T7" i="20"/>
  <c r="O8" i="20"/>
  <c r="V7" i="20"/>
  <c r="U7" i="20"/>
  <c r="J8" i="20"/>
  <c r="W5" i="19"/>
  <c r="U5" i="19"/>
  <c r="V8" i="21" l="1"/>
  <c r="O9" i="21"/>
  <c r="U8" i="21"/>
  <c r="J9" i="21"/>
  <c r="W9" i="21"/>
  <c r="T10" i="21"/>
  <c r="W7" i="20"/>
  <c r="T8" i="20"/>
  <c r="V8" i="20" s="1"/>
  <c r="U8" i="20"/>
  <c r="U9" i="21" l="1"/>
  <c r="J10" i="21"/>
  <c r="V9" i="21"/>
  <c r="O10" i="21"/>
  <c r="W8" i="20"/>
  <c r="U10" i="21" l="1"/>
  <c r="W10" i="21"/>
  <c r="V10" i="21"/>
</calcChain>
</file>

<file path=xl/sharedStrings.xml><?xml version="1.0" encoding="utf-8"?>
<sst xmlns="http://schemas.openxmlformats.org/spreadsheetml/2006/main" count="1010" uniqueCount="213">
  <si>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</si>
  <si>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</si>
  <si>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</si>
  <si>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</si>
  <si>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</si>
  <si>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</si>
  <si>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</si>
  <si>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</si>
  <si>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</si>
  <si>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</si>
  <si>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</si>
  <si>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</si>
  <si>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</si>
  <si>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</si>
  <si>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</si>
  <si>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</si>
  <si>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</si>
  <si>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</si>
  <si>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</si>
  <si>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</si>
  <si>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</si>
  <si>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</si>
  <si>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</si>
  <si>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</si>
  <si>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</si>
  <si>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</si>
  <si>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</si>
  <si>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</si>
  <si>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</si>
  <si>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</si>
  <si>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</si>
  <si>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</si>
  <si>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</si>
  <si>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</si>
  <si>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</si>
  <si>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</si>
  <si>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</si>
  <si>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</si>
  <si>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</si>
  <si>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</si>
  <si>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</si>
  <si>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</si>
  <si>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</si>
  <si>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</si>
  <si>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</si>
  <si>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</si>
  <si>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</si>
  <si>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</si>
  <si>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</si>
  <si>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</si>
  <si>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</si>
  <si>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</si>
  <si>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</si>
  <si>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</si>
  <si>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</si>
  <si>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</si>
  <si>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</si>
  <si>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</si>
  <si>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</si>
  <si>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</si>
  <si>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</si>
  <si>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</si>
  <si>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</si>
  <si>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</si>
  <si>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</si>
  <si>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</si>
  <si>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</si>
  <si>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</si>
  <si>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</si>
  <si>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</si>
  <si>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</si>
  <si>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</si>
  <si>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</si>
  <si>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</si>
  <si>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</si>
  <si>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</si>
  <si>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</si>
  <si>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</si>
  <si>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</si>
  <si>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</si>
  <si>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</si>
  <si>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</si>
  <si>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</si>
  <si>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</si>
  <si>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</si>
  <si>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</si>
  <si>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</si>
  <si>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</si>
  <si>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</si>
  <si>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</si>
  <si>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</si>
  <si>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</si>
  <si>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</si>
  <si>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</si>
  <si>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</si>
  <si>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</si>
  <si>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</si>
  <si>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</si>
  <si>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</si>
  <si>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</si>
  <si>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</si>
  <si>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</si>
  <si>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</si>
  <si>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</si>
  <si>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</si>
  <si>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</si>
  <si>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</si>
  <si>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</si>
  <si>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</si>
  <si>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</si>
  <si>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</si>
  <si>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</si>
  <si>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</si>
  <si>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</si>
  <si>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</si>
  <si>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</si>
  <si>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</si>
  <si>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</si>
  <si>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</si>
  <si>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</si>
  <si>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</si>
  <si>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</si>
  <si>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</si>
  <si>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</si>
  <si>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</si>
  <si>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</si>
  <si>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</si>
  <si>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</si>
  <si>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</si>
  <si>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</si>
  <si>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</si>
  <si>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</si>
  <si>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</si>
  <si>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</si>
  <si>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</si>
  <si>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</si>
  <si>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</si>
  <si>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</si>
  <si>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</si>
  <si>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</si>
  <si>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</si>
  <si>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</si>
  <si>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</si>
  <si>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</si>
  <si>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</si>
  <si>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</si>
  <si>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</si>
  <si>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</si>
  <si>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</si>
  <si>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</si>
  <si>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</si>
  <si>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</si>
  <si>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</si>
  <si>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</si>
  <si>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</si>
  <si>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</si>
  <si>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</si>
  <si>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</si>
  <si>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</si>
  <si>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</si>
  <si>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</si>
  <si>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</si>
  <si>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</si>
  <si>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</si>
  <si>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</si>
  <si>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</si>
  <si>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</si>
  <si>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</si>
  <si>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</si>
  <si>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</si>
  <si>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</si>
  <si>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</si>
  <si>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</si>
  <si>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</si>
  <si>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</si>
  <si>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</si>
  <si>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</si>
  <si>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</si>
  <si>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</si>
  <si>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</si>
  <si>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</si>
  <si>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</si>
  <si>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</si>
  <si>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</si>
  <si>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</si>
  <si>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</si>
  <si>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</si>
  <si>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</si>
  <si>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</si>
  <si>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</si>
  <si>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</si>
  <si>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</si>
  <si>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</si>
  <si>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</si>
  <si>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</si>
  <si>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</t>
  </si>
  <si>
    <t>ツモ支払</t>
  </si>
  <si>
    <t>ロン</t>
  </si>
  <si>
    <t>放銃</t>
  </si>
  <si>
    <t>01</t>
  </si>
  <si>
    <t>*</t>
  </si>
  <si>
    <t>52</t>
  </si>
  <si>
    <t>ただ</t>
  </si>
  <si>
    <t>ただ</t>
    <phoneticPr fontId="1"/>
  </si>
  <si>
    <t>たかの</t>
  </si>
  <si>
    <t>たかの</t>
    <phoneticPr fontId="1"/>
  </si>
  <si>
    <t>N</t>
  </si>
  <si>
    <t>T</t>
  </si>
  <si>
    <t>流局</t>
    <phoneticPr fontId="1"/>
  </si>
  <si>
    <t>02</t>
  </si>
  <si>
    <t>りくと</t>
  </si>
  <si>
    <t>りくと</t>
    <phoneticPr fontId="1"/>
  </si>
  <si>
    <t>07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</si>
</sst>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190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194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196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196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IF($J4="","",ROUND(($J4-$J$3)/1000,1)+(_xlfn.RANK.AVG($J4,($J4,$O4,$T4),1)-2)*20)</f>
        <v>27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-24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79</v>
      </c>
      <c r="AG4" s="41" t="s">
        <v>85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197</v>
      </c>
      <c r="G5" s="9">
        <v>4800</v>
      </c>
      <c r="H5" s="9"/>
      <c r="I5" s="48">
        <v>1000</v>
      </c>
      <c r="J5" s="21">
        <f t="shared" ref="J5:J30" si="2">IF(COUNTA($F5,$K5,$P5)&gt;0,J4+SUM(G5:I5),"")</f>
        <v>47800</v>
      </c>
      <c r="K5" s="8" t="s">
        <v>198</v>
      </c>
      <c r="L5" s="9">
        <v>-4800</v>
      </c>
      <c r="M5" s="9"/>
      <c r="N5" s="48">
        <v>-1000</v>
      </c>
      <c r="O5" s="21">
        <f t="shared" ref="O5:O30" si="3">IF(COUNTA($F5,$K5,$P5)&gt;0,O4+SUM(L5:N5),"")</f>
        <v>26200</v>
      </c>
      <c r="P5" s="8"/>
      <c r="Q5" s="9"/>
      <c r="R5" s="9"/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32.799999999999997</v>
      </c>
      <c r="V5" s="54">
        <f>IF($O5="","",ROUND(($O5-$O$3)/1000,1)+(_xlfn.RANK.AVG($O5,($J5,$O5,$T5),1)-2)*20)</f>
        <v>-28.8</v>
      </c>
      <c r="W5" s="55">
        <f>IF($T5="","",ROUND(($T5-$T$3)/1000,1)+(_xlfn.RANK.AVG($T5,($J5,$O5,$T5),1)-2)*20)</f>
        <v>-4</v>
      </c>
      <c r="Y5" s="8"/>
      <c r="Z5" s="34"/>
      <c r="AA5" s="26">
        <v>1</v>
      </c>
      <c r="AB5" s="26"/>
      <c r="AC5" s="26">
        <v>2</v>
      </c>
      <c r="AD5" s="30">
        <v>50</v>
      </c>
      <c r="AE5" s="40" t="s">
        <v>199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189</v>
      </c>
      <c r="F6" s="8" t="s">
        <v>195</v>
      </c>
      <c r="G6" s="9">
        <v>12000</v>
      </c>
      <c r="H6" s="9">
        <v>1000</v>
      </c>
      <c r="I6" s="48">
        <v>2000</v>
      </c>
      <c r="J6" s="21">
        <f t="shared" si="2"/>
        <v>62800</v>
      </c>
      <c r="K6" s="8" t="s">
        <v>196</v>
      </c>
      <c r="L6" s="9">
        <v>-6000</v>
      </c>
      <c r="M6" s="9">
        <v>-1000</v>
      </c>
      <c r="N6" s="48">
        <v>-1000</v>
      </c>
      <c r="O6" s="21">
        <f t="shared" si="3"/>
        <v>18200</v>
      </c>
      <c r="P6" s="8" t="s">
        <v>196</v>
      </c>
      <c r="Q6" s="9">
        <v>-6000</v>
      </c>
      <c r="R6" s="9"/>
      <c r="S6" s="48">
        <v>-1000</v>
      </c>
      <c r="T6" s="21">
        <f t="shared" si="4"/>
        <v>24000</v>
      </c>
      <c r="U6" s="53">
        <f>IF($J6="","",ROUND(($J6-$J$3)/1000,1)+(_xlfn.RANK.AVG($J6,($J6,$O6,$T6),1)-2)*20)</f>
        <v>47.8</v>
      </c>
      <c r="V6" s="54">
        <f>IF($O6="","",ROUND(($O6-$O$3)/1000,1)+(_xlfn.RANK.AVG($O6,($J6,$O6,$T6),1)-2)*20)</f>
        <v>-36.799999999999997</v>
      </c>
      <c r="W6" s="55">
        <f>IF($T6="","",ROUND(($T6-$T$3)/1000,1)+(_xlfn.RANK.AVG($T6,($J6,$O6,$T6),1)-2)*20)</f>
        <v>-11</v>
      </c>
      <c r="Y6" s="8"/>
      <c r="Z6" s="34"/>
      <c r="AA6" s="26"/>
      <c r="AB6" s="26"/>
      <c r="AC6" s="26">
        <v>5</v>
      </c>
      <c r="AD6" s="30" t="s">
        <v>200</v>
      </c>
      <c r="AE6" s="40" t="s">
        <v>105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189</v>
      </c>
      <c r="F7" s="8" t="s">
        <v>197</v>
      </c>
      <c r="G7" s="9">
        <v>5800</v>
      </c>
      <c r="H7" s="9">
        <v>1000</v>
      </c>
      <c r="I7" s="48">
        <v>3000</v>
      </c>
      <c r="J7" s="21">
        <f t="shared" si="2"/>
        <v>72600</v>
      </c>
      <c r="K7" s="8" t="s">
        <v>197</v>
      </c>
      <c r="L7" s="9">
        <v>8000</v>
      </c>
      <c r="M7" s="9"/>
      <c r="N7" s="48"/>
      <c r="O7" s="21">
        <f t="shared" si="3"/>
        <v>26200</v>
      </c>
      <c r="P7" s="8" t="s">
        <v>198</v>
      </c>
      <c r="Q7" s="9">
        <v>-13800</v>
      </c>
      <c r="R7" s="9">
        <v>-1000</v>
      </c>
      <c r="S7" s="48">
        <v>-3000</v>
      </c>
      <c r="T7" s="21">
        <f t="shared" si="4"/>
        <v>6200</v>
      </c>
      <c r="U7" s="53">
        <f>IF($J7="","",ROUND(($J7-$J$3)/1000,1)+(_xlfn.RANK.AVG($J7,($J7,$O7,$T7),1)-2)*20)</f>
        <v>57.6</v>
      </c>
      <c r="V7" s="54">
        <f>IF($O7="","",ROUND(($O7-$O$3)/1000,1)+(_xlfn.RANK.AVG($O7,($J7,$O7,$T7),1)-2)*20)</f>
        <v>-8.8000000000000007</v>
      </c>
      <c r="W7" s="55">
        <f>IF($T7="","",ROUND(($T7-$T$3)/1000,1)+(_xlfn.RANK.AVG($T7,($J7,$O7,$T7),1)-2)*20)</f>
        <v>-48.8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104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104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189</v>
      </c>
      <c r="F8" s="8" t="s">
        <v>197</v>
      </c>
      <c r="G8" s="9">
        <v>18000</v>
      </c>
      <c r="H8" s="9"/>
      <c r="I8" s="48">
        <v>4000</v>
      </c>
      <c r="J8" s="21">
        <f t="shared" si="2"/>
        <v>94600</v>
      </c>
      <c r="K8" s="8"/>
      <c r="L8" s="9"/>
      <c r="M8" s="9"/>
      <c r="N8" s="48"/>
      <c r="O8" s="21">
        <f t="shared" si="3"/>
        <v>26200</v>
      </c>
      <c r="P8" s="8" t="s">
        <v>198</v>
      </c>
      <c r="Q8" s="9">
        <v>-18000</v>
      </c>
      <c r="R8" s="9"/>
      <c r="S8" s="48">
        <v>-4000</v>
      </c>
      <c r="T8" s="21">
        <f t="shared" si="4"/>
        <v>-15800</v>
      </c>
      <c r="U8" s="53">
        <f>IF($J8="","",ROUND(($J8-$J$3)/1000,1)+(_xlfn.RANK.AVG($J8,($J8,$O8,$T8),1)-2)*20)</f>
        <v>79.599999999999994</v>
      </c>
      <c r="V8" s="54">
        <f>IF($O8="","",ROUND(($O8-$O$3)/1000,1)+(_xlfn.RANK.AVG($O8,($J8,$O8,$T8),1)-2)*20)</f>
        <v>-8.8000000000000007</v>
      </c>
      <c r="W8" s="55">
        <f>IF($T8="","",ROUND(($T8-$T$3)/1000,1)+(_xlfn.RANK.AVG($T8,($J8,$O8,$T8),1)-2)*20)</f>
        <v>-70.8</v>
      </c>
      <c r="Y8" s="8"/>
      <c r="Z8" s="34"/>
      <c r="AA8" s="26">
        <v>1</v>
      </c>
      <c r="AB8" s="26"/>
      <c r="AC8" s="26">
        <v>7</v>
      </c>
      <c r="AD8" s="30" t="s">
        <v>200</v>
      </c>
      <c r="AE8" s="40" t="s">
        <v>199</v>
      </c>
      <c r="AF8" s="41" t="s">
        <v>83</v>
      </c>
      <c r="AG8" s="41" t="s">
        <v>79</v>
      </c>
      <c r="AH8" s="41" t="s">
        <v>79</v>
      </c>
      <c r="AI8" s="41" t="s">
        <v>201</v>
      </c>
      <c r="AJ8" s="41" t="s">
        <v>80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35E0-3538-4C0D-A750-B3CCF68D4AB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-18000</v>
      </c>
      <c r="H4" s="9"/>
      <c r="I4" s="48">
        <v>0</v>
      </c>
      <c r="J4" s="21">
        <f>IF(COUNTA($F4,$K4,$P4)&gt;0,J3+SUM(G4:I4),"")</f>
        <v>17000</v>
      </c>
      <c r="K4" s="8" t="s">
        <v>195</v>
      </c>
      <c r="L4" s="9">
        <v>36000</v>
      </c>
      <c r="M4" s="9"/>
      <c r="N4" s="48">
        <v>0</v>
      </c>
      <c r="O4" s="21">
        <f>IF(COUNTA($F4,$K4,$P4)&gt;0,O3+SUM(L4:N4),"")</f>
        <v>71000</v>
      </c>
      <c r="P4" s="8" t="s">
        <v>196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56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11</v>
      </c>
      <c r="AY4" s="30" t="s">
        <v>200</v>
      </c>
      <c r="AZ4" s="40" t="s">
        <v>199</v>
      </c>
      <c r="BA4" s="41" t="s">
        <v>82</v>
      </c>
      <c r="BB4" s="41" t="s">
        <v>101</v>
      </c>
      <c r="BC4" s="41" t="s">
        <v>104</v>
      </c>
      <c r="BD4" s="41" t="s">
        <v>79</v>
      </c>
      <c r="BE4" s="41" t="s">
        <v>79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5200</v>
      </c>
      <c r="H5" s="9">
        <v>1000</v>
      </c>
      <c r="I5" s="48">
        <v>1000</v>
      </c>
      <c r="J5" s="21">
        <f t="shared" ref="J5:J30" si="2">IF(COUNTA($F5,$K5,$P5)&gt;0,J4+SUM(G5:I5),"")</f>
        <v>24200</v>
      </c>
      <c r="K5" s="8"/>
      <c r="L5" s="9"/>
      <c r="M5" s="9"/>
      <c r="N5" s="48"/>
      <c r="O5" s="21">
        <f t="shared" ref="O5:O30" si="3">IF(COUNTA($F5,$K5,$P5)&gt;0,O4+SUM(L5:N5),"")</f>
        <v>71000</v>
      </c>
      <c r="P5" s="8" t="s">
        <v>198</v>
      </c>
      <c r="Q5" s="9">
        <v>-5200</v>
      </c>
      <c r="R5" s="9">
        <v>-1000</v>
      </c>
      <c r="S5" s="48">
        <v>-1000</v>
      </c>
      <c r="T5" s="21">
        <f t="shared" ref="T5:T30" si="4">IF(COUNTA($F5,$K5,$P5)&gt;0,T4+SUM(Q5:S5),"")</f>
        <v>9800</v>
      </c>
      <c r="U5" s="53">
        <f>IF($J5="","",ROUND(($J5-$J$3)/1000,1)+(_xlfn.RANK.AVG($J5,($J5,$O5,$T5),1)-2)*20)</f>
        <v>-10.8</v>
      </c>
      <c r="V5" s="54">
        <f>IF($O5="","",ROUND(($O5-$O$3)/1000,1)+(_xlfn.RANK.AVG($O5,($J5,$O5,$T5),1)-2)*20)</f>
        <v>56</v>
      </c>
      <c r="W5" s="55">
        <f>IF($T5="","",ROUND(($T5-$T$3)/1000,1)+(_xlfn.RANK.AVG($T5,($J5,$O5,$T5),1)-2)*20)</f>
        <v>-45.2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199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198</v>
      </c>
      <c r="G6" s="9">
        <v>-5200</v>
      </c>
      <c r="H6" s="9">
        <v>-1000</v>
      </c>
      <c r="I6" s="48">
        <v>0</v>
      </c>
      <c r="J6" s="21">
        <f t="shared" si="2"/>
        <v>18000</v>
      </c>
      <c r="K6" s="8" t="s">
        <v>197</v>
      </c>
      <c r="L6" s="9">
        <v>5200</v>
      </c>
      <c r="M6" s="9">
        <v>1000</v>
      </c>
      <c r="N6" s="48">
        <v>0</v>
      </c>
      <c r="O6" s="21">
        <f t="shared" si="3"/>
        <v>77200</v>
      </c>
      <c r="P6" s="8"/>
      <c r="Q6" s="9"/>
      <c r="R6" s="9"/>
      <c r="S6" s="48"/>
      <c r="T6" s="21">
        <f t="shared" si="4"/>
        <v>9800</v>
      </c>
      <c r="U6" s="53">
        <f>IF($J6="","",ROUND(($J6-$J$3)/1000,1)+(_xlfn.RANK.AVG($J6,($J6,$O6,$T6),1)-2)*20)</f>
        <v>-17</v>
      </c>
      <c r="V6" s="54">
        <f>IF($O6="","",ROUND(($O6-$O$3)/1000,1)+(_xlfn.RANK.AVG($O6,($J6,$O6,$T6),1)-2)*20)</f>
        <v>62.2</v>
      </c>
      <c r="W6" s="55">
        <f>IF($T6="","",ROUND(($T6-$T$3)/1000,1)+(_xlfn.RANK.AVG($T6,($J6,$O6,$T6),1)-2)*20)</f>
        <v>-45.2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79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196</v>
      </c>
      <c r="G7" s="9">
        <v>-7500</v>
      </c>
      <c r="H7" s="9">
        <v>-1000</v>
      </c>
      <c r="I7" s="48">
        <v>0</v>
      </c>
      <c r="J7" s="21">
        <f t="shared" si="2"/>
        <v>9500</v>
      </c>
      <c r="K7" s="8" t="s">
        <v>195</v>
      </c>
      <c r="L7" s="9">
        <v>12000</v>
      </c>
      <c r="M7" s="9">
        <v>2000</v>
      </c>
      <c r="N7" s="48">
        <v>0</v>
      </c>
      <c r="O7" s="21">
        <f t="shared" si="3"/>
        <v>91200</v>
      </c>
      <c r="P7" s="8" t="s">
        <v>196</v>
      </c>
      <c r="Q7" s="9">
        <v>-4500</v>
      </c>
      <c r="R7" s="9">
        <v>-1000</v>
      </c>
      <c r="S7" s="48">
        <v>0</v>
      </c>
      <c r="T7" s="21">
        <f t="shared" si="4"/>
        <v>4300</v>
      </c>
      <c r="U7" s="53">
        <f>IF($J7="","",ROUND(($J7-$J$3)/1000,1)+(_xlfn.RANK.AVG($J7,($J7,$O7,$T7),1)-2)*20)</f>
        <v>-25.5</v>
      </c>
      <c r="V7" s="54">
        <f>IF($O7="","",ROUND(($O7-$O$3)/1000,1)+(_xlfn.RANK.AVG($O7,($J7,$O7,$T7),1)-2)*20)</f>
        <v>76.2</v>
      </c>
      <c r="W7" s="55">
        <f>IF($T7="","",ROUND(($T7-$T$3)/1000,1)+(_xlfn.RANK.AVG($T7,($J7,$O7,$T7),1)-2)*20)</f>
        <v>-50.7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200</v>
      </c>
      <c r="AZ7" s="40" t="s">
        <v>104</v>
      </c>
      <c r="BA7" s="41" t="s">
        <v>86</v>
      </c>
      <c r="BB7" s="41" t="s">
        <v>201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196</v>
      </c>
      <c r="G8" s="9">
        <v>-2400</v>
      </c>
      <c r="H8" s="9"/>
      <c r="I8" s="48">
        <v>0</v>
      </c>
      <c r="J8" s="21">
        <f t="shared" si="2"/>
        <v>7100</v>
      </c>
      <c r="K8" s="8" t="s">
        <v>196</v>
      </c>
      <c r="L8" s="9">
        <v>-4000</v>
      </c>
      <c r="M8" s="9"/>
      <c r="N8" s="48">
        <v>0</v>
      </c>
      <c r="O8" s="21">
        <f t="shared" si="3"/>
        <v>87200</v>
      </c>
      <c r="P8" s="8" t="s">
        <v>195</v>
      </c>
      <c r="Q8" s="9">
        <v>6400</v>
      </c>
      <c r="R8" s="9"/>
      <c r="S8" s="48">
        <v>0</v>
      </c>
      <c r="T8" s="21">
        <f t="shared" si="4"/>
        <v>10700</v>
      </c>
      <c r="U8" s="53">
        <f>IF($J8="","",ROUND(($J8-$J$3)/1000,1)+(_xlfn.RANK.AVG($J8,($J8,$O8,$T8),1)-2)*20)</f>
        <v>-47.9</v>
      </c>
      <c r="V8" s="54">
        <f>IF($O8="","",ROUND(($O8-$O$3)/1000,1)+(_xlfn.RANK.AVG($O8,($J8,$O8,$T8),1)-2)*20)</f>
        <v>72.2</v>
      </c>
      <c r="W8" s="55">
        <f>IF($T8="","",ROUND(($T8-$T$3)/1000,1)+(_xlfn.RANK.AVG($T8,($J8,$O8,$T8),1)-2)*20)</f>
        <v>-24.3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50</v>
      </c>
      <c r="BU8" s="40" t="s">
        <v>82</v>
      </c>
      <c r="BV8" s="41" t="s">
        <v>96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196</v>
      </c>
      <c r="G9" s="9">
        <v>-1500</v>
      </c>
      <c r="H9" s="9"/>
      <c r="I9" s="48">
        <v>0</v>
      </c>
      <c r="J9" s="21">
        <f t="shared" si="2"/>
        <v>5600</v>
      </c>
      <c r="K9" s="8" t="s">
        <v>196</v>
      </c>
      <c r="L9" s="9">
        <v>-1500</v>
      </c>
      <c r="M9" s="9"/>
      <c r="N9" s="48">
        <v>0</v>
      </c>
      <c r="O9" s="21">
        <f t="shared" si="3"/>
        <v>85700</v>
      </c>
      <c r="P9" s="8" t="s">
        <v>195</v>
      </c>
      <c r="Q9" s="9">
        <v>3000</v>
      </c>
      <c r="R9" s="9"/>
      <c r="S9" s="48">
        <v>0</v>
      </c>
      <c r="T9" s="21">
        <f t="shared" si="4"/>
        <v>13700</v>
      </c>
      <c r="U9" s="53">
        <f>IF($J9="","",ROUND(($J9-$J$3)/1000,1)+(_xlfn.RANK.AVG($J9,($J9,$O9,$T9),1)-2)*20)</f>
        <v>-49.4</v>
      </c>
      <c r="V9" s="54">
        <f>IF($O9="","",ROUND(($O9-$O$3)/1000,1)+(_xlfn.RANK.AVG($O9,($J9,$O9,$T9),1)-2)*20)</f>
        <v>70.7</v>
      </c>
      <c r="W9" s="55">
        <f>IF($T9="","",ROUND(($T9-$T$3)/1000,1)+(_xlfn.RANK.AVG($T9,($J9,$O9,$T9),1)-2)*20)</f>
        <v>-21.3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84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204</v>
      </c>
      <c r="F10" s="8" t="s">
        <v>196</v>
      </c>
      <c r="G10" s="9">
        <v>-5800</v>
      </c>
      <c r="H10" s="9"/>
      <c r="I10" s="48">
        <v>-500</v>
      </c>
      <c r="J10" s="21">
        <f t="shared" si="2"/>
        <v>-700</v>
      </c>
      <c r="K10" s="8" t="s">
        <v>196</v>
      </c>
      <c r="L10" s="9">
        <v>-5800</v>
      </c>
      <c r="M10" s="9">
        <v>-1000</v>
      </c>
      <c r="N10" s="48">
        <v>-500</v>
      </c>
      <c r="O10" s="21">
        <f t="shared" si="3"/>
        <v>78400</v>
      </c>
      <c r="P10" s="8" t="s">
        <v>195</v>
      </c>
      <c r="Q10" s="9">
        <v>11600</v>
      </c>
      <c r="R10" s="9">
        <v>1000</v>
      </c>
      <c r="S10" s="48">
        <v>1000</v>
      </c>
      <c r="T10" s="21">
        <f t="shared" si="4"/>
        <v>27300</v>
      </c>
      <c r="U10" s="53">
        <f>IF($J10="","",ROUND(($J10-$J$3)/1000,1)+(_xlfn.RANK.AVG($J10,($J10,$O10,$T10),1)-2)*20)</f>
        <v>-55.7</v>
      </c>
      <c r="V10" s="54">
        <f>IF($O10="","",ROUND(($O10-$O$3)/1000,1)+(_xlfn.RANK.AVG($O10,($J10,$O10,$T10),1)-2)*20)</f>
        <v>63.4</v>
      </c>
      <c r="W10" s="55">
        <f>IF($T10="","",ROUND(($T10-$T$3)/1000,1)+(_xlfn.RANK.AVG($T10,($J10,$O10,$T10),1)-2)*20)</f>
        <v>-7.7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86</v>
      </c>
      <c r="BW10" s="41" t="s">
        <v>104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FCF565F5-9D6B-41D0-858F-B9808CD47F2C}">
      <formula1>"ロン,ツモ,放銃,ツモ支払,流局,チョンボ"</formula1>
    </dataValidation>
    <dataValidation type="list" allowBlank="1" showInputMessage="1" showErrorMessage="1" sqref="E4:E30" xr:uid="{EDC64E46-131D-48B2-859D-75F64062C20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F9B08-8FEE-4002-A67D-F60FD0BFF92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203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197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21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196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195</v>
      </c>
      <c r="L5" s="9">
        <v>3000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196</v>
      </c>
      <c r="Q5" s="9">
        <v>-1500</v>
      </c>
      <c r="R5" s="9"/>
      <c r="S5" s="48">
        <v>0</v>
      </c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-21.5</v>
      </c>
      <c r="V5" s="54">
        <f>IF($O5="","",ROUND(($O5-$O$3)/1000,1)+(_xlfn.RANK.AVG($O5,($J5,$O5,$T5),1)-2)*20)</f>
        <v>22</v>
      </c>
      <c r="W5" s="55">
        <f>IF($T5="","",ROUND(($T5-$T$3)/1000,1)+(_xlfn.RANK.AVG($T5,($J5,$O5,$T5),1)-2)*20)</f>
        <v>-0.5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33500</v>
      </c>
      <c r="K6" s="8" t="s">
        <v>197</v>
      </c>
      <c r="L6" s="9">
        <v>5800</v>
      </c>
      <c r="M6" s="9"/>
      <c r="N6" s="48">
        <v>1000</v>
      </c>
      <c r="O6" s="21">
        <f t="shared" si="3"/>
        <v>43800</v>
      </c>
      <c r="P6" s="8" t="s">
        <v>198</v>
      </c>
      <c r="Q6" s="9">
        <v>-5800</v>
      </c>
      <c r="R6" s="9"/>
      <c r="S6" s="48">
        <v>-1000</v>
      </c>
      <c r="T6" s="21">
        <f t="shared" si="4"/>
        <v>27700</v>
      </c>
      <c r="U6" s="53">
        <f>IF($J6="","",ROUND(($J6-$J$3)/1000,1)+(_xlfn.RANK.AVG($J6,($J6,$O6,$T6),1)-2)*20)</f>
        <v>-1.5</v>
      </c>
      <c r="V6" s="54">
        <f>IF($O6="","",ROUND(($O6-$O$3)/1000,1)+(_xlfn.RANK.AVG($O6,($J6,$O6,$T6),1)-2)*20)</f>
        <v>28.8</v>
      </c>
      <c r="W6" s="55">
        <f>IF($T6="","",ROUND(($T6-$T$3)/1000,1)+(_xlfn.RANK.AVG($T6,($J6,$O6,$T6),1)-2)*20)</f>
        <v>-27.3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86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/>
      <c r="G7" s="9"/>
      <c r="H7" s="9">
        <v>-1000</v>
      </c>
      <c r="I7" s="48"/>
      <c r="J7" s="21">
        <f t="shared" si="2"/>
        <v>32500</v>
      </c>
      <c r="K7" s="8" t="s">
        <v>197</v>
      </c>
      <c r="L7" s="9">
        <v>2000</v>
      </c>
      <c r="M7" s="9">
        <v>1000</v>
      </c>
      <c r="N7" s="48">
        <v>2000</v>
      </c>
      <c r="O7" s="21">
        <f t="shared" si="3"/>
        <v>48800</v>
      </c>
      <c r="P7" s="8" t="s">
        <v>198</v>
      </c>
      <c r="Q7" s="9">
        <v>-2000</v>
      </c>
      <c r="R7" s="9"/>
      <c r="S7" s="48">
        <v>-2000</v>
      </c>
      <c r="T7" s="21">
        <f t="shared" si="4"/>
        <v>23700</v>
      </c>
      <c r="U7" s="53">
        <f>IF($J7="","",ROUND(($J7-$J$3)/1000,1)+(_xlfn.RANK.AVG($J7,($J7,$O7,$T7),1)-2)*20)</f>
        <v>-2.5</v>
      </c>
      <c r="V7" s="54">
        <f>IF($O7="","",ROUND(($O7-$O$3)/1000,1)+(_xlfn.RANK.AVG($O7,($J7,$O7,$T7),1)-2)*20)</f>
        <v>33.799999999999997</v>
      </c>
      <c r="W7" s="55">
        <f>IF($T7="","",ROUND(($T7-$T$3)/1000,1)+(_xlfn.RANK.AVG($T7,($J7,$O7,$T7),1)-2)*20)</f>
        <v>-31.3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199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197</v>
      </c>
      <c r="G8" s="9">
        <v>8000</v>
      </c>
      <c r="H8" s="9"/>
      <c r="I8" s="48">
        <v>3000</v>
      </c>
      <c r="J8" s="21">
        <f t="shared" si="2"/>
        <v>43500</v>
      </c>
      <c r="K8" s="8" t="s">
        <v>198</v>
      </c>
      <c r="L8" s="9">
        <v>-8000</v>
      </c>
      <c r="M8" s="9"/>
      <c r="N8" s="48">
        <v>-3000</v>
      </c>
      <c r="O8" s="21">
        <f t="shared" si="3"/>
        <v>37800</v>
      </c>
      <c r="P8" s="8"/>
      <c r="Q8" s="9"/>
      <c r="R8" s="9"/>
      <c r="S8" s="48"/>
      <c r="T8" s="21">
        <f t="shared" si="4"/>
        <v>23700</v>
      </c>
      <c r="U8" s="53">
        <f>IF($J8="","",ROUND(($J8-$J$3)/1000,1)+(_xlfn.RANK.AVG($J8,($J8,$O8,$T8),1)-2)*20)</f>
        <v>28.5</v>
      </c>
      <c r="V8" s="54">
        <f>IF($O8="","",ROUND(($O8-$O$3)/1000,1)+(_xlfn.RANK.AVG($O8,($J8,$O8,$T8),1)-2)*20)</f>
        <v>2.8</v>
      </c>
      <c r="W8" s="55">
        <f>IF($T8="","",ROUND(($T8-$T$3)/1000,1)+(_xlfn.RANK.AVG($T8,($J8,$O8,$T8),1)-2)*20)</f>
        <v>-31.3</v>
      </c>
      <c r="Y8" s="8"/>
      <c r="Z8" s="34"/>
      <c r="AA8" s="26">
        <v>1</v>
      </c>
      <c r="AB8" s="26"/>
      <c r="AC8" s="26">
        <v>5</v>
      </c>
      <c r="AD8" s="30" t="s">
        <v>200</v>
      </c>
      <c r="AE8" s="40" t="s">
        <v>199</v>
      </c>
      <c r="AF8" s="41" t="s">
        <v>101</v>
      </c>
      <c r="AG8" s="41" t="s">
        <v>80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208</v>
      </c>
      <c r="G9" s="9">
        <v>-3000</v>
      </c>
      <c r="H9" s="9"/>
      <c r="I9" s="48"/>
      <c r="J9" s="21">
        <f t="shared" si="2"/>
        <v>40500</v>
      </c>
      <c r="K9" s="8" t="s">
        <v>208</v>
      </c>
      <c r="L9" s="9">
        <v>1500</v>
      </c>
      <c r="M9" s="9">
        <v>-1000</v>
      </c>
      <c r="N9" s="48"/>
      <c r="O9" s="21">
        <f t="shared" si="3"/>
        <v>38300</v>
      </c>
      <c r="P9" s="8" t="s">
        <v>208</v>
      </c>
      <c r="Q9" s="9">
        <v>1500</v>
      </c>
      <c r="R9" s="9"/>
      <c r="S9" s="48"/>
      <c r="T9" s="21">
        <f t="shared" si="4"/>
        <v>25200</v>
      </c>
      <c r="U9" s="53">
        <f>IF($J9="","",ROUND(($J9-$J$3)/1000,1)+(_xlfn.RANK.AVG($J9,($J9,$O9,$T9),1)-2)*20)</f>
        <v>25.5</v>
      </c>
      <c r="V9" s="54">
        <f>IF($O9="","",ROUND(($O9-$O$3)/1000,1)+(_xlfn.RANK.AVG($O9,($J9,$O9,$T9),1)-2)*20)</f>
        <v>3.3</v>
      </c>
      <c r="W9" s="55">
        <f>IF($T9="","",ROUND(($T9-$T$3)/1000,1)+(_xlfn.RANK.AVG($T9,($J9,$O9,$T9),1)-2)*20)</f>
        <v>-29.8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204</v>
      </c>
      <c r="F10" s="8" t="s">
        <v>197</v>
      </c>
      <c r="G10" s="9">
        <v>5200</v>
      </c>
      <c r="H10" s="9">
        <v>1000</v>
      </c>
      <c r="I10" s="48">
        <v>1000</v>
      </c>
      <c r="J10" s="21">
        <f t="shared" si="2"/>
        <v>47700</v>
      </c>
      <c r="K10" s="8"/>
      <c r="L10" s="9"/>
      <c r="M10" s="9"/>
      <c r="N10" s="48"/>
      <c r="O10" s="21">
        <f t="shared" si="3"/>
        <v>38300</v>
      </c>
      <c r="P10" s="8" t="s">
        <v>198</v>
      </c>
      <c r="Q10" s="9">
        <v>-5200</v>
      </c>
      <c r="R10" s="9"/>
      <c r="S10" s="48">
        <v>-1000</v>
      </c>
      <c r="T10" s="21">
        <f t="shared" si="4"/>
        <v>19000</v>
      </c>
      <c r="U10" s="53">
        <f>IF($J10="","",ROUND(($J10-$J$3)/1000,1)+(_xlfn.RANK.AVG($J10,($J10,$O10,$T10),1)-2)*20)</f>
        <v>32.700000000000003</v>
      </c>
      <c r="V10" s="54">
        <f>IF($O10="","",ROUND(($O10-$O$3)/1000,1)+(_xlfn.RANK.AVG($O10,($J10,$O10,$T10),1)-2)*20)</f>
        <v>3.3</v>
      </c>
      <c r="W10" s="55">
        <f>IF($T10="","",ROUND(($T10-$T$3)/1000,1)+(_xlfn.RANK.AVG($T10,($J10,$O10,$T10),1)-2)*20)</f>
        <v>-36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199</v>
      </c>
      <c r="AF10" s="41" t="s">
        <v>79</v>
      </c>
      <c r="AG10" s="41" t="s">
        <v>209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198</v>
      </c>
      <c r="G11" s="9">
        <v>-5200</v>
      </c>
      <c r="H11" s="9"/>
      <c r="I11" s="48">
        <v>0</v>
      </c>
      <c r="J11" s="21">
        <f t="shared" si="2"/>
        <v>42500</v>
      </c>
      <c r="K11" s="8"/>
      <c r="L11" s="9"/>
      <c r="M11" s="9"/>
      <c r="N11" s="48"/>
      <c r="O11" s="21">
        <f t="shared" si="3"/>
        <v>38300</v>
      </c>
      <c r="P11" s="8" t="s">
        <v>197</v>
      </c>
      <c r="Q11" s="9">
        <v>5200</v>
      </c>
      <c r="R11" s="9"/>
      <c r="S11" s="48">
        <v>0</v>
      </c>
      <c r="T11" s="21">
        <f t="shared" si="4"/>
        <v>24200</v>
      </c>
      <c r="U11" s="53">
        <f>IF($J11="","",ROUND(($J11-$J$3)/1000,1)+(_xlfn.RANK.AVG($J11,($J11,$O11,$T11),1)-2)*20)</f>
        <v>27.5</v>
      </c>
      <c r="V11" s="54">
        <f>IF($O11="","",ROUND(($O11-$O$3)/1000,1)+(_xlfn.RANK.AVG($O11,($J11,$O11,$T11),1)-2)*20)</f>
        <v>3.3</v>
      </c>
      <c r="W11" s="55">
        <f>IF($T11="","",ROUND(($T11-$T$3)/1000,1)+(_xlfn.RANK.AVG($T11,($J11,$O11,$T11),1)-2)*20)</f>
        <v>-30.8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40</v>
      </c>
      <c r="BU11" s="40" t="s">
        <v>104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195</v>
      </c>
      <c r="G12" s="9">
        <v>16000</v>
      </c>
      <c r="H12" s="9">
        <v>1000</v>
      </c>
      <c r="I12" s="48">
        <v>0</v>
      </c>
      <c r="J12" s="21">
        <f t="shared" si="2"/>
        <v>59500</v>
      </c>
      <c r="K12" s="8" t="s">
        <v>196</v>
      </c>
      <c r="L12" s="9">
        <v>-10000</v>
      </c>
      <c r="M12" s="9"/>
      <c r="N12" s="48">
        <v>0</v>
      </c>
      <c r="O12" s="21">
        <f t="shared" si="3"/>
        <v>28300</v>
      </c>
      <c r="P12" s="8" t="s">
        <v>196</v>
      </c>
      <c r="Q12" s="9">
        <v>-6000</v>
      </c>
      <c r="R12" s="9">
        <v>-1000</v>
      </c>
      <c r="S12" s="48">
        <v>0</v>
      </c>
      <c r="T12" s="21">
        <f t="shared" si="4"/>
        <v>17200</v>
      </c>
      <c r="U12" s="53">
        <f>IF($J12="","",ROUND(($J12-$J$3)/1000,1)+(_xlfn.RANK.AVG($J12,($J12,$O12,$T12),1)-2)*20)</f>
        <v>44.5</v>
      </c>
      <c r="V12" s="54">
        <f>IF($O12="","",ROUND(($O12-$O$3)/1000,1)+(_xlfn.RANK.AVG($O12,($J12,$O12,$T12),1)-2)*20)</f>
        <v>-6.7</v>
      </c>
      <c r="W12" s="55">
        <f>IF($T12="","",ROUND(($T12-$T$3)/1000,1)+(_xlfn.RANK.AVG($T12,($J12,$O12,$T12),1)-2)*20)</f>
        <v>-37.799999999999997</v>
      </c>
      <c r="Y12" s="8"/>
      <c r="Z12" s="34"/>
      <c r="AA12" s="26">
        <v>1</v>
      </c>
      <c r="AB12" s="26"/>
      <c r="AC12" s="26">
        <v>8</v>
      </c>
      <c r="AD12" s="30" t="s">
        <v>200</v>
      </c>
      <c r="AE12" s="40" t="s">
        <v>199</v>
      </c>
      <c r="AF12" s="41" t="s">
        <v>82</v>
      </c>
      <c r="AG12" s="41" t="s">
        <v>79</v>
      </c>
      <c r="AH12" s="41" t="s">
        <v>79</v>
      </c>
      <c r="AI12" s="41" t="s">
        <v>79</v>
      </c>
      <c r="AJ12" s="41" t="s">
        <v>80</v>
      </c>
      <c r="AK12" s="41" t="s">
        <v>80</v>
      </c>
      <c r="AL12" s="41" t="s">
        <v>201</v>
      </c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204</v>
      </c>
      <c r="F13" s="8" t="s">
        <v>196</v>
      </c>
      <c r="G13" s="9">
        <v>-2900</v>
      </c>
      <c r="H13" s="9">
        <v>-1000</v>
      </c>
      <c r="I13" s="48">
        <v>0</v>
      </c>
      <c r="J13" s="21">
        <f t="shared" si="2"/>
        <v>55600</v>
      </c>
      <c r="K13" s="8" t="s">
        <v>195</v>
      </c>
      <c r="L13" s="9">
        <v>7700</v>
      </c>
      <c r="M13" s="9">
        <v>2000</v>
      </c>
      <c r="N13" s="48">
        <v>0</v>
      </c>
      <c r="O13" s="21">
        <f t="shared" si="3"/>
        <v>38000</v>
      </c>
      <c r="P13" s="8" t="s">
        <v>196</v>
      </c>
      <c r="Q13" s="9">
        <v>-4800</v>
      </c>
      <c r="R13" s="9">
        <v>-1000</v>
      </c>
      <c r="S13" s="48">
        <v>0</v>
      </c>
      <c r="T13" s="21">
        <f t="shared" si="4"/>
        <v>11400</v>
      </c>
      <c r="U13" s="53">
        <f>IF($J13="","",ROUND(($J13-$J$3)/1000,1)+(_xlfn.RANK.AVG($J13,($J13,$O13,$T13),1)-2)*20)</f>
        <v>40.6</v>
      </c>
      <c r="V13" s="54">
        <f>IF($O13="","",ROUND(($O13-$O$3)/1000,1)+(_xlfn.RANK.AVG($O13,($J13,$O13,$T13),1)-2)*20)</f>
        <v>3</v>
      </c>
      <c r="W13" s="55">
        <f>IF($T13="","",ROUND(($T13-$T$3)/1000,1)+(_xlfn.RANK.AVG($T13,($J13,$O13,$T13),1)-2)*20)</f>
        <v>-43.6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30</v>
      </c>
      <c r="AZ13" s="40" t="s">
        <v>199</v>
      </c>
      <c r="BA13" s="41" t="s">
        <v>82</v>
      </c>
      <c r="BB13" s="41" t="s">
        <v>79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E5C81226-2F67-40AF-BEE0-61D0F82A33A8}">
      <formula1>$U$2:$W$2</formula1>
    </dataValidation>
    <dataValidation type="list" showInputMessage="1" showErrorMessage="1" sqref="K4:K30 P4:P30 F4:F30" xr:uid="{34D70B69-5295-4D43-A10B-D917F8D158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6E8F1-5D22-45E2-9CAC-803A6EB39E7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190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194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199</v>
      </c>
      <c r="BV4" s="41" t="s">
        <v>79</v>
      </c>
      <c r="BW4" s="41" t="s">
        <v>79</v>
      </c>
      <c r="BX4" s="41" t="s">
        <v>101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196</v>
      </c>
      <c r="G5" s="9">
        <v>-4500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196</v>
      </c>
      <c r="L5" s="9">
        <v>-7500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IF($J5="","",ROUND(($J5-$J$3)/1000,1)+(_xlfn.RANK.AVG($J5,($J5,$O5,$T5),1)-2)*20)</f>
        <v>-32.5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200</v>
      </c>
      <c r="BU5" s="40" t="s">
        <v>199</v>
      </c>
      <c r="BV5" s="41" t="s">
        <v>82</v>
      </c>
      <c r="BW5" s="41" t="s">
        <v>209</v>
      </c>
      <c r="BX5" s="41" t="s">
        <v>80</v>
      </c>
      <c r="BY5" s="41" t="s">
        <v>80</v>
      </c>
      <c r="BZ5" s="41" t="s">
        <v>80</v>
      </c>
      <c r="CA5" s="41" t="s">
        <v>201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-5800</v>
      </c>
      <c r="H6" s="9"/>
      <c r="I6" s="48">
        <v>0</v>
      </c>
      <c r="J6" s="21">
        <f t="shared" si="2"/>
        <v>16700</v>
      </c>
      <c r="K6" s="8" t="s">
        <v>196</v>
      </c>
      <c r="L6" s="9">
        <v>-5800</v>
      </c>
      <c r="M6" s="9">
        <v>-1000</v>
      </c>
      <c r="N6" s="48">
        <v>0</v>
      </c>
      <c r="O6" s="21">
        <f t="shared" si="3"/>
        <v>20700</v>
      </c>
      <c r="P6" s="8" t="s">
        <v>195</v>
      </c>
      <c r="Q6" s="9">
        <v>11600</v>
      </c>
      <c r="R6" s="9">
        <v>1000</v>
      </c>
      <c r="S6" s="48">
        <v>0</v>
      </c>
      <c r="T6" s="21">
        <f t="shared" si="4"/>
        <v>67600</v>
      </c>
      <c r="U6" s="53">
        <f>IF($J6="","",ROUND(($J6-$J$3)/1000,1)+(_xlfn.RANK.AVG($J6,($J6,$O6,$T6),1)-2)*20)</f>
        <v>-38.299999999999997</v>
      </c>
      <c r="V6" s="54">
        <f>IF($O6="","",ROUND(($O6-$O$3)/1000,1)+(_xlfn.RANK.AVG($O6,($J6,$O6,$T6),1)-2)*20)</f>
        <v>-14.3</v>
      </c>
      <c r="W6" s="55">
        <f>IF($T6="","",ROUND(($T6-$T$3)/1000,1)+(_xlfn.RANK.AVG($T6,($J6,$O6,$T6),1)-2)*20)</f>
        <v>52.6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79</v>
      </c>
      <c r="BV6" s="41" t="s">
        <v>79</v>
      </c>
      <c r="BW6" s="41" t="s">
        <v>79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196</v>
      </c>
      <c r="G7" s="9">
        <v>-4500</v>
      </c>
      <c r="H7" s="9"/>
      <c r="I7" s="48">
        <v>-500</v>
      </c>
      <c r="J7" s="21">
        <f t="shared" si="2"/>
        <v>11700</v>
      </c>
      <c r="K7" s="8" t="s">
        <v>195</v>
      </c>
      <c r="L7" s="9">
        <v>12000</v>
      </c>
      <c r="M7" s="9"/>
      <c r="N7" s="48">
        <v>1000</v>
      </c>
      <c r="O7" s="21">
        <f t="shared" si="3"/>
        <v>33700</v>
      </c>
      <c r="P7" s="8" t="s">
        <v>196</v>
      </c>
      <c r="Q7" s="9">
        <v>-7500</v>
      </c>
      <c r="R7" s="9"/>
      <c r="S7" s="48">
        <v>-500</v>
      </c>
      <c r="T7" s="21">
        <f t="shared" si="4"/>
        <v>59600</v>
      </c>
      <c r="U7" s="53">
        <f>IF($J7="","",ROUND(($J7-$J$3)/1000,1)+(_xlfn.RANK.AVG($J7,($J7,$O7,$T7),1)-2)*20)</f>
        <v>-43.3</v>
      </c>
      <c r="V7" s="54">
        <f>IF($O7="","",ROUND(($O7-$O$3)/1000,1)+(_xlfn.RANK.AVG($O7,($J7,$O7,$T7),1)-2)*20)</f>
        <v>-1.3</v>
      </c>
      <c r="W7" s="55">
        <f>IF($T7="","",ROUND(($T7-$T$3)/1000,1)+(_xlfn.RANK.AVG($T7,($J7,$O7,$T7),1)-2)*20)</f>
        <v>44.6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200</v>
      </c>
      <c r="AZ7" s="40" t="s">
        <v>199</v>
      </c>
      <c r="BA7" s="41" t="s">
        <v>82</v>
      </c>
      <c r="BB7" s="41" t="s">
        <v>209</v>
      </c>
      <c r="BC7" s="41" t="s">
        <v>83</v>
      </c>
      <c r="BD7" s="41" t="s">
        <v>201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208</v>
      </c>
      <c r="G8" s="9">
        <v>0</v>
      </c>
      <c r="H8" s="9">
        <v>-1000</v>
      </c>
      <c r="I8" s="48"/>
      <c r="J8" s="21">
        <f t="shared" si="2"/>
        <v>10700</v>
      </c>
      <c r="K8" s="8" t="s">
        <v>208</v>
      </c>
      <c r="L8" s="9">
        <v>0</v>
      </c>
      <c r="M8" s="9"/>
      <c r="N8" s="48"/>
      <c r="O8" s="21">
        <f t="shared" si="3"/>
        <v>33700</v>
      </c>
      <c r="P8" s="8" t="s">
        <v>208</v>
      </c>
      <c r="Q8" s="9">
        <v>0</v>
      </c>
      <c r="R8" s="9"/>
      <c r="S8" s="48"/>
      <c r="T8" s="21">
        <f t="shared" si="4"/>
        <v>59600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-1.3</v>
      </c>
      <c r="W8" s="55">
        <f>IF($T8="","",ROUND(($T8-$T$3)/1000,1)+(_xlfn.RANK.AVG($T8,($J8,$O8,$T8),1)-2)*20)</f>
        <v>44.6</v>
      </c>
      <c r="Y8" s="8" t="s">
        <v>207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189</v>
      </c>
      <c r="F9" s="8" t="s">
        <v>196</v>
      </c>
      <c r="G9" s="9">
        <v>-1700</v>
      </c>
      <c r="H9" s="9"/>
      <c r="I9" s="48">
        <v>-500</v>
      </c>
      <c r="J9" s="21">
        <f t="shared" si="2"/>
        <v>8500</v>
      </c>
      <c r="K9" s="8" t="s">
        <v>196</v>
      </c>
      <c r="L9" s="9">
        <v>-1100</v>
      </c>
      <c r="M9" s="9">
        <v>-1000</v>
      </c>
      <c r="N9" s="48">
        <v>-500</v>
      </c>
      <c r="O9" s="21">
        <f t="shared" si="3"/>
        <v>31100</v>
      </c>
      <c r="P9" s="8" t="s">
        <v>195</v>
      </c>
      <c r="Q9" s="9">
        <v>2800</v>
      </c>
      <c r="R9" s="9">
        <v>2000</v>
      </c>
      <c r="S9" s="48">
        <v>1000</v>
      </c>
      <c r="T9" s="21">
        <f t="shared" si="4"/>
        <v>65400</v>
      </c>
      <c r="U9" s="53">
        <f>IF($J9="","",ROUND(($J9-$J$3)/1000,1)+(_xlfn.RANK.AVG($J9,($J9,$O9,$T9),1)-2)*20)</f>
        <v>-46.5</v>
      </c>
      <c r="V9" s="54">
        <f>IF($O9="","",ROUND(($O9-$O$3)/1000,1)+(_xlfn.RANK.AVG($O9,($J9,$O9,$T9),1)-2)*20)</f>
        <v>-3.9</v>
      </c>
      <c r="W9" s="55">
        <f>IF($T9="","",ROUND(($T9-$T$3)/1000,1)+(_xlfn.RANK.AVG($T9,($J9,$O9,$T9),1)-2)*20)</f>
        <v>50.4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20</v>
      </c>
      <c r="BU9" s="40" t="s">
        <v>82</v>
      </c>
      <c r="BV9" s="41" t="s">
        <v>201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195</v>
      </c>
      <c r="G10" s="9">
        <v>4000</v>
      </c>
      <c r="H10" s="9"/>
      <c r="I10" s="48">
        <v>0</v>
      </c>
      <c r="J10" s="21">
        <f t="shared" si="2"/>
        <v>12500</v>
      </c>
      <c r="K10" s="8" t="s">
        <v>196</v>
      </c>
      <c r="L10" s="9">
        <v>-2500</v>
      </c>
      <c r="M10" s="9"/>
      <c r="N10" s="48">
        <v>0</v>
      </c>
      <c r="O10" s="21">
        <f t="shared" si="3"/>
        <v>28600</v>
      </c>
      <c r="P10" s="8" t="s">
        <v>196</v>
      </c>
      <c r="Q10" s="9">
        <v>-1500</v>
      </c>
      <c r="R10" s="9"/>
      <c r="S10" s="48">
        <v>0</v>
      </c>
      <c r="T10" s="21">
        <f t="shared" si="4"/>
        <v>63900</v>
      </c>
      <c r="U10" s="53">
        <f>IF($J10="","",ROUND(($J10-$J$3)/1000,1)+(_xlfn.RANK.AVG($J10,($J10,$O10,$T10),1)-2)*20)</f>
        <v>-42.5</v>
      </c>
      <c r="V10" s="54">
        <f>IF($O10="","",ROUND(($O10-$O$3)/1000,1)+(_xlfn.RANK.AVG($O10,($J10,$O10,$T10),1)-2)*20)</f>
        <v>-6.4</v>
      </c>
      <c r="W10" s="55">
        <f>IF($T10="","",ROUND(($T10-$T$3)/1000,1)+(_xlfn.RANK.AVG($T10,($J10,$O10,$T10),1)-2)*20)</f>
        <v>48.9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91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-8000</v>
      </c>
      <c r="H11" s="9"/>
      <c r="I11" s="48">
        <v>0</v>
      </c>
      <c r="J11" s="21">
        <f t="shared" si="2"/>
        <v>4500</v>
      </c>
      <c r="K11" s="8" t="s">
        <v>197</v>
      </c>
      <c r="L11" s="9">
        <v>8000</v>
      </c>
      <c r="M11" s="9">
        <v>1000</v>
      </c>
      <c r="N11" s="48">
        <v>0</v>
      </c>
      <c r="O11" s="21">
        <f t="shared" si="3"/>
        <v>37600</v>
      </c>
      <c r="P11" s="8"/>
      <c r="Q11" s="9"/>
      <c r="R11" s="9">
        <v>-1000</v>
      </c>
      <c r="S11" s="48"/>
      <c r="T11" s="21">
        <f t="shared" si="4"/>
        <v>62900</v>
      </c>
      <c r="U11" s="53">
        <f>IF($J11="","",ROUND(($J11-$J$3)/1000,1)+(_xlfn.RANK.AVG($J11,($J11,$O11,$T11),1)-2)*20)</f>
        <v>-50.5</v>
      </c>
      <c r="V11" s="54">
        <f>IF($O11="","",ROUND(($O11-$O$3)/1000,1)+(_xlfn.RANK.AVG($O11,($J11,$O11,$T11),1)-2)*20)</f>
        <v>2.6</v>
      </c>
      <c r="W11" s="55">
        <f>IF($T11="","",ROUND(($T11-$T$3)/1000,1)+(_xlfn.RANK.AVG($T11,($J11,$O11,$T11),1)-2)*20)</f>
        <v>47.9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200</v>
      </c>
      <c r="AZ11" s="40" t="s">
        <v>199</v>
      </c>
      <c r="BA11" s="41" t="s">
        <v>201</v>
      </c>
      <c r="BB11" s="41" t="s">
        <v>84</v>
      </c>
      <c r="BC11" s="41" t="s">
        <v>83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834E69F2-715A-4209-A5FB-24AC5BD419C7}">
      <formula1>"ロン,ツモ,放銃,ツモ支払,流局,チョンボ"</formula1>
    </dataValidation>
    <dataValidation type="list" allowBlank="1" showInputMessage="1" showErrorMessage="1" sqref="E4:E30" xr:uid="{704CF496-72B1-4A2D-B85D-98787F09F87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F03BD-D37D-4C06-A261-7DAA12A68EE8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190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203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れんたろう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198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208</v>
      </c>
      <c r="G5" s="9">
        <v>1500</v>
      </c>
      <c r="H5" s="9">
        <v>-1000</v>
      </c>
      <c r="I5" s="48"/>
      <c r="J5" s="21">
        <f t="shared" ref="J5:J30" si="2">IF(COUNTA($F5,$K5,$P5)&gt;0,J4+SUM(G5:I5),"")</f>
        <v>35500</v>
      </c>
      <c r="K5" s="8" t="s">
        <v>208</v>
      </c>
      <c r="L5" s="9">
        <v>1500</v>
      </c>
      <c r="M5" s="9">
        <v>-1000</v>
      </c>
      <c r="N5" s="48"/>
      <c r="O5" s="21">
        <f t="shared" ref="O5:O30" si="3">IF(COUNTA($F5,$K5,$P5)&gt;0,O4+SUM(L5:N5),"")</f>
        <v>43200</v>
      </c>
      <c r="P5" s="8" t="s">
        <v>208</v>
      </c>
      <c r="Q5" s="9">
        <v>-3000</v>
      </c>
      <c r="R5" s="9"/>
      <c r="S5" s="48"/>
      <c r="T5" s="21">
        <f t="shared" ref="T5:T30" si="4">IF(COUNTA($F5,$K5,$P5)&gt;0,T4+SUM(Q5:S5),"")</f>
        <v>24300</v>
      </c>
      <c r="U5" s="53">
        <f>IF($J5="","",ROUND(($J5-$J$3)/1000,1)+(_xlfn.RANK.AVG($J5,($J5,$O5,$T5),1)-2)*20)</f>
        <v>0.5</v>
      </c>
      <c r="V5" s="54">
        <f>IF($O5="","",ROUND(($O5-$O$3)/1000,1)+(_xlfn.RANK.AVG($O5,($J5,$O5,$T5),1)-2)*20)</f>
        <v>28.2</v>
      </c>
      <c r="W5" s="55">
        <f>IF($T5="","",ROUND(($T5-$T$3)/1000,1)+(_xlfn.RANK.AVG($T5,($J5,$O5,$T5),1)-2)*20)</f>
        <v>-30.7</v>
      </c>
      <c r="Y5" s="8" t="s">
        <v>207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191</v>
      </c>
      <c r="F6" s="8"/>
      <c r="G6" s="9"/>
      <c r="H6" s="9"/>
      <c r="I6" s="48"/>
      <c r="J6" s="21">
        <f t="shared" si="2"/>
        <v>35500</v>
      </c>
      <c r="K6" s="8" t="s">
        <v>197</v>
      </c>
      <c r="L6" s="9">
        <v>7700</v>
      </c>
      <c r="M6" s="9">
        <v>2000</v>
      </c>
      <c r="N6" s="48">
        <v>2000</v>
      </c>
      <c r="O6" s="21">
        <f t="shared" si="3"/>
        <v>54900</v>
      </c>
      <c r="P6" s="8" t="s">
        <v>198</v>
      </c>
      <c r="Q6" s="9">
        <v>-7700</v>
      </c>
      <c r="R6" s="9"/>
      <c r="S6" s="48">
        <v>-2000</v>
      </c>
      <c r="T6" s="21">
        <f t="shared" si="4"/>
        <v>14600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39.9</v>
      </c>
      <c r="W6" s="55">
        <f>IF($T6="","",ROUND(($T6-$T$3)/1000,1)+(_xlfn.RANK.AVG($T6,($J6,$O6,$T6),1)-2)*20)</f>
        <v>-40.4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80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197</v>
      </c>
      <c r="G7" s="9">
        <v>12000</v>
      </c>
      <c r="H7" s="9"/>
      <c r="I7" s="48">
        <v>3000</v>
      </c>
      <c r="J7" s="21">
        <f t="shared" si="2"/>
        <v>50500</v>
      </c>
      <c r="K7" s="8" t="s">
        <v>198</v>
      </c>
      <c r="L7" s="9">
        <v>-12000</v>
      </c>
      <c r="M7" s="9"/>
      <c r="N7" s="48">
        <v>-3000</v>
      </c>
      <c r="O7" s="21">
        <f t="shared" si="3"/>
        <v>39900</v>
      </c>
      <c r="P7" s="8"/>
      <c r="Q7" s="9"/>
      <c r="R7" s="9"/>
      <c r="S7" s="48"/>
      <c r="T7" s="21">
        <f t="shared" si="4"/>
        <v>14600</v>
      </c>
      <c r="U7" s="53">
        <f>IF($J7="","",ROUND(($J7-$J$3)/1000,1)+(_xlfn.RANK.AVG($J7,($J7,$O7,$T7),1)-2)*20)</f>
        <v>35.5</v>
      </c>
      <c r="V7" s="54">
        <f>IF($O7="","",ROUND(($O7-$O$3)/1000,1)+(_xlfn.RANK.AVG($O7,($J7,$O7,$T7),1)-2)*20)</f>
        <v>4.9000000000000004</v>
      </c>
      <c r="W7" s="55">
        <f>IF($T7="","",ROUND(($T7-$T$3)/1000,1)+(_xlfn.RANK.AVG($T7,($J7,$O7,$T7),1)-2)*20)</f>
        <v>-40.4</v>
      </c>
      <c r="Y7" s="8"/>
      <c r="Z7" s="34"/>
      <c r="AA7" s="26"/>
      <c r="AB7" s="26">
        <v>1</v>
      </c>
      <c r="AC7" s="26">
        <v>6</v>
      </c>
      <c r="AD7" s="30" t="s">
        <v>200</v>
      </c>
      <c r="AE7" s="40" t="s">
        <v>104</v>
      </c>
      <c r="AF7" s="41" t="s">
        <v>86</v>
      </c>
      <c r="AG7" s="41" t="s">
        <v>86</v>
      </c>
      <c r="AH7" s="41" t="s">
        <v>201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195</v>
      </c>
      <c r="G8" s="9">
        <v>2100</v>
      </c>
      <c r="H8" s="9"/>
      <c r="I8" s="48">
        <v>0</v>
      </c>
      <c r="J8" s="21">
        <f t="shared" si="2"/>
        <v>52600</v>
      </c>
      <c r="K8" s="8" t="s">
        <v>196</v>
      </c>
      <c r="L8" s="9">
        <v>-800</v>
      </c>
      <c r="M8" s="9"/>
      <c r="N8" s="48">
        <v>0</v>
      </c>
      <c r="O8" s="21">
        <f t="shared" si="3"/>
        <v>39100</v>
      </c>
      <c r="P8" s="8" t="s">
        <v>196</v>
      </c>
      <c r="Q8" s="9">
        <v>-1300</v>
      </c>
      <c r="R8" s="9"/>
      <c r="S8" s="48">
        <v>0</v>
      </c>
      <c r="T8" s="21">
        <f t="shared" si="4"/>
        <v>13300</v>
      </c>
      <c r="U8" s="53">
        <f>IF($J8="","",ROUND(($J8-$J$3)/1000,1)+(_xlfn.RANK.AVG($J8,($J8,$O8,$T8),1)-2)*20)</f>
        <v>37.6</v>
      </c>
      <c r="V8" s="54">
        <f>IF($O8="","",ROUND(($O8-$O$3)/1000,1)+(_xlfn.RANK.AVG($O8,($J8,$O8,$T8),1)-2)*20)</f>
        <v>4.0999999999999996</v>
      </c>
      <c r="W8" s="55">
        <f>IF($T8="","",ROUND(($T8-$T$3)/1000,1)+(_xlfn.RANK.AVG($T8,($J8,$O8,$T8),1)-2)*20)</f>
        <v>-41.7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189</v>
      </c>
      <c r="F9" s="8" t="s">
        <v>198</v>
      </c>
      <c r="G9" s="9">
        <v>-1300</v>
      </c>
      <c r="H9" s="9"/>
      <c r="I9" s="48">
        <v>0</v>
      </c>
      <c r="J9" s="21">
        <f t="shared" si="2"/>
        <v>51300</v>
      </c>
      <c r="K9" s="8"/>
      <c r="L9" s="9"/>
      <c r="M9" s="9">
        <v>-1000</v>
      </c>
      <c r="N9" s="48"/>
      <c r="O9" s="21">
        <f t="shared" si="3"/>
        <v>38100</v>
      </c>
      <c r="P9" s="8" t="s">
        <v>197</v>
      </c>
      <c r="Q9" s="9">
        <v>1300</v>
      </c>
      <c r="R9" s="9">
        <v>1000</v>
      </c>
      <c r="S9" s="48">
        <v>0</v>
      </c>
      <c r="T9" s="21">
        <f t="shared" si="4"/>
        <v>15600</v>
      </c>
      <c r="U9" s="53">
        <f>IF($J9="","",ROUND(($J9-$J$3)/1000,1)+(_xlfn.RANK.AVG($J9,($J9,$O9,$T9),1)-2)*20)</f>
        <v>36.299999999999997</v>
      </c>
      <c r="V9" s="54">
        <f>IF($O9="","",ROUND(($O9-$O$3)/1000,1)+(_xlfn.RANK.AVG($O9,($J9,$O9,$T9),1)-2)*20)</f>
        <v>3.1</v>
      </c>
      <c r="W9" s="55">
        <f>IF($T9="","",ROUND(($T9-$T$3)/1000,1)+(_xlfn.RANK.AVG($T9,($J9,$O9,$T9),1)-2)*20)</f>
        <v>-39.4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-18000</v>
      </c>
      <c r="H10" s="9"/>
      <c r="I10" s="48">
        <v>0</v>
      </c>
      <c r="J10" s="21">
        <f t="shared" si="2"/>
        <v>33300</v>
      </c>
      <c r="K10" s="8" t="s">
        <v>197</v>
      </c>
      <c r="L10" s="9">
        <v>18000</v>
      </c>
      <c r="M10" s="9"/>
      <c r="N10" s="48">
        <v>0</v>
      </c>
      <c r="O10" s="21">
        <f t="shared" si="3"/>
        <v>56100</v>
      </c>
      <c r="P10" s="8"/>
      <c r="Q10" s="9"/>
      <c r="R10" s="9"/>
      <c r="S10" s="48"/>
      <c r="T10" s="21">
        <f t="shared" si="4"/>
        <v>15600</v>
      </c>
      <c r="U10" s="53">
        <f>IF($J10="","",ROUND(($J10-$J$3)/1000,1)+(_xlfn.RANK.AVG($J10,($J10,$O10,$T10),1)-2)*20)</f>
        <v>-1.7</v>
      </c>
      <c r="V10" s="54">
        <f>IF($O10="","",ROUND(($O10-$O$3)/1000,1)+(_xlfn.RANK.AVG($O10,($J10,$O10,$T10),1)-2)*20)</f>
        <v>41.1</v>
      </c>
      <c r="W10" s="55">
        <f>IF($T10="","",ROUND(($T10-$T$3)/1000,1)+(_xlfn.RANK.AVG($T10,($J10,$O10,$T10),1)-2)*20)</f>
        <v>-39.4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7</v>
      </c>
      <c r="AY10" s="30" t="s">
        <v>200</v>
      </c>
      <c r="AZ10" s="40" t="s">
        <v>106</v>
      </c>
      <c r="BA10" s="41" t="s">
        <v>84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198</v>
      </c>
      <c r="G11" s="9">
        <v>-8000</v>
      </c>
      <c r="H11" s="9"/>
      <c r="I11" s="48">
        <v>-1000</v>
      </c>
      <c r="J11" s="21">
        <f t="shared" si="2"/>
        <v>24300</v>
      </c>
      <c r="K11" s="8"/>
      <c r="L11" s="9"/>
      <c r="M11" s="9"/>
      <c r="N11" s="48"/>
      <c r="O11" s="21">
        <f t="shared" si="3"/>
        <v>56100</v>
      </c>
      <c r="P11" s="8" t="s">
        <v>197</v>
      </c>
      <c r="Q11" s="9">
        <v>8000</v>
      </c>
      <c r="R11" s="9"/>
      <c r="S11" s="48">
        <v>1000</v>
      </c>
      <c r="T11" s="21">
        <f t="shared" si="4"/>
        <v>24600</v>
      </c>
      <c r="U11" s="53">
        <f>IF($J11="","",ROUND(($J11-$J$3)/1000,1)+(_xlfn.RANK.AVG($J11,($J11,$O11,$T11),1)-2)*20)</f>
        <v>-30.7</v>
      </c>
      <c r="V11" s="54">
        <f>IF($O11="","",ROUND(($O11-$O$3)/1000,1)+(_xlfn.RANK.AVG($O11,($J11,$O11,$T11),1)-2)*20)</f>
        <v>41.1</v>
      </c>
      <c r="W11" s="55">
        <f>IF($T11="","",ROUND(($T11-$T$3)/1000,1)+(_xlfn.RANK.AVG($T11,($J11,$O11,$T11),1)-2)*20)</f>
        <v>-10.4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199</v>
      </c>
      <c r="BV11" s="41" t="s">
        <v>201</v>
      </c>
      <c r="BW11" s="41" t="s">
        <v>85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196</v>
      </c>
      <c r="G12" s="9">
        <v>-5800</v>
      </c>
      <c r="H12" s="9"/>
      <c r="I12" s="48">
        <v>0</v>
      </c>
      <c r="J12" s="21">
        <f t="shared" si="2"/>
        <v>18500</v>
      </c>
      <c r="K12" s="8" t="s">
        <v>196</v>
      </c>
      <c r="L12" s="9">
        <v>-5800</v>
      </c>
      <c r="M12" s="9">
        <v>-1000</v>
      </c>
      <c r="N12" s="48">
        <v>0</v>
      </c>
      <c r="O12" s="21">
        <f t="shared" si="3"/>
        <v>49300</v>
      </c>
      <c r="P12" s="8" t="s">
        <v>195</v>
      </c>
      <c r="Q12" s="9">
        <v>11600</v>
      </c>
      <c r="R12" s="9">
        <v>1000</v>
      </c>
      <c r="S12" s="48">
        <v>0</v>
      </c>
      <c r="T12" s="21">
        <f t="shared" si="4"/>
        <v>37200</v>
      </c>
      <c r="U12" s="53">
        <f>IF($J12="","",ROUND(($J12-$J$3)/1000,1)+(_xlfn.RANK.AVG($J12,($J12,$O12,$T12),1)-2)*20)</f>
        <v>-36.5</v>
      </c>
      <c r="V12" s="54">
        <f>IF($O12="","",ROUND(($O12-$O$3)/1000,1)+(_xlfn.RANK.AVG($O12,($J12,$O12,$T12),1)-2)*20)</f>
        <v>34.299999999999997</v>
      </c>
      <c r="W12" s="55">
        <f>IF($T12="","",ROUND(($T12-$T$3)/1000,1)+(_xlfn.RANK.AVG($T12,($J12,$O12,$T12),1)-2)*20)</f>
        <v>2.2000000000000002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199</v>
      </c>
      <c r="BV12" s="41" t="s">
        <v>82</v>
      </c>
      <c r="BW12" s="41" t="s">
        <v>85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202</v>
      </c>
      <c r="F13" s="8" t="s">
        <v>208</v>
      </c>
      <c r="G13" s="9">
        <v>3000</v>
      </c>
      <c r="H13" s="9">
        <v>-1000</v>
      </c>
      <c r="I13" s="48"/>
      <c r="J13" s="21">
        <f t="shared" si="2"/>
        <v>20500</v>
      </c>
      <c r="K13" s="8" t="s">
        <v>208</v>
      </c>
      <c r="L13" s="9">
        <v>-1500</v>
      </c>
      <c r="M13" s="9"/>
      <c r="N13" s="48"/>
      <c r="O13" s="21">
        <f t="shared" si="3"/>
        <v>47800</v>
      </c>
      <c r="P13" s="8" t="s">
        <v>208</v>
      </c>
      <c r="Q13" s="9">
        <v>-1500</v>
      </c>
      <c r="R13" s="9"/>
      <c r="S13" s="48"/>
      <c r="T13" s="21">
        <f t="shared" si="4"/>
        <v>35700</v>
      </c>
      <c r="U13" s="53">
        <f>IF($J13="","",ROUND(($J13-$J$3)/1000,1)+(_xlfn.RANK.AVG($J13,($J13,$O13,$T13),1)-2)*20)</f>
        <v>-34.5</v>
      </c>
      <c r="V13" s="54">
        <f>IF($O13="","",ROUND(($O13-$O$3)/1000,1)+(_xlfn.RANK.AVG($O13,($J13,$O13,$T13),1)-2)*20)</f>
        <v>32.799999999999997</v>
      </c>
      <c r="W13" s="55">
        <f>IF($T13="","",ROUND(($T13-$T$3)/1000,1)+(_xlfn.RANK.AVG($T13,($J13,$O13,$T13),1)-2)*20)</f>
        <v>0.7</v>
      </c>
      <c r="Y13" s="8" t="s">
        <v>207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">
        <v>189</v>
      </c>
      <c r="F14" s="8" t="s">
        <v>198</v>
      </c>
      <c r="G14" s="9">
        <v>-5200</v>
      </c>
      <c r="H14" s="9"/>
      <c r="I14" s="48">
        <v>-2000</v>
      </c>
      <c r="J14" s="21">
        <f t="shared" si="2"/>
        <v>13300</v>
      </c>
      <c r="K14" s="8" t="s">
        <v>197</v>
      </c>
      <c r="L14" s="9">
        <v>5200</v>
      </c>
      <c r="M14" s="9">
        <v>1000</v>
      </c>
      <c r="N14" s="48">
        <v>2000</v>
      </c>
      <c r="O14" s="21">
        <f t="shared" si="3"/>
        <v>56000</v>
      </c>
      <c r="P14" s="8"/>
      <c r="Q14" s="9"/>
      <c r="R14" s="9"/>
      <c r="S14" s="48"/>
      <c r="T14" s="21">
        <f t="shared" si="4"/>
        <v>35700</v>
      </c>
      <c r="U14" s="53">
        <f>IF($J14="","",ROUND(($J14-$J$3)/1000,1)+(_xlfn.RANK.AVG($J14,($J14,$O14,$T14),1)-2)*20)</f>
        <v>-41.7</v>
      </c>
      <c r="V14" s="54">
        <f>IF($O14="","",ROUND(($O14-$O$3)/1000,1)+(_xlfn.RANK.AVG($O14,($J14,$O14,$T14),1)-2)*20)</f>
        <v>41</v>
      </c>
      <c r="W14" s="55">
        <f>IF($T14="","",ROUND(($T14-$T$3)/1000,1)+(_xlfn.RANK.AVG($T14,($J14,$O14,$T14),1)-2)*20)</f>
        <v>0.7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3</v>
      </c>
      <c r="AY14" s="30">
        <v>40</v>
      </c>
      <c r="AZ14" s="40" t="s">
        <v>212</v>
      </c>
      <c r="BA14" s="41" t="s">
        <v>79</v>
      </c>
      <c r="BB14" s="41" t="s">
        <v>79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F70CB79-3033-4ED7-BC9D-AF04770F50B1}">
      <formula1>$U$2:$W$2</formula1>
    </dataValidation>
    <dataValidation type="list" showInputMessage="1" showErrorMessage="1" sqref="K4:K30 P4:P30 F4:F30" xr:uid="{24535207-2255-41B4-AE7C-395390554BD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2019-06-01T15:10:06Z</dcterms:modified>
</cp:coreProperties>
</file>