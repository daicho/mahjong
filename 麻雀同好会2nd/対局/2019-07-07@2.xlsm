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018F673F-27E0-423F-BC50-5704F2AE134E}" xr6:coauthVersionLast="36" xr6:coauthVersionMax="36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3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D15" i="23"/>
  <c r="C15" i="23"/>
  <c r="D14" i="23"/>
  <c r="C14" i="23"/>
  <c r="D13" i="23"/>
  <c r="C13" i="23"/>
  <c r="D12" i="23"/>
  <c r="C12" i="23"/>
  <c r="D11" i="23"/>
  <c r="C11" i="23"/>
  <c r="D10" i="23"/>
  <c r="C10" i="23"/>
  <c r="D9" i="23"/>
  <c r="C9" i="23"/>
  <c r="D8" i="23"/>
  <c r="C8" i="23"/>
  <c r="D7" i="23"/>
  <c r="D6" i="23"/>
  <c r="B6" i="23"/>
  <c r="B7" i="23" s="1"/>
  <c r="T5" i="23"/>
  <c r="D5" i="23"/>
  <c r="C5" i="23"/>
  <c r="C6" i="23" s="1"/>
  <c r="C7" i="23" s="1"/>
  <c r="B5" i="23"/>
  <c r="A5" i="23"/>
  <c r="T4" i="23"/>
  <c r="O4" i="23"/>
  <c r="O5" i="23" s="1"/>
  <c r="J4" i="23"/>
  <c r="U4" i="23" s="1"/>
  <c r="W3" i="23"/>
  <c r="V3" i="23"/>
  <c r="U3" i="23"/>
  <c r="W2" i="23"/>
  <c r="V2" i="23"/>
  <c r="U2" i="23"/>
  <c r="BO1" i="23"/>
  <c r="AT1" i="23"/>
  <c r="Y1" i="23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 s="1"/>
  <c r="T16" i="21"/>
  <c r="O16" i="21"/>
  <c r="V16" i="21" s="1"/>
  <c r="J16" i="21"/>
  <c r="D16" i="21"/>
  <c r="C16" i="21"/>
  <c r="B16" i="21"/>
  <c r="A16" i="21" s="1"/>
  <c r="T15" i="21"/>
  <c r="O15" i="21"/>
  <c r="V15" i="21" s="1"/>
  <c r="J15" i="21"/>
  <c r="U15" i="21" s="1"/>
  <c r="D15" i="21"/>
  <c r="C15" i="21"/>
  <c r="B15" i="21"/>
  <c r="A15" i="21" s="1"/>
  <c r="T14" i="21"/>
  <c r="W14" i="21" s="1"/>
  <c r="O14" i="21"/>
  <c r="V14" i="21" s="1"/>
  <c r="J14" i="21"/>
  <c r="U14" i="21" s="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O12" i="21"/>
  <c r="V12" i="21" s="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 s="1"/>
  <c r="T10" i="21"/>
  <c r="O10" i="21"/>
  <c r="J10" i="21"/>
  <c r="U10" i="21" s="1"/>
  <c r="D10" i="21"/>
  <c r="C10" i="21"/>
  <c r="B10" i="21"/>
  <c r="A10" i="21" s="1"/>
  <c r="T9" i="21"/>
  <c r="O9" i="21"/>
  <c r="J9" i="21"/>
  <c r="U9" i="21" s="1"/>
  <c r="D9" i="21"/>
  <c r="C9" i="21"/>
  <c r="B9" i="21"/>
  <c r="A9" i="21" s="1"/>
  <c r="T8" i="21"/>
  <c r="O8" i="21"/>
  <c r="J8" i="21"/>
  <c r="U8" i="21" s="1"/>
  <c r="D8" i="21"/>
  <c r="C8" i="21"/>
  <c r="B8" i="21"/>
  <c r="A8" i="21" s="1"/>
  <c r="T7" i="21"/>
  <c r="O7" i="21"/>
  <c r="V7" i="21" s="1"/>
  <c r="J7" i="21"/>
  <c r="U7" i="21" s="1"/>
  <c r="D7" i="21"/>
  <c r="C7" i="21"/>
  <c r="B7" i="21"/>
  <c r="A7" i="21" s="1"/>
  <c r="D6" i="21"/>
  <c r="C6" i="21"/>
  <c r="B6" i="21"/>
  <c r="A6" i="21" s="1"/>
  <c r="J5" i="21"/>
  <c r="D5" i="21"/>
  <c r="C5" i="21"/>
  <c r="B5" i="21"/>
  <c r="A5" i="21" s="1"/>
  <c r="T4" i="2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A6" i="23" l="1"/>
  <c r="W4" i="23"/>
  <c r="V4" i="23"/>
  <c r="O6" i="23"/>
  <c r="B8" i="23"/>
  <c r="W5" i="23"/>
  <c r="J5" i="23"/>
  <c r="A7" i="23"/>
  <c r="A8" i="23" s="1"/>
  <c r="T6" i="23"/>
  <c r="U16" i="21"/>
  <c r="W16" i="21"/>
  <c r="W15" i="21"/>
  <c r="U13" i="21"/>
  <c r="V13" i="21"/>
  <c r="W13" i="21"/>
  <c r="W12" i="21"/>
  <c r="U12" i="21"/>
  <c r="V11" i="21"/>
  <c r="W11" i="21"/>
  <c r="V10" i="21"/>
  <c r="W10" i="21"/>
  <c r="V9" i="21"/>
  <c r="W9" i="21"/>
  <c r="V8" i="21"/>
  <c r="W8" i="21"/>
  <c r="W7" i="21"/>
  <c r="W4" i="21"/>
  <c r="T5" i="21"/>
  <c r="J6" i="21"/>
  <c r="O5" i="21"/>
  <c r="U5" i="21" s="1"/>
  <c r="B9" i="23" l="1"/>
  <c r="A9" i="23" s="1"/>
  <c r="T7" i="23"/>
  <c r="U5" i="23"/>
  <c r="J6" i="23"/>
  <c r="V6" i="23"/>
  <c r="O7" i="23"/>
  <c r="V5" i="23"/>
  <c r="V5" i="21"/>
  <c r="O6" i="21"/>
  <c r="W5" i="21"/>
  <c r="T6" i="21"/>
  <c r="W6" i="21" s="1"/>
  <c r="O8" i="23" l="1"/>
  <c r="U6" i="23"/>
  <c r="J7" i="23"/>
  <c r="W7" i="23"/>
  <c r="T8" i="23"/>
  <c r="W6" i="23"/>
  <c r="B10" i="23"/>
  <c r="V6" i="21"/>
  <c r="U6" i="21"/>
  <c r="B11" i="23" l="1"/>
  <c r="A11" i="23" s="1"/>
  <c r="U7" i="23"/>
  <c r="J8" i="23"/>
  <c r="T9" i="23"/>
  <c r="W8" i="23"/>
  <c r="V7" i="23"/>
  <c r="A10" i="23"/>
  <c r="V8" i="23"/>
  <c r="O9" i="23"/>
  <c r="T10" i="23" l="1"/>
  <c r="U8" i="23"/>
  <c r="J9" i="23"/>
  <c r="W9" i="23" s="1"/>
  <c r="V9" i="23"/>
  <c r="O10" i="23"/>
  <c r="B12" i="23"/>
  <c r="A12" i="23" s="1"/>
  <c r="B13" i="23" l="1"/>
  <c r="A13" i="23" s="1"/>
  <c r="O11" i="23"/>
  <c r="J10" i="23"/>
  <c r="V10" i="23" s="1"/>
  <c r="U9" i="23"/>
  <c r="W10" i="23"/>
  <c r="T11" i="23"/>
  <c r="O12" i="23" l="1"/>
  <c r="T12" i="23"/>
  <c r="U10" i="23"/>
  <c r="J11" i="23"/>
  <c r="V11" i="23" s="1"/>
  <c r="B14" i="23"/>
  <c r="A14" i="23" s="1"/>
  <c r="T13" i="23" l="1"/>
  <c r="B15" i="23"/>
  <c r="A15" i="23" s="1"/>
  <c r="U11" i="23"/>
  <c r="J12" i="23"/>
  <c r="W11" i="23"/>
  <c r="V12" i="23"/>
  <c r="O13" i="23"/>
  <c r="U12" i="23" l="1"/>
  <c r="J13" i="23"/>
  <c r="W12" i="23"/>
  <c r="V13" i="23"/>
  <c r="O14" i="23"/>
  <c r="W13" i="23"/>
  <c r="T14" i="23"/>
  <c r="O15" i="23" l="1"/>
  <c r="U13" i="23"/>
  <c r="J14" i="23"/>
  <c r="W14" i="23"/>
  <c r="T15" i="23"/>
  <c r="U14" i="23" l="1"/>
  <c r="J15" i="23"/>
  <c r="U15" i="23" s="1"/>
  <c r="V15" i="23"/>
  <c r="V14" i="23"/>
  <c r="W15" i="23" l="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/>
  <c r="D9" i="20"/>
  <c r="D7" i="20"/>
  <c r="D8" i="20" s="1"/>
  <c r="D6" i="20"/>
  <c r="C6" i="20"/>
  <c r="C7" i="20" s="1"/>
  <c r="C8" i="20" s="1"/>
  <c r="C9" i="20" s="1"/>
  <c r="B6" i="20"/>
  <c r="A6" i="20" s="1"/>
  <c r="D5" i="20"/>
  <c r="C5" i="20"/>
  <c r="B5" i="20"/>
  <c r="A5" i="20" s="1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V4" i="20" l="1"/>
  <c r="W4" i="20"/>
  <c r="T6" i="20"/>
  <c r="U4" i="20"/>
  <c r="O5" i="20"/>
  <c r="B7" i="20"/>
  <c r="J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W9" i="19" s="1"/>
  <c r="O9" i="19"/>
  <c r="J9" i="19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O7" i="19"/>
  <c r="J7" i="19"/>
  <c r="D7" i="19"/>
  <c r="C7" i="19"/>
  <c r="B7" i="19"/>
  <c r="A7" i="19" s="1"/>
  <c r="T6" i="19"/>
  <c r="W6" i="19" s="1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B8" i="20" l="1"/>
  <c r="A7" i="20"/>
  <c r="V5" i="20"/>
  <c r="O6" i="20"/>
  <c r="U5" i="20"/>
  <c r="J6" i="20"/>
  <c r="W6" i="20" s="1"/>
  <c r="T7" i="20"/>
  <c r="W5" i="20"/>
  <c r="U9" i="19"/>
  <c r="V9" i="19"/>
  <c r="V8" i="19"/>
  <c r="W8" i="19"/>
  <c r="V7" i="19"/>
  <c r="U7" i="19"/>
  <c r="W7" i="19"/>
  <c r="U6" i="19"/>
  <c r="V6" i="19"/>
  <c r="U4" i="19"/>
  <c r="V4" i="19"/>
  <c r="W4" i="19"/>
  <c r="J5" i="19"/>
  <c r="O5" i="19"/>
  <c r="A8" i="20" l="1"/>
  <c r="B9" i="20"/>
  <c r="A9" i="20" s="1"/>
  <c r="U6" i="20"/>
  <c r="J7" i="20"/>
  <c r="V6" i="20"/>
  <c r="O7" i="20"/>
  <c r="T8" i="20"/>
  <c r="V5" i="19"/>
  <c r="W5" i="19"/>
  <c r="U5" i="19"/>
  <c r="O8" i="20" l="1"/>
  <c r="V7" i="20"/>
  <c r="U7" i="20"/>
  <c r="J8" i="20"/>
  <c r="W7" i="20"/>
  <c r="W8" i="20"/>
  <c r="T9" i="20"/>
  <c r="V8" i="20" l="1"/>
  <c r="O9" i="20"/>
  <c r="J9" i="20"/>
  <c r="U9" i="20" s="1"/>
  <c r="U8" i="20"/>
  <c r="W9" i="20" l="1"/>
  <c r="V9" i="20"/>
</calcChain>
</file>

<file path=xl/sharedStrings.xml><?xml version="1.0" encoding="utf-8"?>
<sst xmlns="http://schemas.openxmlformats.org/spreadsheetml/2006/main" count="903" uniqueCount="207">
  <si>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</si>
  <si>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</si>
  <si>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</si>
  <si>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</si>
  <si>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</si>
  <si>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</si>
  <si>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</si>
  <si>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</si>
  <si>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</si>
  <si>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</si>
  <si>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</si>
  <si>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</si>
  <si>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</si>
  <si>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</si>
  <si>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</si>
  <si>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</si>
  <si>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</si>
  <si>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</si>
  <si>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</si>
  <si>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</si>
  <si>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</si>
  <si>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</si>
  <si>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</si>
  <si>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</si>
  <si>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</si>
  <si>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</si>
  <si>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</si>
  <si>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</si>
  <si>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</si>
  <si>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</si>
  <si>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</si>
  <si>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</si>
  <si>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</si>
  <si>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</si>
  <si>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</si>
  <si>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</si>
  <si>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</si>
  <si>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</si>
  <si>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</si>
  <si>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</si>
  <si>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</si>
  <si>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</si>
  <si>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</si>
  <si>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</si>
  <si>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</si>
  <si>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</si>
  <si>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</si>
  <si>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</si>
  <si>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</si>
  <si>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</si>
  <si>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</si>
  <si>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</si>
  <si>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</si>
  <si>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</si>
  <si>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</si>
  <si>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</si>
  <si>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</si>
  <si>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</si>
  <si>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</si>
  <si>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</si>
  <si>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</si>
  <si>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</si>
  <si>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</si>
  <si>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</si>
  <si>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</si>
  <si>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</si>
  <si>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</si>
  <si>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</si>
  <si>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</si>
  <si>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</si>
  <si>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</si>
  <si>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</si>
  <si>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</si>
  <si>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</si>
  <si>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</si>
  <si>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</si>
  <si>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</si>
  <si>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</si>
  <si>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</si>
  <si>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</si>
  <si>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</si>
  <si>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</si>
  <si>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</si>
  <si>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</si>
  <si>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</si>
  <si>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</si>
  <si>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</si>
  <si>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</si>
  <si>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</si>
  <si>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</si>
  <si>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</si>
  <si>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</si>
  <si>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</si>
  <si>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</si>
  <si>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</si>
  <si>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</si>
  <si>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</si>
  <si>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</si>
  <si>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</si>
  <si>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</si>
  <si>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</si>
  <si>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</si>
  <si>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</si>
  <si>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</si>
  <si>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</si>
  <si>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</si>
  <si>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</si>
  <si>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</si>
  <si>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</si>
  <si>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</si>
  <si>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</si>
  <si>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</si>
  <si>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</si>
  <si>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</si>
  <si>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</si>
  <si>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</si>
  <si>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</si>
  <si>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</si>
  <si>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</si>
  <si>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</si>
  <si>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</si>
  <si>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</si>
  <si>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</si>
  <si>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</si>
  <si>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</si>
  <si>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</si>
  <si>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</si>
  <si>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</si>
  <si>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</si>
  <si>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</si>
  <si>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</si>
  <si>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</si>
  <si>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</si>
  <si>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</si>
  <si>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</si>
  <si>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</si>
  <si>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</si>
  <si>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</si>
  <si>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</si>
  <si>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</si>
  <si>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</si>
  <si>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</si>
  <si>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</si>
  <si>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</si>
  <si>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</si>
  <si>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</si>
  <si>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</si>
  <si>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</si>
  <si>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</si>
  <si>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</si>
  <si>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</si>
  <si>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</si>
  <si>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</si>
  <si>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</si>
  <si>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</si>
  <si>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</si>
  <si>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</si>
  <si>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</si>
  <si>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</si>
  <si>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</si>
  <si>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</si>
  <si>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</si>
  <si>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</si>
  <si>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</si>
  <si>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</si>
  <si>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</si>
  <si>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</si>
  <si>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</si>
  <si>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</si>
  <si>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</si>
  <si>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</si>
  <si>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</si>
  <si>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</si>
  <si>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</si>
  <si>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</si>
  <si>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</si>
  <si>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</si>
  <si>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</si>
  <si>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</si>
  <si>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</si>
  <si>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</si>
  <si>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</si>
  <si>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</si>
  <si>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</si>
  <si>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</si>
  <si>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</si>
  <si>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</si>
  <si>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</si>
  <si>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</si>
  <si>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</si>
  <si>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</si>
  <si>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</si>
  <si>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りくと</t>
  </si>
  <si>
    <t>ただ</t>
  </si>
  <si>
    <t>ツモ支払</t>
  </si>
  <si>
    <t>ツモ</t>
  </si>
  <si>
    <t>*</t>
  </si>
  <si>
    <t>01</t>
  </si>
  <si>
    <t>52</t>
  </si>
  <si>
    <t>放銃</t>
  </si>
  <si>
    <t>ロン</t>
  </si>
  <si>
    <t>T</t>
  </si>
  <si>
    <t>N</t>
  </si>
  <si>
    <t>流局</t>
    <phoneticPr fontId="1"/>
  </si>
  <si>
    <t>流局</t>
    <phoneticPr fontId="1"/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</si>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</sst>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194</v>
      </c>
      <c r="L4" s="9">
        <v>-3000</v>
      </c>
      <c r="M4" s="9">
        <v>-1000</v>
      </c>
      <c r="N4" s="48">
        <v>0</v>
      </c>
      <c r="O4" s="21">
        <f>IF(COUNTA($F4,$K4,$P4)&gt;0,O3+SUM(L4:N4),"")</f>
        <v>31000</v>
      </c>
      <c r="P4" s="8" t="s">
        <v>195</v>
      </c>
      <c r="Q4" s="9">
        <v>8000</v>
      </c>
      <c r="R4" s="9">
        <v>1000</v>
      </c>
      <c r="S4" s="48">
        <v>0</v>
      </c>
      <c r="T4" s="21">
        <f>IF(COUNTA($F4,$K4,$P4)&gt;0,T3+SUM(Q4:S4),"")</f>
        <v>44000</v>
      </c>
      <c r="U4" s="53">
        <f>IF($J4="","",ROUND(($J4-$J$3)/1000,1)+(_xlfn.RANK.AVG($J4,($J4,$O4,$T4),1)-2)*20)</f>
        <v>-25</v>
      </c>
      <c r="V4" s="54">
        <f>IF($O4="","",ROUND(($O4-$O$3)/1000,1)+(_xlfn.RANK.AVG($O4,($J4,$O4,$T4),1)-2)*20)</f>
        <v>-4</v>
      </c>
      <c r="W4" s="55">
        <f>IF($T4="","",ROUND(($T4-$T$3)/1000,1)+(_xlfn.RANK.AVG($T4,($J4,$O4,$T4),1)-2)*20)</f>
        <v>29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196</v>
      </c>
      <c r="BU4" s="40" t="s">
        <v>82</v>
      </c>
      <c r="BV4" s="41" t="s">
        <v>86</v>
      </c>
      <c r="BW4" s="41" t="s">
        <v>86</v>
      </c>
      <c r="BX4" s="41" t="s">
        <v>86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195</v>
      </c>
      <c r="G5" s="9">
        <v>8000</v>
      </c>
      <c r="H5" s="9"/>
      <c r="I5" s="48">
        <v>0</v>
      </c>
      <c r="J5" s="21">
        <f t="shared" ref="J5:J30" si="2">IF(COUNTA($F5,$K5,$P5)&gt;0,J4+SUM(G5:I5),"")</f>
        <v>38000</v>
      </c>
      <c r="K5" s="8" t="s">
        <v>194</v>
      </c>
      <c r="L5" s="9">
        <v>-5000</v>
      </c>
      <c r="M5" s="9"/>
      <c r="N5" s="48">
        <v>0</v>
      </c>
      <c r="O5" s="21">
        <f t="shared" ref="O5:O30" si="3">IF(COUNTA($F5,$K5,$P5)&gt;0,O4+SUM(L5:N5),"")</f>
        <v>26000</v>
      </c>
      <c r="P5" s="8" t="s">
        <v>194</v>
      </c>
      <c r="Q5" s="9">
        <v>-3000</v>
      </c>
      <c r="R5" s="9"/>
      <c r="S5" s="48">
        <v>0</v>
      </c>
      <c r="T5" s="21">
        <f t="shared" ref="T5:T30" si="4">IF(COUNTA($F5,$K5,$P5)&gt;0,T4+SUM(Q5:S5),"")</f>
        <v>41000</v>
      </c>
      <c r="U5" s="53">
        <f>IF($J5="","",ROUND(($J5-$J$3)/1000,1)+(_xlfn.RANK.AVG($J5,($J5,$O5,$T5),1)-2)*20)</f>
        <v>3</v>
      </c>
      <c r="V5" s="54">
        <f>IF($O5="","",ROUND(($O5-$O$3)/1000,1)+(_xlfn.RANK.AVG($O5,($J5,$O5,$T5),1)-2)*20)</f>
        <v>-29</v>
      </c>
      <c r="W5" s="55">
        <f>IF($T5="","",ROUND(($T5-$T$3)/1000,1)+(_xlfn.RANK.AVG($T5,($J5,$O5,$T5),1)-2)*20)</f>
        <v>26</v>
      </c>
      <c r="Y5" s="8"/>
      <c r="Z5" s="34"/>
      <c r="AA5" s="26">
        <v>1</v>
      </c>
      <c r="AB5" s="26"/>
      <c r="AC5" s="26">
        <v>5</v>
      </c>
      <c r="AD5" s="30" t="s">
        <v>196</v>
      </c>
      <c r="AE5" s="40" t="s">
        <v>197</v>
      </c>
      <c r="AF5" s="41" t="s">
        <v>82</v>
      </c>
      <c r="AG5" s="41" t="s">
        <v>83</v>
      </c>
      <c r="AH5" s="41" t="s">
        <v>198</v>
      </c>
      <c r="AI5" s="41" t="s">
        <v>80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38000</v>
      </c>
      <c r="K6" s="8" t="s">
        <v>199</v>
      </c>
      <c r="L6" s="9">
        <v>-12000</v>
      </c>
      <c r="M6" s="9"/>
      <c r="N6" s="48">
        <v>0</v>
      </c>
      <c r="O6" s="21">
        <f t="shared" si="3"/>
        <v>14000</v>
      </c>
      <c r="P6" s="8" t="s">
        <v>200</v>
      </c>
      <c r="Q6" s="9">
        <v>12000</v>
      </c>
      <c r="R6" s="9"/>
      <c r="S6" s="48">
        <v>0</v>
      </c>
      <c r="T6" s="21">
        <f t="shared" si="4"/>
        <v>53000</v>
      </c>
      <c r="U6" s="53">
        <f>IF($J6="","",ROUND(($J6-$J$3)/1000,1)+(_xlfn.RANK.AVG($J6,($J6,$O6,$T6),1)-2)*20)</f>
        <v>3</v>
      </c>
      <c r="V6" s="54">
        <f>IF($O6="","",ROUND(($O6-$O$3)/1000,1)+(_xlfn.RANK.AVG($O6,($J6,$O6,$T6),1)-2)*20)</f>
        <v>-41</v>
      </c>
      <c r="W6" s="55">
        <f>IF($T6="","",ROUND(($T6-$T$3)/1000,1)+(_xlfn.RANK.AVG($T6,($J6,$O6,$T6),1)-2)*20)</f>
        <v>38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196</v>
      </c>
      <c r="BU6" s="40" t="s">
        <v>197</v>
      </c>
      <c r="BV6" s="41" t="s">
        <v>198</v>
      </c>
      <c r="BW6" s="41" t="s">
        <v>198</v>
      </c>
      <c r="BX6" s="41" t="s">
        <v>80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203</v>
      </c>
      <c r="G7" s="9">
        <v>1500</v>
      </c>
      <c r="H7" s="9"/>
      <c r="I7" s="48"/>
      <c r="J7" s="21">
        <f t="shared" si="2"/>
        <v>39500</v>
      </c>
      <c r="K7" s="8" t="s">
        <v>203</v>
      </c>
      <c r="L7" s="9">
        <v>1500</v>
      </c>
      <c r="M7" s="9">
        <v>-1000</v>
      </c>
      <c r="N7" s="48"/>
      <c r="O7" s="21">
        <f t="shared" si="3"/>
        <v>14500</v>
      </c>
      <c r="P7" s="8" t="s">
        <v>203</v>
      </c>
      <c r="Q7" s="9">
        <v>-3000</v>
      </c>
      <c r="R7" s="9"/>
      <c r="S7" s="48"/>
      <c r="T7" s="21">
        <f t="shared" si="4"/>
        <v>50000</v>
      </c>
      <c r="U7" s="53">
        <f>IF($J7="","",ROUND(($J7-$J$3)/1000,1)+(_xlfn.RANK.AVG($J7,($J7,$O7,$T7),1)-2)*20)</f>
        <v>4.5</v>
      </c>
      <c r="V7" s="54">
        <f>IF($O7="","",ROUND(($O7-$O$3)/1000,1)+(_xlfn.RANK.AVG($O7,($J7,$O7,$T7),1)-2)*20)</f>
        <v>-40.5</v>
      </c>
      <c r="W7" s="55">
        <f>IF($T7="","",ROUND(($T7-$T$3)/1000,1)+(_xlfn.RANK.AVG($T7,($J7,$O7,$T7),1)-2)*20)</f>
        <v>35</v>
      </c>
      <c r="Y7" s="8" t="s">
        <v>201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1</v>
      </c>
      <c r="E8" s="4" t="s">
        <v>191</v>
      </c>
      <c r="F8" s="8" t="s">
        <v>200</v>
      </c>
      <c r="G8" s="9">
        <v>2000</v>
      </c>
      <c r="H8" s="9">
        <v>1000</v>
      </c>
      <c r="I8" s="48">
        <v>2000</v>
      </c>
      <c r="J8" s="21">
        <f t="shared" si="2"/>
        <v>44500</v>
      </c>
      <c r="K8" s="8" t="s">
        <v>199</v>
      </c>
      <c r="L8" s="9">
        <v>-2000</v>
      </c>
      <c r="M8" s="9"/>
      <c r="N8" s="48">
        <v>-2000</v>
      </c>
      <c r="O8" s="21">
        <f t="shared" si="3"/>
        <v>10500</v>
      </c>
      <c r="P8" s="8"/>
      <c r="Q8" s="9"/>
      <c r="R8" s="9"/>
      <c r="S8" s="48"/>
      <c r="T8" s="21">
        <f t="shared" si="4"/>
        <v>50000</v>
      </c>
      <c r="U8" s="53">
        <f>IF($J8="","",ROUND(($J8-$J$3)/1000,1)+(_xlfn.RANK.AVG($J8,($J8,$O8,$T8),1)-2)*20)</f>
        <v>9.5</v>
      </c>
      <c r="V8" s="54">
        <f>IF($O8="","",ROUND(($O8-$O$3)/1000,1)+(_xlfn.RANK.AVG($O8,($J8,$O8,$T8),1)-2)*20)</f>
        <v>-44.5</v>
      </c>
      <c r="W8" s="55">
        <f>IF($T8="","",ROUND(($T8-$T$3)/1000,1)+(_xlfn.RANK.AVG($T8,($J8,$O8,$T8),1)-2)*20)</f>
        <v>35</v>
      </c>
      <c r="Y8" s="8"/>
      <c r="Z8" s="34"/>
      <c r="AA8" s="26"/>
      <c r="AB8" s="26"/>
      <c r="AC8" s="26">
        <v>1</v>
      </c>
      <c r="AD8" s="30">
        <v>40</v>
      </c>
      <c r="AE8" s="40" t="s">
        <v>84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44500</v>
      </c>
      <c r="K9" s="8" t="s">
        <v>199</v>
      </c>
      <c r="L9" s="9">
        <v>-12000</v>
      </c>
      <c r="M9" s="9"/>
      <c r="N9" s="48">
        <v>-3000</v>
      </c>
      <c r="O9" s="21">
        <f t="shared" si="3"/>
        <v>-4500</v>
      </c>
      <c r="P9" s="8" t="s">
        <v>200</v>
      </c>
      <c r="Q9" s="9">
        <v>12000</v>
      </c>
      <c r="R9" s="9"/>
      <c r="S9" s="48">
        <v>3000</v>
      </c>
      <c r="T9" s="21">
        <f t="shared" si="4"/>
        <v>65000</v>
      </c>
      <c r="U9" s="53">
        <f>IF($J9="","",ROUND(($J9-$J$3)/1000,1)+(_xlfn.RANK.AVG($J9,($J9,$O9,$T9),1)-2)*20)</f>
        <v>9.5</v>
      </c>
      <c r="V9" s="54">
        <f>IF($O9="","",ROUND(($O9-$O$3)/1000,1)+(_xlfn.RANK.AVG($O9,($J9,$O9,$T9),1)-2)*20)</f>
        <v>-59.5</v>
      </c>
      <c r="W9" s="55">
        <f>IF($T9="","",ROUND(($T9-$T$3)/1000,1)+(_xlfn.RANK.AVG($T9,($J9,$O9,$T9),1)-2)*20)</f>
        <v>50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7</v>
      </c>
      <c r="BT9" s="30" t="s">
        <v>196</v>
      </c>
      <c r="BU9" s="40" t="s">
        <v>86</v>
      </c>
      <c r="BV9" s="41" t="s">
        <v>86</v>
      </c>
      <c r="BW9" s="41" t="s">
        <v>96</v>
      </c>
      <c r="BX9" s="41" t="s">
        <v>104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6AE3CA9-CC7D-4BF1-8EC0-626B752F6782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EBB56-F95C-4F23-8E47-1A48F3853A5D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199</v>
      </c>
      <c r="G4" s="9">
        <v>-24000</v>
      </c>
      <c r="H4" s="9"/>
      <c r="I4" s="48">
        <v>0</v>
      </c>
      <c r="J4" s="21">
        <f>IF(COUNTA($F4,$K4,$P4)&gt;0,J3+SUM(G4:I4),"")</f>
        <v>11000</v>
      </c>
      <c r="K4" s="8" t="s">
        <v>200</v>
      </c>
      <c r="L4" s="9">
        <v>24000</v>
      </c>
      <c r="M4" s="9"/>
      <c r="N4" s="48">
        <v>0</v>
      </c>
      <c r="O4" s="21">
        <f>IF(COUNTA($F4,$K4,$P4)&gt;0,O3+SUM(L4:N4),"")</f>
        <v>59000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-44</v>
      </c>
      <c r="V4" s="54">
        <f>IF($O4="","",ROUND(($O4-$O$3)/1000,1)+(_xlfn.RANK.AVG($O4,($J4,$O4,$T4),1)-2)*20)</f>
        <v>44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9</v>
      </c>
      <c r="AY4" s="30" t="s">
        <v>196</v>
      </c>
      <c r="AZ4" s="40" t="s">
        <v>104</v>
      </c>
      <c r="BA4" s="41" t="s">
        <v>86</v>
      </c>
      <c r="BB4" s="41" t="s">
        <v>86</v>
      </c>
      <c r="BC4" s="41" t="s">
        <v>79</v>
      </c>
      <c r="BD4" s="41" t="s">
        <v>79</v>
      </c>
      <c r="BE4" s="41" t="s">
        <v>79</v>
      </c>
      <c r="BF4" s="41" t="s">
        <v>98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-3000</v>
      </c>
      <c r="H5" s="9"/>
      <c r="I5" s="48">
        <v>-500</v>
      </c>
      <c r="J5" s="21">
        <f t="shared" ref="J5:J30" si="2">IF(COUNTA($F5,$K5,$P5)&gt;0,J4+SUM(G5:I5),"")</f>
        <v>7500</v>
      </c>
      <c r="K5" s="8" t="s">
        <v>195</v>
      </c>
      <c r="L5" s="9">
        <v>6000</v>
      </c>
      <c r="M5" s="9"/>
      <c r="N5" s="48">
        <v>1000</v>
      </c>
      <c r="O5" s="21">
        <f t="shared" ref="O5:O30" si="3">IF(COUNTA($F5,$K5,$P5)&gt;0,O4+SUM(L5:N5),"")</f>
        <v>66000</v>
      </c>
      <c r="P5" s="8" t="s">
        <v>194</v>
      </c>
      <c r="Q5" s="9">
        <v>-3000</v>
      </c>
      <c r="R5" s="9"/>
      <c r="S5" s="48">
        <v>-500</v>
      </c>
      <c r="T5" s="21">
        <f t="shared" ref="T5:T30" si="4">IF(COUNTA($F5,$K5,$P5)&gt;0,T4+SUM(Q5:S5),"")</f>
        <v>31500</v>
      </c>
      <c r="U5" s="53">
        <f>IF($J5="","",ROUND(($J5-$J$3)/1000,1)+(_xlfn.RANK.AVG($J5,($J5,$O5,$T5),1)-2)*20)</f>
        <v>-47.5</v>
      </c>
      <c r="V5" s="54">
        <f>IF($O5="","",ROUND(($O5-$O$3)/1000,1)+(_xlfn.RANK.AVG($O5,($J5,$O5,$T5),1)-2)*20)</f>
        <v>51</v>
      </c>
      <c r="W5" s="55">
        <f>IF($T5="","",ROUND(($T5-$T$3)/1000,1)+(_xlfn.RANK.AVG($T5,($J5,$O5,$T5),1)-2)*20)</f>
        <v>-3.5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197</v>
      </c>
      <c r="BA5" s="41" t="s">
        <v>82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192</v>
      </c>
      <c r="F6" s="8" t="s">
        <v>199</v>
      </c>
      <c r="G6" s="9">
        <v>-5800</v>
      </c>
      <c r="H6" s="9"/>
      <c r="I6" s="48">
        <v>-2000</v>
      </c>
      <c r="J6" s="21">
        <f t="shared" si="2"/>
        <v>-300</v>
      </c>
      <c r="K6" s="8" t="s">
        <v>200</v>
      </c>
      <c r="L6" s="9">
        <v>5800</v>
      </c>
      <c r="M6" s="9"/>
      <c r="N6" s="48">
        <v>2000</v>
      </c>
      <c r="O6" s="21">
        <f t="shared" si="3"/>
        <v>73800</v>
      </c>
      <c r="P6" s="8"/>
      <c r="Q6" s="9"/>
      <c r="R6" s="9"/>
      <c r="S6" s="48"/>
      <c r="T6" s="21">
        <f t="shared" si="4"/>
        <v>31500</v>
      </c>
      <c r="U6" s="53">
        <f>IF($J6="","",ROUND(($J6-$J$3)/1000,1)+(_xlfn.RANK.AVG($J6,($J6,$O6,$T6),1)-2)*20)</f>
        <v>-55.3</v>
      </c>
      <c r="V6" s="54">
        <f>IF($O6="","",ROUND(($O6-$O$3)/1000,1)+(_xlfn.RANK.AVG($O6,($J6,$O6,$T6),1)-2)*20)</f>
        <v>58.8</v>
      </c>
      <c r="W6" s="55">
        <f>IF($T6="","",ROUND(($T6-$T$3)/1000,1)+(_xlfn.RANK.AVG($T6,($J6,$O6,$T6),1)-2)*20)</f>
        <v>-3.5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30</v>
      </c>
      <c r="AZ6" s="40" t="s">
        <v>197</v>
      </c>
      <c r="BA6" s="41" t="s">
        <v>83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06CBE55B-0875-4707-B69F-CC05298D660B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5AF97D69-AB9C-4787-9D1A-06B34DA60EF3}">
      <formula1>"ロン,ツモ,放銃,ツモ支払,流局,チョンボ"</formula1>
    </dataValidation>
    <dataValidation type="list" allowBlank="1" showInputMessage="1" showErrorMessage="1" sqref="E4:E30" xr:uid="{579D04A4-E6B5-48CB-8943-B87A17530FA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432C6-62AF-47DD-ADCB-7682FCF9E305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-3000</v>
      </c>
      <c r="H4" s="9">
        <v>-1000</v>
      </c>
      <c r="I4" s="48">
        <v>0</v>
      </c>
      <c r="J4" s="21">
        <f>IF(COUNTA($F4,$K4,$P4)&gt;0,J3+SUM(G4:I4),"")</f>
        <v>31000</v>
      </c>
      <c r="K4" s="8" t="s">
        <v>194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195</v>
      </c>
      <c r="Q4" s="9">
        <v>6000</v>
      </c>
      <c r="R4" s="9">
        <v>1000</v>
      </c>
      <c r="S4" s="48">
        <v>0</v>
      </c>
      <c r="T4" s="21">
        <f>IF(COUNTA($F4,$K4,$P4)&gt;0,T3+SUM(Q4:S4),"")</f>
        <v>42000</v>
      </c>
      <c r="U4" s="53">
        <f>IF($J4="","",ROUND(($J4-$J$3)/1000,1)+(_xlfn.RANK.AVG($J4,($J4,$O4,$T4),1)-2)*20)</f>
        <v>-24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27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98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31000</v>
      </c>
      <c r="K5" s="8" t="s">
        <v>199</v>
      </c>
      <c r="L5" s="9">
        <v>-24000</v>
      </c>
      <c r="M5" s="9"/>
      <c r="N5" s="48">
        <v>-1000</v>
      </c>
      <c r="O5" s="21">
        <f t="shared" ref="O5:O30" si="3">IF(COUNTA($F5,$K5,$P5)&gt;0,O4+SUM(L5:N5),"")</f>
        <v>7000</v>
      </c>
      <c r="P5" s="8" t="s">
        <v>200</v>
      </c>
      <c r="Q5" s="9">
        <v>24000</v>
      </c>
      <c r="R5" s="9"/>
      <c r="S5" s="48">
        <v>1000</v>
      </c>
      <c r="T5" s="21">
        <f t="shared" ref="T5:T30" si="4">IF(COUNTA($F5,$K5,$P5)&gt;0,T4+SUM(Q5:S5),"")</f>
        <v>67000</v>
      </c>
      <c r="U5" s="53">
        <f>IF($J5="","",ROUND(($J5-$J$3)/1000,1)+(_xlfn.RANK.AVG($J5,($J5,$O5,$T5),1)-2)*20)</f>
        <v>-4</v>
      </c>
      <c r="V5" s="54">
        <f>IF($O5="","",ROUND(($O5-$O$3)/1000,1)+(_xlfn.RANK.AVG($O5,($J5,$O5,$T5),1)-2)*20)</f>
        <v>-48</v>
      </c>
      <c r="W5" s="55">
        <f>IF($T5="","",ROUND(($T5-$T$3)/1000,1)+(_xlfn.RANK.AVG($T5,($J5,$O5,$T5),1)-2)*20)</f>
        <v>52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196</v>
      </c>
      <c r="BU5" s="40" t="s">
        <v>197</v>
      </c>
      <c r="BV5" s="41" t="s">
        <v>84</v>
      </c>
      <c r="BW5" s="41" t="s">
        <v>79</v>
      </c>
      <c r="BX5" s="41" t="s">
        <v>80</v>
      </c>
      <c r="BY5" s="41" t="s">
        <v>80</v>
      </c>
      <c r="BZ5" s="41" t="s">
        <v>198</v>
      </c>
      <c r="CA5" s="41" t="s">
        <v>198</v>
      </c>
      <c r="CB5" s="41" t="s">
        <v>85</v>
      </c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 t="s">
        <v>199</v>
      </c>
      <c r="G6" s="9">
        <v>-1500</v>
      </c>
      <c r="H6" s="9"/>
      <c r="I6" s="48">
        <v>-2000</v>
      </c>
      <c r="J6" s="21">
        <f t="shared" si="2"/>
        <v>27500</v>
      </c>
      <c r="K6" s="8"/>
      <c r="L6" s="9"/>
      <c r="M6" s="9"/>
      <c r="N6" s="48"/>
      <c r="O6" s="21">
        <f t="shared" si="3"/>
        <v>7000</v>
      </c>
      <c r="P6" s="8" t="s">
        <v>200</v>
      </c>
      <c r="Q6" s="9">
        <v>1500</v>
      </c>
      <c r="R6" s="9"/>
      <c r="S6" s="48">
        <v>2000</v>
      </c>
      <c r="T6" s="21">
        <f t="shared" si="4"/>
        <v>70500</v>
      </c>
      <c r="U6" s="53">
        <f>IF($J6="","",ROUND(($J6-$J$3)/1000,1)+(_xlfn.RANK.AVG($J6,($J6,$O6,$T6),1)-2)*20)</f>
        <v>-7.5</v>
      </c>
      <c r="V6" s="54">
        <f>IF($O6="","",ROUND(($O6-$O$3)/1000,1)+(_xlfn.RANK.AVG($O6,($J6,$O6,$T6),1)-2)*20)</f>
        <v>-48</v>
      </c>
      <c r="W6" s="55">
        <f>IF($T6="","",ROUND(($T6-$T$3)/1000,1)+(_xlfn.RANK.AVG($T6,($J6,$O6,$T6),1)-2)*20)</f>
        <v>55.5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30</v>
      </c>
      <c r="BU6" s="40" t="s">
        <v>83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27500</v>
      </c>
      <c r="K7" s="8" t="s">
        <v>200</v>
      </c>
      <c r="L7" s="9">
        <v>5200</v>
      </c>
      <c r="M7" s="9"/>
      <c r="N7" s="48">
        <v>3000</v>
      </c>
      <c r="O7" s="21">
        <f t="shared" si="3"/>
        <v>15200</v>
      </c>
      <c r="P7" s="8" t="s">
        <v>199</v>
      </c>
      <c r="Q7" s="9">
        <v>-5200</v>
      </c>
      <c r="R7" s="9"/>
      <c r="S7" s="48">
        <v>-3000</v>
      </c>
      <c r="T7" s="21">
        <f t="shared" si="4"/>
        <v>62300</v>
      </c>
      <c r="U7" s="53">
        <f>IF($J7="","",ROUND(($J7-$J$3)/1000,1)+(_xlfn.RANK.AVG($J7,($J7,$O7,$T7),1)-2)*20)</f>
        <v>-7.5</v>
      </c>
      <c r="V7" s="54">
        <f>IF($O7="","",ROUND(($O7-$O$3)/1000,1)+(_xlfn.RANK.AVG($O7,($J7,$O7,$T7),1)-2)*20)</f>
        <v>-39.799999999999997</v>
      </c>
      <c r="W7" s="55">
        <f>IF($T7="","",ROUND(($T7-$T$3)/1000,1)+(_xlfn.RANK.AVG($T7,($J7,$O7,$T7),1)-2)*20)</f>
        <v>47.3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40</v>
      </c>
      <c r="AZ7" s="40" t="s">
        <v>86</v>
      </c>
      <c r="BA7" s="41" t="s">
        <v>104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204</v>
      </c>
      <c r="G8" s="9">
        <v>3000</v>
      </c>
      <c r="H8" s="9">
        <v>-1000</v>
      </c>
      <c r="I8" s="48"/>
      <c r="J8" s="21">
        <f t="shared" si="2"/>
        <v>29500</v>
      </c>
      <c r="K8" s="8" t="s">
        <v>204</v>
      </c>
      <c r="L8" s="9">
        <v>-1500</v>
      </c>
      <c r="M8" s="9"/>
      <c r="N8" s="48"/>
      <c r="O8" s="21">
        <f t="shared" si="3"/>
        <v>13700</v>
      </c>
      <c r="P8" s="8" t="s">
        <v>204</v>
      </c>
      <c r="Q8" s="9">
        <v>-1500</v>
      </c>
      <c r="R8" s="9"/>
      <c r="S8" s="48"/>
      <c r="T8" s="21">
        <f t="shared" si="4"/>
        <v>60800</v>
      </c>
      <c r="U8" s="53">
        <f>IF($J8="","",ROUND(($J8-$J$3)/1000,1)+(_xlfn.RANK.AVG($J8,($J8,$O8,$T8),1)-2)*20)</f>
        <v>-5.5</v>
      </c>
      <c r="V8" s="54">
        <f>IF($O8="","",ROUND(($O8-$O$3)/1000,1)+(_xlfn.RANK.AVG($O8,($J8,$O8,$T8),1)-2)*20)</f>
        <v>-41.3</v>
      </c>
      <c r="W8" s="55">
        <f>IF($T8="","",ROUND(($T8-$T$3)/1000,1)+(_xlfn.RANK.AVG($T8,($J8,$O8,$T8),1)-2)*20)</f>
        <v>45.8</v>
      </c>
      <c r="Y8" s="8" t="s">
        <v>201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191</v>
      </c>
      <c r="F9" s="8" t="s">
        <v>194</v>
      </c>
      <c r="G9" s="9">
        <v>-4800</v>
      </c>
      <c r="H9" s="9"/>
      <c r="I9" s="48">
        <v>-500</v>
      </c>
      <c r="J9" s="21">
        <f t="shared" si="2"/>
        <v>24200</v>
      </c>
      <c r="K9" s="8" t="s">
        <v>195</v>
      </c>
      <c r="L9" s="9">
        <v>7700</v>
      </c>
      <c r="M9" s="9">
        <v>1000</v>
      </c>
      <c r="N9" s="48">
        <v>1000</v>
      </c>
      <c r="O9" s="21">
        <f t="shared" si="3"/>
        <v>23400</v>
      </c>
      <c r="P9" s="8" t="s">
        <v>194</v>
      </c>
      <c r="Q9" s="9">
        <v>-2900</v>
      </c>
      <c r="R9" s="9"/>
      <c r="S9" s="48">
        <v>-500</v>
      </c>
      <c r="T9" s="21">
        <f t="shared" si="4"/>
        <v>57400</v>
      </c>
      <c r="U9" s="53">
        <f>IF($J9="","",ROUND(($J9-$J$3)/1000,1)+(_xlfn.RANK.AVG($J9,($J9,$O9,$T9),1)-2)*20)</f>
        <v>-10.8</v>
      </c>
      <c r="V9" s="54">
        <f>IF($O9="","",ROUND(($O9-$O$3)/1000,1)+(_xlfn.RANK.AVG($O9,($J9,$O9,$T9),1)-2)*20)</f>
        <v>-31.6</v>
      </c>
      <c r="W9" s="55">
        <f>IF($T9="","",ROUND(($T9-$T$3)/1000,1)+(_xlfn.RANK.AVG($T9,($J9,$O9,$T9),1)-2)*20)</f>
        <v>42.4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198</v>
      </c>
      <c r="BB9" s="41" t="s">
        <v>198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192</v>
      </c>
      <c r="F10" s="8"/>
      <c r="G10" s="9"/>
      <c r="H10" s="9"/>
      <c r="I10" s="48"/>
      <c r="J10" s="21">
        <f t="shared" si="2"/>
        <v>24200</v>
      </c>
      <c r="K10" s="8" t="s">
        <v>200</v>
      </c>
      <c r="L10" s="9">
        <v>2000</v>
      </c>
      <c r="M10" s="9"/>
      <c r="N10" s="48">
        <v>0</v>
      </c>
      <c r="O10" s="21">
        <f t="shared" si="3"/>
        <v>25400</v>
      </c>
      <c r="P10" s="8" t="s">
        <v>199</v>
      </c>
      <c r="Q10" s="9">
        <v>-2000</v>
      </c>
      <c r="R10" s="9"/>
      <c r="S10" s="48">
        <v>0</v>
      </c>
      <c r="T10" s="21">
        <f t="shared" si="4"/>
        <v>55400</v>
      </c>
      <c r="U10" s="53">
        <f>IF($J10="","",ROUND(($J10-$J$3)/1000,1)+(_xlfn.RANK.AVG($J10,($J10,$O10,$T10),1)-2)*20)</f>
        <v>-30.8</v>
      </c>
      <c r="V10" s="54">
        <f>IF($O10="","",ROUND(($O10-$O$3)/1000,1)+(_xlfn.RANK.AVG($O10,($J10,$O10,$T10),1)-2)*20)</f>
        <v>-9.6</v>
      </c>
      <c r="W10" s="55">
        <f>IF($T10="","",ROUND(($T10-$T$3)/1000,1)+(_xlfn.RANK.AVG($T10,($J10,$O10,$T10),1)-2)*20)</f>
        <v>40.4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40</v>
      </c>
      <c r="AZ10" s="40" t="s">
        <v>84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192</v>
      </c>
      <c r="F11" s="8" t="s">
        <v>195</v>
      </c>
      <c r="G11" s="9">
        <v>8000</v>
      </c>
      <c r="H11" s="9">
        <v>1000</v>
      </c>
      <c r="I11" s="48">
        <v>1000</v>
      </c>
      <c r="J11" s="21">
        <f t="shared" si="2"/>
        <v>34200</v>
      </c>
      <c r="K11" s="8" t="s">
        <v>194</v>
      </c>
      <c r="L11" s="9">
        <v>-5000</v>
      </c>
      <c r="M11" s="9">
        <v>-1000</v>
      </c>
      <c r="N11" s="48">
        <v>-500</v>
      </c>
      <c r="O11" s="21">
        <f t="shared" si="3"/>
        <v>18900</v>
      </c>
      <c r="P11" s="8" t="s">
        <v>194</v>
      </c>
      <c r="Q11" s="9">
        <v>-3000</v>
      </c>
      <c r="R11" s="9"/>
      <c r="S11" s="48">
        <v>-500</v>
      </c>
      <c r="T11" s="21">
        <f t="shared" si="4"/>
        <v>51900</v>
      </c>
      <c r="U11" s="53">
        <f>IF($J11="","",ROUND(($J11-$J$3)/1000,1)+(_xlfn.RANK.AVG($J11,($J11,$O11,$T11),1)-2)*20)</f>
        <v>-0.8</v>
      </c>
      <c r="V11" s="54">
        <f>IF($O11="","",ROUND(($O11-$O$3)/1000,1)+(_xlfn.RANK.AVG($O11,($J11,$O11,$T11),1)-2)*20)</f>
        <v>-36.1</v>
      </c>
      <c r="W11" s="55">
        <f>IF($T11="","",ROUND(($T11-$T$3)/1000,1)+(_xlfn.RANK.AVG($T11,($J11,$O11,$T11),1)-2)*20)</f>
        <v>36.9</v>
      </c>
      <c r="Y11" s="8"/>
      <c r="Z11" s="34"/>
      <c r="AA11" s="26">
        <v>1</v>
      </c>
      <c r="AB11" s="26"/>
      <c r="AC11" s="26">
        <v>5</v>
      </c>
      <c r="AD11" s="30" t="s">
        <v>196</v>
      </c>
      <c r="AE11" s="40" t="s">
        <v>197</v>
      </c>
      <c r="AF11" s="41" t="s">
        <v>82</v>
      </c>
      <c r="AG11" s="41" t="s">
        <v>84</v>
      </c>
      <c r="AH11" s="41" t="s">
        <v>79</v>
      </c>
      <c r="AI11" s="41" t="s">
        <v>79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200</v>
      </c>
      <c r="G12" s="9">
        <v>2600</v>
      </c>
      <c r="H12" s="9"/>
      <c r="I12" s="48">
        <v>0</v>
      </c>
      <c r="J12" s="21">
        <f t="shared" si="2"/>
        <v>36800</v>
      </c>
      <c r="K12" s="8" t="s">
        <v>199</v>
      </c>
      <c r="L12" s="9">
        <v>-2600</v>
      </c>
      <c r="M12" s="9"/>
      <c r="N12" s="48">
        <v>0</v>
      </c>
      <c r="O12" s="21">
        <f t="shared" si="3"/>
        <v>16300</v>
      </c>
      <c r="P12" s="8"/>
      <c r="Q12" s="9"/>
      <c r="R12" s="9"/>
      <c r="S12" s="48"/>
      <c r="T12" s="21">
        <f t="shared" si="4"/>
        <v>51900</v>
      </c>
      <c r="U12" s="53">
        <f>IF($J12="","",ROUND(($J12-$J$3)/1000,1)+(_xlfn.RANK.AVG($J12,($J12,$O12,$T12),1)-2)*20)</f>
        <v>1.8</v>
      </c>
      <c r="V12" s="54">
        <f>IF($O12="","",ROUND(($O12-$O$3)/1000,1)+(_xlfn.RANK.AVG($O12,($J12,$O12,$T12),1)-2)*20)</f>
        <v>-38.700000000000003</v>
      </c>
      <c r="W12" s="55">
        <f>IF($T12="","",ROUND(($T12-$T$3)/1000,1)+(_xlfn.RANK.AVG($T12,($J12,$O12,$T12),1)-2)*20)</f>
        <v>36.9</v>
      </c>
      <c r="Y12" s="8"/>
      <c r="Z12" s="34"/>
      <c r="AA12" s="26">
        <v>1</v>
      </c>
      <c r="AB12" s="26"/>
      <c r="AC12" s="26">
        <v>2</v>
      </c>
      <c r="AD12" s="30">
        <v>40</v>
      </c>
      <c r="AE12" s="40" t="s">
        <v>197</v>
      </c>
      <c r="AF12" s="41" t="s">
        <v>80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195</v>
      </c>
      <c r="G13" s="9">
        <v>12000</v>
      </c>
      <c r="H13" s="9"/>
      <c r="I13" s="48">
        <v>0</v>
      </c>
      <c r="J13" s="21">
        <f t="shared" si="2"/>
        <v>48800</v>
      </c>
      <c r="K13" s="8" t="s">
        <v>194</v>
      </c>
      <c r="L13" s="9">
        <v>-6000</v>
      </c>
      <c r="M13" s="9"/>
      <c r="N13" s="48">
        <v>0</v>
      </c>
      <c r="O13" s="21">
        <f t="shared" si="3"/>
        <v>10300</v>
      </c>
      <c r="P13" s="8" t="s">
        <v>194</v>
      </c>
      <c r="Q13" s="9">
        <v>-6000</v>
      </c>
      <c r="R13" s="9"/>
      <c r="S13" s="48">
        <v>0</v>
      </c>
      <c r="T13" s="21">
        <f t="shared" si="4"/>
        <v>45900</v>
      </c>
      <c r="U13" s="53">
        <f>IF($J13="","",ROUND(($J13-$J$3)/1000,1)+(_xlfn.RANK.AVG($J13,($J13,$O13,$T13),1)-2)*20)</f>
        <v>33.799999999999997</v>
      </c>
      <c r="V13" s="54">
        <f>IF($O13="","",ROUND(($O13-$O$3)/1000,1)+(_xlfn.RANK.AVG($O13,($J13,$O13,$T13),1)-2)*20)</f>
        <v>-44.7</v>
      </c>
      <c r="W13" s="55">
        <f>IF($T13="","",ROUND(($T13-$T$3)/1000,1)+(_xlfn.RANK.AVG($T13,($J13,$O13,$T13),1)-2)*20)</f>
        <v>10.9</v>
      </c>
      <c r="Y13" s="8"/>
      <c r="Z13" s="34"/>
      <c r="AA13" s="26">
        <v>1</v>
      </c>
      <c r="AB13" s="26"/>
      <c r="AC13" s="26">
        <v>5</v>
      </c>
      <c r="AD13" s="30" t="s">
        <v>196</v>
      </c>
      <c r="AE13" s="40" t="s">
        <v>197</v>
      </c>
      <c r="AF13" s="41" t="s">
        <v>82</v>
      </c>
      <c r="AG13" s="41" t="s">
        <v>84</v>
      </c>
      <c r="AH13" s="41" t="s">
        <v>85</v>
      </c>
      <c r="AI13" s="41" t="s">
        <v>79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191</v>
      </c>
      <c r="F14" s="8"/>
      <c r="G14" s="9"/>
      <c r="H14" s="9">
        <v>-1000</v>
      </c>
      <c r="I14" s="48"/>
      <c r="J14" s="21">
        <f t="shared" si="2"/>
        <v>47800</v>
      </c>
      <c r="K14" s="8" t="s">
        <v>200</v>
      </c>
      <c r="L14" s="9">
        <v>8000</v>
      </c>
      <c r="M14" s="9">
        <v>1000</v>
      </c>
      <c r="N14" s="48">
        <v>1000</v>
      </c>
      <c r="O14" s="21">
        <f t="shared" si="3"/>
        <v>20300</v>
      </c>
      <c r="P14" s="8" t="s">
        <v>199</v>
      </c>
      <c r="Q14" s="9">
        <v>-8000</v>
      </c>
      <c r="R14" s="9"/>
      <c r="S14" s="48">
        <v>-1000</v>
      </c>
      <c r="T14" s="21">
        <f t="shared" si="4"/>
        <v>36900</v>
      </c>
      <c r="U14" s="53">
        <f>IF($J14="","",ROUND(($J14-$J$3)/1000,1)+(_xlfn.RANK.AVG($J14,($J14,$O14,$T14),1)-2)*20)</f>
        <v>32.799999999999997</v>
      </c>
      <c r="V14" s="54">
        <f>IF($O14="","",ROUND(($O14-$O$3)/1000,1)+(_xlfn.RANK.AVG($O14,($J14,$O14,$T14),1)-2)*20)</f>
        <v>-34.700000000000003</v>
      </c>
      <c r="W14" s="55">
        <f>IF($T14="","",ROUND(($T14-$T$3)/1000,1)+(_xlfn.RANK.AVG($T14,($J14,$O14,$T14),1)-2)*20)</f>
        <v>1.9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5</v>
      </c>
      <c r="AY14" s="30" t="s">
        <v>196</v>
      </c>
      <c r="AZ14" s="40" t="s">
        <v>197</v>
      </c>
      <c r="BA14" s="41" t="s">
        <v>83</v>
      </c>
      <c r="BB14" s="41" t="s">
        <v>79</v>
      </c>
      <c r="BC14" s="41" t="s">
        <v>198</v>
      </c>
      <c r="BD14" s="41" t="s">
        <v>80</v>
      </c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192</v>
      </c>
      <c r="F15" s="8" t="s">
        <v>194</v>
      </c>
      <c r="G15" s="9">
        <v>-800</v>
      </c>
      <c r="H15" s="9">
        <v>-1000</v>
      </c>
      <c r="I15" s="48">
        <v>0</v>
      </c>
      <c r="J15" s="21">
        <f t="shared" si="2"/>
        <v>46000</v>
      </c>
      <c r="K15" s="8" t="s">
        <v>194</v>
      </c>
      <c r="L15" s="9">
        <v>-1300</v>
      </c>
      <c r="M15" s="9"/>
      <c r="N15" s="48">
        <v>0</v>
      </c>
      <c r="O15" s="21">
        <f t="shared" si="3"/>
        <v>19000</v>
      </c>
      <c r="P15" s="8" t="s">
        <v>195</v>
      </c>
      <c r="Q15" s="9">
        <v>2100</v>
      </c>
      <c r="R15" s="9">
        <v>1000</v>
      </c>
      <c r="S15" s="48">
        <v>0</v>
      </c>
      <c r="T15" s="21">
        <f t="shared" si="4"/>
        <v>40000</v>
      </c>
      <c r="U15" s="53">
        <f>IF($J15="","",ROUND(($J15-$J$3)/1000,1)+(_xlfn.RANK.AVG($J15,($J15,$O15,$T15),1)-2)*20)</f>
        <v>31</v>
      </c>
      <c r="V15" s="54">
        <f>IF($O15="","",ROUND(($O15-$O$3)/1000,1)+(_xlfn.RANK.AVG($O15,($J15,$O15,$T15),1)-2)*20)</f>
        <v>-36</v>
      </c>
      <c r="W15" s="55">
        <f>IF($T15="","",ROUND(($T15-$T$3)/1000,1)+(_xlfn.RANK.AVG($T15,($J15,$O15,$T15),1)-2)*20)</f>
        <v>5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>
        <v>2</v>
      </c>
      <c r="BT15" s="30">
        <v>30</v>
      </c>
      <c r="BU15" s="40" t="s">
        <v>82</v>
      </c>
      <c r="BV15" s="41" t="s">
        <v>79</v>
      </c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4A79805F-35A1-46A0-BA5E-6E95A75855A7}">
      <formula1>$U$2:$W$2</formula1>
    </dataValidation>
    <dataValidation type="list" showInputMessage="1" showErrorMessage="1" sqref="K4:K30 P4:P30 F4:F30" xr:uid="{0C8E6436-26B9-4A7D-9C3C-92FFB946B92F}">
      <formula1>"ロン,ツモ,放銃,ツモ支払,流局,チョンボ"</formula1>
    </dataValidation>
    <dataValidation type="list" allowBlank="1" showInputMessage="1" sqref="F1:T1" xr:uid="{9D32D985-E9D5-4856-B896-36A318530D00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FA964-42C2-489F-B6A7-9444D6AAFF3F}">
  <sheetPr codeName="Sheet13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199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-32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196</v>
      </c>
      <c r="AZ4" s="40" t="s">
        <v>79</v>
      </c>
      <c r="BA4" s="41" t="s">
        <v>79</v>
      </c>
      <c r="BB4" s="41" t="s">
        <v>79</v>
      </c>
      <c r="BC4" s="41" t="s">
        <v>198</v>
      </c>
      <c r="BD4" s="41" t="s">
        <v>84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199</v>
      </c>
      <c r="L5" s="9">
        <v>-8000</v>
      </c>
      <c r="M5" s="9"/>
      <c r="N5" s="48">
        <v>-1000</v>
      </c>
      <c r="O5" s="21">
        <f t="shared" ref="O5:O30" si="3">IF(COUNTA($F5,$K5,$P5)&gt;0,O4+SUM(L5:N5),"")</f>
        <v>38000</v>
      </c>
      <c r="P5" s="8" t="s">
        <v>200</v>
      </c>
      <c r="Q5" s="9">
        <v>8000</v>
      </c>
      <c r="R5" s="9"/>
      <c r="S5" s="48">
        <v>1000</v>
      </c>
      <c r="T5" s="21">
        <f t="shared" ref="T5:T30" si="4">IF(COUNTA($F5,$K5,$P5)&gt;0,T4+SUM(Q5:S5),"")</f>
        <v>32000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23</v>
      </c>
      <c r="W5" s="55">
        <f>IF($T5="","",ROUND(($T5-$T$3)/1000,1)+(_xlfn.RANK.AVG($T5,($J5,$O5,$T5),1)-2)*20)</f>
        <v>-23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197</v>
      </c>
      <c r="BV5" s="41" t="s">
        <v>79</v>
      </c>
      <c r="BW5" s="41" t="s">
        <v>79</v>
      </c>
      <c r="BX5" s="41" t="s">
        <v>85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204</v>
      </c>
      <c r="G6" s="9">
        <v>1500</v>
      </c>
      <c r="H6" s="9"/>
      <c r="I6" s="48"/>
      <c r="J6" s="21">
        <f t="shared" si="2"/>
        <v>36500</v>
      </c>
      <c r="K6" s="8" t="s">
        <v>204</v>
      </c>
      <c r="L6" s="9">
        <v>1500</v>
      </c>
      <c r="M6" s="9"/>
      <c r="N6" s="48"/>
      <c r="O6" s="21">
        <f t="shared" si="3"/>
        <v>39500</v>
      </c>
      <c r="P6" s="8" t="s">
        <v>204</v>
      </c>
      <c r="Q6" s="9">
        <v>-3000</v>
      </c>
      <c r="R6" s="9"/>
      <c r="S6" s="48"/>
      <c r="T6" s="21">
        <f t="shared" si="4"/>
        <v>29000</v>
      </c>
      <c r="U6" s="53">
        <f>IF($J6="","",ROUND(($J6-$J$3)/1000,1)+(_xlfn.RANK.AVG($J6,($J6,$O6,$T6),1)-2)*20)</f>
        <v>1.5</v>
      </c>
      <c r="V6" s="54">
        <f>IF($O6="","",ROUND(($O6-$O$3)/1000,1)+(_xlfn.RANK.AVG($O6,($J6,$O6,$T6),1)-2)*20)</f>
        <v>24.5</v>
      </c>
      <c r="W6" s="55">
        <f>IF($T6="","",ROUND(($T6-$T$3)/1000,1)+(_xlfn.RANK.AVG($T6,($J6,$O6,$T6),1)-2)*20)</f>
        <v>-26</v>
      </c>
      <c r="Y6" s="8" t="s">
        <v>201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201</v>
      </c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199</v>
      </c>
      <c r="G7" s="9">
        <v>-5200</v>
      </c>
      <c r="H7" s="9">
        <v>-1000</v>
      </c>
      <c r="I7" s="48">
        <v>-1000</v>
      </c>
      <c r="J7" s="21">
        <f t="shared" si="2"/>
        <v>29300</v>
      </c>
      <c r="K7" s="8" t="s">
        <v>200</v>
      </c>
      <c r="L7" s="9">
        <v>5200</v>
      </c>
      <c r="M7" s="9">
        <v>2000</v>
      </c>
      <c r="N7" s="48">
        <v>1000</v>
      </c>
      <c r="O7" s="21">
        <f t="shared" si="3"/>
        <v>47700</v>
      </c>
      <c r="P7" s="8"/>
      <c r="Q7" s="9"/>
      <c r="R7" s="9">
        <v>-1000</v>
      </c>
      <c r="S7" s="48"/>
      <c r="T7" s="21">
        <f t="shared" si="4"/>
        <v>28000</v>
      </c>
      <c r="U7" s="53">
        <f>IF($J7="","",ROUND(($J7-$J$3)/1000,1)+(_xlfn.RANK.AVG($J7,($J7,$O7,$T7),1)-2)*20)</f>
        <v>-5.7</v>
      </c>
      <c r="V7" s="54">
        <f>IF($O7="","",ROUND(($O7-$O$3)/1000,1)+(_xlfn.RANK.AVG($O7,($J7,$O7,$T7),1)-2)*20)</f>
        <v>32.700000000000003</v>
      </c>
      <c r="W7" s="55">
        <f>IF($T7="","",ROUND(($T7-$T$3)/1000,1)+(_xlfn.RANK.AVG($T7,($J7,$O7,$T7),1)-2)*20)</f>
        <v>-27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79</v>
      </c>
      <c r="BA7" s="41" t="s">
        <v>79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195</v>
      </c>
      <c r="G8" s="9">
        <v>2100</v>
      </c>
      <c r="H8" s="9"/>
      <c r="I8" s="48">
        <v>0</v>
      </c>
      <c r="J8" s="21">
        <f t="shared" si="2"/>
        <v>31400</v>
      </c>
      <c r="K8" s="8" t="s">
        <v>194</v>
      </c>
      <c r="L8" s="9">
        <v>-1300</v>
      </c>
      <c r="M8" s="9"/>
      <c r="N8" s="48">
        <v>0</v>
      </c>
      <c r="O8" s="21">
        <f t="shared" si="3"/>
        <v>46400</v>
      </c>
      <c r="P8" s="8" t="s">
        <v>194</v>
      </c>
      <c r="Q8" s="9">
        <v>-800</v>
      </c>
      <c r="R8" s="9"/>
      <c r="S8" s="48">
        <v>0</v>
      </c>
      <c r="T8" s="21">
        <f t="shared" si="4"/>
        <v>27200</v>
      </c>
      <c r="U8" s="53">
        <f>IF($J8="","",ROUND(($J8-$J$3)/1000,1)+(_xlfn.RANK.AVG($J8,($J8,$O8,$T8),1)-2)*20)</f>
        <v>-3.6</v>
      </c>
      <c r="V8" s="54">
        <f>IF($O8="","",ROUND(($O8-$O$3)/1000,1)+(_xlfn.RANK.AVG($O8,($J8,$O8,$T8),1)-2)*20)</f>
        <v>31.4</v>
      </c>
      <c r="W8" s="55">
        <f>IF($T8="","",ROUND(($T8-$T$3)/1000,1)+(_xlfn.RANK.AVG($T8,($J8,$O8,$T8),1)-2)*20)</f>
        <v>-27.8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103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194</v>
      </c>
      <c r="G9" s="9">
        <v>-9000</v>
      </c>
      <c r="H9" s="9"/>
      <c r="I9" s="48">
        <v>0</v>
      </c>
      <c r="J9" s="21">
        <f t="shared" si="2"/>
        <v>22400</v>
      </c>
      <c r="K9" s="8" t="s">
        <v>194</v>
      </c>
      <c r="L9" s="9">
        <v>-9000</v>
      </c>
      <c r="M9" s="9"/>
      <c r="N9" s="48">
        <v>0</v>
      </c>
      <c r="O9" s="21">
        <f t="shared" si="3"/>
        <v>37400</v>
      </c>
      <c r="P9" s="8" t="s">
        <v>195</v>
      </c>
      <c r="Q9" s="9">
        <v>18000</v>
      </c>
      <c r="R9" s="9"/>
      <c r="S9" s="48">
        <v>0</v>
      </c>
      <c r="T9" s="21">
        <f t="shared" si="4"/>
        <v>45200</v>
      </c>
      <c r="U9" s="53">
        <f>IF($J9="","",ROUND(($J9-$J$3)/1000,1)+(_xlfn.RANK.AVG($J9,($J9,$O9,$T9),1)-2)*20)</f>
        <v>-32.6</v>
      </c>
      <c r="V9" s="54">
        <f>IF($O9="","",ROUND(($O9-$O$3)/1000,1)+(_xlfn.RANK.AVG($O9,($J9,$O9,$T9),1)-2)*20)</f>
        <v>2.4</v>
      </c>
      <c r="W9" s="55">
        <f>IF($T9="","",ROUND(($T9-$T$3)/1000,1)+(_xlfn.RANK.AVG($T9,($J9,$O9,$T9),1)-2)*20)</f>
        <v>30.2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196</v>
      </c>
      <c r="BU9" s="40" t="s">
        <v>197</v>
      </c>
      <c r="BV9" s="41" t="s">
        <v>82</v>
      </c>
      <c r="BW9" s="41" t="s">
        <v>205</v>
      </c>
      <c r="BX9" s="41" t="s">
        <v>79</v>
      </c>
      <c r="BY9" s="41" t="s">
        <v>79</v>
      </c>
      <c r="BZ9" s="41" t="s">
        <v>101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199</v>
      </c>
      <c r="G10" s="9">
        <v>-11600</v>
      </c>
      <c r="H10" s="9"/>
      <c r="I10" s="48">
        <v>-1000</v>
      </c>
      <c r="J10" s="21">
        <f t="shared" si="2"/>
        <v>9800</v>
      </c>
      <c r="K10" s="8"/>
      <c r="L10" s="9"/>
      <c r="M10" s="9"/>
      <c r="N10" s="48"/>
      <c r="O10" s="21">
        <f t="shared" si="3"/>
        <v>37400</v>
      </c>
      <c r="P10" s="8" t="s">
        <v>200</v>
      </c>
      <c r="Q10" s="9">
        <v>11600</v>
      </c>
      <c r="R10" s="9"/>
      <c r="S10" s="48">
        <v>1000</v>
      </c>
      <c r="T10" s="21">
        <f t="shared" si="4"/>
        <v>57800</v>
      </c>
      <c r="U10" s="53">
        <f>IF($J10="","",ROUND(($J10-$J$3)/1000,1)+(_xlfn.RANK.AVG($J10,($J10,$O10,$T10),1)-2)*20)</f>
        <v>-45.2</v>
      </c>
      <c r="V10" s="54">
        <f>IF($O10="","",ROUND(($O10-$O$3)/1000,1)+(_xlfn.RANK.AVG($O10,($J10,$O10,$T10),1)-2)*20)</f>
        <v>2.4</v>
      </c>
      <c r="W10" s="55">
        <f>IF($T10="","",ROUND(($T10-$T$3)/1000,1)+(_xlfn.RANK.AVG($T10,($J10,$O10,$T10),1)-2)*20)</f>
        <v>42.8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86</v>
      </c>
      <c r="BV10" s="41" t="s">
        <v>79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199</v>
      </c>
      <c r="G11" s="9">
        <v>-6400</v>
      </c>
      <c r="H11" s="9"/>
      <c r="I11" s="48">
        <v>-2000</v>
      </c>
      <c r="J11" s="21">
        <f t="shared" si="2"/>
        <v>1400</v>
      </c>
      <c r="K11" s="8" t="s">
        <v>200</v>
      </c>
      <c r="L11" s="9">
        <v>6400</v>
      </c>
      <c r="M11" s="9"/>
      <c r="N11" s="48">
        <v>2000</v>
      </c>
      <c r="O11" s="21">
        <f t="shared" si="3"/>
        <v>45800</v>
      </c>
      <c r="P11" s="8"/>
      <c r="Q11" s="9"/>
      <c r="R11" s="9"/>
      <c r="S11" s="48"/>
      <c r="T11" s="21">
        <f t="shared" si="4"/>
        <v>57800</v>
      </c>
      <c r="U11" s="53">
        <f>IF($J11="","",ROUND(($J11-$J$3)/1000,1)+(_xlfn.RANK.AVG($J11,($J11,$O11,$T11),1)-2)*20)</f>
        <v>-53.6</v>
      </c>
      <c r="V11" s="54">
        <f>IF($O11="","",ROUND(($O11-$O$3)/1000,1)+(_xlfn.RANK.AVG($O11,($J11,$O11,$T11),1)-2)*20)</f>
        <v>10.8</v>
      </c>
      <c r="W11" s="55">
        <f>IF($T11="","",ROUND(($T11-$T$3)/1000,1)+(_xlfn.RANK.AVG($T11,($J11,$O11,$T11),1)-2)*20)</f>
        <v>42.8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3</v>
      </c>
      <c r="AY11" s="30">
        <v>50</v>
      </c>
      <c r="AZ11" s="40" t="s">
        <v>86</v>
      </c>
      <c r="BA11" s="41" t="s">
        <v>198</v>
      </c>
      <c r="BB11" s="41" t="s">
        <v>79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200</v>
      </c>
      <c r="G12" s="9">
        <v>18000</v>
      </c>
      <c r="H12" s="9">
        <v>1000</v>
      </c>
      <c r="I12" s="48">
        <v>0</v>
      </c>
      <c r="J12" s="21">
        <f t="shared" si="2"/>
        <v>20400</v>
      </c>
      <c r="K12" s="8" t="s">
        <v>199</v>
      </c>
      <c r="L12" s="9">
        <v>-18000</v>
      </c>
      <c r="M12" s="9">
        <v>-1000</v>
      </c>
      <c r="N12" s="48">
        <v>0</v>
      </c>
      <c r="O12" s="21">
        <f t="shared" si="3"/>
        <v>26800</v>
      </c>
      <c r="P12" s="8"/>
      <c r="Q12" s="9"/>
      <c r="R12" s="9"/>
      <c r="S12" s="48"/>
      <c r="T12" s="21">
        <f t="shared" si="4"/>
        <v>57800</v>
      </c>
      <c r="U12" s="53">
        <f>IF($J12="","",ROUND(($J12-$J$3)/1000,1)+(_xlfn.RANK.AVG($J12,($J12,$O12,$T12),1)-2)*20)</f>
        <v>-34.6</v>
      </c>
      <c r="V12" s="54">
        <f>IF($O12="","",ROUND(($O12-$O$3)/1000,1)+(_xlfn.RANK.AVG($O12,($J12,$O12,$T12),1)-2)*20)</f>
        <v>-8.1999999999999993</v>
      </c>
      <c r="W12" s="55">
        <f>IF($T12="","",ROUND(($T12-$T$3)/1000,1)+(_xlfn.RANK.AVG($T12,($J12,$O12,$T12),1)-2)*20)</f>
        <v>42.8</v>
      </c>
      <c r="Y12" s="8"/>
      <c r="Z12" s="34"/>
      <c r="AA12" s="26">
        <v>1</v>
      </c>
      <c r="AB12" s="26"/>
      <c r="AC12" s="26">
        <v>6</v>
      </c>
      <c r="AD12" s="30" t="s">
        <v>196</v>
      </c>
      <c r="AE12" s="40" t="s">
        <v>206</v>
      </c>
      <c r="AF12" s="41" t="s">
        <v>82</v>
      </c>
      <c r="AG12" s="41" t="s">
        <v>205</v>
      </c>
      <c r="AH12" s="41" t="s">
        <v>79</v>
      </c>
      <c r="AI12" s="41" t="s">
        <v>198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191</v>
      </c>
      <c r="F13" s="8" t="s">
        <v>200</v>
      </c>
      <c r="G13" s="9">
        <v>2900</v>
      </c>
      <c r="H13" s="9"/>
      <c r="I13" s="48">
        <v>1000</v>
      </c>
      <c r="J13" s="21">
        <f t="shared" si="2"/>
        <v>24300</v>
      </c>
      <c r="K13" s="8"/>
      <c r="L13" s="9"/>
      <c r="M13" s="9"/>
      <c r="N13" s="48"/>
      <c r="O13" s="21">
        <f t="shared" si="3"/>
        <v>26800</v>
      </c>
      <c r="P13" s="8" t="s">
        <v>199</v>
      </c>
      <c r="Q13" s="9">
        <v>-2900</v>
      </c>
      <c r="R13" s="9"/>
      <c r="S13" s="48">
        <v>-1000</v>
      </c>
      <c r="T13" s="21">
        <f t="shared" si="4"/>
        <v>53900</v>
      </c>
      <c r="U13" s="53">
        <f>IF($J13="","",ROUND(($J13-$J$3)/1000,1)+(_xlfn.RANK.AVG($J13,($J13,$O13,$T13),1)-2)*20)</f>
        <v>-30.7</v>
      </c>
      <c r="V13" s="54">
        <f>IF($O13="","",ROUND(($O13-$O$3)/1000,1)+(_xlfn.RANK.AVG($O13,($J13,$O13,$T13),1)-2)*20)</f>
        <v>-8.1999999999999993</v>
      </c>
      <c r="W13" s="55">
        <f>IF($T13="","",ROUND(($T13-$T$3)/1000,1)+(_xlfn.RANK.AVG($T13,($J13,$O13,$T13),1)-2)*20)</f>
        <v>38.9</v>
      </c>
      <c r="Y13" s="8"/>
      <c r="Z13" s="34"/>
      <c r="AA13" s="26"/>
      <c r="AB13" s="26">
        <v>1</v>
      </c>
      <c r="AC13" s="26">
        <v>2</v>
      </c>
      <c r="AD13" s="30">
        <v>30</v>
      </c>
      <c r="AE13" s="40" t="s">
        <v>198</v>
      </c>
      <c r="AF13" s="41" t="s">
        <v>86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191</v>
      </c>
      <c r="F14" s="8" t="s">
        <v>199</v>
      </c>
      <c r="G14" s="9">
        <v>-1600</v>
      </c>
      <c r="H14" s="9">
        <v>-1000</v>
      </c>
      <c r="I14" s="48">
        <v>-2000</v>
      </c>
      <c r="J14" s="21">
        <f t="shared" si="2"/>
        <v>19700</v>
      </c>
      <c r="K14" s="8" t="s">
        <v>200</v>
      </c>
      <c r="L14" s="9">
        <v>1600</v>
      </c>
      <c r="M14" s="9">
        <v>1000</v>
      </c>
      <c r="N14" s="48">
        <v>2000</v>
      </c>
      <c r="O14" s="21">
        <f t="shared" si="3"/>
        <v>31400</v>
      </c>
      <c r="P14" s="8"/>
      <c r="Q14" s="9"/>
      <c r="R14" s="9"/>
      <c r="S14" s="48"/>
      <c r="T14" s="21">
        <f t="shared" si="4"/>
        <v>53900</v>
      </c>
      <c r="U14" s="53">
        <f>IF($J14="","",ROUND(($J14-$J$3)/1000,1)+(_xlfn.RANK.AVG($J14,($J14,$O14,$T14),1)-2)*20)</f>
        <v>-35.299999999999997</v>
      </c>
      <c r="V14" s="54">
        <f>IF($O14="","",ROUND(($O14-$O$3)/1000,1)+(_xlfn.RANK.AVG($O14,($J14,$O14,$T14),1)-2)*20)</f>
        <v>-3.6</v>
      </c>
      <c r="W14" s="55">
        <f>IF($T14="","",ROUND(($T14-$T$3)/1000,1)+(_xlfn.RANK.AVG($T14,($J14,$O14,$T14),1)-2)*20)</f>
        <v>38.9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2</v>
      </c>
      <c r="AY14" s="30">
        <v>25</v>
      </c>
      <c r="AZ14" s="40" t="s">
        <v>101</v>
      </c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192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164C9E93-D331-48CD-B7AF-76F456FC72DC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6981B809-3D0E-4D75-9070-26D03472BD71}">
      <formula1>"ロン,ツモ,放銃,ツモ支払,流局,チョンボ"</formula1>
    </dataValidation>
    <dataValidation type="list" allowBlank="1" showInputMessage="1" showErrorMessage="1" sqref="E4:E30" xr:uid="{9BBBD760-8B56-4DDA-9595-E88E82622B5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2019-07-07T15:18:10Z</dcterms:modified>
</cp:coreProperties>
</file>