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A6D33819-C9B8-4BB4-8B82-6F66FEB6ED9E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/>
  <c r="T11" i="20"/>
  <c r="O11" i="20"/>
  <c r="V11" i="20" s="1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D6" i="20"/>
  <c r="C6" i="20"/>
  <c r="C7" i="20" s="1"/>
  <c r="O5" i="20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V12" i="20" l="1"/>
  <c r="W12" i="20"/>
  <c r="U12" i="20"/>
  <c r="W11" i="20"/>
  <c r="A5" i="20"/>
  <c r="W4" i="20"/>
  <c r="V4" i="20"/>
  <c r="U4" i="20"/>
  <c r="A6" i="20"/>
  <c r="B7" i="20"/>
  <c r="T5" i="20"/>
  <c r="J6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7" i="20" l="1"/>
  <c r="O7" i="20"/>
  <c r="W5" i="20"/>
  <c r="T6" i="20"/>
  <c r="V5" i="20"/>
  <c r="U5" i="20"/>
  <c r="U6" i="20"/>
  <c r="J7" i="20"/>
  <c r="B8" i="20"/>
  <c r="A8" i="20" s="1"/>
  <c r="V10" i="19"/>
  <c r="W10" i="19"/>
  <c r="U9" i="19"/>
  <c r="W9" i="19"/>
  <c r="W8" i="19"/>
  <c r="U8" i="19"/>
  <c r="V8" i="19"/>
  <c r="W7" i="19"/>
  <c r="U7" i="19"/>
  <c r="W6" i="19"/>
  <c r="U6" i="19"/>
  <c r="V6" i="19"/>
  <c r="U4" i="19"/>
  <c r="V4" i="19"/>
  <c r="W4" i="19"/>
  <c r="J5" i="19"/>
  <c r="O5" i="19"/>
  <c r="J8" i="20" l="1"/>
  <c r="W6" i="20"/>
  <c r="T7" i="20"/>
  <c r="O8" i="20"/>
  <c r="V7" i="20"/>
  <c r="B9" i="20"/>
  <c r="A9" i="20" s="1"/>
  <c r="V6" i="20"/>
  <c r="V5" i="19"/>
  <c r="W5" i="19"/>
  <c r="U5" i="19"/>
  <c r="B10" i="20" l="1"/>
  <c r="A10" i="20" s="1"/>
  <c r="O9" i="20"/>
  <c r="W7" i="20"/>
  <c r="T8" i="20"/>
  <c r="V8" i="20" s="1"/>
  <c r="U8" i="20"/>
  <c r="J9" i="20"/>
  <c r="U7" i="20"/>
  <c r="J10" i="20" l="1"/>
  <c r="W8" i="20"/>
  <c r="T9" i="20"/>
  <c r="V9" i="20"/>
  <c r="O10" i="20"/>
  <c r="W9" i="20" l="1"/>
  <c r="T10" i="20"/>
  <c r="U10" i="20"/>
  <c r="U9" i="20"/>
  <c r="W10" i="20" l="1"/>
  <c r="V10" i="20"/>
</calcChain>
</file>

<file path=xl/sharedStrings.xml><?xml version="1.0" encoding="utf-8"?>
<sst xmlns="http://schemas.openxmlformats.org/spreadsheetml/2006/main" count="694" uniqueCount="202">
  <si>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</si>
  <si>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</si>
  <si>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</si>
  <si>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</si>
  <si>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</si>
  <si>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</si>
  <si>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</si>
  <si>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</si>
  <si>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</si>
  <si>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</si>
  <si>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</si>
  <si>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</si>
  <si>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</si>
  <si>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</si>
  <si>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</si>
  <si>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</si>
  <si>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</si>
  <si>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</si>
  <si>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</si>
  <si>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</si>
  <si>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</si>
  <si>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</si>
  <si>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</si>
  <si>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</si>
  <si>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</si>
  <si>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</si>
  <si>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</si>
  <si>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</si>
  <si>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</si>
  <si>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</si>
  <si>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</si>
  <si>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</si>
  <si>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</si>
  <si>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</si>
  <si>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</si>
  <si>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</si>
  <si>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</si>
  <si>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</si>
  <si>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</si>
  <si>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</si>
  <si>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</si>
  <si>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</si>
  <si>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</si>
  <si>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</si>
  <si>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</si>
  <si>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</si>
  <si>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</si>
  <si>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</si>
  <si>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</si>
  <si>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</si>
  <si>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</si>
  <si>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</si>
  <si>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</si>
  <si>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</si>
  <si>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</si>
  <si>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</si>
  <si>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</si>
  <si>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</si>
  <si>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</si>
  <si>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</si>
  <si>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</si>
  <si>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</si>
  <si>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</si>
  <si>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</si>
  <si>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</si>
  <si>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</si>
  <si>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</si>
  <si>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</si>
  <si>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</si>
  <si>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</si>
  <si>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</si>
  <si>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</si>
  <si>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</si>
  <si>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</si>
  <si>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</si>
  <si>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</si>
  <si>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</si>
  <si>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</si>
  <si>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</si>
  <si>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</si>
  <si>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</si>
  <si>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</si>
  <si>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</si>
  <si>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</si>
  <si>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</si>
  <si>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</si>
  <si>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</si>
  <si>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</si>
  <si>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</si>
  <si>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</si>
  <si>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</si>
  <si>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</si>
  <si>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</si>
  <si>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</si>
  <si>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</si>
  <si>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</si>
  <si>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</si>
  <si>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</si>
  <si>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</si>
  <si>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</si>
  <si>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</si>
  <si>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</si>
  <si>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</si>
  <si>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</si>
  <si>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</si>
  <si>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</si>
  <si>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</si>
  <si>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</si>
  <si>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</si>
  <si>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</si>
  <si>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</si>
  <si>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</si>
  <si>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</si>
  <si>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</si>
  <si>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</si>
  <si>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</si>
  <si>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</si>
  <si>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</si>
  <si>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</si>
  <si>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</si>
  <si>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</si>
  <si>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</si>
  <si>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</si>
  <si>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</si>
  <si>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</si>
  <si>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</si>
  <si>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</si>
  <si>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</si>
  <si>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</si>
  <si>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</si>
  <si>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</si>
  <si>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</si>
  <si>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</si>
  <si>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</si>
  <si>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</si>
  <si>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</si>
  <si>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</si>
  <si>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</si>
  <si>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</si>
  <si>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</si>
  <si>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</si>
  <si>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</si>
  <si>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</si>
  <si>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</si>
  <si>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</si>
  <si>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</si>
  <si>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</si>
  <si>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</si>
  <si>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</si>
  <si>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</si>
  <si>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</si>
  <si>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</si>
  <si>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</si>
  <si>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</si>
  <si>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</si>
  <si>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</si>
  <si>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</si>
  <si>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</si>
  <si>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</si>
  <si>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</si>
  <si>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</si>
  <si>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</si>
  <si>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</si>
  <si>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</si>
  <si>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</si>
  <si>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</si>
  <si>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</si>
  <si>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</si>
  <si>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</si>
  <si>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</si>
  <si>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</si>
  <si>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</si>
  <si>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</si>
  <si>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</si>
  <si>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</si>
  <si>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</si>
  <si>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</si>
  <si>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</si>
  <si>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</si>
  <si>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</si>
  <si>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</si>
  <si>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</si>
  <si>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</si>
  <si>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</si>
  <si>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</si>
  <si>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</si>
  <si>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</si>
  <si>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</si>
  <si>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</si>
  <si>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</si>
  <si>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</si>
  <si>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</si>
  <si>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ほたに</t>
  </si>
  <si>
    <t>まっつん</t>
  </si>
  <si>
    <t>放銃</t>
  </si>
  <si>
    <t>ロン</t>
  </si>
  <si>
    <t>*</t>
  </si>
  <si>
    <t>01</t>
  </si>
  <si>
    <t>52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</si>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</sst>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ほたに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ほたに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196</v>
      </c>
      <c r="BU4" s="40" t="s">
        <v>86</v>
      </c>
      <c r="BV4" s="41" t="s">
        <v>86</v>
      </c>
      <c r="BW4" s="41" t="s">
        <v>100</v>
      </c>
      <c r="BX4" s="41" t="s">
        <v>98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-12000</v>
      </c>
      <c r="H5" s="9"/>
      <c r="I5" s="48">
        <v>0</v>
      </c>
      <c r="J5" s="21">
        <f t="shared" ref="J5:J30" si="2">IF(COUNTA($F5,$K5,$P5)&gt;0,J4+SUM(G5:I5),"")</f>
        <v>11000</v>
      </c>
      <c r="K5" s="8"/>
      <c r="L5" s="9"/>
      <c r="M5" s="9">
        <v>-1000</v>
      </c>
      <c r="N5" s="48"/>
      <c r="O5" s="21">
        <f t="shared" ref="O5:O30" si="3">IF(COUNTA($F5,$K5,$P5)&gt;0,O4+SUM(L5:N5),"")</f>
        <v>33000</v>
      </c>
      <c r="P5" s="8" t="s">
        <v>195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61000</v>
      </c>
      <c r="U5" s="53">
        <f>IF($J5="","",ROUND(($J5-$J$3)/1000,1)+(_xlfn.RANK.AVG($J5,($J5,$O5,$T5),1)-2)*20)</f>
        <v>-44</v>
      </c>
      <c r="V5" s="54">
        <f>IF($O5="","",ROUND(($O5-$O$3)/1000,1)+(_xlfn.RANK.AVG($O5,($J5,$O5,$T5),1)-2)*20)</f>
        <v>-2</v>
      </c>
      <c r="W5" s="55">
        <f>IF($T5="","",ROUND(($T5-$T$3)/1000,1)+(_xlfn.RANK.AVG($T5,($J5,$O5,$T5),1)-2)*20)</f>
        <v>46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196</v>
      </c>
      <c r="BU5" s="40" t="s">
        <v>197</v>
      </c>
      <c r="BV5" s="41" t="s">
        <v>85</v>
      </c>
      <c r="BW5" s="41" t="s">
        <v>80</v>
      </c>
      <c r="BX5" s="41" t="s">
        <v>80</v>
      </c>
      <c r="BY5" s="41" t="s">
        <v>80</v>
      </c>
      <c r="BZ5" s="41" t="s">
        <v>198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-9000</v>
      </c>
      <c r="H6" s="9"/>
      <c r="I6" s="48">
        <v>0</v>
      </c>
      <c r="J6" s="21">
        <f t="shared" si="2"/>
        <v>2000</v>
      </c>
      <c r="K6" s="8" t="s">
        <v>199</v>
      </c>
      <c r="L6" s="9">
        <v>-9000</v>
      </c>
      <c r="M6" s="9"/>
      <c r="N6" s="48">
        <v>0</v>
      </c>
      <c r="O6" s="21">
        <f t="shared" si="3"/>
        <v>24000</v>
      </c>
      <c r="P6" s="8" t="s">
        <v>200</v>
      </c>
      <c r="Q6" s="9">
        <v>18000</v>
      </c>
      <c r="R6" s="9"/>
      <c r="S6" s="48">
        <v>0</v>
      </c>
      <c r="T6" s="21">
        <f t="shared" si="4"/>
        <v>79000</v>
      </c>
      <c r="U6" s="53">
        <f>IF($J6="","",ROUND(($J6-$J$3)/1000,1)+(_xlfn.RANK.AVG($J6,($J6,$O6,$T6),1)-2)*20)</f>
        <v>-53</v>
      </c>
      <c r="V6" s="54">
        <f>IF($O6="","",ROUND(($O6-$O$3)/1000,1)+(_xlfn.RANK.AVG($O6,($J6,$O6,$T6),1)-2)*20)</f>
        <v>-11</v>
      </c>
      <c r="W6" s="55">
        <f>IF($T6="","",ROUND(($T6-$T$3)/1000,1)+(_xlfn.RANK.AVG($T6,($J6,$O6,$T6),1)-2)*20)</f>
        <v>64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196</v>
      </c>
      <c r="BU6" s="40" t="s">
        <v>197</v>
      </c>
      <c r="BV6" s="41" t="s">
        <v>82</v>
      </c>
      <c r="BW6" s="41" t="s">
        <v>86</v>
      </c>
      <c r="BX6" s="41" t="s">
        <v>86</v>
      </c>
      <c r="BY6" s="41" t="s">
        <v>198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195</v>
      </c>
      <c r="G7" s="9">
        <v>8000</v>
      </c>
      <c r="H7" s="9"/>
      <c r="I7" s="48">
        <v>1000</v>
      </c>
      <c r="J7" s="21">
        <f t="shared" si="2"/>
        <v>11000</v>
      </c>
      <c r="K7" s="8" t="s">
        <v>194</v>
      </c>
      <c r="L7" s="9">
        <v>-8000</v>
      </c>
      <c r="M7" s="9"/>
      <c r="N7" s="48">
        <v>-1000</v>
      </c>
      <c r="O7" s="21">
        <f t="shared" si="3"/>
        <v>15000</v>
      </c>
      <c r="P7" s="8"/>
      <c r="Q7" s="9"/>
      <c r="R7" s="9"/>
      <c r="S7" s="48"/>
      <c r="T7" s="21">
        <f t="shared" si="4"/>
        <v>79000</v>
      </c>
      <c r="U7" s="53">
        <f>IF($J7="","",ROUND(($J7-$J$3)/1000,1)+(_xlfn.RANK.AVG($J7,($J7,$O7,$T7),1)-2)*20)</f>
        <v>-44</v>
      </c>
      <c r="V7" s="54">
        <f>IF($O7="","",ROUND(($O7-$O$3)/1000,1)+(_xlfn.RANK.AVG($O7,($J7,$O7,$T7),1)-2)*20)</f>
        <v>-20</v>
      </c>
      <c r="W7" s="55">
        <f>IF($T7="","",ROUND(($T7-$T$3)/1000,1)+(_xlfn.RANK.AVG($T7,($J7,$O7,$T7),1)-2)*20)</f>
        <v>64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197</v>
      </c>
      <c r="AF7" s="41" t="s">
        <v>101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11000</v>
      </c>
      <c r="K8" s="8" t="s">
        <v>195</v>
      </c>
      <c r="L8" s="9">
        <v>1000</v>
      </c>
      <c r="M8" s="9">
        <v>1000</v>
      </c>
      <c r="N8" s="48">
        <v>0</v>
      </c>
      <c r="O8" s="21">
        <f t="shared" si="3"/>
        <v>17000</v>
      </c>
      <c r="P8" s="8" t="s">
        <v>194</v>
      </c>
      <c r="Q8" s="9">
        <v>-1000</v>
      </c>
      <c r="R8" s="9">
        <v>-1000</v>
      </c>
      <c r="S8" s="48">
        <v>0</v>
      </c>
      <c r="T8" s="21">
        <f t="shared" si="4"/>
        <v>77000</v>
      </c>
      <c r="U8" s="53">
        <f>IF($J8="","",ROUND(($J8-$J$3)/1000,1)+(_xlfn.RANK.AVG($J8,($J8,$O8,$T8),1)-2)*20)</f>
        <v>-44</v>
      </c>
      <c r="V8" s="54">
        <f>IF($O8="","",ROUND(($O8-$O$3)/1000,1)+(_xlfn.RANK.AVG($O8,($J8,$O8,$T8),1)-2)*20)</f>
        <v>-18</v>
      </c>
      <c r="W8" s="55">
        <f>IF($T8="","",ROUND(($T8-$T$3)/1000,1)+(_xlfn.RANK.AVG($T8,($J8,$O8,$T8),1)-2)*20)</f>
        <v>62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199</v>
      </c>
      <c r="G9" s="9">
        <v>-2000</v>
      </c>
      <c r="H9" s="9"/>
      <c r="I9" s="48">
        <v>0</v>
      </c>
      <c r="J9" s="21">
        <f t="shared" si="2"/>
        <v>9000</v>
      </c>
      <c r="K9" s="8" t="s">
        <v>199</v>
      </c>
      <c r="L9" s="9">
        <v>-3300</v>
      </c>
      <c r="M9" s="9"/>
      <c r="N9" s="48">
        <v>0</v>
      </c>
      <c r="O9" s="21">
        <f t="shared" si="3"/>
        <v>13700</v>
      </c>
      <c r="P9" s="8" t="s">
        <v>200</v>
      </c>
      <c r="Q9" s="9">
        <v>5300</v>
      </c>
      <c r="R9" s="9"/>
      <c r="S9" s="48">
        <v>0</v>
      </c>
      <c r="T9" s="21">
        <f t="shared" si="4"/>
        <v>82300</v>
      </c>
      <c r="U9" s="53">
        <f>IF($J9="","",ROUND(($J9-$J$3)/1000,1)+(_xlfn.RANK.AVG($J9,($J9,$O9,$T9),1)-2)*20)</f>
        <v>-46</v>
      </c>
      <c r="V9" s="54">
        <f>IF($O9="","",ROUND(($O9-$O$3)/1000,1)+(_xlfn.RANK.AVG($O9,($J9,$O9,$T9),1)-2)*20)</f>
        <v>-21.3</v>
      </c>
      <c r="W9" s="55">
        <f>IF($T9="","",ROUND(($T9-$T$3)/1000,1)+(_xlfn.RANK.AVG($T9,($J9,$O9,$T9),1)-2)*20)</f>
        <v>67.3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197</v>
      </c>
      <c r="BV9" s="41" t="s">
        <v>82</v>
      </c>
      <c r="BW9" s="41" t="s">
        <v>198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-8000</v>
      </c>
      <c r="H10" s="9"/>
      <c r="I10" s="48">
        <v>0</v>
      </c>
      <c r="J10" s="21">
        <f t="shared" si="2"/>
        <v>1000</v>
      </c>
      <c r="K10" s="8" t="s">
        <v>195</v>
      </c>
      <c r="L10" s="9">
        <v>8000</v>
      </c>
      <c r="M10" s="9"/>
      <c r="N10" s="48">
        <v>0</v>
      </c>
      <c r="O10" s="21">
        <f t="shared" si="3"/>
        <v>21700</v>
      </c>
      <c r="P10" s="8"/>
      <c r="Q10" s="9"/>
      <c r="R10" s="9"/>
      <c r="S10" s="48"/>
      <c r="T10" s="21">
        <f t="shared" si="4"/>
        <v>82300</v>
      </c>
      <c r="U10" s="53">
        <f>IF($J10="","",ROUND(($J10-$J$3)/1000,1)+(_xlfn.RANK.AVG($J10,($J10,$O10,$T10),1)-2)*20)</f>
        <v>-54</v>
      </c>
      <c r="V10" s="54">
        <f>IF($O10="","",ROUND(($O10-$O$3)/1000,1)+(_xlfn.RANK.AVG($O10,($J10,$O10,$T10),1)-2)*20)</f>
        <v>-13.3</v>
      </c>
      <c r="W10" s="55">
        <f>IF($T10="","",ROUND(($T10-$T$3)/1000,1)+(_xlfn.RANK.AVG($T10,($J10,$O10,$T10),1)-2)*20)</f>
        <v>67.3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197</v>
      </c>
      <c r="BA10" s="41" t="s">
        <v>198</v>
      </c>
      <c r="BB10" s="41" t="s">
        <v>80</v>
      </c>
      <c r="BC10" s="41" t="s">
        <v>80</v>
      </c>
      <c r="BD10" s="41" t="s">
        <v>84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1AD455B-E61D-4096-A2D1-77C2E5792EE9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14274-A94F-4E48-921E-BC0E682C2015}">
  <sheetPr codeName="Sheet11">
    <pageSetUpPr fitToPage="1"/>
  </sheetPr>
  <dimension ref="A1:CI30"/>
  <sheetViews>
    <sheetView tabSelected="1" zoomScaleNormal="100" workbookViewId="0">
      <selection activeCell="S15" sqref="S1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ほたに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ほたに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IF($J4="","",ROUND(($J4-$J$3)/1000,1)+(_xlfn.RANK.AVG($J4,($J4,$O4,$T4),1)-2)*20)</f>
        <v>31.6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-31.6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197</v>
      </c>
      <c r="AF4" s="41" t="s">
        <v>201</v>
      </c>
      <c r="AG4" s="41" t="s">
        <v>79</v>
      </c>
      <c r="AH4" s="41" t="s">
        <v>83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3000</v>
      </c>
      <c r="H5" s="9">
        <v>1000</v>
      </c>
      <c r="I5" s="48">
        <v>1000</v>
      </c>
      <c r="J5" s="21">
        <f t="shared" ref="J5:J30" si="2">IF(COUNTA($F5,$K5,$P5)&gt;0,J4+SUM(G5:I5),"")</f>
        <v>51600</v>
      </c>
      <c r="K5" s="8" t="s">
        <v>199</v>
      </c>
      <c r="L5" s="9">
        <v>-1500</v>
      </c>
      <c r="M5" s="9">
        <v>-1000</v>
      </c>
      <c r="N5" s="48">
        <v>-500</v>
      </c>
      <c r="O5" s="21">
        <f t="shared" ref="O5:O30" si="3">IF(COUNTA($F5,$K5,$P5)&gt;0,O4+SUM(L5:N5),"")</f>
        <v>32000</v>
      </c>
      <c r="P5" s="8" t="s">
        <v>199</v>
      </c>
      <c r="Q5" s="9">
        <v>-1500</v>
      </c>
      <c r="R5" s="9"/>
      <c r="S5" s="48">
        <v>-500</v>
      </c>
      <c r="T5" s="21">
        <f t="shared" ref="T5:T30" si="4">IF(COUNTA($F5,$K5,$P5)&gt;0,T4+SUM(Q5:S5),"")</f>
        <v>21400</v>
      </c>
      <c r="U5" s="53">
        <f>IF($J5="","",ROUND(($J5-$J$3)/1000,1)+(_xlfn.RANK.AVG($J5,($J5,$O5,$T5),1)-2)*20)</f>
        <v>36.6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-33.6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104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194</v>
      </c>
      <c r="G6" s="9">
        <v>-12000</v>
      </c>
      <c r="H6" s="9">
        <v>-1000</v>
      </c>
      <c r="I6" s="48">
        <v>-2000</v>
      </c>
      <c r="J6" s="21">
        <f t="shared" si="2"/>
        <v>36600</v>
      </c>
      <c r="K6" s="8" t="s">
        <v>195</v>
      </c>
      <c r="L6" s="9">
        <v>12000</v>
      </c>
      <c r="M6" s="9">
        <v>1000</v>
      </c>
      <c r="N6" s="48">
        <v>2000</v>
      </c>
      <c r="O6" s="21">
        <f t="shared" si="3"/>
        <v>47000</v>
      </c>
      <c r="P6" s="8"/>
      <c r="Q6" s="9"/>
      <c r="R6" s="9"/>
      <c r="S6" s="48"/>
      <c r="T6" s="21">
        <f t="shared" si="4"/>
        <v>21400</v>
      </c>
      <c r="U6" s="53">
        <f>IF($J6="","",ROUND(($J6-$J$3)/1000,1)+(_xlfn.RANK.AVG($J6,($J6,$O6,$T6),1)-2)*20)</f>
        <v>1.6</v>
      </c>
      <c r="V6" s="54">
        <f>IF($O6="","",ROUND(($O6-$O$3)/1000,1)+(_xlfn.RANK.AVG($O6,($J6,$O6,$T6),1)-2)*20)</f>
        <v>32</v>
      </c>
      <c r="W6" s="55">
        <f>IF($T6="","",ROUND(($T6-$T$3)/1000,1)+(_xlfn.RANK.AVG($T6,($J6,$O6,$T6),1)-2)*20)</f>
        <v>-33.6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196</v>
      </c>
      <c r="AZ6" s="40" t="s">
        <v>197</v>
      </c>
      <c r="BA6" s="41" t="s">
        <v>86</v>
      </c>
      <c r="BB6" s="41" t="s">
        <v>104</v>
      </c>
      <c r="BC6" s="41" t="s">
        <v>84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/>
      <c r="G7" s="9"/>
      <c r="H7" s="9"/>
      <c r="I7" s="48"/>
      <c r="J7" s="21">
        <f t="shared" si="2"/>
        <v>36600</v>
      </c>
      <c r="K7" s="8" t="s">
        <v>194</v>
      </c>
      <c r="L7" s="9">
        <v>-7700</v>
      </c>
      <c r="M7" s="9"/>
      <c r="N7" s="48">
        <v>0</v>
      </c>
      <c r="O7" s="21">
        <f t="shared" si="3"/>
        <v>39300</v>
      </c>
      <c r="P7" s="8" t="s">
        <v>195</v>
      </c>
      <c r="Q7" s="9">
        <v>7700</v>
      </c>
      <c r="R7" s="9"/>
      <c r="S7" s="48">
        <v>0</v>
      </c>
      <c r="T7" s="21">
        <f t="shared" si="4"/>
        <v>29100</v>
      </c>
      <c r="U7" s="53">
        <f>IF($J7="","",ROUND(($J7-$J$3)/1000,1)+(_xlfn.RANK.AVG($J7,($J7,$O7,$T7),1)-2)*20)</f>
        <v>1.6</v>
      </c>
      <c r="V7" s="54">
        <f>IF($O7="","",ROUND(($O7-$O$3)/1000,1)+(_xlfn.RANK.AVG($O7,($J7,$O7,$T7),1)-2)*20)</f>
        <v>24.3</v>
      </c>
      <c r="W7" s="55">
        <f>IF($T7="","",ROUND(($T7-$T$3)/1000,1)+(_xlfn.RANK.AVG($T7,($J7,$O7,$T7),1)-2)*20)</f>
        <v>-25.9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104</v>
      </c>
      <c r="BW7" s="41" t="s">
        <v>198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194</v>
      </c>
      <c r="G8" s="9">
        <v>-3900</v>
      </c>
      <c r="H8" s="9"/>
      <c r="I8" s="48">
        <v>0</v>
      </c>
      <c r="J8" s="21">
        <f t="shared" si="2"/>
        <v>32700</v>
      </c>
      <c r="K8" s="8" t="s">
        <v>195</v>
      </c>
      <c r="L8" s="9">
        <v>3900</v>
      </c>
      <c r="M8" s="9"/>
      <c r="N8" s="48">
        <v>0</v>
      </c>
      <c r="O8" s="21">
        <f t="shared" si="3"/>
        <v>43200</v>
      </c>
      <c r="P8" s="8"/>
      <c r="Q8" s="9"/>
      <c r="R8" s="9"/>
      <c r="S8" s="48"/>
      <c r="T8" s="21">
        <f t="shared" si="4"/>
        <v>29100</v>
      </c>
      <c r="U8" s="53">
        <f>IF($J8="","",ROUND(($J8-$J$3)/1000,1)+(_xlfn.RANK.AVG($J8,($J8,$O8,$T8),1)-2)*20)</f>
        <v>-2.2999999999999998</v>
      </c>
      <c r="V8" s="54">
        <f>IF($O8="","",ROUND(($O8-$O$3)/1000,1)+(_xlfn.RANK.AVG($O8,($J8,$O8,$T8),1)-2)*20)</f>
        <v>28.2</v>
      </c>
      <c r="W8" s="55">
        <f>IF($T8="","",ROUND(($T8-$T$3)/1000,1)+(_xlfn.RANK.AVG($T8,($J8,$O8,$T8),1)-2)*20)</f>
        <v>-25.9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198</v>
      </c>
      <c r="BB8" s="41" t="s">
        <v>198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194</v>
      </c>
      <c r="G9" s="9">
        <v>-1000</v>
      </c>
      <c r="H9" s="9"/>
      <c r="I9" s="48">
        <v>0</v>
      </c>
      <c r="J9" s="21">
        <f t="shared" si="2"/>
        <v>31700</v>
      </c>
      <c r="K9" s="8"/>
      <c r="L9" s="9"/>
      <c r="M9" s="9"/>
      <c r="N9" s="48"/>
      <c r="O9" s="21">
        <f t="shared" si="3"/>
        <v>43200</v>
      </c>
      <c r="P9" s="8" t="s">
        <v>195</v>
      </c>
      <c r="Q9" s="9">
        <v>1000</v>
      </c>
      <c r="R9" s="9"/>
      <c r="S9" s="48">
        <v>0</v>
      </c>
      <c r="T9" s="21">
        <f t="shared" si="4"/>
        <v>30100</v>
      </c>
      <c r="U9" s="53">
        <f>IF($J9="","",ROUND(($J9-$J$3)/1000,1)+(_xlfn.RANK.AVG($J9,($J9,$O9,$T9),1)-2)*20)</f>
        <v>-3.3</v>
      </c>
      <c r="V9" s="54">
        <f>IF($O9="","",ROUND(($O9-$O$3)/1000,1)+(_xlfn.RANK.AVG($O9,($J9,$O9,$T9),1)-2)*20)</f>
        <v>28.2</v>
      </c>
      <c r="W9" s="55">
        <f>IF($T9="","",ROUND(($T9-$T$3)/1000,1)+(_xlfn.RANK.AVG($T9,($J9,$O9,$T9),1)-2)*20)</f>
        <v>-24.9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199</v>
      </c>
      <c r="G10" s="9">
        <v>-5800</v>
      </c>
      <c r="H10" s="9"/>
      <c r="I10" s="48">
        <v>0</v>
      </c>
      <c r="J10" s="21">
        <f t="shared" si="2"/>
        <v>25900</v>
      </c>
      <c r="K10" s="8" t="s">
        <v>200</v>
      </c>
      <c r="L10" s="9">
        <v>11600</v>
      </c>
      <c r="M10" s="9"/>
      <c r="N10" s="48">
        <v>0</v>
      </c>
      <c r="O10" s="21">
        <f t="shared" si="3"/>
        <v>54800</v>
      </c>
      <c r="P10" s="8" t="s">
        <v>199</v>
      </c>
      <c r="Q10" s="9">
        <v>-5800</v>
      </c>
      <c r="R10" s="9"/>
      <c r="S10" s="48">
        <v>0</v>
      </c>
      <c r="T10" s="21">
        <f t="shared" si="4"/>
        <v>24300</v>
      </c>
      <c r="U10" s="53">
        <f>IF($J10="","",ROUND(($J10-$J$3)/1000,1)+(_xlfn.RANK.AVG($J10,($J10,$O10,$T10),1)-2)*20)</f>
        <v>-9.1</v>
      </c>
      <c r="V10" s="54">
        <f>IF($O10="","",ROUND(($O10-$O$3)/1000,1)+(_xlfn.RANK.AVG($O10,($J10,$O10,$T10),1)-2)*20)</f>
        <v>39.799999999999997</v>
      </c>
      <c r="W10" s="55">
        <f>IF($T10="","",ROUND(($T10-$T$3)/1000,1)+(_xlfn.RANK.AVG($T10,($J10,$O10,$T10),1)-2)*20)</f>
        <v>-30.7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79</v>
      </c>
      <c r="BB10" s="41" t="s">
        <v>79</v>
      </c>
      <c r="BC10" s="41" t="s">
        <v>86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192</v>
      </c>
      <c r="F11" s="8" t="s">
        <v>194</v>
      </c>
      <c r="G11" s="9">
        <v>-3900</v>
      </c>
      <c r="H11" s="9"/>
      <c r="I11" s="48">
        <v>-1000</v>
      </c>
      <c r="J11" s="21">
        <f t="shared" si="2"/>
        <v>21000</v>
      </c>
      <c r="K11" s="8"/>
      <c r="L11" s="9"/>
      <c r="M11" s="9"/>
      <c r="N11" s="48"/>
      <c r="O11" s="21">
        <f t="shared" si="3"/>
        <v>54800</v>
      </c>
      <c r="P11" s="8" t="s">
        <v>195</v>
      </c>
      <c r="Q11" s="9">
        <v>3900</v>
      </c>
      <c r="R11" s="9"/>
      <c r="S11" s="48">
        <v>1000</v>
      </c>
      <c r="T11" s="21">
        <f t="shared" si="4"/>
        <v>29200</v>
      </c>
      <c r="U11" s="53">
        <f>IF($J11="","",ROUND(($J11-$J$3)/1000,1)+(_xlfn.RANK.AVG($J11,($J11,$O11,$T11),1)-2)*20)</f>
        <v>-34</v>
      </c>
      <c r="V11" s="54">
        <f>IF($O11="","",ROUND(($O11-$O$3)/1000,1)+(_xlfn.RANK.AVG($O11,($J11,$O11,$T11),1)-2)*20)</f>
        <v>39.799999999999997</v>
      </c>
      <c r="W11" s="55">
        <f>IF($T11="","",ROUND(($T11-$T$3)/1000,1)+(_xlfn.RANK.AVG($T11,($J11,$O11,$T11),1)-2)*20)</f>
        <v>-5.8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104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21000</v>
      </c>
      <c r="K12" s="8" t="s">
        <v>194</v>
      </c>
      <c r="L12" s="9">
        <v>-18000</v>
      </c>
      <c r="M12" s="9"/>
      <c r="N12" s="48">
        <v>0</v>
      </c>
      <c r="O12" s="21">
        <f t="shared" si="3"/>
        <v>36800</v>
      </c>
      <c r="P12" s="8" t="s">
        <v>195</v>
      </c>
      <c r="Q12" s="9">
        <v>18000</v>
      </c>
      <c r="R12" s="9"/>
      <c r="S12" s="48">
        <v>0</v>
      </c>
      <c r="T12" s="21">
        <f t="shared" si="4"/>
        <v>47200</v>
      </c>
      <c r="U12" s="53">
        <f>IF($J12="","",ROUND(($J12-$J$3)/1000,1)+(_xlfn.RANK.AVG($J12,($J12,$O12,$T12),1)-2)*20)</f>
        <v>-34</v>
      </c>
      <c r="V12" s="54">
        <f>IF($O12="","",ROUND(($O12-$O$3)/1000,1)+(_xlfn.RANK.AVG($O12,($J12,$O12,$T12),1)-2)*20)</f>
        <v>1.8</v>
      </c>
      <c r="W12" s="55">
        <f>IF($T12="","",ROUND(($T12-$T$3)/1000,1)+(_xlfn.RANK.AVG($T12,($J12,$O12,$T12),1)-2)*20)</f>
        <v>32.200000000000003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7</v>
      </c>
      <c r="BT12" s="30" t="s">
        <v>196</v>
      </c>
      <c r="BU12" s="40" t="s">
        <v>197</v>
      </c>
      <c r="BV12" s="41" t="s">
        <v>201</v>
      </c>
      <c r="BW12" s="41" t="s">
        <v>198</v>
      </c>
      <c r="BX12" s="41" t="s">
        <v>79</v>
      </c>
      <c r="BY12" s="41" t="s">
        <v>79</v>
      </c>
      <c r="BZ12" s="41" t="s">
        <v>79</v>
      </c>
      <c r="CA12" s="41" t="s">
        <v>80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DCF62EC9-4111-4E39-9FF7-49B6FC47610F}">
      <formula1>"ロン,ツモ,放銃,ツモ支払,流局,チョンボ"</formula1>
    </dataValidation>
    <dataValidation type="list" allowBlank="1" showInputMessage="1" showErrorMessage="1" sqref="E4:E30" xr:uid="{7DB96578-92DC-4107-B26F-3E6FEE351C6A}">
      <formula1>$U$2:$W$2</formula1>
    </dataValidation>
    <dataValidation type="list" allowBlank="1" showInputMessage="1" sqref="F1:T1" xr:uid="{674B5242-7312-4FCF-9CE9-126A5936C8AF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2019-07-16T16:04:29Z</dcterms:modified>
</cp:coreProperties>
</file>