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4FD2FDF-98D6-4FCB-9C09-9ED631651160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T7" i="20"/>
  <c r="D7" i="20"/>
  <c r="C7" i="20"/>
  <c r="T6" i="20"/>
  <c r="B6" i="20"/>
  <c r="B7" i="20" s="1"/>
  <c r="A6" i="20"/>
  <c r="T5" i="20"/>
  <c r="D5" i="20"/>
  <c r="D6" i="20" s="1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4" i="20" l="1"/>
  <c r="U4" i="20"/>
  <c r="W4" i="20"/>
  <c r="B8" i="20"/>
  <c r="J5" i="20"/>
  <c r="A7" i="20"/>
  <c r="A8" i="20" s="1"/>
  <c r="T8" i="20"/>
  <c r="O5" i="20"/>
  <c r="W5" i="20" s="1"/>
  <c r="T9" i="20" l="1"/>
  <c r="U5" i="20"/>
  <c r="J6" i="20"/>
  <c r="V5" i="20"/>
  <c r="O6" i="20"/>
  <c r="B9" i="20"/>
  <c r="A9" i="20" s="1"/>
  <c r="T10" i="20" l="1"/>
  <c r="B10" i="20"/>
  <c r="A10" i="20" s="1"/>
  <c r="O7" i="20"/>
  <c r="V6" i="20"/>
  <c r="U6" i="20"/>
  <c r="J7" i="20"/>
  <c r="W6" i="20"/>
  <c r="U7" i="20" l="1"/>
  <c r="J8" i="20"/>
  <c r="W7" i="20"/>
  <c r="V7" i="20"/>
  <c r="O8" i="20"/>
  <c r="B11" i="20"/>
  <c r="A11" i="20"/>
  <c r="T11" i="20"/>
  <c r="U8" i="20" l="1"/>
  <c r="J9" i="20"/>
  <c r="W8" i="20"/>
  <c r="V8" i="20"/>
  <c r="O9" i="20"/>
  <c r="J10" i="20" l="1"/>
  <c r="U9" i="20"/>
  <c r="W9" i="20"/>
  <c r="V9" i="20"/>
  <c r="O10" i="20"/>
  <c r="U10" i="20" l="1"/>
  <c r="J11" i="20"/>
  <c r="W10" i="20"/>
  <c r="O11" i="20"/>
  <c r="V10" i="20"/>
  <c r="U11" i="20" l="1"/>
  <c r="W11" i="20"/>
  <c r="V11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1" i="19" l="1"/>
  <c r="W11" i="19"/>
  <c r="V10" i="19"/>
  <c r="W10" i="19"/>
  <c r="V9" i="19"/>
  <c r="W9" i="19"/>
  <c r="V8" i="19"/>
  <c r="U8" i="19"/>
  <c r="W8" i="19"/>
  <c r="V7" i="19"/>
  <c r="U7" i="19"/>
  <c r="W7" i="19"/>
  <c r="W6" i="19"/>
  <c r="U6" i="19"/>
  <c r="V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<sst xmlns="http://schemas.openxmlformats.org/spreadsheetml/2006/main" count="679" uniqueCount="208">
  <si>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</si>
  <si>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</si>
  <si>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</si>
  <si>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</si>
  <si>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</si>
  <si>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</si>
  <si>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</si>
  <si>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</si>
  <si>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</si>
  <si>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</si>
  <si>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</si>
  <si>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</si>
  <si>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</si>
  <si>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</si>
  <si>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</si>
  <si>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</si>
  <si>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</si>
  <si>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</si>
  <si>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</si>
  <si>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</si>
  <si>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</si>
  <si>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</si>
  <si>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</si>
  <si>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</si>
  <si>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</si>
  <si>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</si>
  <si>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</si>
  <si>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</si>
  <si>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</si>
  <si>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</si>
  <si>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</si>
  <si>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</si>
  <si>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</si>
  <si>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</si>
  <si>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</si>
  <si>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</si>
  <si>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</si>
  <si>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</si>
  <si>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</si>
  <si>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</si>
  <si>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</si>
  <si>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</si>
  <si>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</si>
  <si>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</si>
  <si>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</si>
  <si>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</si>
  <si>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</si>
  <si>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</si>
  <si>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</si>
  <si>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</si>
  <si>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</si>
  <si>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</si>
  <si>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</si>
  <si>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</si>
  <si>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</si>
  <si>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</si>
  <si>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</si>
  <si>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</si>
  <si>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</si>
  <si>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</si>
  <si>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</si>
  <si>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</si>
  <si>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</si>
  <si>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</si>
  <si>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</si>
  <si>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</si>
  <si>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</si>
  <si>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</si>
  <si>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</si>
  <si>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</si>
  <si>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</si>
  <si>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</si>
  <si>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</si>
  <si>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</si>
  <si>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</si>
  <si>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</si>
  <si>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</si>
  <si>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</si>
  <si>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</si>
  <si>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</si>
  <si>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</si>
  <si>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</si>
  <si>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</si>
  <si>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</si>
  <si>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</si>
  <si>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</si>
  <si>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</si>
  <si>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</si>
  <si>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</si>
  <si>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</si>
  <si>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</si>
  <si>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</si>
  <si>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</si>
  <si>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</si>
  <si>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</si>
  <si>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</si>
  <si>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</si>
  <si>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</si>
  <si>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</si>
  <si>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</si>
  <si>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</si>
  <si>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</si>
  <si>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</si>
  <si>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</si>
  <si>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</si>
  <si>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</si>
  <si>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</si>
  <si>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</si>
  <si>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</si>
  <si>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</si>
  <si>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</si>
  <si>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</si>
  <si>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</si>
  <si>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</si>
  <si>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</si>
  <si>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</si>
  <si>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</si>
  <si>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</si>
  <si>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</si>
  <si>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</si>
  <si>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</si>
  <si>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</si>
  <si>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</si>
  <si>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</si>
  <si>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</si>
  <si>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</si>
  <si>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</si>
  <si>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</si>
  <si>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</si>
  <si>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</si>
  <si>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</si>
  <si>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</si>
  <si>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</si>
  <si>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</si>
  <si>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</si>
  <si>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</si>
  <si>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</si>
  <si>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</si>
  <si>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</si>
  <si>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</si>
  <si>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</si>
  <si>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</si>
  <si>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</si>
  <si>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</si>
  <si>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</si>
  <si>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</si>
  <si>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</si>
  <si>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</si>
  <si>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</si>
  <si>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</si>
  <si>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</si>
  <si>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</si>
  <si>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</si>
  <si>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</si>
  <si>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</si>
  <si>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</si>
  <si>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</si>
  <si>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</si>
  <si>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</si>
  <si>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</si>
  <si>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</si>
  <si>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</si>
  <si>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</si>
  <si>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</si>
  <si>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</si>
  <si>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</si>
  <si>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</si>
  <si>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</si>
  <si>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</si>
  <si>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</si>
  <si>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</si>
  <si>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</si>
  <si>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</si>
  <si>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</si>
  <si>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</si>
  <si>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</si>
  <si>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</si>
  <si>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</si>
  <si>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</si>
  <si>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</si>
  <si>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</si>
  <si>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</si>
  <si>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</si>
  <si>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</si>
  <si>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</si>
  <si>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</si>
  <si>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</si>
  <si>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</si>
  <si>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</si>
  <si>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</si>
  <si>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</si>
  <si>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</si>
  <si>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だいち</t>
  </si>
  <si>
    <t>たかの</t>
  </si>
  <si>
    <t>ツモ支払</t>
  </si>
  <si>
    <t>ツモ</t>
  </si>
  <si>
    <t>01</t>
  </si>
  <si>
    <t>N</t>
  </si>
  <si>
    <t>T</t>
  </si>
  <si>
    <t>流局</t>
    <phoneticPr fontId="1"/>
  </si>
  <si>
    <t>*</t>
  </si>
  <si>
    <t>52</t>
  </si>
  <si>
    <t>放銃</t>
  </si>
  <si>
    <t>ロン</t>
  </si>
  <si>
    <t>1</t>
  </si>
  <si>
    <t>まっつん</t>
  </si>
  <si>
    <t>ぱぱ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</si>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</sst>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-1500</v>
      </c>
      <c r="H5" s="9"/>
      <c r="I5" s="48"/>
      <c r="J5" s="21">
        <f t="shared" ref="J5:J30" si="2">IF(COUNTA($F5,$K5,$P5)&gt;0,J4+SUM(G5:I5),"")</f>
        <v>30500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199</v>
      </c>
      <c r="Q5" s="9">
        <v>3000</v>
      </c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-14.5</v>
      </c>
      <c r="V5" s="54">
        <f>IF($O5="","",ROUND(($O5-$O$3)/1000,1)+(_xlfn.RANK.AVG($O5,($J5,$O5,$T5),1)-2)*20)</f>
        <v>-14.5</v>
      </c>
      <c r="W5" s="55">
        <f>IF($T5="","",ROUND(($T5-$T$3)/1000,1)+(_xlfn.RANK.AVG($T5,($J5,$O5,$T5),1)-2)*20)</f>
        <v>29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194</v>
      </c>
      <c r="G6" s="9">
        <v>-6000</v>
      </c>
      <c r="H6" s="9"/>
      <c r="I6" s="48">
        <v>-1000</v>
      </c>
      <c r="J6" s="21">
        <f t="shared" si="2"/>
        <v>23500</v>
      </c>
      <c r="K6" s="8" t="s">
        <v>195</v>
      </c>
      <c r="L6" s="9">
        <v>16000</v>
      </c>
      <c r="M6" s="9"/>
      <c r="N6" s="48">
        <v>2000</v>
      </c>
      <c r="O6" s="21">
        <f t="shared" si="3"/>
        <v>48500</v>
      </c>
      <c r="P6" s="8" t="s">
        <v>194</v>
      </c>
      <c r="Q6" s="9">
        <v>-10000</v>
      </c>
      <c r="R6" s="9"/>
      <c r="S6" s="48">
        <v>-1000</v>
      </c>
      <c r="T6" s="21">
        <f t="shared" si="4"/>
        <v>33000</v>
      </c>
      <c r="U6" s="53">
        <f>IF($J6="","",ROUND(($J6-$J$3)/1000,1)+(_xlfn.RANK.AVG($J6,($J6,$O6,$T6),1)-2)*20)</f>
        <v>-31.5</v>
      </c>
      <c r="V6" s="54">
        <f>IF($O6="","",ROUND(($O6-$O$3)/1000,1)+(_xlfn.RANK.AVG($O6,($J6,$O6,$T6),1)-2)*20)</f>
        <v>33.5</v>
      </c>
      <c r="W6" s="55">
        <f>IF($T6="","",ROUND(($T6-$T$3)/1000,1)+(_xlfn.RANK.AVG($T6,($J6,$O6,$T6),1)-2)*20)</f>
        <v>-2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200</v>
      </c>
      <c r="AZ6" s="40" t="s">
        <v>196</v>
      </c>
      <c r="BA6" s="41" t="s">
        <v>82</v>
      </c>
      <c r="BB6" s="41" t="s">
        <v>92</v>
      </c>
      <c r="BC6" s="41" t="s">
        <v>79</v>
      </c>
      <c r="BD6" s="41" t="s">
        <v>79</v>
      </c>
      <c r="BE6" s="41" t="s">
        <v>79</v>
      </c>
      <c r="BF6" s="41" t="s">
        <v>201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-3200</v>
      </c>
      <c r="H7" s="9"/>
      <c r="I7" s="48">
        <v>0</v>
      </c>
      <c r="J7" s="21">
        <f t="shared" si="2"/>
        <v>20300</v>
      </c>
      <c r="K7" s="8" t="s">
        <v>203</v>
      </c>
      <c r="L7" s="9">
        <v>3200</v>
      </c>
      <c r="M7" s="9"/>
      <c r="N7" s="48">
        <v>0</v>
      </c>
      <c r="O7" s="21">
        <f t="shared" si="3"/>
        <v>51700</v>
      </c>
      <c r="P7" s="8"/>
      <c r="Q7" s="9"/>
      <c r="R7" s="9"/>
      <c r="S7" s="48"/>
      <c r="T7" s="21">
        <f t="shared" si="4"/>
        <v>33000</v>
      </c>
      <c r="U7" s="53">
        <f>IF($J7="","",ROUND(($J7-$J$3)/1000,1)+(_xlfn.RANK.AVG($J7,($J7,$O7,$T7),1)-2)*20)</f>
        <v>-34.700000000000003</v>
      </c>
      <c r="V7" s="54">
        <f>IF($O7="","",ROUND(($O7-$O$3)/1000,1)+(_xlfn.RANK.AVG($O7,($J7,$O7,$T7),1)-2)*20)</f>
        <v>36.700000000000003</v>
      </c>
      <c r="W7" s="55">
        <f>IF($T7="","",ROUND(($T7-$T$3)/1000,1)+(_xlfn.RANK.AVG($T7,($J7,$O7,$T7),1)-2)*20)</f>
        <v>-2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25</v>
      </c>
      <c r="AZ7" s="40" t="s">
        <v>196</v>
      </c>
      <c r="BA7" s="41" t="s">
        <v>101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20300</v>
      </c>
      <c r="K8" s="8" t="s">
        <v>203</v>
      </c>
      <c r="L8" s="9">
        <v>3900</v>
      </c>
      <c r="M8" s="9"/>
      <c r="N8" s="48">
        <v>0</v>
      </c>
      <c r="O8" s="21">
        <f t="shared" si="3"/>
        <v>55600</v>
      </c>
      <c r="P8" s="8" t="s">
        <v>202</v>
      </c>
      <c r="Q8" s="9">
        <v>-3900</v>
      </c>
      <c r="R8" s="9"/>
      <c r="S8" s="48">
        <v>0</v>
      </c>
      <c r="T8" s="21">
        <f t="shared" si="4"/>
        <v>29100</v>
      </c>
      <c r="U8" s="53">
        <f>IF($J8="","",ROUND(($J8-$J$3)/1000,1)+(_xlfn.RANK.AVG($J8,($J8,$O8,$T8),1)-2)*20)</f>
        <v>-34.700000000000003</v>
      </c>
      <c r="V8" s="54">
        <f>IF($O8="","",ROUND(($O8-$O$3)/1000,1)+(_xlfn.RANK.AVG($O8,($J8,$O8,$T8),1)-2)*20)</f>
        <v>40.6</v>
      </c>
      <c r="W8" s="55">
        <f>IF($T8="","",ROUND(($T8-$T$3)/1000,1)+(_xlfn.RANK.AVG($T8,($J8,$O8,$T8),1)-2)*20)</f>
        <v>-5.9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196</v>
      </c>
      <c r="BA8" s="41" t="s">
        <v>201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202</v>
      </c>
      <c r="G9" s="9">
        <v>-16000</v>
      </c>
      <c r="H9" s="9"/>
      <c r="I9" s="48">
        <v>-1000</v>
      </c>
      <c r="J9" s="21">
        <f t="shared" si="2"/>
        <v>3300</v>
      </c>
      <c r="K9" s="8"/>
      <c r="L9" s="9"/>
      <c r="M9" s="9"/>
      <c r="N9" s="48"/>
      <c r="O9" s="21">
        <f t="shared" si="3"/>
        <v>55600</v>
      </c>
      <c r="P9" s="8" t="s">
        <v>203</v>
      </c>
      <c r="Q9" s="9">
        <v>16000</v>
      </c>
      <c r="R9" s="9"/>
      <c r="S9" s="48">
        <v>1000</v>
      </c>
      <c r="T9" s="21">
        <f t="shared" si="4"/>
        <v>46100</v>
      </c>
      <c r="U9" s="53">
        <f>IF($J9="","",ROUND(($J9-$J$3)/1000,1)+(_xlfn.RANK.AVG($J9,($J9,$O9,$T9),1)-2)*20)</f>
        <v>-51.7</v>
      </c>
      <c r="V9" s="54">
        <f>IF($O9="","",ROUND(($O9-$O$3)/1000,1)+(_xlfn.RANK.AVG($O9,($J9,$O9,$T9),1)-2)*20)</f>
        <v>40.6</v>
      </c>
      <c r="W9" s="55">
        <f>IF($T9="","",ROUND(($T9-$T$3)/1000,1)+(_xlfn.RANK.AVG($T9,($J9,$O9,$T9),1)-2)*20)</f>
        <v>11.1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8</v>
      </c>
      <c r="BT9" s="30" t="s">
        <v>200</v>
      </c>
      <c r="BU9" s="40" t="s">
        <v>106</v>
      </c>
      <c r="BV9" s="41" t="s">
        <v>83</v>
      </c>
      <c r="BW9" s="41" t="s">
        <v>84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-3000</v>
      </c>
      <c r="H10" s="9"/>
      <c r="I10" s="48">
        <v>0</v>
      </c>
      <c r="J10" s="21">
        <f t="shared" si="2"/>
        <v>300</v>
      </c>
      <c r="K10" s="8" t="s">
        <v>194</v>
      </c>
      <c r="L10" s="9">
        <v>-3000</v>
      </c>
      <c r="M10" s="9"/>
      <c r="N10" s="48">
        <v>0</v>
      </c>
      <c r="O10" s="21">
        <f t="shared" si="3"/>
        <v>52600</v>
      </c>
      <c r="P10" s="8" t="s">
        <v>195</v>
      </c>
      <c r="Q10" s="9">
        <v>6000</v>
      </c>
      <c r="R10" s="9"/>
      <c r="S10" s="48">
        <v>0</v>
      </c>
      <c r="T10" s="21">
        <f t="shared" si="4"/>
        <v>52100</v>
      </c>
      <c r="U10" s="53">
        <f>IF($J10="","",ROUND(($J10-$J$3)/1000,1)+(_xlfn.RANK.AVG($J10,($J10,$O10,$T10),1)-2)*20)</f>
        <v>-54.7</v>
      </c>
      <c r="V10" s="54">
        <f>IF($O10="","",ROUND(($O10-$O$3)/1000,1)+(_xlfn.RANK.AVG($O10,($J10,$O10,$T10),1)-2)*20)</f>
        <v>37.6</v>
      </c>
      <c r="W10" s="55">
        <f>IF($T10="","",ROUND(($T10-$T$3)/1000,1)+(_xlfn.RANK.AVG($T10,($J10,$O10,$T10),1)-2)*20)</f>
        <v>17.100000000000001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196</v>
      </c>
      <c r="BV10" s="41" t="s">
        <v>82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202</v>
      </c>
      <c r="G11" s="9">
        <v>-2000</v>
      </c>
      <c r="H11" s="9"/>
      <c r="I11" s="48">
        <v>-1000</v>
      </c>
      <c r="J11" s="21">
        <f t="shared" si="2"/>
        <v>-2700</v>
      </c>
      <c r="K11" s="8"/>
      <c r="L11" s="9"/>
      <c r="M11" s="9"/>
      <c r="N11" s="48"/>
      <c r="O11" s="21">
        <f t="shared" si="3"/>
        <v>52600</v>
      </c>
      <c r="P11" s="8" t="s">
        <v>203</v>
      </c>
      <c r="Q11" s="9">
        <v>2000</v>
      </c>
      <c r="R11" s="9"/>
      <c r="S11" s="48">
        <v>1000</v>
      </c>
      <c r="T11" s="21">
        <f t="shared" si="4"/>
        <v>55100</v>
      </c>
      <c r="U11" s="53">
        <f>IF($J11="","",ROUND(($J11-$J$3)/1000,1)+(_xlfn.RANK.AVG($J11,($J11,$O11,$T11),1)-2)*20)</f>
        <v>-57.7</v>
      </c>
      <c r="V11" s="54">
        <f>IF($O11="","",ROUND(($O11-$O$3)/1000,1)+(_xlfn.RANK.AVG($O11,($J11,$O11,$T11),1)-2)*20)</f>
        <v>17.600000000000001</v>
      </c>
      <c r="W11" s="55">
        <f>IF($T11="","",ROUND(($T11-$T$3)/1000,1)+(_xlfn.RANK.AVG($T11,($J11,$O11,$T11),1)-2)*20)</f>
        <v>40.1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1</v>
      </c>
      <c r="BT11" s="30">
        <v>40</v>
      </c>
      <c r="BU11" s="40" t="s">
        <v>204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C3D2899-E9C4-42D9-AB75-606D78CA0222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98D1E-F76F-4366-81BD-E0A86BF3BA0C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ぱぱ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ぱぱ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194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25.3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40</v>
      </c>
      <c r="BU4" s="40" t="s">
        <v>82</v>
      </c>
      <c r="BV4" s="41" t="s">
        <v>86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-2600</v>
      </c>
      <c r="H5" s="9"/>
      <c r="I5" s="48">
        <v>0</v>
      </c>
      <c r="J5" s="21">
        <f t="shared" ref="J5:J30" si="2">IF(COUNTA($F5,$K5,$P5)&gt;0,J4+SUM(G5:I5),"")</f>
        <v>29100</v>
      </c>
      <c r="K5" s="8"/>
      <c r="L5" s="9"/>
      <c r="M5" s="9"/>
      <c r="N5" s="48"/>
      <c r="O5" s="21">
        <f t="shared" ref="O5:O30" si="3">IF(COUNTA($F5,$K5,$P5)&gt;0,O4+SUM(L5:N5),"")</f>
        <v>33000</v>
      </c>
      <c r="P5" s="8" t="s">
        <v>203</v>
      </c>
      <c r="Q5" s="9">
        <v>2600</v>
      </c>
      <c r="R5" s="9"/>
      <c r="S5" s="48">
        <v>0</v>
      </c>
      <c r="T5" s="21">
        <f t="shared" ref="T5:T30" si="4">IF(COUNTA($F5,$K5,$P5)&gt;0,T4+SUM(Q5:S5),"")</f>
        <v>42900</v>
      </c>
      <c r="U5" s="53">
        <f>IF($J5="","",ROUND(($J5-$J$3)/1000,1)+(_xlfn.RANK.AVG($J5,($J5,$O5,$T5),1)-2)*20)</f>
        <v>-25.9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27.9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86</v>
      </c>
      <c r="BV5" s="41" t="s">
        <v>201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>
        <v>-1000</v>
      </c>
      <c r="I6" s="48"/>
      <c r="J6" s="21">
        <f t="shared" si="2"/>
        <v>28100</v>
      </c>
      <c r="K6" s="8" t="s">
        <v>203</v>
      </c>
      <c r="L6" s="9">
        <v>5200</v>
      </c>
      <c r="M6" s="9">
        <v>2000</v>
      </c>
      <c r="N6" s="48">
        <v>0</v>
      </c>
      <c r="O6" s="21">
        <f t="shared" si="3"/>
        <v>40200</v>
      </c>
      <c r="P6" s="8" t="s">
        <v>202</v>
      </c>
      <c r="Q6" s="9">
        <v>-5200</v>
      </c>
      <c r="R6" s="9">
        <v>-1000</v>
      </c>
      <c r="S6" s="48">
        <v>0</v>
      </c>
      <c r="T6" s="21">
        <f t="shared" si="4"/>
        <v>36700</v>
      </c>
      <c r="U6" s="53">
        <f>IF($J6="","",ROUND(($J6-$J$3)/1000,1)+(_xlfn.RANK.AVG($J6,($J6,$O6,$T6),1)-2)*20)</f>
        <v>-26.9</v>
      </c>
      <c r="V6" s="54">
        <f>IF($O6="","",ROUND(($O6-$O$3)/1000,1)+(_xlfn.RANK.AVG($O6,($J6,$O6,$T6),1)-2)*20)</f>
        <v>25.2</v>
      </c>
      <c r="W6" s="55">
        <f>IF($T6="","",ROUND(($T6-$T$3)/1000,1)+(_xlfn.RANK.AVG($T6,($J6,$O6,$T6),1)-2)*20)</f>
        <v>1.7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196</v>
      </c>
      <c r="BA6" s="41" t="s">
        <v>80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203</v>
      </c>
      <c r="G7" s="9">
        <v>4800</v>
      </c>
      <c r="H7" s="9"/>
      <c r="I7" s="48">
        <v>0</v>
      </c>
      <c r="J7" s="21">
        <f t="shared" si="2"/>
        <v>32900</v>
      </c>
      <c r="K7" s="8"/>
      <c r="L7" s="9"/>
      <c r="M7" s="9"/>
      <c r="N7" s="48"/>
      <c r="O7" s="21">
        <f t="shared" si="3"/>
        <v>40200</v>
      </c>
      <c r="P7" s="8" t="s">
        <v>202</v>
      </c>
      <c r="Q7" s="9">
        <v>-4800</v>
      </c>
      <c r="R7" s="9"/>
      <c r="S7" s="48">
        <v>0</v>
      </c>
      <c r="T7" s="21">
        <f t="shared" si="4"/>
        <v>31900</v>
      </c>
      <c r="U7" s="53">
        <f>IF($J7="","",ROUND(($J7-$J$3)/1000,1)+(_xlfn.RANK.AVG($J7,($J7,$O7,$T7),1)-2)*20)</f>
        <v>-2.1</v>
      </c>
      <c r="V7" s="54">
        <f>IF($O7="","",ROUND(($O7-$O$3)/1000,1)+(_xlfn.RANK.AVG($O7,($J7,$O7,$T7),1)-2)*20)</f>
        <v>25.2</v>
      </c>
      <c r="W7" s="55">
        <f>IF($T7="","",ROUND(($T7-$T$3)/1000,1)+(_xlfn.RANK.AVG($T7,($J7,$O7,$T7),1)-2)*20)</f>
        <v>-23.1</v>
      </c>
      <c r="Y7" s="8"/>
      <c r="Z7" s="34"/>
      <c r="AA7" s="26">
        <v>1</v>
      </c>
      <c r="AB7" s="26"/>
      <c r="AC7" s="26">
        <v>3</v>
      </c>
      <c r="AD7" s="30">
        <v>25</v>
      </c>
      <c r="AE7" s="40" t="s">
        <v>196</v>
      </c>
      <c r="AF7" s="41" t="s">
        <v>101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205</v>
      </c>
      <c r="F8" s="8" t="s">
        <v>194</v>
      </c>
      <c r="G8" s="9">
        <v>-5000</v>
      </c>
      <c r="H8" s="9"/>
      <c r="I8" s="48">
        <v>-500</v>
      </c>
      <c r="J8" s="21">
        <f t="shared" si="2"/>
        <v>27400</v>
      </c>
      <c r="K8" s="8" t="s">
        <v>195</v>
      </c>
      <c r="L8" s="9">
        <v>8000</v>
      </c>
      <c r="M8" s="9"/>
      <c r="N8" s="48">
        <v>1000</v>
      </c>
      <c r="O8" s="21">
        <f t="shared" si="3"/>
        <v>49200</v>
      </c>
      <c r="P8" s="8" t="s">
        <v>194</v>
      </c>
      <c r="Q8" s="9">
        <v>-3000</v>
      </c>
      <c r="R8" s="9"/>
      <c r="S8" s="48">
        <v>-500</v>
      </c>
      <c r="T8" s="21">
        <f t="shared" si="4"/>
        <v>28400</v>
      </c>
      <c r="U8" s="53">
        <f>IF($J8="","",ROUND(($J8-$J$3)/1000,1)+(_xlfn.RANK.AVG($J8,($J8,$O8,$T8),1)-2)*20)</f>
        <v>-27.6</v>
      </c>
      <c r="V8" s="54">
        <f>IF($O8="","",ROUND(($O8-$O$3)/1000,1)+(_xlfn.RANK.AVG($O8,($J8,$O8,$T8),1)-2)*20)</f>
        <v>34.200000000000003</v>
      </c>
      <c r="W8" s="55">
        <f>IF($T8="","",ROUND(($T8-$T$3)/1000,1)+(_xlfn.RANK.AVG($T8,($J8,$O8,$T8),1)-2)*20)</f>
        <v>-6.6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200</v>
      </c>
      <c r="AZ8" s="40" t="s">
        <v>196</v>
      </c>
      <c r="BA8" s="41" t="s">
        <v>82</v>
      </c>
      <c r="BB8" s="41" t="s">
        <v>207</v>
      </c>
      <c r="BC8" s="41" t="s">
        <v>80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7700</v>
      </c>
      <c r="H9" s="9"/>
      <c r="I9" s="48">
        <v>0</v>
      </c>
      <c r="J9" s="21">
        <f t="shared" si="2"/>
        <v>35100</v>
      </c>
      <c r="K9" s="8" t="s">
        <v>194</v>
      </c>
      <c r="L9" s="9">
        <v>-4800</v>
      </c>
      <c r="M9" s="9"/>
      <c r="N9" s="48">
        <v>0</v>
      </c>
      <c r="O9" s="21">
        <f t="shared" si="3"/>
        <v>44400</v>
      </c>
      <c r="P9" s="8" t="s">
        <v>194</v>
      </c>
      <c r="Q9" s="9">
        <v>-2900</v>
      </c>
      <c r="R9" s="9"/>
      <c r="S9" s="48">
        <v>0</v>
      </c>
      <c r="T9" s="21">
        <f t="shared" si="4"/>
        <v>25500</v>
      </c>
      <c r="U9" s="53">
        <f>IF($J9="","",ROUND(($J9-$J$3)/1000,1)+(_xlfn.RANK.AVG($J9,($J9,$O9,$T9),1)-2)*20)</f>
        <v>0.1</v>
      </c>
      <c r="V9" s="54">
        <f>IF($O9="","",ROUND(($O9-$O$3)/1000,1)+(_xlfn.RANK.AVG($O9,($J9,$O9,$T9),1)-2)*20)</f>
        <v>29.4</v>
      </c>
      <c r="W9" s="55">
        <f>IF($T9="","",ROUND(($T9-$T$3)/1000,1)+(_xlfn.RANK.AVG($T9,($J9,$O9,$T9),1)-2)*20)</f>
        <v>-29.5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196</v>
      </c>
      <c r="AF9" s="41" t="s">
        <v>82</v>
      </c>
      <c r="AG9" s="41" t="s">
        <v>207</v>
      </c>
      <c r="AH9" s="41" t="s">
        <v>201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194</v>
      </c>
      <c r="G10" s="9">
        <v>-2000</v>
      </c>
      <c r="H10" s="9"/>
      <c r="I10" s="48">
        <v>0</v>
      </c>
      <c r="J10" s="21">
        <f t="shared" si="2"/>
        <v>33100</v>
      </c>
      <c r="K10" s="8" t="s">
        <v>195</v>
      </c>
      <c r="L10" s="9">
        <v>5300</v>
      </c>
      <c r="M10" s="9"/>
      <c r="N10" s="48">
        <v>0</v>
      </c>
      <c r="O10" s="21">
        <f t="shared" si="3"/>
        <v>49700</v>
      </c>
      <c r="P10" s="8" t="s">
        <v>194</v>
      </c>
      <c r="Q10" s="9">
        <v>-3300</v>
      </c>
      <c r="R10" s="9"/>
      <c r="S10" s="48">
        <v>0</v>
      </c>
      <c r="T10" s="21">
        <f t="shared" si="4"/>
        <v>22200</v>
      </c>
      <c r="U10" s="53">
        <f>IF($J10="","",ROUND(($J10-$J$3)/1000,1)+(_xlfn.RANK.AVG($J10,($J10,$O10,$T10),1)-2)*20)</f>
        <v>-1.9</v>
      </c>
      <c r="V10" s="54">
        <f>IF($O10="","",ROUND(($O10-$O$3)/1000,1)+(_xlfn.RANK.AVG($O10,($J10,$O10,$T10),1)-2)*20)</f>
        <v>34.700000000000003</v>
      </c>
      <c r="W10" s="55">
        <f>IF($T10="","",ROUND(($T10-$T$3)/1000,1)+(_xlfn.RANK.AVG($T10,($J10,$O10,$T10),1)-2)*20)</f>
        <v>-32.799999999999997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20</v>
      </c>
      <c r="AZ10" s="40" t="s">
        <v>196</v>
      </c>
      <c r="BA10" s="41" t="s">
        <v>82</v>
      </c>
      <c r="BB10" s="41" t="s">
        <v>83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08B9406-4A25-48C5-89B6-7374D36CC49B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4F9EB535-37BA-4550-A5DB-303E7D017993}">
      <formula1>"ロン,ツモ,放銃,ツモ支払,流局,チョンボ"</formula1>
    </dataValidation>
    <dataValidation type="list" allowBlank="1" showInputMessage="1" showErrorMessage="1" sqref="E4:E30" xr:uid="{B0FBF00E-6256-4D7B-B86E-7AA55AA3F5B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2019-06-14T15:47:07Z</dcterms:modified>
</cp:coreProperties>
</file>