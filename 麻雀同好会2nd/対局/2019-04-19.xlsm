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EC97114-F78A-4349-962C-013C19CF99E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O15" i="17"/>
  <c r="J15" i="17"/>
  <c r="D15" i="17"/>
  <c r="C15" i="17"/>
  <c r="B15" i="17"/>
  <c r="A15" i="17" s="1"/>
  <c r="T14" i="17"/>
  <c r="O14" i="17"/>
  <c r="V14" i="17" s="1"/>
  <c r="J14" i="17"/>
  <c r="D14" i="17"/>
  <c r="C14" i="17"/>
  <c r="B14" i="17"/>
  <c r="A14" i="17"/>
  <c r="T13" i="17"/>
  <c r="O13" i="17"/>
  <c r="J13" i="17"/>
  <c r="D13" i="17"/>
  <c r="C13" i="17"/>
  <c r="B13" i="17"/>
  <c r="A13" i="17"/>
  <c r="D12" i="17"/>
  <c r="C12" i="17"/>
  <c r="D11" i="17"/>
  <c r="C11" i="17"/>
  <c r="D10" i="17"/>
  <c r="D7" i="17"/>
  <c r="D8" i="17" s="1"/>
  <c r="D9" i="17" s="1"/>
  <c r="C7" i="17"/>
  <c r="C8" i="17" s="1"/>
  <c r="C9" i="17" s="1"/>
  <c r="C10" i="17" s="1"/>
  <c r="B7" i="17"/>
  <c r="B8" i="17" s="1"/>
  <c r="D6" i="17"/>
  <c r="C6" i="17"/>
  <c r="B6" i="17"/>
  <c r="T5" i="17"/>
  <c r="O5" i="17"/>
  <c r="D5" i="17"/>
  <c r="C5" i="17"/>
  <c r="B5" i="17"/>
  <c r="A5" i="17" s="1"/>
  <c r="T4" i="17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D14" i="16"/>
  <c r="C14" i="16"/>
  <c r="D13" i="16"/>
  <c r="C13" i="16"/>
  <c r="D12" i="16"/>
  <c r="C12" i="16"/>
  <c r="D11" i="16"/>
  <c r="C11" i="16"/>
  <c r="C9" i="16"/>
  <c r="C10" i="16" s="1"/>
  <c r="D8" i="16"/>
  <c r="D9" i="16" s="1"/>
  <c r="D10" i="16" s="1"/>
  <c r="C8" i="16"/>
  <c r="D7" i="16"/>
  <c r="D6" i="16"/>
  <c r="D5" i="16"/>
  <c r="C5" i="16"/>
  <c r="C6" i="16" s="1"/>
  <c r="C7" i="16" s="1"/>
  <c r="B5" i="16"/>
  <c r="A5" i="16" s="1"/>
  <c r="T4" i="16"/>
  <c r="O4" i="16"/>
  <c r="J4" i="16"/>
  <c r="U4" i="16" s="1"/>
  <c r="W3" i="16"/>
  <c r="V3" i="16"/>
  <c r="U3" i="16"/>
  <c r="W2" i="16"/>
  <c r="V2" i="16"/>
  <c r="U2" i="16"/>
  <c r="BO1" i="16"/>
  <c r="AT1" i="16"/>
  <c r="Y1" i="16"/>
  <c r="U15" i="17" l="1"/>
  <c r="V15" i="17"/>
  <c r="W15" i="17"/>
  <c r="U14" i="17"/>
  <c r="W14" i="17"/>
  <c r="U13" i="17"/>
  <c r="W13" i="17"/>
  <c r="V13" i="17"/>
  <c r="A7" i="17"/>
  <c r="A6" i="17"/>
  <c r="W4" i="17"/>
  <c r="B9" i="17"/>
  <c r="A9" i="17" s="1"/>
  <c r="V5" i="17"/>
  <c r="J5" i="17"/>
  <c r="U4" i="17"/>
  <c r="V4" i="17"/>
  <c r="A8" i="17"/>
  <c r="O6" i="17"/>
  <c r="T6" i="17"/>
  <c r="V4" i="16"/>
  <c r="W4" i="16"/>
  <c r="B6" i="16"/>
  <c r="A6" i="16" s="1"/>
  <c r="O5" i="16"/>
  <c r="J5" i="16"/>
  <c r="T5" i="16"/>
  <c r="J6" i="17" l="1"/>
  <c r="U5" i="17"/>
  <c r="T7" i="17"/>
  <c r="B10" i="17"/>
  <c r="A10" i="17" s="1"/>
  <c r="O7" i="17"/>
  <c r="W5" i="17"/>
  <c r="W5" i="16"/>
  <c r="T6" i="16"/>
  <c r="B7" i="16"/>
  <c r="A7" i="16" s="1"/>
  <c r="U5" i="16"/>
  <c r="J6" i="16"/>
  <c r="V5" i="16"/>
  <c r="O6" i="16"/>
  <c r="U6" i="17" l="1"/>
  <c r="J7" i="17"/>
  <c r="O8" i="17"/>
  <c r="V7" i="17"/>
  <c r="V6" i="17"/>
  <c r="B11" i="17"/>
  <c r="W7" i="17"/>
  <c r="T8" i="17"/>
  <c r="W6" i="17"/>
  <c r="U6" i="16"/>
  <c r="J7" i="16"/>
  <c r="V6" i="16"/>
  <c r="O7" i="16"/>
  <c r="B8" i="16"/>
  <c r="A8" i="16" s="1"/>
  <c r="T7" i="16"/>
  <c r="W6" i="16"/>
  <c r="B12" i="17" l="1"/>
  <c r="A12" i="17" s="1"/>
  <c r="T9" i="17"/>
  <c r="A11" i="17"/>
  <c r="O9" i="17"/>
  <c r="U7" i="17"/>
  <c r="J8" i="17"/>
  <c r="J8" i="16"/>
  <c r="U7" i="16"/>
  <c r="W7" i="16"/>
  <c r="T8" i="16"/>
  <c r="B9" i="16"/>
  <c r="A9" i="16" s="1"/>
  <c r="O8" i="16"/>
  <c r="V7" i="16"/>
  <c r="U8" i="17" l="1"/>
  <c r="J9" i="17"/>
  <c r="V8" i="17"/>
  <c r="V9" i="17"/>
  <c r="O10" i="17"/>
  <c r="W8" i="17"/>
  <c r="W9" i="17"/>
  <c r="T10" i="17"/>
  <c r="U8" i="16"/>
  <c r="J9" i="16"/>
  <c r="V8" i="16"/>
  <c r="O9" i="16"/>
  <c r="B10" i="16"/>
  <c r="A10" i="16" s="1"/>
  <c r="W8" i="16"/>
  <c r="T9" i="16"/>
  <c r="O11" i="17" l="1"/>
  <c r="T11" i="17"/>
  <c r="J10" i="17"/>
  <c r="V10" i="17" s="1"/>
  <c r="U9" i="17"/>
  <c r="U9" i="16"/>
  <c r="J10" i="16"/>
  <c r="T10" i="16"/>
  <c r="W9" i="16"/>
  <c r="B11" i="16"/>
  <c r="A11" i="16" s="1"/>
  <c r="V9" i="16"/>
  <c r="O10" i="16"/>
  <c r="U10" i="17" l="1"/>
  <c r="J11" i="17"/>
  <c r="W11" i="17"/>
  <c r="T12" i="17"/>
  <c r="W10" i="17"/>
  <c r="O12" i="17"/>
  <c r="V11" i="17"/>
  <c r="U10" i="16"/>
  <c r="J11" i="16"/>
  <c r="V10" i="16"/>
  <c r="O11" i="16"/>
  <c r="B12" i="16"/>
  <c r="A12" i="16" s="1"/>
  <c r="W10" i="16"/>
  <c r="T11" i="16"/>
  <c r="U11" i="17" l="1"/>
  <c r="J12" i="17"/>
  <c r="U12" i="17" s="1"/>
  <c r="U11" i="16"/>
  <c r="J12" i="16"/>
  <c r="W11" i="16"/>
  <c r="T12" i="16"/>
  <c r="B13" i="16"/>
  <c r="A13" i="16" s="1"/>
  <c r="O12" i="16"/>
  <c r="V11" i="16"/>
  <c r="V12" i="17" l="1"/>
  <c r="W12" i="17"/>
  <c r="U12" i="16"/>
  <c r="J13" i="16"/>
  <c r="V12" i="16"/>
  <c r="O13" i="16"/>
  <c r="B14" i="16"/>
  <c r="A14" i="16" s="1"/>
  <c r="W12" i="16"/>
  <c r="T13" i="16"/>
  <c r="U13" i="16" l="1"/>
  <c r="J14" i="16"/>
  <c r="T14" i="16"/>
  <c r="W13" i="16"/>
  <c r="V13" i="16"/>
  <c r="O14" i="16"/>
  <c r="V14" i="16" s="1"/>
  <c r="W14" i="16" l="1"/>
  <c r="U14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U5" i="1" s="1"/>
  <c r="O6" i="1"/>
  <c r="B10" i="1"/>
  <c r="V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8" i="1"/>
  <c r="V7" i="1"/>
  <c r="W7" i="1"/>
  <c r="J10" i="1"/>
  <c r="J11" i="1"/>
  <c r="O10" i="1"/>
  <c r="T9" i="1"/>
  <c r="U9" i="1" s="1"/>
  <c r="B14" i="1"/>
  <c r="A14" i="1" s="1"/>
  <c r="V9" i="1" l="1"/>
  <c r="W9" i="1"/>
  <c r="O11" i="1"/>
  <c r="J12" i="1"/>
  <c r="T10" i="1"/>
  <c r="U10" i="1" s="1"/>
  <c r="V10" i="1" l="1"/>
  <c r="W10" i="1"/>
  <c r="J13" i="1"/>
  <c r="O12" i="1"/>
  <c r="T11" i="1"/>
  <c r="U11" i="1" s="1"/>
  <c r="V11" i="1" l="1"/>
  <c r="W11" i="1"/>
  <c r="J14" i="1"/>
  <c r="O13" i="1"/>
  <c r="T12" i="1"/>
  <c r="U12" i="1" s="1"/>
  <c r="V12" i="1" l="1"/>
  <c r="W12" i="1"/>
  <c r="O14" i="1"/>
  <c r="J15" i="1"/>
  <c r="T13" i="1"/>
  <c r="U13" i="1" s="1"/>
  <c r="U15" i="1" l="1"/>
  <c r="V14" i="1"/>
  <c r="V13" i="1"/>
  <c r="W13" i="1"/>
  <c r="T14" i="1"/>
  <c r="U14" i="1" s="1"/>
  <c r="O15" i="1"/>
  <c r="V15" i="1" l="1"/>
  <c r="W14" i="1"/>
  <c r="T15" i="1"/>
  <c r="W15" i="1" l="1"/>
</calcChain>
</file>

<file path=xl/sharedStrings.xml><?xml version="1.0" encoding="utf-8"?>
<sst xmlns="http://schemas.openxmlformats.org/spreadsheetml/2006/main" count="783" uniqueCount="157">
  <si>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</si>
  <si>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</si>
  <si>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</si>
  <si>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</si>
  <si>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</si>
  <si>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</si>
  <si>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</si>
  <si>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</si>
  <si>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</si>
  <si>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</si>
  <si>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</si>
  <si>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</si>
  <si>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</si>
  <si>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</si>
  <si>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</si>
  <si>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</si>
  <si>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</si>
  <si>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</si>
  <si>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</si>
  <si>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</si>
  <si>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</si>
  <si>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</si>
  <si>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</si>
  <si>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</si>
  <si>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</si>
  <si>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</si>
  <si>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</si>
  <si>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</si>
  <si>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</si>
  <si>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</si>
  <si>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</si>
  <si>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</si>
  <si>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</si>
  <si>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</si>
  <si>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</si>
  <si>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</si>
  <si>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</si>
  <si>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</si>
  <si>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</si>
  <si>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</si>
  <si>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</si>
  <si>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</si>
  <si>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</si>
  <si>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</si>
  <si>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</si>
  <si>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</si>
  <si>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</si>
  <si>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</si>
  <si>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</si>
  <si>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</si>
  <si>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</si>
  <si>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</si>
  <si>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</si>
  <si>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</si>
  <si>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</si>
  <si>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</si>
  <si>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</si>
  <si>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</si>
  <si>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</si>
  <si>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</si>
  <si>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</si>
  <si>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</si>
  <si>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</si>
  <si>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</si>
  <si>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</si>
  <si>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</si>
  <si>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</si>
  <si>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</si>
  <si>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</si>
  <si>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</si>
  <si>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</si>
  <si>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</si>
  <si>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</si>
  <si>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</si>
  <si>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</si>
  <si>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</si>
  <si>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</si>
  <si>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</si>
  <si>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</si>
  <si>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</si>
  <si>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</si>
  <si>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</si>
  <si>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</si>
  <si>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</si>
  <si>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</si>
  <si>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</si>
  <si>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</si>
  <si>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</si>
  <si>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</si>
  <si>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</si>
  <si>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</si>
  <si>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</si>
  <si>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</si>
  <si>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</si>
  <si>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</si>
  <si>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</si>
  <si>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</si>
  <si>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</si>
  <si>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</si>
  <si>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</si>
  <si>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</si>
  <si>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</si>
  <si>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</si>
  <si>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</si>
  <si>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</si>
  <si>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</si>
  <si>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</si>
  <si>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</si>
  <si>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</si>
  <si>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</si>
  <si>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</si>
  <si>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</si>
  <si>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</si>
  <si>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</si>
  <si>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</si>
  <si>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</si>
  <si>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</si>
  <si>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</si>
  <si>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</si>
  <si>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</si>
  <si>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</si>
  <si>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</si>
  <si>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</si>
  <si>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</si>
  <si>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</si>
  <si>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</si>
  <si>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</si>
  <si>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</si>
  <si>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</si>
  <si>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</si>
  <si>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</si>
  <si>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</si>
  <si>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</si>
  <si>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</si>
  <si>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</si>
  <si>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</si>
  <si>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</si>
  <si>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</si>
  <si>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</si>
  <si>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</si>
  <si>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</si>
  <si>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ぱぱ</t>
  </si>
  <si>
    <t>ぱぱ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</si>
  <si>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</si>
  <si>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</si>
  <si>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</si>
  <si>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</si>
  <si>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</si>
  <si>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</si>
  <si>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ロン</t>
  </si>
  <si>
    <t>放銃</t>
  </si>
  <si>
    <t>T</t>
  </si>
  <si>
    <t>流局</t>
    <phoneticPr fontId="1"/>
  </si>
  <si>
    <t>N</t>
  </si>
  <si>
    <t>02</t>
  </si>
  <si>
    <t>52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</si>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</sst>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ぱぱ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/>
      <c r="I4" s="55">
        <v>0</v>
      </c>
      <c r="J4" s="21">
        <f>IF(COUNTA($F4,$K4,$P4)&gt;0,J3+SUM(G4:I4),"")</f>
        <v>33700</v>
      </c>
      <c r="K4" s="8" t="s">
        <v>146</v>
      </c>
      <c r="L4" s="9">
        <v>2100</v>
      </c>
      <c r="M4" s="9"/>
      <c r="N4" s="55">
        <v>0</v>
      </c>
      <c r="O4" s="21">
        <f>IF(COUNTA($F4,$K4,$P4)&gt;0,O3+SUM(L4:N4),"")</f>
        <v>37100</v>
      </c>
      <c r="P4" s="8" t="s">
        <v>145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>IF($J4="","",ROUND(($J4-$J$3)/1000,1)+(_xlfn.RANK.AVG($J4,($J4,$O4,$T4),1)-2)*20)</f>
        <v>-21.3</v>
      </c>
      <c r="V4" s="61">
        <f>IF($O4="","",ROUND(($O4-$O$3)/1000,1)+(_xlfn.RANK.AVG($O4,($J4,$O4,$T4),1)-2)*20)</f>
        <v>22.1</v>
      </c>
      <c r="W4" s="62">
        <f>IF($T4="","",ROUND(($T4-$T$3)/1000,1)+(_xlfn.RANK.AVG($T4,($J4,$O4,$T4),1)-2)*20)</f>
        <v>-0.8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2</v>
      </c>
      <c r="AY4" s="36">
        <v>30</v>
      </c>
      <c r="AZ4" s="47" t="s">
        <v>87</v>
      </c>
      <c r="BA4" s="48" t="s">
        <v>80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-9000</v>
      </c>
      <c r="H5" s="9"/>
      <c r="I5" s="55">
        <v>0</v>
      </c>
      <c r="J5" s="21">
        <f t="shared" ref="J5:J30" si="2">IF(COUNTA($F5,$K5,$P5)&gt;0,J4+SUM(G5:I5),"")</f>
        <v>24700</v>
      </c>
      <c r="K5" s="8" t="s">
        <v>146</v>
      </c>
      <c r="L5" s="9">
        <v>18000</v>
      </c>
      <c r="M5" s="9">
        <v>1000</v>
      </c>
      <c r="N5" s="55">
        <v>0</v>
      </c>
      <c r="O5" s="21">
        <f t="shared" ref="O5:O30" si="3">IF(COUNTA($F5,$K5,$P5)&gt;0,O4+SUM(L5:N5),"")</f>
        <v>56100</v>
      </c>
      <c r="P5" s="8" t="s">
        <v>145</v>
      </c>
      <c r="Q5" s="9">
        <v>-9000</v>
      </c>
      <c r="R5" s="9">
        <v>-1000</v>
      </c>
      <c r="S5" s="55">
        <v>0</v>
      </c>
      <c r="T5" s="21">
        <f t="shared" ref="T5:T30" si="4">IF(COUNTA($F5,$K5,$P5)&gt;0,T4+SUM(Q5:S5),"")</f>
        <v>24200</v>
      </c>
      <c r="U5" s="60">
        <f>IF($J5="","",ROUND(($J5-$J$3)/1000,1)+(_xlfn.RANK.AVG($J5,($J5,$O5,$T5),1)-2)*20)</f>
        <v>-10.3</v>
      </c>
      <c r="V5" s="61">
        <f>IF($O5="","",ROUND(($O5-$O$3)/1000,1)+(_xlfn.RANK.AVG($O5,($J5,$O5,$T5),1)-2)*20)</f>
        <v>41.1</v>
      </c>
      <c r="W5" s="62">
        <f>IF($T5="","",ROUND(($T5-$T$3)/1000,1)+(_xlfn.RANK.AVG($T5,($J5,$O5,$T5),1)-2)*20)</f>
        <v>-30.8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147</v>
      </c>
      <c r="AZ5" s="47" t="s">
        <v>148</v>
      </c>
      <c r="BA5" s="48" t="s">
        <v>83</v>
      </c>
      <c r="BB5" s="48" t="s">
        <v>87</v>
      </c>
      <c r="BC5" s="48" t="s">
        <v>80</v>
      </c>
      <c r="BD5" s="48" t="s">
        <v>80</v>
      </c>
      <c r="BE5" s="48" t="s">
        <v>80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/>
      <c r="G6" s="9"/>
      <c r="H6" s="9"/>
      <c r="I6" s="55"/>
      <c r="J6" s="21">
        <f t="shared" si="2"/>
        <v>24700</v>
      </c>
      <c r="K6" s="8" t="s">
        <v>149</v>
      </c>
      <c r="L6" s="9">
        <v>2000</v>
      </c>
      <c r="M6" s="9">
        <v>1000</v>
      </c>
      <c r="N6" s="55">
        <v>1000</v>
      </c>
      <c r="O6" s="21">
        <f t="shared" si="3"/>
        <v>60100</v>
      </c>
      <c r="P6" s="8" t="s">
        <v>150</v>
      </c>
      <c r="Q6" s="9">
        <v>-2000</v>
      </c>
      <c r="R6" s="9">
        <v>-1000</v>
      </c>
      <c r="S6" s="55">
        <v>-1000</v>
      </c>
      <c r="T6" s="21">
        <f t="shared" si="4"/>
        <v>20200</v>
      </c>
      <c r="U6" s="60">
        <f>IF($J6="","",ROUND(($J6-$J$3)/1000,1)+(_xlfn.RANK.AVG($J6,($J6,$O6,$T6),1)-2)*20)</f>
        <v>-10.3</v>
      </c>
      <c r="V6" s="61">
        <f>IF($O6="","",ROUND(($O6-$O$3)/1000,1)+(_xlfn.RANK.AVG($O6,($J6,$O6,$T6),1)-2)*20)</f>
        <v>45.1</v>
      </c>
      <c r="W6" s="62">
        <f>IF($T6="","",ROUND(($T6-$T$3)/1000,1)+(_xlfn.RANK.AVG($T6,($J6,$O6,$T6),1)-2)*20)</f>
        <v>-34.799999999999997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1</v>
      </c>
      <c r="AY6" s="36">
        <v>40</v>
      </c>
      <c r="AZ6" s="47" t="s">
        <v>148</v>
      </c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141</v>
      </c>
      <c r="F7" s="8" t="s">
        <v>145</v>
      </c>
      <c r="G7" s="9">
        <v>-4500</v>
      </c>
      <c r="H7" s="9"/>
      <c r="I7" s="55">
        <v>-1000</v>
      </c>
      <c r="J7" s="21">
        <f t="shared" si="2"/>
        <v>19200</v>
      </c>
      <c r="K7" s="8" t="s">
        <v>145</v>
      </c>
      <c r="L7" s="9">
        <v>-7500</v>
      </c>
      <c r="M7" s="9"/>
      <c r="N7" s="55">
        <v>-1000</v>
      </c>
      <c r="O7" s="21">
        <f t="shared" si="3"/>
        <v>51600</v>
      </c>
      <c r="P7" s="8" t="s">
        <v>146</v>
      </c>
      <c r="Q7" s="9">
        <v>12000</v>
      </c>
      <c r="R7" s="9"/>
      <c r="S7" s="55">
        <v>2000</v>
      </c>
      <c r="T7" s="21">
        <f t="shared" si="4"/>
        <v>34200</v>
      </c>
      <c r="U7" s="60">
        <f>IF($J7="","",ROUND(($J7-$J$3)/1000,1)+(_xlfn.RANK.AVG($J7,($J7,$O7,$T7),1)-2)*20)</f>
        <v>-35.799999999999997</v>
      </c>
      <c r="V7" s="61">
        <f>IF($O7="","",ROUND(($O7-$O$3)/1000,1)+(_xlfn.RANK.AVG($O7,($J7,$O7,$T7),1)-2)*20)</f>
        <v>36.6</v>
      </c>
      <c r="W7" s="62">
        <f>IF($T7="","",ROUND(($T7-$T$3)/1000,1)+(_xlfn.RANK.AVG($T7,($J7,$O7,$T7),1)-2)*20)</f>
        <v>-0.8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147</v>
      </c>
      <c r="BU7" s="47" t="s">
        <v>105</v>
      </c>
      <c r="BV7" s="48" t="s">
        <v>87</v>
      </c>
      <c r="BW7" s="48" t="s">
        <v>87</v>
      </c>
      <c r="BX7" s="48" t="s">
        <v>99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152</v>
      </c>
      <c r="G8" s="9">
        <v>0</v>
      </c>
      <c r="H8" s="9"/>
      <c r="I8" s="55"/>
      <c r="J8" s="21">
        <f t="shared" si="2"/>
        <v>19200</v>
      </c>
      <c r="K8" s="8" t="s">
        <v>152</v>
      </c>
      <c r="L8" s="9">
        <v>0</v>
      </c>
      <c r="M8" s="9"/>
      <c r="N8" s="55"/>
      <c r="O8" s="21">
        <f t="shared" si="3"/>
        <v>51600</v>
      </c>
      <c r="P8" s="8" t="s">
        <v>152</v>
      </c>
      <c r="Q8" s="9">
        <v>0</v>
      </c>
      <c r="R8" s="9"/>
      <c r="S8" s="55"/>
      <c r="T8" s="21">
        <f t="shared" si="4"/>
        <v>34200</v>
      </c>
      <c r="U8" s="60">
        <f>IF($J8="","",ROUND(($J8-$J$3)/1000,1)+(_xlfn.RANK.AVG($J8,($J8,$O8,$T8),1)-2)*20)</f>
        <v>-35.799999999999997</v>
      </c>
      <c r="V8" s="61">
        <f>IF($O8="","",ROUND(($O8-$O$3)/1000,1)+(_xlfn.RANK.AVG($O8,($J8,$O8,$T8),1)-2)*20)</f>
        <v>36.6</v>
      </c>
      <c r="W8" s="62">
        <f>IF($T8="","",ROUND(($T8-$T$3)/1000,1)+(_xlfn.RANK.AVG($T8,($J8,$O8,$T8),1)-2)*20)</f>
        <v>-0.8</v>
      </c>
      <c r="Y8" s="8" t="s">
        <v>151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151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151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152</v>
      </c>
      <c r="G9" s="9">
        <v>3000</v>
      </c>
      <c r="H9" s="9"/>
      <c r="I9" s="55"/>
      <c r="J9" s="21">
        <f t="shared" si="2"/>
        <v>22200</v>
      </c>
      <c r="K9" s="8" t="s">
        <v>152</v>
      </c>
      <c r="L9" s="9">
        <v>-1500</v>
      </c>
      <c r="M9" s="9"/>
      <c r="N9" s="55"/>
      <c r="O9" s="21">
        <f t="shared" si="3"/>
        <v>50100</v>
      </c>
      <c r="P9" s="8" t="s">
        <v>152</v>
      </c>
      <c r="Q9" s="9">
        <v>-1500</v>
      </c>
      <c r="R9" s="9"/>
      <c r="S9" s="55"/>
      <c r="T9" s="21">
        <f t="shared" si="4"/>
        <v>32700</v>
      </c>
      <c r="U9" s="60">
        <f>IF($J9="","",ROUND(($J9-$J$3)/1000,1)+(_xlfn.RANK.AVG($J9,($J9,$O9,$T9),1)-2)*20)</f>
        <v>-32.799999999999997</v>
      </c>
      <c r="V9" s="61">
        <f>IF($O9="","",ROUND(($O9-$O$3)/1000,1)+(_xlfn.RANK.AVG($O9,($J9,$O9,$T9),1)-2)*20)</f>
        <v>35.1</v>
      </c>
      <c r="W9" s="62">
        <f>IF($T9="","",ROUND(($T9-$T$3)/1000,1)+(_xlfn.RANK.AVG($T9,($J9,$O9,$T9),1)-2)*20)</f>
        <v>-2.2999999999999998</v>
      </c>
      <c r="Y9" s="8" t="s">
        <v>151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153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153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/>
      <c r="G10" s="9"/>
      <c r="H10" s="9"/>
      <c r="I10" s="55"/>
      <c r="J10" s="21">
        <f t="shared" si="2"/>
        <v>22200</v>
      </c>
      <c r="K10" s="8" t="s">
        <v>150</v>
      </c>
      <c r="L10" s="9">
        <v>-5200</v>
      </c>
      <c r="M10" s="9">
        <v>-1000</v>
      </c>
      <c r="N10" s="55">
        <v>-2000</v>
      </c>
      <c r="O10" s="21">
        <f t="shared" si="3"/>
        <v>41900</v>
      </c>
      <c r="P10" s="8" t="s">
        <v>149</v>
      </c>
      <c r="Q10" s="9">
        <v>5200</v>
      </c>
      <c r="R10" s="9">
        <v>1000</v>
      </c>
      <c r="S10" s="55">
        <v>2000</v>
      </c>
      <c r="T10" s="21">
        <f t="shared" si="4"/>
        <v>40900</v>
      </c>
      <c r="U10" s="60">
        <f>IF($J10="","",ROUND(($J10-$J$3)/1000,1)+(_xlfn.RANK.AVG($J10,($J10,$O10,$T10),1)-2)*20)</f>
        <v>-32.799999999999997</v>
      </c>
      <c r="V10" s="61">
        <f>IF($O10="","",ROUND(($O10-$O$3)/1000,1)+(_xlfn.RANK.AVG($O10,($J10,$O10,$T10),1)-2)*20)</f>
        <v>26.9</v>
      </c>
      <c r="W10" s="62">
        <f>IF($T10="","",ROUND(($T10-$T$3)/1000,1)+(_xlfn.RANK.AVG($T10,($J10,$O10,$T10),1)-2)*20)</f>
        <v>5.9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148</v>
      </c>
      <c r="BV10" s="48" t="s">
        <v>154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141</v>
      </c>
      <c r="F11" s="8" t="s">
        <v>150</v>
      </c>
      <c r="G11" s="9">
        <v>-2900</v>
      </c>
      <c r="H11" s="9"/>
      <c r="I11" s="55">
        <v>0</v>
      </c>
      <c r="J11" s="21">
        <f t="shared" si="2"/>
        <v>19300</v>
      </c>
      <c r="K11" s="8" t="s">
        <v>149</v>
      </c>
      <c r="L11" s="9">
        <v>2900</v>
      </c>
      <c r="M11" s="9"/>
      <c r="N11" s="55">
        <v>0</v>
      </c>
      <c r="O11" s="21">
        <f t="shared" si="3"/>
        <v>44800</v>
      </c>
      <c r="P11" s="8"/>
      <c r="Q11" s="9"/>
      <c r="R11" s="9"/>
      <c r="S11" s="55"/>
      <c r="T11" s="21">
        <f t="shared" si="4"/>
        <v>40900</v>
      </c>
      <c r="U11" s="60">
        <f>IF($J11="","",ROUND(($J11-$J$3)/1000,1)+(_xlfn.RANK.AVG($J11,($J11,$O11,$T11),1)-2)*20)</f>
        <v>-35.700000000000003</v>
      </c>
      <c r="V11" s="61">
        <f>IF($O11="","",ROUND(($O11-$O$3)/1000,1)+(_xlfn.RANK.AVG($O11,($J11,$O11,$T11),1)-2)*20)</f>
        <v>29.8</v>
      </c>
      <c r="W11" s="62">
        <f>IF($T11="","",ROUND(($T11-$T$3)/1000,1)+(_xlfn.RANK.AVG($T11,($J11,$O11,$T11),1)-2)*20)</f>
        <v>5.9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2</v>
      </c>
      <c r="AY11" s="36">
        <v>30</v>
      </c>
      <c r="AZ11" s="47" t="s">
        <v>87</v>
      </c>
      <c r="BA11" s="48" t="s">
        <v>155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141</v>
      </c>
      <c r="F12" s="8"/>
      <c r="G12" s="9"/>
      <c r="H12" s="9"/>
      <c r="I12" s="55"/>
      <c r="J12" s="21">
        <f t="shared" si="2"/>
        <v>19300</v>
      </c>
      <c r="K12" s="8" t="s">
        <v>149</v>
      </c>
      <c r="L12" s="9">
        <v>2900</v>
      </c>
      <c r="M12" s="9"/>
      <c r="N12" s="55">
        <v>1000</v>
      </c>
      <c r="O12" s="21">
        <f t="shared" si="3"/>
        <v>48700</v>
      </c>
      <c r="P12" s="8" t="s">
        <v>150</v>
      </c>
      <c r="Q12" s="9">
        <v>-2900</v>
      </c>
      <c r="R12" s="9"/>
      <c r="S12" s="55">
        <v>-1000</v>
      </c>
      <c r="T12" s="21">
        <f t="shared" si="4"/>
        <v>37000</v>
      </c>
      <c r="U12" s="60">
        <f>IF($J12="","",ROUND(($J12-$J$3)/1000,1)+(_xlfn.RANK.AVG($J12,($J12,$O12,$T12),1)-2)*20)</f>
        <v>-35.700000000000003</v>
      </c>
      <c r="V12" s="61">
        <f>IF($O12="","",ROUND(($O12-$O$3)/1000,1)+(_xlfn.RANK.AVG($O12,($J12,$O12,$T12),1)-2)*20)</f>
        <v>33.700000000000003</v>
      </c>
      <c r="W12" s="62">
        <f>IF($T12="","",ROUND(($T12-$T$3)/1000,1)+(_xlfn.RANK.AVG($T12,($J12,$O12,$T12),1)-2)*20)</f>
        <v>2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141</v>
      </c>
      <c r="F13" s="8" t="s">
        <v>146</v>
      </c>
      <c r="G13" s="9">
        <v>2100</v>
      </c>
      <c r="H13" s="9"/>
      <c r="I13" s="55">
        <v>2000</v>
      </c>
      <c r="J13" s="21">
        <f t="shared" si="2"/>
        <v>23400</v>
      </c>
      <c r="K13" s="8" t="s">
        <v>145</v>
      </c>
      <c r="L13" s="9">
        <v>-1300</v>
      </c>
      <c r="M13" s="9"/>
      <c r="N13" s="55">
        <v>-1000</v>
      </c>
      <c r="O13" s="21">
        <f t="shared" si="3"/>
        <v>46400</v>
      </c>
      <c r="P13" s="8" t="s">
        <v>145</v>
      </c>
      <c r="Q13" s="9">
        <v>-800</v>
      </c>
      <c r="R13" s="9"/>
      <c r="S13" s="55">
        <v>-1000</v>
      </c>
      <c r="T13" s="21">
        <f t="shared" si="4"/>
        <v>35200</v>
      </c>
      <c r="U13" s="60">
        <f>IF($J13="","",ROUND(($J13-$J$3)/1000,1)+(_xlfn.RANK.AVG($J13,($J13,$O13,$T13),1)-2)*20)</f>
        <v>-31.6</v>
      </c>
      <c r="V13" s="61">
        <f>IF($O13="","",ROUND(($O13-$O$3)/1000,1)+(_xlfn.RANK.AVG($O13,($J13,$O13,$T13),1)-2)*20)</f>
        <v>31.4</v>
      </c>
      <c r="W13" s="62">
        <f>IF($T13="","",ROUND(($T13-$T$3)/1000,1)+(_xlfn.RANK.AVG($T13,($J13,$O13,$T13),1)-2)*20)</f>
        <v>0.2</v>
      </c>
      <c r="Y13" s="8"/>
      <c r="Z13" s="41"/>
      <c r="AA13" s="32"/>
      <c r="AB13" s="32"/>
      <c r="AC13" s="32">
        <v>2</v>
      </c>
      <c r="AD13" s="36">
        <v>30</v>
      </c>
      <c r="AE13" s="47" t="s">
        <v>83</v>
      </c>
      <c r="AF13" s="48" t="s">
        <v>80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143</v>
      </c>
      <c r="F14" s="8" t="s">
        <v>152</v>
      </c>
      <c r="G14" s="9">
        <v>3000</v>
      </c>
      <c r="H14" s="9"/>
      <c r="I14" s="55"/>
      <c r="J14" s="21">
        <f t="shared" si="2"/>
        <v>26400</v>
      </c>
      <c r="K14" s="8" t="s">
        <v>152</v>
      </c>
      <c r="L14" s="9">
        <v>-1500</v>
      </c>
      <c r="M14" s="9"/>
      <c r="N14" s="55"/>
      <c r="O14" s="21">
        <f t="shared" si="3"/>
        <v>44900</v>
      </c>
      <c r="P14" s="8" t="s">
        <v>152</v>
      </c>
      <c r="Q14" s="9">
        <v>-1500</v>
      </c>
      <c r="R14" s="9"/>
      <c r="S14" s="55"/>
      <c r="T14" s="21">
        <f t="shared" si="4"/>
        <v>33700</v>
      </c>
      <c r="U14" s="60">
        <f>IF($J14="","",ROUND(($J14-$J$3)/1000,1)+(_xlfn.RANK.AVG($J14,($J14,$O14,$T14),1)-2)*20)</f>
        <v>-28.6</v>
      </c>
      <c r="V14" s="61">
        <f>IF($O14="","",ROUND(($O14-$O$3)/1000,1)+(_xlfn.RANK.AVG($O14,($J14,$O14,$T14),1)-2)*20)</f>
        <v>29.9</v>
      </c>
      <c r="W14" s="62">
        <f>IF($T14="","",ROUND(($T14-$T$3)/1000,1)+(_xlfn.RANK.AVG($T14,($J14,$O14,$T14),1)-2)*20)</f>
        <v>-1.3</v>
      </c>
      <c r="Y14" s="8" t="s">
        <v>151</v>
      </c>
      <c r="Z14" s="41"/>
      <c r="AA14" s="32"/>
      <c r="AB14" s="32">
        <v>1</v>
      </c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153</v>
      </c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153</v>
      </c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4BD7-9B07-49AD-94FA-C8865E0A696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ぱぱ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>
        <v>-1000</v>
      </c>
      <c r="I4" s="55">
        <v>0</v>
      </c>
      <c r="J4" s="21">
        <f>IF(COUNTA($F4,$K4,$P4)&gt;0,J3+SUM(G4:I4),"")</f>
        <v>32700</v>
      </c>
      <c r="K4" s="8" t="s">
        <v>145</v>
      </c>
      <c r="L4" s="9">
        <v>-800</v>
      </c>
      <c r="M4" s="9"/>
      <c r="N4" s="55">
        <v>0</v>
      </c>
      <c r="O4" s="21">
        <f>IF(COUNTA($F4,$K4,$P4)&gt;0,O3+SUM(L4:N4),"")</f>
        <v>34200</v>
      </c>
      <c r="P4" s="8" t="s">
        <v>146</v>
      </c>
      <c r="Q4" s="9">
        <v>2100</v>
      </c>
      <c r="R4" s="9">
        <v>1000</v>
      </c>
      <c r="S4" s="55">
        <v>0</v>
      </c>
      <c r="T4" s="21">
        <f>IF(COUNTA($F4,$K4,$P4)&gt;0,T3+SUM(Q4:S4),"")</f>
        <v>38100</v>
      </c>
      <c r="U4" s="60">
        <f>IF($J4="","",ROUND(($J4-$J$3)/1000,1)+(_xlfn.RANK.AVG($J4,($J4,$O4,$T4),1)-2)*20)</f>
        <v>-22.3</v>
      </c>
      <c r="V4" s="61">
        <f>IF($O4="","",ROUND(($O4-$O$3)/1000,1)+(_xlfn.RANK.AVG($O4,($J4,$O4,$T4),1)-2)*20)</f>
        <v>-0.8</v>
      </c>
      <c r="W4" s="62">
        <f>IF($T4="","",ROUND(($T4-$T$3)/1000,1)+(_xlfn.RANK.AVG($T4,($J4,$O4,$T4),1)-2)*20)</f>
        <v>23.1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155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150</v>
      </c>
      <c r="G5" s="9">
        <v>-2600</v>
      </c>
      <c r="H5" s="9"/>
      <c r="I5" s="55">
        <v>0</v>
      </c>
      <c r="J5" s="21">
        <f t="shared" ref="J5:J30" si="2">IF(COUNTA($F5,$K5,$P5)&gt;0,J4+SUM(G5:I5),"")</f>
        <v>30100</v>
      </c>
      <c r="K5" s="8"/>
      <c r="L5" s="9"/>
      <c r="M5" s="9"/>
      <c r="N5" s="55"/>
      <c r="O5" s="21">
        <f t="shared" ref="O5:O30" si="3">IF(COUNTA($F5,$K5,$P5)&gt;0,O4+SUM(L5:N5),"")</f>
        <v>34200</v>
      </c>
      <c r="P5" s="8" t="s">
        <v>149</v>
      </c>
      <c r="Q5" s="9">
        <v>2600</v>
      </c>
      <c r="R5" s="9"/>
      <c r="S5" s="55">
        <v>0</v>
      </c>
      <c r="T5" s="21">
        <f t="shared" ref="T5:T30" si="4">IF(COUNTA($F5,$K5,$P5)&gt;0,T4+SUM(Q5:S5),"")</f>
        <v>40700</v>
      </c>
      <c r="U5" s="60">
        <f>IF($J5="","",ROUND(($J5-$J$3)/1000,1)+(_xlfn.RANK.AVG($J5,($J5,$O5,$T5),1)-2)*20)</f>
        <v>-24.9</v>
      </c>
      <c r="V5" s="61">
        <f>IF($O5="","",ROUND(($O5-$O$3)/1000,1)+(_xlfn.RANK.AVG($O5,($J5,$O5,$T5),1)-2)*20)</f>
        <v>-0.8</v>
      </c>
      <c r="W5" s="62">
        <f>IF($T5="","",ROUND(($T5-$T$3)/1000,1)+(_xlfn.RANK.AVG($T5,($J5,$O5,$T5),1)-2)*20)</f>
        <v>25.7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2</v>
      </c>
      <c r="BT5" s="36">
        <v>40</v>
      </c>
      <c r="BU5" s="47" t="s">
        <v>148</v>
      </c>
      <c r="BV5" s="48" t="s">
        <v>155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150</v>
      </c>
      <c r="G6" s="9">
        <v>-7700</v>
      </c>
      <c r="H6" s="9"/>
      <c r="I6" s="55">
        <v>0</v>
      </c>
      <c r="J6" s="21">
        <f t="shared" si="2"/>
        <v>22400</v>
      </c>
      <c r="K6" s="8"/>
      <c r="L6" s="9"/>
      <c r="M6" s="9">
        <v>-1000</v>
      </c>
      <c r="N6" s="55"/>
      <c r="O6" s="21">
        <f t="shared" si="3"/>
        <v>33200</v>
      </c>
      <c r="P6" s="8" t="s">
        <v>149</v>
      </c>
      <c r="Q6" s="9">
        <v>7700</v>
      </c>
      <c r="R6" s="9">
        <v>1000</v>
      </c>
      <c r="S6" s="55">
        <v>0</v>
      </c>
      <c r="T6" s="21">
        <f t="shared" si="4"/>
        <v>49400</v>
      </c>
      <c r="U6" s="60">
        <f>IF($J6="","",ROUND(($J6-$J$3)/1000,1)+(_xlfn.RANK.AVG($J6,($J6,$O6,$T6),1)-2)*20)</f>
        <v>-32.6</v>
      </c>
      <c r="V6" s="61">
        <f>IF($O6="","",ROUND(($O6-$O$3)/1000,1)+(_xlfn.RANK.AVG($O6,($J6,$O6,$T6),1)-2)*20)</f>
        <v>-1.8</v>
      </c>
      <c r="W6" s="62">
        <f>IF($T6="","",ROUND(($T6-$T$3)/1000,1)+(_xlfn.RANK.AVG($T6,($J6,$O6,$T6),1)-2)*20)</f>
        <v>34.4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40</v>
      </c>
      <c r="BU6" s="47" t="s">
        <v>87</v>
      </c>
      <c r="BV6" s="48" t="s">
        <v>87</v>
      </c>
      <c r="BW6" s="48" t="s">
        <v>155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143</v>
      </c>
      <c r="F7" s="8" t="s">
        <v>156</v>
      </c>
      <c r="G7" s="9">
        <v>-3000</v>
      </c>
      <c r="H7" s="9">
        <v>-1000</v>
      </c>
      <c r="I7" s="55"/>
      <c r="J7" s="21">
        <f t="shared" si="2"/>
        <v>18400</v>
      </c>
      <c r="K7" s="8" t="s">
        <v>156</v>
      </c>
      <c r="L7" s="9">
        <v>1500</v>
      </c>
      <c r="M7" s="9"/>
      <c r="N7" s="55"/>
      <c r="O7" s="21">
        <f t="shared" si="3"/>
        <v>34700</v>
      </c>
      <c r="P7" s="8" t="s">
        <v>156</v>
      </c>
      <c r="Q7" s="9">
        <v>1500</v>
      </c>
      <c r="R7" s="9">
        <v>-1000</v>
      </c>
      <c r="S7" s="55"/>
      <c r="T7" s="21">
        <f t="shared" si="4"/>
        <v>49900</v>
      </c>
      <c r="U7" s="60">
        <f>IF($J7="","",ROUND(($J7-$J$3)/1000,1)+(_xlfn.RANK.AVG($J7,($J7,$O7,$T7),1)-2)*20)</f>
        <v>-36.6</v>
      </c>
      <c r="V7" s="61">
        <f>IF($O7="","",ROUND(($O7-$O$3)/1000,1)+(_xlfn.RANK.AVG($O7,($J7,$O7,$T7),1)-2)*20)</f>
        <v>-0.3</v>
      </c>
      <c r="W7" s="62">
        <f>IF($T7="","",ROUND(($T7-$T$3)/1000,1)+(_xlfn.RANK.AVG($T7,($J7,$O7,$T7),1)-2)*20)</f>
        <v>34.9</v>
      </c>
      <c r="Y7" s="8" t="s">
        <v>153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151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151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143</v>
      </c>
      <c r="F8" s="8" t="s">
        <v>156</v>
      </c>
      <c r="G8" s="9">
        <v>-1500</v>
      </c>
      <c r="H8" s="9"/>
      <c r="I8" s="55"/>
      <c r="J8" s="21">
        <f t="shared" si="2"/>
        <v>16900</v>
      </c>
      <c r="K8" s="8" t="s">
        <v>156</v>
      </c>
      <c r="L8" s="9">
        <v>3000</v>
      </c>
      <c r="M8" s="9"/>
      <c r="N8" s="55"/>
      <c r="O8" s="21">
        <f t="shared" si="3"/>
        <v>37700</v>
      </c>
      <c r="P8" s="8" t="s">
        <v>156</v>
      </c>
      <c r="Q8" s="9">
        <v>-1500</v>
      </c>
      <c r="R8" s="9"/>
      <c r="S8" s="55"/>
      <c r="T8" s="21">
        <f t="shared" si="4"/>
        <v>48400</v>
      </c>
      <c r="U8" s="60">
        <f>IF($J8="","",ROUND(($J8-$J$3)/1000,1)+(_xlfn.RANK.AVG($J8,($J8,$O8,$T8),1)-2)*20)</f>
        <v>-38.1</v>
      </c>
      <c r="V8" s="61">
        <f>IF($O8="","",ROUND(($O8-$O$3)/1000,1)+(_xlfn.RANK.AVG($O8,($J8,$O8,$T8),1)-2)*20)</f>
        <v>2.7</v>
      </c>
      <c r="W8" s="62">
        <f>IF($T8="","",ROUND(($T8-$T$3)/1000,1)+(_xlfn.RANK.AVG($T8,($J8,$O8,$T8),1)-2)*20)</f>
        <v>33.4</v>
      </c>
      <c r="Y8" s="8" t="s">
        <v>153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151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153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2</v>
      </c>
      <c r="E9" s="4" t="s">
        <v>139</v>
      </c>
      <c r="F9" s="8" t="s">
        <v>149</v>
      </c>
      <c r="G9" s="9">
        <v>12000</v>
      </c>
      <c r="H9" s="9">
        <v>4000</v>
      </c>
      <c r="I9" s="55">
        <v>3000</v>
      </c>
      <c r="J9" s="21">
        <f t="shared" si="2"/>
        <v>35900</v>
      </c>
      <c r="K9" s="8"/>
      <c r="L9" s="9"/>
      <c r="M9" s="9">
        <v>-1000</v>
      </c>
      <c r="N9" s="55"/>
      <c r="O9" s="21">
        <f t="shared" si="3"/>
        <v>36700</v>
      </c>
      <c r="P9" s="8" t="s">
        <v>150</v>
      </c>
      <c r="Q9" s="9">
        <v>-12000</v>
      </c>
      <c r="R9" s="9">
        <v>-1000</v>
      </c>
      <c r="S9" s="55">
        <v>-3000</v>
      </c>
      <c r="T9" s="21">
        <f t="shared" si="4"/>
        <v>32400</v>
      </c>
      <c r="U9" s="60">
        <f>IF($J9="","",ROUND(($J9-$J$3)/1000,1)+(_xlfn.RANK.AVG($J9,($J9,$O9,$T9),1)-2)*20)</f>
        <v>0.9</v>
      </c>
      <c r="V9" s="61">
        <f>IF($O9="","",ROUND(($O9-$O$3)/1000,1)+(_xlfn.RANK.AVG($O9,($J9,$O9,$T9),1)-2)*20)</f>
        <v>21.7</v>
      </c>
      <c r="W9" s="62">
        <f>IF($T9="","",ROUND(($T9-$T$3)/1000,1)+(_xlfn.RANK.AVG($T9,($J9,$O9,$T9),1)-2)*20)</f>
        <v>-22.6</v>
      </c>
      <c r="Y9" s="8"/>
      <c r="Z9" s="41"/>
      <c r="AA9" s="32"/>
      <c r="AB9" s="32">
        <v>1</v>
      </c>
      <c r="AC9" s="32">
        <v>4</v>
      </c>
      <c r="AD9" s="36">
        <v>40</v>
      </c>
      <c r="AE9" s="47" t="s">
        <v>87</v>
      </c>
      <c r="AF9" s="48" t="s">
        <v>87</v>
      </c>
      <c r="AG9" s="48" t="s">
        <v>105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">
        <v>139</v>
      </c>
      <c r="F10" s="8" t="s">
        <v>145</v>
      </c>
      <c r="G10" s="9">
        <v>-1300</v>
      </c>
      <c r="H10" s="9"/>
      <c r="I10" s="55">
        <v>-2000</v>
      </c>
      <c r="J10" s="21">
        <f t="shared" si="2"/>
        <v>32600</v>
      </c>
      <c r="K10" s="8" t="s">
        <v>146</v>
      </c>
      <c r="L10" s="9">
        <v>2100</v>
      </c>
      <c r="M10" s="9"/>
      <c r="N10" s="55">
        <v>4000</v>
      </c>
      <c r="O10" s="21">
        <f t="shared" si="3"/>
        <v>42800</v>
      </c>
      <c r="P10" s="8" t="s">
        <v>145</v>
      </c>
      <c r="Q10" s="9">
        <v>-800</v>
      </c>
      <c r="R10" s="9"/>
      <c r="S10" s="55">
        <v>-2000</v>
      </c>
      <c r="T10" s="21">
        <f t="shared" si="4"/>
        <v>29600</v>
      </c>
      <c r="U10" s="60">
        <f>IF($J10="","",ROUND(($J10-$J$3)/1000,1)+(_xlfn.RANK.AVG($J10,($J10,$O10,$T10),1)-2)*20)</f>
        <v>-2.4</v>
      </c>
      <c r="V10" s="61">
        <f>IF($O10="","",ROUND(($O10-$O$3)/1000,1)+(_xlfn.RANK.AVG($O10,($J10,$O10,$T10),1)-2)*20)</f>
        <v>27.8</v>
      </c>
      <c r="W10" s="62">
        <f>IF($T10="","",ROUND(($T10-$T$3)/1000,1)+(_xlfn.RANK.AVG($T10,($J10,$O10,$T10),1)-2)*20)</f>
        <v>-25.4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2</v>
      </c>
      <c r="AY10" s="36">
        <v>30</v>
      </c>
      <c r="AZ10" s="47" t="s">
        <v>83</v>
      </c>
      <c r="BA10" s="48" t="s">
        <v>155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141</v>
      </c>
      <c r="F11" s="8" t="s">
        <v>150</v>
      </c>
      <c r="G11" s="9">
        <v>-1300</v>
      </c>
      <c r="H11" s="9"/>
      <c r="I11" s="55">
        <v>0</v>
      </c>
      <c r="J11" s="21">
        <f t="shared" si="2"/>
        <v>31300</v>
      </c>
      <c r="K11" s="8"/>
      <c r="L11" s="9"/>
      <c r="M11" s="9"/>
      <c r="N11" s="55"/>
      <c r="O11" s="21">
        <f t="shared" si="3"/>
        <v>42800</v>
      </c>
      <c r="P11" s="8" t="s">
        <v>149</v>
      </c>
      <c r="Q11" s="9">
        <v>1300</v>
      </c>
      <c r="R11" s="9"/>
      <c r="S11" s="55">
        <v>0</v>
      </c>
      <c r="T11" s="21">
        <f t="shared" si="4"/>
        <v>30900</v>
      </c>
      <c r="U11" s="60">
        <f>IF($J11="","",ROUND(($J11-$J$3)/1000,1)+(_xlfn.RANK.AVG($J11,($J11,$O11,$T11),1)-2)*20)</f>
        <v>-3.7</v>
      </c>
      <c r="V11" s="61">
        <f>IF($O11="","",ROUND(($O11-$O$3)/1000,1)+(_xlfn.RANK.AVG($O11,($J11,$O11,$T11),1)-2)*20)</f>
        <v>27.8</v>
      </c>
      <c r="W11" s="62">
        <f>IF($T11="","",ROUND(($T11-$T$3)/1000,1)+(_xlfn.RANK.AVG($T11,($J11,$O11,$T11),1)-2)*20)</f>
        <v>-24.1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1</v>
      </c>
      <c r="BT11" s="36">
        <v>40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143</v>
      </c>
      <c r="F12" s="8" t="s">
        <v>150</v>
      </c>
      <c r="G12" s="9">
        <v>-2600</v>
      </c>
      <c r="H12" s="9"/>
      <c r="I12" s="55">
        <v>0</v>
      </c>
      <c r="J12" s="21">
        <f t="shared" si="2"/>
        <v>28700</v>
      </c>
      <c r="K12" s="8" t="s">
        <v>149</v>
      </c>
      <c r="L12" s="9">
        <v>2600</v>
      </c>
      <c r="M12" s="9"/>
      <c r="N12" s="55">
        <v>0</v>
      </c>
      <c r="O12" s="21">
        <f t="shared" si="3"/>
        <v>45400</v>
      </c>
      <c r="P12" s="8"/>
      <c r="Q12" s="9"/>
      <c r="R12" s="9"/>
      <c r="S12" s="55"/>
      <c r="T12" s="21">
        <f t="shared" si="4"/>
        <v>30900</v>
      </c>
      <c r="U12" s="60">
        <f>IF($J12="","",ROUND(($J12-$J$3)/1000,1)+(_xlfn.RANK.AVG($J12,($J12,$O12,$T12),1)-2)*20)</f>
        <v>-26.3</v>
      </c>
      <c r="V12" s="61">
        <f>IF($O12="","",ROUND(($O12-$O$3)/1000,1)+(_xlfn.RANK.AVG($O12,($J12,$O12,$T12),1)-2)*20)</f>
        <v>30.4</v>
      </c>
      <c r="W12" s="62">
        <f>IF($T12="","",ROUND(($T12-$T$3)/1000,1)+(_xlfn.RANK.AVG($T12,($J12,$O12,$T12),1)-2)*20)</f>
        <v>-4.0999999999999996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2</v>
      </c>
      <c r="AY12" s="36">
        <v>40</v>
      </c>
      <c r="AZ12" s="47" t="s">
        <v>148</v>
      </c>
      <c r="BA12" s="48" t="s">
        <v>85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C9C0B1E6-6FA2-4DA2-A67D-BFE1B6180D85}">
      <formula1>$U$2:$W$2</formula1>
    </dataValidation>
    <dataValidation type="list" showInputMessage="1" showErrorMessage="1" sqref="K4:K30 P4:P30 F4:F30" xr:uid="{C8791F94-56C2-4214-9419-0867A92B762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D12-646A-42A6-BCFD-4931487625D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ぱぱ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1600</v>
      </c>
      <c r="H4" s="9"/>
      <c r="I4" s="55">
        <v>0</v>
      </c>
      <c r="J4" s="21">
        <f>IF(COUNTA($F4,$K4,$P4)&gt;0,J3+SUM(G4:I4),"")</f>
        <v>36600</v>
      </c>
      <c r="K4" s="8" t="s">
        <v>145</v>
      </c>
      <c r="L4" s="9">
        <v>-800</v>
      </c>
      <c r="M4" s="9"/>
      <c r="N4" s="55">
        <v>0</v>
      </c>
      <c r="O4" s="21">
        <f>IF(COUNTA($F4,$K4,$P4)&gt;0,O3+SUM(L4:N4),"")</f>
        <v>34200</v>
      </c>
      <c r="P4" s="8" t="s">
        <v>145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>IF($J4="","",ROUND(($J4-$J$3)/1000,1)+(_xlfn.RANK.AVG($J4,($J4,$O4,$T4),1)-2)*20)</f>
        <v>21.6</v>
      </c>
      <c r="V4" s="61">
        <f>IF($O4="","",ROUND(($O4-$O$3)/1000,1)+(_xlfn.RANK.AVG($O4,($J4,$O4,$T4),1)-2)*20)</f>
        <v>-10.8</v>
      </c>
      <c r="W4" s="62">
        <f>IF($T4="","",ROUND(($T4-$T$3)/1000,1)+(_xlfn.RANK.AVG($T4,($J4,$O4,$T4),1)-2)*20)</f>
        <v>-10.8</v>
      </c>
      <c r="Y4" s="8"/>
      <c r="Z4" s="41"/>
      <c r="AA4" s="32"/>
      <c r="AB4" s="32">
        <v>1</v>
      </c>
      <c r="AC4" s="32">
        <v>1</v>
      </c>
      <c r="AD4" s="36">
        <v>30</v>
      </c>
      <c r="AE4" s="47" t="s">
        <v>87</v>
      </c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36600</v>
      </c>
      <c r="K5" s="8" t="s">
        <v>150</v>
      </c>
      <c r="L5" s="9">
        <v>-2600</v>
      </c>
      <c r="M5" s="9">
        <v>-1000</v>
      </c>
      <c r="N5" s="55">
        <v>-1000</v>
      </c>
      <c r="O5" s="21">
        <f t="shared" ref="O5:O30" si="3">IF(COUNTA($F5,$K5,$P5)&gt;0,O4+SUM(L5:N5),"")</f>
        <v>29600</v>
      </c>
      <c r="P5" s="8" t="s">
        <v>149</v>
      </c>
      <c r="Q5" s="9">
        <v>2600</v>
      </c>
      <c r="R5" s="9">
        <v>1000</v>
      </c>
      <c r="S5" s="55">
        <v>1000</v>
      </c>
      <c r="T5" s="21">
        <f t="shared" ref="T5:T30" si="4">IF(COUNTA($F5,$K5,$P5)&gt;0,T4+SUM(Q5:S5),"")</f>
        <v>38800</v>
      </c>
      <c r="U5" s="60">
        <f>IF($J5="","",ROUND(($J5-$J$3)/1000,1)+(_xlfn.RANK.AVG($J5,($J5,$O5,$T5),1)-2)*20)</f>
        <v>1.6</v>
      </c>
      <c r="V5" s="61">
        <f>IF($O5="","",ROUND(($O5-$O$3)/1000,1)+(_xlfn.RANK.AVG($O5,($J5,$O5,$T5),1)-2)*20)</f>
        <v>-25.4</v>
      </c>
      <c r="W5" s="62">
        <f>IF($T5="","",ROUND(($T5-$T$3)/1000,1)+(_xlfn.RANK.AVG($T5,($J5,$O5,$T5),1)-2)*20)</f>
        <v>23.8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2</v>
      </c>
      <c r="BT5" s="36">
        <v>40</v>
      </c>
      <c r="BU5" s="47" t="s">
        <v>148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145</v>
      </c>
      <c r="G6" s="9">
        <v>-12000</v>
      </c>
      <c r="H6" s="9">
        <v>-1000</v>
      </c>
      <c r="I6" s="55">
        <v>0</v>
      </c>
      <c r="J6" s="21">
        <f t="shared" si="2"/>
        <v>23600</v>
      </c>
      <c r="K6" s="8" t="s">
        <v>146</v>
      </c>
      <c r="L6" s="9">
        <v>24000</v>
      </c>
      <c r="M6" s="9">
        <v>1000</v>
      </c>
      <c r="N6" s="55">
        <v>0</v>
      </c>
      <c r="O6" s="21">
        <f t="shared" si="3"/>
        <v>54600</v>
      </c>
      <c r="P6" s="8" t="s">
        <v>145</v>
      </c>
      <c r="Q6" s="9">
        <v>-12000</v>
      </c>
      <c r="R6" s="9"/>
      <c r="S6" s="55">
        <v>0</v>
      </c>
      <c r="T6" s="21">
        <f t="shared" si="4"/>
        <v>26800</v>
      </c>
      <c r="U6" s="60">
        <f>IF($J6="","",ROUND(($J6-$J$3)/1000,1)+(_xlfn.RANK.AVG($J6,($J6,$O6,$T6),1)-2)*20)</f>
        <v>-31.4</v>
      </c>
      <c r="V6" s="61">
        <f>IF($O6="","",ROUND(($O6-$O$3)/1000,1)+(_xlfn.RANK.AVG($O6,($J6,$O6,$T6),1)-2)*20)</f>
        <v>39.6</v>
      </c>
      <c r="W6" s="62">
        <f>IF($T6="","",ROUND(($T6-$T$3)/1000,1)+(_xlfn.RANK.AVG($T6,($J6,$O6,$T6),1)-2)*20)</f>
        <v>-8.1999999999999993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8</v>
      </c>
      <c r="AY6" s="36" t="s">
        <v>147</v>
      </c>
      <c r="AZ6" s="47" t="s">
        <v>148</v>
      </c>
      <c r="BA6" s="48" t="s">
        <v>83</v>
      </c>
      <c r="BB6" s="48" t="s">
        <v>107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150</v>
      </c>
      <c r="G7" s="9">
        <v>-7700</v>
      </c>
      <c r="H7" s="9"/>
      <c r="I7" s="55">
        <v>-1000</v>
      </c>
      <c r="J7" s="21">
        <f t="shared" si="2"/>
        <v>14900</v>
      </c>
      <c r="K7" s="8" t="s">
        <v>149</v>
      </c>
      <c r="L7" s="9">
        <v>7700</v>
      </c>
      <c r="M7" s="9"/>
      <c r="N7" s="55">
        <v>1000</v>
      </c>
      <c r="O7" s="21">
        <f t="shared" si="3"/>
        <v>63300</v>
      </c>
      <c r="P7" s="8"/>
      <c r="Q7" s="9"/>
      <c r="R7" s="9"/>
      <c r="S7" s="55"/>
      <c r="T7" s="21">
        <f t="shared" si="4"/>
        <v>26800</v>
      </c>
      <c r="U7" s="60">
        <f>IF($J7="","",ROUND(($J7-$J$3)/1000,1)+(_xlfn.RANK.AVG($J7,($J7,$O7,$T7),1)-2)*20)</f>
        <v>-40.1</v>
      </c>
      <c r="V7" s="61">
        <f>IF($O7="","",ROUND(($O7-$O$3)/1000,1)+(_xlfn.RANK.AVG($O7,($J7,$O7,$T7),1)-2)*20)</f>
        <v>48.3</v>
      </c>
      <c r="W7" s="62">
        <f>IF($T7="","",ROUND(($T7-$T$3)/1000,1)+(_xlfn.RANK.AVG($T7,($J7,$O7,$T7),1)-2)*20)</f>
        <v>-8.1999999999999993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40</v>
      </c>
      <c r="AZ7" s="47" t="s">
        <v>148</v>
      </c>
      <c r="BA7" s="48" t="s">
        <v>86</v>
      </c>
      <c r="BB7" s="48" t="s">
        <v>80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141</v>
      </c>
      <c r="F8" s="8" t="s">
        <v>145</v>
      </c>
      <c r="G8" s="9">
        <v>-6000</v>
      </c>
      <c r="H8" s="9"/>
      <c r="I8" s="55">
        <v>-1000</v>
      </c>
      <c r="J8" s="21">
        <f t="shared" si="2"/>
        <v>7900</v>
      </c>
      <c r="K8" s="8" t="s">
        <v>145</v>
      </c>
      <c r="L8" s="9">
        <v>-10000</v>
      </c>
      <c r="M8" s="9"/>
      <c r="N8" s="55">
        <v>-1000</v>
      </c>
      <c r="O8" s="21">
        <f t="shared" si="3"/>
        <v>52300</v>
      </c>
      <c r="P8" s="8" t="s">
        <v>146</v>
      </c>
      <c r="Q8" s="9">
        <v>16000</v>
      </c>
      <c r="R8" s="9"/>
      <c r="S8" s="55">
        <v>2000</v>
      </c>
      <c r="T8" s="21">
        <f t="shared" si="4"/>
        <v>44800</v>
      </c>
      <c r="U8" s="60">
        <f>IF($J8="","",ROUND(($J8-$J$3)/1000,1)+(_xlfn.RANK.AVG($J8,($J8,$O8,$T8),1)-2)*20)</f>
        <v>-47.1</v>
      </c>
      <c r="V8" s="61">
        <f>IF($O8="","",ROUND(($O8-$O$3)/1000,1)+(_xlfn.RANK.AVG($O8,($J8,$O8,$T8),1)-2)*20)</f>
        <v>37.299999999999997</v>
      </c>
      <c r="W8" s="62">
        <f>IF($T8="","",ROUND(($T8-$T$3)/1000,1)+(_xlfn.RANK.AVG($T8,($J8,$O8,$T8),1)-2)*20)</f>
        <v>9.8000000000000007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8</v>
      </c>
      <c r="BT8" s="36" t="s">
        <v>147</v>
      </c>
      <c r="BU8" s="47" t="s">
        <v>148</v>
      </c>
      <c r="BV8" s="48" t="s">
        <v>83</v>
      </c>
      <c r="BW8" s="48" t="s">
        <v>80</v>
      </c>
      <c r="BX8" s="48" t="s">
        <v>155</v>
      </c>
      <c r="BY8" s="48" t="s">
        <v>81</v>
      </c>
      <c r="BZ8" s="48" t="s">
        <v>81</v>
      </c>
      <c r="CA8" s="48" t="s">
        <v>84</v>
      </c>
      <c r="CB8" s="48" t="s">
        <v>85</v>
      </c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156</v>
      </c>
      <c r="G9" s="9">
        <v>-1500</v>
      </c>
      <c r="H9" s="9"/>
      <c r="I9" s="55"/>
      <c r="J9" s="21">
        <f t="shared" si="2"/>
        <v>6400</v>
      </c>
      <c r="K9" s="8" t="s">
        <v>156</v>
      </c>
      <c r="L9" s="9">
        <v>-1500</v>
      </c>
      <c r="M9" s="9"/>
      <c r="N9" s="55"/>
      <c r="O9" s="21">
        <f t="shared" si="3"/>
        <v>50800</v>
      </c>
      <c r="P9" s="8" t="s">
        <v>156</v>
      </c>
      <c r="Q9" s="9">
        <v>3000</v>
      </c>
      <c r="R9" s="9">
        <v>-1000</v>
      </c>
      <c r="S9" s="55"/>
      <c r="T9" s="21">
        <f t="shared" si="4"/>
        <v>46800</v>
      </c>
      <c r="U9" s="60">
        <f>IF($J9="","",ROUND(($J9-$J$3)/1000,1)+(_xlfn.RANK.AVG($J9,($J9,$O9,$T9),1)-2)*20)</f>
        <v>-48.6</v>
      </c>
      <c r="V9" s="61">
        <f>IF($O9="","",ROUND(($O9-$O$3)/1000,1)+(_xlfn.RANK.AVG($O9,($J9,$O9,$T9),1)-2)*20)</f>
        <v>35.799999999999997</v>
      </c>
      <c r="W9" s="62">
        <f>IF($T9="","",ROUND(($T9-$T$3)/1000,1)+(_xlfn.RANK.AVG($T9,($J9,$O9,$T9),1)-2)*20)</f>
        <v>11.8</v>
      </c>
      <c r="Y9" s="8" t="s">
        <v>153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153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151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143</v>
      </c>
      <c r="F10" s="8"/>
      <c r="G10" s="9"/>
      <c r="H10" s="9"/>
      <c r="I10" s="55"/>
      <c r="J10" s="21">
        <f t="shared" si="2"/>
        <v>6400</v>
      </c>
      <c r="K10" s="8" t="s">
        <v>150</v>
      </c>
      <c r="L10" s="9">
        <v>-12000</v>
      </c>
      <c r="M10" s="9">
        <v>-1000</v>
      </c>
      <c r="N10" s="55">
        <v>-1000</v>
      </c>
      <c r="O10" s="21">
        <f t="shared" si="3"/>
        <v>36800</v>
      </c>
      <c r="P10" s="8" t="s">
        <v>149</v>
      </c>
      <c r="Q10" s="9">
        <v>12000</v>
      </c>
      <c r="R10" s="9">
        <v>2000</v>
      </c>
      <c r="S10" s="55">
        <v>1000</v>
      </c>
      <c r="T10" s="21">
        <f t="shared" si="4"/>
        <v>61800</v>
      </c>
      <c r="U10" s="60">
        <f>IF($J10="","",ROUND(($J10-$J$3)/1000,1)+(_xlfn.RANK.AVG($J10,($J10,$O10,$T10),1)-2)*20)</f>
        <v>-48.6</v>
      </c>
      <c r="V10" s="61">
        <f>IF($O10="","",ROUND(($O10-$O$3)/1000,1)+(_xlfn.RANK.AVG($O10,($J10,$O10,$T10),1)-2)*20)</f>
        <v>1.8</v>
      </c>
      <c r="W10" s="62">
        <f>IF($T10="","",ROUND(($T10-$T$3)/1000,1)+(_xlfn.RANK.AVG($T10,($J10,$O10,$T10),1)-2)*20)</f>
        <v>46.8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5</v>
      </c>
      <c r="BT10" s="36" t="s">
        <v>147</v>
      </c>
      <c r="BU10" s="47" t="s">
        <v>148</v>
      </c>
      <c r="BV10" s="48" t="s">
        <v>154</v>
      </c>
      <c r="BW10" s="48" t="s">
        <v>87</v>
      </c>
      <c r="BX10" s="48" t="s">
        <v>80</v>
      </c>
      <c r="BY10" s="48" t="s">
        <v>155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143</v>
      </c>
      <c r="F11" s="8" t="s">
        <v>149</v>
      </c>
      <c r="G11" s="9">
        <v>8000</v>
      </c>
      <c r="H11" s="9"/>
      <c r="I11" s="55">
        <v>2000</v>
      </c>
      <c r="J11" s="21">
        <f t="shared" si="2"/>
        <v>16400</v>
      </c>
      <c r="K11" s="8"/>
      <c r="L11" s="9"/>
      <c r="M11" s="9"/>
      <c r="N11" s="55"/>
      <c r="O11" s="21">
        <f t="shared" si="3"/>
        <v>36800</v>
      </c>
      <c r="P11" s="8" t="s">
        <v>150</v>
      </c>
      <c r="Q11" s="9">
        <v>-8000</v>
      </c>
      <c r="R11" s="9"/>
      <c r="S11" s="55">
        <v>-2000</v>
      </c>
      <c r="T11" s="21">
        <f t="shared" si="4"/>
        <v>51800</v>
      </c>
      <c r="U11" s="60">
        <f>IF($J11="","",ROUND(($J11-$J$3)/1000,1)+(_xlfn.RANK.AVG($J11,($J11,$O11,$T11),1)-2)*20)</f>
        <v>-38.6</v>
      </c>
      <c r="V11" s="61">
        <f>IF($O11="","",ROUND(($O11-$O$3)/1000,1)+(_xlfn.RANK.AVG($O11,($J11,$O11,$T11),1)-2)*20)</f>
        <v>1.8</v>
      </c>
      <c r="W11" s="62">
        <f>IF($T11="","",ROUND(($T11-$T$3)/1000,1)+(_xlfn.RANK.AVG($T11,($J11,$O11,$T11),1)-2)*20)</f>
        <v>36.799999999999997</v>
      </c>
      <c r="Y11" s="8"/>
      <c r="Z11" s="41"/>
      <c r="AA11" s="32"/>
      <c r="AB11" s="32"/>
      <c r="AC11" s="32">
        <v>5</v>
      </c>
      <c r="AD11" s="36" t="s">
        <v>147</v>
      </c>
      <c r="AE11" s="47" t="s">
        <v>102</v>
      </c>
      <c r="AF11" s="48" t="s">
        <v>155</v>
      </c>
      <c r="AG11" s="48" t="s">
        <v>80</v>
      </c>
      <c r="AH11" s="48" t="s">
        <v>80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150</v>
      </c>
      <c r="G12" s="9">
        <v>-8000</v>
      </c>
      <c r="H12" s="9"/>
      <c r="I12" s="55">
        <v>0</v>
      </c>
      <c r="J12" s="21">
        <f t="shared" si="2"/>
        <v>8400</v>
      </c>
      <c r="K12" s="8" t="s">
        <v>149</v>
      </c>
      <c r="L12" s="9">
        <v>8000</v>
      </c>
      <c r="M12" s="9"/>
      <c r="N12" s="55">
        <v>0</v>
      </c>
      <c r="O12" s="21">
        <f t="shared" si="3"/>
        <v>44800</v>
      </c>
      <c r="P12" s="8"/>
      <c r="Q12" s="9"/>
      <c r="R12" s="9"/>
      <c r="S12" s="55"/>
      <c r="T12" s="21">
        <f t="shared" si="4"/>
        <v>51800</v>
      </c>
      <c r="U12" s="60">
        <f>IF($J12="","",ROUND(($J12-$J$3)/1000,1)+(_xlfn.RANK.AVG($J12,($J12,$O12,$T12),1)-2)*20)</f>
        <v>-46.6</v>
      </c>
      <c r="V12" s="61">
        <f>IF($O12="","",ROUND(($O12-$O$3)/1000,1)+(_xlfn.RANK.AVG($O12,($J12,$O12,$T12),1)-2)*20)</f>
        <v>9.8000000000000007</v>
      </c>
      <c r="W12" s="62">
        <f>IF($T12="","",ROUND(($T12-$T$3)/1000,1)+(_xlfn.RANK.AVG($T12,($J12,$O12,$T12),1)-2)*20)</f>
        <v>36.799999999999997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5</v>
      </c>
      <c r="AY12" s="36" t="s">
        <v>147</v>
      </c>
      <c r="AZ12" s="47" t="s">
        <v>87</v>
      </c>
      <c r="BA12" s="48" t="s">
        <v>87</v>
      </c>
      <c r="BB12" s="48" t="s">
        <v>80</v>
      </c>
      <c r="BC12" s="48" t="s">
        <v>80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141</v>
      </c>
      <c r="F13" s="8" t="s">
        <v>145</v>
      </c>
      <c r="G13" s="9">
        <v>-800</v>
      </c>
      <c r="H13" s="9">
        <v>-1000</v>
      </c>
      <c r="I13" s="55">
        <v>0</v>
      </c>
      <c r="J13" s="21">
        <f t="shared" si="2"/>
        <v>6600</v>
      </c>
      <c r="K13" s="8" t="s">
        <v>146</v>
      </c>
      <c r="L13" s="9">
        <v>1600</v>
      </c>
      <c r="M13" s="9">
        <v>1000</v>
      </c>
      <c r="N13" s="55">
        <v>0</v>
      </c>
      <c r="O13" s="21">
        <f t="shared" si="3"/>
        <v>47400</v>
      </c>
      <c r="P13" s="8" t="s">
        <v>145</v>
      </c>
      <c r="Q13" s="9">
        <v>-800</v>
      </c>
      <c r="R13" s="9"/>
      <c r="S13" s="55">
        <v>0</v>
      </c>
      <c r="T13" s="21">
        <f t="shared" si="4"/>
        <v>51000</v>
      </c>
      <c r="U13" s="60">
        <f>IF($J13="","",ROUND(($J13-$J$3)/1000,1)+(_xlfn.RANK.AVG($J13,($J13,$O13,$T13),1)-2)*20)</f>
        <v>-48.4</v>
      </c>
      <c r="V13" s="61">
        <f>IF($O13="","",ROUND(($O13-$O$3)/1000,1)+(_xlfn.RANK.AVG($O13,($J13,$O13,$T13),1)-2)*20)</f>
        <v>12.4</v>
      </c>
      <c r="W13" s="62">
        <f>IF($T13="","",ROUND(($T13-$T$3)/1000,1)+(_xlfn.RANK.AVG($T13,($J13,$O13,$T13),1)-2)*20)</f>
        <v>36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1</v>
      </c>
      <c r="AY13" s="36">
        <v>30</v>
      </c>
      <c r="AZ13" s="47" t="s">
        <v>87</v>
      </c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141</v>
      </c>
      <c r="F14" s="8" t="s">
        <v>146</v>
      </c>
      <c r="G14" s="9">
        <v>8000</v>
      </c>
      <c r="H14" s="9">
        <v>1000</v>
      </c>
      <c r="I14" s="55">
        <v>1000</v>
      </c>
      <c r="J14" s="21">
        <f t="shared" si="2"/>
        <v>16600</v>
      </c>
      <c r="K14" s="8" t="s">
        <v>145</v>
      </c>
      <c r="L14" s="9">
        <v>-5000</v>
      </c>
      <c r="M14" s="9"/>
      <c r="N14" s="55">
        <v>-500</v>
      </c>
      <c r="O14" s="21">
        <f t="shared" si="3"/>
        <v>41900</v>
      </c>
      <c r="P14" s="8" t="s">
        <v>145</v>
      </c>
      <c r="Q14" s="9">
        <v>-3000</v>
      </c>
      <c r="R14" s="9">
        <v>-1000</v>
      </c>
      <c r="S14" s="55">
        <v>-500</v>
      </c>
      <c r="T14" s="21">
        <f t="shared" si="4"/>
        <v>46500</v>
      </c>
      <c r="U14" s="60">
        <f>IF($J14="","",ROUND(($J14-$J$3)/1000,1)+(_xlfn.RANK.AVG($J14,($J14,$O14,$T14),1)-2)*20)</f>
        <v>-38.4</v>
      </c>
      <c r="V14" s="61">
        <f>IF($O14="","",ROUND(($O14-$O$3)/1000,1)+(_xlfn.RANK.AVG($O14,($J14,$O14,$T14),1)-2)*20)</f>
        <v>6.9</v>
      </c>
      <c r="W14" s="62">
        <f>IF($T14="","",ROUND(($T14-$T$3)/1000,1)+(_xlfn.RANK.AVG($T14,($J14,$O14,$T14),1)-2)*20)</f>
        <v>31.5</v>
      </c>
      <c r="Y14" s="8"/>
      <c r="Z14" s="41"/>
      <c r="AA14" s="32"/>
      <c r="AB14" s="32">
        <v>1</v>
      </c>
      <c r="AC14" s="32">
        <v>5</v>
      </c>
      <c r="AD14" s="36" t="s">
        <v>147</v>
      </c>
      <c r="AE14" s="47" t="s">
        <v>87</v>
      </c>
      <c r="AF14" s="48" t="s">
        <v>99</v>
      </c>
      <c r="AG14" s="48" t="s">
        <v>155</v>
      </c>
      <c r="AH14" s="48" t="s">
        <v>155</v>
      </c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145</v>
      </c>
      <c r="G15" s="9">
        <v>-1100</v>
      </c>
      <c r="H15" s="9"/>
      <c r="I15" s="55">
        <v>0</v>
      </c>
      <c r="J15" s="21">
        <f t="shared" si="2"/>
        <v>15500</v>
      </c>
      <c r="K15" s="8" t="s">
        <v>145</v>
      </c>
      <c r="L15" s="9">
        <v>-1100</v>
      </c>
      <c r="M15" s="9"/>
      <c r="N15" s="55">
        <v>0</v>
      </c>
      <c r="O15" s="21">
        <f t="shared" si="3"/>
        <v>40800</v>
      </c>
      <c r="P15" s="8" t="s">
        <v>146</v>
      </c>
      <c r="Q15" s="9">
        <v>2200</v>
      </c>
      <c r="R15" s="9"/>
      <c r="S15" s="55">
        <v>0</v>
      </c>
      <c r="T15" s="21">
        <f t="shared" si="4"/>
        <v>48700</v>
      </c>
      <c r="U15" s="60">
        <f>IF($J15="","",ROUND(($J15-$J$3)/1000,1)+(_xlfn.RANK.AVG($J15,($J15,$O15,$T15),1)-2)*20)</f>
        <v>-39.5</v>
      </c>
      <c r="V15" s="61">
        <f>IF($O15="","",ROUND(($O15-$O$3)/1000,1)+(_xlfn.RANK.AVG($O15,($J15,$O15,$T15),1)-2)*20)</f>
        <v>5.8</v>
      </c>
      <c r="W15" s="62">
        <f>IF($T15="","",ROUND(($T15-$T$3)/1000,1)+(_xlfn.RANK.AVG($T15,($J15,$O15,$T15),1)-2)*20)</f>
        <v>33.700000000000003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1</v>
      </c>
      <c r="BT15" s="36">
        <v>40</v>
      </c>
      <c r="BU15" s="47" t="s">
        <v>87</v>
      </c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C166786-EA5A-4DAD-BBBA-69A7550C8029}">
      <formula1>"ロン,ツモ,放銃,ツモ支払,流局,チョンボ"</formula1>
    </dataValidation>
    <dataValidation type="list" allowBlank="1" showInputMessage="1" showErrorMessage="1" sqref="E4:E30" xr:uid="{ACF954CE-52BD-419C-91BD-BCDAD12CCC7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2019-04-19T16:58:06Z</dcterms:modified>
</cp:coreProperties>
</file>