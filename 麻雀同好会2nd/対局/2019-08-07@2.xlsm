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E5290217-FDD9-44C1-9195-45E93C5D404D}" xr6:coauthVersionLast="41" xr6:coauthVersionMax="41" xr10:uidLastSave="{00000000-0000-0000-0000-000000000000}"/>
  <bookViews>
    <workbookView xWindow="-120" yWindow="-120" windowWidth="29040" windowHeight="1644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 s="1"/>
  <c r="T16" i="20"/>
  <c r="W16" i="20" s="1"/>
  <c r="O16" i="20"/>
  <c r="V16" i="20" s="1"/>
  <c r="J16" i="20"/>
  <c r="U16" i="20" s="1"/>
  <c r="D16" i="20"/>
  <c r="C16" i="20"/>
  <c r="B16" i="20"/>
  <c r="A16" i="20" s="1"/>
  <c r="T15" i="20"/>
  <c r="O15" i="20"/>
  <c r="V15" i="20" s="1"/>
  <c r="J15" i="20"/>
  <c r="D15" i="20"/>
  <c r="C15" i="20"/>
  <c r="B15" i="20"/>
  <c r="A15" i="20" s="1"/>
  <c r="T14" i="20"/>
  <c r="W14" i="20" s="1"/>
  <c r="O14" i="20"/>
  <c r="J14" i="20"/>
  <c r="U14" i="20" s="1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V12" i="20" s="1"/>
  <c r="J12" i="20"/>
  <c r="D12" i="20"/>
  <c r="C12" i="20"/>
  <c r="B12" i="20"/>
  <c r="A12" i="20" s="1"/>
  <c r="D11" i="20"/>
  <c r="C11" i="20"/>
  <c r="D10" i="20"/>
  <c r="C10" i="20"/>
  <c r="D9" i="20"/>
  <c r="D8" i="20"/>
  <c r="B7" i="20"/>
  <c r="B8" i="20" s="1"/>
  <c r="D6" i="20"/>
  <c r="D7" i="20" s="1"/>
  <c r="C6" i="20"/>
  <c r="C7" i="20" s="1"/>
  <c r="C8" i="20" s="1"/>
  <c r="C9" i="20" s="1"/>
  <c r="B6" i="20"/>
  <c r="J5" i="20"/>
  <c r="D5" i="20"/>
  <c r="C5" i="20"/>
  <c r="B5" i="20"/>
  <c r="A5" i="20" s="1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U15" i="20" l="1"/>
  <c r="W15" i="20"/>
  <c r="V14" i="20"/>
  <c r="W13" i="20"/>
  <c r="U13" i="20"/>
  <c r="V13" i="20"/>
  <c r="U12" i="20"/>
  <c r="W12" i="20"/>
  <c r="A6" i="20"/>
  <c r="A7" i="20" s="1"/>
  <c r="V4" i="20"/>
  <c r="W4" i="20"/>
  <c r="B9" i="20"/>
  <c r="A9" i="20" s="1"/>
  <c r="O5" i="20"/>
  <c r="T5" i="20"/>
  <c r="J6" i="20"/>
  <c r="A8" i="20"/>
  <c r="J7" i="20" l="1"/>
  <c r="W5" i="20"/>
  <c r="T6" i="20"/>
  <c r="V5" i="20"/>
  <c r="O6" i="20"/>
  <c r="U6" i="20" s="1"/>
  <c r="U5" i="20"/>
  <c r="B10" i="20"/>
  <c r="A10" i="20" s="1"/>
  <c r="A11" i="20" l="1"/>
  <c r="B11" i="20"/>
  <c r="V6" i="20"/>
  <c r="O7" i="20"/>
  <c r="J8" i="20"/>
  <c r="W6" i="20"/>
  <c r="T7" i="20"/>
  <c r="U7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W9" i="19" s="1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T8" i="20" l="1"/>
  <c r="W7" i="20"/>
  <c r="O8" i="20"/>
  <c r="V7" i="20"/>
  <c r="U8" i="20"/>
  <c r="J9" i="20"/>
  <c r="W11" i="19"/>
  <c r="V10" i="19"/>
  <c r="W10" i="19"/>
  <c r="V8" i="19"/>
  <c r="U8" i="19"/>
  <c r="W8" i="19"/>
  <c r="W7" i="19"/>
  <c r="U7" i="19"/>
  <c r="V7" i="19"/>
  <c r="U6" i="19"/>
  <c r="V6" i="19"/>
  <c r="W6" i="19"/>
  <c r="U4" i="19"/>
  <c r="V4" i="19"/>
  <c r="W4" i="19"/>
  <c r="J5" i="19"/>
  <c r="O5" i="19"/>
  <c r="V5" i="19" s="1"/>
  <c r="W8" i="20" l="1"/>
  <c r="T9" i="20"/>
  <c r="J10" i="20"/>
  <c r="V8" i="20"/>
  <c r="O9" i="20"/>
  <c r="W5" i="19"/>
  <c r="U5" i="19"/>
  <c r="U9" i="20" l="1"/>
  <c r="J11" i="20"/>
  <c r="V9" i="20"/>
  <c r="O10" i="20"/>
  <c r="W9" i="20"/>
  <c r="T10" i="20"/>
  <c r="W10" i="20" l="1"/>
  <c r="T11" i="20"/>
  <c r="V10" i="20"/>
  <c r="O11" i="20"/>
  <c r="U10" i="20"/>
  <c r="V11" i="20" l="1"/>
  <c r="W11" i="20"/>
  <c r="U11" i="20"/>
</calcChain>
</file>

<file path=xl/sharedStrings.xml><?xml version="1.0" encoding="utf-8"?>
<sst xmlns="http://schemas.openxmlformats.org/spreadsheetml/2006/main" count="713" uniqueCount="210">
  <si>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</si>
  <si>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</si>
  <si>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</si>
  <si>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</si>
  <si>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</si>
  <si>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</si>
  <si>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</si>
  <si>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</si>
  <si>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</si>
  <si>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</si>
  <si>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</si>
  <si>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</si>
  <si>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</si>
  <si>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</si>
  <si>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</si>
  <si>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</si>
  <si>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</si>
  <si>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</si>
  <si>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</si>
  <si>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</si>
  <si>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</si>
  <si>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</si>
  <si>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</si>
  <si>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</si>
  <si>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</si>
  <si>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</si>
  <si>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</si>
  <si>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</si>
  <si>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</si>
  <si>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</si>
  <si>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</si>
  <si>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</si>
  <si>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</si>
  <si>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</si>
  <si>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</si>
  <si>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</si>
  <si>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</si>
  <si>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</si>
  <si>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</si>
  <si>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</si>
  <si>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</si>
  <si>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</si>
  <si>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</si>
  <si>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</si>
  <si>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</si>
  <si>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</si>
  <si>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</si>
  <si>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</si>
  <si>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</si>
  <si>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</si>
  <si>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</si>
  <si>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</si>
  <si>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</si>
  <si>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</si>
  <si>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</si>
  <si>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</si>
  <si>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</si>
  <si>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</si>
  <si>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</si>
  <si>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</si>
  <si>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</si>
  <si>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</si>
  <si>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</si>
  <si>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</si>
  <si>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</si>
  <si>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</si>
  <si>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</si>
  <si>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</si>
  <si>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</si>
  <si>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</si>
  <si>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</si>
  <si>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</si>
  <si>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</si>
  <si>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</si>
  <si>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</si>
  <si>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</si>
  <si>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</si>
  <si>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</si>
  <si>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</si>
  <si>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</si>
  <si>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</si>
  <si>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</si>
  <si>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</si>
  <si>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</si>
  <si>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</si>
  <si>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</si>
  <si>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</si>
  <si>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</si>
  <si>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</si>
  <si>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</si>
  <si>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</si>
  <si>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</si>
  <si>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</si>
  <si>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</si>
  <si>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</si>
  <si>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</si>
  <si>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</si>
  <si>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</si>
  <si>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</si>
  <si>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</si>
  <si>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</si>
  <si>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</si>
  <si>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</si>
  <si>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</si>
  <si>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</si>
  <si>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</si>
  <si>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</si>
  <si>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</si>
  <si>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</si>
  <si>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</si>
  <si>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</si>
  <si>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</si>
  <si>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</si>
  <si>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</si>
  <si>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</si>
  <si>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</si>
  <si>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</si>
  <si>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</si>
  <si>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</si>
  <si>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</si>
  <si>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</si>
  <si>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</si>
  <si>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</si>
  <si>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</si>
  <si>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</si>
  <si>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</si>
  <si>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</si>
  <si>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</si>
  <si>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</si>
  <si>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</si>
  <si>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</si>
  <si>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</si>
  <si>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</si>
  <si>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</si>
  <si>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</si>
  <si>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</si>
  <si>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</si>
  <si>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</si>
  <si>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</si>
  <si>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</si>
  <si>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</si>
  <si>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</si>
  <si>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</si>
  <si>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</si>
  <si>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</si>
  <si>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</si>
  <si>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</si>
  <si>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</si>
  <si>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</si>
  <si>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</si>
  <si>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</si>
  <si>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</si>
  <si>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</si>
  <si>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</si>
  <si>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</si>
  <si>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</si>
  <si>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</si>
  <si>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</si>
  <si>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</si>
  <si>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</si>
  <si>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</si>
  <si>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</si>
  <si>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</si>
  <si>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</si>
  <si>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</si>
  <si>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</si>
  <si>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</si>
  <si>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</si>
  <si>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</si>
  <si>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</si>
  <si>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</si>
  <si>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</si>
  <si>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</si>
  <si>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</si>
  <si>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</si>
  <si>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</si>
  <si>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</si>
  <si>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</si>
  <si>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</si>
  <si>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</si>
  <si>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</si>
  <si>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</si>
  <si>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</si>
  <si>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</si>
  <si>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</si>
  <si>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</si>
  <si>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</si>
  <si>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</si>
  <si>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</si>
  <si>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</si>
  <si>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</si>
  <si>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</si>
  <si>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だいち</t>
  </si>
  <si>
    <t>だいち</t>
    <phoneticPr fontId="1"/>
  </si>
  <si>
    <t>ただ</t>
  </si>
  <si>
    <t>ただ</t>
    <phoneticPr fontId="1"/>
  </si>
  <si>
    <t>ツモ支払</t>
  </si>
  <si>
    <t>ツモ</t>
  </si>
  <si>
    <t>T</t>
  </si>
  <si>
    <t>N</t>
  </si>
  <si>
    <t>流局</t>
    <phoneticPr fontId="1"/>
  </si>
  <si>
    <t>放銃</t>
  </si>
  <si>
    <t>ロン</t>
  </si>
  <si>
    <t>01</t>
  </si>
  <si>
    <t>02</t>
  </si>
  <si>
    <t>52</t>
  </si>
  <si>
    <t>ぱぱ</t>
  </si>
  <si>
    <t>ぱぱ</t>
    <phoneticPr fontId="1"/>
  </si>
  <si>
    <t>*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</si>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</sst>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opLeftCell="D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196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196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197</v>
      </c>
      <c r="Q4" s="9">
        <v>3000</v>
      </c>
      <c r="R4" s="9"/>
      <c r="S4" s="48">
        <v>0</v>
      </c>
      <c r="T4" s="21">
        <f>IF(COUNTA($F4,$K4,$P4)&gt;0,T3+SUM(Q4:S4),"")</f>
        <v>38000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23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104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196</v>
      </c>
      <c r="G5" s="9">
        <v>-1500</v>
      </c>
      <c r="H5" s="9">
        <v>-1000</v>
      </c>
      <c r="I5" s="48">
        <v>-500</v>
      </c>
      <c r="J5" s="21">
        <f t="shared" ref="J5:J30" si="2">IF(COUNTA($F5,$K5,$P5)&gt;0,J4+SUM(G5:I5),"")</f>
        <v>30500</v>
      </c>
      <c r="K5" s="8" t="s">
        <v>196</v>
      </c>
      <c r="L5" s="9">
        <v>-1500</v>
      </c>
      <c r="M5" s="9"/>
      <c r="N5" s="48">
        <v>-500</v>
      </c>
      <c r="O5" s="21">
        <f t="shared" ref="O5:O30" si="3">IF(COUNTA($F5,$K5,$P5)&gt;0,O4+SUM(L5:N5),"")</f>
        <v>31500</v>
      </c>
      <c r="P5" s="8" t="s">
        <v>197</v>
      </c>
      <c r="Q5" s="9">
        <v>3000</v>
      </c>
      <c r="R5" s="9">
        <v>1000</v>
      </c>
      <c r="S5" s="48">
        <v>1000</v>
      </c>
      <c r="T5" s="21">
        <f t="shared" ref="T5:T30" si="4">IF(COUNTA($F5,$K5,$P5)&gt;0,T4+SUM(Q5:S5),"")</f>
        <v>43000</v>
      </c>
      <c r="U5" s="53">
        <f>IF($J5="","",ROUND(($J5-$J$3)/1000,1)+(_xlfn.RANK.AVG($J5,($J5,$O5,$T5),1)-2)*20)</f>
        <v>-24.5</v>
      </c>
      <c r="V5" s="54">
        <f>IF($O5="","",ROUND(($O5-$O$3)/1000,1)+(_xlfn.RANK.AVG($O5,($J5,$O5,$T5),1)-2)*20)</f>
        <v>-3.5</v>
      </c>
      <c r="W5" s="55">
        <f>IF($T5="","",ROUND(($T5-$T$3)/1000,1)+(_xlfn.RANK.AVG($T5,($J5,$O5,$T5),1)-2)*20)</f>
        <v>28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30</v>
      </c>
      <c r="BU5" s="40" t="s">
        <v>84</v>
      </c>
      <c r="BV5" s="41" t="s">
        <v>82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194</v>
      </c>
      <c r="F6" s="8" t="s">
        <v>200</v>
      </c>
      <c r="G6" s="9">
        <v>1500</v>
      </c>
      <c r="H6" s="9"/>
      <c r="I6" s="48"/>
      <c r="J6" s="21">
        <f t="shared" si="2"/>
        <v>32000</v>
      </c>
      <c r="K6" s="8" t="s">
        <v>200</v>
      </c>
      <c r="L6" s="9">
        <v>-3000</v>
      </c>
      <c r="M6" s="9"/>
      <c r="N6" s="48"/>
      <c r="O6" s="21">
        <f t="shared" si="3"/>
        <v>28500</v>
      </c>
      <c r="P6" s="8" t="s">
        <v>200</v>
      </c>
      <c r="Q6" s="9">
        <v>1500</v>
      </c>
      <c r="R6" s="9"/>
      <c r="S6" s="48"/>
      <c r="T6" s="21">
        <f t="shared" si="4"/>
        <v>44500</v>
      </c>
      <c r="U6" s="53">
        <f>IF($J6="","",ROUND(($J6-$J$3)/1000,1)+(_xlfn.RANK.AVG($J6,($J6,$O6,$T6),1)-2)*20)</f>
        <v>-3</v>
      </c>
      <c r="V6" s="54">
        <f>IF($O6="","",ROUND(($O6-$O$3)/1000,1)+(_xlfn.RANK.AVG($O6,($J6,$O6,$T6),1)-2)*20)</f>
        <v>-26.5</v>
      </c>
      <c r="W6" s="55">
        <f>IF($T6="","",ROUND(($T6-$T$3)/1000,1)+(_xlfn.RANK.AVG($T6,($J6,$O6,$T6),1)-2)*20)</f>
        <v>29.5</v>
      </c>
      <c r="Y6" s="8" t="s">
        <v>198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199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198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194</v>
      </c>
      <c r="F7" s="8" t="s">
        <v>201</v>
      </c>
      <c r="G7" s="9">
        <v>-18400</v>
      </c>
      <c r="H7" s="9">
        <v>-1000</v>
      </c>
      <c r="I7" s="48">
        <v>-3000</v>
      </c>
      <c r="J7" s="21">
        <f t="shared" si="2"/>
        <v>9600</v>
      </c>
      <c r="K7" s="8" t="s">
        <v>202</v>
      </c>
      <c r="L7" s="9">
        <v>6400</v>
      </c>
      <c r="M7" s="9">
        <v>1000</v>
      </c>
      <c r="N7" s="48">
        <v>3000</v>
      </c>
      <c r="O7" s="21">
        <f t="shared" si="3"/>
        <v>38900</v>
      </c>
      <c r="P7" s="8" t="s">
        <v>202</v>
      </c>
      <c r="Q7" s="9">
        <v>12000</v>
      </c>
      <c r="R7" s="9"/>
      <c r="S7" s="48"/>
      <c r="T7" s="21">
        <f t="shared" si="4"/>
        <v>56500</v>
      </c>
      <c r="U7" s="53">
        <f>IF($J7="","",ROUND(($J7-$J$3)/1000,1)+(_xlfn.RANK.AVG($J7,($J7,$O7,$T7),1)-2)*20)</f>
        <v>-45.4</v>
      </c>
      <c r="V7" s="54">
        <f>IF($O7="","",ROUND(($O7-$O$3)/1000,1)+(_xlfn.RANK.AVG($O7,($J7,$O7,$T7),1)-2)*20)</f>
        <v>3.9</v>
      </c>
      <c r="W7" s="55">
        <f>IF($T7="","",ROUND(($T7-$T$3)/1000,1)+(_xlfn.RANK.AVG($T7,($J7,$O7,$T7),1)-2)*20)</f>
        <v>41.5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25</v>
      </c>
      <c r="AZ7" s="40" t="s">
        <v>203</v>
      </c>
      <c r="BA7" s="41" t="s">
        <v>204</v>
      </c>
      <c r="BB7" s="41" t="s">
        <v>101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40</v>
      </c>
      <c r="BU7" s="40" t="s">
        <v>203</v>
      </c>
      <c r="BV7" s="41" t="s">
        <v>204</v>
      </c>
      <c r="BW7" s="41" t="s">
        <v>101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195</v>
      </c>
      <c r="F8" s="8" t="s">
        <v>201</v>
      </c>
      <c r="G8" s="9">
        <v>-2900</v>
      </c>
      <c r="H8" s="9"/>
      <c r="I8" s="48">
        <v>-4000</v>
      </c>
      <c r="J8" s="21">
        <f t="shared" si="2"/>
        <v>2700</v>
      </c>
      <c r="K8" s="8"/>
      <c r="L8" s="9"/>
      <c r="M8" s="9"/>
      <c r="N8" s="48"/>
      <c r="O8" s="21">
        <f t="shared" si="3"/>
        <v>38900</v>
      </c>
      <c r="P8" s="8" t="s">
        <v>202</v>
      </c>
      <c r="Q8" s="9">
        <v>2900</v>
      </c>
      <c r="R8" s="9"/>
      <c r="S8" s="48">
        <v>4000</v>
      </c>
      <c r="T8" s="21">
        <f t="shared" si="4"/>
        <v>63400</v>
      </c>
      <c r="U8" s="53">
        <f>IF($J8="","",ROUND(($J8-$J$3)/1000,1)+(_xlfn.RANK.AVG($J8,($J8,$O8,$T8),1)-2)*20)</f>
        <v>-52.3</v>
      </c>
      <c r="V8" s="54">
        <f>IF($O8="","",ROUND(($O8-$O$3)/1000,1)+(_xlfn.RANK.AVG($O8,($J8,$O8,$T8),1)-2)*20)</f>
        <v>3.9</v>
      </c>
      <c r="W8" s="55">
        <f>IF($T8="","",ROUND(($T8-$T$3)/1000,1)+(_xlfn.RANK.AVG($T8,($J8,$O8,$T8),1)-2)*20)</f>
        <v>48.4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30</v>
      </c>
      <c r="BU8" s="40" t="s">
        <v>83</v>
      </c>
      <c r="BV8" s="41" t="s">
        <v>79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0</v>
      </c>
      <c r="E9" s="4" t="s">
        <v>194</v>
      </c>
      <c r="F9" s="8"/>
      <c r="G9" s="9"/>
      <c r="H9" s="9"/>
      <c r="I9" s="48"/>
      <c r="J9" s="21">
        <f t="shared" si="2"/>
        <v>2700</v>
      </c>
      <c r="K9" s="8" t="s">
        <v>202</v>
      </c>
      <c r="L9" s="9">
        <v>3200</v>
      </c>
      <c r="M9" s="9"/>
      <c r="N9" s="48">
        <v>5000</v>
      </c>
      <c r="O9" s="21">
        <f t="shared" si="3"/>
        <v>47100</v>
      </c>
      <c r="P9" s="8" t="s">
        <v>201</v>
      </c>
      <c r="Q9" s="9">
        <v>-3200</v>
      </c>
      <c r="R9" s="9"/>
      <c r="S9" s="48">
        <v>-5000</v>
      </c>
      <c r="T9" s="21">
        <f t="shared" si="4"/>
        <v>55200</v>
      </c>
      <c r="U9" s="53">
        <f>IF($J9="","",ROUND(($J9-$J$3)/1000,1)+(_xlfn.RANK.AVG($J9,($J9,$O9,$T9),1)-2)*20)</f>
        <v>-52.3</v>
      </c>
      <c r="V9" s="54">
        <f>IF($O9="","",ROUND(($O9-$O$3)/1000,1)+(_xlfn.RANK.AVG($O9,($J9,$O9,$T9),1)-2)*20)</f>
        <v>12.1</v>
      </c>
      <c r="W9" s="55">
        <f>IF($T9="","",ROUND(($T9-$T$3)/1000,1)+(_xlfn.RANK.AVG($T9,($J9,$O9,$T9),1)-2)*20)</f>
        <v>40.200000000000003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3</v>
      </c>
      <c r="AY9" s="30">
        <v>25</v>
      </c>
      <c r="AZ9" s="40" t="s">
        <v>101</v>
      </c>
      <c r="BA9" s="41" t="s">
        <v>205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201</v>
      </c>
      <c r="G10" s="9">
        <v>-1300</v>
      </c>
      <c r="H10" s="9"/>
      <c r="I10" s="48">
        <v>0</v>
      </c>
      <c r="J10" s="21">
        <f t="shared" si="2"/>
        <v>1400</v>
      </c>
      <c r="K10" s="8"/>
      <c r="L10" s="9"/>
      <c r="M10" s="9"/>
      <c r="N10" s="48"/>
      <c r="O10" s="21">
        <f t="shared" si="3"/>
        <v>47100</v>
      </c>
      <c r="P10" s="8" t="s">
        <v>202</v>
      </c>
      <c r="Q10" s="9">
        <v>1300</v>
      </c>
      <c r="R10" s="9"/>
      <c r="S10" s="48">
        <v>0</v>
      </c>
      <c r="T10" s="21">
        <f t="shared" si="4"/>
        <v>56500</v>
      </c>
      <c r="U10" s="53">
        <f>IF($J10="","",ROUND(($J10-$J$3)/1000,1)+(_xlfn.RANK.AVG($J10,($J10,$O10,$T10),1)-2)*20)</f>
        <v>-53.6</v>
      </c>
      <c r="V10" s="54">
        <f>IF($O10="","",ROUND(($O10-$O$3)/1000,1)+(_xlfn.RANK.AVG($O10,($J10,$O10,$T10),1)-2)*20)</f>
        <v>12.1</v>
      </c>
      <c r="W10" s="55">
        <f>IF($T10="","",ROUND(($T10-$T$3)/1000,1)+(_xlfn.RANK.AVG($T10,($J10,$O10,$T10),1)-2)*20)</f>
        <v>41.5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1</v>
      </c>
      <c r="BT10" s="30">
        <v>40</v>
      </c>
      <c r="BU10" s="40" t="s">
        <v>86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192</v>
      </c>
      <c r="F11" s="8" t="s">
        <v>201</v>
      </c>
      <c r="G11" s="9">
        <v>-8000</v>
      </c>
      <c r="H11" s="9"/>
      <c r="I11" s="48">
        <v>0</v>
      </c>
      <c r="J11" s="21">
        <f t="shared" si="2"/>
        <v>-6600</v>
      </c>
      <c r="K11" s="8"/>
      <c r="L11" s="9"/>
      <c r="M11" s="9"/>
      <c r="N11" s="48"/>
      <c r="O11" s="21">
        <f t="shared" si="3"/>
        <v>47100</v>
      </c>
      <c r="P11" s="8" t="s">
        <v>202</v>
      </c>
      <c r="Q11" s="9">
        <v>8000</v>
      </c>
      <c r="R11" s="9"/>
      <c r="S11" s="48">
        <v>0</v>
      </c>
      <c r="T11" s="21">
        <f t="shared" si="4"/>
        <v>64500</v>
      </c>
      <c r="U11" s="53">
        <f>IF($J11="","",ROUND(($J11-$J$3)/1000,1)+(_xlfn.RANK.AVG($J11,($J11,$O11,$T11),1)-2)*20)</f>
        <v>-61.6</v>
      </c>
      <c r="V11" s="54">
        <f>IF($O11="","",ROUND(($O11-$O$3)/1000,1)+(_xlfn.RANK.AVG($O11,($J11,$O11,$T11),1)-2)*20)</f>
        <v>12.1</v>
      </c>
      <c r="W11" s="55">
        <f>IF($T11="","",ROUND(($T11-$T$3)/1000,1)+(_xlfn.RANK.AVG($T11,($J11,$O11,$T11),1)-2)*20)</f>
        <v>49.5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40</v>
      </c>
      <c r="BU11" s="40" t="s">
        <v>86</v>
      </c>
      <c r="BV11" s="41" t="s">
        <v>79</v>
      </c>
      <c r="BW11" s="41" t="s">
        <v>79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3F4C945-01C5-479F-8ADF-77BA98396A05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B6577-03C7-41AF-A1FC-4CCD91364997}">
  <sheetPr codeName="Sheet11">
    <pageSetUpPr fitToPage="1"/>
  </sheetPr>
  <dimension ref="A1:CI30"/>
  <sheetViews>
    <sheetView tabSelected="1" topLeftCell="D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207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ぱぱ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196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197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 t="s">
        <v>196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-30</v>
      </c>
      <c r="V4" s="54">
        <f>IF($O4="","",ROUND(($O4-$O$3)/1000,1)+(_xlfn.RANK.AVG($O4,($J4,$O4,$T4),1)-2)*20)</f>
        <v>36</v>
      </c>
      <c r="W4" s="55">
        <f>IF($T4="","",ROUND(($T4-$T$3)/1000,1)+(_xlfn.RANK.AVG($T4,($J4,$O4,$T4),1)-2)*20)</f>
        <v>-6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8</v>
      </c>
      <c r="AY4" s="30" t="s">
        <v>208</v>
      </c>
      <c r="AZ4" s="40" t="s">
        <v>203</v>
      </c>
      <c r="BA4" s="41" t="s">
        <v>82</v>
      </c>
      <c r="BB4" s="41" t="s">
        <v>79</v>
      </c>
      <c r="BC4" s="41" t="s">
        <v>79</v>
      </c>
      <c r="BD4" s="41" t="s">
        <v>86</v>
      </c>
      <c r="BE4" s="41" t="s">
        <v>92</v>
      </c>
      <c r="BF4" s="41" t="s">
        <v>205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206</v>
      </c>
      <c r="F5" s="8" t="s">
        <v>196</v>
      </c>
      <c r="G5" s="9">
        <v>-5800</v>
      </c>
      <c r="H5" s="9"/>
      <c r="I5" s="48">
        <v>0</v>
      </c>
      <c r="J5" s="21">
        <f t="shared" ref="J5:J30" si="2">IF(COUNTA($F5,$K5,$P5)&gt;0,J4+SUM(G5:I5),"")</f>
        <v>19200</v>
      </c>
      <c r="K5" s="8" t="s">
        <v>197</v>
      </c>
      <c r="L5" s="9">
        <v>11600</v>
      </c>
      <c r="M5" s="9"/>
      <c r="N5" s="48">
        <v>0</v>
      </c>
      <c r="O5" s="21">
        <f t="shared" ref="O5:O30" si="3">IF(COUNTA($F5,$K5,$P5)&gt;0,O4+SUM(L5:N5),"")</f>
        <v>62600</v>
      </c>
      <c r="P5" s="8" t="s">
        <v>196</v>
      </c>
      <c r="Q5" s="9">
        <v>-5800</v>
      </c>
      <c r="R5" s="9"/>
      <c r="S5" s="48">
        <v>0</v>
      </c>
      <c r="T5" s="21">
        <f t="shared" ref="T5:T30" si="4">IF(COUNTA($F5,$K5,$P5)&gt;0,T4+SUM(Q5:S5),"")</f>
        <v>23200</v>
      </c>
      <c r="U5" s="53">
        <f>IF($J5="","",ROUND(($J5-$J$3)/1000,1)+(_xlfn.RANK.AVG($J5,($J5,$O5,$T5),1)-2)*20)</f>
        <v>-35.799999999999997</v>
      </c>
      <c r="V5" s="54">
        <f>IF($O5="","",ROUND(($O5-$O$3)/1000,1)+(_xlfn.RANK.AVG($O5,($J5,$O5,$T5),1)-2)*20)</f>
        <v>47.6</v>
      </c>
      <c r="W5" s="55">
        <f>IF($T5="","",ROUND(($T5-$T$3)/1000,1)+(_xlfn.RANK.AVG($T5,($J5,$O5,$T5),1)-2)*20)</f>
        <v>-11.8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203</v>
      </c>
      <c r="BA5" s="41" t="s">
        <v>82</v>
      </c>
      <c r="BB5" s="41" t="s">
        <v>79</v>
      </c>
      <c r="BC5" s="41" t="s">
        <v>205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206</v>
      </c>
      <c r="F6" s="8" t="s">
        <v>209</v>
      </c>
      <c r="G6" s="9">
        <v>0</v>
      </c>
      <c r="H6" s="9"/>
      <c r="I6" s="48"/>
      <c r="J6" s="21">
        <f t="shared" si="2"/>
        <v>19200</v>
      </c>
      <c r="K6" s="8" t="s">
        <v>209</v>
      </c>
      <c r="L6" s="9">
        <v>0</v>
      </c>
      <c r="M6" s="9"/>
      <c r="N6" s="48"/>
      <c r="O6" s="21">
        <f t="shared" si="3"/>
        <v>62600</v>
      </c>
      <c r="P6" s="8" t="s">
        <v>209</v>
      </c>
      <c r="Q6" s="9">
        <v>0</v>
      </c>
      <c r="R6" s="9">
        <v>-1000</v>
      </c>
      <c r="S6" s="48"/>
      <c r="T6" s="21">
        <f t="shared" si="4"/>
        <v>22200</v>
      </c>
      <c r="U6" s="53">
        <f>IF($J6="","",ROUND(($J6-$J$3)/1000,1)+(_xlfn.RANK.AVG($J6,($J6,$O6,$T6),1)-2)*20)</f>
        <v>-35.799999999999997</v>
      </c>
      <c r="V6" s="54">
        <f>IF($O6="","",ROUND(($O6-$O$3)/1000,1)+(_xlfn.RANK.AVG($O6,($J6,$O6,$T6),1)-2)*20)</f>
        <v>47.6</v>
      </c>
      <c r="W6" s="55">
        <f>IF($T6="","",ROUND(($T6-$T$3)/1000,1)+(_xlfn.RANK.AVG($T6,($J6,$O6,$T6),1)-2)*20)</f>
        <v>-12.8</v>
      </c>
      <c r="Y6" s="8" t="s">
        <v>198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198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198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1</v>
      </c>
      <c r="E7" s="4" t="s">
        <v>206</v>
      </c>
      <c r="F7" s="8" t="s">
        <v>196</v>
      </c>
      <c r="G7" s="9">
        <v>-4800</v>
      </c>
      <c r="H7" s="9"/>
      <c r="I7" s="48">
        <v>-1000</v>
      </c>
      <c r="J7" s="21">
        <f t="shared" si="2"/>
        <v>13400</v>
      </c>
      <c r="K7" s="8" t="s">
        <v>197</v>
      </c>
      <c r="L7" s="9">
        <v>9600</v>
      </c>
      <c r="M7" s="9">
        <v>1000</v>
      </c>
      <c r="N7" s="48">
        <v>2000</v>
      </c>
      <c r="O7" s="21">
        <f t="shared" si="3"/>
        <v>75200</v>
      </c>
      <c r="P7" s="8" t="s">
        <v>196</v>
      </c>
      <c r="Q7" s="9">
        <v>-4800</v>
      </c>
      <c r="R7" s="9"/>
      <c r="S7" s="48">
        <v>-1000</v>
      </c>
      <c r="T7" s="21">
        <f t="shared" si="4"/>
        <v>16400</v>
      </c>
      <c r="U7" s="53">
        <f>IF($J7="","",ROUND(($J7-$J$3)/1000,1)+(_xlfn.RANK.AVG($J7,($J7,$O7,$T7),1)-2)*20)</f>
        <v>-41.6</v>
      </c>
      <c r="V7" s="54">
        <f>IF($O7="","",ROUND(($O7-$O$3)/1000,1)+(_xlfn.RANK.AVG($O7,($J7,$O7,$T7),1)-2)*20)</f>
        <v>60.2</v>
      </c>
      <c r="W7" s="55">
        <f>IF($T7="","",ROUND(($T7-$T$3)/1000,1)+(_xlfn.RANK.AVG($T7,($J7,$O7,$T7),1)-2)*20)</f>
        <v>-18.600000000000001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25</v>
      </c>
      <c r="AZ7" s="40" t="s">
        <v>203</v>
      </c>
      <c r="BA7" s="41" t="s">
        <v>82</v>
      </c>
      <c r="BB7" s="41" t="s">
        <v>101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206</v>
      </c>
      <c r="F8" s="8" t="s">
        <v>209</v>
      </c>
      <c r="G8" s="9">
        <v>1500</v>
      </c>
      <c r="H8" s="9"/>
      <c r="I8" s="48"/>
      <c r="J8" s="21">
        <f t="shared" si="2"/>
        <v>14900</v>
      </c>
      <c r="K8" s="8" t="s">
        <v>209</v>
      </c>
      <c r="L8" s="9">
        <v>-3000</v>
      </c>
      <c r="M8" s="9"/>
      <c r="N8" s="48"/>
      <c r="O8" s="21">
        <f t="shared" si="3"/>
        <v>72200</v>
      </c>
      <c r="P8" s="8" t="s">
        <v>209</v>
      </c>
      <c r="Q8" s="9">
        <v>1500</v>
      </c>
      <c r="R8" s="9">
        <v>-1000</v>
      </c>
      <c r="S8" s="48"/>
      <c r="T8" s="21">
        <f t="shared" si="4"/>
        <v>16900</v>
      </c>
      <c r="U8" s="53">
        <f>IF($J8="","",ROUND(($J8-$J$3)/1000,1)+(_xlfn.RANK.AVG($J8,($J8,$O8,$T8),1)-2)*20)</f>
        <v>-40.1</v>
      </c>
      <c r="V8" s="54">
        <f>IF($O8="","",ROUND(($O8-$O$3)/1000,1)+(_xlfn.RANK.AVG($O8,($J8,$O8,$T8),1)-2)*20)</f>
        <v>57.2</v>
      </c>
      <c r="W8" s="55">
        <f>IF($T8="","",ROUND(($T8-$T$3)/1000,1)+(_xlfn.RANK.AVG($T8,($J8,$O8,$T8),1)-2)*20)</f>
        <v>-18.100000000000001</v>
      </c>
      <c r="Y8" s="8" t="s">
        <v>198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199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198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1</v>
      </c>
      <c r="E9" s="4" t="s">
        <v>194</v>
      </c>
      <c r="F9" s="8"/>
      <c r="G9" s="9"/>
      <c r="H9" s="9"/>
      <c r="I9" s="48"/>
      <c r="J9" s="21">
        <f t="shared" si="2"/>
        <v>14900</v>
      </c>
      <c r="K9" s="8" t="s">
        <v>201</v>
      </c>
      <c r="L9" s="9">
        <v>-2000</v>
      </c>
      <c r="M9" s="9"/>
      <c r="N9" s="48">
        <v>-4000</v>
      </c>
      <c r="O9" s="21">
        <f t="shared" si="3"/>
        <v>66200</v>
      </c>
      <c r="P9" s="8" t="s">
        <v>202</v>
      </c>
      <c r="Q9" s="9">
        <v>2000</v>
      </c>
      <c r="R9" s="9">
        <v>1000</v>
      </c>
      <c r="S9" s="48">
        <v>4000</v>
      </c>
      <c r="T9" s="21">
        <f t="shared" si="4"/>
        <v>23900</v>
      </c>
      <c r="U9" s="53">
        <f>IF($J9="","",ROUND(($J9-$J$3)/1000,1)+(_xlfn.RANK.AVG($J9,($J9,$O9,$T9),1)-2)*20)</f>
        <v>-40.1</v>
      </c>
      <c r="V9" s="54">
        <f>IF($O9="","",ROUND(($O9-$O$3)/1000,1)+(_xlfn.RANK.AVG($O9,($J9,$O9,$T9),1)-2)*20)</f>
        <v>51.2</v>
      </c>
      <c r="W9" s="55">
        <f>IF($T9="","",ROUND(($T9-$T$3)/1000,1)+(_xlfn.RANK.AVG($T9,($J9,$O9,$T9),1)-2)*20)</f>
        <v>-11.1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1</v>
      </c>
      <c r="BT9" s="30">
        <v>40</v>
      </c>
      <c r="BU9" s="40" t="s">
        <v>203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5</v>
      </c>
      <c r="D10" s="18">
        <f t="shared" si="1"/>
        <v>0</v>
      </c>
      <c r="E10" s="4" t="s">
        <v>194</v>
      </c>
      <c r="F10" s="8" t="s">
        <v>201</v>
      </c>
      <c r="G10" s="9">
        <v>-4800</v>
      </c>
      <c r="H10" s="9"/>
      <c r="I10" s="48">
        <v>-5000</v>
      </c>
      <c r="J10" s="21">
        <f t="shared" si="2"/>
        <v>5100</v>
      </c>
      <c r="K10" s="8"/>
      <c r="L10" s="9"/>
      <c r="M10" s="9"/>
      <c r="N10" s="48"/>
      <c r="O10" s="21">
        <f t="shared" si="3"/>
        <v>66200</v>
      </c>
      <c r="P10" s="8" t="s">
        <v>202</v>
      </c>
      <c r="Q10" s="9">
        <v>4800</v>
      </c>
      <c r="R10" s="9"/>
      <c r="S10" s="48">
        <v>5000</v>
      </c>
      <c r="T10" s="21">
        <f t="shared" si="4"/>
        <v>33700</v>
      </c>
      <c r="U10" s="53">
        <f>IF($J10="","",ROUND(($J10-$J$3)/1000,1)+(_xlfn.RANK.AVG($J10,($J10,$O10,$T10),1)-2)*20)</f>
        <v>-49.9</v>
      </c>
      <c r="V10" s="54">
        <f>IF($O10="","",ROUND(($O10-$O$3)/1000,1)+(_xlfn.RANK.AVG($O10,($J10,$O10,$T10),1)-2)*20)</f>
        <v>51.2</v>
      </c>
      <c r="W10" s="55">
        <f>IF($T10="","",ROUND(($T10-$T$3)/1000,1)+(_xlfn.RANK.AVG($T10,($J10,$O10,$T10),1)-2)*20)</f>
        <v>-1.3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2</v>
      </c>
      <c r="BT10" s="30">
        <v>50</v>
      </c>
      <c r="BU10" s="40" t="s">
        <v>203</v>
      </c>
      <c r="BV10" s="41" t="s">
        <v>205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6</v>
      </c>
      <c r="D11" s="18">
        <f t="shared" si="1"/>
        <v>0</v>
      </c>
      <c r="E11" s="4" t="s">
        <v>194</v>
      </c>
      <c r="F11" s="8" t="s">
        <v>209</v>
      </c>
      <c r="G11" s="9">
        <v>-1500</v>
      </c>
      <c r="H11" s="9"/>
      <c r="I11" s="48"/>
      <c r="J11" s="21">
        <f t="shared" si="2"/>
        <v>3600</v>
      </c>
      <c r="K11" s="8" t="s">
        <v>209</v>
      </c>
      <c r="L11" s="9">
        <v>-1500</v>
      </c>
      <c r="M11" s="9"/>
      <c r="N11" s="48"/>
      <c r="O11" s="21">
        <f t="shared" si="3"/>
        <v>64700</v>
      </c>
      <c r="P11" s="8" t="s">
        <v>209</v>
      </c>
      <c r="Q11" s="9">
        <v>3000</v>
      </c>
      <c r="R11" s="9"/>
      <c r="S11" s="48"/>
      <c r="T11" s="21">
        <f t="shared" si="4"/>
        <v>36700</v>
      </c>
      <c r="U11" s="53">
        <f>IF($J11="","",ROUND(($J11-$J$3)/1000,1)+(_xlfn.RANK.AVG($J11,($J11,$O11,$T11),1)-2)*20)</f>
        <v>-51.4</v>
      </c>
      <c r="V11" s="54">
        <f>IF($O11="","",ROUND(($O11-$O$3)/1000,1)+(_xlfn.RANK.AVG($O11,($J11,$O11,$T11),1)-2)*20)</f>
        <v>49.7</v>
      </c>
      <c r="W11" s="55">
        <f>IF($T11="","",ROUND(($T11-$T$3)/1000,1)+(_xlfn.RANK.AVG($T11,($J11,$O11,$T11),1)-2)*20)</f>
        <v>1.7</v>
      </c>
      <c r="Y11" s="8" t="s">
        <v>199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199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198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7</v>
      </c>
      <c r="D12" s="18">
        <f t="shared" si="1"/>
        <v>0</v>
      </c>
      <c r="E12" s="4" t="s">
        <v>194</v>
      </c>
      <c r="F12" s="8" t="s">
        <v>202</v>
      </c>
      <c r="G12" s="9">
        <v>1000</v>
      </c>
      <c r="H12" s="9"/>
      <c r="I12" s="48">
        <v>7000</v>
      </c>
      <c r="J12" s="21">
        <f t="shared" si="2"/>
        <v>11600</v>
      </c>
      <c r="K12" s="8"/>
      <c r="L12" s="9"/>
      <c r="M12" s="9"/>
      <c r="N12" s="48"/>
      <c r="O12" s="21">
        <f t="shared" si="3"/>
        <v>64700</v>
      </c>
      <c r="P12" s="8" t="s">
        <v>201</v>
      </c>
      <c r="Q12" s="9">
        <v>-1000</v>
      </c>
      <c r="R12" s="9"/>
      <c r="S12" s="48">
        <v>-7000</v>
      </c>
      <c r="T12" s="21">
        <f t="shared" si="4"/>
        <v>28700</v>
      </c>
      <c r="U12" s="53">
        <f>IF($J12="","",ROUND(($J12-$J$3)/1000,1)+(_xlfn.RANK.AVG($J12,($J12,$O12,$T12),1)-2)*20)</f>
        <v>-43.4</v>
      </c>
      <c r="V12" s="54">
        <f>IF($O12="","",ROUND(($O12-$O$3)/1000,1)+(_xlfn.RANK.AVG($O12,($J12,$O12,$T12),1)-2)*20)</f>
        <v>49.7</v>
      </c>
      <c r="W12" s="55">
        <f>IF($T12="","",ROUND(($T12-$T$3)/1000,1)+(_xlfn.RANK.AVG($T12,($J12,$O12,$T12),1)-2)*20)</f>
        <v>-6.3</v>
      </c>
      <c r="Y12" s="8"/>
      <c r="Z12" s="34"/>
      <c r="AA12" s="26"/>
      <c r="AB12" s="26">
        <v>1</v>
      </c>
      <c r="AC12" s="26">
        <v>1</v>
      </c>
      <c r="AD12" s="30">
        <v>30</v>
      </c>
      <c r="AE12" s="40" t="s">
        <v>86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191</v>
      </c>
      <c r="F13" s="8" t="s">
        <v>202</v>
      </c>
      <c r="G13" s="9">
        <v>1500</v>
      </c>
      <c r="H13" s="9"/>
      <c r="I13" s="48">
        <v>0</v>
      </c>
      <c r="J13" s="21">
        <f t="shared" si="2"/>
        <v>13100</v>
      </c>
      <c r="K13" s="8" t="s">
        <v>201</v>
      </c>
      <c r="L13" s="9">
        <v>-1500</v>
      </c>
      <c r="M13" s="9"/>
      <c r="N13" s="48">
        <v>0</v>
      </c>
      <c r="O13" s="21">
        <f t="shared" si="3"/>
        <v>63200</v>
      </c>
      <c r="P13" s="8"/>
      <c r="Q13" s="9"/>
      <c r="R13" s="9"/>
      <c r="S13" s="48"/>
      <c r="T13" s="21">
        <f t="shared" si="4"/>
        <v>28700</v>
      </c>
      <c r="U13" s="53">
        <f>IF($J13="","",ROUND(($J13-$J$3)/1000,1)+(_xlfn.RANK.AVG($J13,($J13,$O13,$T13),1)-2)*20)</f>
        <v>-41.9</v>
      </c>
      <c r="V13" s="54">
        <f>IF($O13="","",ROUND(($O13-$O$3)/1000,1)+(_xlfn.RANK.AVG($O13,($J13,$O13,$T13),1)-2)*20)</f>
        <v>48.2</v>
      </c>
      <c r="W13" s="55">
        <f>IF($T13="","",ROUND(($T13-$T$3)/1000,1)+(_xlfn.RANK.AVG($T13,($J13,$O13,$T13),1)-2)*20)</f>
        <v>-6.3</v>
      </c>
      <c r="Y13" s="8"/>
      <c r="Z13" s="34"/>
      <c r="AA13" s="26"/>
      <c r="AB13" s="26">
        <v>1</v>
      </c>
      <c r="AC13" s="26">
        <v>1</v>
      </c>
      <c r="AD13" s="30">
        <v>30</v>
      </c>
      <c r="AE13" s="40" t="s">
        <v>86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">
        <v>191</v>
      </c>
      <c r="F14" s="8"/>
      <c r="G14" s="9"/>
      <c r="H14" s="9"/>
      <c r="I14" s="48"/>
      <c r="J14" s="21">
        <f t="shared" si="2"/>
        <v>13100</v>
      </c>
      <c r="K14" s="8" t="s">
        <v>201</v>
      </c>
      <c r="L14" s="9">
        <v>-1000</v>
      </c>
      <c r="M14" s="9"/>
      <c r="N14" s="48">
        <v>-1000</v>
      </c>
      <c r="O14" s="21">
        <f t="shared" si="3"/>
        <v>61200</v>
      </c>
      <c r="P14" s="8" t="s">
        <v>202</v>
      </c>
      <c r="Q14" s="9">
        <v>1000</v>
      </c>
      <c r="R14" s="9"/>
      <c r="S14" s="48">
        <v>1000</v>
      </c>
      <c r="T14" s="21">
        <f t="shared" si="4"/>
        <v>30700</v>
      </c>
      <c r="U14" s="53">
        <f>IF($J14="","",ROUND(($J14-$J$3)/1000,1)+(_xlfn.RANK.AVG($J14,($J14,$O14,$T14),1)-2)*20)</f>
        <v>-41.9</v>
      </c>
      <c r="V14" s="54">
        <f>IF($O14="","",ROUND(($O14-$O$3)/1000,1)+(_xlfn.RANK.AVG($O14,($J14,$O14,$T14),1)-2)*20)</f>
        <v>46.2</v>
      </c>
      <c r="W14" s="55">
        <f>IF($T14="","",ROUND(($T14-$T$3)/1000,1)+(_xlfn.RANK.AVG($T14,($J14,$O14,$T14),1)-2)*20)</f>
        <v>-4.3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1</v>
      </c>
      <c r="BT14" s="30">
        <v>30</v>
      </c>
      <c r="BU14" s="40" t="s">
        <v>86</v>
      </c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206</v>
      </c>
      <c r="F15" s="8" t="s">
        <v>202</v>
      </c>
      <c r="G15" s="9">
        <v>8000</v>
      </c>
      <c r="H15" s="9"/>
      <c r="I15" s="48">
        <v>0</v>
      </c>
      <c r="J15" s="21">
        <f t="shared" si="2"/>
        <v>21100</v>
      </c>
      <c r="K15" s="8" t="s">
        <v>201</v>
      </c>
      <c r="L15" s="9">
        <v>-8000</v>
      </c>
      <c r="M15" s="9"/>
      <c r="N15" s="48">
        <v>0</v>
      </c>
      <c r="O15" s="21">
        <f t="shared" si="3"/>
        <v>53200</v>
      </c>
      <c r="P15" s="8"/>
      <c r="Q15" s="9"/>
      <c r="R15" s="9"/>
      <c r="S15" s="48"/>
      <c r="T15" s="21">
        <f t="shared" si="4"/>
        <v>30700</v>
      </c>
      <c r="U15" s="53">
        <f>IF($J15="","",ROUND(($J15-$J$3)/1000,1)+(_xlfn.RANK.AVG($J15,($J15,$O15,$T15),1)-2)*20)</f>
        <v>-33.9</v>
      </c>
      <c r="V15" s="54">
        <f>IF($O15="","",ROUND(($O15-$O$3)/1000,1)+(_xlfn.RANK.AVG($O15,($J15,$O15,$T15),1)-2)*20)</f>
        <v>38.200000000000003</v>
      </c>
      <c r="W15" s="55">
        <f>IF($T15="","",ROUND(($T15-$T$3)/1000,1)+(_xlfn.RANK.AVG($T15,($J15,$O15,$T15),1)-2)*20)</f>
        <v>-4.3</v>
      </c>
      <c r="Y15" s="8"/>
      <c r="Z15" s="34"/>
      <c r="AA15" s="26">
        <v>1</v>
      </c>
      <c r="AB15" s="26"/>
      <c r="AC15" s="26">
        <v>4</v>
      </c>
      <c r="AD15" s="30">
        <v>40</v>
      </c>
      <c r="AE15" s="40" t="s">
        <v>203</v>
      </c>
      <c r="AF15" s="41" t="s">
        <v>84</v>
      </c>
      <c r="AG15" s="41" t="s">
        <v>79</v>
      </c>
      <c r="AH15" s="41" t="s">
        <v>80</v>
      </c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">
        <v>194</v>
      </c>
      <c r="F16" s="8" t="s">
        <v>196</v>
      </c>
      <c r="G16" s="9">
        <v>-9000</v>
      </c>
      <c r="H16" s="9">
        <v>-1000</v>
      </c>
      <c r="I16" s="48">
        <v>0</v>
      </c>
      <c r="J16" s="21">
        <f t="shared" si="2"/>
        <v>11100</v>
      </c>
      <c r="K16" s="8" t="s">
        <v>196</v>
      </c>
      <c r="L16" s="9">
        <v>-9000</v>
      </c>
      <c r="M16" s="9"/>
      <c r="N16" s="48">
        <v>0</v>
      </c>
      <c r="O16" s="21">
        <f t="shared" si="3"/>
        <v>44200</v>
      </c>
      <c r="P16" s="8" t="s">
        <v>197</v>
      </c>
      <c r="Q16" s="9">
        <v>18000</v>
      </c>
      <c r="R16" s="9">
        <v>1000</v>
      </c>
      <c r="S16" s="48">
        <v>0</v>
      </c>
      <c r="T16" s="21">
        <f t="shared" si="4"/>
        <v>49700</v>
      </c>
      <c r="U16" s="53">
        <f>IF($J16="","",ROUND(($J16-$J$3)/1000,1)+(_xlfn.RANK.AVG($J16,($J16,$O16,$T16),1)-2)*20)</f>
        <v>-43.9</v>
      </c>
      <c r="V16" s="54">
        <f>IF($O16="","",ROUND(($O16-$O$3)/1000,1)+(_xlfn.RANK.AVG($O16,($J16,$O16,$T16),1)-2)*20)</f>
        <v>9.1999999999999993</v>
      </c>
      <c r="W16" s="55">
        <f>IF($T16="","",ROUND(($T16-$T$3)/1000,1)+(_xlfn.RANK.AVG($T16,($J16,$O16,$T16),1)-2)*20)</f>
        <v>34.700000000000003</v>
      </c>
      <c r="Y16" s="8"/>
      <c r="Z16" s="34"/>
      <c r="AA16" s="26">
        <v>1</v>
      </c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>
        <v>6</v>
      </c>
      <c r="BT16" s="30" t="s">
        <v>208</v>
      </c>
      <c r="BU16" s="40" t="s">
        <v>203</v>
      </c>
      <c r="BV16" s="41" t="s">
        <v>82</v>
      </c>
      <c r="BW16" s="41" t="s">
        <v>205</v>
      </c>
      <c r="BX16" s="41" t="s">
        <v>79</v>
      </c>
      <c r="BY16" s="41" t="s">
        <v>79</v>
      </c>
      <c r="BZ16" s="41" t="s">
        <v>80</v>
      </c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1</v>
      </c>
      <c r="D17" s="18">
        <f t="shared" si="1"/>
        <v>0</v>
      </c>
      <c r="E17" s="4" t="s">
        <v>194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9EED174F-7695-40B5-8BF4-3DF0A05E15EE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ACE12E8F-779F-45CD-B377-245D48D4D856}">
      <formula1>"ロン,ツモ,放銃,ツモ支払,流局,チョンボ"</formula1>
    </dataValidation>
    <dataValidation type="list" allowBlank="1" showInputMessage="1" showErrorMessage="1" sqref="E4:E30" xr:uid="{69F2960B-AFDD-4E13-9FA2-5466A1A9BD4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2019-08-07T08:43:47Z</dcterms:modified>
</cp:coreProperties>
</file>