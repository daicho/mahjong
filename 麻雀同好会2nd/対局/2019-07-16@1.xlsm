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D7BD6377-E56C-4636-A022-82A9D4459A43}" xr6:coauthVersionLast="36" xr6:coauthVersionMax="36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 s="1"/>
  <c r="D11" i="20"/>
  <c r="C11" i="20"/>
  <c r="C10" i="20"/>
  <c r="D9" i="20"/>
  <c r="D10" i="20" s="1"/>
  <c r="C9" i="20"/>
  <c r="D8" i="20"/>
  <c r="C8" i="20"/>
  <c r="D7" i="20"/>
  <c r="D6" i="20"/>
  <c r="C6" i="20"/>
  <c r="C7" i="20" s="1"/>
  <c r="B6" i="20"/>
  <c r="B7" i="20" s="1"/>
  <c r="J5" i="20"/>
  <c r="D5" i="20"/>
  <c r="C5" i="20"/>
  <c r="B5" i="20"/>
  <c r="A5" i="20" s="1"/>
  <c r="T4" i="20"/>
  <c r="T5" i="20" s="1"/>
  <c r="O4" i="20"/>
  <c r="O5" i="20" s="1"/>
  <c r="J4" i="20"/>
  <c r="W3" i="20"/>
  <c r="V3" i="20"/>
  <c r="U3" i="20"/>
  <c r="W2" i="20"/>
  <c r="V2" i="20"/>
  <c r="U2" i="20"/>
  <c r="BO1" i="20"/>
  <c r="AT1" i="20"/>
  <c r="Y1" i="20"/>
  <c r="A6" i="20" l="1"/>
  <c r="V4" i="20"/>
  <c r="A7" i="20"/>
  <c r="B8" i="20"/>
  <c r="W5" i="20"/>
  <c r="T6" i="20"/>
  <c r="U5" i="20"/>
  <c r="V5" i="20"/>
  <c r="O6" i="20"/>
  <c r="U4" i="20"/>
  <c r="J6" i="20"/>
  <c r="W4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/>
  <c r="T9" i="19"/>
  <c r="O9" i="19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6" i="20" l="1"/>
  <c r="J7" i="20"/>
  <c r="B9" i="20"/>
  <c r="A8" i="20"/>
  <c r="V6" i="20"/>
  <c r="O7" i="20"/>
  <c r="W6" i="20"/>
  <c r="T7" i="20"/>
  <c r="W11" i="19"/>
  <c r="V11" i="19"/>
  <c r="V10" i="19"/>
  <c r="W10" i="19"/>
  <c r="U10" i="19"/>
  <c r="V9" i="19"/>
  <c r="W9" i="19"/>
  <c r="U8" i="19"/>
  <c r="V8" i="19"/>
  <c r="W8" i="19"/>
  <c r="V7" i="19"/>
  <c r="U7" i="19"/>
  <c r="W7" i="19"/>
  <c r="V6" i="19"/>
  <c r="U6" i="19"/>
  <c r="W6" i="19"/>
  <c r="U4" i="19"/>
  <c r="V4" i="19"/>
  <c r="W4" i="19"/>
  <c r="J5" i="19"/>
  <c r="O5" i="19"/>
  <c r="A9" i="20" l="1"/>
  <c r="U7" i="20"/>
  <c r="J8" i="20"/>
  <c r="O8" i="20"/>
  <c r="V7" i="20"/>
  <c r="T8" i="20"/>
  <c r="W7" i="20"/>
  <c r="B10" i="20"/>
  <c r="A10" i="20" s="1"/>
  <c r="V5" i="19"/>
  <c r="W5" i="19"/>
  <c r="U5" i="19"/>
  <c r="T9" i="20" l="1"/>
  <c r="W8" i="20"/>
  <c r="V8" i="20"/>
  <c r="O9" i="20"/>
  <c r="U8" i="20"/>
  <c r="J9" i="20"/>
  <c r="B11" i="20"/>
  <c r="A11" i="20" s="1"/>
  <c r="W9" i="20" l="1"/>
  <c r="T10" i="20"/>
  <c r="V9" i="20"/>
  <c r="O10" i="20"/>
  <c r="J10" i="20"/>
  <c r="U9" i="20"/>
  <c r="U10" i="20" l="1"/>
  <c r="J11" i="20"/>
  <c r="V10" i="20"/>
  <c r="O11" i="20"/>
  <c r="W10" i="20"/>
  <c r="T11" i="20"/>
  <c r="V11" i="20" l="1"/>
  <c r="W11" i="20"/>
  <c r="U11" i="20"/>
</calcChain>
</file>

<file path=xl/sharedStrings.xml><?xml version="1.0" encoding="utf-8"?>
<sst xmlns="http://schemas.openxmlformats.org/spreadsheetml/2006/main" count="684" uniqueCount="212">
  <si>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</si>
  <si>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</si>
  <si>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</si>
  <si>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</si>
  <si>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</si>
  <si>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</si>
  <si>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</si>
  <si>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</si>
  <si>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</si>
  <si>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</si>
  <si>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</si>
  <si>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</si>
  <si>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</si>
  <si>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</si>
  <si>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</si>
  <si>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</si>
  <si>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</si>
  <si>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</si>
  <si>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</si>
  <si>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</si>
  <si>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</si>
  <si>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</si>
  <si>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</si>
  <si>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</si>
  <si>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</si>
  <si>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</si>
  <si>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</si>
  <si>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</si>
  <si>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</si>
  <si>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</si>
  <si>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</si>
  <si>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</si>
  <si>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</si>
  <si>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</si>
  <si>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</si>
  <si>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</si>
  <si>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</si>
  <si>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</si>
  <si>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</si>
  <si>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</si>
  <si>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</si>
  <si>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</si>
  <si>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</si>
  <si>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</si>
  <si>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</si>
  <si>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</si>
  <si>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</si>
  <si>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</si>
  <si>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</si>
  <si>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</si>
  <si>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</si>
  <si>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</si>
  <si>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</si>
  <si>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</si>
  <si>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</si>
  <si>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</si>
  <si>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</si>
  <si>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</si>
  <si>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</si>
  <si>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</si>
  <si>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</si>
  <si>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</si>
  <si>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</si>
  <si>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</si>
  <si>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</si>
  <si>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</si>
  <si>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</si>
  <si>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</si>
  <si>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</si>
  <si>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</si>
  <si>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</si>
  <si>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</si>
  <si>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</si>
  <si>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</si>
  <si>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</si>
  <si>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</si>
  <si>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</si>
  <si>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</si>
  <si>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</si>
  <si>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</si>
  <si>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</si>
  <si>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</si>
  <si>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</si>
  <si>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</si>
  <si>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</si>
  <si>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</si>
  <si>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</si>
  <si>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</si>
  <si>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</si>
  <si>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</si>
  <si>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</si>
  <si>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</si>
  <si>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</si>
  <si>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</si>
  <si>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</si>
  <si>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</si>
  <si>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</si>
  <si>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</si>
  <si>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</si>
  <si>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</si>
  <si>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</si>
  <si>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</si>
  <si>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</si>
  <si>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</si>
  <si>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</si>
  <si>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</si>
  <si>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</si>
  <si>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</si>
  <si>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</si>
  <si>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</si>
  <si>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</si>
  <si>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</si>
  <si>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</si>
  <si>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</si>
  <si>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</si>
  <si>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</si>
  <si>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</si>
  <si>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</si>
  <si>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</si>
  <si>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</si>
  <si>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</si>
  <si>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</si>
  <si>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</si>
  <si>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</si>
  <si>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</si>
  <si>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</si>
  <si>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</si>
  <si>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</si>
  <si>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</si>
  <si>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</si>
  <si>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</si>
  <si>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</si>
  <si>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</si>
  <si>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</si>
  <si>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</si>
  <si>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</si>
  <si>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</si>
  <si>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</si>
  <si>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</si>
  <si>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</si>
  <si>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</si>
  <si>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</si>
  <si>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</si>
  <si>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</si>
  <si>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</si>
  <si>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</si>
  <si>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</si>
  <si>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</si>
  <si>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</si>
  <si>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</si>
  <si>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</si>
  <si>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</si>
  <si>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</si>
  <si>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</si>
  <si>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</si>
  <si>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</si>
  <si>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</si>
  <si>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</si>
  <si>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</si>
  <si>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</si>
  <si>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</si>
  <si>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</si>
  <si>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</si>
  <si>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</si>
  <si>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</si>
  <si>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</si>
  <si>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</si>
  <si>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</si>
  <si>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</si>
  <si>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</si>
  <si>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</si>
  <si>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</si>
  <si>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</si>
  <si>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</si>
  <si>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</si>
  <si>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</si>
  <si>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</si>
  <si>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</si>
  <si>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</si>
  <si>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</si>
  <si>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</si>
  <si>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</si>
  <si>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</si>
  <si>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</si>
  <si>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</si>
  <si>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</si>
  <si>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</si>
  <si>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</si>
  <si>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</si>
  <si>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</si>
  <si>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</si>
  <si>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</si>
  <si>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だいち</t>
    <phoneticPr fontId="1"/>
  </si>
  <si>
    <t>ぱぱ</t>
  </si>
  <si>
    <t>ぱぱ</t>
    <phoneticPr fontId="1"/>
  </si>
  <si>
    <t>たかの</t>
  </si>
  <si>
    <t>たかの</t>
    <phoneticPr fontId="1"/>
  </si>
  <si>
    <t>N</t>
  </si>
  <si>
    <t>流局</t>
    <phoneticPr fontId="1"/>
  </si>
  <si>
    <t>ツモ</t>
  </si>
  <si>
    <t>ツモ支払</t>
  </si>
  <si>
    <t>放銃</t>
  </si>
  <si>
    <t>ロン</t>
  </si>
  <si>
    <t>T</t>
  </si>
  <si>
    <t>*</t>
  </si>
  <si>
    <t>52</t>
  </si>
  <si>
    <t>ただ</t>
  </si>
  <si>
    <t>ただ</t>
    <phoneticPr fontId="1"/>
  </si>
  <si>
    <t>流局</t>
    <phoneticPr fontId="1"/>
  </si>
  <si>
    <t>01</t>
  </si>
  <si>
    <t>02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</si>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</sst>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ぱぱ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ぱぱ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198</v>
      </c>
      <c r="G4" s="9">
        <v>0</v>
      </c>
      <c r="H4" s="9"/>
      <c r="I4" s="48"/>
      <c r="J4" s="21">
        <f>IF(COUNTA($F4,$K4,$P4)&gt;0,J3+SUM(G4:I4),"")</f>
        <v>35000</v>
      </c>
      <c r="K4" s="8" t="s">
        <v>198</v>
      </c>
      <c r="L4" s="9">
        <v>0</v>
      </c>
      <c r="M4" s="9"/>
      <c r="N4" s="48"/>
      <c r="O4" s="21">
        <f>IF(COUNTA($F4,$K4,$P4)&gt;0,O3+SUM(L4:N4),"")</f>
        <v>35000</v>
      </c>
      <c r="P4" s="8" t="s">
        <v>198</v>
      </c>
      <c r="Q4" s="9">
        <v>0</v>
      </c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0</v>
      </c>
      <c r="Y4" s="8" t="s">
        <v>197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197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197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199</v>
      </c>
      <c r="G5" s="9">
        <v>4000</v>
      </c>
      <c r="H5" s="9"/>
      <c r="I5" s="48">
        <v>1000</v>
      </c>
      <c r="J5" s="21">
        <f t="shared" ref="J5:J30" si="2">IF(COUNTA($F5,$K5,$P5)&gt;0,J4+SUM(G5:I5),"")</f>
        <v>40000</v>
      </c>
      <c r="K5" s="8" t="s">
        <v>200</v>
      </c>
      <c r="L5" s="9">
        <v>-2500</v>
      </c>
      <c r="M5" s="9"/>
      <c r="N5" s="48">
        <v>-500</v>
      </c>
      <c r="O5" s="21">
        <f t="shared" ref="O5:O30" si="3">IF(COUNTA($F5,$K5,$P5)&gt;0,O4+SUM(L5:N5),"")</f>
        <v>32000</v>
      </c>
      <c r="P5" s="8" t="s">
        <v>200</v>
      </c>
      <c r="Q5" s="9">
        <v>-1500</v>
      </c>
      <c r="R5" s="9"/>
      <c r="S5" s="48">
        <v>-500</v>
      </c>
      <c r="T5" s="21">
        <f t="shared" ref="T5:T30" si="4">IF(COUNTA($F5,$K5,$P5)&gt;0,T4+SUM(Q5:S5),"")</f>
        <v>33000</v>
      </c>
      <c r="U5" s="53">
        <f>IF($J5="","",ROUND(($J5-$J$3)/1000,1)+(_xlfn.RANK.AVG($J5,($J5,$O5,$T5),1)-2)*20)</f>
        <v>25</v>
      </c>
      <c r="V5" s="54">
        <f>IF($O5="","",ROUND(($O5-$O$3)/1000,1)+(_xlfn.RANK.AVG($O5,($J5,$O5,$T5),1)-2)*20)</f>
        <v>-23</v>
      </c>
      <c r="W5" s="55">
        <f>IF($T5="","",ROUND(($T5-$T$3)/1000,1)+(_xlfn.RANK.AVG($T5,($J5,$O5,$T5),1)-2)*20)</f>
        <v>-2</v>
      </c>
      <c r="Y5" s="8"/>
      <c r="Z5" s="34"/>
      <c r="AA5" s="26"/>
      <c r="AB5" s="26">
        <v>1</v>
      </c>
      <c r="AC5" s="26">
        <v>3</v>
      </c>
      <c r="AD5" s="30">
        <v>30</v>
      </c>
      <c r="AE5" s="40" t="s">
        <v>104</v>
      </c>
      <c r="AF5" s="41" t="s">
        <v>86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/>
      <c r="G6" s="9"/>
      <c r="H6" s="9"/>
      <c r="I6" s="48"/>
      <c r="J6" s="21">
        <f t="shared" si="2"/>
        <v>40000</v>
      </c>
      <c r="K6" s="8" t="s">
        <v>201</v>
      </c>
      <c r="L6" s="9">
        <v>-9600</v>
      </c>
      <c r="M6" s="9"/>
      <c r="N6" s="48">
        <v>0</v>
      </c>
      <c r="O6" s="21">
        <f t="shared" si="3"/>
        <v>22400</v>
      </c>
      <c r="P6" s="8" t="s">
        <v>202</v>
      </c>
      <c r="Q6" s="9">
        <v>9600</v>
      </c>
      <c r="R6" s="9"/>
      <c r="S6" s="48">
        <v>0</v>
      </c>
      <c r="T6" s="21">
        <f t="shared" si="4"/>
        <v>42600</v>
      </c>
      <c r="U6" s="53">
        <f>IF($J6="","",ROUND(($J6-$J$3)/1000,1)+(_xlfn.RANK.AVG($J6,($J6,$O6,$T6),1)-2)*20)</f>
        <v>5</v>
      </c>
      <c r="V6" s="54">
        <f>IF($O6="","",ROUND(($O6-$O$3)/1000,1)+(_xlfn.RANK.AVG($O6,($J6,$O6,$T6),1)-2)*20)</f>
        <v>-32.6</v>
      </c>
      <c r="W6" s="55">
        <f>IF($T6="","",ROUND(($T6-$T$3)/1000,1)+(_xlfn.RANK.AVG($T6,($J6,$O6,$T6),1)-2)*20)</f>
        <v>27.6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4</v>
      </c>
      <c r="BT6" s="30">
        <v>25</v>
      </c>
      <c r="BU6" s="40" t="s">
        <v>79</v>
      </c>
      <c r="BV6" s="41" t="s">
        <v>79</v>
      </c>
      <c r="BW6" s="41" t="s">
        <v>101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200</v>
      </c>
      <c r="G7" s="9">
        <v>-1100</v>
      </c>
      <c r="H7" s="9"/>
      <c r="I7" s="48">
        <v>-500</v>
      </c>
      <c r="J7" s="21">
        <f t="shared" si="2"/>
        <v>38400</v>
      </c>
      <c r="K7" s="8" t="s">
        <v>199</v>
      </c>
      <c r="L7" s="9">
        <v>2800</v>
      </c>
      <c r="M7" s="9"/>
      <c r="N7" s="48">
        <v>1000</v>
      </c>
      <c r="O7" s="21">
        <f t="shared" si="3"/>
        <v>26200</v>
      </c>
      <c r="P7" s="8" t="s">
        <v>200</v>
      </c>
      <c r="Q7" s="9">
        <v>-1700</v>
      </c>
      <c r="R7" s="9"/>
      <c r="S7" s="48">
        <v>-500</v>
      </c>
      <c r="T7" s="21">
        <f t="shared" si="4"/>
        <v>40400</v>
      </c>
      <c r="U7" s="53">
        <f>IF($J7="","",ROUND(($J7-$J$3)/1000,1)+(_xlfn.RANK.AVG($J7,($J7,$O7,$T7),1)-2)*20)</f>
        <v>3.4</v>
      </c>
      <c r="V7" s="54">
        <f>IF($O7="","",ROUND(($O7-$O$3)/1000,1)+(_xlfn.RANK.AVG($O7,($J7,$O7,$T7),1)-2)*20)</f>
        <v>-28.8</v>
      </c>
      <c r="W7" s="55">
        <f>IF($T7="","",ROUND(($T7-$T$3)/1000,1)+(_xlfn.RANK.AVG($T7,($J7,$O7,$T7),1)-2)*20)</f>
        <v>25.4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3</v>
      </c>
      <c r="AY7" s="30">
        <v>20</v>
      </c>
      <c r="AZ7" s="40" t="s">
        <v>82</v>
      </c>
      <c r="BA7" s="41" t="s">
        <v>83</v>
      </c>
      <c r="BB7" s="41" t="s">
        <v>84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201</v>
      </c>
      <c r="G8" s="9">
        <v>-2000</v>
      </c>
      <c r="H8" s="9"/>
      <c r="I8" s="48">
        <v>0</v>
      </c>
      <c r="J8" s="21">
        <f t="shared" si="2"/>
        <v>36400</v>
      </c>
      <c r="K8" s="8" t="s">
        <v>202</v>
      </c>
      <c r="L8" s="9">
        <v>2000</v>
      </c>
      <c r="M8" s="9">
        <v>1000</v>
      </c>
      <c r="N8" s="48">
        <v>0</v>
      </c>
      <c r="O8" s="21">
        <f t="shared" si="3"/>
        <v>29200</v>
      </c>
      <c r="P8" s="8"/>
      <c r="Q8" s="9"/>
      <c r="R8" s="9">
        <v>-1000</v>
      </c>
      <c r="S8" s="48"/>
      <c r="T8" s="21">
        <f t="shared" si="4"/>
        <v>39400</v>
      </c>
      <c r="U8" s="53">
        <f>IF($J8="","",ROUND(($J8-$J$3)/1000,1)+(_xlfn.RANK.AVG($J8,($J8,$O8,$T8),1)-2)*20)</f>
        <v>1.4</v>
      </c>
      <c r="V8" s="54">
        <f>IF($O8="","",ROUND(($O8-$O$3)/1000,1)+(_xlfn.RANK.AVG($O8,($J8,$O8,$T8),1)-2)*20)</f>
        <v>-25.8</v>
      </c>
      <c r="W8" s="55">
        <f>IF($T8="","",ROUND(($T8-$T$3)/1000,1)+(_xlfn.RANK.AVG($T8,($J8,$O8,$T8),1)-2)*20)</f>
        <v>24.4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2</v>
      </c>
      <c r="AY8" s="30">
        <v>30</v>
      </c>
      <c r="AZ8" s="40" t="s">
        <v>93</v>
      </c>
      <c r="BA8" s="41" t="s">
        <v>86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198</v>
      </c>
      <c r="G9" s="9">
        <v>1500</v>
      </c>
      <c r="H9" s="9"/>
      <c r="I9" s="48"/>
      <c r="J9" s="21">
        <f t="shared" si="2"/>
        <v>37900</v>
      </c>
      <c r="K9" s="8" t="s">
        <v>198</v>
      </c>
      <c r="L9" s="9">
        <v>1500</v>
      </c>
      <c r="M9" s="9"/>
      <c r="N9" s="48"/>
      <c r="O9" s="21">
        <f t="shared" si="3"/>
        <v>30700</v>
      </c>
      <c r="P9" s="8" t="s">
        <v>198</v>
      </c>
      <c r="Q9" s="9">
        <v>-3000</v>
      </c>
      <c r="R9" s="9"/>
      <c r="S9" s="48"/>
      <c r="T9" s="21">
        <f t="shared" si="4"/>
        <v>36400</v>
      </c>
      <c r="U9" s="53">
        <f>IF($J9="","",ROUND(($J9-$J$3)/1000,1)+(_xlfn.RANK.AVG($J9,($J9,$O9,$T9),1)-2)*20)</f>
        <v>22.9</v>
      </c>
      <c r="V9" s="54">
        <f>IF($O9="","",ROUND(($O9-$O$3)/1000,1)+(_xlfn.RANK.AVG($O9,($J9,$O9,$T9),1)-2)*20)</f>
        <v>-24.3</v>
      </c>
      <c r="W9" s="55">
        <f>IF($T9="","",ROUND(($T9-$T$3)/1000,1)+(_xlfn.RANK.AVG($T9,($J9,$O9,$T9),1)-2)*20)</f>
        <v>1.4</v>
      </c>
      <c r="Y9" s="8" t="s">
        <v>203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203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197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193</v>
      </c>
      <c r="F10" s="8" t="s">
        <v>202</v>
      </c>
      <c r="G10" s="9">
        <v>2600</v>
      </c>
      <c r="H10" s="9"/>
      <c r="I10" s="48">
        <v>1000</v>
      </c>
      <c r="J10" s="21">
        <f t="shared" si="2"/>
        <v>41500</v>
      </c>
      <c r="K10" s="8" t="s">
        <v>201</v>
      </c>
      <c r="L10" s="9">
        <v>-2600</v>
      </c>
      <c r="M10" s="9"/>
      <c r="N10" s="48">
        <v>-1000</v>
      </c>
      <c r="O10" s="21">
        <f t="shared" si="3"/>
        <v>27100</v>
      </c>
      <c r="P10" s="8"/>
      <c r="Q10" s="9"/>
      <c r="R10" s="9"/>
      <c r="S10" s="48"/>
      <c r="T10" s="21">
        <f t="shared" si="4"/>
        <v>36400</v>
      </c>
      <c r="U10" s="53">
        <f>IF($J10="","",ROUND(($J10-$J$3)/1000,1)+(_xlfn.RANK.AVG($J10,($J10,$O10,$T10),1)-2)*20)</f>
        <v>26.5</v>
      </c>
      <c r="V10" s="54">
        <f>IF($O10="","",ROUND(($O10-$O$3)/1000,1)+(_xlfn.RANK.AVG($O10,($J10,$O10,$T10),1)-2)*20)</f>
        <v>-27.9</v>
      </c>
      <c r="W10" s="55">
        <f>IF($T10="","",ROUND(($T10-$T$3)/1000,1)+(_xlfn.RANK.AVG($T10,($J10,$O10,$T10),1)-2)*20)</f>
        <v>1.4</v>
      </c>
      <c r="Y10" s="8"/>
      <c r="Z10" s="34"/>
      <c r="AA10" s="26"/>
      <c r="AB10" s="26"/>
      <c r="AC10" s="26">
        <v>2</v>
      </c>
      <c r="AD10" s="30">
        <v>40</v>
      </c>
      <c r="AE10" s="40" t="s">
        <v>86</v>
      </c>
      <c r="AF10" s="41" t="s">
        <v>79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202</v>
      </c>
      <c r="G11" s="9">
        <v>16000</v>
      </c>
      <c r="H11" s="9"/>
      <c r="I11" s="48">
        <v>0</v>
      </c>
      <c r="J11" s="21">
        <f t="shared" si="2"/>
        <v>57500</v>
      </c>
      <c r="K11" s="8"/>
      <c r="L11" s="9"/>
      <c r="M11" s="9"/>
      <c r="N11" s="48"/>
      <c r="O11" s="21">
        <f t="shared" si="3"/>
        <v>27100</v>
      </c>
      <c r="P11" s="8" t="s">
        <v>201</v>
      </c>
      <c r="Q11" s="9">
        <v>-16000</v>
      </c>
      <c r="R11" s="9"/>
      <c r="S11" s="48">
        <v>0</v>
      </c>
      <c r="T11" s="21">
        <f t="shared" si="4"/>
        <v>20400</v>
      </c>
      <c r="U11" s="53">
        <f>IF($J11="","",ROUND(($J11-$J$3)/1000,1)+(_xlfn.RANK.AVG($J11,($J11,$O11,$T11),1)-2)*20)</f>
        <v>42.5</v>
      </c>
      <c r="V11" s="54">
        <f>IF($O11="","",ROUND(($O11-$O$3)/1000,1)+(_xlfn.RANK.AVG($O11,($J11,$O11,$T11),1)-2)*20)</f>
        <v>-7.9</v>
      </c>
      <c r="W11" s="55">
        <f>IF($T11="","",ROUND(($T11-$T$3)/1000,1)+(_xlfn.RANK.AVG($T11,($J11,$O11,$T11),1)-2)*20)</f>
        <v>-34.6</v>
      </c>
      <c r="Y11" s="8"/>
      <c r="Z11" s="34"/>
      <c r="AA11" s="26"/>
      <c r="AB11" s="26">
        <v>1</v>
      </c>
      <c r="AC11" s="26">
        <v>8</v>
      </c>
      <c r="AD11" s="30" t="s">
        <v>204</v>
      </c>
      <c r="AE11" s="40" t="s">
        <v>86</v>
      </c>
      <c r="AF11" s="41" t="s">
        <v>79</v>
      </c>
      <c r="AG11" s="41" t="s">
        <v>79</v>
      </c>
      <c r="AH11" s="41" t="s">
        <v>79</v>
      </c>
      <c r="AI11" s="41" t="s">
        <v>79</v>
      </c>
      <c r="AJ11" s="41" t="s">
        <v>79</v>
      </c>
      <c r="AK11" s="41" t="s">
        <v>79</v>
      </c>
      <c r="AL11" s="41" t="s">
        <v>205</v>
      </c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28E374E4-2966-45BC-9E8B-3A0F13C6897C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75732-63A3-4122-A8A6-925801E76262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207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だいち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/>
      <c r="G4" s="9"/>
      <c r="H4" s="9"/>
      <c r="I4" s="48"/>
      <c r="J4" s="21">
        <f>IF(COUNTA($F4,$K4,$P4)&gt;0,J3+SUM(G4:I4),"")</f>
        <v>35000</v>
      </c>
      <c r="K4" s="8" t="s">
        <v>201</v>
      </c>
      <c r="L4" s="9">
        <v>-12000</v>
      </c>
      <c r="M4" s="9">
        <v>-1000</v>
      </c>
      <c r="N4" s="48">
        <v>0</v>
      </c>
      <c r="O4" s="21">
        <f>IF(COUNTA($F4,$K4,$P4)&gt;0,O3+SUM(L4:N4),"")</f>
        <v>22000</v>
      </c>
      <c r="P4" s="8" t="s">
        <v>202</v>
      </c>
      <c r="Q4" s="9">
        <v>12000</v>
      </c>
      <c r="R4" s="9">
        <v>1000</v>
      </c>
      <c r="S4" s="48">
        <v>0</v>
      </c>
      <c r="T4" s="21">
        <f>IF(COUNTA($F4,$K4,$P4)&gt;0,T3+SUM(Q4:S4),"")</f>
        <v>48000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-33</v>
      </c>
      <c r="W4" s="55">
        <f>IF($T4="","",ROUND(($T4-$T$3)/1000,1)+(_xlfn.RANK.AVG($T4,($J4,$O4,$T4),1)-2)*20)</f>
        <v>33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5</v>
      </c>
      <c r="BT4" s="30" t="s">
        <v>204</v>
      </c>
      <c r="BU4" s="40" t="s">
        <v>104</v>
      </c>
      <c r="BV4" s="41" t="s">
        <v>86</v>
      </c>
      <c r="BW4" s="41" t="s">
        <v>86</v>
      </c>
      <c r="BX4" s="41" t="s">
        <v>79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208</v>
      </c>
      <c r="G5" s="9">
        <v>1500</v>
      </c>
      <c r="H5" s="9"/>
      <c r="I5" s="48"/>
      <c r="J5" s="21">
        <f t="shared" ref="J5:J30" si="2">IF(COUNTA($F5,$K5,$P5)&gt;0,J4+SUM(G5:I5),"")</f>
        <v>36500</v>
      </c>
      <c r="K5" s="8" t="s">
        <v>208</v>
      </c>
      <c r="L5" s="9">
        <v>1500</v>
      </c>
      <c r="M5" s="9"/>
      <c r="N5" s="48"/>
      <c r="O5" s="21">
        <f t="shared" ref="O5:O30" si="3">IF(COUNTA($F5,$K5,$P5)&gt;0,O4+SUM(L5:N5),"")</f>
        <v>23500</v>
      </c>
      <c r="P5" s="8" t="s">
        <v>208</v>
      </c>
      <c r="Q5" s="9">
        <v>-3000</v>
      </c>
      <c r="R5" s="9"/>
      <c r="S5" s="48"/>
      <c r="T5" s="21">
        <f t="shared" ref="T5:T30" si="4">IF(COUNTA($F5,$K5,$P5)&gt;0,T4+SUM(Q5:S5),"")</f>
        <v>45000</v>
      </c>
      <c r="U5" s="53">
        <f>IF($J5="","",ROUND(($J5-$J$3)/1000,1)+(_xlfn.RANK.AVG($J5,($J5,$O5,$T5),1)-2)*20)</f>
        <v>1.5</v>
      </c>
      <c r="V5" s="54">
        <f>IF($O5="","",ROUND(($O5-$O$3)/1000,1)+(_xlfn.RANK.AVG($O5,($J5,$O5,$T5),1)-2)*20)</f>
        <v>-31.5</v>
      </c>
      <c r="W5" s="55">
        <f>IF($T5="","",ROUND(($T5-$T$3)/1000,1)+(_xlfn.RANK.AVG($T5,($J5,$O5,$T5),1)-2)*20)</f>
        <v>30</v>
      </c>
      <c r="Y5" s="8" t="s">
        <v>203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203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197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206</v>
      </c>
      <c r="F6" s="8" t="s">
        <v>201</v>
      </c>
      <c r="G6" s="9">
        <v>-5200</v>
      </c>
      <c r="H6" s="9"/>
      <c r="I6" s="48">
        <v>-2000</v>
      </c>
      <c r="J6" s="21">
        <f t="shared" si="2"/>
        <v>29300</v>
      </c>
      <c r="K6" s="8"/>
      <c r="L6" s="9"/>
      <c r="M6" s="9"/>
      <c r="N6" s="48"/>
      <c r="O6" s="21">
        <f t="shared" si="3"/>
        <v>23500</v>
      </c>
      <c r="P6" s="8" t="s">
        <v>202</v>
      </c>
      <c r="Q6" s="9">
        <v>5200</v>
      </c>
      <c r="R6" s="9"/>
      <c r="S6" s="48">
        <v>2000</v>
      </c>
      <c r="T6" s="21">
        <f t="shared" si="4"/>
        <v>52200</v>
      </c>
      <c r="U6" s="53">
        <f>IF($J6="","",ROUND(($J6-$J$3)/1000,1)+(_xlfn.RANK.AVG($J6,($J6,$O6,$T6),1)-2)*20)</f>
        <v>-5.7</v>
      </c>
      <c r="V6" s="54">
        <f>IF($O6="","",ROUND(($O6-$O$3)/1000,1)+(_xlfn.RANK.AVG($O6,($J6,$O6,$T6),1)-2)*20)</f>
        <v>-31.5</v>
      </c>
      <c r="W6" s="55">
        <f>IF($T6="","",ROUND(($T6-$T$3)/1000,1)+(_xlfn.RANK.AVG($T6,($J6,$O6,$T6),1)-2)*20)</f>
        <v>37.200000000000003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40</v>
      </c>
      <c r="BU6" s="40" t="s">
        <v>98</v>
      </c>
      <c r="BV6" s="41" t="s">
        <v>86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200</v>
      </c>
      <c r="G7" s="9">
        <v>-2900</v>
      </c>
      <c r="H7" s="9"/>
      <c r="I7" s="48">
        <v>0</v>
      </c>
      <c r="J7" s="21">
        <f t="shared" si="2"/>
        <v>26400</v>
      </c>
      <c r="K7" s="8" t="s">
        <v>200</v>
      </c>
      <c r="L7" s="9">
        <v>-4800</v>
      </c>
      <c r="M7" s="9"/>
      <c r="N7" s="48">
        <v>0</v>
      </c>
      <c r="O7" s="21">
        <f t="shared" si="3"/>
        <v>18700</v>
      </c>
      <c r="P7" s="8" t="s">
        <v>199</v>
      </c>
      <c r="Q7" s="9">
        <v>7700</v>
      </c>
      <c r="R7" s="9"/>
      <c r="S7" s="48">
        <v>0</v>
      </c>
      <c r="T7" s="21">
        <f t="shared" si="4"/>
        <v>59900</v>
      </c>
      <c r="U7" s="53">
        <f>IF($J7="","",ROUND(($J7-$J$3)/1000,1)+(_xlfn.RANK.AVG($J7,($J7,$O7,$T7),1)-2)*20)</f>
        <v>-8.6</v>
      </c>
      <c r="V7" s="54">
        <f>IF($O7="","",ROUND(($O7-$O$3)/1000,1)+(_xlfn.RANK.AVG($O7,($J7,$O7,$T7),1)-2)*20)</f>
        <v>-36.299999999999997</v>
      </c>
      <c r="W7" s="55">
        <f>IF($T7="","",ROUND(($T7-$T$3)/1000,1)+(_xlfn.RANK.AVG($T7,($J7,$O7,$T7),1)-2)*20)</f>
        <v>44.9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30</v>
      </c>
      <c r="BU7" s="40" t="s">
        <v>209</v>
      </c>
      <c r="BV7" s="41" t="s">
        <v>82</v>
      </c>
      <c r="BW7" s="41" t="s">
        <v>205</v>
      </c>
      <c r="BX7" s="41" t="s">
        <v>210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200</v>
      </c>
      <c r="G8" s="9">
        <v>-4500</v>
      </c>
      <c r="H8" s="9"/>
      <c r="I8" s="48">
        <v>0</v>
      </c>
      <c r="J8" s="21">
        <f t="shared" si="2"/>
        <v>21900</v>
      </c>
      <c r="K8" s="8" t="s">
        <v>199</v>
      </c>
      <c r="L8" s="9">
        <v>12000</v>
      </c>
      <c r="M8" s="9"/>
      <c r="N8" s="48">
        <v>0</v>
      </c>
      <c r="O8" s="21">
        <f t="shared" si="3"/>
        <v>30700</v>
      </c>
      <c r="P8" s="8" t="s">
        <v>200</v>
      </c>
      <c r="Q8" s="9">
        <v>-7500</v>
      </c>
      <c r="R8" s="9"/>
      <c r="S8" s="48">
        <v>0</v>
      </c>
      <c r="T8" s="21">
        <f t="shared" si="4"/>
        <v>52400</v>
      </c>
      <c r="U8" s="53">
        <f>IF($J8="","",ROUND(($J8-$J$3)/1000,1)+(_xlfn.RANK.AVG($J8,($J8,$O8,$T8),1)-2)*20)</f>
        <v>-33.1</v>
      </c>
      <c r="V8" s="54">
        <f>IF($O8="","",ROUND(($O8-$O$3)/1000,1)+(_xlfn.RANK.AVG($O8,($J8,$O8,$T8),1)-2)*20)</f>
        <v>-4.3</v>
      </c>
      <c r="W8" s="55">
        <f>IF($T8="","",ROUND(($T8-$T$3)/1000,1)+(_xlfn.RANK.AVG($T8,($J8,$O8,$T8),1)-2)*20)</f>
        <v>37.4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6</v>
      </c>
      <c r="AY8" s="30" t="s">
        <v>204</v>
      </c>
      <c r="AZ8" s="40" t="s">
        <v>211</v>
      </c>
      <c r="BA8" s="41" t="s">
        <v>82</v>
      </c>
      <c r="BB8" s="41" t="s">
        <v>83</v>
      </c>
      <c r="BC8" s="41" t="s">
        <v>79</v>
      </c>
      <c r="BD8" s="41" t="s">
        <v>80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206</v>
      </c>
      <c r="F9" s="8" t="s">
        <v>201</v>
      </c>
      <c r="G9" s="9">
        <v>-8000</v>
      </c>
      <c r="H9" s="9">
        <v>-1000</v>
      </c>
      <c r="I9" s="48">
        <v>0</v>
      </c>
      <c r="J9" s="21">
        <f t="shared" si="2"/>
        <v>12900</v>
      </c>
      <c r="K9" s="8" t="s">
        <v>202</v>
      </c>
      <c r="L9" s="9">
        <v>8000</v>
      </c>
      <c r="M9" s="9">
        <v>1000</v>
      </c>
      <c r="N9" s="48">
        <v>0</v>
      </c>
      <c r="O9" s="21">
        <f t="shared" si="3"/>
        <v>39700</v>
      </c>
      <c r="P9" s="8"/>
      <c r="Q9" s="9"/>
      <c r="R9" s="9"/>
      <c r="S9" s="48"/>
      <c r="T9" s="21">
        <f t="shared" si="4"/>
        <v>52400</v>
      </c>
      <c r="U9" s="53">
        <f>IF($J9="","",ROUND(($J9-$J$3)/1000,1)+(_xlfn.RANK.AVG($J9,($J9,$O9,$T9),1)-2)*20)</f>
        <v>-42.1</v>
      </c>
      <c r="V9" s="54">
        <f>IF($O9="","",ROUND(($O9-$O$3)/1000,1)+(_xlfn.RANK.AVG($O9,($J9,$O9,$T9),1)-2)*20)</f>
        <v>4.7</v>
      </c>
      <c r="W9" s="55">
        <f>IF($T9="","",ROUND(($T9-$T$3)/1000,1)+(_xlfn.RANK.AVG($T9,($J9,$O9,$T9),1)-2)*20)</f>
        <v>37.4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5</v>
      </c>
      <c r="AY9" s="30" t="s">
        <v>204</v>
      </c>
      <c r="AZ9" s="40" t="s">
        <v>106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191</v>
      </c>
      <c r="F10" s="8"/>
      <c r="G10" s="9"/>
      <c r="H10" s="9">
        <v>-1000</v>
      </c>
      <c r="I10" s="48"/>
      <c r="J10" s="21">
        <f t="shared" si="2"/>
        <v>11900</v>
      </c>
      <c r="K10" s="8" t="s">
        <v>202</v>
      </c>
      <c r="L10" s="9">
        <v>5800</v>
      </c>
      <c r="M10" s="9">
        <v>1000</v>
      </c>
      <c r="N10" s="48">
        <v>0</v>
      </c>
      <c r="O10" s="21">
        <f t="shared" si="3"/>
        <v>46500</v>
      </c>
      <c r="P10" s="8" t="s">
        <v>201</v>
      </c>
      <c r="Q10" s="9">
        <v>-5800</v>
      </c>
      <c r="R10" s="9"/>
      <c r="S10" s="48">
        <v>0</v>
      </c>
      <c r="T10" s="21">
        <f t="shared" si="4"/>
        <v>46600</v>
      </c>
      <c r="U10" s="53">
        <f>IF($J10="","",ROUND(($J10-$J$3)/1000,1)+(_xlfn.RANK.AVG($J10,($J10,$O10,$T10),1)-2)*20)</f>
        <v>-43.1</v>
      </c>
      <c r="V10" s="54">
        <f>IF($O10="","",ROUND(($O10-$O$3)/1000,1)+(_xlfn.RANK.AVG($O10,($J10,$O10,$T10),1)-2)*20)</f>
        <v>11.5</v>
      </c>
      <c r="W10" s="55">
        <f>IF($T10="","",ROUND(($T10-$T$3)/1000,1)+(_xlfn.RANK.AVG($T10,($J10,$O10,$T10),1)-2)*20)</f>
        <v>31.6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3</v>
      </c>
      <c r="AY10" s="30">
        <v>30</v>
      </c>
      <c r="AZ10" s="40" t="s">
        <v>104</v>
      </c>
      <c r="BA10" s="41" t="s">
        <v>86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191</v>
      </c>
      <c r="F11" s="8" t="s">
        <v>201</v>
      </c>
      <c r="G11" s="9">
        <v>-2000</v>
      </c>
      <c r="H11" s="9"/>
      <c r="I11" s="48">
        <v>-1000</v>
      </c>
      <c r="J11" s="21">
        <f t="shared" si="2"/>
        <v>8900</v>
      </c>
      <c r="K11" s="8" t="s">
        <v>202</v>
      </c>
      <c r="L11" s="9">
        <v>2000</v>
      </c>
      <c r="M11" s="9"/>
      <c r="N11" s="48">
        <v>1000</v>
      </c>
      <c r="O11" s="21">
        <f t="shared" si="3"/>
        <v>49500</v>
      </c>
      <c r="P11" s="8"/>
      <c r="Q11" s="9"/>
      <c r="R11" s="9"/>
      <c r="S11" s="48"/>
      <c r="T11" s="21">
        <f t="shared" si="4"/>
        <v>46600</v>
      </c>
      <c r="U11" s="53">
        <f>IF($J11="","",ROUND(($J11-$J$3)/1000,1)+(_xlfn.RANK.AVG($J11,($J11,$O11,$T11),1)-2)*20)</f>
        <v>-46.1</v>
      </c>
      <c r="V11" s="54">
        <f>IF($O11="","",ROUND(($O11-$O$3)/1000,1)+(_xlfn.RANK.AVG($O11,($J11,$O11,$T11),1)-2)*20)</f>
        <v>34.5</v>
      </c>
      <c r="W11" s="55">
        <f>IF($T11="","",ROUND(($T11-$T$3)/1000,1)+(_xlfn.RANK.AVG($T11,($J11,$O11,$T11),1)-2)*20)</f>
        <v>11.6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1</v>
      </c>
      <c r="AY11" s="30">
        <v>40</v>
      </c>
      <c r="AZ11" s="40" t="s">
        <v>86</v>
      </c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2</v>
      </c>
      <c r="D12" s="18">
        <f t="shared" si="1"/>
        <v>0</v>
      </c>
      <c r="E12" s="4" t="s">
        <v>191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9A8F70F8-58F4-4DCF-9477-1EF3FDE0AEC2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4F371726-64FB-42D7-A7A3-82D3FF0800CD}">
      <formula1>"ロン,ツモ,放銃,ツモ支払,流局,チョンボ"</formula1>
    </dataValidation>
    <dataValidation type="list" allowBlank="1" showInputMessage="1" showErrorMessage="1" sqref="E4:E30" xr:uid="{35650B72-8E76-4C5B-9957-D7C85DD0E2B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2019-07-16T15:17:38Z</dcterms:modified>
</cp:coreProperties>
</file>