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1959D62F-DB08-460D-B467-4F002D1AAE30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V25" i="21"/>
  <c r="T25" i="21"/>
  <c r="W25" i="21" s="1"/>
  <c r="O25" i="2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U22" i="21"/>
  <c r="T22" i="21"/>
  <c r="W22" i="21" s="1"/>
  <c r="O22" i="21"/>
  <c r="V22" i="21" s="1"/>
  <c r="J22" i="21"/>
  <c r="D22" i="21"/>
  <c r="C22" i="21"/>
  <c r="B22" i="21"/>
  <c r="A22" i="21"/>
  <c r="W21" i="21"/>
  <c r="V21" i="21"/>
  <c r="T21" i="21"/>
  <c r="O21" i="2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D19" i="21"/>
  <c r="C19" i="21"/>
  <c r="D18" i="21"/>
  <c r="C18" i="21"/>
  <c r="D17" i="21"/>
  <c r="C17" i="21"/>
  <c r="D16" i="21"/>
  <c r="D15" i="21"/>
  <c r="C15" i="21"/>
  <c r="C16" i="21" s="1"/>
  <c r="D14" i="21"/>
  <c r="D13" i="21"/>
  <c r="D12" i="21"/>
  <c r="D11" i="21"/>
  <c r="D9" i="21"/>
  <c r="D10" i="21" s="1"/>
  <c r="D8" i="21"/>
  <c r="D7" i="21"/>
  <c r="C7" i="21"/>
  <c r="C8" i="21" s="1"/>
  <c r="C9" i="21" s="1"/>
  <c r="C10" i="21" s="1"/>
  <c r="C11" i="21" s="1"/>
  <c r="C12" i="21" s="1"/>
  <c r="C13" i="21" s="1"/>
  <c r="C14" i="21" s="1"/>
  <c r="D6" i="21"/>
  <c r="C6" i="21"/>
  <c r="T5" i="21"/>
  <c r="T6" i="21" s="1"/>
  <c r="D5" i="21"/>
  <c r="C5" i="21"/>
  <c r="B5" i="21"/>
  <c r="B6" i="21" s="1"/>
  <c r="T4" i="21"/>
  <c r="W4" i="21" s="1"/>
  <c r="O4" i="21"/>
  <c r="O5" i="21" s="1"/>
  <c r="J4" i="21"/>
  <c r="V4" i="21" s="1"/>
  <c r="W3" i="21"/>
  <c r="V3" i="21"/>
  <c r="U3" i="21"/>
  <c r="W2" i="21"/>
  <c r="V2" i="21"/>
  <c r="U2" i="21"/>
  <c r="BO1" i="21"/>
  <c r="AT1" i="21"/>
  <c r="Y1" i="21"/>
  <c r="T7" i="21" l="1"/>
  <c r="V5" i="21"/>
  <c r="O6" i="21"/>
  <c r="B7" i="21"/>
  <c r="J5" i="21"/>
  <c r="U4" i="21"/>
  <c r="A5" i="21"/>
  <c r="A6" i="21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O19" i="20"/>
  <c r="J19" i="20"/>
  <c r="U19" i="20" s="1"/>
  <c r="D19" i="20"/>
  <c r="C19" i="20"/>
  <c r="B19" i="20"/>
  <c r="A19" i="20" s="1"/>
  <c r="T18" i="20"/>
  <c r="O18" i="20"/>
  <c r="J18" i="20"/>
  <c r="U18" i="20" s="1"/>
  <c r="D18" i="20"/>
  <c r="C18" i="20"/>
  <c r="B18" i="20"/>
  <c r="A18" i="20" s="1"/>
  <c r="T17" i="20"/>
  <c r="O17" i="20"/>
  <c r="J17" i="20"/>
  <c r="D17" i="20"/>
  <c r="C17" i="20"/>
  <c r="B17" i="20"/>
  <c r="A17" i="20"/>
  <c r="T16" i="20"/>
  <c r="O16" i="20"/>
  <c r="J16" i="20"/>
  <c r="U16" i="20" s="1"/>
  <c r="D16" i="20"/>
  <c r="C16" i="20"/>
  <c r="B16" i="20"/>
  <c r="A16" i="20"/>
  <c r="T15" i="20"/>
  <c r="O15" i="20"/>
  <c r="J15" i="20"/>
  <c r="D15" i="20"/>
  <c r="C15" i="20"/>
  <c r="B15" i="20"/>
  <c r="A15" i="20"/>
  <c r="T14" i="20"/>
  <c r="W14" i="20" s="1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/>
  <c r="D10" i="20"/>
  <c r="D11" i="20" s="1"/>
  <c r="D9" i="20"/>
  <c r="C9" i="20"/>
  <c r="C10" i="20" s="1"/>
  <c r="C11" i="20" s="1"/>
  <c r="D8" i="20"/>
  <c r="C8" i="20"/>
  <c r="C7" i="20"/>
  <c r="T6" i="20"/>
  <c r="T7" i="20" s="1"/>
  <c r="D6" i="20"/>
  <c r="D7" i="20" s="1"/>
  <c r="C6" i="20"/>
  <c r="T5" i="20"/>
  <c r="O5" i="20"/>
  <c r="O6" i="20" s="1"/>
  <c r="D5" i="20"/>
  <c r="C5" i="20"/>
  <c r="B5" i="20"/>
  <c r="A5" i="20" s="1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B8" i="21" l="1"/>
  <c r="T8" i="21"/>
  <c r="W5" i="21"/>
  <c r="U5" i="21"/>
  <c r="J6" i="21"/>
  <c r="V6" i="21" s="1"/>
  <c r="O7" i="21"/>
  <c r="A7" i="21"/>
  <c r="A8" i="21" s="1"/>
  <c r="V19" i="20"/>
  <c r="W19" i="20"/>
  <c r="V18" i="20"/>
  <c r="W18" i="20"/>
  <c r="W17" i="20"/>
  <c r="U17" i="20"/>
  <c r="V17" i="20"/>
  <c r="V16" i="20"/>
  <c r="W16" i="20"/>
  <c r="V15" i="20"/>
  <c r="W15" i="20"/>
  <c r="U15" i="20"/>
  <c r="U14" i="20"/>
  <c r="V14" i="20"/>
  <c r="U13" i="20"/>
  <c r="W13" i="20"/>
  <c r="V13" i="20"/>
  <c r="V12" i="20"/>
  <c r="W12" i="20"/>
  <c r="U12" i="20"/>
  <c r="W4" i="20"/>
  <c r="U4" i="20"/>
  <c r="T8" i="20"/>
  <c r="W5" i="20"/>
  <c r="U5" i="20"/>
  <c r="J6" i="20"/>
  <c r="W6" i="20" s="1"/>
  <c r="O7" i="20"/>
  <c r="V6" i="20"/>
  <c r="V5" i="20"/>
  <c r="B6" i="20"/>
  <c r="A6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V7" i="19" s="1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O8" i="21" l="1"/>
  <c r="V7" i="21"/>
  <c r="B9" i="21"/>
  <c r="U6" i="21"/>
  <c r="J7" i="21"/>
  <c r="W6" i="21"/>
  <c r="T9" i="21"/>
  <c r="T9" i="20"/>
  <c r="O8" i="20"/>
  <c r="U6" i="20"/>
  <c r="J7" i="20"/>
  <c r="V7" i="20" s="1"/>
  <c r="B7" i="20"/>
  <c r="A7" i="20" s="1"/>
  <c r="V11" i="19"/>
  <c r="U11" i="19"/>
  <c r="W11" i="19"/>
  <c r="U10" i="19"/>
  <c r="V10" i="19"/>
  <c r="W10" i="19"/>
  <c r="U9" i="19"/>
  <c r="W9" i="19"/>
  <c r="V8" i="19"/>
  <c r="W8" i="19"/>
  <c r="U7" i="19"/>
  <c r="W7" i="19"/>
  <c r="V6" i="19"/>
  <c r="U6" i="19"/>
  <c r="W6" i="19"/>
  <c r="U4" i="19"/>
  <c r="V4" i="19"/>
  <c r="W4" i="19"/>
  <c r="J5" i="19"/>
  <c r="O5" i="19"/>
  <c r="B10" i="21" l="1"/>
  <c r="T10" i="21"/>
  <c r="O9" i="21"/>
  <c r="A9" i="21"/>
  <c r="U7" i="21"/>
  <c r="J8" i="21"/>
  <c r="W7" i="21"/>
  <c r="O9" i="20"/>
  <c r="T10" i="20"/>
  <c r="B8" i="20"/>
  <c r="A8" i="20" s="1"/>
  <c r="U7" i="20"/>
  <c r="J8" i="20"/>
  <c r="V8" i="20" s="1"/>
  <c r="W7" i="20"/>
  <c r="V5" i="19"/>
  <c r="W5" i="19"/>
  <c r="U5" i="19"/>
  <c r="U8" i="21" l="1"/>
  <c r="J9" i="21"/>
  <c r="W8" i="21"/>
  <c r="V8" i="21"/>
  <c r="B11" i="21"/>
  <c r="O10" i="21"/>
  <c r="T11" i="21"/>
  <c r="A10" i="21"/>
  <c r="A11" i="21" s="1"/>
  <c r="T11" i="20"/>
  <c r="U8" i="20"/>
  <c r="J9" i="20"/>
  <c r="V9" i="20" s="1"/>
  <c r="W8" i="20"/>
  <c r="B9" i="20"/>
  <c r="A9" i="20" s="1"/>
  <c r="O10" i="20"/>
  <c r="T12" i="21" l="1"/>
  <c r="U9" i="21"/>
  <c r="J10" i="21"/>
  <c r="V10" i="21" s="1"/>
  <c r="W9" i="21"/>
  <c r="O11" i="21"/>
  <c r="V9" i="21"/>
  <c r="B12" i="21"/>
  <c r="A12" i="21"/>
  <c r="O11" i="20"/>
  <c r="B10" i="20"/>
  <c r="A10" i="20"/>
  <c r="U9" i="20"/>
  <c r="J10" i="20"/>
  <c r="W9" i="20"/>
  <c r="O12" i="21" l="1"/>
  <c r="J11" i="21"/>
  <c r="U10" i="21"/>
  <c r="W10" i="21"/>
  <c r="T13" i="21"/>
  <c r="B13" i="21"/>
  <c r="U10" i="20"/>
  <c r="J11" i="20"/>
  <c r="W10" i="20"/>
  <c r="V11" i="20"/>
  <c r="B11" i="20"/>
  <c r="A11" i="20" s="1"/>
  <c r="V10" i="20"/>
  <c r="B14" i="21" l="1"/>
  <c r="T14" i="21"/>
  <c r="U11" i="21"/>
  <c r="J12" i="21"/>
  <c r="W11" i="21"/>
  <c r="V11" i="21"/>
  <c r="A13" i="21"/>
  <c r="A14" i="21" s="1"/>
  <c r="O13" i="21"/>
  <c r="U11" i="20"/>
  <c r="W11" i="20"/>
  <c r="U12" i="21" l="1"/>
  <c r="J13" i="21"/>
  <c r="W12" i="21"/>
  <c r="T15" i="21"/>
  <c r="V12" i="21"/>
  <c r="V13" i="21"/>
  <c r="O14" i="21"/>
  <c r="B15" i="21"/>
  <c r="A15" i="21" s="1"/>
  <c r="O15" i="21" l="1"/>
  <c r="T16" i="21"/>
  <c r="U13" i="21"/>
  <c r="J14" i="21"/>
  <c r="W13" i="21"/>
  <c r="B16" i="21"/>
  <c r="U14" i="21" l="1"/>
  <c r="J15" i="21"/>
  <c r="W14" i="21"/>
  <c r="O16" i="21"/>
  <c r="V15" i="21"/>
  <c r="B17" i="21"/>
  <c r="A17" i="21" s="1"/>
  <c r="T17" i="21"/>
  <c r="A16" i="21"/>
  <c r="V14" i="21"/>
  <c r="O17" i="21" l="1"/>
  <c r="B18" i="21"/>
  <c r="U15" i="21"/>
  <c r="J16" i="21"/>
  <c r="W15" i="21"/>
  <c r="T18" i="21"/>
  <c r="B19" i="21" l="1"/>
  <c r="A19" i="21" s="1"/>
  <c r="U16" i="21"/>
  <c r="J17" i="21"/>
  <c r="W16" i="21"/>
  <c r="A18" i="21"/>
  <c r="V17" i="21"/>
  <c r="O18" i="21"/>
  <c r="T19" i="21"/>
  <c r="V16" i="21"/>
  <c r="U17" i="21" l="1"/>
  <c r="J18" i="21"/>
  <c r="W17" i="21"/>
  <c r="V18" i="21"/>
  <c r="O19" i="21"/>
  <c r="U18" i="21" l="1"/>
  <c r="J19" i="21"/>
  <c r="W18" i="21"/>
  <c r="V19" i="21"/>
  <c r="U19" i="21" l="1"/>
  <c r="W19" i="21"/>
</calcChain>
</file>

<file path=xl/sharedStrings.xml><?xml version="1.0" encoding="utf-8"?>
<sst xmlns="http://schemas.openxmlformats.org/spreadsheetml/2006/main" count="785" uniqueCount="209">
  <si>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</si>
  <si>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</si>
  <si>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</si>
  <si>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</si>
  <si>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</si>
  <si>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</si>
  <si>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</si>
  <si>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</si>
  <si>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</si>
  <si>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</si>
  <si>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</si>
  <si>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</si>
  <si>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</si>
  <si>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</si>
  <si>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</si>
  <si>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</si>
  <si>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</si>
  <si>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</si>
  <si>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</si>
  <si>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</si>
  <si>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</si>
  <si>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</si>
  <si>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</si>
  <si>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</si>
  <si>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</si>
  <si>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</si>
  <si>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</si>
  <si>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</si>
  <si>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</si>
  <si>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</si>
  <si>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</si>
  <si>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</si>
  <si>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</si>
  <si>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</si>
  <si>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</si>
  <si>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</si>
  <si>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</si>
  <si>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</si>
  <si>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</si>
  <si>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</si>
  <si>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</si>
  <si>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</si>
  <si>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</si>
  <si>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</si>
  <si>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</si>
  <si>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</si>
  <si>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</si>
  <si>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</si>
  <si>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</si>
  <si>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</si>
  <si>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</si>
  <si>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</si>
  <si>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</si>
  <si>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</si>
  <si>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</si>
  <si>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</si>
  <si>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</si>
  <si>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</si>
  <si>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</si>
  <si>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</si>
  <si>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</si>
  <si>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</si>
  <si>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</si>
  <si>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</si>
  <si>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</si>
  <si>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</si>
  <si>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</si>
  <si>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</si>
  <si>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</si>
  <si>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</si>
  <si>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</si>
  <si>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</si>
  <si>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</si>
  <si>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</si>
  <si>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</si>
  <si>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</si>
  <si>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</si>
  <si>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</si>
  <si>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</si>
  <si>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</si>
  <si>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</si>
  <si>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</si>
  <si>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</si>
  <si>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</si>
  <si>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</si>
  <si>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</si>
  <si>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</si>
  <si>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</si>
  <si>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</si>
  <si>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</si>
  <si>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</si>
  <si>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</si>
  <si>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</si>
  <si>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</si>
  <si>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</si>
  <si>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</si>
  <si>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</si>
  <si>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</si>
  <si>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</si>
  <si>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</si>
  <si>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</si>
  <si>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</si>
  <si>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</si>
  <si>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</si>
  <si>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</si>
  <si>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</si>
  <si>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</si>
  <si>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</si>
  <si>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</si>
  <si>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</si>
  <si>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</si>
  <si>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</si>
  <si>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</si>
  <si>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</si>
  <si>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</si>
  <si>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</si>
  <si>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</si>
  <si>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</si>
  <si>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</si>
  <si>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</si>
  <si>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</si>
  <si>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</si>
  <si>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</si>
  <si>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</si>
  <si>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</si>
  <si>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</si>
  <si>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</si>
  <si>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</si>
  <si>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</si>
  <si>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</si>
  <si>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</si>
  <si>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</si>
  <si>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</si>
  <si>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</si>
  <si>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</si>
  <si>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</si>
  <si>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</si>
  <si>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</si>
  <si>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</si>
  <si>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</si>
  <si>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</si>
  <si>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</si>
  <si>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</si>
  <si>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</si>
  <si>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</si>
  <si>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</si>
  <si>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</si>
  <si>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</si>
  <si>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</si>
  <si>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</si>
  <si>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</si>
  <si>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</si>
  <si>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</si>
  <si>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</si>
  <si>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</si>
  <si>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</si>
  <si>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</si>
  <si>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</si>
  <si>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</si>
  <si>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</si>
  <si>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</si>
  <si>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</si>
  <si>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</si>
  <si>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</si>
  <si>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</si>
  <si>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</si>
  <si>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</si>
  <si>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</si>
  <si>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</si>
  <si>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</si>
  <si>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</si>
  <si>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</si>
  <si>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</si>
  <si>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</si>
  <si>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</si>
  <si>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</si>
  <si>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</si>
  <si>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</si>
  <si>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</si>
  <si>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</si>
  <si>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</si>
  <si>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</si>
  <si>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</si>
  <si>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</si>
  <si>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</si>
  <si>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</si>
  <si>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</si>
  <si>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</si>
  <si>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</si>
  <si>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</si>
  <si>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</si>
  <si>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</si>
  <si>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いっしー</t>
  </si>
  <si>
    <t>ただ</t>
  </si>
  <si>
    <t>放銃</t>
  </si>
  <si>
    <t>ロン</t>
  </si>
  <si>
    <t>*</t>
  </si>
  <si>
    <t>01</t>
  </si>
  <si>
    <t>T</t>
  </si>
  <si>
    <t>N</t>
  </si>
  <si>
    <t>流局</t>
    <phoneticPr fontId="1"/>
  </si>
  <si>
    <t>52</t>
  </si>
  <si>
    <t>れんたろう</t>
  </si>
  <si>
    <t>まっつん</t>
  </si>
  <si>
    <t>ツモ支払</t>
  </si>
  <si>
    <t>ツモ</t>
  </si>
  <si>
    <t>02</t>
  </si>
  <si>
    <t>ほたに</t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</si>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</sst>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いっしー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いっしー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-8000</v>
      </c>
      <c r="H4" s="9">
        <v>-1000</v>
      </c>
      <c r="I4" s="48">
        <v>0</v>
      </c>
      <c r="J4" s="21">
        <f>IF(COUNTA($F4,$K4,$P4)&gt;0,J3+SUM(G4:I4),"")</f>
        <v>26000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IF($J4="","",ROUND(($J4-$J$3)/1000,1)+(_xlfn.RANK.AVG($J4,($J4,$O4,$T4),1)-2)*20)</f>
        <v>-29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196</v>
      </c>
      <c r="BU4" s="40" t="s">
        <v>197</v>
      </c>
      <c r="BV4" s="41" t="s">
        <v>92</v>
      </c>
      <c r="BW4" s="41" t="s">
        <v>83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195</v>
      </c>
      <c r="G5" s="9">
        <v>7700</v>
      </c>
      <c r="H5" s="9"/>
      <c r="I5" s="48">
        <v>0</v>
      </c>
      <c r="J5" s="21">
        <f t="shared" ref="J5:J30" si="2">IF(COUNTA($F5,$K5,$P5)&gt;0,J4+SUM(G5:I5),"")</f>
        <v>33700</v>
      </c>
      <c r="K5" s="8" t="s">
        <v>194</v>
      </c>
      <c r="L5" s="9">
        <v>-7700</v>
      </c>
      <c r="M5" s="9"/>
      <c r="N5" s="48">
        <v>0</v>
      </c>
      <c r="O5" s="21">
        <f t="shared" ref="O5:O30" si="3">IF(COUNTA($F5,$K5,$P5)&gt;0,O4+SUM(L5:N5),"")</f>
        <v>27300</v>
      </c>
      <c r="P5" s="8"/>
      <c r="Q5" s="9"/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-27.7</v>
      </c>
      <c r="W5" s="55">
        <f>IF($T5="","",ROUND(($T5-$T$3)/1000,1)+(_xlfn.RANK.AVG($T5,($J5,$O5,$T5),1)-2)*20)</f>
        <v>29</v>
      </c>
      <c r="Y5" s="8"/>
      <c r="Z5" s="34"/>
      <c r="AA5" s="26"/>
      <c r="AB5" s="26"/>
      <c r="AC5" s="26">
        <v>4</v>
      </c>
      <c r="AD5" s="30">
        <v>30</v>
      </c>
      <c r="AE5" s="40" t="s">
        <v>83</v>
      </c>
      <c r="AF5" s="41" t="s">
        <v>92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1500</v>
      </c>
      <c r="H6" s="9"/>
      <c r="I6" s="48"/>
      <c r="J6" s="21">
        <f t="shared" si="2"/>
        <v>35200</v>
      </c>
      <c r="K6" s="8" t="s">
        <v>200</v>
      </c>
      <c r="L6" s="9">
        <v>-3000</v>
      </c>
      <c r="M6" s="9"/>
      <c r="N6" s="48"/>
      <c r="O6" s="21">
        <f t="shared" si="3"/>
        <v>24300</v>
      </c>
      <c r="P6" s="8" t="s">
        <v>200</v>
      </c>
      <c r="Q6" s="9">
        <v>1500</v>
      </c>
      <c r="R6" s="9"/>
      <c r="S6" s="48"/>
      <c r="T6" s="21">
        <f t="shared" si="4"/>
        <v>45500</v>
      </c>
      <c r="U6" s="53">
        <f>IF($J6="","",ROUND(($J6-$J$3)/1000,1)+(_xlfn.RANK.AVG($J6,($J6,$O6,$T6),1)-2)*20)</f>
        <v>0.2</v>
      </c>
      <c r="V6" s="54">
        <f>IF($O6="","",ROUND(($O6-$O$3)/1000,1)+(_xlfn.RANK.AVG($O6,($J6,$O6,$T6),1)-2)*20)</f>
        <v>-30.7</v>
      </c>
      <c r="W6" s="55">
        <f>IF($T6="","",ROUND(($T6-$T$3)/1000,1)+(_xlfn.RANK.AVG($T6,($J6,$O6,$T6),1)-2)*20)</f>
        <v>30.5</v>
      </c>
      <c r="Y6" s="8" t="s">
        <v>198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35200</v>
      </c>
      <c r="K7" s="8" t="s">
        <v>195</v>
      </c>
      <c r="L7" s="9">
        <v>32000</v>
      </c>
      <c r="M7" s="9">
        <v>1000</v>
      </c>
      <c r="N7" s="48">
        <v>1000</v>
      </c>
      <c r="O7" s="21">
        <f t="shared" si="3"/>
        <v>58300</v>
      </c>
      <c r="P7" s="8" t="s">
        <v>194</v>
      </c>
      <c r="Q7" s="9">
        <v>-32000</v>
      </c>
      <c r="R7" s="9">
        <v>-1000</v>
      </c>
      <c r="S7" s="48">
        <v>-1000</v>
      </c>
      <c r="T7" s="21">
        <f t="shared" si="4"/>
        <v>11500</v>
      </c>
      <c r="U7" s="53">
        <f>IF($J7="","",ROUND(($J7-$J$3)/1000,1)+(_xlfn.RANK.AVG($J7,($J7,$O7,$T7),1)-2)*20)</f>
        <v>0.2</v>
      </c>
      <c r="V7" s="54">
        <f>IF($O7="","",ROUND(($O7-$O$3)/1000,1)+(_xlfn.RANK.AVG($O7,($J7,$O7,$T7),1)-2)*20)</f>
        <v>43.3</v>
      </c>
      <c r="W7" s="55">
        <f>IF($T7="","",ROUND(($T7-$T$3)/1000,1)+(_xlfn.RANK.AVG($T7,($J7,$O7,$T7),1)-2)*20)</f>
        <v>-43.5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13</v>
      </c>
      <c r="AY7" s="30" t="s">
        <v>196</v>
      </c>
      <c r="AZ7" s="40" t="s">
        <v>112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-8000</v>
      </c>
      <c r="H8" s="9"/>
      <c r="I8" s="48">
        <v>0</v>
      </c>
      <c r="J8" s="21">
        <f t="shared" si="2"/>
        <v>27200</v>
      </c>
      <c r="K8" s="8"/>
      <c r="L8" s="9"/>
      <c r="M8" s="9"/>
      <c r="N8" s="48"/>
      <c r="O8" s="21">
        <f t="shared" si="3"/>
        <v>58300</v>
      </c>
      <c r="P8" s="8" t="s">
        <v>195</v>
      </c>
      <c r="Q8" s="9">
        <v>8000</v>
      </c>
      <c r="R8" s="9"/>
      <c r="S8" s="48">
        <v>0</v>
      </c>
      <c r="T8" s="21">
        <f t="shared" si="4"/>
        <v>19500</v>
      </c>
      <c r="U8" s="53">
        <f>IF($J8="","",ROUND(($J8-$J$3)/1000,1)+(_xlfn.RANK.AVG($J8,($J8,$O8,$T8),1)-2)*20)</f>
        <v>-7.8</v>
      </c>
      <c r="V8" s="54">
        <f>IF($O8="","",ROUND(($O8-$O$3)/1000,1)+(_xlfn.RANK.AVG($O8,($J8,$O8,$T8),1)-2)*20)</f>
        <v>43.3</v>
      </c>
      <c r="W8" s="55">
        <f>IF($T8="","",ROUND(($T8-$T$3)/1000,1)+(_xlfn.RANK.AVG($T8,($J8,$O8,$T8),1)-2)*20)</f>
        <v>-35.5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197</v>
      </c>
      <c r="BV8" s="41" t="s">
        <v>79</v>
      </c>
      <c r="BW8" s="41" t="s">
        <v>79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/>
      <c r="G9" s="9"/>
      <c r="H9" s="9"/>
      <c r="I9" s="48"/>
      <c r="J9" s="21">
        <f t="shared" si="2"/>
        <v>27200</v>
      </c>
      <c r="K9" s="8" t="s">
        <v>195</v>
      </c>
      <c r="L9" s="9">
        <v>12000</v>
      </c>
      <c r="M9" s="9"/>
      <c r="N9" s="48">
        <v>0</v>
      </c>
      <c r="O9" s="21">
        <f t="shared" si="3"/>
        <v>70300</v>
      </c>
      <c r="P9" s="8" t="s">
        <v>194</v>
      </c>
      <c r="Q9" s="9">
        <v>-12000</v>
      </c>
      <c r="R9" s="9"/>
      <c r="S9" s="48">
        <v>0</v>
      </c>
      <c r="T9" s="21">
        <f t="shared" si="4"/>
        <v>7500</v>
      </c>
      <c r="U9" s="53">
        <f>IF($J9="","",ROUND(($J9-$J$3)/1000,1)+(_xlfn.RANK.AVG($J9,($J9,$O9,$T9),1)-2)*20)</f>
        <v>-7.8</v>
      </c>
      <c r="V9" s="54">
        <f>IF($O9="","",ROUND(($O9-$O$3)/1000,1)+(_xlfn.RANK.AVG($O9,($J9,$O9,$T9),1)-2)*20)</f>
        <v>55.3</v>
      </c>
      <c r="W9" s="55">
        <f>IF($T9="","",ROUND(($T9-$T$3)/1000,1)+(_xlfn.RANK.AVG($T9,($J9,$O9,$T9),1)-2)*20)</f>
        <v>-47.5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196</v>
      </c>
      <c r="AZ9" s="40" t="s">
        <v>197</v>
      </c>
      <c r="BA9" s="41" t="s">
        <v>83</v>
      </c>
      <c r="BB9" s="41" t="s">
        <v>84</v>
      </c>
      <c r="BC9" s="41" t="s">
        <v>79</v>
      </c>
      <c r="BD9" s="41" t="s">
        <v>201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192</v>
      </c>
      <c r="F10" s="8" t="s">
        <v>200</v>
      </c>
      <c r="G10" s="9">
        <v>-1500</v>
      </c>
      <c r="H10" s="9"/>
      <c r="I10" s="48"/>
      <c r="J10" s="21">
        <f t="shared" si="2"/>
        <v>25700</v>
      </c>
      <c r="K10" s="8" t="s">
        <v>200</v>
      </c>
      <c r="L10" s="9">
        <v>-1500</v>
      </c>
      <c r="M10" s="9"/>
      <c r="N10" s="48"/>
      <c r="O10" s="21">
        <f t="shared" si="3"/>
        <v>68800</v>
      </c>
      <c r="P10" s="8" t="s">
        <v>200</v>
      </c>
      <c r="Q10" s="9">
        <v>3000</v>
      </c>
      <c r="R10" s="9">
        <v>-1000</v>
      </c>
      <c r="S10" s="48"/>
      <c r="T10" s="21">
        <f t="shared" si="4"/>
        <v>9500</v>
      </c>
      <c r="U10" s="53">
        <f>IF($J10="","",ROUND(($J10-$J$3)/1000,1)+(_xlfn.RANK.AVG($J10,($J10,$O10,$T10),1)-2)*20)</f>
        <v>-9.3000000000000007</v>
      </c>
      <c r="V10" s="54">
        <f>IF($O10="","",ROUND(($O10-$O$3)/1000,1)+(_xlfn.RANK.AVG($O10,($J10,$O10,$T10),1)-2)*20)</f>
        <v>53.8</v>
      </c>
      <c r="W10" s="55">
        <f>IF($T10="","",ROUND(($T10-$T$3)/1000,1)+(_xlfn.RANK.AVG($T10,($J10,$O10,$T10),1)-2)*20)</f>
        <v>-45.5</v>
      </c>
      <c r="Y10" s="8" t="s">
        <v>199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199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198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193</v>
      </c>
      <c r="F11" s="8" t="s">
        <v>200</v>
      </c>
      <c r="G11" s="9">
        <v>3000</v>
      </c>
      <c r="H11" s="9">
        <v>-1000</v>
      </c>
      <c r="I11" s="48"/>
      <c r="J11" s="21">
        <f t="shared" si="2"/>
        <v>27700</v>
      </c>
      <c r="K11" s="8" t="s">
        <v>200</v>
      </c>
      <c r="L11" s="9">
        <v>-1500</v>
      </c>
      <c r="M11" s="9">
        <v>1000</v>
      </c>
      <c r="N11" s="48"/>
      <c r="O11" s="21">
        <f t="shared" si="3"/>
        <v>68300</v>
      </c>
      <c r="P11" s="8" t="s">
        <v>200</v>
      </c>
      <c r="Q11" s="9">
        <v>-1500</v>
      </c>
      <c r="R11" s="9"/>
      <c r="S11" s="48"/>
      <c r="T11" s="21">
        <f t="shared" si="4"/>
        <v>8000</v>
      </c>
      <c r="U11" s="53">
        <f>IF($J11="","",ROUND(($J11-$J$3)/1000,1)+(_xlfn.RANK.AVG($J11,($J11,$O11,$T11),1)-2)*20)</f>
        <v>-7.3</v>
      </c>
      <c r="V11" s="54">
        <f>IF($O11="","",ROUND(($O11-$O$3)/1000,1)+(_xlfn.RANK.AVG($O11,($J11,$O11,$T11),1)-2)*20)</f>
        <v>53.3</v>
      </c>
      <c r="W11" s="55">
        <f>IF($T11="","",ROUND(($T11-$T$3)/1000,1)+(_xlfn.RANK.AVG($T11,($J11,$O11,$T11),1)-2)*20)</f>
        <v>-47</v>
      </c>
      <c r="Y11" s="8" t="s">
        <v>198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C0E9C43-721A-4279-8977-7D736E1F2565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B2F8-7B72-434C-98BD-0E203E411CB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202</v>
      </c>
      <c r="G1" s="73"/>
      <c r="H1" s="73"/>
      <c r="I1" s="74"/>
      <c r="J1" s="75"/>
      <c r="K1" s="72" t="s">
        <v>203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203</v>
      </c>
      <c r="F4" s="8" t="s">
        <v>204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205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204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197</v>
      </c>
      <c r="BA4" s="41" t="s">
        <v>82</v>
      </c>
      <c r="BB4" s="41" t="s">
        <v>80</v>
      </c>
      <c r="BC4" s="41" t="s">
        <v>80</v>
      </c>
      <c r="BD4" s="41" t="s">
        <v>80</v>
      </c>
      <c r="BE4" s="41" t="s">
        <v>84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203</v>
      </c>
      <c r="F5" s="8" t="s">
        <v>195</v>
      </c>
      <c r="G5" s="9">
        <v>1300</v>
      </c>
      <c r="H5" s="9">
        <v>1000</v>
      </c>
      <c r="I5" s="48">
        <v>1000</v>
      </c>
      <c r="J5" s="21">
        <f t="shared" ref="J5:J30" si="2">IF(COUNTA($F5,$K5,$P5)&gt;0,J4+SUM(G5:I5),"")</f>
        <v>29300</v>
      </c>
      <c r="K5" s="8" t="s">
        <v>194</v>
      </c>
      <c r="L5" s="9">
        <v>-1300</v>
      </c>
      <c r="M5" s="9">
        <v>-1000</v>
      </c>
      <c r="N5" s="48">
        <v>-1000</v>
      </c>
      <c r="O5" s="21">
        <f t="shared" ref="O5:O30" si="3">IF(COUNTA($F5,$K5,$P5)&gt;0,O4+SUM(L5:N5),"")</f>
        <v>49700</v>
      </c>
      <c r="P5" s="8"/>
      <c r="Q5" s="9"/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-5.7</v>
      </c>
      <c r="V5" s="54">
        <f>IF($O5="","",ROUND(($O5-$O$3)/1000,1)+(_xlfn.RANK.AVG($O5,($J5,$O5,$T5),1)-2)*20)</f>
        <v>34.700000000000003</v>
      </c>
      <c r="W5" s="55">
        <f>IF($T5="","",ROUND(($T5-$T$3)/1000,1)+(_xlfn.RANK.AVG($T5,($J5,$O5,$T5),1)-2)*20)</f>
        <v>-29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197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204</v>
      </c>
      <c r="G6" s="9">
        <v>-1500</v>
      </c>
      <c r="H6" s="9"/>
      <c r="I6" s="48">
        <v>0</v>
      </c>
      <c r="J6" s="21">
        <f t="shared" si="2"/>
        <v>27800</v>
      </c>
      <c r="K6" s="8" t="s">
        <v>204</v>
      </c>
      <c r="L6" s="9">
        <v>-1500</v>
      </c>
      <c r="M6" s="9"/>
      <c r="N6" s="48">
        <v>0</v>
      </c>
      <c r="O6" s="21">
        <f t="shared" si="3"/>
        <v>48200</v>
      </c>
      <c r="P6" s="8" t="s">
        <v>205</v>
      </c>
      <c r="Q6" s="9">
        <v>3000</v>
      </c>
      <c r="R6" s="9"/>
      <c r="S6" s="48">
        <v>0</v>
      </c>
      <c r="T6" s="21">
        <f t="shared" si="4"/>
        <v>29000</v>
      </c>
      <c r="U6" s="53">
        <f>IF($J6="","",ROUND(($J6-$J$3)/1000,1)+(_xlfn.RANK.AVG($J6,($J6,$O6,$T6),1)-2)*20)</f>
        <v>-27.2</v>
      </c>
      <c r="V6" s="54">
        <f>IF($O6="","",ROUND(($O6-$O$3)/1000,1)+(_xlfn.RANK.AVG($O6,($J6,$O6,$T6),1)-2)*20)</f>
        <v>33.200000000000003</v>
      </c>
      <c r="W6" s="55">
        <f>IF($T6="","",ROUND(($T6-$T$3)/1000,1)+(_xlfn.RANK.AVG($T6,($J6,$O6,$T6),1)-2)*20)</f>
        <v>-6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86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204</v>
      </c>
      <c r="G7" s="9">
        <v>-1500</v>
      </c>
      <c r="H7" s="9"/>
      <c r="I7" s="48">
        <v>-500</v>
      </c>
      <c r="J7" s="21">
        <f t="shared" si="2"/>
        <v>25800</v>
      </c>
      <c r="K7" s="8" t="s">
        <v>204</v>
      </c>
      <c r="L7" s="9">
        <v>-1500</v>
      </c>
      <c r="M7" s="9">
        <v>-1000</v>
      </c>
      <c r="N7" s="48">
        <v>-500</v>
      </c>
      <c r="O7" s="21">
        <f t="shared" si="3"/>
        <v>45200</v>
      </c>
      <c r="P7" s="8" t="s">
        <v>205</v>
      </c>
      <c r="Q7" s="9">
        <v>3000</v>
      </c>
      <c r="R7" s="9">
        <v>1000</v>
      </c>
      <c r="S7" s="48">
        <v>1000</v>
      </c>
      <c r="T7" s="21">
        <f t="shared" si="4"/>
        <v>34000</v>
      </c>
      <c r="U7" s="53">
        <f>IF($J7="","",ROUND(($J7-$J$3)/1000,1)+(_xlfn.RANK.AVG($J7,($J7,$O7,$T7),1)-2)*20)</f>
        <v>-29.2</v>
      </c>
      <c r="V7" s="54">
        <f>IF($O7="","",ROUND(($O7-$O$3)/1000,1)+(_xlfn.RANK.AVG($O7,($J7,$O7,$T7),1)-2)*20)</f>
        <v>30.2</v>
      </c>
      <c r="W7" s="55">
        <f>IF($T7="","",ROUND(($T7-$T$3)/1000,1)+(_xlfn.RANK.AVG($T7,($J7,$O7,$T7),1)-2)*20)</f>
        <v>-1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82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194</v>
      </c>
      <c r="G8" s="9">
        <v>-3900</v>
      </c>
      <c r="H8" s="9"/>
      <c r="I8" s="48">
        <v>-2000</v>
      </c>
      <c r="J8" s="21">
        <f t="shared" si="2"/>
        <v>19900</v>
      </c>
      <c r="K8" s="8"/>
      <c r="L8" s="9"/>
      <c r="M8" s="9"/>
      <c r="N8" s="48"/>
      <c r="O8" s="21">
        <f t="shared" si="3"/>
        <v>45200</v>
      </c>
      <c r="P8" s="8" t="s">
        <v>195</v>
      </c>
      <c r="Q8" s="9">
        <v>3900</v>
      </c>
      <c r="R8" s="9"/>
      <c r="S8" s="48">
        <v>2000</v>
      </c>
      <c r="T8" s="21">
        <f t="shared" si="4"/>
        <v>39900</v>
      </c>
      <c r="U8" s="53">
        <f>IF($J8="","",ROUND(($J8-$J$3)/1000,1)+(_xlfn.RANK.AVG($J8,($J8,$O8,$T8),1)-2)*20)</f>
        <v>-35.1</v>
      </c>
      <c r="V8" s="54">
        <f>IF($O8="","",ROUND(($O8-$O$3)/1000,1)+(_xlfn.RANK.AVG($O8,($J8,$O8,$T8),1)-2)*20)</f>
        <v>30.2</v>
      </c>
      <c r="W8" s="55">
        <f>IF($T8="","",ROUND(($T8-$T$3)/1000,1)+(_xlfn.RANK.AVG($T8,($J8,$O8,$T8),1)-2)*20)</f>
        <v>4.9000000000000004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40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200</v>
      </c>
      <c r="G9" s="9">
        <v>0</v>
      </c>
      <c r="H9" s="9">
        <v>-1000</v>
      </c>
      <c r="I9" s="48"/>
      <c r="J9" s="21">
        <f t="shared" si="2"/>
        <v>18900</v>
      </c>
      <c r="K9" s="8" t="s">
        <v>200</v>
      </c>
      <c r="L9" s="9">
        <v>0</v>
      </c>
      <c r="M9" s="9">
        <v>-1000</v>
      </c>
      <c r="N9" s="48"/>
      <c r="O9" s="21">
        <f t="shared" si="3"/>
        <v>44200</v>
      </c>
      <c r="P9" s="8" t="s">
        <v>200</v>
      </c>
      <c r="Q9" s="9">
        <v>0</v>
      </c>
      <c r="R9" s="9"/>
      <c r="S9" s="48"/>
      <c r="T9" s="21">
        <f t="shared" si="4"/>
        <v>39900</v>
      </c>
      <c r="U9" s="53">
        <f>IF($J9="","",ROUND(($J9-$J$3)/1000,1)+(_xlfn.RANK.AVG($J9,($J9,$O9,$T9),1)-2)*20)</f>
        <v>-36.1</v>
      </c>
      <c r="V9" s="54">
        <f>IF($O9="","",ROUND(($O9-$O$3)/1000,1)+(_xlfn.RANK.AVG($O9,($J9,$O9,$T9),1)-2)*20)</f>
        <v>29.2</v>
      </c>
      <c r="W9" s="55">
        <f>IF($T9="","",ROUND(($T9-$T$3)/1000,1)+(_xlfn.RANK.AVG($T9,($J9,$O9,$T9),1)-2)*20)</f>
        <v>4.9000000000000004</v>
      </c>
      <c r="Y9" s="8" t="s">
        <v>198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198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2</v>
      </c>
      <c r="E10" s="4" t="s">
        <v>193</v>
      </c>
      <c r="F10" s="8" t="s">
        <v>194</v>
      </c>
      <c r="G10" s="9">
        <v>-5800</v>
      </c>
      <c r="H10" s="9"/>
      <c r="I10" s="48">
        <v>-4000</v>
      </c>
      <c r="J10" s="21">
        <f t="shared" si="2"/>
        <v>9100</v>
      </c>
      <c r="K10" s="8"/>
      <c r="L10" s="9"/>
      <c r="M10" s="9"/>
      <c r="N10" s="48"/>
      <c r="O10" s="21">
        <f t="shared" si="3"/>
        <v>44200</v>
      </c>
      <c r="P10" s="8" t="s">
        <v>195</v>
      </c>
      <c r="Q10" s="9">
        <v>5800</v>
      </c>
      <c r="R10" s="9">
        <v>2000</v>
      </c>
      <c r="S10" s="48">
        <v>4000</v>
      </c>
      <c r="T10" s="21">
        <f t="shared" si="4"/>
        <v>51700</v>
      </c>
      <c r="U10" s="53">
        <f>IF($J10="","",ROUND(($J10-$J$3)/1000,1)+(_xlfn.RANK.AVG($J10,($J10,$O10,$T10),1)-2)*20)</f>
        <v>-45.9</v>
      </c>
      <c r="V10" s="54">
        <f>IF($O10="","",ROUND(($O10-$O$3)/1000,1)+(_xlfn.RANK.AVG($O10,($J10,$O10,$T10),1)-2)*20)</f>
        <v>9.1999999999999993</v>
      </c>
      <c r="W10" s="55">
        <f>IF($T10="","",ROUND(($T10-$T$3)/1000,1)+(_xlfn.RANK.AVG($T10,($J10,$O10,$T10),1)-2)*20)</f>
        <v>36.700000000000003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86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5</v>
      </c>
      <c r="D11" s="18">
        <f t="shared" si="1"/>
        <v>0</v>
      </c>
      <c r="E11" s="4" t="s">
        <v>193</v>
      </c>
      <c r="F11" s="8" t="s">
        <v>200</v>
      </c>
      <c r="G11" s="9">
        <v>3000</v>
      </c>
      <c r="H11" s="9">
        <v>-1000</v>
      </c>
      <c r="I11" s="48"/>
      <c r="J11" s="21">
        <f t="shared" si="2"/>
        <v>11100</v>
      </c>
      <c r="K11" s="8" t="s">
        <v>200</v>
      </c>
      <c r="L11" s="9">
        <v>-1500</v>
      </c>
      <c r="M11" s="9"/>
      <c r="N11" s="48"/>
      <c r="O11" s="21">
        <f t="shared" si="3"/>
        <v>42700</v>
      </c>
      <c r="P11" s="8" t="s">
        <v>200</v>
      </c>
      <c r="Q11" s="9">
        <v>-1500</v>
      </c>
      <c r="R11" s="9"/>
      <c r="S11" s="48"/>
      <c r="T11" s="21">
        <f t="shared" si="4"/>
        <v>50200</v>
      </c>
      <c r="U11" s="53">
        <f>IF($J11="","",ROUND(($J11-$J$3)/1000,1)+(_xlfn.RANK.AVG($J11,($J11,$O11,$T11),1)-2)*20)</f>
        <v>-43.9</v>
      </c>
      <c r="V11" s="54">
        <f>IF($O11="","",ROUND(($O11-$O$3)/1000,1)+(_xlfn.RANK.AVG($O11,($J11,$O11,$T11),1)-2)*20)</f>
        <v>7.7</v>
      </c>
      <c r="W11" s="55">
        <f>IF($T11="","",ROUND(($T11-$T$3)/1000,1)+(_xlfn.RANK.AVG($T11,($J11,$O11,$T11),1)-2)*20)</f>
        <v>35.200000000000003</v>
      </c>
      <c r="Y11" s="8" t="s">
        <v>198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6</v>
      </c>
      <c r="D12" s="18">
        <f t="shared" si="1"/>
        <v>1</v>
      </c>
      <c r="E12" s="4" t="s">
        <v>202</v>
      </c>
      <c r="F12" s="8" t="s">
        <v>195</v>
      </c>
      <c r="G12" s="9">
        <v>2900</v>
      </c>
      <c r="H12" s="9">
        <v>1000</v>
      </c>
      <c r="I12" s="48">
        <v>6000</v>
      </c>
      <c r="J12" s="21">
        <f t="shared" si="2"/>
        <v>21000</v>
      </c>
      <c r="K12" s="8"/>
      <c r="L12" s="9"/>
      <c r="M12" s="9"/>
      <c r="N12" s="48"/>
      <c r="O12" s="21">
        <f t="shared" si="3"/>
        <v>42700</v>
      </c>
      <c r="P12" s="8" t="s">
        <v>194</v>
      </c>
      <c r="Q12" s="9">
        <v>-2900</v>
      </c>
      <c r="R12" s="9"/>
      <c r="S12" s="48">
        <v>-6000</v>
      </c>
      <c r="T12" s="21">
        <f t="shared" si="4"/>
        <v>41300</v>
      </c>
      <c r="U12" s="53">
        <f>IF($J12="","",ROUND(($J12-$J$3)/1000,1)+(_xlfn.RANK.AVG($J12,($J12,$O12,$T12),1)-2)*20)</f>
        <v>-34</v>
      </c>
      <c r="V12" s="54">
        <f>IF($O12="","",ROUND(($O12-$O$3)/1000,1)+(_xlfn.RANK.AVG($O12,($J12,$O12,$T12),1)-2)*20)</f>
        <v>27.7</v>
      </c>
      <c r="W12" s="55">
        <f>IF($T12="","",ROUND(($T12-$T$3)/1000,1)+(_xlfn.RANK.AVG($T12,($J12,$O12,$T12),1)-2)*20)</f>
        <v>6.3</v>
      </c>
      <c r="Y12" s="8"/>
      <c r="Z12" s="34"/>
      <c r="AA12" s="26"/>
      <c r="AB12" s="26"/>
      <c r="AC12" s="26">
        <v>2</v>
      </c>
      <c r="AD12" s="30">
        <v>30</v>
      </c>
      <c r="AE12" s="40" t="s">
        <v>83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7</v>
      </c>
      <c r="D13" s="18">
        <f t="shared" si="1"/>
        <v>0</v>
      </c>
      <c r="E13" s="4" t="s">
        <v>202</v>
      </c>
      <c r="F13" s="8" t="s">
        <v>205</v>
      </c>
      <c r="G13" s="9">
        <v>3000</v>
      </c>
      <c r="H13" s="9">
        <v>1000</v>
      </c>
      <c r="I13" s="48">
        <v>7000</v>
      </c>
      <c r="J13" s="21">
        <f t="shared" si="2"/>
        <v>32000</v>
      </c>
      <c r="K13" s="8" t="s">
        <v>204</v>
      </c>
      <c r="L13" s="9">
        <v>-1500</v>
      </c>
      <c r="M13" s="9">
        <v>-1000</v>
      </c>
      <c r="N13" s="48">
        <v>-3500</v>
      </c>
      <c r="O13" s="21">
        <f t="shared" si="3"/>
        <v>36700</v>
      </c>
      <c r="P13" s="8" t="s">
        <v>204</v>
      </c>
      <c r="Q13" s="9">
        <v>-1500</v>
      </c>
      <c r="R13" s="9"/>
      <c r="S13" s="48">
        <v>-3500</v>
      </c>
      <c r="T13" s="21">
        <f t="shared" si="4"/>
        <v>36300</v>
      </c>
      <c r="U13" s="53">
        <f>IF($J13="","",ROUND(($J13-$J$3)/1000,1)+(_xlfn.RANK.AVG($J13,($J13,$O13,$T13),1)-2)*20)</f>
        <v>-23</v>
      </c>
      <c r="V13" s="54">
        <f>IF($O13="","",ROUND(($O13-$O$3)/1000,1)+(_xlfn.RANK.AVG($O13,($J13,$O13,$T13),1)-2)*20)</f>
        <v>21.7</v>
      </c>
      <c r="W13" s="55">
        <f>IF($T13="","",ROUND(($T13-$T$3)/1000,1)+(_xlfn.RANK.AVG($T13,($J13,$O13,$T13),1)-2)*20)</f>
        <v>1.3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79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8</v>
      </c>
      <c r="D14" s="18">
        <f t="shared" si="1"/>
        <v>0</v>
      </c>
      <c r="E14" s="4" t="s">
        <v>202</v>
      </c>
      <c r="F14" s="8" t="s">
        <v>204</v>
      </c>
      <c r="G14" s="9">
        <v>-5000</v>
      </c>
      <c r="H14" s="9">
        <v>-1000</v>
      </c>
      <c r="I14" s="48">
        <v>-4000</v>
      </c>
      <c r="J14" s="21">
        <f t="shared" si="2"/>
        <v>22000</v>
      </c>
      <c r="K14" s="8" t="s">
        <v>205</v>
      </c>
      <c r="L14" s="9">
        <v>8000</v>
      </c>
      <c r="M14" s="9">
        <v>1000</v>
      </c>
      <c r="N14" s="48">
        <v>8000</v>
      </c>
      <c r="O14" s="21">
        <f t="shared" si="3"/>
        <v>53700</v>
      </c>
      <c r="P14" s="8" t="s">
        <v>204</v>
      </c>
      <c r="Q14" s="9">
        <v>-3000</v>
      </c>
      <c r="R14" s="9"/>
      <c r="S14" s="48">
        <v>-4000</v>
      </c>
      <c r="T14" s="21">
        <f t="shared" si="4"/>
        <v>29300</v>
      </c>
      <c r="U14" s="53">
        <f>IF($J14="","",ROUND(($J14-$J$3)/1000,1)+(_xlfn.RANK.AVG($J14,($J14,$O14,$T14),1)-2)*20)</f>
        <v>-33</v>
      </c>
      <c r="V14" s="54">
        <f>IF($O14="","",ROUND(($O14-$O$3)/1000,1)+(_xlfn.RANK.AVG($O14,($J14,$O14,$T14),1)-2)*20)</f>
        <v>38.700000000000003</v>
      </c>
      <c r="W14" s="55">
        <f>IF($T14="","",ROUND(($T14-$T$3)/1000,1)+(_xlfn.RANK.AVG($T14,($J14,$O14,$T14),1)-2)*20)</f>
        <v>-5.7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196</v>
      </c>
      <c r="AZ14" s="40" t="s">
        <v>197</v>
      </c>
      <c r="BA14" s="41" t="s">
        <v>82</v>
      </c>
      <c r="BB14" s="41" t="s">
        <v>85</v>
      </c>
      <c r="BC14" s="41" t="s">
        <v>101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203</v>
      </c>
      <c r="F15" s="8" t="s">
        <v>194</v>
      </c>
      <c r="G15" s="9">
        <v>-12000</v>
      </c>
      <c r="H15" s="9"/>
      <c r="I15" s="48">
        <v>0</v>
      </c>
      <c r="J15" s="21">
        <f t="shared" si="2"/>
        <v>10000</v>
      </c>
      <c r="K15" s="8" t="s">
        <v>195</v>
      </c>
      <c r="L15" s="9">
        <v>12000</v>
      </c>
      <c r="M15" s="9"/>
      <c r="N15" s="48">
        <v>0</v>
      </c>
      <c r="O15" s="21">
        <f t="shared" si="3"/>
        <v>65700</v>
      </c>
      <c r="P15" s="8"/>
      <c r="Q15" s="9"/>
      <c r="R15" s="9"/>
      <c r="S15" s="48"/>
      <c r="T15" s="21">
        <f t="shared" si="4"/>
        <v>29300</v>
      </c>
      <c r="U15" s="53">
        <f>IF($J15="","",ROUND(($J15-$J$3)/1000,1)+(_xlfn.RANK.AVG($J15,($J15,$O15,$T15),1)-2)*20)</f>
        <v>-45</v>
      </c>
      <c r="V15" s="54">
        <f>IF($O15="","",ROUND(($O15-$O$3)/1000,1)+(_xlfn.RANK.AVG($O15,($J15,$O15,$T15),1)-2)*20)</f>
        <v>50.7</v>
      </c>
      <c r="W15" s="55">
        <f>IF($T15="","",ROUND(($T15-$T$3)/1000,1)+(_xlfn.RANK.AVG($T15,($J15,$O15,$T15),1)-2)*20)</f>
        <v>-5.7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4</v>
      </c>
      <c r="AY15" s="30">
        <v>40</v>
      </c>
      <c r="AZ15" s="40" t="s">
        <v>197</v>
      </c>
      <c r="BA15" s="41" t="s">
        <v>201</v>
      </c>
      <c r="BB15" s="41" t="s">
        <v>201</v>
      </c>
      <c r="BC15" s="41" t="s">
        <v>86</v>
      </c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1</v>
      </c>
      <c r="D16" s="18">
        <f t="shared" si="1"/>
        <v>0</v>
      </c>
      <c r="E16" s="4" t="s">
        <v>203</v>
      </c>
      <c r="F16" s="8" t="s">
        <v>195</v>
      </c>
      <c r="G16" s="9">
        <v>2600</v>
      </c>
      <c r="H16" s="9"/>
      <c r="I16" s="48">
        <v>1000</v>
      </c>
      <c r="J16" s="21">
        <f t="shared" si="2"/>
        <v>13600</v>
      </c>
      <c r="K16" s="8" t="s">
        <v>194</v>
      </c>
      <c r="L16" s="9">
        <v>-2600</v>
      </c>
      <c r="M16" s="9"/>
      <c r="N16" s="48">
        <v>-1000</v>
      </c>
      <c r="O16" s="21">
        <f t="shared" si="3"/>
        <v>62100</v>
      </c>
      <c r="P16" s="8"/>
      <c r="Q16" s="9"/>
      <c r="R16" s="9"/>
      <c r="S16" s="48"/>
      <c r="T16" s="21">
        <f t="shared" si="4"/>
        <v>29300</v>
      </c>
      <c r="U16" s="53">
        <f>IF($J16="","",ROUND(($J16-$J$3)/1000,1)+(_xlfn.RANK.AVG($J16,($J16,$O16,$T16),1)-2)*20)</f>
        <v>-41.4</v>
      </c>
      <c r="V16" s="54">
        <f>IF($O16="","",ROUND(($O16-$O$3)/1000,1)+(_xlfn.RANK.AVG($O16,($J16,$O16,$T16),1)-2)*20)</f>
        <v>47.1</v>
      </c>
      <c r="W16" s="55">
        <f>IF($T16="","",ROUND(($T16-$T$3)/1000,1)+(_xlfn.RANK.AVG($T16,($J16,$O16,$T16),1)-2)*20)</f>
        <v>-5.7</v>
      </c>
      <c r="Y16" s="8"/>
      <c r="Z16" s="34"/>
      <c r="AA16" s="26"/>
      <c r="AB16" s="26"/>
      <c r="AC16" s="26">
        <v>2</v>
      </c>
      <c r="AD16" s="30">
        <v>40</v>
      </c>
      <c r="AE16" s="40" t="s">
        <v>85</v>
      </c>
      <c r="AF16" s="41" t="s">
        <v>84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">
        <v>193</v>
      </c>
      <c r="F17" s="8" t="s">
        <v>205</v>
      </c>
      <c r="G17" s="9">
        <v>6400</v>
      </c>
      <c r="H17" s="9"/>
      <c r="I17" s="48">
        <v>0</v>
      </c>
      <c r="J17" s="21">
        <f t="shared" si="2"/>
        <v>20000</v>
      </c>
      <c r="K17" s="8" t="s">
        <v>204</v>
      </c>
      <c r="L17" s="9">
        <v>-2400</v>
      </c>
      <c r="M17" s="9"/>
      <c r="N17" s="48">
        <v>0</v>
      </c>
      <c r="O17" s="21">
        <f t="shared" si="3"/>
        <v>59700</v>
      </c>
      <c r="P17" s="8" t="s">
        <v>204</v>
      </c>
      <c r="Q17" s="9">
        <v>-4000</v>
      </c>
      <c r="R17" s="9"/>
      <c r="S17" s="48">
        <v>0</v>
      </c>
      <c r="T17" s="21">
        <f t="shared" si="4"/>
        <v>25300</v>
      </c>
      <c r="U17" s="53">
        <f>IF($J17="","",ROUND(($J17-$J$3)/1000,1)+(_xlfn.RANK.AVG($J17,($J17,$O17,$T17),1)-2)*20)</f>
        <v>-35</v>
      </c>
      <c r="V17" s="54">
        <f>IF($O17="","",ROUND(($O17-$O$3)/1000,1)+(_xlfn.RANK.AVG($O17,($J17,$O17,$T17),1)-2)*20)</f>
        <v>44.7</v>
      </c>
      <c r="W17" s="55">
        <f>IF($T17="","",ROUND(($T17-$T$3)/1000,1)+(_xlfn.RANK.AVG($T17,($J17,$O17,$T17),1)-2)*20)</f>
        <v>-9.6999999999999993</v>
      </c>
      <c r="Y17" s="8"/>
      <c r="Z17" s="34"/>
      <c r="AA17" s="26"/>
      <c r="AB17" s="26"/>
      <c r="AC17" s="26">
        <v>4</v>
      </c>
      <c r="AD17" s="30">
        <v>25</v>
      </c>
      <c r="AE17" s="40" t="s">
        <v>82</v>
      </c>
      <c r="AF17" s="41" t="s">
        <v>101</v>
      </c>
      <c r="AG17" s="41" t="s">
        <v>201</v>
      </c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202</v>
      </c>
      <c r="F18" s="8" t="s">
        <v>205</v>
      </c>
      <c r="G18" s="9">
        <v>6000</v>
      </c>
      <c r="H18" s="9"/>
      <c r="I18" s="48">
        <v>0</v>
      </c>
      <c r="J18" s="21">
        <f t="shared" si="2"/>
        <v>26000</v>
      </c>
      <c r="K18" s="8" t="s">
        <v>204</v>
      </c>
      <c r="L18" s="9">
        <v>-3000</v>
      </c>
      <c r="M18" s="9"/>
      <c r="N18" s="48">
        <v>0</v>
      </c>
      <c r="O18" s="21">
        <f t="shared" si="3"/>
        <v>56700</v>
      </c>
      <c r="P18" s="8" t="s">
        <v>204</v>
      </c>
      <c r="Q18" s="9">
        <v>-3000</v>
      </c>
      <c r="R18" s="9"/>
      <c r="S18" s="48">
        <v>0</v>
      </c>
      <c r="T18" s="21">
        <f t="shared" si="4"/>
        <v>22300</v>
      </c>
      <c r="U18" s="53">
        <f>IF($J18="","",ROUND(($J18-$J$3)/1000,1)+(_xlfn.RANK.AVG($J18,($J18,$O18,$T18),1)-2)*20)</f>
        <v>-9</v>
      </c>
      <c r="V18" s="54">
        <f>IF($O18="","",ROUND(($O18-$O$3)/1000,1)+(_xlfn.RANK.AVG($O18,($J18,$O18,$T18),1)-2)*20)</f>
        <v>41.7</v>
      </c>
      <c r="W18" s="55">
        <f>IF($T18="","",ROUND(($T18-$T$3)/1000,1)+(_xlfn.RANK.AVG($T18,($J18,$O18,$T18),1)-2)*20)</f>
        <v>-32.700000000000003</v>
      </c>
      <c r="Y18" s="8"/>
      <c r="Z18" s="34"/>
      <c r="AA18" s="26">
        <v>1</v>
      </c>
      <c r="AB18" s="26"/>
      <c r="AC18" s="26">
        <v>3</v>
      </c>
      <c r="AD18" s="30">
        <v>30</v>
      </c>
      <c r="AE18" s="40" t="s">
        <v>197</v>
      </c>
      <c r="AF18" s="41" t="s">
        <v>82</v>
      </c>
      <c r="AG18" s="41" t="s">
        <v>86</v>
      </c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1</v>
      </c>
      <c r="D19" s="18">
        <f t="shared" si="1"/>
        <v>0</v>
      </c>
      <c r="E19" s="4" t="s">
        <v>202</v>
      </c>
      <c r="F19" s="8" t="s">
        <v>204</v>
      </c>
      <c r="G19" s="9">
        <v>-4800</v>
      </c>
      <c r="H19" s="9"/>
      <c r="I19" s="48">
        <v>-500</v>
      </c>
      <c r="J19" s="21">
        <f t="shared" si="2"/>
        <v>20700</v>
      </c>
      <c r="K19" s="8" t="s">
        <v>205</v>
      </c>
      <c r="L19" s="9">
        <v>7700</v>
      </c>
      <c r="M19" s="9"/>
      <c r="N19" s="48">
        <v>1000</v>
      </c>
      <c r="O19" s="21">
        <f t="shared" si="3"/>
        <v>65400</v>
      </c>
      <c r="P19" s="8" t="s">
        <v>204</v>
      </c>
      <c r="Q19" s="9">
        <v>-2900</v>
      </c>
      <c r="R19" s="9"/>
      <c r="S19" s="48">
        <v>-500</v>
      </c>
      <c r="T19" s="21">
        <f t="shared" si="4"/>
        <v>18900</v>
      </c>
      <c r="U19" s="53">
        <f>IF($J19="","",ROUND(($J19-$J$3)/1000,1)+(_xlfn.RANK.AVG($J19,($J19,$O19,$T19),1)-2)*20)</f>
        <v>-14.3</v>
      </c>
      <c r="V19" s="54">
        <f>IF($O19="","",ROUND(($O19-$O$3)/1000,1)+(_xlfn.RANK.AVG($O19,($J19,$O19,$T19),1)-2)*20)</f>
        <v>50.4</v>
      </c>
      <c r="W19" s="55">
        <f>IF($T19="","",ROUND(($T19-$T$3)/1000,1)+(_xlfn.RANK.AVG($T19,($J19,$O19,$T19),1)-2)*20)</f>
        <v>-36.1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>
        <v>1</v>
      </c>
      <c r="AW19" s="26"/>
      <c r="AX19" s="26">
        <v>4</v>
      </c>
      <c r="AY19" s="30">
        <v>30</v>
      </c>
      <c r="AZ19" s="40" t="s">
        <v>197</v>
      </c>
      <c r="BA19" s="41" t="s">
        <v>82</v>
      </c>
      <c r="BB19" s="41" t="s">
        <v>206</v>
      </c>
      <c r="BC19" s="41" t="s">
        <v>80</v>
      </c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8BAB74F-AD99-406F-BA2F-2C54AF69ED5D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58704410-1902-452B-8F64-8945ED3C9F69}">
      <formula1>"ロン,ツモ,放銃,ツモ支払,流局,チョンボ"</formula1>
    </dataValidation>
    <dataValidation type="list" allowBlank="1" showInputMessage="1" showErrorMessage="1" sqref="E4:E30" xr:uid="{598F33E5-7B24-478D-98D3-C332AAF3E6E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F1FC8-6530-4A21-AD10-6CDEA068A8E4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203</v>
      </c>
      <c r="L1" s="73"/>
      <c r="M1" s="73"/>
      <c r="N1" s="74"/>
      <c r="O1" s="75"/>
      <c r="P1" s="72" t="s">
        <v>208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ほたに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ほたに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ADDB8E6C-36CF-4AAC-BFAE-A68CF1F638E2}">
      <formula1>$U$2:$W$2</formula1>
    </dataValidation>
    <dataValidation type="list" showInputMessage="1" showErrorMessage="1" sqref="K4:K30 P4:P30 F4:F30" xr:uid="{ADAE7693-E475-466D-B819-1A338AC20DAB}">
      <formula1>"ロン,ツモ,放銃,ツモ支払,流局,チョンボ"</formula1>
    </dataValidation>
    <dataValidation type="list" allowBlank="1" showInputMessage="1" sqref="F1:T1" xr:uid="{47C0959C-9EF0-4514-A51D-7FE0FC51AB10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2019-06-12T15:58:44Z</dcterms:modified>
</cp:coreProperties>
</file>