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A3F76492-E49C-4D75-A2B4-ADF33A87FBC4}" xr6:coauthVersionLast="36" xr6:coauthVersionMax="36" xr10:uidLastSave="{00000000-0000-0000-0000-000000000000}"/>
  <bookViews>
    <workbookView xWindow="0" yWindow="0" windowWidth="28800" windowHeight="12720" activeTab="6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21" l="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D14" i="21"/>
  <c r="C14" i="21"/>
  <c r="D13" i="21"/>
  <c r="C13" i="21"/>
  <c r="D12" i="21"/>
  <c r="C12" i="21"/>
  <c r="D11" i="21"/>
  <c r="C11" i="21"/>
  <c r="D10" i="21"/>
  <c r="D9" i="21"/>
  <c r="D8" i="21"/>
  <c r="C8" i="21"/>
  <c r="C9" i="21" s="1"/>
  <c r="C10" i="21" s="1"/>
  <c r="D7" i="21"/>
  <c r="C7" i="21"/>
  <c r="C6" i="21"/>
  <c r="B6" i="21"/>
  <c r="D5" i="21"/>
  <c r="D6" i="21" s="1"/>
  <c r="C5" i="21"/>
  <c r="B5" i="21"/>
  <c r="A6" i="21" s="1"/>
  <c r="A5" i="21"/>
  <c r="T4" i="21"/>
  <c r="O4" i="21"/>
  <c r="J4" i="21"/>
  <c r="W2" i="21"/>
  <c r="V2" i="21"/>
  <c r="U2" i="21"/>
  <c r="BO1" i="21"/>
  <c r="AT1" i="21"/>
  <c r="Y1" i="21"/>
  <c r="J5" i="21" l="1"/>
  <c r="A7" i="21"/>
  <c r="B7" i="21"/>
  <c r="O5" i="21"/>
  <c r="T5" i="2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U5" i="19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D16" i="20"/>
  <c r="C16" i="20"/>
  <c r="D15" i="20"/>
  <c r="C15" i="20"/>
  <c r="D13" i="20"/>
  <c r="D14" i="20" s="1"/>
  <c r="D12" i="20"/>
  <c r="C12" i="20"/>
  <c r="C13" i="20" s="1"/>
  <c r="C14" i="20" s="1"/>
  <c r="D11" i="20"/>
  <c r="C11" i="20"/>
  <c r="D10" i="20"/>
  <c r="C10" i="20"/>
  <c r="D9" i="20"/>
  <c r="D8" i="20"/>
  <c r="D7" i="20"/>
  <c r="D6" i="20"/>
  <c r="C6" i="20"/>
  <c r="C7" i="20" s="1"/>
  <c r="C8" i="20" s="1"/>
  <c r="C9" i="20" s="1"/>
  <c r="B6" i="20"/>
  <c r="B7" i="20" s="1"/>
  <c r="J5" i="20"/>
  <c r="D5" i="20"/>
  <c r="C5" i="20"/>
  <c r="B5" i="20"/>
  <c r="A6" i="20" s="1"/>
  <c r="A5" i="20"/>
  <c r="T4" i="20"/>
  <c r="O4" i="20"/>
  <c r="J4" i="20"/>
  <c r="W2" i="20"/>
  <c r="V2" i="20"/>
  <c r="U2" i="20"/>
  <c r="BO1" i="20"/>
  <c r="AT1" i="20"/>
  <c r="Y1" i="20"/>
  <c r="J6" i="21" l="1"/>
  <c r="T6" i="21"/>
  <c r="O6" i="21"/>
  <c r="B8" i="21"/>
  <c r="B8" i="20"/>
  <c r="A7" i="20"/>
  <c r="O5" i="20"/>
  <c r="T5" i="20"/>
  <c r="J6" i="20"/>
  <c r="W3" i="19"/>
  <c r="V3" i="19"/>
  <c r="U3" i="19"/>
  <c r="J7" i="21" l="1"/>
  <c r="B9" i="21"/>
  <c r="A8" i="21"/>
  <c r="T7" i="21"/>
  <c r="O7" i="21"/>
  <c r="J8" i="21"/>
  <c r="T6" i="20"/>
  <c r="B9" i="20"/>
  <c r="A9" i="20" s="1"/>
  <c r="O6" i="20"/>
  <c r="J7" i="20"/>
  <c r="A8" i="20"/>
  <c r="Y1" i="19"/>
  <c r="AT1" i="19"/>
  <c r="BO1" i="19"/>
  <c r="U2" i="19"/>
  <c r="V2" i="19"/>
  <c r="W2" i="19"/>
  <c r="J4" i="19"/>
  <c r="O4" i="19"/>
  <c r="O5" i="19" s="1"/>
  <c r="O6" i="19" s="1"/>
  <c r="T4" i="19"/>
  <c r="T5" i="19" s="1"/>
  <c r="T6" i="19" s="1"/>
  <c r="T7" i="19" s="1"/>
  <c r="B5" i="19"/>
  <c r="C5" i="19"/>
  <c r="C6" i="19" s="1"/>
  <c r="C7" i="19" s="1"/>
  <c r="D5" i="19"/>
  <c r="D6" i="19"/>
  <c r="D7" i="19"/>
  <c r="C8" i="19"/>
  <c r="D8" i="19"/>
  <c r="C9" i="19"/>
  <c r="C10" i="19" s="1"/>
  <c r="C11" i="19" s="1"/>
  <c r="C12" i="19" s="1"/>
  <c r="D9" i="19"/>
  <c r="D10" i="19"/>
  <c r="D11" i="19"/>
  <c r="D12" i="19"/>
  <c r="C13" i="19"/>
  <c r="C14" i="19" s="1"/>
  <c r="C15" i="19" s="1"/>
  <c r="D13" i="19"/>
  <c r="D14" i="19"/>
  <c r="D15" i="19"/>
  <c r="C16" i="19"/>
  <c r="D16" i="19"/>
  <c r="C17" i="19"/>
  <c r="D17" i="19"/>
  <c r="A18" i="19"/>
  <c r="B18" i="19"/>
  <c r="C18" i="19"/>
  <c r="D18" i="19"/>
  <c r="J18" i="19"/>
  <c r="U18" i="19" s="1"/>
  <c r="O18" i="19"/>
  <c r="V18" i="19" s="1"/>
  <c r="T18" i="19"/>
  <c r="W18" i="19" s="1"/>
  <c r="A19" i="19"/>
  <c r="B19" i="19"/>
  <c r="C19" i="19"/>
  <c r="D19" i="19"/>
  <c r="J19" i="19"/>
  <c r="U19" i="19" s="1"/>
  <c r="O19" i="19"/>
  <c r="V19" i="19" s="1"/>
  <c r="T19" i="19"/>
  <c r="W19" i="19" s="1"/>
  <c r="A20" i="19"/>
  <c r="B20" i="19"/>
  <c r="C20" i="19"/>
  <c r="D20" i="19"/>
  <c r="J20" i="19"/>
  <c r="U20" i="19" s="1"/>
  <c r="O20" i="19"/>
  <c r="V20" i="19" s="1"/>
  <c r="T20" i="19"/>
  <c r="W20" i="19" s="1"/>
  <c r="A21" i="19"/>
  <c r="B21" i="19"/>
  <c r="C21" i="19"/>
  <c r="D21" i="19"/>
  <c r="J21" i="19"/>
  <c r="U21" i="19" s="1"/>
  <c r="O21" i="19"/>
  <c r="V21" i="19" s="1"/>
  <c r="T21" i="19"/>
  <c r="W21" i="19" s="1"/>
  <c r="A22" i="19"/>
  <c r="B22" i="19"/>
  <c r="C22" i="19"/>
  <c r="D22" i="19"/>
  <c r="J22" i="19"/>
  <c r="U22" i="19" s="1"/>
  <c r="O22" i="19"/>
  <c r="V22" i="19" s="1"/>
  <c r="T22" i="19"/>
  <c r="W22" i="19" s="1"/>
  <c r="A23" i="19"/>
  <c r="B23" i="19"/>
  <c r="C23" i="19"/>
  <c r="D23" i="19"/>
  <c r="J23" i="19"/>
  <c r="U23" i="19" s="1"/>
  <c r="O23" i="19"/>
  <c r="V23" i="19" s="1"/>
  <c r="T23" i="19"/>
  <c r="W23" i="19" s="1"/>
  <c r="A24" i="19"/>
  <c r="B24" i="19"/>
  <c r="C24" i="19"/>
  <c r="D24" i="19"/>
  <c r="J24" i="19"/>
  <c r="U24" i="19" s="1"/>
  <c r="O24" i="19"/>
  <c r="V24" i="19" s="1"/>
  <c r="T24" i="19"/>
  <c r="W24" i="19" s="1"/>
  <c r="A25" i="19"/>
  <c r="B25" i="19"/>
  <c r="C25" i="19"/>
  <c r="D25" i="19"/>
  <c r="J25" i="19"/>
  <c r="U25" i="19" s="1"/>
  <c r="O25" i="19"/>
  <c r="V25" i="19" s="1"/>
  <c r="T25" i="19"/>
  <c r="W25" i="19" s="1"/>
  <c r="A26" i="19"/>
  <c r="B26" i="19"/>
  <c r="C26" i="19"/>
  <c r="D26" i="19"/>
  <c r="J26" i="19"/>
  <c r="U26" i="19" s="1"/>
  <c r="O26" i="19"/>
  <c r="V26" i="19" s="1"/>
  <c r="T26" i="19"/>
  <c r="W26" i="19" s="1"/>
  <c r="A27" i="19"/>
  <c r="B27" i="19"/>
  <c r="C27" i="19"/>
  <c r="D27" i="19"/>
  <c r="J27" i="19"/>
  <c r="U27" i="19" s="1"/>
  <c r="O27" i="19"/>
  <c r="V27" i="19" s="1"/>
  <c r="T27" i="19"/>
  <c r="W27" i="19" s="1"/>
  <c r="A28" i="19"/>
  <c r="B28" i="19"/>
  <c r="C28" i="19"/>
  <c r="D28" i="19"/>
  <c r="J28" i="19"/>
  <c r="U28" i="19" s="1"/>
  <c r="O28" i="19"/>
  <c r="V28" i="19" s="1"/>
  <c r="T28" i="19"/>
  <c r="W28" i="19" s="1"/>
  <c r="A29" i="19"/>
  <c r="B29" i="19"/>
  <c r="C29" i="19"/>
  <c r="D29" i="19"/>
  <c r="J29" i="19"/>
  <c r="U29" i="19" s="1"/>
  <c r="O29" i="19"/>
  <c r="V29" i="19" s="1"/>
  <c r="T29" i="19"/>
  <c r="W29" i="19" s="1"/>
  <c r="A30" i="19"/>
  <c r="B30" i="19"/>
  <c r="C30" i="19"/>
  <c r="D30" i="19"/>
  <c r="J30" i="19"/>
  <c r="U30" i="19" s="1"/>
  <c r="O30" i="19"/>
  <c r="V30" i="19" s="1"/>
  <c r="T30" i="19"/>
  <c r="W30" i="19" s="1"/>
  <c r="B10" i="21" l="1"/>
  <c r="O8" i="21"/>
  <c r="J9" i="21"/>
  <c r="T8" i="21"/>
  <c r="A9" i="21"/>
  <c r="O7" i="20"/>
  <c r="J8" i="20"/>
  <c r="B10" i="20"/>
  <c r="T7" i="20"/>
  <c r="J5" i="19"/>
  <c r="W4" i="19"/>
  <c r="U4" i="19"/>
  <c r="V4" i="19"/>
  <c r="O7" i="19"/>
  <c r="T8" i="19"/>
  <c r="J6" i="19"/>
  <c r="A5" i="19"/>
  <c r="B6" i="19"/>
  <c r="A6" i="19" s="1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C10" i="18"/>
  <c r="C11" i="18" s="1"/>
  <c r="C12" i="18" s="1"/>
  <c r="D9" i="18"/>
  <c r="D10" i="18" s="1"/>
  <c r="D11" i="18" s="1"/>
  <c r="D12" i="18" s="1"/>
  <c r="C9" i="18"/>
  <c r="D8" i="18"/>
  <c r="C8" i="18"/>
  <c r="D7" i="18"/>
  <c r="D6" i="18"/>
  <c r="C6" i="18"/>
  <c r="C7" i="18" s="1"/>
  <c r="B6" i="18"/>
  <c r="A6" i="18" s="1"/>
  <c r="D5" i="18"/>
  <c r="C5" i="18"/>
  <c r="B5" i="18"/>
  <c r="A5" i="18" s="1"/>
  <c r="T4" i="18"/>
  <c r="O4" i="18"/>
  <c r="J4" i="18"/>
  <c r="J5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V29" i="17"/>
  <c r="U29" i="17"/>
  <c r="T29" i="17"/>
  <c r="W29" i="17" s="1"/>
  <c r="O29" i="17"/>
  <c r="J29" i="17"/>
  <c r="D29" i="17"/>
  <c r="C29" i="17"/>
  <c r="B29" i="17"/>
  <c r="A29" i="17"/>
  <c r="W28" i="17"/>
  <c r="V28" i="17"/>
  <c r="T28" i="17"/>
  <c r="O28" i="17"/>
  <c r="J28" i="17"/>
  <c r="U28" i="17" s="1"/>
  <c r="D28" i="17"/>
  <c r="C28" i="17"/>
  <c r="B28" i="17"/>
  <c r="A28" i="17"/>
  <c r="V27" i="17"/>
  <c r="T27" i="17"/>
  <c r="W27" i="17" s="1"/>
  <c r="O27" i="17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V25" i="17"/>
  <c r="U25" i="17"/>
  <c r="T25" i="17"/>
  <c r="W25" i="17" s="1"/>
  <c r="O25" i="17"/>
  <c r="J25" i="17"/>
  <c r="D25" i="17"/>
  <c r="C25" i="17"/>
  <c r="B25" i="17"/>
  <c r="A25" i="17"/>
  <c r="W24" i="17"/>
  <c r="V24" i="17"/>
  <c r="T24" i="17"/>
  <c r="O24" i="17"/>
  <c r="J24" i="17"/>
  <c r="U24" i="17" s="1"/>
  <c r="D24" i="17"/>
  <c r="C24" i="17"/>
  <c r="B24" i="17"/>
  <c r="A24" i="17"/>
  <c r="V23" i="17"/>
  <c r="T23" i="17"/>
  <c r="W23" i="17" s="1"/>
  <c r="O23" i="17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V21" i="17"/>
  <c r="U21" i="17"/>
  <c r="T21" i="17"/>
  <c r="W21" i="17" s="1"/>
  <c r="O21" i="17"/>
  <c r="J21" i="17"/>
  <c r="D21" i="17"/>
  <c r="C21" i="17"/>
  <c r="B21" i="17"/>
  <c r="A21" i="17"/>
  <c r="W20" i="17"/>
  <c r="V20" i="17"/>
  <c r="T20" i="17"/>
  <c r="O20" i="17"/>
  <c r="J20" i="17"/>
  <c r="U20" i="17" s="1"/>
  <c r="D20" i="17"/>
  <c r="C20" i="17"/>
  <c r="B20" i="17"/>
  <c r="A20" i="17"/>
  <c r="V19" i="17"/>
  <c r="T19" i="17"/>
  <c r="W19" i="17" s="1"/>
  <c r="O19" i="17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V17" i="17"/>
  <c r="U17" i="17"/>
  <c r="T17" i="17"/>
  <c r="W17" i="17" s="1"/>
  <c r="O17" i="17"/>
  <c r="J17" i="17"/>
  <c r="D17" i="17"/>
  <c r="C17" i="17"/>
  <c r="B17" i="17"/>
  <c r="A17" i="17"/>
  <c r="W16" i="17"/>
  <c r="V16" i="17"/>
  <c r="T16" i="17"/>
  <c r="O16" i="17"/>
  <c r="J16" i="17"/>
  <c r="U16" i="17" s="1"/>
  <c r="D16" i="17"/>
  <c r="C16" i="17"/>
  <c r="B16" i="17"/>
  <c r="A16" i="17"/>
  <c r="V15" i="17"/>
  <c r="T15" i="17"/>
  <c r="W15" i="17" s="1"/>
  <c r="O15" i="17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V13" i="17"/>
  <c r="U13" i="17"/>
  <c r="T13" i="17"/>
  <c r="W13" i="17" s="1"/>
  <c r="O13" i="17"/>
  <c r="J13" i="17"/>
  <c r="D13" i="17"/>
  <c r="C13" i="17"/>
  <c r="B13" i="17"/>
  <c r="A13" i="17"/>
  <c r="D9" i="17"/>
  <c r="D10" i="17" s="1"/>
  <c r="D11" i="17" s="1"/>
  <c r="D12" i="17" s="1"/>
  <c r="C9" i="17"/>
  <c r="C10" i="17" s="1"/>
  <c r="C11" i="17" s="1"/>
  <c r="C12" i="17" s="1"/>
  <c r="D8" i="17"/>
  <c r="C8" i="17"/>
  <c r="D7" i="17"/>
  <c r="D6" i="17"/>
  <c r="T5" i="17"/>
  <c r="D5" i="17"/>
  <c r="C5" i="17"/>
  <c r="C6" i="17" s="1"/>
  <c r="C7" i="17" s="1"/>
  <c r="B5" i="17"/>
  <c r="B6" i="17" s="1"/>
  <c r="A5" i="17"/>
  <c r="W4" i="17"/>
  <c r="V4" i="17"/>
  <c r="T4" i="17"/>
  <c r="O4" i="17"/>
  <c r="O5" i="17" s="1"/>
  <c r="J4" i="17"/>
  <c r="U4" i="17" s="1"/>
  <c r="W3" i="17"/>
  <c r="V3" i="17"/>
  <c r="U3" i="17"/>
  <c r="W2" i="17"/>
  <c r="V2" i="17"/>
  <c r="U2" i="17"/>
  <c r="BO1" i="17"/>
  <c r="AT1" i="17"/>
  <c r="Y1" i="17"/>
  <c r="T9" i="21" l="1"/>
  <c r="B11" i="21"/>
  <c r="O9" i="21"/>
  <c r="J10" i="21"/>
  <c r="A10" i="21"/>
  <c r="T8" i="20"/>
  <c r="B11" i="20"/>
  <c r="A11" i="20" s="1"/>
  <c r="A10" i="20"/>
  <c r="J9" i="20"/>
  <c r="O8" i="20"/>
  <c r="V6" i="19"/>
  <c r="U6" i="19"/>
  <c r="W6" i="19"/>
  <c r="V5" i="19"/>
  <c r="W5" i="19"/>
  <c r="J7" i="19"/>
  <c r="T9" i="19"/>
  <c r="B7" i="19"/>
  <c r="A7" i="19" s="1"/>
  <c r="O8" i="19"/>
  <c r="U14" i="18"/>
  <c r="V14" i="18"/>
  <c r="W14" i="18"/>
  <c r="U13" i="18"/>
  <c r="V13" i="18"/>
  <c r="V4" i="18"/>
  <c r="W4" i="18"/>
  <c r="J6" i="18"/>
  <c r="U4" i="18"/>
  <c r="O5" i="18"/>
  <c r="B7" i="18"/>
  <c r="A7" i="18" s="1"/>
  <c r="T5" i="18"/>
  <c r="B7" i="17"/>
  <c r="O6" i="17"/>
  <c r="W5" i="17"/>
  <c r="J5" i="17"/>
  <c r="V5" i="17" s="1"/>
  <c r="T6" i="17"/>
  <c r="A6" i="17"/>
  <c r="A7" i="17" s="1"/>
  <c r="J11" i="21" l="1"/>
  <c r="O10" i="21"/>
  <c r="B12" i="21"/>
  <c r="T10" i="21"/>
  <c r="A11" i="21"/>
  <c r="A12" i="21" s="1"/>
  <c r="O9" i="20"/>
  <c r="T9" i="20"/>
  <c r="J10" i="20"/>
  <c r="B12" i="20"/>
  <c r="A12" i="20" s="1"/>
  <c r="W7" i="19"/>
  <c r="V7" i="19"/>
  <c r="U7" i="19"/>
  <c r="O9" i="19"/>
  <c r="B8" i="19"/>
  <c r="T10" i="19"/>
  <c r="J8" i="19"/>
  <c r="U5" i="18"/>
  <c r="J7" i="18"/>
  <c r="W5" i="18"/>
  <c r="T6" i="18"/>
  <c r="B8" i="18"/>
  <c r="V5" i="18"/>
  <c r="O6" i="18"/>
  <c r="T7" i="17"/>
  <c r="O7" i="17"/>
  <c r="J6" i="17"/>
  <c r="U5" i="17"/>
  <c r="B8" i="17"/>
  <c r="A8" i="17" s="1"/>
  <c r="J12" i="21" l="1"/>
  <c r="T11" i="21"/>
  <c r="B13" i="21"/>
  <c r="O11" i="21"/>
  <c r="B13" i="20"/>
  <c r="A13" i="20" s="1"/>
  <c r="T10" i="20"/>
  <c r="O10" i="20"/>
  <c r="J11" i="20"/>
  <c r="W8" i="19"/>
  <c r="V8" i="19"/>
  <c r="U8" i="19"/>
  <c r="O10" i="19"/>
  <c r="T11" i="19"/>
  <c r="B9" i="19"/>
  <c r="A9" i="19" s="1"/>
  <c r="J9" i="19"/>
  <c r="A8" i="19"/>
  <c r="B9" i="18"/>
  <c r="A9" i="18" s="1"/>
  <c r="A8" i="18"/>
  <c r="W6" i="18"/>
  <c r="T7" i="18"/>
  <c r="V6" i="18"/>
  <c r="O7" i="18"/>
  <c r="U7" i="18"/>
  <c r="J8" i="18"/>
  <c r="U6" i="18"/>
  <c r="B9" i="17"/>
  <c r="A9" i="17"/>
  <c r="U6" i="17"/>
  <c r="J7" i="17"/>
  <c r="O8" i="17"/>
  <c r="V7" i="17"/>
  <c r="V6" i="17"/>
  <c r="W7" i="17"/>
  <c r="T8" i="17"/>
  <c r="W6" i="17"/>
  <c r="J13" i="21" l="1"/>
  <c r="O12" i="21"/>
  <c r="B14" i="21"/>
  <c r="A13" i="21"/>
  <c r="A14" i="21" s="1"/>
  <c r="T12" i="21"/>
  <c r="J12" i="20"/>
  <c r="T11" i="20"/>
  <c r="O11" i="20"/>
  <c r="B14" i="20"/>
  <c r="A14" i="20" s="1"/>
  <c r="U9" i="19"/>
  <c r="V9" i="19"/>
  <c r="W9" i="19"/>
  <c r="J10" i="19"/>
  <c r="B10" i="19"/>
  <c r="T12" i="19"/>
  <c r="O11" i="19"/>
  <c r="T8" i="18"/>
  <c r="W7" i="18"/>
  <c r="O8" i="18"/>
  <c r="V7" i="18"/>
  <c r="J9" i="18"/>
  <c r="U8" i="18"/>
  <c r="B10" i="18"/>
  <c r="A10" i="18" s="1"/>
  <c r="O9" i="17"/>
  <c r="U7" i="17"/>
  <c r="J8" i="17"/>
  <c r="T9" i="17"/>
  <c r="W8" i="17"/>
  <c r="B10" i="17"/>
  <c r="A10" i="17" s="1"/>
  <c r="O13" i="21" l="1"/>
  <c r="T13" i="21"/>
  <c r="J14" i="21"/>
  <c r="B15" i="20"/>
  <c r="O12" i="20"/>
  <c r="T12" i="20"/>
  <c r="J13" i="20"/>
  <c r="V10" i="19"/>
  <c r="U10" i="19"/>
  <c r="W10" i="19"/>
  <c r="O12" i="19"/>
  <c r="B11" i="19"/>
  <c r="J11" i="19"/>
  <c r="T13" i="19"/>
  <c r="A10" i="19"/>
  <c r="B11" i="18"/>
  <c r="A11" i="18" s="1"/>
  <c r="J10" i="18"/>
  <c r="V8" i="18"/>
  <c r="O9" i="18"/>
  <c r="W8" i="18"/>
  <c r="T9" i="18"/>
  <c r="U8" i="17"/>
  <c r="J9" i="17"/>
  <c r="W9" i="17"/>
  <c r="T10" i="17"/>
  <c r="V9" i="17"/>
  <c r="O10" i="17"/>
  <c r="B11" i="17"/>
  <c r="A11" i="17" s="1"/>
  <c r="V8" i="17"/>
  <c r="T14" i="21" l="1"/>
  <c r="O14" i="21"/>
  <c r="T13" i="20"/>
  <c r="B16" i="20"/>
  <c r="A16" i="20" s="1"/>
  <c r="J14" i="20"/>
  <c r="O13" i="20"/>
  <c r="A15" i="20"/>
  <c r="W11" i="19"/>
  <c r="V11" i="19"/>
  <c r="U11" i="19"/>
  <c r="O13" i="19"/>
  <c r="T14" i="19"/>
  <c r="B12" i="19"/>
  <c r="A12" i="19" s="1"/>
  <c r="J12" i="19"/>
  <c r="A11" i="19"/>
  <c r="U9" i="18"/>
  <c r="W9" i="18"/>
  <c r="T10" i="18"/>
  <c r="J11" i="18"/>
  <c r="O10" i="18"/>
  <c r="U10" i="18" s="1"/>
  <c r="V9" i="18"/>
  <c r="B12" i="18"/>
  <c r="A12" i="18" s="1"/>
  <c r="T11" i="17"/>
  <c r="V10" i="17"/>
  <c r="O11" i="17"/>
  <c r="U9" i="17"/>
  <c r="J10" i="17"/>
  <c r="B12" i="17"/>
  <c r="A12" i="17" s="1"/>
  <c r="J15" i="20" l="1"/>
  <c r="O14" i="20"/>
  <c r="T14" i="20"/>
  <c r="U12" i="19"/>
  <c r="W12" i="19"/>
  <c r="V12" i="19"/>
  <c r="J13" i="19"/>
  <c r="O14" i="19"/>
  <c r="B13" i="19"/>
  <c r="T15" i="19"/>
  <c r="J12" i="18"/>
  <c r="W10" i="18"/>
  <c r="T11" i="18"/>
  <c r="V10" i="18"/>
  <c r="O11" i="18"/>
  <c r="U10" i="17"/>
  <c r="J11" i="17"/>
  <c r="W11" i="17"/>
  <c r="T12" i="17"/>
  <c r="O12" i="17"/>
  <c r="V11" i="17"/>
  <c r="W10" i="17"/>
  <c r="T15" i="20" l="1"/>
  <c r="O15" i="20"/>
  <c r="J16" i="20"/>
  <c r="W13" i="19"/>
  <c r="U13" i="19"/>
  <c r="V13" i="19"/>
  <c r="J14" i="19"/>
  <c r="T16" i="19"/>
  <c r="B14" i="19"/>
  <c r="A14" i="19" s="1"/>
  <c r="A13" i="19"/>
  <c r="O15" i="19"/>
  <c r="O12" i="18"/>
  <c r="V11" i="18"/>
  <c r="W11" i="18"/>
  <c r="T12" i="18"/>
  <c r="U12" i="18"/>
  <c r="U11" i="18"/>
  <c r="U11" i="17"/>
  <c r="J12" i="17"/>
  <c r="U12" i="17" s="1"/>
  <c r="O16" i="20" l="1"/>
  <c r="T16" i="20"/>
  <c r="V14" i="19"/>
  <c r="U14" i="19"/>
  <c r="W14" i="19"/>
  <c r="O16" i="19"/>
  <c r="T17" i="19"/>
  <c r="J15" i="19"/>
  <c r="B15" i="19"/>
  <c r="W12" i="18"/>
  <c r="V12" i="18"/>
  <c r="W12" i="17"/>
  <c r="V12" i="17"/>
  <c r="W15" i="19" l="1"/>
  <c r="V15" i="19"/>
  <c r="U15" i="19"/>
  <c r="O17" i="19"/>
  <c r="B16" i="19"/>
  <c r="A16" i="19" s="1"/>
  <c r="A15" i="19"/>
  <c r="J16" i="19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O12" i="16"/>
  <c r="J12" i="16"/>
  <c r="D12" i="16"/>
  <c r="C12" i="16"/>
  <c r="B12" i="16"/>
  <c r="A12" i="16" s="1"/>
  <c r="T11" i="16"/>
  <c r="O11" i="16"/>
  <c r="J11" i="16"/>
  <c r="U11" i="16" s="1"/>
  <c r="D11" i="16"/>
  <c r="C11" i="16"/>
  <c r="B11" i="16"/>
  <c r="A11" i="16"/>
  <c r="T10" i="16"/>
  <c r="O10" i="16"/>
  <c r="J10" i="16"/>
  <c r="U10" i="16" s="1"/>
  <c r="D10" i="16"/>
  <c r="C10" i="16"/>
  <c r="B10" i="16"/>
  <c r="A10" i="16" s="1"/>
  <c r="T9" i="16"/>
  <c r="O9" i="16"/>
  <c r="V9" i="16" s="1"/>
  <c r="J9" i="16"/>
  <c r="U9" i="16" s="1"/>
  <c r="D9" i="16"/>
  <c r="C9" i="16"/>
  <c r="B9" i="16"/>
  <c r="A9" i="16" s="1"/>
  <c r="D8" i="16"/>
  <c r="D7" i="16"/>
  <c r="C7" i="16"/>
  <c r="C8" i="16" s="1"/>
  <c r="D6" i="16"/>
  <c r="C6" i="16"/>
  <c r="B6" i="16"/>
  <c r="B7" i="16" s="1"/>
  <c r="J5" i="16"/>
  <c r="D5" i="16"/>
  <c r="C5" i="16"/>
  <c r="B5" i="16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W16" i="19" l="1"/>
  <c r="U16" i="19"/>
  <c r="V16" i="19"/>
  <c r="J17" i="19"/>
  <c r="B17" i="19"/>
  <c r="A17" i="19" s="1"/>
  <c r="V12" i="16"/>
  <c r="W12" i="16"/>
  <c r="U12" i="16"/>
  <c r="W11" i="16"/>
  <c r="V11" i="16"/>
  <c r="V10" i="16"/>
  <c r="W10" i="16"/>
  <c r="W9" i="16"/>
  <c r="A6" i="16"/>
  <c r="A5" i="16"/>
  <c r="W4" i="16"/>
  <c r="U4" i="16"/>
  <c r="A7" i="16"/>
  <c r="B8" i="16"/>
  <c r="A8" i="16" s="1"/>
  <c r="O5" i="16"/>
  <c r="T5" i="16"/>
  <c r="J6" i="16"/>
  <c r="U17" i="19" l="1"/>
  <c r="W17" i="19"/>
  <c r="V17" i="19"/>
  <c r="O6" i="16"/>
  <c r="V5" i="16"/>
  <c r="J7" i="16"/>
  <c r="W5" i="16"/>
  <c r="T6" i="16"/>
  <c r="U5" i="16"/>
  <c r="U6" i="16" l="1"/>
  <c r="W6" i="16"/>
  <c r="T7" i="16"/>
  <c r="J8" i="16"/>
  <c r="V6" i="16"/>
  <c r="O7" i="16"/>
  <c r="U7" i="16" s="1"/>
  <c r="O8" i="16" l="1"/>
  <c r="V8" i="16" s="1"/>
  <c r="V7" i="16"/>
  <c r="W7" i="16"/>
  <c r="T8" i="16"/>
  <c r="W8" i="16" l="1"/>
  <c r="U8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7" i="1" l="1"/>
  <c r="V7" i="1"/>
  <c r="U6" i="1"/>
  <c r="W6" i="1"/>
  <c r="T7" i="1"/>
  <c r="J9" i="1"/>
  <c r="T8" i="1"/>
  <c r="W8" i="1" s="1"/>
  <c r="O9" i="1"/>
  <c r="B13" i="1"/>
  <c r="A13" i="1" s="1"/>
  <c r="U8" i="1" l="1"/>
  <c r="V9" i="1"/>
  <c r="U9" i="1"/>
  <c r="V8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<sst xmlns="http://schemas.openxmlformats.org/spreadsheetml/2006/main" count="1282" uniqueCount="165">
  <si>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</si>
  <si>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</si>
  <si>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</si>
  <si>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</si>
  <si>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</si>
  <si>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</si>
  <si>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</si>
  <si>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</si>
  <si>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</si>
  <si>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</si>
  <si>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</si>
  <si>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</si>
  <si>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</si>
  <si>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</si>
  <si>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</si>
  <si>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</si>
  <si>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</si>
  <si>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</si>
  <si>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</si>
  <si>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</si>
  <si>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</si>
  <si>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</si>
  <si>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</si>
  <si>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</si>
  <si>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</si>
  <si>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</si>
  <si>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</si>
  <si>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</si>
  <si>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</si>
  <si>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</si>
  <si>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</si>
  <si>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</si>
  <si>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</si>
  <si>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</si>
  <si>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</si>
  <si>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</si>
  <si>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</si>
  <si>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</si>
  <si>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</si>
  <si>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</si>
  <si>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</si>
  <si>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</si>
  <si>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</si>
  <si>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</si>
  <si>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</si>
  <si>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</si>
  <si>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</si>
  <si>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</si>
  <si>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</si>
  <si>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</si>
  <si>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</si>
  <si>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</si>
  <si>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</si>
  <si>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</si>
  <si>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</si>
  <si>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</si>
  <si>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</si>
  <si>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</si>
  <si>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</si>
  <si>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</si>
  <si>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</si>
  <si>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</si>
  <si>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</si>
  <si>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</si>
  <si>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</si>
  <si>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</si>
  <si>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</si>
  <si>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</si>
  <si>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</si>
  <si>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</si>
  <si>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</si>
  <si>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</si>
  <si>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</si>
  <si>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</si>
  <si>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</si>
  <si>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</si>
  <si>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</si>
  <si>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</si>
  <si>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</si>
  <si>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</si>
  <si>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</si>
  <si>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</si>
  <si>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</si>
  <si>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</si>
  <si>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</si>
  <si>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</si>
  <si>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</si>
  <si>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</si>
  <si>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</si>
  <si>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</si>
  <si>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</si>
  <si>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</si>
  <si>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</si>
  <si>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</si>
  <si>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</si>
  <si>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</si>
  <si>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</si>
  <si>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</si>
  <si>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</si>
  <si>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</si>
  <si>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</si>
  <si>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</si>
  <si>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</si>
  <si>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</si>
  <si>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</si>
  <si>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</si>
  <si>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</si>
  <si>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</si>
  <si>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</si>
  <si>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</si>
  <si>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</si>
  <si>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</si>
  <si>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</si>
  <si>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</si>
  <si>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</si>
  <si>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</si>
  <si>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</si>
  <si>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</si>
  <si>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</si>
  <si>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</si>
  <si>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</si>
  <si>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</si>
  <si>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</si>
  <si>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</si>
  <si>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</si>
  <si>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</si>
  <si>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</si>
  <si>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</si>
  <si>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</si>
  <si>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</si>
  <si>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</si>
  <si>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</si>
  <si>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</si>
  <si>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</si>
  <si>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</si>
  <si>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</si>
  <si>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</si>
  <si>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</si>
  <si>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</si>
  <si>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</si>
  <si>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</si>
  <si>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</si>
  <si>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</si>
  <si>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</si>
  <si>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</si>
  <si>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</si>
  <si>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</si>
  <si>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</si>
  <si>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</si>
  <si>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51</t>
  </si>
  <si>
    <t>52</t>
  </si>
  <si>
    <t>ロン</t>
  </si>
  <si>
    <t>放銃</t>
  </si>
  <si>
    <t>02</t>
  </si>
  <si>
    <t>チョンボ</t>
  </si>
  <si>
    <t>N</t>
  </si>
  <si>
    <t>T</t>
  </si>
  <si>
    <t>流局</t>
    <phoneticPr fontId="1"/>
  </si>
  <si>
    <t>流局</t>
    <phoneticPr fontId="1"/>
  </si>
  <si>
    <t>ただ</t>
  </si>
  <si>
    <t>ただ</t>
    <phoneticPr fontId="1"/>
  </si>
  <si>
    <t>いっしー</t>
    <phoneticPr fontId="1"/>
  </si>
  <si>
    <t>いっしー</t>
  </si>
  <si>
    <t>ぱぱ</t>
    <phoneticPr fontId="1"/>
  </si>
  <si>
    <t>ぱぱ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</si>
</sst>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-5000</v>
      </c>
      <c r="H4" s="9"/>
      <c r="I4" s="55">
        <v>0</v>
      </c>
      <c r="J4" s="21">
        <f>IF(COUNTA($F4,$K4,$P4)&gt;0,J3+SUM(G4:I4),"")</f>
        <v>30000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>IF($J4="","",ROUND(($J4-$J$3)/1000,1)+(_xlfn.RANK.AVG($J4,($J4,$O4,$T4),1)-2)*20)</f>
        <v>-25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147</v>
      </c>
      <c r="AZ4" s="47" t="s">
        <v>105</v>
      </c>
      <c r="BA4" s="48" t="s">
        <v>99</v>
      </c>
      <c r="BB4" s="48" t="s">
        <v>87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7700</v>
      </c>
      <c r="H5" s="9">
        <v>1000</v>
      </c>
      <c r="I5" s="55">
        <v>0</v>
      </c>
      <c r="J5" s="21">
        <f t="shared" ref="J5:J30" si="2">IF(COUNTA($F5,$K5,$P5)&gt;0,J4+SUM(G5:I5),"")</f>
        <v>38700</v>
      </c>
      <c r="K5" s="8" t="s">
        <v>145</v>
      </c>
      <c r="L5" s="9">
        <v>-4800</v>
      </c>
      <c r="M5" s="9">
        <v>-1000</v>
      </c>
      <c r="N5" s="55">
        <v>0</v>
      </c>
      <c r="O5" s="21">
        <f t="shared" ref="O5:O30" si="3">IF(COUNTA($F5,$K5,$P5)&gt;0,O4+SUM(L5:N5),"")</f>
        <v>37200</v>
      </c>
      <c r="P5" s="8" t="s">
        <v>145</v>
      </c>
      <c r="Q5" s="9">
        <v>-2900</v>
      </c>
      <c r="R5" s="9"/>
      <c r="S5" s="55">
        <v>0</v>
      </c>
      <c r="T5" s="21">
        <f t="shared" ref="T5:T30" si="4">IF(COUNTA($F5,$K5,$P5)&gt;0,T4+SUM(Q5:S5),"")</f>
        <v>29100</v>
      </c>
      <c r="U5" s="60">
        <f>IF($J5="","",ROUND(($J5-$J$3)/1000,1)+(_xlfn.RANK.AVG($J5,($J5,$O5,$T5),1)-2)*20)</f>
        <v>23.7</v>
      </c>
      <c r="V5" s="61">
        <f>IF($O5="","",ROUND(($O5-$O$3)/1000,1)+(_xlfn.RANK.AVG($O5,($J5,$O5,$T5),1)-2)*20)</f>
        <v>2.2000000000000002</v>
      </c>
      <c r="W5" s="62">
        <f>IF($T5="","",ROUND(($T5-$T$3)/1000,1)+(_xlfn.RANK.AVG($T5,($J5,$O5,$T5),1)-2)*20)</f>
        <v>-25.9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148</v>
      </c>
      <c r="AF5" s="48" t="s">
        <v>149</v>
      </c>
      <c r="AG5" s="48" t="s">
        <v>83</v>
      </c>
      <c r="AH5" s="48" t="s">
        <v>150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151</v>
      </c>
      <c r="G6" s="9">
        <v>5200</v>
      </c>
      <c r="H6" s="9"/>
      <c r="I6" s="55">
        <v>0</v>
      </c>
      <c r="J6" s="21">
        <f t="shared" si="2"/>
        <v>43900</v>
      </c>
      <c r="K6" s="8" t="s">
        <v>152</v>
      </c>
      <c r="L6" s="9">
        <v>-5200</v>
      </c>
      <c r="M6" s="9"/>
      <c r="N6" s="55">
        <v>0</v>
      </c>
      <c r="O6" s="21">
        <f t="shared" si="3"/>
        <v>32000</v>
      </c>
      <c r="P6" s="8"/>
      <c r="Q6" s="9"/>
      <c r="R6" s="9"/>
      <c r="S6" s="55"/>
      <c r="T6" s="21">
        <f t="shared" si="4"/>
        <v>29100</v>
      </c>
      <c r="U6" s="60">
        <f>IF($J6="","",ROUND(($J6-$J$3)/1000,1)+(_xlfn.RANK.AVG($J6,($J6,$O6,$T6),1)-2)*20)</f>
        <v>28.9</v>
      </c>
      <c r="V6" s="61">
        <f>IF($O6="","",ROUND(($O6-$O$3)/1000,1)+(_xlfn.RANK.AVG($O6,($J6,$O6,$T6),1)-2)*20)</f>
        <v>-3</v>
      </c>
      <c r="W6" s="62">
        <f>IF($T6="","",ROUND(($T6-$T$3)/1000,1)+(_xlfn.RANK.AVG($T6,($J6,$O6,$T6),1)-2)*20)</f>
        <v>-25.9</v>
      </c>
      <c r="Y6" s="8"/>
      <c r="Z6" s="41"/>
      <c r="AA6" s="32">
        <v>1</v>
      </c>
      <c r="AB6" s="32"/>
      <c r="AC6" s="32">
        <v>3</v>
      </c>
      <c r="AD6" s="36">
        <v>40</v>
      </c>
      <c r="AE6" s="47" t="s">
        <v>148</v>
      </c>
      <c r="AF6" s="48" t="s">
        <v>87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151</v>
      </c>
      <c r="G7" s="9">
        <v>24000</v>
      </c>
      <c r="H7" s="9"/>
      <c r="I7" s="55">
        <v>0</v>
      </c>
      <c r="J7" s="21">
        <f t="shared" si="2"/>
        <v>67900</v>
      </c>
      <c r="K7" s="8" t="s">
        <v>152</v>
      </c>
      <c r="L7" s="9">
        <v>-24000</v>
      </c>
      <c r="M7" s="9"/>
      <c r="N7" s="55">
        <v>0</v>
      </c>
      <c r="O7" s="21">
        <f t="shared" si="3"/>
        <v>8000</v>
      </c>
      <c r="P7" s="8"/>
      <c r="Q7" s="9"/>
      <c r="R7" s="9"/>
      <c r="S7" s="55"/>
      <c r="T7" s="21">
        <f t="shared" si="4"/>
        <v>29100</v>
      </c>
      <c r="U7" s="60">
        <f>IF($J7="","",ROUND(($J7-$J$3)/1000,1)+(_xlfn.RANK.AVG($J7,($J7,$O7,$T7),1)-2)*20)</f>
        <v>52.9</v>
      </c>
      <c r="V7" s="61">
        <f>IF($O7="","",ROUND(($O7-$O$3)/1000,1)+(_xlfn.RANK.AVG($O7,($J7,$O7,$T7),1)-2)*20)</f>
        <v>-47</v>
      </c>
      <c r="W7" s="62">
        <f>IF($T7="","",ROUND(($T7-$T$3)/1000,1)+(_xlfn.RANK.AVG($T7,($J7,$O7,$T7),1)-2)*20)</f>
        <v>-5.9</v>
      </c>
      <c r="Y7" s="8"/>
      <c r="Z7" s="41"/>
      <c r="AA7" s="32">
        <v>1</v>
      </c>
      <c r="AB7" s="32"/>
      <c r="AC7" s="32">
        <v>10</v>
      </c>
      <c r="AD7" s="36" t="s">
        <v>147</v>
      </c>
      <c r="AE7" s="47" t="s">
        <v>97</v>
      </c>
      <c r="AF7" s="48" t="s">
        <v>99</v>
      </c>
      <c r="AG7" s="48" t="s">
        <v>80</v>
      </c>
      <c r="AH7" s="48" t="s">
        <v>80</v>
      </c>
      <c r="AI7" s="48" t="s">
        <v>80</v>
      </c>
      <c r="AJ7" s="48" t="s">
        <v>80</v>
      </c>
      <c r="AK7" s="48" t="s">
        <v>80</v>
      </c>
      <c r="AL7" s="48" t="s">
        <v>87</v>
      </c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141</v>
      </c>
      <c r="F8" s="8"/>
      <c r="G8" s="9"/>
      <c r="H8" s="9"/>
      <c r="I8" s="55"/>
      <c r="J8" s="21">
        <f t="shared" si="2"/>
        <v>67900</v>
      </c>
      <c r="K8" s="8" t="s">
        <v>152</v>
      </c>
      <c r="L8" s="9">
        <v>-8000</v>
      </c>
      <c r="M8" s="9"/>
      <c r="N8" s="55">
        <v>-1000</v>
      </c>
      <c r="O8" s="21">
        <f t="shared" si="3"/>
        <v>-1000</v>
      </c>
      <c r="P8" s="8" t="s">
        <v>151</v>
      </c>
      <c r="Q8" s="9">
        <v>8000</v>
      </c>
      <c r="R8" s="9"/>
      <c r="S8" s="55">
        <v>1000</v>
      </c>
      <c r="T8" s="21">
        <f t="shared" si="4"/>
        <v>38100</v>
      </c>
      <c r="U8" s="60">
        <f>IF($J8="","",ROUND(($J8-$J$3)/1000,1)+(_xlfn.RANK.AVG($J8,($J8,$O8,$T8),1)-2)*20)</f>
        <v>52.9</v>
      </c>
      <c r="V8" s="61">
        <f>IF($O8="","",ROUND(($O8-$O$3)/1000,1)+(_xlfn.RANK.AVG($O8,($J8,$O8,$T8),1)-2)*20)</f>
        <v>-56</v>
      </c>
      <c r="W8" s="62">
        <f>IF($T8="","",ROUND(($T8-$T$3)/1000,1)+(_xlfn.RANK.AVG($T8,($J8,$O8,$T8),1)-2)*20)</f>
        <v>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147</v>
      </c>
      <c r="BU8" s="47" t="s">
        <v>148</v>
      </c>
      <c r="BV8" s="48" t="s">
        <v>85</v>
      </c>
      <c r="BW8" s="48" t="s">
        <v>80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07EF7-86BE-4A6F-9B6D-2D6E31F5EF2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151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26.2</v>
      </c>
      <c r="W4" s="62">
        <f>IF($T4="","",ROUND(($T4-$T$3)/1000,1)+(_xlfn.RANK.AVG($T4,($J4,$O4,$T4),1)-2)*20)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148</v>
      </c>
      <c r="BA4" s="48" t="s">
        <v>153</v>
      </c>
      <c r="BB4" s="48" t="s">
        <v>150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29800</v>
      </c>
      <c r="K5" s="8" t="s">
        <v>151</v>
      </c>
      <c r="L5" s="9">
        <v>12000</v>
      </c>
      <c r="M5" s="9"/>
      <c r="N5" s="55">
        <v>0</v>
      </c>
      <c r="O5" s="21">
        <f t="shared" ref="O5:O30" si="3">IF(COUNTA($F5,$K5,$P5)&gt;0,O4+SUM(L5:N5),"")</f>
        <v>53200</v>
      </c>
      <c r="P5" s="8" t="s">
        <v>152</v>
      </c>
      <c r="Q5" s="9">
        <v>-12000</v>
      </c>
      <c r="R5" s="9"/>
      <c r="S5" s="55">
        <v>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-5.2</v>
      </c>
      <c r="V5" s="61">
        <f>IF($O5="","",ROUND(($O5-$O$3)/1000,1)+(_xlfn.RANK.AVG($O5,($J5,$O5,$T5),1)-2)*20)</f>
        <v>38.200000000000003</v>
      </c>
      <c r="W5" s="62">
        <f>IF($T5="","",ROUND(($T5-$T$3)/1000,1)+(_xlfn.RANK.AVG($T5,($J5,$O5,$T5),1)-2)*20)</f>
        <v>-33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84</v>
      </c>
      <c r="BB5" s="48" t="s">
        <v>153</v>
      </c>
      <c r="BC5" s="48" t="s">
        <v>85</v>
      </c>
      <c r="BD5" s="48" t="s">
        <v>150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154</v>
      </c>
      <c r="G6" s="9">
        <v>-8000</v>
      </c>
      <c r="H6" s="9"/>
      <c r="I6" s="55"/>
      <c r="J6" s="21">
        <f t="shared" si="2"/>
        <v>21800</v>
      </c>
      <c r="K6" s="8" t="s">
        <v>154</v>
      </c>
      <c r="L6" s="9">
        <v>5000</v>
      </c>
      <c r="M6" s="9"/>
      <c r="N6" s="55"/>
      <c r="O6" s="21">
        <f t="shared" si="3"/>
        <v>58200</v>
      </c>
      <c r="P6" s="8" t="s">
        <v>154</v>
      </c>
      <c r="Q6" s="9">
        <v>3000</v>
      </c>
      <c r="R6" s="9"/>
      <c r="S6" s="55"/>
      <c r="T6" s="21">
        <f t="shared" si="4"/>
        <v>25000</v>
      </c>
      <c r="U6" s="60">
        <f>IF($J6="","",ROUND(($J6-$J$3)/1000,1)+(_xlfn.RANK.AVG($J6,($J6,$O6,$T6),1)-2)*20)</f>
        <v>-33.200000000000003</v>
      </c>
      <c r="V6" s="61">
        <f>IF($O6="","",ROUND(($O6-$O$3)/1000,1)+(_xlfn.RANK.AVG($O6,($J6,$O6,$T6),1)-2)*20)</f>
        <v>43.2</v>
      </c>
      <c r="W6" s="62">
        <f>IF($T6="","",ROUND(($T6-$T$3)/1000,1)+(_xlfn.RANK.AVG($T6,($J6,$O6,$T6),1)-2)*20)</f>
        <v>-10</v>
      </c>
      <c r="Y6" s="8"/>
      <c r="Z6" s="41">
        <v>1</v>
      </c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145</v>
      </c>
      <c r="G7" s="9">
        <v>-3000</v>
      </c>
      <c r="H7" s="9"/>
      <c r="I7" s="55">
        <v>-500</v>
      </c>
      <c r="J7" s="21">
        <f t="shared" si="2"/>
        <v>18300</v>
      </c>
      <c r="K7" s="8" t="s">
        <v>145</v>
      </c>
      <c r="L7" s="9">
        <v>-5000</v>
      </c>
      <c r="M7" s="9"/>
      <c r="N7" s="55">
        <v>-500</v>
      </c>
      <c r="O7" s="21">
        <f t="shared" si="3"/>
        <v>52700</v>
      </c>
      <c r="P7" s="8" t="s">
        <v>146</v>
      </c>
      <c r="Q7" s="9">
        <v>8000</v>
      </c>
      <c r="R7" s="9"/>
      <c r="S7" s="55">
        <v>1000</v>
      </c>
      <c r="T7" s="21">
        <f t="shared" si="4"/>
        <v>34000</v>
      </c>
      <c r="U7" s="60">
        <f>IF($J7="","",ROUND(($J7-$J$3)/1000,1)+(_xlfn.RANK.AVG($J7,($J7,$O7,$T7),1)-2)*20)</f>
        <v>-36.700000000000003</v>
      </c>
      <c r="V7" s="61">
        <f>IF($O7="","",ROUND(($O7-$O$3)/1000,1)+(_xlfn.RANK.AVG($O7,($J7,$O7,$T7),1)-2)*20)</f>
        <v>37.700000000000003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153</v>
      </c>
      <c r="BX7" s="48" t="s">
        <v>150</v>
      </c>
      <c r="BY7" s="48" t="s">
        <v>86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12000</v>
      </c>
      <c r="H8" s="9"/>
      <c r="I8" s="55">
        <v>0</v>
      </c>
      <c r="J8" s="21">
        <f t="shared" si="2"/>
        <v>30300</v>
      </c>
      <c r="K8" s="8" t="s">
        <v>152</v>
      </c>
      <c r="L8" s="9">
        <v>-12000</v>
      </c>
      <c r="M8" s="9"/>
      <c r="N8" s="55">
        <v>0</v>
      </c>
      <c r="O8" s="21">
        <f t="shared" si="3"/>
        <v>40700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-24.7</v>
      </c>
      <c r="V8" s="61">
        <f>IF($O8="","",ROUND(($O8-$O$3)/1000,1)+(_xlfn.RANK.AVG($O8,($J8,$O8,$T8),1)-2)*20)</f>
        <v>25.7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102</v>
      </c>
      <c r="AG8" s="48" t="s">
        <v>150</v>
      </c>
      <c r="AH8" s="48" t="s">
        <v>81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28800</v>
      </c>
      <c r="K9" s="8" t="s">
        <v>157</v>
      </c>
      <c r="L9" s="9">
        <v>3000</v>
      </c>
      <c r="M9" s="9"/>
      <c r="N9" s="55"/>
      <c r="O9" s="21">
        <f t="shared" si="3"/>
        <v>43700</v>
      </c>
      <c r="P9" s="8" t="s">
        <v>157</v>
      </c>
      <c r="Q9" s="9">
        <v>-1500</v>
      </c>
      <c r="R9" s="9"/>
      <c r="S9" s="55"/>
      <c r="T9" s="21">
        <f t="shared" si="4"/>
        <v>32500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28.7</v>
      </c>
      <c r="W9" s="62">
        <f>IF($T9="","",ROUND(($T9-$T$3)/1000,1)+(_xlfn.RANK.AVG($T9,($J9,$O9,$T9),1)-2)*20)</f>
        <v>-2.5</v>
      </c>
      <c r="Y9" s="8" t="s">
        <v>155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155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157</v>
      </c>
      <c r="G10" s="9">
        <v>0</v>
      </c>
      <c r="H10" s="9"/>
      <c r="I10" s="55"/>
      <c r="J10" s="21">
        <f t="shared" si="2"/>
        <v>28800</v>
      </c>
      <c r="K10" s="8" t="s">
        <v>157</v>
      </c>
      <c r="L10" s="9">
        <v>0</v>
      </c>
      <c r="M10" s="9">
        <v>-1000</v>
      </c>
      <c r="N10" s="55"/>
      <c r="O10" s="21">
        <f t="shared" si="3"/>
        <v>42700</v>
      </c>
      <c r="P10" s="8" t="s">
        <v>157</v>
      </c>
      <c r="Q10" s="9">
        <v>0</v>
      </c>
      <c r="R10" s="9"/>
      <c r="S10" s="55"/>
      <c r="T10" s="21">
        <f t="shared" si="4"/>
        <v>32500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27.7</v>
      </c>
      <c r="W10" s="62">
        <f>IF($T10="","",ROUND(($T10-$T$3)/1000,1)+(_xlfn.RANK.AVG($T10,($J10,$O10,$T10),1)-2)*20)</f>
        <v>-2.5</v>
      </c>
      <c r="Y10" s="8" t="s">
        <v>156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156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139</v>
      </c>
      <c r="F11" s="8" t="s">
        <v>157</v>
      </c>
      <c r="G11" s="9">
        <v>3000</v>
      </c>
      <c r="H11" s="9">
        <v>-1000</v>
      </c>
      <c r="I11" s="55"/>
      <c r="J11" s="21">
        <f t="shared" si="2"/>
        <v>30800</v>
      </c>
      <c r="K11" s="8" t="s">
        <v>157</v>
      </c>
      <c r="L11" s="9">
        <v>-1500</v>
      </c>
      <c r="M11" s="9"/>
      <c r="N11" s="55"/>
      <c r="O11" s="21">
        <f t="shared" si="3"/>
        <v>41200</v>
      </c>
      <c r="P11" s="8" t="s">
        <v>157</v>
      </c>
      <c r="Q11" s="9">
        <v>-1500</v>
      </c>
      <c r="R11" s="9"/>
      <c r="S11" s="55"/>
      <c r="T11" s="21">
        <f t="shared" si="4"/>
        <v>31000</v>
      </c>
      <c r="U11" s="60">
        <f>IF($J11="","",ROUND(($J11-$J$3)/1000,1)+(_xlfn.RANK.AVG($J11,($J11,$O11,$T11),1)-2)*20)</f>
        <v>-24.2</v>
      </c>
      <c r="V11" s="61">
        <f>IF($O11="","",ROUND(($O11-$O$3)/1000,1)+(_xlfn.RANK.AVG($O11,($J11,$O11,$T11),1)-2)*20)</f>
        <v>26.2</v>
      </c>
      <c r="W11" s="62">
        <f>IF($T11="","",ROUND(($T11-$T$3)/1000,1)+(_xlfn.RANK.AVG($T11,($J11,$O11,$T11),1)-2)*20)</f>
        <v>-4</v>
      </c>
      <c r="Y11" s="8" t="s">
        <v>156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2</v>
      </c>
      <c r="E12" s="4" t="s">
        <v>143</v>
      </c>
      <c r="F12" s="8" t="s">
        <v>151</v>
      </c>
      <c r="G12" s="9">
        <v>1300</v>
      </c>
      <c r="H12" s="9">
        <v>2000</v>
      </c>
      <c r="I12" s="55">
        <v>3000</v>
      </c>
      <c r="J12" s="21">
        <f t="shared" si="2"/>
        <v>37100</v>
      </c>
      <c r="K12" s="8" t="s">
        <v>152</v>
      </c>
      <c r="L12" s="9">
        <v>-1300</v>
      </c>
      <c r="M12" s="9"/>
      <c r="N12" s="55">
        <v>-3000</v>
      </c>
      <c r="O12" s="21">
        <f t="shared" si="3"/>
        <v>36900</v>
      </c>
      <c r="P12" s="8"/>
      <c r="Q12" s="9"/>
      <c r="R12" s="9"/>
      <c r="S12" s="55"/>
      <c r="T12" s="21">
        <f t="shared" si="4"/>
        <v>31000</v>
      </c>
      <c r="U12" s="60">
        <f>IF($J12="","",ROUND(($J12-$J$3)/1000,1)+(_xlfn.RANK.AVG($J12,($J12,$O12,$T12),1)-2)*20)</f>
        <v>22.1</v>
      </c>
      <c r="V12" s="61">
        <f>IF($O12="","",ROUND(($O12-$O$3)/1000,1)+(_xlfn.RANK.AVG($O12,($J12,$O12,$T12),1)-2)*20)</f>
        <v>1.9</v>
      </c>
      <c r="W12" s="62">
        <f>IF($T12="","",ROUND(($T12-$T$3)/1000,1)+(_xlfn.RANK.AVG($T12,($J12,$O12,$T12),1)-2)*20)</f>
        <v>-24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1334CB68-8130-4AD0-99E4-8F8624D9747E}">
      <formula1>$U$2:$W$2</formula1>
    </dataValidation>
    <dataValidation type="list" showInputMessage="1" showErrorMessage="1" sqref="K4:K30 P4:P30 F4:F30" xr:uid="{07B0E7FE-436C-41A9-9ED7-3B17F59FCA9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E66AC-57AE-4CCB-9D46-A1A1F539953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151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26.2</v>
      </c>
      <c r="W4" s="62">
        <f>IF($T4="","",ROUND(($T4-$T$3)/1000,1)+(_xlfn.RANK.AVG($T4,($J4,$O4,$T4),1)-2)*20)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148</v>
      </c>
      <c r="BA4" s="48" t="s">
        <v>153</v>
      </c>
      <c r="BB4" s="48" t="s">
        <v>150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29800</v>
      </c>
      <c r="K5" s="8" t="s">
        <v>151</v>
      </c>
      <c r="L5" s="9">
        <v>12000</v>
      </c>
      <c r="M5" s="9"/>
      <c r="N5" s="55">
        <v>0</v>
      </c>
      <c r="O5" s="21">
        <f t="shared" ref="O5:O30" si="3">IF(COUNTA($F5,$K5,$P5)&gt;0,O4+SUM(L5:N5),"")</f>
        <v>53200</v>
      </c>
      <c r="P5" s="8" t="s">
        <v>152</v>
      </c>
      <c r="Q5" s="9">
        <v>-12000</v>
      </c>
      <c r="R5" s="9"/>
      <c r="S5" s="55">
        <v>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-5.2</v>
      </c>
      <c r="V5" s="61">
        <f>IF($O5="","",ROUND(($O5-$O$3)/1000,1)+(_xlfn.RANK.AVG($O5,($J5,$O5,$T5),1)-2)*20)</f>
        <v>38.200000000000003</v>
      </c>
      <c r="W5" s="62">
        <f>IF($T5="","",ROUND(($T5-$T$3)/1000,1)+(_xlfn.RANK.AVG($T5,($J5,$O5,$T5),1)-2)*20)</f>
        <v>-33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84</v>
      </c>
      <c r="BB5" s="48" t="s">
        <v>153</v>
      </c>
      <c r="BC5" s="48" t="s">
        <v>85</v>
      </c>
      <c r="BD5" s="48" t="s">
        <v>150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154</v>
      </c>
      <c r="G6" s="9">
        <v>-8000</v>
      </c>
      <c r="H6" s="9"/>
      <c r="I6" s="55"/>
      <c r="J6" s="21">
        <f t="shared" si="2"/>
        <v>21800</v>
      </c>
      <c r="K6" s="8" t="s">
        <v>154</v>
      </c>
      <c r="L6" s="9">
        <v>5000</v>
      </c>
      <c r="M6" s="9"/>
      <c r="N6" s="55"/>
      <c r="O6" s="21">
        <f t="shared" si="3"/>
        <v>58200</v>
      </c>
      <c r="P6" s="8" t="s">
        <v>154</v>
      </c>
      <c r="Q6" s="9">
        <v>3000</v>
      </c>
      <c r="R6" s="9"/>
      <c r="S6" s="55"/>
      <c r="T6" s="21">
        <f t="shared" si="4"/>
        <v>25000</v>
      </c>
      <c r="U6" s="60">
        <f>IF($J6="","",ROUND(($J6-$J$3)/1000,1)+(_xlfn.RANK.AVG($J6,($J6,$O6,$T6),1)-2)*20)</f>
        <v>-33.200000000000003</v>
      </c>
      <c r="V6" s="61">
        <f>IF($O6="","",ROUND(($O6-$O$3)/1000,1)+(_xlfn.RANK.AVG($O6,($J6,$O6,$T6),1)-2)*20)</f>
        <v>43.2</v>
      </c>
      <c r="W6" s="62">
        <f>IF($T6="","",ROUND(($T6-$T$3)/1000,1)+(_xlfn.RANK.AVG($T6,($J6,$O6,$T6),1)-2)*20)</f>
        <v>-10</v>
      </c>
      <c r="Y6" s="8"/>
      <c r="Z6" s="41">
        <v>1</v>
      </c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145</v>
      </c>
      <c r="G7" s="9">
        <v>-3000</v>
      </c>
      <c r="H7" s="9"/>
      <c r="I7" s="55">
        <v>-500</v>
      </c>
      <c r="J7" s="21">
        <f t="shared" si="2"/>
        <v>18300</v>
      </c>
      <c r="K7" s="8" t="s">
        <v>145</v>
      </c>
      <c r="L7" s="9">
        <v>-5000</v>
      </c>
      <c r="M7" s="9"/>
      <c r="N7" s="55">
        <v>-500</v>
      </c>
      <c r="O7" s="21">
        <f t="shared" si="3"/>
        <v>52700</v>
      </c>
      <c r="P7" s="8" t="s">
        <v>146</v>
      </c>
      <c r="Q7" s="9">
        <v>8000</v>
      </c>
      <c r="R7" s="9"/>
      <c r="S7" s="55">
        <v>1000</v>
      </c>
      <c r="T7" s="21">
        <f t="shared" si="4"/>
        <v>34000</v>
      </c>
      <c r="U7" s="60">
        <f>IF($J7="","",ROUND(($J7-$J$3)/1000,1)+(_xlfn.RANK.AVG($J7,($J7,$O7,$T7),1)-2)*20)</f>
        <v>-36.700000000000003</v>
      </c>
      <c r="V7" s="61">
        <f>IF($O7="","",ROUND(($O7-$O$3)/1000,1)+(_xlfn.RANK.AVG($O7,($J7,$O7,$T7),1)-2)*20)</f>
        <v>37.700000000000003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153</v>
      </c>
      <c r="BX7" s="48" t="s">
        <v>150</v>
      </c>
      <c r="BY7" s="48" t="s">
        <v>86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12000</v>
      </c>
      <c r="H8" s="9"/>
      <c r="I8" s="55">
        <v>0</v>
      </c>
      <c r="J8" s="21">
        <f t="shared" si="2"/>
        <v>30300</v>
      </c>
      <c r="K8" s="8" t="s">
        <v>152</v>
      </c>
      <c r="L8" s="9">
        <v>-12000</v>
      </c>
      <c r="M8" s="9"/>
      <c r="N8" s="55">
        <v>0</v>
      </c>
      <c r="O8" s="21">
        <f t="shared" si="3"/>
        <v>40700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-24.7</v>
      </c>
      <c r="V8" s="61">
        <f>IF($O8="","",ROUND(($O8-$O$3)/1000,1)+(_xlfn.RANK.AVG($O8,($J8,$O8,$T8),1)-2)*20)</f>
        <v>25.7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102</v>
      </c>
      <c r="AG8" s="48" t="s">
        <v>150</v>
      </c>
      <c r="AH8" s="48" t="s">
        <v>81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28800</v>
      </c>
      <c r="K9" s="8" t="s">
        <v>157</v>
      </c>
      <c r="L9" s="9">
        <v>3000</v>
      </c>
      <c r="M9" s="9"/>
      <c r="N9" s="55"/>
      <c r="O9" s="21">
        <f t="shared" si="3"/>
        <v>43700</v>
      </c>
      <c r="P9" s="8" t="s">
        <v>157</v>
      </c>
      <c r="Q9" s="9">
        <v>-1500</v>
      </c>
      <c r="R9" s="9"/>
      <c r="S9" s="55"/>
      <c r="T9" s="21">
        <f t="shared" si="4"/>
        <v>32500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28.7</v>
      </c>
      <c r="W9" s="62">
        <f>IF($T9="","",ROUND(($T9-$T$3)/1000,1)+(_xlfn.RANK.AVG($T9,($J9,$O9,$T9),1)-2)*20)</f>
        <v>-2.5</v>
      </c>
      <c r="Y9" s="8" t="s">
        <v>155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155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157</v>
      </c>
      <c r="G10" s="9">
        <v>0</v>
      </c>
      <c r="H10" s="9"/>
      <c r="I10" s="55"/>
      <c r="J10" s="21">
        <f t="shared" si="2"/>
        <v>28800</v>
      </c>
      <c r="K10" s="8" t="s">
        <v>157</v>
      </c>
      <c r="L10" s="9">
        <v>0</v>
      </c>
      <c r="M10" s="9">
        <v>-1000</v>
      </c>
      <c r="N10" s="55"/>
      <c r="O10" s="21">
        <f t="shared" si="3"/>
        <v>42700</v>
      </c>
      <c r="P10" s="8" t="s">
        <v>157</v>
      </c>
      <c r="Q10" s="9">
        <v>0</v>
      </c>
      <c r="R10" s="9"/>
      <c r="S10" s="55"/>
      <c r="T10" s="21">
        <f t="shared" si="4"/>
        <v>32500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27.7</v>
      </c>
      <c r="W10" s="62">
        <f>IF($T10="","",ROUND(($T10-$T$3)/1000,1)+(_xlfn.RANK.AVG($T10,($J10,$O10,$T10),1)-2)*20)</f>
        <v>-2.5</v>
      </c>
      <c r="Y10" s="8" t="s">
        <v>156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156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139</v>
      </c>
      <c r="F11" s="8" t="s">
        <v>157</v>
      </c>
      <c r="G11" s="9">
        <v>3000</v>
      </c>
      <c r="H11" s="9">
        <v>-1000</v>
      </c>
      <c r="I11" s="55"/>
      <c r="J11" s="21">
        <f t="shared" si="2"/>
        <v>30800</v>
      </c>
      <c r="K11" s="8" t="s">
        <v>157</v>
      </c>
      <c r="L11" s="9">
        <v>-1500</v>
      </c>
      <c r="M11" s="9"/>
      <c r="N11" s="55"/>
      <c r="O11" s="21">
        <f t="shared" si="3"/>
        <v>41200</v>
      </c>
      <c r="P11" s="8" t="s">
        <v>157</v>
      </c>
      <c r="Q11" s="9">
        <v>-1500</v>
      </c>
      <c r="R11" s="9"/>
      <c r="S11" s="55"/>
      <c r="T11" s="21">
        <f t="shared" si="4"/>
        <v>31000</v>
      </c>
      <c r="U11" s="60">
        <f>IF($J11="","",ROUND(($J11-$J$3)/1000,1)+(_xlfn.RANK.AVG($J11,($J11,$O11,$T11),1)-2)*20)</f>
        <v>-24.2</v>
      </c>
      <c r="V11" s="61">
        <f>IF($O11="","",ROUND(($O11-$O$3)/1000,1)+(_xlfn.RANK.AVG($O11,($J11,$O11,$T11),1)-2)*20)</f>
        <v>26.2</v>
      </c>
      <c r="W11" s="62">
        <f>IF($T11="","",ROUND(($T11-$T$3)/1000,1)+(_xlfn.RANK.AVG($T11,($J11,$O11,$T11),1)-2)*20)</f>
        <v>-4</v>
      </c>
      <c r="Y11" s="8" t="s">
        <v>156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2</v>
      </c>
      <c r="E12" s="4" t="s">
        <v>143</v>
      </c>
      <c r="F12" s="8" t="s">
        <v>151</v>
      </c>
      <c r="G12" s="9">
        <v>1300</v>
      </c>
      <c r="H12" s="9">
        <v>2000</v>
      </c>
      <c r="I12" s="55">
        <v>3000</v>
      </c>
      <c r="J12" s="21">
        <f t="shared" si="2"/>
        <v>37100</v>
      </c>
      <c r="K12" s="8" t="s">
        <v>152</v>
      </c>
      <c r="L12" s="9">
        <v>-1300</v>
      </c>
      <c r="M12" s="9"/>
      <c r="N12" s="55">
        <v>-3000</v>
      </c>
      <c r="O12" s="21">
        <f t="shared" si="3"/>
        <v>36900</v>
      </c>
      <c r="P12" s="8"/>
      <c r="Q12" s="9"/>
      <c r="R12" s="9"/>
      <c r="S12" s="55"/>
      <c r="T12" s="21">
        <f t="shared" si="4"/>
        <v>31000</v>
      </c>
      <c r="U12" s="60">
        <f>IF($J12="","",ROUND(($J12-$J$3)/1000,1)+(_xlfn.RANK.AVG($J12,($J12,$O12,$T12),1)-2)*20)</f>
        <v>22.1</v>
      </c>
      <c r="V12" s="61">
        <f>IF($O12="","",ROUND(($O12-$O$3)/1000,1)+(_xlfn.RANK.AVG($O12,($J12,$O12,$T12),1)-2)*20)</f>
        <v>1.9</v>
      </c>
      <c r="W12" s="62">
        <f>IF($T12="","",ROUND(($T12-$T$3)/1000,1)+(_xlfn.RANK.AVG($T12,($J12,$O12,$T12),1)-2)*20)</f>
        <v>-24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AE9A4FE7-0945-4C22-A533-CEFC10839FC1}">
      <formula1>"ロン,ツモ,放銃,ツモ支払,流局,チョンボ"</formula1>
    </dataValidation>
    <dataValidation type="list" allowBlank="1" showInputMessage="1" showErrorMessage="1" sqref="E4:E30" xr:uid="{CE18D37F-A5E5-4A2D-B911-B38A330C42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9BBED-8F57-4FDD-8E37-D5A6982C789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>IF(COUNTA($F4,$K4,$P4)&gt;0,J3+SUM(G4:I4),"")</f>
        <v>35000</v>
      </c>
      <c r="K4" s="8" t="s">
        <v>152</v>
      </c>
      <c r="L4" s="9">
        <v>-11600</v>
      </c>
      <c r="M4" s="9">
        <v>-1000</v>
      </c>
      <c r="N4" s="55">
        <v>0</v>
      </c>
      <c r="O4" s="21">
        <f>IF(COUNTA($F4,$K4,$P4)&gt;0,O3+SUM(L4:N4),"")</f>
        <v>22400</v>
      </c>
      <c r="P4" s="8" t="s">
        <v>151</v>
      </c>
      <c r="Q4" s="9">
        <v>11600</v>
      </c>
      <c r="R4" s="9">
        <v>1000</v>
      </c>
      <c r="S4" s="55">
        <v>0</v>
      </c>
      <c r="T4" s="21">
        <f>IF(COUNTA($F4,$K4,$P4)&gt;0,T3+SUM(Q4:S4),"")</f>
        <v>47600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-32.6</v>
      </c>
      <c r="W4" s="62">
        <f>IF($T4="","",ROUND(($T4-$T$3)/1000,1)+(_xlfn.RANK.AVG($T4,($J4,$O4,$T4),1)-2)*20)</f>
        <v>32.6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30</v>
      </c>
      <c r="BU4" s="47" t="s">
        <v>148</v>
      </c>
      <c r="BV4" s="48" t="s">
        <v>153</v>
      </c>
      <c r="BW4" s="48" t="s">
        <v>86</v>
      </c>
      <c r="BX4" s="48" t="s">
        <v>84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-3000</v>
      </c>
      <c r="H5" s="9"/>
      <c r="I5" s="55">
        <v>-500</v>
      </c>
      <c r="J5" s="21">
        <f t="shared" ref="J5:J30" si="2">IF(COUNTA($F5,$K5,$P5)&gt;0,J4+SUM(G5:I5),"")</f>
        <v>31500</v>
      </c>
      <c r="K5" s="8" t="s">
        <v>146</v>
      </c>
      <c r="L5" s="9">
        <v>8000</v>
      </c>
      <c r="M5" s="9">
        <v>1000</v>
      </c>
      <c r="N5" s="55">
        <v>1000</v>
      </c>
      <c r="O5" s="21">
        <f t="shared" ref="O5:O30" si="3">IF(COUNTA($F5,$K5,$P5)&gt;0,O4+SUM(L5:N5),"")</f>
        <v>32400</v>
      </c>
      <c r="P5" s="8" t="s">
        <v>145</v>
      </c>
      <c r="Q5" s="9">
        <v>-5000</v>
      </c>
      <c r="R5" s="9">
        <v>-1000</v>
      </c>
      <c r="S5" s="55">
        <v>-500</v>
      </c>
      <c r="T5" s="21">
        <f t="shared" ref="T5:T30" si="4">IF(COUNTA($F5,$K5,$P5)&gt;0,T4+SUM(Q5:S5),"")</f>
        <v>41100</v>
      </c>
      <c r="U5" s="60">
        <f>IF($J5="","",ROUND(($J5-$J$3)/1000,1)+(_xlfn.RANK.AVG($J5,($J5,$O5,$T5),1)-2)*20)</f>
        <v>-23.5</v>
      </c>
      <c r="V5" s="61">
        <f>IF($O5="","",ROUND(($O5-$O$3)/1000,1)+(_xlfn.RANK.AVG($O5,($J5,$O5,$T5),1)-2)*20)</f>
        <v>-2.6</v>
      </c>
      <c r="W5" s="62">
        <f>IF($T5="","",ROUND(($T5-$T$3)/1000,1)+(_xlfn.RANK.AVG($T5,($J5,$O5,$T5),1)-2)*20)</f>
        <v>26.1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83</v>
      </c>
      <c r="BB5" s="48" t="s">
        <v>80</v>
      </c>
      <c r="BC5" s="48" t="s">
        <v>80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152</v>
      </c>
      <c r="G6" s="9">
        <v>-12000</v>
      </c>
      <c r="H6" s="9"/>
      <c r="I6" s="55">
        <v>0</v>
      </c>
      <c r="J6" s="21">
        <f t="shared" si="2"/>
        <v>19500</v>
      </c>
      <c r="K6" s="8"/>
      <c r="L6" s="9"/>
      <c r="M6" s="9"/>
      <c r="N6" s="55"/>
      <c r="O6" s="21">
        <f t="shared" si="3"/>
        <v>32400</v>
      </c>
      <c r="P6" s="8" t="s">
        <v>151</v>
      </c>
      <c r="Q6" s="9">
        <v>12000</v>
      </c>
      <c r="R6" s="9"/>
      <c r="S6" s="55">
        <v>0</v>
      </c>
      <c r="T6" s="21">
        <f t="shared" si="4"/>
        <v>53100</v>
      </c>
      <c r="U6" s="60">
        <f>IF($J6="","",ROUND(($J6-$J$3)/1000,1)+(_xlfn.RANK.AVG($J6,($J6,$O6,$T6),1)-2)*20)</f>
        <v>-35.5</v>
      </c>
      <c r="V6" s="61">
        <f>IF($O6="","",ROUND(($O6-$O$3)/1000,1)+(_xlfn.RANK.AVG($O6,($J6,$O6,$T6),1)-2)*20)</f>
        <v>-2.6</v>
      </c>
      <c r="W6" s="62">
        <f>IF($T6="","",ROUND(($T6-$T$3)/1000,1)+(_xlfn.RANK.AVG($T6,($J6,$O6,$T6),1)-2)*20)</f>
        <v>38.1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147</v>
      </c>
      <c r="BU6" s="47" t="s">
        <v>148</v>
      </c>
      <c r="BV6" s="48" t="s">
        <v>97</v>
      </c>
      <c r="BW6" s="48" t="s">
        <v>99</v>
      </c>
      <c r="BX6" s="48" t="s">
        <v>87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19500</v>
      </c>
      <c r="K7" s="8" t="s">
        <v>152</v>
      </c>
      <c r="L7" s="9">
        <v>-8000</v>
      </c>
      <c r="M7" s="9">
        <v>-1000</v>
      </c>
      <c r="N7" s="55">
        <v>0</v>
      </c>
      <c r="O7" s="21">
        <f t="shared" si="3"/>
        <v>23400</v>
      </c>
      <c r="P7" s="8" t="s">
        <v>151</v>
      </c>
      <c r="Q7" s="9">
        <v>8000</v>
      </c>
      <c r="R7" s="9">
        <v>1000</v>
      </c>
      <c r="S7" s="55">
        <v>0</v>
      </c>
      <c r="T7" s="21">
        <f t="shared" si="4"/>
        <v>62100</v>
      </c>
      <c r="U7" s="60">
        <f>IF($J7="","",ROUND(($J7-$J$3)/1000,1)+(_xlfn.RANK.AVG($J7,($J7,$O7,$T7),1)-2)*20)</f>
        <v>-35.5</v>
      </c>
      <c r="V7" s="61">
        <f>IF($O7="","",ROUND(($O7-$O$3)/1000,1)+(_xlfn.RANK.AVG($O7,($J7,$O7,$T7),1)-2)*20)</f>
        <v>-11.6</v>
      </c>
      <c r="W7" s="62">
        <f>IF($T7="","",ROUND(($T7-$T$3)/1000,1)+(_xlfn.RANK.AVG($T7,($J7,$O7,$T7),1)-2)*20)</f>
        <v>47.1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86</v>
      </c>
      <c r="BW7" s="48" t="s">
        <v>84</v>
      </c>
      <c r="BX7" s="48" t="s">
        <v>150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/>
      <c r="G8" s="9"/>
      <c r="H8" s="9"/>
      <c r="I8" s="55"/>
      <c r="J8" s="21">
        <f t="shared" si="2"/>
        <v>19500</v>
      </c>
      <c r="K8" s="8" t="s">
        <v>152</v>
      </c>
      <c r="L8" s="9">
        <v>-7700</v>
      </c>
      <c r="M8" s="9"/>
      <c r="N8" s="55">
        <v>0</v>
      </c>
      <c r="O8" s="21">
        <f t="shared" si="3"/>
        <v>15700</v>
      </c>
      <c r="P8" s="8" t="s">
        <v>151</v>
      </c>
      <c r="Q8" s="9">
        <v>7700</v>
      </c>
      <c r="R8" s="9"/>
      <c r="S8" s="55">
        <v>0</v>
      </c>
      <c r="T8" s="21">
        <f t="shared" si="4"/>
        <v>69800</v>
      </c>
      <c r="U8" s="60">
        <f>IF($J8="","",ROUND(($J8-$J$3)/1000,1)+(_xlfn.RANK.AVG($J8,($J8,$O8,$T8),1)-2)*20)</f>
        <v>-15.5</v>
      </c>
      <c r="V8" s="61">
        <f>IF($O8="","",ROUND(($O8-$O$3)/1000,1)+(_xlfn.RANK.AVG($O8,($J8,$O8,$T8),1)-2)*20)</f>
        <v>-39.299999999999997</v>
      </c>
      <c r="W8" s="62">
        <f>IF($T8="","",ROUND(($T8-$T$3)/1000,1)+(_xlfn.RANK.AVG($T8,($J8,$O8,$T8),1)-2)*20)</f>
        <v>54.8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3</v>
      </c>
      <c r="BT8" s="36">
        <v>40</v>
      </c>
      <c r="BU8" s="47" t="s">
        <v>99</v>
      </c>
      <c r="BV8" s="48" t="s">
        <v>87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143</v>
      </c>
      <c r="F9" s="8"/>
      <c r="G9" s="9"/>
      <c r="H9" s="9"/>
      <c r="I9" s="55"/>
      <c r="J9" s="21">
        <f t="shared" si="2"/>
        <v>19500</v>
      </c>
      <c r="K9" s="8" t="s">
        <v>151</v>
      </c>
      <c r="L9" s="9">
        <v>12000</v>
      </c>
      <c r="M9" s="9">
        <v>1000</v>
      </c>
      <c r="N9" s="55">
        <v>1000</v>
      </c>
      <c r="O9" s="21">
        <f t="shared" si="3"/>
        <v>29700</v>
      </c>
      <c r="P9" s="8" t="s">
        <v>152</v>
      </c>
      <c r="Q9" s="9">
        <v>-12000</v>
      </c>
      <c r="R9" s="9">
        <v>-1000</v>
      </c>
      <c r="S9" s="55">
        <v>-1000</v>
      </c>
      <c r="T9" s="21">
        <f t="shared" si="4"/>
        <v>55800</v>
      </c>
      <c r="U9" s="60">
        <f>IF($J9="","",ROUND(($J9-$J$3)/1000,1)+(_xlfn.RANK.AVG($J9,($J9,$O9,$T9),1)-2)*20)</f>
        <v>-35.5</v>
      </c>
      <c r="V9" s="61">
        <f>IF($O9="","",ROUND(($O9-$O$3)/1000,1)+(_xlfn.RANK.AVG($O9,($J9,$O9,$T9),1)-2)*20)</f>
        <v>-5.3</v>
      </c>
      <c r="W9" s="62">
        <f>IF($T9="","",ROUND(($T9-$T$3)/1000,1)+(_xlfn.RANK.AVG($T9,($J9,$O9,$T9),1)-2)*20)</f>
        <v>40.799999999999997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147</v>
      </c>
      <c r="AZ9" s="47" t="s">
        <v>148</v>
      </c>
      <c r="BA9" s="48" t="s">
        <v>86</v>
      </c>
      <c r="BB9" s="48" t="s">
        <v>80</v>
      </c>
      <c r="BC9" s="48" t="s">
        <v>80</v>
      </c>
      <c r="BD9" s="48" t="s">
        <v>81</v>
      </c>
      <c r="BE9" s="48" t="s">
        <v>81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151</v>
      </c>
      <c r="G10" s="9">
        <v>18000</v>
      </c>
      <c r="H10" s="9">
        <v>2000</v>
      </c>
      <c r="I10" s="55">
        <v>0</v>
      </c>
      <c r="J10" s="21">
        <f t="shared" si="2"/>
        <v>39500</v>
      </c>
      <c r="K10" s="8"/>
      <c r="L10" s="9"/>
      <c r="M10" s="9">
        <v>-1000</v>
      </c>
      <c r="N10" s="55"/>
      <c r="O10" s="21">
        <f t="shared" si="3"/>
        <v>28700</v>
      </c>
      <c r="P10" s="8" t="s">
        <v>152</v>
      </c>
      <c r="Q10" s="9">
        <v>-18000</v>
      </c>
      <c r="R10" s="9">
        <v>-1000</v>
      </c>
      <c r="S10" s="55">
        <v>0</v>
      </c>
      <c r="T10" s="21">
        <f t="shared" si="4"/>
        <v>36800</v>
      </c>
      <c r="U10" s="60">
        <f>IF($J10="","",ROUND(($J10-$J$3)/1000,1)+(_xlfn.RANK.AVG($J10,($J10,$O10,$T10),1)-2)*20)</f>
        <v>24.5</v>
      </c>
      <c r="V10" s="61">
        <f>IF($O10="","",ROUND(($O10-$O$3)/1000,1)+(_xlfn.RANK.AVG($O10,($J10,$O10,$T10),1)-2)*20)</f>
        <v>-26.3</v>
      </c>
      <c r="W10" s="62">
        <f>IF($T10="","",ROUND(($T10-$T$3)/1000,1)+(_xlfn.RANK.AVG($T10,($J10,$O10,$T10),1)-2)*20)</f>
        <v>1.8</v>
      </c>
      <c r="Y10" s="8"/>
      <c r="Z10" s="41"/>
      <c r="AA10" s="32"/>
      <c r="AB10" s="32"/>
      <c r="AC10" s="32">
        <v>7</v>
      </c>
      <c r="AD10" s="36" t="s">
        <v>147</v>
      </c>
      <c r="AE10" s="47" t="s">
        <v>85</v>
      </c>
      <c r="AF10" s="48" t="s">
        <v>107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141</v>
      </c>
      <c r="F11" s="8"/>
      <c r="G11" s="9"/>
      <c r="H11" s="9">
        <v>-1000</v>
      </c>
      <c r="I11" s="55"/>
      <c r="J11" s="21">
        <f t="shared" si="2"/>
        <v>38500</v>
      </c>
      <c r="K11" s="8" t="s">
        <v>152</v>
      </c>
      <c r="L11" s="9">
        <v>-5200</v>
      </c>
      <c r="M11" s="9"/>
      <c r="N11" s="55">
        <v>-1000</v>
      </c>
      <c r="O11" s="21">
        <f t="shared" si="3"/>
        <v>22500</v>
      </c>
      <c r="P11" s="8" t="s">
        <v>151</v>
      </c>
      <c r="Q11" s="9">
        <v>5200</v>
      </c>
      <c r="R11" s="9">
        <v>1000</v>
      </c>
      <c r="S11" s="55">
        <v>1000</v>
      </c>
      <c r="T11" s="21">
        <f t="shared" si="4"/>
        <v>44000</v>
      </c>
      <c r="U11" s="60">
        <f>IF($J11="","",ROUND(($J11-$J$3)/1000,1)+(_xlfn.RANK.AVG($J11,($J11,$O11,$T11),1)-2)*20)</f>
        <v>3.5</v>
      </c>
      <c r="V11" s="61">
        <f>IF($O11="","",ROUND(($O11-$O$3)/1000,1)+(_xlfn.RANK.AVG($O11,($J11,$O11,$T11),1)-2)*20)</f>
        <v>-32.5</v>
      </c>
      <c r="W11" s="62">
        <f>IF($T11="","",ROUND(($T11-$T$3)/1000,1)+(_xlfn.RANK.AVG($T11,($J11,$O11,$T11),1)-2)*20)</f>
        <v>29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148</v>
      </c>
      <c r="BV11" s="48" t="s">
        <v>150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145</v>
      </c>
      <c r="G12" s="9">
        <v>-4800</v>
      </c>
      <c r="H12" s="9">
        <v>-1000</v>
      </c>
      <c r="I12" s="55">
        <v>0</v>
      </c>
      <c r="J12" s="21">
        <f t="shared" si="2"/>
        <v>32700</v>
      </c>
      <c r="K12" s="8" t="s">
        <v>146</v>
      </c>
      <c r="L12" s="9">
        <v>9600</v>
      </c>
      <c r="M12" s="9">
        <v>1000</v>
      </c>
      <c r="N12" s="55">
        <v>0</v>
      </c>
      <c r="O12" s="21">
        <f t="shared" si="3"/>
        <v>33100</v>
      </c>
      <c r="P12" s="8" t="s">
        <v>145</v>
      </c>
      <c r="Q12" s="9">
        <v>-4800</v>
      </c>
      <c r="R12" s="9"/>
      <c r="S12" s="55">
        <v>0</v>
      </c>
      <c r="T12" s="21">
        <f t="shared" si="4"/>
        <v>39200</v>
      </c>
      <c r="U12" s="60">
        <f>IF($J12="","",ROUND(($J12-$J$3)/1000,1)+(_xlfn.RANK.AVG($J12,($J12,$O12,$T12),1)-2)*20)</f>
        <v>-22.3</v>
      </c>
      <c r="V12" s="61">
        <f>IF($O12="","",ROUND(($O12-$O$3)/1000,1)+(_xlfn.RANK.AVG($O12,($J12,$O12,$T12),1)-2)*20)</f>
        <v>-1.9</v>
      </c>
      <c r="W12" s="62">
        <f>IF($T12="","",ROUND(($T12-$T$3)/1000,1)+(_xlfn.RANK.AVG($T12,($J12,$O12,$T12),1)-2)*20)</f>
        <v>24.2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50</v>
      </c>
      <c r="AZ12" s="47" t="s">
        <v>105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139</v>
      </c>
      <c r="F13" s="8" t="s">
        <v>145</v>
      </c>
      <c r="G13" s="9">
        <v>-1500</v>
      </c>
      <c r="H13" s="9"/>
      <c r="I13" s="55">
        <v>-500</v>
      </c>
      <c r="J13" s="21">
        <f t="shared" si="2"/>
        <v>30700</v>
      </c>
      <c r="K13" s="8" t="s">
        <v>146</v>
      </c>
      <c r="L13" s="9">
        <v>3000</v>
      </c>
      <c r="M13" s="9"/>
      <c r="N13" s="55">
        <v>1000</v>
      </c>
      <c r="O13" s="21">
        <f t="shared" si="3"/>
        <v>37100</v>
      </c>
      <c r="P13" s="8" t="s">
        <v>145</v>
      </c>
      <c r="Q13" s="9">
        <v>-1500</v>
      </c>
      <c r="R13" s="9"/>
      <c r="S13" s="55">
        <v>-500</v>
      </c>
      <c r="T13" s="21">
        <f t="shared" si="4"/>
        <v>37200</v>
      </c>
      <c r="U13" s="60">
        <f>IF($J13="","",ROUND(($J13-$J$3)/1000,1)+(_xlfn.RANK.AVG($J13,($J13,$O13,$T13),1)-2)*20)</f>
        <v>-24.3</v>
      </c>
      <c r="V13" s="61">
        <f>IF($O13="","",ROUND(($O13-$O$3)/1000,1)+(_xlfn.RANK.AVG($O13,($J13,$O13,$T13),1)-2)*20)</f>
        <v>2.1</v>
      </c>
      <c r="W13" s="62">
        <f>IF($T13="","",ROUND(($T13-$T$3)/1000,1)+(_xlfn.RANK.AVG($T13,($J13,$O13,$T13),1)-2)*20)</f>
        <v>22.2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2</v>
      </c>
      <c r="AY13" s="36">
        <v>30</v>
      </c>
      <c r="AZ13" s="47" t="s">
        <v>148</v>
      </c>
      <c r="BA13" s="48" t="s">
        <v>80</v>
      </c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139</v>
      </c>
      <c r="F14" s="8" t="s">
        <v>146</v>
      </c>
      <c r="G14" s="9">
        <v>8000</v>
      </c>
      <c r="H14" s="9"/>
      <c r="I14" s="55">
        <v>2000</v>
      </c>
      <c r="J14" s="21">
        <f t="shared" si="2"/>
        <v>40700</v>
      </c>
      <c r="K14" s="8" t="s">
        <v>145</v>
      </c>
      <c r="L14" s="9">
        <v>-5000</v>
      </c>
      <c r="M14" s="9"/>
      <c r="N14" s="55">
        <v>-1000</v>
      </c>
      <c r="O14" s="21">
        <f t="shared" si="3"/>
        <v>31100</v>
      </c>
      <c r="P14" s="8" t="s">
        <v>145</v>
      </c>
      <c r="Q14" s="9">
        <v>-3000</v>
      </c>
      <c r="R14" s="9"/>
      <c r="S14" s="55">
        <v>-1000</v>
      </c>
      <c r="T14" s="21">
        <f t="shared" si="4"/>
        <v>33200</v>
      </c>
      <c r="U14" s="60">
        <f>IF($J14="","",ROUND(($J14-$J$3)/1000,1)+(_xlfn.RANK.AVG($J14,($J14,$O14,$T14),1)-2)*20)</f>
        <v>25.7</v>
      </c>
      <c r="V14" s="61">
        <f>IF($O14="","",ROUND(($O14-$O$3)/1000,1)+(_xlfn.RANK.AVG($O14,($J14,$O14,$T14),1)-2)*20)</f>
        <v>-23.9</v>
      </c>
      <c r="W14" s="62">
        <f>IF($T14="","",ROUND(($T14-$T$3)/1000,1)+(_xlfn.RANK.AVG($T14,($J14,$O14,$T14),1)-2)*20)</f>
        <v>-1.8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150</v>
      </c>
      <c r="AH14" s="48" t="s">
        <v>81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9261270D-3EE3-4E7D-B3CC-3BDEDE736527}">
      <formula1>$U$2:$W$2</formula1>
    </dataValidation>
    <dataValidation type="list" showInputMessage="1" showErrorMessage="1" sqref="K4:K30 P4:P30 F4:F30" xr:uid="{E7C22714-C94C-4AF1-967C-FC10FC35709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94D75-CDD5-466E-B758-C877F18050E8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160</v>
      </c>
      <c r="L1" s="98"/>
      <c r="M1" s="98"/>
      <c r="N1" s="107"/>
      <c r="O1" s="99"/>
      <c r="P1" s="96" t="s">
        <v>140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ただ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だいち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りくと</v>
      </c>
      <c r="V2" s="83" t="str">
        <f>$K$1</f>
        <v>ただ</v>
      </c>
      <c r="W2" s="16" t="str">
        <f>$P$1</f>
        <v>だいち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158</v>
      </c>
      <c r="G4" s="9">
        <v>0</v>
      </c>
      <c r="H4" s="9"/>
      <c r="I4" s="55"/>
      <c r="J4" s="21">
        <f t="shared" ref="J4:J30" si="0">IF(COUNTA($F4,$K4,$P4)&gt;0,J3+SUM(G4:I4),"")</f>
        <v>35000</v>
      </c>
      <c r="K4" s="8" t="s">
        <v>158</v>
      </c>
      <c r="L4" s="9">
        <v>0</v>
      </c>
      <c r="M4" s="9"/>
      <c r="N4" s="55"/>
      <c r="O4" s="21">
        <f t="shared" ref="O4:O30" si="1">IF(COUNTA($F4,$K4,$P4)&gt;0,O3+SUM(L4:N4),"")</f>
        <v>35000</v>
      </c>
      <c r="P4" s="8" t="s">
        <v>158</v>
      </c>
      <c r="Q4" s="9">
        <v>0</v>
      </c>
      <c r="R4" s="9"/>
      <c r="S4" s="55"/>
      <c r="T4" s="21">
        <f t="shared" ref="T4:T30" si="2">IF(COUNTA($F4,$K4,$P4)&gt;0,T3+SUM(Q4:S4),"")</f>
        <v>35000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0</v>
      </c>
      <c r="Y4" s="8" t="s">
        <v>156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156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156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141</v>
      </c>
      <c r="F5" s="8" t="s">
        <v>151</v>
      </c>
      <c r="G5" s="9">
        <v>18000</v>
      </c>
      <c r="H5" s="9"/>
      <c r="I5" s="55">
        <v>1000</v>
      </c>
      <c r="J5" s="21">
        <f t="shared" si="0"/>
        <v>54000</v>
      </c>
      <c r="K5" s="8" t="s">
        <v>152</v>
      </c>
      <c r="L5" s="9">
        <v>-18000</v>
      </c>
      <c r="M5" s="9"/>
      <c r="N5" s="55">
        <v>-1000</v>
      </c>
      <c r="O5" s="21">
        <f t="shared" si="1"/>
        <v>16000</v>
      </c>
      <c r="P5" s="8"/>
      <c r="Q5" s="9"/>
      <c r="R5" s="9"/>
      <c r="S5" s="55"/>
      <c r="T5" s="21">
        <f t="shared" si="2"/>
        <v>35000</v>
      </c>
      <c r="U5" s="60">
        <f>IF($J5="","",ROUND(($J5-$J$3)/1000,1)+(_xlfn.RANK.AVG($J5,($J5,$O5,$T5),1)-2)*20)</f>
        <v>39</v>
      </c>
      <c r="V5" s="61">
        <f>IF($O5="","",ROUND(($O5-$O$3)/1000,1)+(_xlfn.RANK.AVG($O5,($J5,$O5,$T5),1)-2)*20)</f>
        <v>-39</v>
      </c>
      <c r="W5" s="62">
        <f>IF($T5="","",ROUND(($T5-$T$3)/1000,1)+(_xlfn.RANK.AVG($T5,($J5,$O5,$T5),1)-2)*20)</f>
        <v>0</v>
      </c>
      <c r="Y5" s="8"/>
      <c r="Z5" s="41"/>
      <c r="AA5" s="32">
        <v>1</v>
      </c>
      <c r="AB5" s="32"/>
      <c r="AC5" s="32">
        <v>7</v>
      </c>
      <c r="AD5" s="36" t="s">
        <v>147</v>
      </c>
      <c r="AE5" s="47" t="s">
        <v>148</v>
      </c>
      <c r="AF5" s="48" t="s">
        <v>102</v>
      </c>
      <c r="AG5" s="48" t="s">
        <v>80</v>
      </c>
      <c r="AH5" s="48" t="s">
        <v>80</v>
      </c>
      <c r="AI5" s="48" t="s">
        <v>81</v>
      </c>
      <c r="AJ5" s="48" t="s">
        <v>81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1</v>
      </c>
      <c r="C6" s="18">
        <f t="shared" si="5"/>
        <v>2</v>
      </c>
      <c r="D6" s="18">
        <f t="shared" si="6"/>
        <v>0</v>
      </c>
      <c r="E6" s="4" t="s">
        <v>141</v>
      </c>
      <c r="F6" s="8" t="s">
        <v>146</v>
      </c>
      <c r="G6" s="9">
        <v>48000</v>
      </c>
      <c r="H6" s="9"/>
      <c r="I6" s="55">
        <v>2000</v>
      </c>
      <c r="J6" s="21">
        <f t="shared" si="0"/>
        <v>104000</v>
      </c>
      <c r="K6" s="8" t="s">
        <v>145</v>
      </c>
      <c r="L6" s="9">
        <v>-24000</v>
      </c>
      <c r="M6" s="9"/>
      <c r="N6" s="55">
        <v>-1000</v>
      </c>
      <c r="O6" s="21">
        <f t="shared" si="1"/>
        <v>-9000</v>
      </c>
      <c r="P6" s="8" t="s">
        <v>145</v>
      </c>
      <c r="Q6" s="9">
        <v>-24000</v>
      </c>
      <c r="R6" s="9"/>
      <c r="S6" s="55">
        <v>-1000</v>
      </c>
      <c r="T6" s="21">
        <f t="shared" si="2"/>
        <v>10000</v>
      </c>
      <c r="U6" s="60">
        <f>IF($J6="","",ROUND(($J6-$J$3)/1000,1)+(_xlfn.RANK.AVG($J6,($J6,$O6,$T6),1)-2)*20)</f>
        <v>89</v>
      </c>
      <c r="V6" s="61">
        <f>IF($O6="","",ROUND(($O6-$O$3)/1000,1)+(_xlfn.RANK.AVG($O6,($J6,$O6,$T6),1)-2)*20)</f>
        <v>-64</v>
      </c>
      <c r="W6" s="62">
        <f>IF($T6="","",ROUND(($T6-$T$3)/1000,1)+(_xlfn.RANK.AVG($T6,($J6,$O6,$T6),1)-2)*20)</f>
        <v>-25</v>
      </c>
      <c r="Y6" s="8"/>
      <c r="Z6" s="41"/>
      <c r="AA6" s="32"/>
      <c r="AB6" s="32"/>
      <c r="AC6" s="32">
        <v>13</v>
      </c>
      <c r="AD6" s="36" t="s">
        <v>147</v>
      </c>
      <c r="AE6" s="47" t="s">
        <v>108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1</v>
      </c>
      <c r="C7" s="18">
        <f t="shared" si="5"/>
        <v>3</v>
      </c>
      <c r="D7" s="18">
        <f t="shared" si="6"/>
        <v>0</v>
      </c>
      <c r="E7" s="4" t="s">
        <v>141</v>
      </c>
      <c r="F7" s="8" t="s">
        <v>145</v>
      </c>
      <c r="G7" s="9">
        <v>-7500</v>
      </c>
      <c r="H7" s="9"/>
      <c r="I7" s="55">
        <v>-1500</v>
      </c>
      <c r="J7" s="21">
        <f t="shared" si="0"/>
        <v>95000</v>
      </c>
      <c r="K7" s="8" t="s">
        <v>146</v>
      </c>
      <c r="L7" s="9">
        <v>12000</v>
      </c>
      <c r="M7" s="9">
        <v>1000</v>
      </c>
      <c r="N7" s="55">
        <v>3000</v>
      </c>
      <c r="O7" s="21">
        <f t="shared" si="1"/>
        <v>7000</v>
      </c>
      <c r="P7" s="8" t="s">
        <v>145</v>
      </c>
      <c r="Q7" s="9">
        <v>-4500</v>
      </c>
      <c r="R7" s="9">
        <v>-1000</v>
      </c>
      <c r="S7" s="55">
        <v>-1500</v>
      </c>
      <c r="T7" s="21">
        <f t="shared" si="2"/>
        <v>3000</v>
      </c>
      <c r="U7" s="60">
        <f>IF($J7="","",ROUND(($J7-$J$3)/1000,1)+(_xlfn.RANK.AVG($J7,($J7,$O7,$T7),1)-2)*20)</f>
        <v>80</v>
      </c>
      <c r="V7" s="61">
        <f>IF($O7="","",ROUND(($O7-$O$3)/1000,1)+(_xlfn.RANK.AVG($O7,($J7,$O7,$T7),1)-2)*20)</f>
        <v>-28</v>
      </c>
      <c r="W7" s="62">
        <f>IF($T7="","",ROUND(($T7-$T$3)/1000,1)+(_xlfn.RANK.AVG($T7,($J7,$O7,$T7),1)-2)*20)</f>
        <v>-52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7</v>
      </c>
      <c r="AY7" s="36" t="s">
        <v>147</v>
      </c>
      <c r="AZ7" s="47" t="s">
        <v>148</v>
      </c>
      <c r="BA7" s="48" t="s">
        <v>83</v>
      </c>
      <c r="BB7" s="48" t="s">
        <v>85</v>
      </c>
      <c r="BC7" s="48" t="s">
        <v>105</v>
      </c>
      <c r="BD7" s="48" t="s">
        <v>150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4"/>
        <v>2</v>
      </c>
      <c r="C8" s="18">
        <f t="shared" si="5"/>
        <v>0</v>
      </c>
      <c r="D8" s="18">
        <f t="shared" si="6"/>
        <v>0</v>
      </c>
      <c r="E8" s="4" t="s">
        <v>159</v>
      </c>
      <c r="F8" s="8" t="s">
        <v>145</v>
      </c>
      <c r="G8" s="9">
        <v>-3000</v>
      </c>
      <c r="H8" s="9"/>
      <c r="I8" s="55">
        <v>0</v>
      </c>
      <c r="J8" s="21">
        <f t="shared" si="0"/>
        <v>92000</v>
      </c>
      <c r="K8" s="8" t="s">
        <v>145</v>
      </c>
      <c r="L8" s="9">
        <v>-5000</v>
      </c>
      <c r="M8" s="9"/>
      <c r="N8" s="55">
        <v>0</v>
      </c>
      <c r="O8" s="21">
        <f t="shared" si="1"/>
        <v>2000</v>
      </c>
      <c r="P8" s="8" t="s">
        <v>146</v>
      </c>
      <c r="Q8" s="9">
        <v>8000</v>
      </c>
      <c r="R8" s="9"/>
      <c r="S8" s="55">
        <v>0</v>
      </c>
      <c r="T8" s="21">
        <f t="shared" si="2"/>
        <v>11000</v>
      </c>
      <c r="U8" s="60">
        <f>IF($J8="","",ROUND(($J8-$J$3)/1000,1)+(_xlfn.RANK.AVG($J8,($J8,$O8,$T8),1)-2)*20)</f>
        <v>77</v>
      </c>
      <c r="V8" s="61">
        <f>IF($O8="","",ROUND(($O8-$O$3)/1000,1)+(_xlfn.RANK.AVG($O8,($J8,$O8,$T8),1)-2)*20)</f>
        <v>-53</v>
      </c>
      <c r="W8" s="62">
        <f>IF($T8="","",ROUND(($T8-$T$3)/1000,1)+(_xlfn.RANK.AVG($T8,($J8,$O8,$T8),1)-2)*20)</f>
        <v>-24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147</v>
      </c>
      <c r="BU8" s="47" t="s">
        <v>148</v>
      </c>
      <c r="BV8" s="48" t="s">
        <v>83</v>
      </c>
      <c r="BW8" s="48" t="s">
        <v>150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4"/>
        <v>3</v>
      </c>
      <c r="C9" s="18">
        <f t="shared" si="5"/>
        <v>0</v>
      </c>
      <c r="D9" s="18">
        <f t="shared" si="6"/>
        <v>0</v>
      </c>
      <c r="E9" s="4" t="s">
        <v>139</v>
      </c>
      <c r="F9" s="8" t="s">
        <v>145</v>
      </c>
      <c r="G9" s="9">
        <v>-9000</v>
      </c>
      <c r="H9" s="9">
        <v>-1000</v>
      </c>
      <c r="I9" s="55">
        <v>0</v>
      </c>
      <c r="J9" s="21">
        <f t="shared" si="0"/>
        <v>82000</v>
      </c>
      <c r="K9" s="8" t="s">
        <v>145</v>
      </c>
      <c r="L9" s="9">
        <v>-9000</v>
      </c>
      <c r="M9" s="9"/>
      <c r="N9" s="55">
        <v>0</v>
      </c>
      <c r="O9" s="21">
        <f t="shared" si="1"/>
        <v>-7000</v>
      </c>
      <c r="P9" s="8" t="s">
        <v>146</v>
      </c>
      <c r="Q9" s="9">
        <v>18000</v>
      </c>
      <c r="R9" s="9">
        <v>1000</v>
      </c>
      <c r="S9" s="55">
        <v>0</v>
      </c>
      <c r="T9" s="21">
        <f t="shared" si="2"/>
        <v>30000</v>
      </c>
      <c r="U9" s="60">
        <f>IF($J9="","",ROUND(($J9-$J$3)/1000,1)+(_xlfn.RANK.AVG($J9,($J9,$O9,$T9),1)-2)*20)</f>
        <v>67</v>
      </c>
      <c r="V9" s="61">
        <f>IF($O9="","",ROUND(($O9-$O$3)/1000,1)+(_xlfn.RANK.AVG($O9,($J9,$O9,$T9),1)-2)*20)</f>
        <v>-62</v>
      </c>
      <c r="W9" s="62">
        <f>IF($T9="","",ROUND(($T9-$T$3)/1000,1)+(_xlfn.RANK.AVG($T9,($J9,$O9,$T9),1)-2)*20)</f>
        <v>-5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83</v>
      </c>
      <c r="BW9" s="48" t="s">
        <v>84</v>
      </c>
      <c r="BX9" s="48" t="s">
        <v>150</v>
      </c>
      <c r="BY9" s="48" t="s">
        <v>80</v>
      </c>
      <c r="BZ9" s="48" t="s">
        <v>81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4"/>
        <v>3</v>
      </c>
      <c r="C10" s="18">
        <f t="shared" si="5"/>
        <v>1</v>
      </c>
      <c r="D10" s="18">
        <f t="shared" si="6"/>
        <v>0</v>
      </c>
      <c r="E10" s="4" t="s">
        <v>139</v>
      </c>
      <c r="F10" s="8" t="s">
        <v>145</v>
      </c>
      <c r="G10" s="9">
        <v>-6000</v>
      </c>
      <c r="H10" s="9"/>
      <c r="I10" s="55">
        <v>-500</v>
      </c>
      <c r="J10" s="21">
        <f t="shared" si="0"/>
        <v>75500</v>
      </c>
      <c r="K10" s="8" t="s">
        <v>145</v>
      </c>
      <c r="L10" s="9">
        <v>-6000</v>
      </c>
      <c r="M10" s="9">
        <v>-1000</v>
      </c>
      <c r="N10" s="55">
        <v>-500</v>
      </c>
      <c r="O10" s="21">
        <f t="shared" si="1"/>
        <v>-14500</v>
      </c>
      <c r="P10" s="8" t="s">
        <v>146</v>
      </c>
      <c r="Q10" s="9">
        <v>12000</v>
      </c>
      <c r="R10" s="9">
        <v>1000</v>
      </c>
      <c r="S10" s="55">
        <v>1000</v>
      </c>
      <c r="T10" s="21">
        <f t="shared" si="2"/>
        <v>44000</v>
      </c>
      <c r="U10" s="60">
        <f>IF($J10="","",ROUND(($J10-$J$3)/1000,1)+(_xlfn.RANK.AVG($J10,($J10,$O10,$T10),1)-2)*20)</f>
        <v>60.5</v>
      </c>
      <c r="V10" s="61">
        <f>IF($O10="","",ROUND(($O10-$O$3)/1000,1)+(_xlfn.RANK.AVG($O10,($J10,$O10,$T10),1)-2)*20)</f>
        <v>-69.5</v>
      </c>
      <c r="W10" s="62">
        <f>IF($T10="","",ROUND(($T10-$T$3)/1000,1)+(_xlfn.RANK.AVG($T10,($J10,$O10,$T10),1)-2)*20)</f>
        <v>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5</v>
      </c>
      <c r="BT10" s="36" t="s">
        <v>147</v>
      </c>
      <c r="BU10" s="47" t="s">
        <v>106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4"/>
        <v>3</v>
      </c>
      <c r="C11" s="18">
        <f t="shared" si="5"/>
        <v>2</v>
      </c>
      <c r="D11" s="18">
        <f t="shared" si="6"/>
        <v>0</v>
      </c>
      <c r="E11" s="4" t="s">
        <v>139</v>
      </c>
      <c r="F11" s="8"/>
      <c r="G11" s="9"/>
      <c r="H11" s="9">
        <v>-1000</v>
      </c>
      <c r="I11" s="55"/>
      <c r="J11" s="21">
        <f t="shared" si="0"/>
        <v>74500</v>
      </c>
      <c r="K11" s="8" t="s">
        <v>152</v>
      </c>
      <c r="L11" s="9">
        <v>-18000</v>
      </c>
      <c r="M11" s="9"/>
      <c r="N11" s="55">
        <v>-2000</v>
      </c>
      <c r="O11" s="21">
        <f t="shared" si="1"/>
        <v>-34500</v>
      </c>
      <c r="P11" s="8" t="s">
        <v>151</v>
      </c>
      <c r="Q11" s="9">
        <v>18000</v>
      </c>
      <c r="R11" s="9">
        <v>1000</v>
      </c>
      <c r="S11" s="55">
        <v>2000</v>
      </c>
      <c r="T11" s="21">
        <f t="shared" si="2"/>
        <v>65000</v>
      </c>
      <c r="U11" s="60">
        <f>IF($J11="","",ROUND(($J11-$J$3)/1000,1)+(_xlfn.RANK.AVG($J11,($J11,$O11,$T11),1)-2)*20)</f>
        <v>59.5</v>
      </c>
      <c r="V11" s="61">
        <f>IF($O11="","",ROUND(($O11-$O$3)/1000,1)+(_xlfn.RANK.AVG($O11,($J11,$O11,$T11),1)-2)*20)</f>
        <v>-89.5</v>
      </c>
      <c r="W11" s="62">
        <f>IF($T11="","",ROUND(($T11-$T$3)/1000,1)+(_xlfn.RANK.AVG($T11,($J11,$O11,$T11),1)-2)*20)</f>
        <v>30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147</v>
      </c>
      <c r="BU11" s="47" t="s">
        <v>148</v>
      </c>
      <c r="BV11" s="48" t="s">
        <v>87</v>
      </c>
      <c r="BW11" s="48" t="s">
        <v>80</v>
      </c>
      <c r="BX11" s="48" t="s">
        <v>80</v>
      </c>
      <c r="BY11" s="48" t="s">
        <v>80</v>
      </c>
      <c r="BZ11" s="48" t="s">
        <v>81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東</v>
      </c>
      <c r="B12" s="18">
        <f t="shared" si="4"/>
        <v>3</v>
      </c>
      <c r="C12" s="18">
        <f t="shared" si="5"/>
        <v>3</v>
      </c>
      <c r="D12" s="18">
        <f t="shared" si="6"/>
        <v>0</v>
      </c>
      <c r="E12" s="4" t="s">
        <v>139</v>
      </c>
      <c r="F12" s="8" t="s">
        <v>145</v>
      </c>
      <c r="G12" s="9">
        <v>-3000</v>
      </c>
      <c r="H12" s="9"/>
      <c r="I12" s="55">
        <v>-1500</v>
      </c>
      <c r="J12" s="21">
        <f t="shared" si="0"/>
        <v>70000</v>
      </c>
      <c r="K12" s="8" t="s">
        <v>146</v>
      </c>
      <c r="L12" s="9">
        <v>8000</v>
      </c>
      <c r="M12" s="9"/>
      <c r="N12" s="55">
        <v>3000</v>
      </c>
      <c r="O12" s="21">
        <f t="shared" si="1"/>
        <v>-23500</v>
      </c>
      <c r="P12" s="8" t="s">
        <v>145</v>
      </c>
      <c r="Q12" s="9">
        <v>-5000</v>
      </c>
      <c r="R12" s="9"/>
      <c r="S12" s="55">
        <v>-1500</v>
      </c>
      <c r="T12" s="21">
        <f t="shared" si="2"/>
        <v>58500</v>
      </c>
      <c r="U12" s="60">
        <f>IF($J12="","",ROUND(($J12-$J$3)/1000,1)+(_xlfn.RANK.AVG($J12,($J12,$O12,$T12),1)-2)*20)</f>
        <v>55</v>
      </c>
      <c r="V12" s="61">
        <f>IF($O12="","",ROUND(($O12-$O$3)/1000,1)+(_xlfn.RANK.AVG($O12,($J12,$O12,$T12),1)-2)*20)</f>
        <v>-78.5</v>
      </c>
      <c r="W12" s="62">
        <f>IF($T12="","",ROUND(($T12-$T$3)/1000,1)+(_xlfn.RANK.AVG($T12,($J12,$O12,$T12),1)-2)*20)</f>
        <v>23.5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40</v>
      </c>
      <c r="AZ12" s="47" t="s">
        <v>80</v>
      </c>
      <c r="BA12" s="48" t="s">
        <v>80</v>
      </c>
      <c r="BB12" s="48" t="s">
        <v>87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1</v>
      </c>
      <c r="C13" s="18">
        <f t="shared" si="5"/>
        <v>0</v>
      </c>
      <c r="D13" s="18">
        <f t="shared" si="6"/>
        <v>0</v>
      </c>
      <c r="E13" s="4" t="s">
        <v>141</v>
      </c>
      <c r="F13" s="8" t="s">
        <v>151</v>
      </c>
      <c r="G13" s="9">
        <v>2900</v>
      </c>
      <c r="H13" s="9">
        <v>1000</v>
      </c>
      <c r="I13" s="55">
        <v>0</v>
      </c>
      <c r="J13" s="21">
        <f t="shared" si="0"/>
        <v>73900</v>
      </c>
      <c r="K13" s="8" t="s">
        <v>152</v>
      </c>
      <c r="L13" s="9">
        <v>-2900</v>
      </c>
      <c r="M13" s="9">
        <v>-1000</v>
      </c>
      <c r="N13" s="55">
        <v>0</v>
      </c>
      <c r="O13" s="21">
        <f t="shared" si="1"/>
        <v>-27400</v>
      </c>
      <c r="P13" s="8"/>
      <c r="Q13" s="9"/>
      <c r="R13" s="9"/>
      <c r="S13" s="55"/>
      <c r="T13" s="21">
        <f t="shared" si="2"/>
        <v>58500</v>
      </c>
      <c r="U13" s="60">
        <f>IF($J13="","",ROUND(($J13-$J$3)/1000,1)+(_xlfn.RANK.AVG($J13,($J13,$O13,$T13),1)-2)*20)</f>
        <v>58.9</v>
      </c>
      <c r="V13" s="61">
        <f>IF($O13="","",ROUND(($O13-$O$3)/1000,1)+(_xlfn.RANK.AVG($O13,($J13,$O13,$T13),1)-2)*20)</f>
        <v>-82.4</v>
      </c>
      <c r="W13" s="62">
        <f>IF($T13="","",ROUND(($T13-$T$3)/1000,1)+(_xlfn.RANK.AVG($T13,($J13,$O13,$T13),1)-2)*20)</f>
        <v>23.5</v>
      </c>
      <c r="Y13" s="8"/>
      <c r="Z13" s="41"/>
      <c r="AA13" s="32"/>
      <c r="AB13" s="32">
        <v>1</v>
      </c>
      <c r="AC13" s="32">
        <v>2</v>
      </c>
      <c r="AD13" s="36">
        <v>30</v>
      </c>
      <c r="AE13" s="47" t="s">
        <v>87</v>
      </c>
      <c r="AF13" s="48" t="s">
        <v>87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4"/>
        <v>1</v>
      </c>
      <c r="C14" s="18">
        <f t="shared" si="5"/>
        <v>1</v>
      </c>
      <c r="D14" s="18">
        <f t="shared" si="6"/>
        <v>0</v>
      </c>
      <c r="E14" s="4" t="s">
        <v>141</v>
      </c>
      <c r="F14" s="8" t="s">
        <v>151</v>
      </c>
      <c r="G14" s="9">
        <v>7700</v>
      </c>
      <c r="H14" s="9"/>
      <c r="I14" s="55">
        <v>1000</v>
      </c>
      <c r="J14" s="21">
        <f t="shared" si="0"/>
        <v>82600</v>
      </c>
      <c r="K14" s="8" t="s">
        <v>152</v>
      </c>
      <c r="L14" s="9">
        <v>-7700</v>
      </c>
      <c r="M14" s="9"/>
      <c r="N14" s="55">
        <v>-1000</v>
      </c>
      <c r="O14" s="21">
        <f t="shared" si="1"/>
        <v>-36100</v>
      </c>
      <c r="P14" s="8"/>
      <c r="Q14" s="9"/>
      <c r="R14" s="9"/>
      <c r="S14" s="55"/>
      <c r="T14" s="21">
        <f t="shared" si="2"/>
        <v>58500</v>
      </c>
      <c r="U14" s="60">
        <f>IF($J14="","",ROUND(($J14-$J$3)/1000,1)+(_xlfn.RANK.AVG($J14,($J14,$O14,$T14),1)-2)*20)</f>
        <v>67.599999999999994</v>
      </c>
      <c r="V14" s="61">
        <f>IF($O14="","",ROUND(($O14-$O$3)/1000,1)+(_xlfn.RANK.AVG($O14,($J14,$O14,$T14),1)-2)*20)</f>
        <v>-91.1</v>
      </c>
      <c r="W14" s="62">
        <f>IF($T14="","",ROUND(($T14-$T$3)/1000,1)+(_xlfn.RANK.AVG($T14,($J14,$O14,$T14),1)-2)*20)</f>
        <v>23.5</v>
      </c>
      <c r="Y14" s="8"/>
      <c r="Z14" s="41"/>
      <c r="AA14" s="32">
        <v>1</v>
      </c>
      <c r="AB14" s="32"/>
      <c r="AC14" s="32">
        <v>3</v>
      </c>
      <c r="AD14" s="36">
        <v>40</v>
      </c>
      <c r="AE14" s="47" t="s">
        <v>148</v>
      </c>
      <c r="AF14" s="48" t="s">
        <v>87</v>
      </c>
      <c r="AG14" s="48" t="s">
        <v>80</v>
      </c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4"/>
        <v>1</v>
      </c>
      <c r="C15" s="18">
        <f t="shared" si="5"/>
        <v>2</v>
      </c>
      <c r="D15" s="18">
        <f t="shared" si="6"/>
        <v>0</v>
      </c>
      <c r="E15" s="4" t="s">
        <v>141</v>
      </c>
      <c r="F15" s="8" t="s">
        <v>145</v>
      </c>
      <c r="G15" s="9">
        <v>-7500</v>
      </c>
      <c r="H15" s="9">
        <v>-1000</v>
      </c>
      <c r="I15" s="55">
        <v>-1000</v>
      </c>
      <c r="J15" s="21">
        <f t="shared" si="0"/>
        <v>73100</v>
      </c>
      <c r="K15" s="8" t="s">
        <v>145</v>
      </c>
      <c r="L15" s="9">
        <v>-4500</v>
      </c>
      <c r="M15" s="9"/>
      <c r="N15" s="55">
        <v>-1000</v>
      </c>
      <c r="O15" s="21">
        <f t="shared" si="1"/>
        <v>-41600</v>
      </c>
      <c r="P15" s="8" t="s">
        <v>146</v>
      </c>
      <c r="Q15" s="9">
        <v>12000</v>
      </c>
      <c r="R15" s="9">
        <v>1000</v>
      </c>
      <c r="S15" s="55">
        <v>2000</v>
      </c>
      <c r="T15" s="21">
        <f t="shared" si="2"/>
        <v>73500</v>
      </c>
      <c r="U15" s="60">
        <f>IF($J15="","",ROUND(($J15-$J$3)/1000,1)+(_xlfn.RANK.AVG($J15,($J15,$O15,$T15),1)-2)*20)</f>
        <v>38.1</v>
      </c>
      <c r="V15" s="61">
        <f>IF($O15="","",ROUND(($O15-$O$3)/1000,1)+(_xlfn.RANK.AVG($O15,($J15,$O15,$T15),1)-2)*20)</f>
        <v>-96.6</v>
      </c>
      <c r="W15" s="62">
        <f>IF($T15="","",ROUND(($T15-$T$3)/1000,1)+(_xlfn.RANK.AVG($T15,($J15,$O15,$T15),1)-2)*20)</f>
        <v>58.5</v>
      </c>
      <c r="Y15" s="8"/>
      <c r="Z15" s="41"/>
      <c r="AA15" s="32">
        <v>1</v>
      </c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6</v>
      </c>
      <c r="BT15" s="36" t="s">
        <v>147</v>
      </c>
      <c r="BU15" s="47" t="s">
        <v>80</v>
      </c>
      <c r="BV15" s="48" t="s">
        <v>80</v>
      </c>
      <c r="BW15" s="48" t="s">
        <v>80</v>
      </c>
      <c r="BX15" s="48" t="s">
        <v>80</v>
      </c>
      <c r="BY15" s="48" t="s">
        <v>80</v>
      </c>
      <c r="BZ15" s="48" t="s">
        <v>87</v>
      </c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4"/>
        <v>2</v>
      </c>
      <c r="C16" s="18">
        <f t="shared" si="5"/>
        <v>0</v>
      </c>
      <c r="D16" s="18">
        <f t="shared" si="6"/>
        <v>0</v>
      </c>
      <c r="E16" s="4" t="s">
        <v>159</v>
      </c>
      <c r="F16" s="8"/>
      <c r="G16" s="9"/>
      <c r="H16" s="9"/>
      <c r="I16" s="55"/>
      <c r="J16" s="21">
        <f t="shared" si="0"/>
        <v>73100</v>
      </c>
      <c r="K16" s="8" t="s">
        <v>152</v>
      </c>
      <c r="L16" s="9">
        <v>-7700</v>
      </c>
      <c r="M16" s="9"/>
      <c r="N16" s="55">
        <v>0</v>
      </c>
      <c r="O16" s="21">
        <f t="shared" si="1"/>
        <v>-49300</v>
      </c>
      <c r="P16" s="8" t="s">
        <v>151</v>
      </c>
      <c r="Q16" s="9">
        <v>7700</v>
      </c>
      <c r="R16" s="9"/>
      <c r="S16" s="55">
        <v>0</v>
      </c>
      <c r="T16" s="21">
        <f t="shared" si="2"/>
        <v>81200</v>
      </c>
      <c r="U16" s="60">
        <f>IF($J16="","",ROUND(($J16-$J$3)/1000,1)+(_xlfn.RANK.AVG($J16,($J16,$O16,$T16),1)-2)*20)</f>
        <v>38.1</v>
      </c>
      <c r="V16" s="61">
        <f>IF($O16="","",ROUND(($O16-$O$3)/1000,1)+(_xlfn.RANK.AVG($O16,($J16,$O16,$T16),1)-2)*20)</f>
        <v>-104.3</v>
      </c>
      <c r="W16" s="62">
        <f>IF($T16="","",ROUND(($T16-$T$3)/1000,1)+(_xlfn.RANK.AVG($T16,($J16,$O16,$T16),1)-2)*20)</f>
        <v>66.2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>
        <v>1</v>
      </c>
      <c r="BS16" s="32">
        <v>4</v>
      </c>
      <c r="BT16" s="36">
        <v>30</v>
      </c>
      <c r="BU16" s="47" t="s">
        <v>87</v>
      </c>
      <c r="BV16" s="48" t="s">
        <v>80</v>
      </c>
      <c r="BW16" s="48" t="s">
        <v>80</v>
      </c>
      <c r="BX16" s="48" t="s">
        <v>80</v>
      </c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>南</v>
      </c>
      <c r="B17" s="18">
        <f t="shared" si="4"/>
        <v>3</v>
      </c>
      <c r="C17" s="18">
        <f t="shared" si="5"/>
        <v>0</v>
      </c>
      <c r="D17" s="18">
        <f t="shared" si="6"/>
        <v>0</v>
      </c>
      <c r="E17" s="4" t="s">
        <v>139</v>
      </c>
      <c r="F17" s="8" t="s">
        <v>158</v>
      </c>
      <c r="G17" s="9">
        <v>1500</v>
      </c>
      <c r="H17" s="9"/>
      <c r="I17" s="55"/>
      <c r="J17" s="21">
        <f t="shared" si="0"/>
        <v>74600</v>
      </c>
      <c r="K17" s="8" t="s">
        <v>158</v>
      </c>
      <c r="L17" s="9">
        <v>1500</v>
      </c>
      <c r="M17" s="9">
        <v>-1000</v>
      </c>
      <c r="N17" s="55"/>
      <c r="O17" s="21">
        <f t="shared" si="1"/>
        <v>-48800</v>
      </c>
      <c r="P17" s="8" t="s">
        <v>158</v>
      </c>
      <c r="Q17" s="9">
        <v>-3000</v>
      </c>
      <c r="R17" s="9"/>
      <c r="S17" s="55">
        <v>1000</v>
      </c>
      <c r="T17" s="21">
        <f t="shared" si="2"/>
        <v>79200</v>
      </c>
      <c r="U17" s="60">
        <f>IF($J17="","",ROUND(($J17-$J$3)/1000,1)+(_xlfn.RANK.AVG($J17,($J17,$O17,$T17),1)-2)*20)</f>
        <v>39.6</v>
      </c>
      <c r="V17" s="61">
        <f>IF($O17="","",ROUND(($O17-$O$3)/1000,1)+(_xlfn.RANK.AVG($O17,($J17,$O17,$T17),1)-2)*20)</f>
        <v>-103.8</v>
      </c>
      <c r="W17" s="62">
        <f>IF($T17="","",ROUND(($T17-$T$3)/1000,1)+(_xlfn.RANK.AVG($T17,($J17,$O17,$T17),1)-2)*20)</f>
        <v>64.2</v>
      </c>
      <c r="Y17" s="8" t="s">
        <v>156</v>
      </c>
      <c r="Z17" s="41"/>
      <c r="AA17" s="32"/>
      <c r="AB17" s="32">
        <v>1</v>
      </c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 t="s">
        <v>156</v>
      </c>
      <c r="AU17" s="41"/>
      <c r="AV17" s="32">
        <v>1</v>
      </c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 t="s">
        <v>155</v>
      </c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1:A2"/>
    <mergeCell ref="B1:B2"/>
    <mergeCell ref="C1:C2"/>
    <mergeCell ref="D1:D2"/>
    <mergeCell ref="E1:E2"/>
    <mergeCell ref="F1:J1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8964AF6E-D4C0-4D7D-B6FA-A37BCB35F0F4}">
      <formula1>$U$2:$W$2</formula1>
    </dataValidation>
    <dataValidation type="list" showInputMessage="1" showErrorMessage="1" sqref="K4:K30 P4:P30 F4:F30" xr:uid="{A86DA071-8CE6-42DB-B971-45075D5D04FE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7990-1A14-4B9C-90DE-663DC38BE403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160</v>
      </c>
      <c r="G1" s="98"/>
      <c r="H1" s="98"/>
      <c r="I1" s="107"/>
      <c r="J1" s="99"/>
      <c r="K1" s="96" t="s">
        <v>144</v>
      </c>
      <c r="L1" s="98"/>
      <c r="M1" s="98"/>
      <c r="N1" s="107"/>
      <c r="O1" s="99"/>
      <c r="P1" s="96" t="s">
        <v>161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ただ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れんたろう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いっしー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ただ</v>
      </c>
      <c r="V2" s="89" t="str">
        <f>$K$1</f>
        <v>れんたろう</v>
      </c>
      <c r="W2" s="16" t="str">
        <f>$P$1</f>
        <v>いっしー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157</v>
      </c>
      <c r="G4" s="9">
        <v>-1500</v>
      </c>
      <c r="H4" s="9"/>
      <c r="I4" s="55"/>
      <c r="J4" s="21">
        <f t="shared" ref="J4:J30" si="0">IF(COUNTA($F4,$K4,$P4)&gt;0,J3+SUM(G4:I4),"")</f>
        <v>33500</v>
      </c>
      <c r="K4" s="8" t="s">
        <v>157</v>
      </c>
      <c r="L4" s="9">
        <v>3000</v>
      </c>
      <c r="M4" s="9"/>
      <c r="N4" s="55"/>
      <c r="O4" s="21">
        <f t="shared" ref="O4:O30" si="1">IF(COUNTA($F4,$K4,$P4)&gt;0,O3+SUM(L4:N4),"")</f>
        <v>38000</v>
      </c>
      <c r="P4" s="8" t="s">
        <v>157</v>
      </c>
      <c r="Q4" s="9">
        <v>-1500</v>
      </c>
      <c r="R4" s="9"/>
      <c r="S4" s="55"/>
      <c r="T4" s="21">
        <f t="shared" ref="T4:T30" si="2">IF(COUNTA($F4,$K4,$P4)&gt;0,T3+SUM(Q4:S4),"")</f>
        <v>33500</v>
      </c>
      <c r="U4" s="60">
        <f>IF($J4="","",ROUND(($J4-$J$3)/1000,1)+(_xlfn.RANK.AVG($J4,($J4,$O4,$T4),1)-2)*20)</f>
        <v>-11.5</v>
      </c>
      <c r="V4" s="61">
        <f>IF($O4="","",ROUND(($O4-$O$3)/1000,1)+(_xlfn.RANK.AVG($O4,($J4,$O4,$T4),1)-2)*20)</f>
        <v>23</v>
      </c>
      <c r="W4" s="62">
        <f>IF($T4="","",ROUND(($T4-$T$3)/1000,1)+(_xlfn.RANK.AVG($T4,($J4,$O4,$T4),1)-2)*20)</f>
        <v>-11.5</v>
      </c>
      <c r="Y4" s="8" t="s">
        <v>155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156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155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143</v>
      </c>
      <c r="F5" s="8" t="s">
        <v>145</v>
      </c>
      <c r="G5" s="9">
        <v>-5800</v>
      </c>
      <c r="H5" s="9"/>
      <c r="I5" s="55">
        <v>-500</v>
      </c>
      <c r="J5" s="21">
        <f t="shared" si="0"/>
        <v>27200</v>
      </c>
      <c r="K5" s="8" t="s">
        <v>146</v>
      </c>
      <c r="L5" s="9">
        <v>11600</v>
      </c>
      <c r="M5" s="9"/>
      <c r="N5" s="55">
        <v>1000</v>
      </c>
      <c r="O5" s="21">
        <f t="shared" si="1"/>
        <v>50600</v>
      </c>
      <c r="P5" s="8" t="s">
        <v>145</v>
      </c>
      <c r="Q5" s="9">
        <v>-5800</v>
      </c>
      <c r="R5" s="9"/>
      <c r="S5" s="55">
        <v>-500</v>
      </c>
      <c r="T5" s="21">
        <f t="shared" si="2"/>
        <v>27200</v>
      </c>
      <c r="U5" s="60">
        <f>IF($J5="","",ROUND(($J5-$J$3)/1000,1)+(_xlfn.RANK.AVG($J5,($J5,$O5,$T5),1)-2)*20)</f>
        <v>-17.8</v>
      </c>
      <c r="V5" s="61">
        <f>IF($O5="","",ROUND(($O5-$O$3)/1000,1)+(_xlfn.RANK.AVG($O5,($J5,$O5,$T5),1)-2)*20)</f>
        <v>35.6</v>
      </c>
      <c r="W5" s="62">
        <f>IF($T5="","",ROUND(($T5-$T$3)/1000,1)+(_xlfn.RANK.AVG($T5,($J5,$O5,$T5),1)-2)*20)</f>
        <v>-17.8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4</v>
      </c>
      <c r="AY5" s="36">
        <v>30</v>
      </c>
      <c r="AZ5" s="47" t="s">
        <v>87</v>
      </c>
      <c r="BA5" s="48" t="s">
        <v>80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1</v>
      </c>
      <c r="C6" s="18">
        <f t="shared" si="5"/>
        <v>2</v>
      </c>
      <c r="D6" s="18">
        <f t="shared" si="6"/>
        <v>0</v>
      </c>
      <c r="E6" s="4" t="s">
        <v>143</v>
      </c>
      <c r="F6" s="8" t="s">
        <v>152</v>
      </c>
      <c r="G6" s="9">
        <v>-20000</v>
      </c>
      <c r="H6" s="9">
        <v>-1000</v>
      </c>
      <c r="I6" s="55">
        <v>-2000</v>
      </c>
      <c r="J6" s="21">
        <f t="shared" si="0"/>
        <v>4200</v>
      </c>
      <c r="K6" s="8" t="s">
        <v>151</v>
      </c>
      <c r="L6" s="9">
        <v>12000</v>
      </c>
      <c r="M6" s="9">
        <v>1000</v>
      </c>
      <c r="N6" s="55">
        <v>2000</v>
      </c>
      <c r="O6" s="21">
        <f t="shared" si="1"/>
        <v>65600</v>
      </c>
      <c r="P6" s="8" t="s">
        <v>151</v>
      </c>
      <c r="Q6" s="9">
        <v>8000</v>
      </c>
      <c r="R6" s="9"/>
      <c r="S6" s="55"/>
      <c r="T6" s="21">
        <f t="shared" si="2"/>
        <v>35200</v>
      </c>
      <c r="U6" s="60">
        <f>IF($J6="","",ROUND(($J6-$J$3)/1000,1)+(_xlfn.RANK.AVG($J6,($J6,$O6,$T6),1)-2)*20)</f>
        <v>-50.8</v>
      </c>
      <c r="V6" s="61">
        <f>IF($O6="","",ROUND(($O6-$O$3)/1000,1)+(_xlfn.RANK.AVG($O6,($J6,$O6,$T6),1)-2)*20)</f>
        <v>50.6</v>
      </c>
      <c r="W6" s="62">
        <f>IF($T6="","",ROUND(($T6-$T$3)/1000,1)+(_xlfn.RANK.AVG($T6,($J6,$O6,$T6),1)-2)*20)</f>
        <v>0.2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40</v>
      </c>
      <c r="AZ6" s="47" t="s">
        <v>105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105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1</v>
      </c>
      <c r="C7" s="18">
        <f t="shared" si="5"/>
        <v>3</v>
      </c>
      <c r="D7" s="18">
        <f t="shared" si="6"/>
        <v>0</v>
      </c>
      <c r="E7" s="4" t="s">
        <v>143</v>
      </c>
      <c r="F7" s="8" t="s">
        <v>145</v>
      </c>
      <c r="G7" s="9">
        <v>-2400</v>
      </c>
      <c r="H7" s="9"/>
      <c r="I7" s="55">
        <v>-1500</v>
      </c>
      <c r="J7" s="21">
        <f t="shared" si="0"/>
        <v>300</v>
      </c>
      <c r="K7" s="8" t="s">
        <v>146</v>
      </c>
      <c r="L7" s="9">
        <v>4800</v>
      </c>
      <c r="M7" s="9"/>
      <c r="N7" s="55">
        <v>3000</v>
      </c>
      <c r="O7" s="21">
        <f t="shared" si="1"/>
        <v>73400</v>
      </c>
      <c r="P7" s="8" t="s">
        <v>145</v>
      </c>
      <c r="Q7" s="9">
        <v>-2400</v>
      </c>
      <c r="R7" s="9"/>
      <c r="S7" s="55">
        <v>-1500</v>
      </c>
      <c r="T7" s="21">
        <f t="shared" si="2"/>
        <v>31300</v>
      </c>
      <c r="U7" s="60">
        <f>IF($J7="","",ROUND(($J7-$J$3)/1000,1)+(_xlfn.RANK.AVG($J7,($J7,$O7,$T7),1)-2)*20)</f>
        <v>-54.7</v>
      </c>
      <c r="V7" s="61">
        <f>IF($O7="","",ROUND(($O7-$O$3)/1000,1)+(_xlfn.RANK.AVG($O7,($J7,$O7,$T7),1)-2)*20)</f>
        <v>58.4</v>
      </c>
      <c r="W7" s="62">
        <f>IF($T7="","",ROUND(($T7-$T$3)/1000,1)+(_xlfn.RANK.AVG($T7,($J7,$O7,$T7),1)-2)*20)</f>
        <v>-3.7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3</v>
      </c>
      <c r="AY7" s="36">
        <v>25</v>
      </c>
      <c r="AZ7" s="47" t="s">
        <v>102</v>
      </c>
      <c r="BA7" s="48" t="s">
        <v>150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4"/>
        <v>1</v>
      </c>
      <c r="C8" s="18">
        <f t="shared" si="5"/>
        <v>4</v>
      </c>
      <c r="D8" s="18">
        <f t="shared" si="6"/>
        <v>0</v>
      </c>
      <c r="E8" s="4" t="s">
        <v>143</v>
      </c>
      <c r="F8" s="8" t="s">
        <v>145</v>
      </c>
      <c r="G8" s="9">
        <v>-5800</v>
      </c>
      <c r="H8" s="9"/>
      <c r="I8" s="55">
        <v>-2000</v>
      </c>
      <c r="J8" s="21">
        <f t="shared" si="0"/>
        <v>-7500</v>
      </c>
      <c r="K8" s="8" t="s">
        <v>146</v>
      </c>
      <c r="L8" s="9">
        <v>11600</v>
      </c>
      <c r="M8" s="9"/>
      <c r="N8" s="55">
        <v>4000</v>
      </c>
      <c r="O8" s="21">
        <f t="shared" si="1"/>
        <v>89000</v>
      </c>
      <c r="P8" s="8" t="s">
        <v>145</v>
      </c>
      <c r="Q8" s="9">
        <v>-5800</v>
      </c>
      <c r="R8" s="9"/>
      <c r="S8" s="55">
        <v>-2000</v>
      </c>
      <c r="T8" s="21">
        <f t="shared" si="2"/>
        <v>23500</v>
      </c>
      <c r="U8" s="60">
        <f>IF($J8="","",ROUND(($J8-$J$3)/1000,1)+(_xlfn.RANK.AVG($J8,($J8,$O8,$T8),1)-2)*20)</f>
        <v>-62.5</v>
      </c>
      <c r="V8" s="61">
        <f>IF($O8="","",ROUND(($O8-$O$3)/1000,1)+(_xlfn.RANK.AVG($O8,($J8,$O8,$T8),1)-2)*20)</f>
        <v>74</v>
      </c>
      <c r="W8" s="62">
        <f>IF($T8="","",ROUND(($T8-$T$3)/1000,1)+(_xlfn.RANK.AVG($T8,($J8,$O8,$T8),1)-2)*20)</f>
        <v>-11.5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148</v>
      </c>
      <c r="BA8" s="48" t="s">
        <v>83</v>
      </c>
      <c r="BB8" s="48" t="s">
        <v>87</v>
      </c>
      <c r="BC8" s="48" t="s">
        <v>87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4"/>
        <v>1</v>
      </c>
      <c r="C9" s="18">
        <f t="shared" si="5"/>
        <v>5</v>
      </c>
      <c r="D9" s="18">
        <f t="shared" si="6"/>
        <v>0</v>
      </c>
      <c r="E9" s="4" t="s">
        <v>143</v>
      </c>
      <c r="F9" s="8" t="s">
        <v>145</v>
      </c>
      <c r="G9" s="9">
        <v>-3000</v>
      </c>
      <c r="H9" s="9"/>
      <c r="I9" s="55">
        <v>-2500</v>
      </c>
      <c r="J9" s="21">
        <f t="shared" si="0"/>
        <v>-13000</v>
      </c>
      <c r="K9" s="8" t="s">
        <v>145</v>
      </c>
      <c r="L9" s="9">
        <v>-5000</v>
      </c>
      <c r="M9" s="9"/>
      <c r="N9" s="55">
        <v>-2500</v>
      </c>
      <c r="O9" s="21">
        <f t="shared" si="1"/>
        <v>81500</v>
      </c>
      <c r="P9" s="8" t="s">
        <v>146</v>
      </c>
      <c r="Q9" s="9">
        <v>8000</v>
      </c>
      <c r="R9" s="9"/>
      <c r="S9" s="55">
        <v>5000</v>
      </c>
      <c r="T9" s="21">
        <f t="shared" si="2"/>
        <v>36500</v>
      </c>
      <c r="U9" s="60">
        <f>IF($J9="","",ROUND(($J9-$J$3)/1000,1)+(_xlfn.RANK.AVG($J9,($J9,$O9,$T9),1)-2)*20)</f>
        <v>-68</v>
      </c>
      <c r="V9" s="61">
        <f>IF($O9="","",ROUND(($O9-$O$3)/1000,1)+(_xlfn.RANK.AVG($O9,($J9,$O9,$T9),1)-2)*20)</f>
        <v>66.5</v>
      </c>
      <c r="W9" s="62">
        <f>IF($T9="","",ROUND(($T9-$T$3)/1000,1)+(_xlfn.RANK.AVG($T9,($J9,$O9,$T9),1)-2)*20)</f>
        <v>1.5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105</v>
      </c>
      <c r="BV9" s="48" t="s">
        <v>87</v>
      </c>
      <c r="BW9" s="48" t="s">
        <v>87</v>
      </c>
      <c r="BX9" s="48" t="s">
        <v>150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162</v>
      </c>
      <c r="F10" s="8"/>
      <c r="G10" s="9"/>
      <c r="H10" s="9"/>
      <c r="I10" s="55"/>
      <c r="J10" s="21">
        <f t="shared" si="0"/>
        <v>-13000</v>
      </c>
      <c r="K10" s="8" t="s">
        <v>151</v>
      </c>
      <c r="L10" s="9">
        <v>8000</v>
      </c>
      <c r="M10" s="9"/>
      <c r="N10" s="55">
        <v>0</v>
      </c>
      <c r="O10" s="21">
        <f t="shared" si="1"/>
        <v>89500</v>
      </c>
      <c r="P10" s="8" t="s">
        <v>152</v>
      </c>
      <c r="Q10" s="9">
        <v>-8000</v>
      </c>
      <c r="R10" s="9"/>
      <c r="S10" s="55">
        <v>0</v>
      </c>
      <c r="T10" s="21">
        <f t="shared" si="2"/>
        <v>28500</v>
      </c>
      <c r="U10" s="60">
        <f>IF($J10="","",ROUND(($J10-$J$3)/1000,1)+(_xlfn.RANK.AVG($J10,($J10,$O10,$T10),1)-2)*20)</f>
        <v>-68</v>
      </c>
      <c r="V10" s="61">
        <f>IF($O10="","",ROUND(($O10-$O$3)/1000,1)+(_xlfn.RANK.AVG($O10,($J10,$O10,$T10),1)-2)*20)</f>
        <v>74.5</v>
      </c>
      <c r="W10" s="62">
        <f>IF($T10="","",ROUND(($T10-$T$3)/1000,1)+(_xlfn.RANK.AVG($T10,($J10,$O10,$T10),1)-2)*20)</f>
        <v>-6.5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105</v>
      </c>
      <c r="BA10" s="48" t="s">
        <v>102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4"/>
        <v>3</v>
      </c>
      <c r="C11" s="18">
        <f t="shared" si="5"/>
        <v>0</v>
      </c>
      <c r="D11" s="18">
        <f t="shared" si="6"/>
        <v>0</v>
      </c>
      <c r="E11" s="4" t="s">
        <v>159</v>
      </c>
      <c r="F11" s="8"/>
      <c r="G11" s="9"/>
      <c r="H11" s="9"/>
      <c r="I11" s="55"/>
      <c r="J11" s="21">
        <f t="shared" si="0"/>
        <v>-13000</v>
      </c>
      <c r="K11" s="8" t="s">
        <v>152</v>
      </c>
      <c r="L11" s="9">
        <v>-1000</v>
      </c>
      <c r="M11" s="9"/>
      <c r="N11" s="55">
        <v>0</v>
      </c>
      <c r="O11" s="21">
        <f t="shared" si="1"/>
        <v>88500</v>
      </c>
      <c r="P11" s="8" t="s">
        <v>151</v>
      </c>
      <c r="Q11" s="9">
        <v>1000</v>
      </c>
      <c r="R11" s="9"/>
      <c r="S11" s="55">
        <v>0</v>
      </c>
      <c r="T11" s="21">
        <f t="shared" si="2"/>
        <v>29500</v>
      </c>
      <c r="U11" s="60">
        <f>IF($J11="","",ROUND(($J11-$J$3)/1000,1)+(_xlfn.RANK.AVG($J11,($J11,$O11,$T11),1)-2)*20)</f>
        <v>-68</v>
      </c>
      <c r="V11" s="61">
        <f>IF($O11="","",ROUND(($O11-$O$3)/1000,1)+(_xlfn.RANK.AVG($O11,($J11,$O11,$T11),1)-2)*20)</f>
        <v>73.5</v>
      </c>
      <c r="W11" s="62">
        <f>IF($T11="","",ROUND(($T11-$T$3)/1000,1)+(_xlfn.RANK.AVG($T11,($J11,$O11,$T11),1)-2)*20)</f>
        <v>-5.5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1</v>
      </c>
      <c r="BT11" s="36">
        <v>30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4"/>
        <v>1</v>
      </c>
      <c r="C12" s="18">
        <f t="shared" si="5"/>
        <v>0</v>
      </c>
      <c r="D12" s="18">
        <f t="shared" si="6"/>
        <v>0</v>
      </c>
      <c r="E12" s="4" t="s">
        <v>143</v>
      </c>
      <c r="F12" s="8" t="s">
        <v>157</v>
      </c>
      <c r="G12" s="9">
        <v>-1500</v>
      </c>
      <c r="H12" s="9"/>
      <c r="I12" s="55"/>
      <c r="J12" s="21">
        <f t="shared" si="0"/>
        <v>-14500</v>
      </c>
      <c r="K12" s="8" t="s">
        <v>157</v>
      </c>
      <c r="L12" s="9">
        <v>3000</v>
      </c>
      <c r="M12" s="9">
        <v>-1000</v>
      </c>
      <c r="N12" s="55"/>
      <c r="O12" s="21">
        <f t="shared" si="1"/>
        <v>90500</v>
      </c>
      <c r="P12" s="8" t="s">
        <v>157</v>
      </c>
      <c r="Q12" s="9">
        <v>-1500</v>
      </c>
      <c r="R12" s="9"/>
      <c r="S12" s="55"/>
      <c r="T12" s="21">
        <f t="shared" si="2"/>
        <v>28000</v>
      </c>
      <c r="U12" s="60">
        <f>IF($J12="","",ROUND(($J12-$J$3)/1000,1)+(_xlfn.RANK.AVG($J12,($J12,$O12,$T12),1)-2)*20)</f>
        <v>-69.5</v>
      </c>
      <c r="V12" s="61">
        <f>IF($O12="","",ROUND(($O12-$O$3)/1000,1)+(_xlfn.RANK.AVG($O12,($J12,$O12,$T12),1)-2)*20)</f>
        <v>75.5</v>
      </c>
      <c r="W12" s="62">
        <f>IF($T12="","",ROUND(($T12-$T$3)/1000,1)+(_xlfn.RANK.AVG($T12,($J12,$O12,$T12),1)-2)*20)</f>
        <v>-7</v>
      </c>
      <c r="Y12" s="8" t="s">
        <v>155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156</v>
      </c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155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1</v>
      </c>
      <c r="C13" s="18">
        <f t="shared" si="5"/>
        <v>1</v>
      </c>
      <c r="D13" s="18">
        <f t="shared" si="6"/>
        <v>1</v>
      </c>
      <c r="E13" s="4" t="s">
        <v>143</v>
      </c>
      <c r="F13" s="8" t="s">
        <v>157</v>
      </c>
      <c r="G13" s="9">
        <v>-3000</v>
      </c>
      <c r="H13" s="9"/>
      <c r="I13" s="55"/>
      <c r="J13" s="21">
        <f t="shared" si="0"/>
        <v>-17500</v>
      </c>
      <c r="K13" s="8" t="s">
        <v>157</v>
      </c>
      <c r="L13" s="9">
        <v>1500</v>
      </c>
      <c r="M13" s="9"/>
      <c r="N13" s="55"/>
      <c r="O13" s="21">
        <f t="shared" si="1"/>
        <v>92000</v>
      </c>
      <c r="P13" s="8" t="s">
        <v>157</v>
      </c>
      <c r="Q13" s="9">
        <v>1500</v>
      </c>
      <c r="R13" s="9"/>
      <c r="S13" s="55"/>
      <c r="T13" s="21">
        <f t="shared" si="2"/>
        <v>29500</v>
      </c>
      <c r="U13" s="60">
        <f>IF($J13="","",ROUND(($J13-$J$3)/1000,1)+(_xlfn.RANK.AVG($J13,($J13,$O13,$T13),1)-2)*20)</f>
        <v>-72.5</v>
      </c>
      <c r="V13" s="61">
        <f>IF($O13="","",ROUND(($O13-$O$3)/1000,1)+(_xlfn.RANK.AVG($O13,($J13,$O13,$T13),1)-2)*20)</f>
        <v>77</v>
      </c>
      <c r="W13" s="62">
        <f>IF($T13="","",ROUND(($T13-$T$3)/1000,1)+(_xlfn.RANK.AVG($T13,($J13,$O13,$T13),1)-2)*20)</f>
        <v>-5.5</v>
      </c>
      <c r="Y13" s="8" t="s">
        <v>155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156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156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4"/>
        <v>1</v>
      </c>
      <c r="C14" s="18">
        <f t="shared" si="5"/>
        <v>2</v>
      </c>
      <c r="D14" s="18">
        <f t="shared" si="6"/>
        <v>1</v>
      </c>
      <c r="E14" s="4" t="s">
        <v>143</v>
      </c>
      <c r="F14" s="8"/>
      <c r="G14" s="9"/>
      <c r="H14" s="9"/>
      <c r="I14" s="55"/>
      <c r="J14" s="21">
        <f t="shared" si="0"/>
        <v>-17500</v>
      </c>
      <c r="K14" s="8" t="s">
        <v>152</v>
      </c>
      <c r="L14" s="9">
        <v>-8000</v>
      </c>
      <c r="M14" s="9"/>
      <c r="N14" s="55">
        <v>-2000</v>
      </c>
      <c r="O14" s="21">
        <f t="shared" si="1"/>
        <v>82000</v>
      </c>
      <c r="P14" s="8" t="s">
        <v>151</v>
      </c>
      <c r="Q14" s="9">
        <v>8000</v>
      </c>
      <c r="R14" s="9">
        <v>1000</v>
      </c>
      <c r="S14" s="55">
        <v>2000</v>
      </c>
      <c r="T14" s="21">
        <f t="shared" si="2"/>
        <v>40500</v>
      </c>
      <c r="U14" s="60">
        <f>IF($J14="","",ROUND(($J14-$J$3)/1000,1)+(_xlfn.RANK.AVG($J14,($J14,$O14,$T14),1)-2)*20)</f>
        <v>-72.5</v>
      </c>
      <c r="V14" s="61">
        <f>IF($O14="","",ROUND(($O14-$O$3)/1000,1)+(_xlfn.RANK.AVG($O14,($J14,$O14,$T14),1)-2)*20)</f>
        <v>67</v>
      </c>
      <c r="W14" s="62">
        <f>IF($T14="","",ROUND(($T14-$T$3)/1000,1)+(_xlfn.RANK.AVG($T14,($J14,$O14,$T14),1)-2)*20)</f>
        <v>5.5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4</v>
      </c>
      <c r="BT14" s="36">
        <v>50</v>
      </c>
      <c r="BU14" s="47" t="s">
        <v>148</v>
      </c>
      <c r="BV14" s="48" t="s">
        <v>80</v>
      </c>
      <c r="BW14" s="48" t="s">
        <v>80</v>
      </c>
      <c r="BX14" s="48" t="s">
        <v>80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4"/>
        <v>2</v>
      </c>
      <c r="C15" s="18">
        <f t="shared" si="5"/>
        <v>0</v>
      </c>
      <c r="D15" s="18">
        <f t="shared" si="6"/>
        <v>0</v>
      </c>
      <c r="E15" s="4" t="s">
        <v>162</v>
      </c>
      <c r="F15" s="8" t="s">
        <v>152</v>
      </c>
      <c r="G15" s="9">
        <v>-2000</v>
      </c>
      <c r="H15" s="9"/>
      <c r="I15" s="55">
        <v>0</v>
      </c>
      <c r="J15" s="21">
        <f t="shared" si="0"/>
        <v>-19500</v>
      </c>
      <c r="K15" s="8" t="s">
        <v>151</v>
      </c>
      <c r="L15" s="9">
        <v>2000</v>
      </c>
      <c r="M15" s="9"/>
      <c r="N15" s="55">
        <v>0</v>
      </c>
      <c r="O15" s="21">
        <f t="shared" si="1"/>
        <v>84000</v>
      </c>
      <c r="P15" s="8"/>
      <c r="Q15" s="9"/>
      <c r="R15" s="9"/>
      <c r="S15" s="55"/>
      <c r="T15" s="21">
        <f t="shared" si="2"/>
        <v>40500</v>
      </c>
      <c r="U15" s="60">
        <f>IF($J15="","",ROUND(($J15-$J$3)/1000,1)+(_xlfn.RANK.AVG($J15,($J15,$O15,$T15),1)-2)*20)</f>
        <v>-74.5</v>
      </c>
      <c r="V15" s="61">
        <f>IF($O15="","",ROUND(($O15-$O$3)/1000,1)+(_xlfn.RANK.AVG($O15,($J15,$O15,$T15),1)-2)*20)</f>
        <v>69</v>
      </c>
      <c r="W15" s="62">
        <f>IF($T15="","",ROUND(($T15-$T$3)/1000,1)+(_xlfn.RANK.AVG($T15,($J15,$O15,$T15),1)-2)*20)</f>
        <v>5.5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>
        <v>1</v>
      </c>
      <c r="AX15" s="32">
        <v>2</v>
      </c>
      <c r="AY15" s="36">
        <v>30</v>
      </c>
      <c r="AZ15" s="47" t="s">
        <v>87</v>
      </c>
      <c r="BA15" s="48" t="s">
        <v>87</v>
      </c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4"/>
        <v>3</v>
      </c>
      <c r="C16" s="18">
        <f t="shared" si="5"/>
        <v>0</v>
      </c>
      <c r="D16" s="18">
        <f t="shared" si="6"/>
        <v>0</v>
      </c>
      <c r="E16" s="4" t="s">
        <v>159</v>
      </c>
      <c r="F16" s="8"/>
      <c r="G16" s="9"/>
      <c r="H16" s="9"/>
      <c r="I16" s="55"/>
      <c r="J16" s="21">
        <f t="shared" si="0"/>
        <v>-19500</v>
      </c>
      <c r="K16" s="8" t="s">
        <v>151</v>
      </c>
      <c r="L16" s="9">
        <v>7700</v>
      </c>
      <c r="M16" s="9"/>
      <c r="N16" s="55">
        <v>0</v>
      </c>
      <c r="O16" s="21">
        <f t="shared" si="1"/>
        <v>91700</v>
      </c>
      <c r="P16" s="8" t="s">
        <v>152</v>
      </c>
      <c r="Q16" s="9">
        <v>-7700</v>
      </c>
      <c r="R16" s="9"/>
      <c r="S16" s="55">
        <v>0</v>
      </c>
      <c r="T16" s="21">
        <f t="shared" si="2"/>
        <v>32800</v>
      </c>
      <c r="U16" s="60">
        <f>IF($J16="","",ROUND(($J16-$J$3)/1000,1)+(_xlfn.RANK.AVG($J16,($J16,$O16,$T16),1)-2)*20)</f>
        <v>-74.5</v>
      </c>
      <c r="V16" s="61">
        <f>IF($O16="","",ROUND(($O16-$O$3)/1000,1)+(_xlfn.RANK.AVG($O16,($J16,$O16,$T16),1)-2)*20)</f>
        <v>76.7</v>
      </c>
      <c r="W16" s="62">
        <f>IF($T16="","",ROUND(($T16-$T$3)/1000,1)+(_xlfn.RANK.AVG($T16,($J16,$O16,$T16),1)-2)*20)</f>
        <v>-2.2000000000000002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>
        <v>4</v>
      </c>
      <c r="AY16" s="36">
        <v>30</v>
      </c>
      <c r="AZ16" s="47" t="s">
        <v>84</v>
      </c>
      <c r="BA16" s="48" t="s">
        <v>86</v>
      </c>
      <c r="BB16" s="48" t="s">
        <v>150</v>
      </c>
      <c r="BC16" s="48" t="s">
        <v>80</v>
      </c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655098F-4F75-46A3-9425-C6BFB50DC506}">
      <formula1>$U$2:$W$2</formula1>
    </dataValidation>
    <dataValidation type="list" showInputMessage="1" showErrorMessage="1" sqref="K4:K30 P4:P30 F4:F30" xr:uid="{68BC4CD4-984A-4665-9B2B-9AD68D30A6A8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0F8E-AB65-44DD-9F92-A7FCA14D5B77}">
  <sheetPr codeName="Sheet2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160</v>
      </c>
      <c r="G1" s="98"/>
      <c r="H1" s="98"/>
      <c r="I1" s="107"/>
      <c r="J1" s="99"/>
      <c r="K1" s="96" t="s">
        <v>144</v>
      </c>
      <c r="L1" s="98"/>
      <c r="M1" s="98"/>
      <c r="N1" s="107"/>
      <c r="O1" s="99"/>
      <c r="P1" s="96" t="s">
        <v>163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ただ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れんたろう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ぱぱ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94" t="str">
        <f>$F$1</f>
        <v>ただ</v>
      </c>
      <c r="V2" s="95" t="str">
        <f>$K$1</f>
        <v>れんたろう</v>
      </c>
      <c r="W2" s="16" t="str">
        <f>$P$1</f>
        <v>ぱぱ</v>
      </c>
      <c r="Y2" s="90" t="s">
        <v>24</v>
      </c>
      <c r="Z2" s="91" t="s">
        <v>27</v>
      </c>
      <c r="AA2" s="92" t="s">
        <v>25</v>
      </c>
      <c r="AB2" s="92" t="s">
        <v>128</v>
      </c>
      <c r="AC2" s="92" t="s">
        <v>19</v>
      </c>
      <c r="AD2" s="93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90" t="s">
        <v>24</v>
      </c>
      <c r="AU2" s="91" t="s">
        <v>27</v>
      </c>
      <c r="AV2" s="92" t="s">
        <v>25</v>
      </c>
      <c r="AW2" s="92" t="s">
        <v>129</v>
      </c>
      <c r="AX2" s="92" t="s">
        <v>19</v>
      </c>
      <c r="AY2" s="93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90" t="s">
        <v>24</v>
      </c>
      <c r="BP2" s="91" t="s">
        <v>27</v>
      </c>
      <c r="BQ2" s="92" t="s">
        <v>25</v>
      </c>
      <c r="BR2" s="92" t="s">
        <v>129</v>
      </c>
      <c r="BS2" s="92" t="s">
        <v>19</v>
      </c>
      <c r="BT2" s="93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164</v>
      </c>
      <c r="F4" s="8" t="s">
        <v>151</v>
      </c>
      <c r="G4" s="9">
        <v>5200</v>
      </c>
      <c r="H4" s="9"/>
      <c r="I4" s="55">
        <v>0</v>
      </c>
      <c r="J4" s="21">
        <f t="shared" ref="J4:J30" si="0">IF(COUNTA($F4,$K4,$P4)&gt;0,J3+SUM(G4:I4),"")</f>
        <v>40200</v>
      </c>
      <c r="K4" s="8"/>
      <c r="L4" s="9"/>
      <c r="M4" s="9"/>
      <c r="N4" s="55"/>
      <c r="O4" s="21">
        <f t="shared" ref="O4:O30" si="1">IF(COUNTA($F4,$K4,$P4)&gt;0,O3+SUM(L4:N4),"")</f>
        <v>35000</v>
      </c>
      <c r="P4" s="8" t="s">
        <v>152</v>
      </c>
      <c r="Q4" s="9">
        <v>-5200</v>
      </c>
      <c r="R4" s="9"/>
      <c r="S4" s="55">
        <v>0</v>
      </c>
      <c r="T4" s="21">
        <f t="shared" ref="T4:T30" si="2">IF(COUNTA($F4,$K4,$P4)&gt;0,T3+SUM(Q4:S4),"")</f>
        <v>29800</v>
      </c>
      <c r="U4" s="60">
        <f>IF($J4="","",ROUND(($J4-$J$3)/1000,1)+(_xlfn.RANK.AVG($J4,($J4,$O4,$T4),1)-2)*20)</f>
        <v>25.2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-25.2</v>
      </c>
      <c r="Y4" s="8"/>
      <c r="Z4" s="41"/>
      <c r="AA4" s="32"/>
      <c r="AB4" s="32"/>
      <c r="AC4" s="32">
        <v>3</v>
      </c>
      <c r="AD4" s="36">
        <v>40</v>
      </c>
      <c r="AE4" s="47" t="s">
        <v>85</v>
      </c>
      <c r="AF4" s="48" t="s">
        <v>80</v>
      </c>
      <c r="AG4" s="48" t="s">
        <v>80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159</v>
      </c>
      <c r="F5" s="8" t="s">
        <v>154</v>
      </c>
      <c r="G5" s="9">
        <v>5000</v>
      </c>
      <c r="H5" s="9"/>
      <c r="I5" s="55"/>
      <c r="J5" s="21">
        <f t="shared" si="0"/>
        <v>45200</v>
      </c>
      <c r="K5" s="8" t="s">
        <v>154</v>
      </c>
      <c r="L5" s="9">
        <v>3000</v>
      </c>
      <c r="M5" s="9"/>
      <c r="N5" s="55"/>
      <c r="O5" s="21">
        <f t="shared" si="1"/>
        <v>38000</v>
      </c>
      <c r="P5" s="8" t="s">
        <v>154</v>
      </c>
      <c r="Q5" s="9">
        <v>-8000</v>
      </c>
      <c r="R5" s="9">
        <v>-1000</v>
      </c>
      <c r="S5" s="55"/>
      <c r="T5" s="21">
        <f t="shared" si="2"/>
        <v>20800</v>
      </c>
      <c r="U5" s="60">
        <f>IF($J5="","",ROUND(($J5-$J$3)/1000,1)+(_xlfn.RANK.AVG($J5,($J5,$O5,$T5),1)-2)*20)</f>
        <v>30.2</v>
      </c>
      <c r="V5" s="61">
        <f>IF($O5="","",ROUND(($O5-$O$3)/1000,1)+(_xlfn.RANK.AVG($O5,($J5,$O5,$T5),1)-2)*20)</f>
        <v>3</v>
      </c>
      <c r="W5" s="62">
        <f>IF($T5="","",ROUND(($T5-$T$3)/1000,1)+(_xlfn.RANK.AVG($T5,($J5,$O5,$T5),1)-2)*20)</f>
        <v>-34.200000000000003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>
        <v>1</v>
      </c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0</v>
      </c>
      <c r="D6" s="18">
        <f t="shared" si="6"/>
        <v>1</v>
      </c>
      <c r="E6" s="4" t="s">
        <v>159</v>
      </c>
      <c r="F6" s="8" t="s">
        <v>145</v>
      </c>
      <c r="G6" s="9">
        <v>-10000</v>
      </c>
      <c r="H6" s="9"/>
      <c r="I6" s="55">
        <v>0</v>
      </c>
      <c r="J6" s="21">
        <f t="shared" si="0"/>
        <v>35200</v>
      </c>
      <c r="K6" s="8" t="s">
        <v>145</v>
      </c>
      <c r="L6" s="9">
        <v>-6000</v>
      </c>
      <c r="M6" s="9"/>
      <c r="N6" s="55">
        <v>0</v>
      </c>
      <c r="O6" s="21">
        <f t="shared" si="1"/>
        <v>32000</v>
      </c>
      <c r="P6" s="8" t="s">
        <v>146</v>
      </c>
      <c r="Q6" s="9">
        <v>16000</v>
      </c>
      <c r="R6" s="9">
        <v>1000</v>
      </c>
      <c r="S6" s="55">
        <v>0</v>
      </c>
      <c r="T6" s="21">
        <f t="shared" si="2"/>
        <v>37800</v>
      </c>
      <c r="U6" s="60">
        <f>IF($J6="","",ROUND(($J6-$J$3)/1000,1)+(_xlfn.RANK.AVG($J6,($J6,$O6,$T6),1)-2)*20)</f>
        <v>0.2</v>
      </c>
      <c r="V6" s="61">
        <f>IF($O6="","",ROUND(($O6-$O$3)/1000,1)+(_xlfn.RANK.AVG($O6,($J6,$O6,$T6),1)-2)*20)</f>
        <v>-23</v>
      </c>
      <c r="W6" s="62">
        <f>IF($T6="","",ROUND(($T6-$T$3)/1000,1)+(_xlfn.RANK.AVG($T6,($J6,$O6,$T6),1)-2)*20)</f>
        <v>22.8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10</v>
      </c>
      <c r="BT6" s="36" t="s">
        <v>147</v>
      </c>
      <c r="BU6" s="47" t="s">
        <v>148</v>
      </c>
      <c r="BV6" s="48" t="s">
        <v>83</v>
      </c>
      <c r="BW6" s="48" t="s">
        <v>105</v>
      </c>
      <c r="BX6" s="48" t="s">
        <v>80</v>
      </c>
      <c r="BY6" s="48" t="s">
        <v>80</v>
      </c>
      <c r="BZ6" s="48" t="s">
        <v>80</v>
      </c>
      <c r="CA6" s="48" t="s">
        <v>80</v>
      </c>
      <c r="CB6" s="48" t="s">
        <v>150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143</v>
      </c>
      <c r="F7" s="8" t="s">
        <v>145</v>
      </c>
      <c r="G7" s="9">
        <v>-3000</v>
      </c>
      <c r="H7" s="9"/>
      <c r="I7" s="55">
        <v>0</v>
      </c>
      <c r="J7" s="21">
        <f t="shared" si="0"/>
        <v>32200</v>
      </c>
      <c r="K7" s="8" t="s">
        <v>145</v>
      </c>
      <c r="L7" s="9">
        <v>-5000</v>
      </c>
      <c r="M7" s="9"/>
      <c r="N7" s="55">
        <v>0</v>
      </c>
      <c r="O7" s="21">
        <f t="shared" si="1"/>
        <v>27000</v>
      </c>
      <c r="P7" s="8" t="s">
        <v>146</v>
      </c>
      <c r="Q7" s="9">
        <v>8000</v>
      </c>
      <c r="R7" s="9"/>
      <c r="S7" s="55">
        <v>0</v>
      </c>
      <c r="T7" s="21">
        <f t="shared" si="2"/>
        <v>45800</v>
      </c>
      <c r="U7" s="60">
        <f>IF($J7="","",ROUND(($J7-$J$3)/1000,1)+(_xlfn.RANK.AVG($J7,($J7,$O7,$T7),1)-2)*20)</f>
        <v>-2.8</v>
      </c>
      <c r="V7" s="61">
        <f>IF($O7="","",ROUND(($O7-$O$3)/1000,1)+(_xlfn.RANK.AVG($O7,($J7,$O7,$T7),1)-2)*20)</f>
        <v>-28</v>
      </c>
      <c r="W7" s="62">
        <f>IF($T7="","",ROUND(($T7-$T$3)/1000,1)+(_xlfn.RANK.AVG($T7,($J7,$O7,$T7),1)-2)*20)</f>
        <v>30.8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86</v>
      </c>
      <c r="BX7" s="48" t="s">
        <v>102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164</v>
      </c>
      <c r="F8" s="8" t="s">
        <v>157</v>
      </c>
      <c r="G8" s="9">
        <v>-1500</v>
      </c>
      <c r="H8" s="9"/>
      <c r="I8" s="55"/>
      <c r="J8" s="21">
        <f t="shared" si="0"/>
        <v>30700</v>
      </c>
      <c r="K8" s="8" t="s">
        <v>157</v>
      </c>
      <c r="L8" s="9">
        <v>-1500</v>
      </c>
      <c r="M8" s="9"/>
      <c r="N8" s="55"/>
      <c r="O8" s="21">
        <f t="shared" si="1"/>
        <v>25500</v>
      </c>
      <c r="P8" s="8" t="s">
        <v>157</v>
      </c>
      <c r="Q8" s="9">
        <v>3000</v>
      </c>
      <c r="R8" s="9">
        <v>-1000</v>
      </c>
      <c r="S8" s="55"/>
      <c r="T8" s="21">
        <f t="shared" si="2"/>
        <v>47800</v>
      </c>
      <c r="U8" s="60">
        <f>IF($J8="","",ROUND(($J8-$J$3)/1000,1)+(_xlfn.RANK.AVG($J8,($J8,$O8,$T8),1)-2)*20)</f>
        <v>-4.3</v>
      </c>
      <c r="V8" s="61">
        <f>IF($O8="","",ROUND(($O8-$O$3)/1000,1)+(_xlfn.RANK.AVG($O8,($J8,$O8,$T8),1)-2)*20)</f>
        <v>-29.5</v>
      </c>
      <c r="W8" s="62">
        <f>IF($T8="","",ROUND(($T8-$T$3)/1000,1)+(_xlfn.RANK.AVG($T8,($J8,$O8,$T8),1)-2)*20)</f>
        <v>32.799999999999997</v>
      </c>
      <c r="Y8" s="8" t="s">
        <v>155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156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1</v>
      </c>
      <c r="D9" s="18">
        <f t="shared" si="6"/>
        <v>1</v>
      </c>
      <c r="E9" s="4" t="s">
        <v>164</v>
      </c>
      <c r="F9" s="8" t="s">
        <v>145</v>
      </c>
      <c r="G9" s="9">
        <v>-3000</v>
      </c>
      <c r="H9" s="9">
        <v>-1000</v>
      </c>
      <c r="I9" s="55">
        <v>-500</v>
      </c>
      <c r="J9" s="21">
        <f t="shared" si="0"/>
        <v>26200</v>
      </c>
      <c r="K9" s="8" t="s">
        <v>145</v>
      </c>
      <c r="L9" s="9">
        <v>-3000</v>
      </c>
      <c r="M9" s="9"/>
      <c r="N9" s="55">
        <v>-500</v>
      </c>
      <c r="O9" s="21">
        <f t="shared" si="1"/>
        <v>22000</v>
      </c>
      <c r="P9" s="8" t="s">
        <v>146</v>
      </c>
      <c r="Q9" s="9">
        <v>6000</v>
      </c>
      <c r="R9" s="9">
        <v>2000</v>
      </c>
      <c r="S9" s="55">
        <v>1000</v>
      </c>
      <c r="T9" s="21">
        <f t="shared" si="2"/>
        <v>56800</v>
      </c>
      <c r="U9" s="60">
        <f>IF($J9="","",ROUND(($J9-$J$3)/1000,1)+(_xlfn.RANK.AVG($J9,($J9,$O9,$T9),1)-2)*20)</f>
        <v>-8.8000000000000007</v>
      </c>
      <c r="V9" s="61">
        <f>IF($O9="","",ROUND(($O9-$O$3)/1000,1)+(_xlfn.RANK.AVG($O9,($J9,$O9,$T9),1)-2)*20)</f>
        <v>-33</v>
      </c>
      <c r="W9" s="62">
        <f>IF($T9="","",ROUND(($T9-$T$3)/1000,1)+(_xlfn.RANK.AVG($T9,($J9,$O9,$T9),1)-2)*20)</f>
        <v>41.8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30</v>
      </c>
      <c r="BU9" s="47" t="s">
        <v>148</v>
      </c>
      <c r="BV9" s="48" t="s">
        <v>83</v>
      </c>
      <c r="BW9" s="48" t="s">
        <v>86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4"/>
        <v>1</v>
      </c>
      <c r="C10" s="18">
        <f t="shared" si="5"/>
        <v>2</v>
      </c>
      <c r="D10" s="18">
        <f t="shared" si="6"/>
        <v>0</v>
      </c>
      <c r="E10" s="4" t="s">
        <v>164</v>
      </c>
      <c r="F10" s="8" t="s">
        <v>146</v>
      </c>
      <c r="G10" s="9">
        <v>1200</v>
      </c>
      <c r="H10" s="9">
        <v>1000</v>
      </c>
      <c r="I10" s="55">
        <v>2000</v>
      </c>
      <c r="J10" s="21">
        <f t="shared" si="0"/>
        <v>30400</v>
      </c>
      <c r="K10" s="8" t="s">
        <v>145</v>
      </c>
      <c r="L10" s="9">
        <v>-500</v>
      </c>
      <c r="M10" s="9">
        <v>-1000</v>
      </c>
      <c r="N10" s="55">
        <v>-1000</v>
      </c>
      <c r="O10" s="21">
        <f t="shared" si="1"/>
        <v>19500</v>
      </c>
      <c r="P10" s="8" t="s">
        <v>145</v>
      </c>
      <c r="Q10" s="9">
        <v>-700</v>
      </c>
      <c r="R10" s="9"/>
      <c r="S10" s="55">
        <v>-1000</v>
      </c>
      <c r="T10" s="21">
        <f t="shared" si="2"/>
        <v>55100</v>
      </c>
      <c r="U10" s="60">
        <f>IF($J10="","",ROUND(($J10-$J$3)/1000,1)+(_xlfn.RANK.AVG($J10,($J10,$O10,$T10),1)-2)*20)</f>
        <v>-4.5999999999999996</v>
      </c>
      <c r="V10" s="61">
        <f>IF($O10="","",ROUND(($O10-$O$3)/1000,1)+(_xlfn.RANK.AVG($O10,($J10,$O10,$T10),1)-2)*20)</f>
        <v>-35.5</v>
      </c>
      <c r="W10" s="62">
        <f>IF($T10="","",ROUND(($T10-$T$3)/1000,1)+(_xlfn.RANK.AVG($T10,($J10,$O10,$T10),1)-2)*20)</f>
        <v>40.1</v>
      </c>
      <c r="Y10" s="8"/>
      <c r="Z10" s="41"/>
      <c r="AA10" s="32"/>
      <c r="AB10" s="32"/>
      <c r="AC10" s="32">
        <v>1</v>
      </c>
      <c r="AD10" s="36">
        <v>30</v>
      </c>
      <c r="AE10" s="47" t="s">
        <v>83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0</v>
      </c>
      <c r="D11" s="18">
        <f t="shared" si="6"/>
        <v>0</v>
      </c>
      <c r="E11" s="4" t="s">
        <v>159</v>
      </c>
      <c r="F11" s="8" t="s">
        <v>151</v>
      </c>
      <c r="G11" s="9">
        <v>2000</v>
      </c>
      <c r="H11" s="9"/>
      <c r="I11" s="55">
        <v>0</v>
      </c>
      <c r="J11" s="21">
        <f t="shared" si="0"/>
        <v>32400</v>
      </c>
      <c r="K11" s="8"/>
      <c r="L11" s="9"/>
      <c r="M11" s="9"/>
      <c r="N11" s="55"/>
      <c r="O11" s="21">
        <f t="shared" si="1"/>
        <v>19500</v>
      </c>
      <c r="P11" s="8" t="s">
        <v>152</v>
      </c>
      <c r="Q11" s="9">
        <v>-2000</v>
      </c>
      <c r="R11" s="9"/>
      <c r="S11" s="55">
        <v>0</v>
      </c>
      <c r="T11" s="21">
        <f t="shared" si="2"/>
        <v>53100</v>
      </c>
      <c r="U11" s="60">
        <f>IF($J11="","",ROUND(($J11-$J$3)/1000,1)+(_xlfn.RANK.AVG($J11,($J11,$O11,$T11),1)-2)*20)</f>
        <v>-2.6</v>
      </c>
      <c r="V11" s="61">
        <f>IF($O11="","",ROUND(($O11-$O$3)/1000,1)+(_xlfn.RANK.AVG($O11,($J11,$O11,$T11),1)-2)*20)</f>
        <v>-35.5</v>
      </c>
      <c r="W11" s="62">
        <f>IF($T11="","",ROUND(($T11-$T$3)/1000,1)+(_xlfn.RANK.AVG($T11,($J11,$O11,$T11),1)-2)*20)</f>
        <v>38.1</v>
      </c>
      <c r="Y11" s="8"/>
      <c r="Z11" s="41"/>
      <c r="AA11" s="32">
        <v>1</v>
      </c>
      <c r="AB11" s="32"/>
      <c r="AC11" s="32">
        <v>1</v>
      </c>
      <c r="AD11" s="36">
        <v>40</v>
      </c>
      <c r="AE11" s="47" t="s">
        <v>148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4"/>
        <v>2</v>
      </c>
      <c r="C12" s="18">
        <f t="shared" si="5"/>
        <v>1</v>
      </c>
      <c r="D12" s="18">
        <f t="shared" si="6"/>
        <v>0</v>
      </c>
      <c r="E12" s="4" t="s">
        <v>159</v>
      </c>
      <c r="F12" s="8"/>
      <c r="G12" s="9"/>
      <c r="H12" s="9"/>
      <c r="I12" s="55"/>
      <c r="J12" s="21">
        <f t="shared" si="0"/>
        <v>32400</v>
      </c>
      <c r="K12" s="8" t="s">
        <v>151</v>
      </c>
      <c r="L12" s="9">
        <v>1300</v>
      </c>
      <c r="M12" s="9"/>
      <c r="N12" s="55">
        <v>1000</v>
      </c>
      <c r="O12" s="21">
        <f t="shared" si="1"/>
        <v>21800</v>
      </c>
      <c r="P12" s="8" t="s">
        <v>152</v>
      </c>
      <c r="Q12" s="9">
        <v>-1300</v>
      </c>
      <c r="R12" s="9"/>
      <c r="S12" s="55">
        <v>-1000</v>
      </c>
      <c r="T12" s="21">
        <f t="shared" si="2"/>
        <v>50800</v>
      </c>
      <c r="U12" s="60">
        <f>IF($J12="","",ROUND(($J12-$J$3)/1000,1)+(_xlfn.RANK.AVG($J12,($J12,$O12,$T12),1)-2)*20)</f>
        <v>-2.6</v>
      </c>
      <c r="V12" s="61">
        <f>IF($O12="","",ROUND(($O12-$O$3)/1000,1)+(_xlfn.RANK.AVG($O12,($J12,$O12,$T12),1)-2)*20)</f>
        <v>-33.200000000000003</v>
      </c>
      <c r="W12" s="62">
        <f>IF($T12="","",ROUND(($T12-$T$3)/1000,1)+(_xlfn.RANK.AVG($T12,($J12,$O12,$T12),1)-2)*20)</f>
        <v>35.799999999999997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1</v>
      </c>
      <c r="AY12" s="36">
        <v>40</v>
      </c>
      <c r="AZ12" s="47" t="s">
        <v>85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3</v>
      </c>
      <c r="C13" s="18">
        <f t="shared" si="5"/>
        <v>0</v>
      </c>
      <c r="D13" s="18">
        <f t="shared" si="6"/>
        <v>0</v>
      </c>
      <c r="E13" s="4" t="s">
        <v>143</v>
      </c>
      <c r="F13" s="8" t="s">
        <v>145</v>
      </c>
      <c r="G13" s="9">
        <v>-9000</v>
      </c>
      <c r="H13" s="9"/>
      <c r="I13" s="55">
        <v>0</v>
      </c>
      <c r="J13" s="21">
        <f t="shared" si="0"/>
        <v>23400</v>
      </c>
      <c r="K13" s="8" t="s">
        <v>146</v>
      </c>
      <c r="L13" s="9">
        <v>18000</v>
      </c>
      <c r="M13" s="9"/>
      <c r="N13" s="55">
        <v>0</v>
      </c>
      <c r="O13" s="21">
        <f t="shared" si="1"/>
        <v>39800</v>
      </c>
      <c r="P13" s="8" t="s">
        <v>145</v>
      </c>
      <c r="Q13" s="9">
        <v>-9000</v>
      </c>
      <c r="R13" s="9"/>
      <c r="S13" s="55">
        <v>0</v>
      </c>
      <c r="T13" s="21">
        <f t="shared" si="2"/>
        <v>41800</v>
      </c>
      <c r="U13" s="60">
        <f>IF($J13="","",ROUND(($J13-$J$3)/1000,1)+(_xlfn.RANK.AVG($J13,($J13,$O13,$T13),1)-2)*20)</f>
        <v>-31.6</v>
      </c>
      <c r="V13" s="61">
        <f>IF($O13="","",ROUND(($O13-$O$3)/1000,1)+(_xlfn.RANK.AVG($O13,($J13,$O13,$T13),1)-2)*20)</f>
        <v>4.8</v>
      </c>
      <c r="W13" s="62">
        <f>IF($T13="","",ROUND(($T13-$T$3)/1000,1)+(_xlfn.RANK.AVG($T13,($J13,$O13,$T13),1)-2)*20)</f>
        <v>26.8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6</v>
      </c>
      <c r="AY13" s="36" t="s">
        <v>147</v>
      </c>
      <c r="AZ13" s="47" t="s">
        <v>87</v>
      </c>
      <c r="BA13" s="48" t="s">
        <v>87</v>
      </c>
      <c r="BB13" s="48" t="s">
        <v>105</v>
      </c>
      <c r="BC13" s="48" t="s">
        <v>99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4"/>
        <v>3</v>
      </c>
      <c r="C14" s="18">
        <f t="shared" si="5"/>
        <v>1</v>
      </c>
      <c r="D14" s="18">
        <f t="shared" si="6"/>
        <v>0</v>
      </c>
      <c r="E14" s="4" t="s">
        <v>143</v>
      </c>
      <c r="F14" s="8"/>
      <c r="G14" s="9"/>
      <c r="H14" s="9"/>
      <c r="I14" s="55"/>
      <c r="J14" s="21">
        <f t="shared" si="0"/>
        <v>23400</v>
      </c>
      <c r="K14" s="8" t="s">
        <v>152</v>
      </c>
      <c r="L14" s="9">
        <v>-8000</v>
      </c>
      <c r="M14" s="9"/>
      <c r="N14" s="55">
        <v>-1000</v>
      </c>
      <c r="O14" s="21">
        <f t="shared" si="1"/>
        <v>30800</v>
      </c>
      <c r="P14" s="8" t="s">
        <v>151</v>
      </c>
      <c r="Q14" s="9">
        <v>8000</v>
      </c>
      <c r="R14" s="9"/>
      <c r="S14" s="55">
        <v>1000</v>
      </c>
      <c r="T14" s="21">
        <f t="shared" si="2"/>
        <v>50800</v>
      </c>
      <c r="U14" s="60">
        <f>IF($J14="","",ROUND(($J14-$J$3)/1000,1)+(_xlfn.RANK.AVG($J14,($J14,$O14,$T14),1)-2)*20)</f>
        <v>-31.6</v>
      </c>
      <c r="V14" s="61">
        <f>IF($O14="","",ROUND(($O14-$O$3)/1000,1)+(_xlfn.RANK.AVG($O14,($J14,$O14,$T14),1)-2)*20)</f>
        <v>-4.2</v>
      </c>
      <c r="W14" s="62">
        <f>IF($T14="","",ROUND(($T14-$T$3)/1000,1)+(_xlfn.RANK.AVG($T14,($J14,$O14,$T14),1)-2)*20)</f>
        <v>35.799999999999997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>
        <v>4</v>
      </c>
      <c r="BT14" s="36">
        <v>40</v>
      </c>
      <c r="BU14" s="47" t="s">
        <v>105</v>
      </c>
      <c r="BV14" s="48" t="s">
        <v>85</v>
      </c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86984726-C34F-4278-9F1C-F54D977A60C2}">
      <formula1>"ロン,ツモ,放銃,ツモ支払,流局,チョンボ"</formula1>
    </dataValidation>
    <dataValidation type="list" allowBlank="1" showInputMessage="1" showErrorMessage="1" sqref="E4:E30" xr:uid="{2EEB06FA-F7B0-4DB6-A5FB-B1565C534914}">
      <formula1>$U$2:$W$2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2019-04-07T16:33:25Z</dcterms:modified>
</cp:coreProperties>
</file>