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FB114D22-D2E7-41D5-9706-F796FC2A016C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C16" i="20"/>
  <c r="C15" i="20"/>
  <c r="D14" i="20"/>
  <c r="D15" i="20" s="1"/>
  <c r="D16" i="20" s="1"/>
  <c r="C14" i="20"/>
  <c r="D13" i="20"/>
  <c r="D12" i="20"/>
  <c r="D10" i="20"/>
  <c r="D11" i="20" s="1"/>
  <c r="D9" i="20"/>
  <c r="C9" i="20"/>
  <c r="C10" i="20" s="1"/>
  <c r="C11" i="20" s="1"/>
  <c r="C12" i="20" s="1"/>
  <c r="C13" i="20" s="1"/>
  <c r="D8" i="20"/>
  <c r="D7" i="20"/>
  <c r="C7" i="20"/>
  <c r="C8" i="20" s="1"/>
  <c r="B7" i="20"/>
  <c r="B8" i="20" s="1"/>
  <c r="D6" i="20"/>
  <c r="B6" i="20"/>
  <c r="T5" i="20"/>
  <c r="O5" i="20"/>
  <c r="D5" i="20"/>
  <c r="C5" i="20"/>
  <c r="C6" i="20" s="1"/>
  <c r="B5" i="20"/>
  <c r="T4" i="20"/>
  <c r="O4" i="20"/>
  <c r="J4" i="20"/>
  <c r="J5" i="20" s="1"/>
  <c r="W3" i="20"/>
  <c r="V3" i="20"/>
  <c r="U3" i="20"/>
  <c r="W2" i="20"/>
  <c r="V2" i="20"/>
  <c r="U2" i="20"/>
  <c r="BO1" i="20"/>
  <c r="AT1" i="20"/>
  <c r="Y1" i="20"/>
  <c r="A6" i="20" l="1"/>
  <c r="A5" i="20"/>
  <c r="W4" i="20"/>
  <c r="U4" i="20"/>
  <c r="U5" i="20"/>
  <c r="J6" i="20"/>
  <c r="V5" i="20"/>
  <c r="W5" i="20"/>
  <c r="A7" i="20"/>
  <c r="A8" i="20" s="1"/>
  <c r="B9" i="20"/>
  <c r="V4" i="20"/>
  <c r="O6" i="20"/>
  <c r="T6" i="20"/>
  <c r="U6" i="20" l="1"/>
  <c r="J7" i="20"/>
  <c r="V6" i="20"/>
  <c r="O7" i="20"/>
  <c r="B10" i="20"/>
  <c r="A9" i="20"/>
  <c r="T7" i="20"/>
  <c r="W6" i="20"/>
  <c r="A10" i="20" l="1"/>
  <c r="T8" i="20"/>
  <c r="W7" i="20"/>
  <c r="B11" i="20"/>
  <c r="A11" i="20" s="1"/>
  <c r="U7" i="20"/>
  <c r="J8" i="20"/>
  <c r="O8" i="20"/>
  <c r="V7" i="20"/>
  <c r="O9" i="20" l="1"/>
  <c r="V8" i="20"/>
  <c r="U8" i="20"/>
  <c r="J9" i="20"/>
  <c r="B12" i="20"/>
  <c r="A12" i="20" s="1"/>
  <c r="W8" i="20"/>
  <c r="T9" i="20"/>
  <c r="V9" i="20" l="1"/>
  <c r="O10" i="20"/>
  <c r="T10" i="20"/>
  <c r="W9" i="20"/>
  <c r="B13" i="20"/>
  <c r="U9" i="20"/>
  <c r="J10" i="20"/>
  <c r="J11" i="20" l="1"/>
  <c r="U10" i="20"/>
  <c r="V10" i="20"/>
  <c r="O11" i="20"/>
  <c r="B14" i="20"/>
  <c r="A14" i="20" s="1"/>
  <c r="A13" i="20"/>
  <c r="T11" i="20"/>
  <c r="W10" i="20"/>
  <c r="J12" i="20" l="1"/>
  <c r="U11" i="20"/>
  <c r="W11" i="20"/>
  <c r="T12" i="20"/>
  <c r="V11" i="20"/>
  <c r="O12" i="20"/>
  <c r="B15" i="20"/>
  <c r="B16" i="20" l="1"/>
  <c r="A16" i="20" s="1"/>
  <c r="U12" i="20"/>
  <c r="J13" i="20"/>
  <c r="A15" i="20"/>
  <c r="O13" i="20"/>
  <c r="V12" i="20"/>
  <c r="W12" i="20"/>
  <c r="T13" i="20"/>
  <c r="W13" i="20" l="1"/>
  <c r="T14" i="20"/>
  <c r="V13" i="20"/>
  <c r="O14" i="20"/>
  <c r="U13" i="20"/>
  <c r="J14" i="20"/>
  <c r="V14" i="20" l="1"/>
  <c r="O15" i="20"/>
  <c r="J15" i="20"/>
  <c r="U14" i="20"/>
  <c r="W14" i="20"/>
  <c r="T15" i="20"/>
  <c r="J16" i="20" l="1"/>
  <c r="U15" i="20"/>
  <c r="W15" i="20"/>
  <c r="T16" i="20"/>
  <c r="V15" i="20"/>
  <c r="O16" i="20"/>
  <c r="V16" i="20" s="1"/>
  <c r="W16" i="20" l="1"/>
  <c r="U16" i="20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 s="1"/>
  <c r="T16" i="19"/>
  <c r="O16" i="19"/>
  <c r="J16" i="19"/>
  <c r="D16" i="19"/>
  <c r="C16" i="19"/>
  <c r="B16" i="19"/>
  <c r="A16" i="19" s="1"/>
  <c r="T15" i="19"/>
  <c r="O15" i="19"/>
  <c r="V15" i="19" s="1"/>
  <c r="J15" i="19"/>
  <c r="U15" i="19" s="1"/>
  <c r="D15" i="19"/>
  <c r="C15" i="19"/>
  <c r="B15" i="19"/>
  <c r="A15" i="19" s="1"/>
  <c r="T14" i="19"/>
  <c r="O14" i="19"/>
  <c r="J14" i="19"/>
  <c r="U14" i="19" s="1"/>
  <c r="D14" i="19"/>
  <c r="C14" i="19"/>
  <c r="B14" i="19"/>
  <c r="A14" i="19" s="1"/>
  <c r="T13" i="19"/>
  <c r="W13" i="19" s="1"/>
  <c r="O13" i="19"/>
  <c r="J13" i="19"/>
  <c r="D13" i="19"/>
  <c r="C13" i="19"/>
  <c r="B13" i="19"/>
  <c r="A13" i="19" s="1"/>
  <c r="T12" i="19"/>
  <c r="W12" i="19" s="1"/>
  <c r="O12" i="19"/>
  <c r="V12" i="19" s="1"/>
  <c r="J12" i="19"/>
  <c r="D12" i="19"/>
  <c r="C12" i="19"/>
  <c r="B12" i="19"/>
  <c r="A12" i="19" s="1"/>
  <c r="T11" i="19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 s="1"/>
  <c r="T8" i="19"/>
  <c r="O8" i="19"/>
  <c r="V8" i="19" s="1"/>
  <c r="J8" i="19"/>
  <c r="U8" i="19" s="1"/>
  <c r="D8" i="19"/>
  <c r="C8" i="19"/>
  <c r="B8" i="19"/>
  <c r="A8" i="19" s="1"/>
  <c r="T7" i="19"/>
  <c r="O7" i="19"/>
  <c r="J7" i="19"/>
  <c r="U7" i="19" s="1"/>
  <c r="D7" i="19"/>
  <c r="C7" i="19"/>
  <c r="B7" i="19"/>
  <c r="A7" i="19" s="1"/>
  <c r="T6" i="19"/>
  <c r="O6" i="19"/>
  <c r="J6" i="19"/>
  <c r="U6" i="19" s="1"/>
  <c r="D6" i="19"/>
  <c r="C6" i="19"/>
  <c r="B6" i="19"/>
  <c r="A6" i="19" s="1"/>
  <c r="D5" i="19"/>
  <c r="C5" i="19"/>
  <c r="B5" i="19"/>
  <c r="A5" i="19"/>
  <c r="T4" i="19"/>
  <c r="O4" i="19"/>
  <c r="J4" i="19"/>
  <c r="W3" i="19"/>
  <c r="V3" i="19"/>
  <c r="U3" i="19"/>
  <c r="W2" i="19"/>
  <c r="V2" i="19"/>
  <c r="U2" i="19"/>
  <c r="BO1" i="19"/>
  <c r="AT1" i="19"/>
  <c r="Y1" i="19"/>
  <c r="W16" i="19" l="1"/>
  <c r="U16" i="19"/>
  <c r="V16" i="19"/>
  <c r="W15" i="19"/>
  <c r="V14" i="19"/>
  <c r="W14" i="19"/>
  <c r="U13" i="19"/>
  <c r="V13" i="19"/>
  <c r="U12" i="19"/>
  <c r="W11" i="19"/>
  <c r="V10" i="19"/>
  <c r="W10" i="19"/>
  <c r="W8" i="19"/>
  <c r="V7" i="19"/>
  <c r="W7" i="19"/>
  <c r="W6" i="19"/>
  <c r="V6" i="19"/>
  <c r="T5" i="19"/>
  <c r="U4" i="19"/>
  <c r="V4" i="19"/>
  <c r="W4" i="19"/>
  <c r="J5" i="19"/>
  <c r="O5" i="19"/>
  <c r="V5" i="19" l="1"/>
  <c r="W5" i="19"/>
  <c r="U5" i="19"/>
</calcChain>
</file>

<file path=xl/sharedStrings.xml><?xml version="1.0" encoding="utf-8"?>
<sst xmlns="http://schemas.openxmlformats.org/spreadsheetml/2006/main" count="688" uniqueCount="161">
  <si>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</si>
  <si>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</si>
  <si>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</si>
  <si>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</si>
  <si>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</si>
  <si>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</si>
  <si>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</si>
  <si>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</si>
  <si>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</si>
  <si>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</si>
  <si>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</si>
  <si>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</si>
  <si>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</si>
  <si>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</si>
  <si>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</si>
  <si>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</si>
  <si>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</si>
  <si>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</si>
  <si>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</si>
  <si>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</si>
  <si>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</si>
  <si>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</si>
  <si>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</si>
  <si>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</si>
  <si>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</si>
  <si>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</si>
  <si>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</si>
  <si>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</si>
  <si>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</si>
  <si>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</si>
  <si>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</si>
  <si>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</si>
  <si>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</si>
  <si>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</si>
  <si>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</si>
  <si>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</si>
  <si>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</si>
  <si>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</si>
  <si>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</si>
  <si>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</si>
  <si>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</si>
  <si>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</si>
  <si>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</si>
  <si>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</si>
  <si>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</si>
  <si>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</si>
  <si>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</si>
  <si>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</si>
  <si>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</si>
  <si>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</si>
  <si>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</si>
  <si>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</si>
  <si>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</si>
  <si>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</si>
  <si>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</si>
  <si>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</si>
  <si>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</si>
  <si>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</si>
  <si>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</si>
  <si>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</si>
  <si>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</si>
  <si>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</si>
  <si>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</si>
  <si>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</si>
  <si>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</si>
  <si>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</si>
  <si>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</si>
  <si>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</si>
  <si>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</si>
  <si>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</si>
  <si>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</si>
  <si>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</si>
  <si>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</si>
  <si>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</si>
  <si>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</si>
  <si>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</si>
  <si>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</si>
  <si>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</si>
  <si>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</si>
  <si>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</si>
  <si>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</si>
  <si>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</si>
  <si>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</si>
  <si>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</si>
  <si>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</si>
  <si>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</si>
  <si>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</si>
  <si>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</si>
  <si>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</si>
  <si>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</si>
  <si>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</si>
  <si>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</si>
  <si>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</si>
  <si>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</si>
  <si>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</si>
  <si>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</si>
  <si>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</si>
  <si>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</si>
  <si>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</si>
  <si>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</si>
  <si>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</si>
  <si>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</si>
  <si>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</si>
  <si>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</si>
  <si>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</si>
  <si>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</si>
  <si>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</si>
  <si>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</si>
  <si>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</si>
  <si>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</si>
  <si>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</si>
  <si>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</si>
  <si>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</si>
  <si>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</si>
  <si>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</si>
  <si>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</si>
  <si>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</si>
  <si>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</si>
  <si>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</si>
  <si>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</si>
  <si>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</si>
  <si>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</si>
  <si>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</si>
  <si>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</si>
  <si>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</si>
  <si>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</si>
  <si>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</si>
  <si>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</si>
  <si>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</si>
  <si>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</si>
  <si>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</si>
  <si>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</si>
  <si>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</si>
  <si>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</si>
  <si>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</si>
  <si>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</si>
  <si>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</si>
  <si>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</si>
  <si>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かわたつ</t>
  </si>
  <si>
    <t>かわたつ</t>
    <phoneticPr fontId="1"/>
  </si>
  <si>
    <t>だいち</t>
  </si>
  <si>
    <t>だいち</t>
    <phoneticPr fontId="1"/>
  </si>
  <si>
    <t>れんたろう</t>
  </si>
  <si>
    <t>れんたろう</t>
    <phoneticPr fontId="1"/>
  </si>
  <si>
    <t>放銃</t>
  </si>
  <si>
    <t>ロン</t>
  </si>
  <si>
    <t>N</t>
  </si>
  <si>
    <t>T</t>
  </si>
  <si>
    <t>流局</t>
    <phoneticPr fontId="1"/>
  </si>
  <si>
    <t>*</t>
  </si>
  <si>
    <t>01</t>
  </si>
  <si>
    <t>52</t>
  </si>
  <si>
    <t>ツモ</t>
  </si>
  <si>
    <t>ツモ支払</t>
  </si>
  <si>
    <t>02</t>
  </si>
  <si>
    <t>やがさき</t>
  </si>
  <si>
    <t>やがさき</t>
    <phoneticPr fontId="1"/>
  </si>
  <si>
    <t>たかの</t>
  </si>
  <si>
    <t>たかの</t>
    <phoneticPr fontId="1"/>
  </si>
  <si>
    <t>ただ</t>
  </si>
  <si>
    <t>ただ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</si>
</sst>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141</v>
      </c>
      <c r="G1" s="73"/>
      <c r="H1" s="73"/>
      <c r="I1" s="74"/>
      <c r="J1" s="75"/>
      <c r="K1" s="72" t="s">
        <v>143</v>
      </c>
      <c r="L1" s="73"/>
      <c r="M1" s="73"/>
      <c r="N1" s="74"/>
      <c r="O1" s="75"/>
      <c r="P1" s="72" t="s">
        <v>139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かわたつ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れんたろう</v>
      </c>
      <c r="W2" s="16" t="str">
        <f>$P$1</f>
        <v>かわたつ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142</v>
      </c>
      <c r="F4" s="8" t="s">
        <v>144</v>
      </c>
      <c r="G4" s="9">
        <v>-2900</v>
      </c>
      <c r="H4" s="9">
        <v>-1000</v>
      </c>
      <c r="I4" s="48">
        <v>0</v>
      </c>
      <c r="J4" s="21">
        <f>IF(COUNTA($F4,$K4,$P4)&gt;0,J3+SUM(G4:I4),"")</f>
        <v>31100</v>
      </c>
      <c r="K4" s="8" t="s">
        <v>145</v>
      </c>
      <c r="L4" s="9">
        <v>2900</v>
      </c>
      <c r="M4" s="9">
        <v>1000</v>
      </c>
      <c r="N4" s="48">
        <v>0</v>
      </c>
      <c r="O4" s="21">
        <f>IF(COUNTA($F4,$K4,$P4)&gt;0,O3+SUM(L4:N4),"")</f>
        <v>38900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-23.9</v>
      </c>
      <c r="V4" s="54">
        <f>IF($O4="","",ROUND(($O4-$O$3)/1000,1)+(_xlfn.RANK.AVG($O4,($J4,$O4,$T4),1)-2)*20)</f>
        <v>23.9</v>
      </c>
      <c r="W4" s="55">
        <f>IF($T4="","",ROUND(($T4-$T$3)/1000,1)+(_xlfn.RANK.AVG($T4,($J4,$O4,$T4),1)-2)*20)</f>
        <v>0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2</v>
      </c>
      <c r="AY4" s="30">
        <v>30</v>
      </c>
      <c r="AZ4" s="40" t="s">
        <v>86</v>
      </c>
      <c r="BA4" s="41" t="s">
        <v>86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142</v>
      </c>
      <c r="F5" s="8" t="s">
        <v>148</v>
      </c>
      <c r="G5" s="9">
        <v>-3000</v>
      </c>
      <c r="H5" s="9"/>
      <c r="I5" s="48"/>
      <c r="J5" s="21">
        <f t="shared" ref="J5:J30" si="2">IF(COUNTA($F5,$K5,$P5)&gt;0,J4+SUM(G5:I5),"")</f>
        <v>28100</v>
      </c>
      <c r="K5" s="8" t="s">
        <v>148</v>
      </c>
      <c r="L5" s="9">
        <v>1500</v>
      </c>
      <c r="M5" s="9"/>
      <c r="N5" s="48"/>
      <c r="O5" s="21">
        <f t="shared" ref="O5:O30" si="3">IF(COUNTA($F5,$K5,$P5)&gt;0,O4+SUM(L5:N5),"")</f>
        <v>40400</v>
      </c>
      <c r="P5" s="8" t="s">
        <v>148</v>
      </c>
      <c r="Q5" s="9">
        <v>1500</v>
      </c>
      <c r="R5" s="9"/>
      <c r="S5" s="48"/>
      <c r="T5" s="21">
        <f t="shared" ref="T5:T30" si="4">IF(COUNTA($F5,$K5,$P5)&gt;0,T4+SUM(Q5:S5),"")</f>
        <v>36500</v>
      </c>
      <c r="U5" s="53">
        <f>IF($J5="","",ROUND(($J5-$J$3)/1000,1)+(_xlfn.RANK.AVG($J5,($J5,$O5,$T5),1)-2)*20)</f>
        <v>-26.9</v>
      </c>
      <c r="V5" s="54">
        <f>IF($O5="","",ROUND(($O5-$O$3)/1000,1)+(_xlfn.RANK.AVG($O5,($J5,$O5,$T5),1)-2)*20)</f>
        <v>25.4</v>
      </c>
      <c r="W5" s="55">
        <f>IF($T5="","",ROUND(($T5-$T$3)/1000,1)+(_xlfn.RANK.AVG($T5,($J5,$O5,$T5),1)-2)*20)</f>
        <v>1.5</v>
      </c>
      <c r="Y5" s="8" t="s">
        <v>146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147</v>
      </c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147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142</v>
      </c>
      <c r="F6" s="8" t="s">
        <v>145</v>
      </c>
      <c r="G6" s="9">
        <v>8000</v>
      </c>
      <c r="H6" s="9"/>
      <c r="I6" s="48">
        <v>2000</v>
      </c>
      <c r="J6" s="21">
        <f t="shared" si="2"/>
        <v>38100</v>
      </c>
      <c r="K6" s="8" t="s">
        <v>144</v>
      </c>
      <c r="L6" s="9">
        <v>-8000</v>
      </c>
      <c r="M6" s="9"/>
      <c r="N6" s="48">
        <v>-2000</v>
      </c>
      <c r="O6" s="21">
        <f t="shared" si="3"/>
        <v>30400</v>
      </c>
      <c r="P6" s="8"/>
      <c r="Q6" s="9"/>
      <c r="R6" s="9"/>
      <c r="S6" s="48"/>
      <c r="T6" s="21">
        <f t="shared" si="4"/>
        <v>36500</v>
      </c>
      <c r="U6" s="53">
        <f>IF($J6="","",ROUND(($J6-$J$3)/1000,1)+(_xlfn.RANK.AVG($J6,($J6,$O6,$T6),1)-2)*20)</f>
        <v>23.1</v>
      </c>
      <c r="V6" s="54">
        <f>IF($O6="","",ROUND(($O6-$O$3)/1000,1)+(_xlfn.RANK.AVG($O6,($J6,$O6,$T6),1)-2)*20)</f>
        <v>-24.6</v>
      </c>
      <c r="W6" s="55">
        <f>IF($T6="","",ROUND(($T6-$T$3)/1000,1)+(_xlfn.RANK.AVG($T6,($J6,$O6,$T6),1)-2)*20)</f>
        <v>1.5</v>
      </c>
      <c r="Y6" s="8"/>
      <c r="Z6" s="34"/>
      <c r="AA6" s="26">
        <v>1</v>
      </c>
      <c r="AB6" s="26"/>
      <c r="AC6" s="26">
        <v>5</v>
      </c>
      <c r="AD6" s="30" t="s">
        <v>149</v>
      </c>
      <c r="AE6" s="40" t="s">
        <v>150</v>
      </c>
      <c r="AF6" s="41" t="s">
        <v>83</v>
      </c>
      <c r="AG6" s="41" t="s">
        <v>84</v>
      </c>
      <c r="AH6" s="41" t="s">
        <v>151</v>
      </c>
      <c r="AI6" s="41" t="s">
        <v>79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138</v>
      </c>
      <c r="F7" s="8" t="s">
        <v>144</v>
      </c>
      <c r="G7" s="9">
        <v>-18000</v>
      </c>
      <c r="H7" s="9"/>
      <c r="I7" s="48">
        <v>0</v>
      </c>
      <c r="J7" s="21">
        <f t="shared" si="2"/>
        <v>20100</v>
      </c>
      <c r="K7" s="8"/>
      <c r="L7" s="9"/>
      <c r="M7" s="9"/>
      <c r="N7" s="48"/>
      <c r="O7" s="21">
        <f t="shared" si="3"/>
        <v>30400</v>
      </c>
      <c r="P7" s="8" t="s">
        <v>145</v>
      </c>
      <c r="Q7" s="9">
        <v>18000</v>
      </c>
      <c r="R7" s="9"/>
      <c r="S7" s="48">
        <v>0</v>
      </c>
      <c r="T7" s="21">
        <f t="shared" si="4"/>
        <v>54500</v>
      </c>
      <c r="U7" s="53">
        <f>IF($J7="","",ROUND(($J7-$J$3)/1000,1)+(_xlfn.RANK.AVG($J7,($J7,$O7,$T7),1)-2)*20)</f>
        <v>-34.9</v>
      </c>
      <c r="V7" s="54">
        <f>IF($O7="","",ROUND(($O7-$O$3)/1000,1)+(_xlfn.RANK.AVG($O7,($J7,$O7,$T7),1)-2)*20)</f>
        <v>-4.5999999999999996</v>
      </c>
      <c r="W7" s="55">
        <f>IF($T7="","",ROUND(($T7-$T$3)/1000,1)+(_xlfn.RANK.AVG($T7,($J7,$O7,$T7),1)-2)*20)</f>
        <v>39.5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6</v>
      </c>
      <c r="BT7" s="30" t="s">
        <v>149</v>
      </c>
      <c r="BU7" s="40" t="s">
        <v>150</v>
      </c>
      <c r="BV7" s="41" t="s">
        <v>151</v>
      </c>
      <c r="BW7" s="41" t="s">
        <v>79</v>
      </c>
      <c r="BX7" s="41" t="s">
        <v>79</v>
      </c>
      <c r="BY7" s="41" t="s">
        <v>79</v>
      </c>
      <c r="BZ7" s="41" t="s">
        <v>80</v>
      </c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">
        <v>138</v>
      </c>
      <c r="F8" s="8" t="s">
        <v>152</v>
      </c>
      <c r="G8" s="9">
        <v>8000</v>
      </c>
      <c r="H8" s="9"/>
      <c r="I8" s="48">
        <v>1000</v>
      </c>
      <c r="J8" s="21">
        <f t="shared" si="2"/>
        <v>29100</v>
      </c>
      <c r="K8" s="8" t="s">
        <v>153</v>
      </c>
      <c r="L8" s="9">
        <v>-3000</v>
      </c>
      <c r="M8" s="9"/>
      <c r="N8" s="48">
        <v>-500</v>
      </c>
      <c r="O8" s="21">
        <f t="shared" si="3"/>
        <v>26900</v>
      </c>
      <c r="P8" s="8" t="s">
        <v>153</v>
      </c>
      <c r="Q8" s="9">
        <v>-5000</v>
      </c>
      <c r="R8" s="9"/>
      <c r="S8" s="48">
        <v>-500</v>
      </c>
      <c r="T8" s="21">
        <f t="shared" si="4"/>
        <v>49000</v>
      </c>
      <c r="U8" s="53">
        <f>IF($J8="","",ROUND(($J8-$J$3)/1000,1)+(_xlfn.RANK.AVG($J8,($J8,$O8,$T8),1)-2)*20)</f>
        <v>-5.9</v>
      </c>
      <c r="V8" s="54">
        <f>IF($O8="","",ROUND(($O8-$O$3)/1000,1)+(_xlfn.RANK.AVG($O8,($J8,$O8,$T8),1)-2)*20)</f>
        <v>-28.1</v>
      </c>
      <c r="W8" s="55">
        <f>IF($T8="","",ROUND(($T8-$T$3)/1000,1)+(_xlfn.RANK.AVG($T8,($J8,$O8,$T8),1)-2)*20)</f>
        <v>34</v>
      </c>
      <c r="Y8" s="8"/>
      <c r="Z8" s="34"/>
      <c r="AA8" s="26">
        <v>1</v>
      </c>
      <c r="AB8" s="26"/>
      <c r="AC8" s="26">
        <v>4</v>
      </c>
      <c r="AD8" s="30">
        <v>40</v>
      </c>
      <c r="AE8" s="40" t="s">
        <v>150</v>
      </c>
      <c r="AF8" s="41" t="s">
        <v>82</v>
      </c>
      <c r="AG8" s="41" t="s">
        <v>154</v>
      </c>
      <c r="AH8" s="41" t="s">
        <v>151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140</v>
      </c>
      <c r="F9" s="8" t="s">
        <v>145</v>
      </c>
      <c r="G9" s="9">
        <v>18000</v>
      </c>
      <c r="H9" s="9">
        <v>1000</v>
      </c>
      <c r="I9" s="48">
        <v>0</v>
      </c>
      <c r="J9" s="21">
        <f t="shared" si="2"/>
        <v>48100</v>
      </c>
      <c r="K9" s="8" t="s">
        <v>144</v>
      </c>
      <c r="L9" s="9">
        <v>-18000</v>
      </c>
      <c r="M9" s="9">
        <v>-1000</v>
      </c>
      <c r="N9" s="48">
        <v>0</v>
      </c>
      <c r="O9" s="21">
        <f t="shared" si="3"/>
        <v>7900</v>
      </c>
      <c r="P9" s="8"/>
      <c r="Q9" s="9"/>
      <c r="R9" s="9"/>
      <c r="S9" s="48"/>
      <c r="T9" s="21">
        <f t="shared" si="4"/>
        <v>49000</v>
      </c>
      <c r="U9" s="53">
        <f>IF($J9="","",ROUND(($J9-$J$3)/1000,1)+(_xlfn.RANK.AVG($J9,($J9,$O9,$T9),1)-2)*20)</f>
        <v>13.1</v>
      </c>
      <c r="V9" s="54">
        <f>IF($O9="","",ROUND(($O9-$O$3)/1000,1)+(_xlfn.RANK.AVG($O9,($J9,$O9,$T9),1)-2)*20)</f>
        <v>-47.1</v>
      </c>
      <c r="W9" s="55">
        <f>IF($T9="","",ROUND(($T9-$T$3)/1000,1)+(_xlfn.RANK.AVG($T9,($J9,$O9,$T9),1)-2)*20)</f>
        <v>34</v>
      </c>
      <c r="Y9" s="8"/>
      <c r="Z9" s="34"/>
      <c r="AA9" s="26">
        <v>1</v>
      </c>
      <c r="AB9" s="26"/>
      <c r="AC9" s="26">
        <v>6</v>
      </c>
      <c r="AD9" s="30" t="s">
        <v>149</v>
      </c>
      <c r="AE9" s="40" t="s">
        <v>150</v>
      </c>
      <c r="AF9" s="41" t="s">
        <v>154</v>
      </c>
      <c r="AG9" s="41" t="s">
        <v>83</v>
      </c>
      <c r="AH9" s="41" t="s">
        <v>79</v>
      </c>
      <c r="AI9" s="41" t="s">
        <v>84</v>
      </c>
      <c r="AJ9" s="41" t="s">
        <v>151</v>
      </c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140</v>
      </c>
      <c r="F10" s="8" t="s">
        <v>148</v>
      </c>
      <c r="G10" s="9">
        <v>1500</v>
      </c>
      <c r="H10" s="9">
        <v>-1000</v>
      </c>
      <c r="I10" s="48"/>
      <c r="J10" s="21">
        <f t="shared" si="2"/>
        <v>48600</v>
      </c>
      <c r="K10" s="8" t="s">
        <v>148</v>
      </c>
      <c r="L10" s="9">
        <v>-3000</v>
      </c>
      <c r="M10" s="9"/>
      <c r="N10" s="48"/>
      <c r="O10" s="21">
        <f t="shared" si="3"/>
        <v>4900</v>
      </c>
      <c r="P10" s="8" t="s">
        <v>148</v>
      </c>
      <c r="Q10" s="9">
        <v>1500</v>
      </c>
      <c r="R10" s="9"/>
      <c r="S10" s="48"/>
      <c r="T10" s="21">
        <f t="shared" si="4"/>
        <v>50500</v>
      </c>
      <c r="U10" s="53">
        <f>IF($J10="","",ROUND(($J10-$J$3)/1000,1)+(_xlfn.RANK.AVG($J10,($J10,$O10,$T10),1)-2)*20)</f>
        <v>13.6</v>
      </c>
      <c r="V10" s="54">
        <f>IF($O10="","",ROUND(($O10-$O$3)/1000,1)+(_xlfn.RANK.AVG($O10,($J10,$O10,$T10),1)-2)*20)</f>
        <v>-50.1</v>
      </c>
      <c r="W10" s="55">
        <f>IF($T10="","",ROUND(($T10-$T$3)/1000,1)+(_xlfn.RANK.AVG($T10,($J10,$O10,$T10),1)-2)*20)</f>
        <v>35.5</v>
      </c>
      <c r="Y10" s="8" t="s">
        <v>147</v>
      </c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146</v>
      </c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147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2</v>
      </c>
      <c r="D11" s="18">
        <f t="shared" si="1"/>
        <v>1</v>
      </c>
      <c r="E11" s="4" t="s">
        <v>140</v>
      </c>
      <c r="F11" s="8" t="s">
        <v>145</v>
      </c>
      <c r="G11" s="9">
        <v>12000</v>
      </c>
      <c r="H11" s="9">
        <v>1000</v>
      </c>
      <c r="I11" s="48">
        <v>2000</v>
      </c>
      <c r="J11" s="21">
        <f t="shared" si="2"/>
        <v>63600</v>
      </c>
      <c r="K11" s="8"/>
      <c r="L11" s="9"/>
      <c r="M11" s="9"/>
      <c r="N11" s="48"/>
      <c r="O11" s="21">
        <f t="shared" si="3"/>
        <v>4900</v>
      </c>
      <c r="P11" s="8" t="s">
        <v>144</v>
      </c>
      <c r="Q11" s="9">
        <v>-12000</v>
      </c>
      <c r="R11" s="9"/>
      <c r="S11" s="48">
        <v>-2000</v>
      </c>
      <c r="T11" s="21">
        <f t="shared" si="4"/>
        <v>36500</v>
      </c>
      <c r="U11" s="53">
        <f>IF($J11="","",ROUND(($J11-$J$3)/1000,1)+(_xlfn.RANK.AVG($J11,($J11,$O11,$T11),1)-2)*20)</f>
        <v>48.6</v>
      </c>
      <c r="V11" s="54">
        <f>IF($O11="","",ROUND(($O11-$O$3)/1000,1)+(_xlfn.RANK.AVG($O11,($J11,$O11,$T11),1)-2)*20)</f>
        <v>-50.1</v>
      </c>
      <c r="W11" s="55">
        <f>IF($T11="","",ROUND(($T11-$T$3)/1000,1)+(_xlfn.RANK.AVG($T11,($J11,$O11,$T11),1)-2)*20)</f>
        <v>1.5</v>
      </c>
      <c r="Y11" s="8"/>
      <c r="Z11" s="34"/>
      <c r="AA11" s="26">
        <v>1</v>
      </c>
      <c r="AB11" s="26"/>
      <c r="AC11" s="26">
        <v>5</v>
      </c>
      <c r="AD11" s="30" t="s">
        <v>149</v>
      </c>
      <c r="AE11" s="40" t="s">
        <v>150</v>
      </c>
      <c r="AF11" s="41" t="s">
        <v>151</v>
      </c>
      <c r="AG11" s="41" t="s">
        <v>151</v>
      </c>
      <c r="AH11" s="41" t="s">
        <v>84</v>
      </c>
      <c r="AI11" s="41" t="s">
        <v>83</v>
      </c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東</v>
      </c>
      <c r="B12" s="18">
        <f t="shared" si="5"/>
        <v>3</v>
      </c>
      <c r="C12" s="18">
        <f t="shared" si="6"/>
        <v>3</v>
      </c>
      <c r="D12" s="18">
        <f t="shared" si="1"/>
        <v>0</v>
      </c>
      <c r="E12" s="4" t="s">
        <v>140</v>
      </c>
      <c r="F12" s="8" t="s">
        <v>148</v>
      </c>
      <c r="G12" s="9">
        <v>-1500</v>
      </c>
      <c r="H12" s="9"/>
      <c r="I12" s="48"/>
      <c r="J12" s="21">
        <f t="shared" si="2"/>
        <v>62100</v>
      </c>
      <c r="K12" s="8" t="s">
        <v>148</v>
      </c>
      <c r="L12" s="9">
        <v>3000</v>
      </c>
      <c r="M12" s="9"/>
      <c r="N12" s="48"/>
      <c r="O12" s="21">
        <f t="shared" si="3"/>
        <v>7900</v>
      </c>
      <c r="P12" s="8" t="s">
        <v>148</v>
      </c>
      <c r="Q12" s="9">
        <v>-1500</v>
      </c>
      <c r="R12" s="9"/>
      <c r="S12" s="48"/>
      <c r="T12" s="21">
        <f t="shared" si="4"/>
        <v>35000</v>
      </c>
      <c r="U12" s="53">
        <f>IF($J12="","",ROUND(($J12-$J$3)/1000,1)+(_xlfn.RANK.AVG($J12,($J12,$O12,$T12),1)-2)*20)</f>
        <v>47.1</v>
      </c>
      <c r="V12" s="54">
        <f>IF($O12="","",ROUND(($O12-$O$3)/1000,1)+(_xlfn.RANK.AVG($O12,($J12,$O12,$T12),1)-2)*20)</f>
        <v>-47.1</v>
      </c>
      <c r="W12" s="55">
        <f>IF($T12="","",ROUND(($T12-$T$3)/1000,1)+(_xlfn.RANK.AVG($T12,($J12,$O12,$T12),1)-2)*20)</f>
        <v>0</v>
      </c>
      <c r="Y12" s="8" t="s">
        <v>146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147</v>
      </c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146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1</v>
      </c>
      <c r="C13" s="18">
        <f t="shared" si="6"/>
        <v>4</v>
      </c>
      <c r="D13" s="18">
        <f t="shared" si="1"/>
        <v>0</v>
      </c>
      <c r="E13" s="4" t="s">
        <v>142</v>
      </c>
      <c r="F13" s="8" t="s">
        <v>152</v>
      </c>
      <c r="G13" s="9">
        <v>2100</v>
      </c>
      <c r="H13" s="9"/>
      <c r="I13" s="48">
        <v>4000</v>
      </c>
      <c r="J13" s="21">
        <f t="shared" si="2"/>
        <v>68200</v>
      </c>
      <c r="K13" s="8" t="s">
        <v>153</v>
      </c>
      <c r="L13" s="9">
        <v>-1300</v>
      </c>
      <c r="M13" s="9"/>
      <c r="N13" s="48">
        <v>-2000</v>
      </c>
      <c r="O13" s="21">
        <f t="shared" si="3"/>
        <v>4600</v>
      </c>
      <c r="P13" s="8" t="s">
        <v>153</v>
      </c>
      <c r="Q13" s="9">
        <v>-800</v>
      </c>
      <c r="R13" s="9"/>
      <c r="S13" s="48">
        <v>-2000</v>
      </c>
      <c r="T13" s="21">
        <f t="shared" si="4"/>
        <v>32200</v>
      </c>
      <c r="U13" s="53">
        <f>IF($J13="","",ROUND(($J13-$J$3)/1000,1)+(_xlfn.RANK.AVG($J13,($J13,$O13,$T13),1)-2)*20)</f>
        <v>53.2</v>
      </c>
      <c r="V13" s="54">
        <f>IF($O13="","",ROUND(($O13-$O$3)/1000,1)+(_xlfn.RANK.AVG($O13,($J13,$O13,$T13),1)-2)*20)</f>
        <v>-50.4</v>
      </c>
      <c r="W13" s="55">
        <f>IF($T13="","",ROUND(($T13-$T$3)/1000,1)+(_xlfn.RANK.AVG($T13,($J13,$O13,$T13),1)-2)*20)</f>
        <v>-2.8</v>
      </c>
      <c r="Y13" s="8"/>
      <c r="Z13" s="34"/>
      <c r="AA13" s="26"/>
      <c r="AB13" s="26"/>
      <c r="AC13" s="26">
        <v>2</v>
      </c>
      <c r="AD13" s="30">
        <v>30</v>
      </c>
      <c r="AE13" s="40" t="s">
        <v>150</v>
      </c>
      <c r="AF13" s="41" t="s">
        <v>86</v>
      </c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0</v>
      </c>
      <c r="D14" s="18">
        <f t="shared" si="1"/>
        <v>0</v>
      </c>
      <c r="E14" s="4" t="s">
        <v>138</v>
      </c>
      <c r="F14" s="8" t="s">
        <v>148</v>
      </c>
      <c r="G14" s="9">
        <v>-1500</v>
      </c>
      <c r="H14" s="9"/>
      <c r="I14" s="48"/>
      <c r="J14" s="21">
        <f t="shared" si="2"/>
        <v>66700</v>
      </c>
      <c r="K14" s="8" t="s">
        <v>148</v>
      </c>
      <c r="L14" s="9">
        <v>-1500</v>
      </c>
      <c r="M14" s="9"/>
      <c r="N14" s="48"/>
      <c r="O14" s="21">
        <f t="shared" si="3"/>
        <v>3100</v>
      </c>
      <c r="P14" s="8" t="s">
        <v>148</v>
      </c>
      <c r="Q14" s="9">
        <v>3000</v>
      </c>
      <c r="R14" s="9">
        <v>-1000</v>
      </c>
      <c r="S14" s="48"/>
      <c r="T14" s="21">
        <f t="shared" si="4"/>
        <v>34200</v>
      </c>
      <c r="U14" s="53">
        <f>IF($J14="","",ROUND(($J14-$J$3)/1000,1)+(_xlfn.RANK.AVG($J14,($J14,$O14,$T14),1)-2)*20)</f>
        <v>51.7</v>
      </c>
      <c r="V14" s="54">
        <f>IF($O14="","",ROUND(($O14-$O$3)/1000,1)+(_xlfn.RANK.AVG($O14,($J14,$O14,$T14),1)-2)*20)</f>
        <v>-51.9</v>
      </c>
      <c r="W14" s="55">
        <f>IF($T14="","",ROUND(($T14-$T$3)/1000,1)+(_xlfn.RANK.AVG($T14,($J14,$O14,$T14),1)-2)*20)</f>
        <v>-0.8</v>
      </c>
      <c r="Y14" s="8" t="s">
        <v>146</v>
      </c>
      <c r="Z14" s="34"/>
      <c r="AA14" s="26"/>
      <c r="AB14" s="26">
        <v>1</v>
      </c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 t="s">
        <v>146</v>
      </c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 t="s">
        <v>147</v>
      </c>
      <c r="BP14" s="34"/>
      <c r="BQ14" s="26">
        <v>1</v>
      </c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2</v>
      </c>
      <c r="C15" s="18">
        <f t="shared" si="6"/>
        <v>1</v>
      </c>
      <c r="D15" s="18">
        <f t="shared" si="1"/>
        <v>1</v>
      </c>
      <c r="E15" s="4" t="s">
        <v>138</v>
      </c>
      <c r="F15" s="8" t="s">
        <v>148</v>
      </c>
      <c r="G15" s="9">
        <v>-3000</v>
      </c>
      <c r="H15" s="9"/>
      <c r="I15" s="48"/>
      <c r="J15" s="21">
        <f t="shared" si="2"/>
        <v>63700</v>
      </c>
      <c r="K15" s="8" t="s">
        <v>148</v>
      </c>
      <c r="L15" s="9">
        <v>1500</v>
      </c>
      <c r="M15" s="9"/>
      <c r="N15" s="48"/>
      <c r="O15" s="21">
        <f t="shared" si="3"/>
        <v>4600</v>
      </c>
      <c r="P15" s="8" t="s">
        <v>148</v>
      </c>
      <c r="Q15" s="9">
        <v>1500</v>
      </c>
      <c r="R15" s="9">
        <v>-1000</v>
      </c>
      <c r="S15" s="48"/>
      <c r="T15" s="21">
        <f t="shared" si="4"/>
        <v>34700</v>
      </c>
      <c r="U15" s="53">
        <f>IF($J15="","",ROUND(($J15-$J$3)/1000,1)+(_xlfn.RANK.AVG($J15,($J15,$O15,$T15),1)-2)*20)</f>
        <v>48.7</v>
      </c>
      <c r="V15" s="54">
        <f>IF($O15="","",ROUND(($O15-$O$3)/1000,1)+(_xlfn.RANK.AVG($O15,($J15,$O15,$T15),1)-2)*20)</f>
        <v>-50.4</v>
      </c>
      <c r="W15" s="55">
        <f>IF($T15="","",ROUND(($T15-$T$3)/1000,1)+(_xlfn.RANK.AVG($T15,($J15,$O15,$T15),1)-2)*20)</f>
        <v>-0.3</v>
      </c>
      <c r="Y15" s="8" t="s">
        <v>146</v>
      </c>
      <c r="Z15" s="34"/>
      <c r="AA15" s="26"/>
      <c r="AB15" s="26">
        <v>1</v>
      </c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 t="s">
        <v>147</v>
      </c>
      <c r="AU15" s="34"/>
      <c r="AV15" s="26"/>
      <c r="AW15" s="26">
        <v>1</v>
      </c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 t="s">
        <v>147</v>
      </c>
      <c r="BP15" s="34"/>
      <c r="BQ15" s="26">
        <v>1</v>
      </c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2</v>
      </c>
      <c r="C16" s="18">
        <f t="shared" si="6"/>
        <v>2</v>
      </c>
      <c r="D16" s="18">
        <f t="shared" si="1"/>
        <v>2</v>
      </c>
      <c r="E16" s="4" t="s">
        <v>138</v>
      </c>
      <c r="F16" s="8" t="s">
        <v>153</v>
      </c>
      <c r="G16" s="9">
        <v>-4800</v>
      </c>
      <c r="H16" s="9"/>
      <c r="I16" s="48">
        <v>-1000</v>
      </c>
      <c r="J16" s="21">
        <f t="shared" si="2"/>
        <v>57900</v>
      </c>
      <c r="K16" s="8" t="s">
        <v>153</v>
      </c>
      <c r="L16" s="9">
        <v>-4800</v>
      </c>
      <c r="M16" s="9"/>
      <c r="N16" s="48">
        <v>-1000</v>
      </c>
      <c r="O16" s="21">
        <f t="shared" si="3"/>
        <v>-1200</v>
      </c>
      <c r="P16" s="8" t="s">
        <v>152</v>
      </c>
      <c r="Q16" s="9">
        <v>9600</v>
      </c>
      <c r="R16" s="9">
        <v>2000</v>
      </c>
      <c r="S16" s="48">
        <v>2000</v>
      </c>
      <c r="T16" s="21">
        <f t="shared" si="4"/>
        <v>48300</v>
      </c>
      <c r="U16" s="53">
        <f>IF($J16="","",ROUND(($J16-$J$3)/1000,1)+(_xlfn.RANK.AVG($J16,($J16,$O16,$T16),1)-2)*20)</f>
        <v>42.9</v>
      </c>
      <c r="V16" s="54">
        <f>IF($O16="","",ROUND(($O16-$O$3)/1000,1)+(_xlfn.RANK.AVG($O16,($J16,$O16,$T16),1)-2)*20)</f>
        <v>-56.2</v>
      </c>
      <c r="W16" s="55">
        <f>IF($T16="","",ROUND(($T16-$T$3)/1000,1)+(_xlfn.RANK.AVG($T16,($J16,$O16,$T16),1)-2)*20)</f>
        <v>13.3</v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>
        <v>3</v>
      </c>
      <c r="BT16" s="30">
        <v>50</v>
      </c>
      <c r="BU16" s="40" t="s">
        <v>82</v>
      </c>
      <c r="BV16" s="41" t="s">
        <v>96</v>
      </c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A77A1-9CA6-4971-92BA-F8ED53281A1C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156</v>
      </c>
      <c r="G1" s="73"/>
      <c r="H1" s="73"/>
      <c r="I1" s="74"/>
      <c r="J1" s="75"/>
      <c r="K1" s="72" t="s">
        <v>158</v>
      </c>
      <c r="L1" s="73"/>
      <c r="M1" s="73"/>
      <c r="N1" s="74"/>
      <c r="O1" s="75"/>
      <c r="P1" s="72" t="s">
        <v>160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やがさき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たかの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やがさき</v>
      </c>
      <c r="V2" s="70" t="str">
        <f>$K$1</f>
        <v>たかの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155</v>
      </c>
      <c r="F4" s="8" t="s">
        <v>145</v>
      </c>
      <c r="G4" s="9">
        <v>2000</v>
      </c>
      <c r="H4" s="9"/>
      <c r="I4" s="48">
        <v>0</v>
      </c>
      <c r="J4" s="21">
        <f>IF(COUNTA($F4,$K4,$P4)&gt;0,J3+SUM(G4:I4),"")</f>
        <v>37000</v>
      </c>
      <c r="K4" s="8" t="s">
        <v>144</v>
      </c>
      <c r="L4" s="9">
        <v>-2000</v>
      </c>
      <c r="M4" s="9"/>
      <c r="N4" s="48">
        <v>0</v>
      </c>
      <c r="O4" s="21">
        <f>IF(COUNTA($F4,$K4,$P4)&gt;0,O3+SUM(L4:N4),"")</f>
        <v>33000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22</v>
      </c>
      <c r="V4" s="54">
        <f>IF($O4="","",ROUND(($O4-$O$3)/1000,1)+(_xlfn.RANK.AVG($O4,($J4,$O4,$T4),1)-2)*20)</f>
        <v>-22</v>
      </c>
      <c r="W4" s="55">
        <f>IF($T4="","",ROUND(($T4-$T$3)/1000,1)+(_xlfn.RANK.AVG($T4,($J4,$O4,$T4),1)-2)*20)</f>
        <v>0</v>
      </c>
      <c r="Y4" s="8"/>
      <c r="Z4" s="34"/>
      <c r="AA4" s="26">
        <v>1</v>
      </c>
      <c r="AB4" s="26"/>
      <c r="AC4" s="26">
        <v>1</v>
      </c>
      <c r="AD4" s="30">
        <v>40</v>
      </c>
      <c r="AE4" s="40" t="s">
        <v>150</v>
      </c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155</v>
      </c>
      <c r="F5" s="8"/>
      <c r="G5" s="9"/>
      <c r="H5" s="9"/>
      <c r="I5" s="48"/>
      <c r="J5" s="21">
        <f t="shared" ref="J5:J30" si="2">IF(COUNTA($F5,$K5,$P5)&gt;0,J4+SUM(G5:I5),"")</f>
        <v>37000</v>
      </c>
      <c r="K5" s="8" t="s">
        <v>145</v>
      </c>
      <c r="L5" s="9">
        <v>8000</v>
      </c>
      <c r="M5" s="9"/>
      <c r="N5" s="48">
        <v>1000</v>
      </c>
      <c r="O5" s="21">
        <f t="shared" ref="O5:O30" si="3">IF(COUNTA($F5,$K5,$P5)&gt;0,O4+SUM(L5:N5),"")</f>
        <v>42000</v>
      </c>
      <c r="P5" s="8" t="s">
        <v>144</v>
      </c>
      <c r="Q5" s="9">
        <v>-8000</v>
      </c>
      <c r="R5" s="9"/>
      <c r="S5" s="48">
        <v>-1000</v>
      </c>
      <c r="T5" s="21">
        <f t="shared" ref="T5:T30" si="4">IF(COUNTA($F5,$K5,$P5)&gt;0,T4+SUM(Q5:S5),"")</f>
        <v>26000</v>
      </c>
      <c r="U5" s="53">
        <f>IF($J5="","",ROUND(($J5-$J$3)/1000,1)+(_xlfn.RANK.AVG($J5,($J5,$O5,$T5),1)-2)*20)</f>
        <v>2</v>
      </c>
      <c r="V5" s="54">
        <f>IF($O5="","",ROUND(($O5-$O$3)/1000,1)+(_xlfn.RANK.AVG($O5,($J5,$O5,$T5),1)-2)*20)</f>
        <v>27</v>
      </c>
      <c r="W5" s="55">
        <f>IF($T5="","",ROUND(($T5-$T$3)/1000,1)+(_xlfn.RANK.AVG($T5,($J5,$O5,$T5),1)-2)*20)</f>
        <v>-29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5</v>
      </c>
      <c r="AY5" s="30" t="s">
        <v>149</v>
      </c>
      <c r="AZ5" s="40" t="s">
        <v>86</v>
      </c>
      <c r="BA5" s="41" t="s">
        <v>86</v>
      </c>
      <c r="BB5" s="41" t="s">
        <v>79</v>
      </c>
      <c r="BC5" s="41" t="s">
        <v>79</v>
      </c>
      <c r="BD5" s="41" t="s">
        <v>79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157</v>
      </c>
      <c r="F6" s="8" t="s">
        <v>144</v>
      </c>
      <c r="G6" s="9">
        <v>-8000</v>
      </c>
      <c r="H6" s="9"/>
      <c r="I6" s="48">
        <v>0</v>
      </c>
      <c r="J6" s="21">
        <f t="shared" si="2"/>
        <v>29000</v>
      </c>
      <c r="K6" s="8"/>
      <c r="L6" s="9"/>
      <c r="M6" s="9">
        <v>-1000</v>
      </c>
      <c r="N6" s="48"/>
      <c r="O6" s="21">
        <f t="shared" si="3"/>
        <v>41000</v>
      </c>
      <c r="P6" s="8" t="s">
        <v>145</v>
      </c>
      <c r="Q6" s="9">
        <v>8000</v>
      </c>
      <c r="R6" s="9">
        <v>1000</v>
      </c>
      <c r="S6" s="48">
        <v>0</v>
      </c>
      <c r="T6" s="21">
        <f t="shared" si="4"/>
        <v>35000</v>
      </c>
      <c r="U6" s="53">
        <f>IF($J6="","",ROUND(($J6-$J$3)/1000,1)+(_xlfn.RANK.AVG($J6,($J6,$O6,$T6),1)-2)*20)</f>
        <v>-26</v>
      </c>
      <c r="V6" s="54">
        <f>IF($O6="","",ROUND(($O6-$O$3)/1000,1)+(_xlfn.RANK.AVG($O6,($J6,$O6,$T6),1)-2)*20)</f>
        <v>26</v>
      </c>
      <c r="W6" s="55">
        <f>IF($T6="","",ROUND(($T6-$T$3)/1000,1)+(_xlfn.RANK.AVG($T6,($J6,$O6,$T6),1)-2)*20)</f>
        <v>0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40</v>
      </c>
      <c r="BU6" s="40" t="s">
        <v>150</v>
      </c>
      <c r="BV6" s="41" t="s">
        <v>85</v>
      </c>
      <c r="BW6" s="41" t="s">
        <v>80</v>
      </c>
      <c r="BX6" s="41" t="s">
        <v>84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159</v>
      </c>
      <c r="F7" s="8" t="s">
        <v>144</v>
      </c>
      <c r="G7" s="9">
        <v>-18000</v>
      </c>
      <c r="H7" s="9"/>
      <c r="I7" s="48">
        <v>0</v>
      </c>
      <c r="J7" s="21">
        <f t="shared" si="2"/>
        <v>11000</v>
      </c>
      <c r="K7" s="8"/>
      <c r="L7" s="9"/>
      <c r="M7" s="9"/>
      <c r="N7" s="48"/>
      <c r="O7" s="21">
        <f t="shared" si="3"/>
        <v>41000</v>
      </c>
      <c r="P7" s="8" t="s">
        <v>145</v>
      </c>
      <c r="Q7" s="9">
        <v>18000</v>
      </c>
      <c r="R7" s="9"/>
      <c r="S7" s="48">
        <v>0</v>
      </c>
      <c r="T7" s="21">
        <f t="shared" si="4"/>
        <v>53000</v>
      </c>
      <c r="U7" s="53">
        <f>IF($J7="","",ROUND(($J7-$J$3)/1000,1)+(_xlfn.RANK.AVG($J7,($J7,$O7,$T7),1)-2)*20)</f>
        <v>-44</v>
      </c>
      <c r="V7" s="54">
        <f>IF($O7="","",ROUND(($O7-$O$3)/1000,1)+(_xlfn.RANK.AVG($O7,($J7,$O7,$T7),1)-2)*20)</f>
        <v>6</v>
      </c>
      <c r="W7" s="55">
        <f>IF($T7="","",ROUND(($T7-$T$3)/1000,1)+(_xlfn.RANK.AVG($T7,($J7,$O7,$T7),1)-2)*20)</f>
        <v>38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6</v>
      </c>
      <c r="BT7" s="30" t="s">
        <v>149</v>
      </c>
      <c r="BU7" s="40" t="s">
        <v>79</v>
      </c>
      <c r="BV7" s="41" t="s">
        <v>79</v>
      </c>
      <c r="BW7" s="41" t="s">
        <v>79</v>
      </c>
      <c r="BX7" s="41" t="s">
        <v>151</v>
      </c>
      <c r="BY7" s="41" t="s">
        <v>86</v>
      </c>
      <c r="BZ7" s="41" t="s">
        <v>86</v>
      </c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159</v>
      </c>
      <c r="F8" s="8" t="s">
        <v>152</v>
      </c>
      <c r="G8" s="9">
        <v>8000</v>
      </c>
      <c r="H8" s="9"/>
      <c r="I8" s="48">
        <v>1000</v>
      </c>
      <c r="J8" s="21">
        <f t="shared" si="2"/>
        <v>20000</v>
      </c>
      <c r="K8" s="8" t="s">
        <v>153</v>
      </c>
      <c r="L8" s="9">
        <v>-3000</v>
      </c>
      <c r="M8" s="9"/>
      <c r="N8" s="48">
        <v>-500</v>
      </c>
      <c r="O8" s="21">
        <f t="shared" si="3"/>
        <v>37500</v>
      </c>
      <c r="P8" s="8" t="s">
        <v>153</v>
      </c>
      <c r="Q8" s="9">
        <v>-5000</v>
      </c>
      <c r="R8" s="9"/>
      <c r="S8" s="48">
        <v>-500</v>
      </c>
      <c r="T8" s="21">
        <f t="shared" si="4"/>
        <v>47500</v>
      </c>
      <c r="U8" s="53">
        <f>IF($J8="","",ROUND(($J8-$J$3)/1000,1)+(_xlfn.RANK.AVG($J8,($J8,$O8,$T8),1)-2)*20)</f>
        <v>-35</v>
      </c>
      <c r="V8" s="54">
        <f>IF($O8="","",ROUND(($O8-$O$3)/1000,1)+(_xlfn.RANK.AVG($O8,($J8,$O8,$T8),1)-2)*20)</f>
        <v>2.5</v>
      </c>
      <c r="W8" s="55">
        <f>IF($T8="","",ROUND(($T8-$T$3)/1000,1)+(_xlfn.RANK.AVG($T8,($J8,$O8,$T8),1)-2)*20)</f>
        <v>32.5</v>
      </c>
      <c r="Y8" s="8"/>
      <c r="Z8" s="34"/>
      <c r="AA8" s="26">
        <v>1</v>
      </c>
      <c r="AB8" s="26"/>
      <c r="AC8" s="26">
        <v>5</v>
      </c>
      <c r="AD8" s="30" t="s">
        <v>149</v>
      </c>
      <c r="AE8" s="40" t="s">
        <v>150</v>
      </c>
      <c r="AF8" s="41" t="s">
        <v>82</v>
      </c>
      <c r="AG8" s="41" t="s">
        <v>80</v>
      </c>
      <c r="AH8" s="41" t="s">
        <v>80</v>
      </c>
      <c r="AI8" s="41" t="s">
        <v>80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155</v>
      </c>
      <c r="F9" s="8" t="s">
        <v>153</v>
      </c>
      <c r="G9" s="9">
        <v>-2000</v>
      </c>
      <c r="H9" s="9"/>
      <c r="I9" s="48">
        <v>0</v>
      </c>
      <c r="J9" s="21">
        <f t="shared" si="2"/>
        <v>18000</v>
      </c>
      <c r="K9" s="8" t="s">
        <v>153</v>
      </c>
      <c r="L9" s="9">
        <v>-1200</v>
      </c>
      <c r="M9" s="9">
        <v>-1000</v>
      </c>
      <c r="N9" s="48">
        <v>0</v>
      </c>
      <c r="O9" s="21">
        <f t="shared" si="3"/>
        <v>35300</v>
      </c>
      <c r="P9" s="8" t="s">
        <v>152</v>
      </c>
      <c r="Q9" s="9">
        <v>3200</v>
      </c>
      <c r="R9" s="9">
        <v>1000</v>
      </c>
      <c r="S9" s="48">
        <v>0</v>
      </c>
      <c r="T9" s="21">
        <f t="shared" si="4"/>
        <v>51700</v>
      </c>
      <c r="U9" s="53">
        <f>IF($J9="","",ROUND(($J9-$J$3)/1000,1)+(_xlfn.RANK.AVG($J9,($J9,$O9,$T9),1)-2)*20)</f>
        <v>-37</v>
      </c>
      <c r="V9" s="54">
        <f>IF($O9="","",ROUND(($O9-$O$3)/1000,1)+(_xlfn.RANK.AVG($O9,($J9,$O9,$T9),1)-2)*20)</f>
        <v>0.3</v>
      </c>
      <c r="W9" s="55">
        <f>IF($T9="","",ROUND(($T9-$T$3)/1000,1)+(_xlfn.RANK.AVG($T9,($J9,$O9,$T9),1)-2)*20)</f>
        <v>36.700000000000003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3</v>
      </c>
      <c r="BT9" s="30">
        <v>25</v>
      </c>
      <c r="BU9" s="40" t="s">
        <v>82</v>
      </c>
      <c r="BV9" s="41" t="s">
        <v>101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157</v>
      </c>
      <c r="F10" s="8" t="s">
        <v>144</v>
      </c>
      <c r="G10" s="9">
        <v>-16000</v>
      </c>
      <c r="H10" s="9"/>
      <c r="I10" s="48">
        <v>0</v>
      </c>
      <c r="J10" s="21">
        <f t="shared" si="2"/>
        <v>2000</v>
      </c>
      <c r="K10" s="8"/>
      <c r="L10" s="9"/>
      <c r="M10" s="9">
        <v>-1000</v>
      </c>
      <c r="N10" s="48"/>
      <c r="O10" s="21">
        <f t="shared" si="3"/>
        <v>34300</v>
      </c>
      <c r="P10" s="8" t="s">
        <v>145</v>
      </c>
      <c r="Q10" s="9">
        <v>16000</v>
      </c>
      <c r="R10" s="9">
        <v>1000</v>
      </c>
      <c r="S10" s="48">
        <v>0</v>
      </c>
      <c r="T10" s="21">
        <f t="shared" si="4"/>
        <v>68700</v>
      </c>
      <c r="U10" s="53">
        <f>IF($J10="","",ROUND(($J10-$J$3)/1000,1)+(_xlfn.RANK.AVG($J10,($J10,$O10,$T10),1)-2)*20)</f>
        <v>-53</v>
      </c>
      <c r="V10" s="54">
        <f>IF($O10="","",ROUND(($O10-$O$3)/1000,1)+(_xlfn.RANK.AVG($O10,($J10,$O10,$T10),1)-2)*20)</f>
        <v>-0.7</v>
      </c>
      <c r="W10" s="55">
        <f>IF($T10="","",ROUND(($T10-$T$3)/1000,1)+(_xlfn.RANK.AVG($T10,($J10,$O10,$T10),1)-2)*20)</f>
        <v>53.7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9</v>
      </c>
      <c r="BT10" s="30" t="s">
        <v>149</v>
      </c>
      <c r="BU10" s="40" t="s">
        <v>150</v>
      </c>
      <c r="BV10" s="41" t="s">
        <v>80</v>
      </c>
      <c r="BW10" s="41" t="s">
        <v>80</v>
      </c>
      <c r="BX10" s="41" t="s">
        <v>101</v>
      </c>
      <c r="BY10" s="41" t="s">
        <v>104</v>
      </c>
      <c r="BZ10" s="41" t="s">
        <v>151</v>
      </c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159</v>
      </c>
      <c r="F11" s="8" t="s">
        <v>152</v>
      </c>
      <c r="G11" s="9">
        <v>16000</v>
      </c>
      <c r="H11" s="9"/>
      <c r="I11" s="48">
        <v>0</v>
      </c>
      <c r="J11" s="21">
        <f t="shared" si="2"/>
        <v>18000</v>
      </c>
      <c r="K11" s="8" t="s">
        <v>153</v>
      </c>
      <c r="L11" s="9">
        <v>-6000</v>
      </c>
      <c r="M11" s="9"/>
      <c r="N11" s="48">
        <v>0</v>
      </c>
      <c r="O11" s="21">
        <f t="shared" si="3"/>
        <v>28300</v>
      </c>
      <c r="P11" s="8" t="s">
        <v>153</v>
      </c>
      <c r="Q11" s="9">
        <v>-10000</v>
      </c>
      <c r="R11" s="9"/>
      <c r="S11" s="48">
        <v>0</v>
      </c>
      <c r="T11" s="21">
        <f t="shared" si="4"/>
        <v>58700</v>
      </c>
      <c r="U11" s="53">
        <f>IF($J11="","",ROUND(($J11-$J$3)/1000,1)+(_xlfn.RANK.AVG($J11,($J11,$O11,$T11),1)-2)*20)</f>
        <v>-37</v>
      </c>
      <c r="V11" s="54">
        <f>IF($O11="","",ROUND(($O11-$O$3)/1000,1)+(_xlfn.RANK.AVG($O11,($J11,$O11,$T11),1)-2)*20)</f>
        <v>-6.7</v>
      </c>
      <c r="W11" s="55">
        <f>IF($T11="","",ROUND(($T11-$T$3)/1000,1)+(_xlfn.RANK.AVG($T11,($J11,$O11,$T11),1)-2)*20)</f>
        <v>43.7</v>
      </c>
      <c r="Y11" s="8"/>
      <c r="Z11" s="34"/>
      <c r="AA11" s="26">
        <v>1</v>
      </c>
      <c r="AB11" s="26"/>
      <c r="AC11" s="26">
        <v>9</v>
      </c>
      <c r="AD11" s="30" t="s">
        <v>149</v>
      </c>
      <c r="AE11" s="40" t="s">
        <v>150</v>
      </c>
      <c r="AF11" s="41" t="s">
        <v>82</v>
      </c>
      <c r="AG11" s="41" t="s">
        <v>151</v>
      </c>
      <c r="AH11" s="41" t="s">
        <v>92</v>
      </c>
      <c r="AI11" s="41" t="s">
        <v>104</v>
      </c>
      <c r="AJ11" s="41" t="s">
        <v>86</v>
      </c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6110AC67-9C5B-44B5-B314-7F060EEAFEA3}">
      <formula1>"ロン,ツモ,放銃,ツモ支払,流局,チョンボ"</formula1>
    </dataValidation>
    <dataValidation type="list" allowBlank="1" showInputMessage="1" showErrorMessage="1" sqref="E4:E30" xr:uid="{D6F5C248-D6B5-4DAF-8F55-37E57310F02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134</v>
      </c>
      <c r="B52" s="15" t="s">
        <v>135</v>
      </c>
      <c r="C52" s="15">
        <v>2</v>
      </c>
    </row>
    <row r="53" spans="1:4" x14ac:dyDescent="0.4">
      <c r="A53" s="36" t="s">
        <v>136</v>
      </c>
      <c r="B53" s="15" t="s">
        <v>137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2019-05-15T16:17:58Z</dcterms:modified>
</cp:coreProperties>
</file>