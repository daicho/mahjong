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4F5D6831-2B2B-4D87-96D8-961DF3856FFE}" xr6:coauthVersionLast="41" xr6:coauthVersionMax="41" xr10:uidLastSave="{00000000-0000-0000-0000-000000000000}"/>
  <bookViews>
    <workbookView xWindow="-120" yWindow="-120" windowWidth="29040" windowHeight="1644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O11" i="20"/>
  <c r="J11" i="20"/>
  <c r="U11" i="20" s="1"/>
  <c r="D11" i="20"/>
  <c r="C11" i="20"/>
  <c r="B11" i="20"/>
  <c r="A11" i="20" s="1"/>
  <c r="T10" i="20"/>
  <c r="W10" i="20" s="1"/>
  <c r="O10" i="20"/>
  <c r="J10" i="20"/>
  <c r="U10" i="20" s="1"/>
  <c r="D10" i="20"/>
  <c r="C10" i="20"/>
  <c r="B10" i="20"/>
  <c r="A10" i="20" s="1"/>
  <c r="D9" i="20"/>
  <c r="C9" i="20"/>
  <c r="D8" i="20"/>
  <c r="C8" i="20"/>
  <c r="D7" i="20"/>
  <c r="C7" i="20"/>
  <c r="D6" i="20"/>
  <c r="C6" i="20"/>
  <c r="O5" i="20"/>
  <c r="O6" i="20" s="1"/>
  <c r="J5" i="20"/>
  <c r="D5" i="20"/>
  <c r="C5" i="20"/>
  <c r="B5" i="20"/>
  <c r="B6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W11" i="20" l="1"/>
  <c r="V11" i="20"/>
  <c r="V10" i="20"/>
  <c r="A5" i="20"/>
  <c r="V4" i="20"/>
  <c r="O7" i="20"/>
  <c r="A6" i="20"/>
  <c r="B7" i="20"/>
  <c r="A7" i="20" s="1"/>
  <c r="U4" i="20"/>
  <c r="T5" i="20"/>
  <c r="U5" i="20" s="1"/>
  <c r="J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5" i="20" l="1"/>
  <c r="W5" i="20"/>
  <c r="T6" i="20"/>
  <c r="V6" i="20" s="1"/>
  <c r="B8" i="20"/>
  <c r="A8" i="20" s="1"/>
  <c r="U6" i="20"/>
  <c r="J7" i="20"/>
  <c r="O8" i="20"/>
  <c r="W9" i="19"/>
  <c r="U9" i="19"/>
  <c r="V9" i="19"/>
  <c r="V8" i="19"/>
  <c r="U8" i="19"/>
  <c r="W8" i="19"/>
  <c r="V7" i="19"/>
  <c r="W7" i="19"/>
  <c r="W6" i="19"/>
  <c r="V6" i="19"/>
  <c r="U6" i="19"/>
  <c r="U4" i="19"/>
  <c r="V4" i="19"/>
  <c r="W4" i="19"/>
  <c r="J5" i="19"/>
  <c r="O5" i="19"/>
  <c r="W6" i="20" l="1"/>
  <c r="T7" i="20"/>
  <c r="O9" i="20"/>
  <c r="U7" i="20"/>
  <c r="J8" i="20"/>
  <c r="B9" i="20"/>
  <c r="A9" i="20" s="1"/>
  <c r="V5" i="19"/>
  <c r="W5" i="19"/>
  <c r="U5" i="19"/>
  <c r="T8" i="20" l="1"/>
  <c r="V8" i="20" s="1"/>
  <c r="W7" i="20"/>
  <c r="V7" i="20"/>
  <c r="J9" i="20"/>
  <c r="U8" i="20" l="1"/>
  <c r="W8" i="20"/>
  <c r="T9" i="20"/>
  <c r="U9" i="20"/>
  <c r="V9" i="20"/>
  <c r="W9" i="20" l="1"/>
</calcChain>
</file>

<file path=xl/sharedStrings.xml><?xml version="1.0" encoding="utf-8"?>
<sst xmlns="http://schemas.openxmlformats.org/spreadsheetml/2006/main" count="680" uniqueCount="211">
  <si>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</si>
  <si>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</si>
  <si>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</si>
  <si>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</si>
  <si>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</si>
  <si>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</si>
  <si>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</si>
  <si>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</si>
  <si>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</si>
  <si>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</si>
  <si>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</si>
  <si>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</si>
  <si>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</si>
  <si>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</si>
  <si>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</si>
  <si>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</si>
  <si>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</si>
  <si>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</si>
  <si>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</si>
  <si>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</si>
  <si>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</si>
  <si>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</si>
  <si>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</si>
  <si>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</si>
  <si>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</si>
  <si>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</si>
  <si>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</si>
  <si>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</si>
  <si>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</si>
  <si>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</si>
  <si>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</si>
  <si>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</si>
  <si>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</si>
  <si>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</si>
  <si>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</si>
  <si>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</si>
  <si>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</si>
  <si>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</si>
  <si>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</si>
  <si>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</si>
  <si>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</si>
  <si>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</si>
  <si>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</si>
  <si>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</si>
  <si>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</si>
  <si>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</si>
  <si>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</si>
  <si>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</si>
  <si>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</si>
  <si>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</si>
  <si>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</si>
  <si>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</si>
  <si>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</si>
  <si>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</si>
  <si>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</si>
  <si>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</si>
  <si>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</si>
  <si>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</si>
  <si>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</si>
  <si>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</si>
  <si>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</si>
  <si>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</si>
  <si>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</si>
  <si>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</si>
  <si>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</si>
  <si>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</si>
  <si>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</si>
  <si>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</si>
  <si>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</si>
  <si>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</si>
  <si>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</si>
  <si>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</si>
  <si>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</si>
  <si>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</si>
  <si>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</si>
  <si>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</si>
  <si>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</si>
  <si>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</si>
  <si>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</si>
  <si>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</si>
  <si>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</si>
  <si>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</si>
  <si>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</si>
  <si>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</si>
  <si>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</si>
  <si>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</si>
  <si>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</si>
  <si>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</si>
  <si>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</si>
  <si>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</si>
  <si>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</si>
  <si>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</si>
  <si>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</si>
  <si>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</si>
  <si>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</si>
  <si>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</si>
  <si>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</si>
  <si>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</si>
  <si>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</si>
  <si>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</si>
  <si>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</si>
  <si>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</si>
  <si>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</si>
  <si>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</si>
  <si>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</si>
  <si>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</si>
  <si>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</si>
  <si>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</si>
  <si>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</si>
  <si>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</si>
  <si>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</si>
  <si>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</si>
  <si>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</si>
  <si>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</si>
  <si>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</si>
  <si>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</si>
  <si>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</si>
  <si>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</si>
  <si>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</si>
  <si>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</si>
  <si>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</si>
  <si>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</si>
  <si>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</si>
  <si>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</si>
  <si>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</si>
  <si>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</si>
  <si>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</si>
  <si>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</si>
  <si>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</si>
  <si>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</si>
  <si>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</si>
  <si>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</si>
  <si>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</si>
  <si>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</si>
  <si>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</si>
  <si>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</si>
  <si>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</si>
  <si>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</si>
  <si>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</si>
  <si>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</si>
  <si>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</si>
  <si>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</si>
  <si>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</si>
  <si>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</si>
  <si>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</si>
  <si>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</si>
  <si>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</si>
  <si>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</si>
  <si>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</si>
  <si>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</si>
  <si>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</si>
  <si>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</si>
  <si>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</si>
  <si>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</si>
  <si>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</si>
  <si>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</si>
  <si>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</si>
  <si>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</si>
  <si>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</si>
  <si>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</si>
  <si>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</si>
  <si>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</si>
  <si>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</si>
  <si>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</si>
  <si>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</si>
  <si>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</si>
  <si>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</si>
  <si>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</si>
  <si>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</si>
  <si>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</si>
  <si>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</si>
  <si>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</si>
  <si>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</si>
  <si>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</si>
  <si>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</si>
  <si>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</si>
  <si>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</si>
  <si>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</si>
  <si>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</si>
  <si>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</si>
  <si>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</si>
  <si>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</si>
  <si>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</si>
  <si>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</si>
  <si>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</si>
  <si>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</si>
  <si>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</si>
  <si>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</si>
  <si>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</si>
  <si>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</si>
  <si>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</si>
  <si>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</si>
  <si>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</si>
  <si>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れんたろう</t>
  </si>
  <si>
    <t>れんたろう</t>
    <phoneticPr fontId="1"/>
  </si>
  <si>
    <t>ただ</t>
  </si>
  <si>
    <t>ただ</t>
    <phoneticPr fontId="1"/>
  </si>
  <si>
    <t>放銃</t>
  </si>
  <si>
    <t>ロン</t>
  </si>
  <si>
    <t>52</t>
  </si>
  <si>
    <t>ツモ</t>
  </si>
  <si>
    <t>ツモ支払</t>
  </si>
  <si>
    <t>*</t>
  </si>
  <si>
    <t>N</t>
  </si>
  <si>
    <t>T</t>
  </si>
  <si>
    <t>流局</t>
    <phoneticPr fontId="1"/>
  </si>
  <si>
    <t>01</t>
  </si>
  <si>
    <t>のり</t>
  </si>
  <si>
    <t>のり</t>
    <phoneticPr fontId="1"/>
  </si>
  <si>
    <t>51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</si>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</sst>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-2000</v>
      </c>
      <c r="H4" s="9"/>
      <c r="I4" s="48">
        <v>0</v>
      </c>
      <c r="J4" s="21">
        <f>IF(COUNTA($F4,$K4,$P4)&gt;0,J3+SUM(G4:I4),"")</f>
        <v>33000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2000</v>
      </c>
      <c r="R4" s="9"/>
      <c r="S4" s="48">
        <v>0</v>
      </c>
      <c r="T4" s="21">
        <f>IF(COUNTA($F4,$K4,$P4)&gt;0,T3+SUM(Q4:S4),"")</f>
        <v>37000</v>
      </c>
      <c r="U4" s="53">
        <f>IF($J4="","",ROUND(($J4-$J$3)/1000,1)+(_xlfn.RANK.AVG($J4,($J4,$O4,$T4),1)-2)*20)</f>
        <v>-22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2</v>
      </c>
      <c r="BT4" s="30">
        <v>30</v>
      </c>
      <c r="BU4" s="40" t="s">
        <v>86</v>
      </c>
      <c r="BV4" s="41" t="s">
        <v>199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200</v>
      </c>
      <c r="G5" s="9">
        <v>7700</v>
      </c>
      <c r="H5" s="9">
        <v>1000</v>
      </c>
      <c r="I5" s="48">
        <v>0</v>
      </c>
      <c r="J5" s="21">
        <f t="shared" ref="J5:J30" si="2">IF(COUNTA($F5,$K5,$P5)&gt;0,J4+SUM(G5:I5),"")</f>
        <v>41700</v>
      </c>
      <c r="K5" s="8" t="s">
        <v>201</v>
      </c>
      <c r="L5" s="9">
        <v>-4800</v>
      </c>
      <c r="M5" s="9">
        <v>-1000</v>
      </c>
      <c r="N5" s="48">
        <v>0</v>
      </c>
      <c r="O5" s="21">
        <f t="shared" ref="O5:O30" si="3">IF(COUNTA($F5,$K5,$P5)&gt;0,O4+SUM(L5:N5),"")</f>
        <v>29200</v>
      </c>
      <c r="P5" s="8" t="s">
        <v>201</v>
      </c>
      <c r="Q5" s="9">
        <v>-2900</v>
      </c>
      <c r="R5" s="9"/>
      <c r="S5" s="48">
        <v>0</v>
      </c>
      <c r="T5" s="21">
        <f t="shared" ref="T5:T30" si="4">IF(COUNTA($F5,$K5,$P5)&gt;0,T4+SUM(Q5:S5),"")</f>
        <v>34100</v>
      </c>
      <c r="U5" s="53">
        <f>IF($J5="","",ROUND(($J5-$J$3)/1000,1)+(_xlfn.RANK.AVG($J5,($J5,$O5,$T5),1)-2)*20)</f>
        <v>26.7</v>
      </c>
      <c r="V5" s="54">
        <f>IF($O5="","",ROUND(($O5-$O$3)/1000,1)+(_xlfn.RANK.AVG($O5,($J5,$O5,$T5),1)-2)*20)</f>
        <v>-25.8</v>
      </c>
      <c r="W5" s="55">
        <f>IF($T5="","",ROUND(($T5-$T$3)/1000,1)+(_xlfn.RANK.AVG($T5,($J5,$O5,$T5),1)-2)*20)</f>
        <v>-0.9</v>
      </c>
      <c r="Y5" s="8"/>
      <c r="Z5" s="34"/>
      <c r="AA5" s="26"/>
      <c r="AB5" s="26"/>
      <c r="AC5" s="26">
        <v>4</v>
      </c>
      <c r="AD5" s="30">
        <v>30</v>
      </c>
      <c r="AE5" s="40" t="s">
        <v>82</v>
      </c>
      <c r="AF5" s="41" t="s">
        <v>85</v>
      </c>
      <c r="AG5" s="41" t="s">
        <v>84</v>
      </c>
      <c r="AH5" s="41" t="s">
        <v>199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41700</v>
      </c>
      <c r="K6" s="8" t="s">
        <v>198</v>
      </c>
      <c r="L6" s="9">
        <v>8000</v>
      </c>
      <c r="M6" s="9"/>
      <c r="N6" s="48">
        <v>0</v>
      </c>
      <c r="O6" s="21">
        <f t="shared" si="3"/>
        <v>37200</v>
      </c>
      <c r="P6" s="8" t="s">
        <v>197</v>
      </c>
      <c r="Q6" s="9">
        <v>-8000</v>
      </c>
      <c r="R6" s="9"/>
      <c r="S6" s="48">
        <v>0</v>
      </c>
      <c r="T6" s="21">
        <f t="shared" si="4"/>
        <v>26100</v>
      </c>
      <c r="U6" s="53">
        <f>IF($J6="","",ROUND(($J6-$J$3)/1000,1)+(_xlfn.RANK.AVG($J6,($J6,$O6,$T6),1)-2)*20)</f>
        <v>26.7</v>
      </c>
      <c r="V6" s="54">
        <f>IF($O6="","",ROUND(($O6-$O$3)/1000,1)+(_xlfn.RANK.AVG($O6,($J6,$O6,$T6),1)-2)*20)</f>
        <v>2.2000000000000002</v>
      </c>
      <c r="W6" s="55">
        <f>IF($T6="","",ROUND(($T6-$T$3)/1000,1)+(_xlfn.RANK.AVG($T6,($J6,$O6,$T6),1)-2)*20)</f>
        <v>-28.9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5</v>
      </c>
      <c r="AY6" s="30" t="s">
        <v>202</v>
      </c>
      <c r="AZ6" s="40" t="s">
        <v>86</v>
      </c>
      <c r="BA6" s="41" t="s">
        <v>199</v>
      </c>
      <c r="BB6" s="41" t="s">
        <v>79</v>
      </c>
      <c r="BC6" s="41" t="s">
        <v>79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205</v>
      </c>
      <c r="G7" s="9">
        <v>-1500</v>
      </c>
      <c r="H7" s="9"/>
      <c r="I7" s="48"/>
      <c r="J7" s="21">
        <f t="shared" si="2"/>
        <v>40200</v>
      </c>
      <c r="K7" s="8" t="s">
        <v>205</v>
      </c>
      <c r="L7" s="9">
        <v>3000</v>
      </c>
      <c r="M7" s="9"/>
      <c r="N7" s="48"/>
      <c r="O7" s="21">
        <f t="shared" si="3"/>
        <v>40200</v>
      </c>
      <c r="P7" s="8" t="s">
        <v>205</v>
      </c>
      <c r="Q7" s="9">
        <v>-1500</v>
      </c>
      <c r="R7" s="9"/>
      <c r="S7" s="48"/>
      <c r="T7" s="21">
        <f t="shared" si="4"/>
        <v>24600</v>
      </c>
      <c r="U7" s="53">
        <f>IF($J7="","",ROUND(($J7-$J$3)/1000,1)+(_xlfn.RANK.AVG($J7,($J7,$O7,$T7),1)-2)*20)</f>
        <v>15.2</v>
      </c>
      <c r="V7" s="54">
        <f>IF($O7="","",ROUND(($O7-$O$3)/1000,1)+(_xlfn.RANK.AVG($O7,($J7,$O7,$T7),1)-2)*20)</f>
        <v>15.2</v>
      </c>
      <c r="W7" s="55">
        <f>IF($T7="","",ROUND(($T7-$T$3)/1000,1)+(_xlfn.RANK.AVG($T7,($J7,$O7,$T7),1)-2)*20)</f>
        <v>-30.4</v>
      </c>
      <c r="Y7" s="8" t="s">
        <v>203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201</v>
      </c>
      <c r="G8" s="9">
        <v>-1500</v>
      </c>
      <c r="H8" s="9"/>
      <c r="I8" s="48">
        <v>-500</v>
      </c>
      <c r="J8" s="21">
        <f t="shared" si="2"/>
        <v>38200</v>
      </c>
      <c r="K8" s="8" t="s">
        <v>201</v>
      </c>
      <c r="L8" s="9">
        <v>-2500</v>
      </c>
      <c r="M8" s="9">
        <v>-1000</v>
      </c>
      <c r="N8" s="48">
        <v>-500</v>
      </c>
      <c r="O8" s="21">
        <f t="shared" si="3"/>
        <v>36200</v>
      </c>
      <c r="P8" s="8" t="s">
        <v>200</v>
      </c>
      <c r="Q8" s="9">
        <v>4000</v>
      </c>
      <c r="R8" s="9">
        <v>1000</v>
      </c>
      <c r="S8" s="48">
        <v>1000</v>
      </c>
      <c r="T8" s="21">
        <f t="shared" si="4"/>
        <v>30600</v>
      </c>
      <c r="U8" s="53">
        <f>IF($J8="","",ROUND(($J8-$J$3)/1000,1)+(_xlfn.RANK.AVG($J8,($J8,$O8,$T8),1)-2)*20)</f>
        <v>23.2</v>
      </c>
      <c r="V8" s="54">
        <f>IF($O8="","",ROUND(($O8-$O$3)/1000,1)+(_xlfn.RANK.AVG($O8,($J8,$O8,$T8),1)-2)*20)</f>
        <v>1.2</v>
      </c>
      <c r="W8" s="55">
        <f>IF($T8="","",ROUND(($T8-$T$3)/1000,1)+(_xlfn.RANK.AVG($T8,($J8,$O8,$T8),1)-2)*20)</f>
        <v>-24.4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30</v>
      </c>
      <c r="BU8" s="40" t="s">
        <v>206</v>
      </c>
      <c r="BV8" s="41" t="s">
        <v>82</v>
      </c>
      <c r="BW8" s="41" t="s">
        <v>80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38200</v>
      </c>
      <c r="K9" s="8" t="s">
        <v>197</v>
      </c>
      <c r="L9" s="9">
        <v>-12000</v>
      </c>
      <c r="M9" s="9"/>
      <c r="N9" s="48">
        <v>0</v>
      </c>
      <c r="O9" s="21">
        <f t="shared" si="3"/>
        <v>24200</v>
      </c>
      <c r="P9" s="8" t="s">
        <v>198</v>
      </c>
      <c r="Q9" s="9">
        <v>12000</v>
      </c>
      <c r="R9" s="9"/>
      <c r="S9" s="48">
        <v>0</v>
      </c>
      <c r="T9" s="21">
        <f t="shared" si="4"/>
        <v>42600</v>
      </c>
      <c r="U9" s="53">
        <f>IF($J9="","",ROUND(($J9-$J$3)/1000,1)+(_xlfn.RANK.AVG($J9,($J9,$O9,$T9),1)-2)*20)</f>
        <v>3.2</v>
      </c>
      <c r="V9" s="54">
        <f>IF($O9="","",ROUND(($O9-$O$3)/1000,1)+(_xlfn.RANK.AVG($O9,($J9,$O9,$T9),1)-2)*20)</f>
        <v>-30.8</v>
      </c>
      <c r="W9" s="55">
        <f>IF($T9="","",ROUND(($T9-$T$3)/1000,1)+(_xlfn.RANK.AVG($T9,($J9,$O9,$T9),1)-2)*20)</f>
        <v>27.6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206</v>
      </c>
      <c r="BV9" s="41" t="s">
        <v>199</v>
      </c>
      <c r="BW9" s="41" t="s">
        <v>80</v>
      </c>
      <c r="BX9" s="41" t="s">
        <v>80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5E1344B-8C8B-4062-9902-1141B2E0E89C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7D127-8C9B-4962-B277-91DC23F417A1}">
  <sheetPr codeName="Sheet1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208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のり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のり</v>
      </c>
      <c r="V2" s="69" t="str">
        <f>$K$1</f>
        <v>まっつん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24000</v>
      </c>
      <c r="M4" s="9"/>
      <c r="N4" s="48">
        <v>0</v>
      </c>
      <c r="O4" s="21">
        <f>IF(COUNTA($F4,$K4,$P4)&gt;0,O3+SUM(L4:N4),"")</f>
        <v>59000</v>
      </c>
      <c r="P4" s="8" t="s">
        <v>197</v>
      </c>
      <c r="Q4" s="9">
        <v>-24000</v>
      </c>
      <c r="R4" s="9"/>
      <c r="S4" s="48">
        <v>0</v>
      </c>
      <c r="T4" s="21">
        <f>IF(COUNTA($F4,$K4,$P4)&gt;0,T3+SUM(Q4:S4),"")</f>
        <v>11000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44</v>
      </c>
      <c r="W4" s="55">
        <f>IF($T4="","",ROUND(($T4-$T$3)/1000,1)+(_xlfn.RANK.AVG($T4,($J4,$O4,$T4),1)-2)*20)</f>
        <v>-44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9</v>
      </c>
      <c r="AY4" s="30" t="s">
        <v>202</v>
      </c>
      <c r="AZ4" s="40" t="s">
        <v>79</v>
      </c>
      <c r="BA4" s="41" t="s">
        <v>79</v>
      </c>
      <c r="BB4" s="41" t="s">
        <v>79</v>
      </c>
      <c r="BC4" s="41" t="s">
        <v>86</v>
      </c>
      <c r="BD4" s="41" t="s">
        <v>86</v>
      </c>
      <c r="BE4" s="41" t="s">
        <v>104</v>
      </c>
      <c r="BF4" s="41" t="s">
        <v>98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-5200</v>
      </c>
      <c r="H5" s="9"/>
      <c r="I5" s="48">
        <v>-1000</v>
      </c>
      <c r="J5" s="21">
        <f t="shared" ref="J5:J30" si="2">IF(COUNTA($F5,$K5,$P5)&gt;0,J4+SUM(G5:I5),"")</f>
        <v>28800</v>
      </c>
      <c r="K5" s="8"/>
      <c r="L5" s="9"/>
      <c r="M5" s="9"/>
      <c r="N5" s="48"/>
      <c r="O5" s="21">
        <f t="shared" ref="O5:O30" si="3">IF(COUNTA($F5,$K5,$P5)&gt;0,O4+SUM(L5:N5),"")</f>
        <v>59000</v>
      </c>
      <c r="P5" s="8" t="s">
        <v>198</v>
      </c>
      <c r="Q5" s="9">
        <v>5200</v>
      </c>
      <c r="R5" s="9"/>
      <c r="S5" s="48">
        <v>1000</v>
      </c>
      <c r="T5" s="21">
        <f t="shared" ref="T5:T30" si="4">IF(COUNTA($F5,$K5,$P5)&gt;0,T4+SUM(Q5:S5),"")</f>
        <v>17200</v>
      </c>
      <c r="U5" s="53">
        <f>IF($J5="","",ROUND(($J5-$J$3)/1000,1)+(_xlfn.RANK.AVG($J5,($J5,$O5,$T5),1)-2)*20)</f>
        <v>-6.2</v>
      </c>
      <c r="V5" s="54">
        <f>IF($O5="","",ROUND(($O5-$O$3)/1000,1)+(_xlfn.RANK.AVG($O5,($J5,$O5,$T5),1)-2)*20)</f>
        <v>44</v>
      </c>
      <c r="W5" s="55">
        <f>IF($T5="","",ROUND(($T5-$T$3)/1000,1)+(_xlfn.RANK.AVG($T5,($J5,$O5,$T5),1)-2)*20)</f>
        <v>-37.799999999999997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206</v>
      </c>
      <c r="BV5" s="41" t="s">
        <v>85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28800</v>
      </c>
      <c r="K6" s="8" t="s">
        <v>198</v>
      </c>
      <c r="L6" s="9">
        <v>8000</v>
      </c>
      <c r="M6" s="9">
        <v>1000</v>
      </c>
      <c r="N6" s="48">
        <v>0</v>
      </c>
      <c r="O6" s="21">
        <f t="shared" si="3"/>
        <v>68000</v>
      </c>
      <c r="P6" s="8" t="s">
        <v>197</v>
      </c>
      <c r="Q6" s="9">
        <v>-8000</v>
      </c>
      <c r="R6" s="9">
        <v>-1000</v>
      </c>
      <c r="S6" s="48">
        <v>0</v>
      </c>
      <c r="T6" s="21">
        <f t="shared" si="4"/>
        <v>8200</v>
      </c>
      <c r="U6" s="53">
        <f>IF($J6="","",ROUND(($J6-$J$3)/1000,1)+(_xlfn.RANK.AVG($J6,($J6,$O6,$T6),1)-2)*20)</f>
        <v>-6.2</v>
      </c>
      <c r="V6" s="54">
        <f>IF($O6="","",ROUND(($O6-$O$3)/1000,1)+(_xlfn.RANK.AVG($O6,($J6,$O6,$T6),1)-2)*20)</f>
        <v>53</v>
      </c>
      <c r="W6" s="55">
        <f>IF($T6="","",ROUND(($T6-$T$3)/1000,1)+(_xlfn.RANK.AVG($T6,($J6,$O6,$T6),1)-2)*20)</f>
        <v>-46.8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202</v>
      </c>
      <c r="AZ6" s="40" t="s">
        <v>206</v>
      </c>
      <c r="BA6" s="41" t="s">
        <v>79</v>
      </c>
      <c r="BB6" s="41" t="s">
        <v>79</v>
      </c>
      <c r="BC6" s="41" t="s">
        <v>101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207</v>
      </c>
      <c r="F7" s="8" t="s">
        <v>198</v>
      </c>
      <c r="G7" s="9">
        <v>2400</v>
      </c>
      <c r="H7" s="9"/>
      <c r="I7" s="48">
        <v>0</v>
      </c>
      <c r="J7" s="21">
        <f t="shared" si="2"/>
        <v>31200</v>
      </c>
      <c r="K7" s="8"/>
      <c r="L7" s="9"/>
      <c r="M7" s="9"/>
      <c r="N7" s="48"/>
      <c r="O7" s="21">
        <f t="shared" si="3"/>
        <v>68000</v>
      </c>
      <c r="P7" s="8" t="s">
        <v>197</v>
      </c>
      <c r="Q7" s="9">
        <v>-2400</v>
      </c>
      <c r="R7" s="9"/>
      <c r="S7" s="48">
        <v>0</v>
      </c>
      <c r="T7" s="21">
        <f t="shared" si="4"/>
        <v>5800</v>
      </c>
      <c r="U7" s="53">
        <f>IF($J7="","",ROUND(($J7-$J$3)/1000,1)+(_xlfn.RANK.AVG($J7,($J7,$O7,$T7),1)-2)*20)</f>
        <v>-3.8</v>
      </c>
      <c r="V7" s="54">
        <f>IF($O7="","",ROUND(($O7-$O$3)/1000,1)+(_xlfn.RANK.AVG($O7,($J7,$O7,$T7),1)-2)*20)</f>
        <v>53</v>
      </c>
      <c r="W7" s="55">
        <f>IF($T7="","",ROUND(($T7-$T$3)/1000,1)+(_xlfn.RANK.AVG($T7,($J7,$O7,$T7),1)-2)*20)</f>
        <v>-49.2</v>
      </c>
      <c r="Y7" s="8"/>
      <c r="Z7" s="34"/>
      <c r="AA7" s="26"/>
      <c r="AB7" s="26"/>
      <c r="AC7" s="26">
        <v>2</v>
      </c>
      <c r="AD7" s="30">
        <v>25</v>
      </c>
      <c r="AE7" s="40" t="s">
        <v>101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207</v>
      </c>
      <c r="F8" s="8"/>
      <c r="G8" s="9"/>
      <c r="H8" s="9"/>
      <c r="I8" s="48"/>
      <c r="J8" s="21">
        <f t="shared" si="2"/>
        <v>31200</v>
      </c>
      <c r="K8" s="8" t="s">
        <v>197</v>
      </c>
      <c r="L8" s="9">
        <v>-8000</v>
      </c>
      <c r="M8" s="9">
        <v>-1000</v>
      </c>
      <c r="N8" s="48">
        <v>-1000</v>
      </c>
      <c r="O8" s="21">
        <f t="shared" si="3"/>
        <v>58000</v>
      </c>
      <c r="P8" s="8" t="s">
        <v>198</v>
      </c>
      <c r="Q8" s="9">
        <v>8000</v>
      </c>
      <c r="R8" s="9">
        <v>1000</v>
      </c>
      <c r="S8" s="48">
        <v>1000</v>
      </c>
      <c r="T8" s="21">
        <f t="shared" si="4"/>
        <v>15800</v>
      </c>
      <c r="U8" s="53">
        <f>IF($J8="","",ROUND(($J8-$J$3)/1000,1)+(_xlfn.RANK.AVG($J8,($J8,$O8,$T8),1)-2)*20)</f>
        <v>-3.8</v>
      </c>
      <c r="V8" s="54">
        <f>IF($O8="","",ROUND(($O8-$O$3)/1000,1)+(_xlfn.RANK.AVG($O8,($J8,$O8,$T8),1)-2)*20)</f>
        <v>43</v>
      </c>
      <c r="W8" s="55">
        <f>IF($T8="","",ROUND(($T8-$T$3)/1000,1)+(_xlfn.RANK.AVG($T8,($J8,$O8,$T8),1)-2)*20)</f>
        <v>-39.200000000000003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40</v>
      </c>
      <c r="BU8" s="40" t="s">
        <v>209</v>
      </c>
      <c r="BV8" s="41" t="s">
        <v>199</v>
      </c>
      <c r="BW8" s="41" t="s">
        <v>86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201</v>
      </c>
      <c r="G9" s="9">
        <v>-3000</v>
      </c>
      <c r="H9" s="9"/>
      <c r="I9" s="48">
        <v>0</v>
      </c>
      <c r="J9" s="21">
        <f t="shared" si="2"/>
        <v>28200</v>
      </c>
      <c r="K9" s="8" t="s">
        <v>201</v>
      </c>
      <c r="L9" s="9">
        <v>-5000</v>
      </c>
      <c r="M9" s="9"/>
      <c r="N9" s="48">
        <v>0</v>
      </c>
      <c r="O9" s="21">
        <f t="shared" si="3"/>
        <v>53000</v>
      </c>
      <c r="P9" s="8" t="s">
        <v>200</v>
      </c>
      <c r="Q9" s="9">
        <v>8000</v>
      </c>
      <c r="R9" s="9"/>
      <c r="S9" s="48">
        <v>0</v>
      </c>
      <c r="T9" s="21">
        <f t="shared" si="4"/>
        <v>23800</v>
      </c>
      <c r="U9" s="53">
        <f>IF($J9="","",ROUND(($J9-$J$3)/1000,1)+(_xlfn.RANK.AVG($J9,($J9,$O9,$T9),1)-2)*20)</f>
        <v>-6.8</v>
      </c>
      <c r="V9" s="54">
        <f>IF($O9="","",ROUND(($O9-$O$3)/1000,1)+(_xlfn.RANK.AVG($O9,($J9,$O9,$T9),1)-2)*20)</f>
        <v>38</v>
      </c>
      <c r="W9" s="55">
        <f>IF($T9="","",ROUND(($T9-$T$3)/1000,1)+(_xlfn.RANK.AVG($T9,($J9,$O9,$T9),1)-2)*20)</f>
        <v>-31.2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206</v>
      </c>
      <c r="BV9" s="41" t="s">
        <v>82</v>
      </c>
      <c r="BW9" s="41" t="s">
        <v>79</v>
      </c>
      <c r="BX9" s="41" t="s">
        <v>80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200</v>
      </c>
      <c r="G10" s="9">
        <v>12000</v>
      </c>
      <c r="H10" s="9"/>
      <c r="I10" s="48">
        <v>0</v>
      </c>
      <c r="J10" s="21">
        <f t="shared" si="2"/>
        <v>40200</v>
      </c>
      <c r="K10" s="8" t="s">
        <v>201</v>
      </c>
      <c r="L10" s="9">
        <v>-4500</v>
      </c>
      <c r="M10" s="9"/>
      <c r="N10" s="48">
        <v>0</v>
      </c>
      <c r="O10" s="21">
        <f t="shared" si="3"/>
        <v>48500</v>
      </c>
      <c r="P10" s="8" t="s">
        <v>201</v>
      </c>
      <c r="Q10" s="9">
        <v>-7500</v>
      </c>
      <c r="R10" s="9"/>
      <c r="S10" s="48">
        <v>0</v>
      </c>
      <c r="T10" s="21">
        <f t="shared" si="4"/>
        <v>16300</v>
      </c>
      <c r="U10" s="53">
        <f>IF($J10="","",ROUND(($J10-$J$3)/1000,1)+(_xlfn.RANK.AVG($J10,($J10,$O10,$T10),1)-2)*20)</f>
        <v>5.2</v>
      </c>
      <c r="V10" s="54">
        <f>IF($O10="","",ROUND(($O10-$O$3)/1000,1)+(_xlfn.RANK.AVG($O10,($J10,$O10,$T10),1)-2)*20)</f>
        <v>33.5</v>
      </c>
      <c r="W10" s="55">
        <f>IF($T10="","",ROUND(($T10-$T$3)/1000,1)+(_xlfn.RANK.AVG($T10,($J10,$O10,$T10),1)-2)*20)</f>
        <v>-38.700000000000003</v>
      </c>
      <c r="Y10" s="8"/>
      <c r="Z10" s="34"/>
      <c r="AA10" s="26">
        <v>1</v>
      </c>
      <c r="AB10" s="26"/>
      <c r="AC10" s="26">
        <v>6</v>
      </c>
      <c r="AD10" s="30" t="s">
        <v>202</v>
      </c>
      <c r="AE10" s="40" t="s">
        <v>206</v>
      </c>
      <c r="AF10" s="41" t="s">
        <v>82</v>
      </c>
      <c r="AG10" s="41" t="s">
        <v>210</v>
      </c>
      <c r="AH10" s="41" t="s">
        <v>92</v>
      </c>
      <c r="AI10" s="41" t="s">
        <v>80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207</v>
      </c>
      <c r="F11" s="8" t="s">
        <v>197</v>
      </c>
      <c r="G11" s="9">
        <v>-8000</v>
      </c>
      <c r="H11" s="9"/>
      <c r="I11" s="48">
        <v>0</v>
      </c>
      <c r="J11" s="21">
        <f t="shared" si="2"/>
        <v>32200</v>
      </c>
      <c r="K11" s="8" t="s">
        <v>198</v>
      </c>
      <c r="L11" s="9">
        <v>8000</v>
      </c>
      <c r="M11" s="9"/>
      <c r="N11" s="48">
        <v>0</v>
      </c>
      <c r="O11" s="21">
        <f t="shared" si="3"/>
        <v>56500</v>
      </c>
      <c r="P11" s="8"/>
      <c r="Q11" s="9"/>
      <c r="R11" s="9"/>
      <c r="S11" s="48"/>
      <c r="T11" s="21">
        <f t="shared" si="4"/>
        <v>16300</v>
      </c>
      <c r="U11" s="53">
        <f>IF($J11="","",ROUND(($J11-$J$3)/1000,1)+(_xlfn.RANK.AVG($J11,($J11,$O11,$T11),1)-2)*20)</f>
        <v>-2.8</v>
      </c>
      <c r="V11" s="54">
        <f>IF($O11="","",ROUND(($O11-$O$3)/1000,1)+(_xlfn.RANK.AVG($O11,($J11,$O11,$T11),1)-2)*20)</f>
        <v>41.5</v>
      </c>
      <c r="W11" s="55">
        <f>IF($T11="","",ROUND(($T11-$T$3)/1000,1)+(_xlfn.RANK.AVG($T11,($J11,$O11,$T11),1)-2)*20)</f>
        <v>-38.700000000000003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40</v>
      </c>
      <c r="AZ11" s="40" t="s">
        <v>206</v>
      </c>
      <c r="BA11" s="41" t="s">
        <v>199</v>
      </c>
      <c r="BB11" s="41" t="s">
        <v>80</v>
      </c>
      <c r="BC11" s="41" t="s">
        <v>80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191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9DA24140-5B96-4299-8B89-55662DF1D97A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B9292743-5E06-4CEB-B97E-B938FB3EC534}">
      <formula1>"ロン,ツモ,放銃,ツモ支払,流局,チョンボ"</formula1>
    </dataValidation>
    <dataValidation type="list" allowBlank="1" showInputMessage="1" showErrorMessage="1" sqref="E4:E30" xr:uid="{5247B307-02BB-47B2-A667-FEFD9DFA427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2019-09-23T08:41:04Z</dcterms:modified>
</cp:coreProperties>
</file>