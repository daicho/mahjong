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882A3B88-5326-4418-929D-483D998A2E19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30" i="21" l="1"/>
  <c r="T30" i="21"/>
  <c r="W30" i="21" s="1"/>
  <c r="O30" i="21"/>
  <c r="V30" i="21" s="1"/>
  <c r="J30" i="2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U18" i="21"/>
  <c r="T18" i="21"/>
  <c r="W18" i="21" s="1"/>
  <c r="O18" i="21"/>
  <c r="V18" i="21" s="1"/>
  <c r="J18" i="21"/>
  <c r="D18" i="21"/>
  <c r="C18" i="21"/>
  <c r="B18" i="21"/>
  <c r="A18" i="21"/>
  <c r="V17" i="21"/>
  <c r="T17" i="21"/>
  <c r="W17" i="21" s="1"/>
  <c r="O17" i="21"/>
  <c r="J17" i="21"/>
  <c r="U17" i="21" s="1"/>
  <c r="D17" i="21"/>
  <c r="C17" i="21"/>
  <c r="B17" i="21"/>
  <c r="A17" i="21"/>
  <c r="V16" i="21"/>
  <c r="T16" i="21"/>
  <c r="W16" i="21" s="1"/>
  <c r="O16" i="2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V14" i="21"/>
  <c r="U14" i="21"/>
  <c r="T14" i="21"/>
  <c r="W14" i="21" s="1"/>
  <c r="O14" i="21"/>
  <c r="J14" i="21"/>
  <c r="D14" i="21"/>
  <c r="C14" i="21"/>
  <c r="B14" i="21"/>
  <c r="A14" i="21"/>
  <c r="W13" i="21"/>
  <c r="V13" i="21"/>
  <c r="T13" i="21"/>
  <c r="O13" i="21"/>
  <c r="J13" i="21"/>
  <c r="U13" i="21" s="1"/>
  <c r="D13" i="21"/>
  <c r="C13" i="21"/>
  <c r="B13" i="21"/>
  <c r="A13" i="21"/>
  <c r="V12" i="21"/>
  <c r="T12" i="21"/>
  <c r="W12" i="21" s="1"/>
  <c r="O12" i="2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V10" i="21"/>
  <c r="U10" i="21"/>
  <c r="T10" i="21"/>
  <c r="W10" i="21" s="1"/>
  <c r="O10" i="21"/>
  <c r="J10" i="21"/>
  <c r="D10" i="21"/>
  <c r="C10" i="21"/>
  <c r="B10" i="21"/>
  <c r="A10" i="21"/>
  <c r="W9" i="21"/>
  <c r="T9" i="21"/>
  <c r="O9" i="21"/>
  <c r="V9" i="21" s="1"/>
  <c r="J9" i="21"/>
  <c r="U9" i="21" s="1"/>
  <c r="D9" i="21"/>
  <c r="C9" i="21"/>
  <c r="B9" i="21"/>
  <c r="A9" i="21"/>
  <c r="T8" i="21"/>
  <c r="W8" i="21" s="1"/>
  <c r="O8" i="21"/>
  <c r="V8" i="21" s="1"/>
  <c r="J8" i="21"/>
  <c r="U8" i="21" s="1"/>
  <c r="D8" i="21"/>
  <c r="C8" i="21"/>
  <c r="B8" i="21"/>
  <c r="A8" i="21"/>
  <c r="D7" i="21"/>
  <c r="T6" i="21"/>
  <c r="T7" i="21" s="1"/>
  <c r="D6" i="21"/>
  <c r="T5" i="21"/>
  <c r="O5" i="21"/>
  <c r="O6" i="21" s="1"/>
  <c r="D5" i="21"/>
  <c r="C5" i="21"/>
  <c r="C6" i="21" s="1"/>
  <c r="C7" i="21" s="1"/>
  <c r="B5" i="21"/>
  <c r="B6" i="21" s="1"/>
  <c r="A5" i="21"/>
  <c r="T4" i="21"/>
  <c r="W4" i="21" s="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B6" i="20"/>
  <c r="B7" i="20" s="1"/>
  <c r="J5" i="20"/>
  <c r="J6" i="20" s="1"/>
  <c r="D5" i="20"/>
  <c r="C5" i="20"/>
  <c r="B5" i="20"/>
  <c r="T4" i="20"/>
  <c r="T5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O7" i="21" l="1"/>
  <c r="B7" i="21"/>
  <c r="A7" i="21" s="1"/>
  <c r="A6" i="21"/>
  <c r="J5" i="21"/>
  <c r="V4" i="21"/>
  <c r="A6" i="20"/>
  <c r="A5" i="20"/>
  <c r="V4" i="20"/>
  <c r="W4" i="20"/>
  <c r="J7" i="20"/>
  <c r="T6" i="20"/>
  <c r="B8" i="20"/>
  <c r="A7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1" l="1"/>
  <c r="U5" i="21"/>
  <c r="J6" i="21"/>
  <c r="W5" i="21"/>
  <c r="B9" i="20"/>
  <c r="A8" i="20"/>
  <c r="V5" i="20"/>
  <c r="O6" i="20"/>
  <c r="U5" i="20"/>
  <c r="T7" i="20"/>
  <c r="W5" i="20"/>
  <c r="J8" i="20"/>
  <c r="U9" i="19"/>
  <c r="V9" i="19"/>
  <c r="W9" i="19"/>
  <c r="U7" i="19"/>
  <c r="W7" i="19"/>
  <c r="V7" i="19"/>
  <c r="V6" i="19"/>
  <c r="U6" i="19"/>
  <c r="W6" i="19"/>
  <c r="U4" i="19"/>
  <c r="V4" i="19"/>
  <c r="W4" i="19"/>
  <c r="J5" i="19"/>
  <c r="O5" i="19"/>
  <c r="U6" i="21" l="1"/>
  <c r="J7" i="21"/>
  <c r="W6" i="21"/>
  <c r="V6" i="21"/>
  <c r="A9" i="20"/>
  <c r="W6" i="20"/>
  <c r="J9" i="20"/>
  <c r="B10" i="20"/>
  <c r="A10" i="20" s="1"/>
  <c r="T8" i="20"/>
  <c r="V6" i="20"/>
  <c r="O7" i="20"/>
  <c r="U6" i="20"/>
  <c r="V5" i="19"/>
  <c r="W5" i="19"/>
  <c r="U5" i="19"/>
  <c r="U7" i="21" l="1"/>
  <c r="W7" i="21"/>
  <c r="V7" i="21"/>
  <c r="V7" i="20"/>
  <c r="O8" i="20"/>
  <c r="U7" i="20"/>
  <c r="W7" i="20"/>
  <c r="T9" i="20"/>
  <c r="W8" i="20"/>
  <c r="J10" i="20"/>
  <c r="W9" i="20" l="1"/>
  <c r="T10" i="20"/>
  <c r="V8" i="20"/>
  <c r="O9" i="20"/>
  <c r="U8" i="20"/>
  <c r="W10" i="20" l="1"/>
  <c r="O10" i="20"/>
  <c r="V9" i="20"/>
  <c r="U9" i="20"/>
  <c r="V10" i="20" l="1"/>
  <c r="U10" i="20"/>
</calcChain>
</file>

<file path=xl/sharedStrings.xml><?xml version="1.0" encoding="utf-8"?>
<sst xmlns="http://schemas.openxmlformats.org/spreadsheetml/2006/main" count="710" uniqueCount="207">
  <si>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</si>
  <si>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</si>
  <si>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</si>
  <si>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</si>
  <si>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</si>
  <si>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</si>
  <si>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</si>
  <si>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</si>
  <si>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</si>
  <si>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</si>
  <si>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</si>
  <si>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</si>
  <si>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</si>
  <si>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</si>
  <si>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</si>
  <si>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</si>
  <si>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</si>
  <si>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</si>
  <si>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</si>
  <si>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</si>
  <si>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</si>
  <si>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</si>
  <si>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</si>
  <si>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</si>
  <si>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</si>
  <si>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</si>
  <si>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</si>
  <si>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</si>
  <si>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</si>
  <si>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</si>
  <si>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</si>
  <si>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</si>
  <si>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</si>
  <si>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</si>
  <si>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</si>
  <si>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</si>
  <si>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</si>
  <si>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</si>
  <si>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</si>
  <si>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</si>
  <si>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</si>
  <si>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</si>
  <si>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</si>
  <si>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</si>
  <si>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</si>
  <si>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</si>
  <si>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</si>
  <si>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</si>
  <si>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</si>
  <si>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</si>
  <si>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</si>
  <si>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</si>
  <si>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</si>
  <si>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</si>
  <si>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</si>
  <si>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</si>
  <si>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</si>
  <si>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</si>
  <si>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</si>
  <si>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</si>
  <si>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</si>
  <si>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</si>
  <si>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</si>
  <si>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</si>
  <si>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</si>
  <si>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</si>
  <si>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</si>
  <si>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</si>
  <si>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</si>
  <si>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</si>
  <si>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</si>
  <si>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</si>
  <si>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</si>
  <si>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</si>
  <si>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</si>
  <si>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</si>
  <si>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</si>
  <si>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</si>
  <si>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</si>
  <si>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</si>
  <si>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</si>
  <si>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</si>
  <si>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</si>
  <si>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</si>
  <si>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</si>
  <si>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</si>
  <si>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</si>
  <si>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</si>
  <si>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</si>
  <si>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</si>
  <si>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</si>
  <si>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</si>
  <si>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</si>
  <si>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</si>
  <si>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</si>
  <si>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</si>
  <si>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</si>
  <si>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</si>
  <si>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</si>
  <si>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</si>
  <si>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</si>
  <si>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</si>
  <si>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</si>
  <si>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</si>
  <si>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</si>
  <si>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</si>
  <si>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</si>
  <si>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</si>
  <si>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</si>
  <si>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</si>
  <si>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</si>
  <si>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</si>
  <si>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</si>
  <si>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</si>
  <si>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</si>
  <si>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</si>
  <si>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</si>
  <si>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</si>
  <si>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</si>
  <si>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</si>
  <si>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</si>
  <si>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</si>
  <si>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</si>
  <si>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</si>
  <si>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</si>
  <si>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</si>
  <si>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</si>
  <si>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</si>
  <si>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</si>
  <si>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</si>
  <si>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</si>
  <si>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</si>
  <si>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</si>
  <si>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</si>
  <si>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</si>
  <si>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</si>
  <si>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</si>
  <si>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</si>
  <si>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</si>
  <si>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</si>
  <si>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</si>
  <si>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</si>
  <si>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</si>
  <si>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</si>
  <si>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</si>
  <si>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</si>
  <si>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</si>
  <si>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</si>
  <si>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</si>
  <si>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</si>
  <si>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</si>
  <si>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</si>
  <si>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</si>
  <si>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</si>
  <si>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</si>
  <si>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</si>
  <si>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</si>
  <si>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</si>
  <si>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</si>
  <si>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</si>
  <si>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</si>
  <si>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</si>
  <si>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</si>
  <si>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</si>
  <si>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</si>
  <si>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</si>
  <si>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</si>
  <si>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</si>
  <si>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</si>
  <si>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</si>
  <si>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</si>
  <si>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</si>
  <si>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</si>
  <si>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</si>
  <si>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</si>
  <si>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</si>
  <si>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</si>
  <si>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</si>
  <si>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</si>
  <si>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</si>
  <si>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</si>
  <si>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</si>
  <si>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</si>
  <si>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</si>
  <si>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</si>
  <si>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</si>
  <si>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</si>
  <si>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</si>
  <si>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</si>
  <si>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</si>
  <si>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</si>
  <si>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</si>
  <si>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れんたろう</t>
  </si>
  <si>
    <t>ただ</t>
  </si>
  <si>
    <t>ツモ支払</t>
  </si>
  <si>
    <t>ツモ</t>
  </si>
  <si>
    <t>ロン</t>
  </si>
  <si>
    <t>放銃</t>
  </si>
  <si>
    <t>01</t>
  </si>
  <si>
    <t>02</t>
  </si>
  <si>
    <t>*</t>
  </si>
  <si>
    <t>52</t>
  </si>
  <si>
    <t>たかの</t>
  </si>
  <si>
    <t>N</t>
  </si>
  <si>
    <t>T</t>
  </si>
  <si>
    <t>流局</t>
    <phoneticPr fontId="1"/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</si>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</sst>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196</v>
      </c>
      <c r="G5" s="9">
        <v>5200</v>
      </c>
      <c r="H5" s="9"/>
      <c r="I5" s="48">
        <v>0</v>
      </c>
      <c r="J5" s="21">
        <f t="shared" ref="J5:J30" si="2">IF(COUNTA($F5,$K5,$P5)&gt;0,J4+SUM(G5:I5),"")</f>
        <v>37700</v>
      </c>
      <c r="K5" s="8" t="s">
        <v>197</v>
      </c>
      <c r="L5" s="9">
        <v>-5200</v>
      </c>
      <c r="M5" s="9"/>
      <c r="N5" s="48">
        <v>0</v>
      </c>
      <c r="O5" s="21">
        <f t="shared" ref="O5:O30" si="3">IF(COUNTA($F5,$K5,$P5)&gt;0,O4+SUM(L5:N5),"")</f>
        <v>28300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2.7</v>
      </c>
      <c r="V5" s="54">
        <f>IF($O5="","",ROUND(($O5-$O$3)/1000,1)+(_xlfn.RANK.AVG($O5,($J5,$O5,$T5),1)-2)*20)</f>
        <v>-26.7</v>
      </c>
      <c r="W5" s="55">
        <f>IF($T5="","",ROUND(($T5-$T$3)/1000,1)+(_xlfn.RANK.AVG($T5,($J5,$O5,$T5),1)-2)*20)</f>
        <v>24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198</v>
      </c>
      <c r="AF5" s="41" t="s">
        <v>199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32000</v>
      </c>
      <c r="H6" s="9"/>
      <c r="I6" s="48">
        <v>0</v>
      </c>
      <c r="J6" s="21">
        <f t="shared" si="2"/>
        <v>69700</v>
      </c>
      <c r="K6" s="8" t="s">
        <v>194</v>
      </c>
      <c r="L6" s="9">
        <v>-12000</v>
      </c>
      <c r="M6" s="9"/>
      <c r="N6" s="48">
        <v>0</v>
      </c>
      <c r="O6" s="21">
        <f t="shared" si="3"/>
        <v>16300</v>
      </c>
      <c r="P6" s="8" t="s">
        <v>194</v>
      </c>
      <c r="Q6" s="9">
        <v>-20000</v>
      </c>
      <c r="R6" s="9"/>
      <c r="S6" s="48">
        <v>0</v>
      </c>
      <c r="T6" s="21">
        <f t="shared" si="4"/>
        <v>19000</v>
      </c>
      <c r="U6" s="53">
        <f>IF($J6="","",ROUND(($J6-$J$3)/1000,1)+(_xlfn.RANK.AVG($J6,($J6,$O6,$T6),1)-2)*20)</f>
        <v>54.7</v>
      </c>
      <c r="V6" s="54">
        <f>IF($O6="","",ROUND(($O6-$O$3)/1000,1)+(_xlfn.RANK.AVG($O6,($J6,$O6,$T6),1)-2)*20)</f>
        <v>-38.700000000000003</v>
      </c>
      <c r="W6" s="55">
        <f>IF($T6="","",ROUND(($T6-$T$3)/1000,1)+(_xlfn.RANK.AVG($T6,($J6,$O6,$T6),1)-2)*20)</f>
        <v>-16</v>
      </c>
      <c r="Y6" s="8"/>
      <c r="Z6" s="34"/>
      <c r="AA6" s="26">
        <v>1</v>
      </c>
      <c r="AB6" s="26"/>
      <c r="AC6" s="26">
        <v>13</v>
      </c>
      <c r="AD6" s="30" t="s">
        <v>200</v>
      </c>
      <c r="AE6" s="40" t="s">
        <v>198</v>
      </c>
      <c r="AF6" s="41" t="s">
        <v>82</v>
      </c>
      <c r="AG6" s="41" t="s">
        <v>199</v>
      </c>
      <c r="AH6" s="41" t="s">
        <v>84</v>
      </c>
      <c r="AI6" s="41" t="s">
        <v>106</v>
      </c>
      <c r="AJ6" s="41" t="s">
        <v>79</v>
      </c>
      <c r="AK6" s="41" t="s">
        <v>79</v>
      </c>
      <c r="AL6" s="41" t="s">
        <v>79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-5000</v>
      </c>
      <c r="H7" s="9"/>
      <c r="I7" s="48">
        <v>0</v>
      </c>
      <c r="J7" s="21">
        <f t="shared" si="2"/>
        <v>64700</v>
      </c>
      <c r="K7" s="8" t="s">
        <v>195</v>
      </c>
      <c r="L7" s="9">
        <v>8000</v>
      </c>
      <c r="M7" s="9"/>
      <c r="N7" s="48">
        <v>0</v>
      </c>
      <c r="O7" s="21">
        <f t="shared" si="3"/>
        <v>24300</v>
      </c>
      <c r="P7" s="8" t="s">
        <v>194</v>
      </c>
      <c r="Q7" s="9">
        <v>-3000</v>
      </c>
      <c r="R7" s="9"/>
      <c r="S7" s="48">
        <v>0</v>
      </c>
      <c r="T7" s="21">
        <f t="shared" si="4"/>
        <v>16000</v>
      </c>
      <c r="U7" s="53">
        <f>IF($J7="","",ROUND(($J7-$J$3)/1000,1)+(_xlfn.RANK.AVG($J7,($J7,$O7,$T7),1)-2)*20)</f>
        <v>49.7</v>
      </c>
      <c r="V7" s="54">
        <f>IF($O7="","",ROUND(($O7-$O$3)/1000,1)+(_xlfn.RANK.AVG($O7,($J7,$O7,$T7),1)-2)*20)</f>
        <v>-10.7</v>
      </c>
      <c r="W7" s="55">
        <f>IF($T7="","",ROUND(($T7-$T$3)/1000,1)+(_xlfn.RANK.AVG($T7,($J7,$O7,$T7),1)-2)*20)</f>
        <v>-39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198</v>
      </c>
      <c r="BA7" s="41" t="s">
        <v>83</v>
      </c>
      <c r="BB7" s="41" t="s">
        <v>85</v>
      </c>
      <c r="BC7" s="41" t="s">
        <v>201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64700</v>
      </c>
      <c r="K8" s="8" t="s">
        <v>197</v>
      </c>
      <c r="L8" s="9">
        <v>-5200</v>
      </c>
      <c r="M8" s="9"/>
      <c r="N8" s="48">
        <v>0</v>
      </c>
      <c r="O8" s="21">
        <f t="shared" si="3"/>
        <v>19100</v>
      </c>
      <c r="P8" s="8" t="s">
        <v>196</v>
      </c>
      <c r="Q8" s="9">
        <v>5200</v>
      </c>
      <c r="R8" s="9"/>
      <c r="S8" s="48">
        <v>0</v>
      </c>
      <c r="T8" s="21">
        <f t="shared" si="4"/>
        <v>21200</v>
      </c>
      <c r="U8" s="53">
        <f>IF($J8="","",ROUND(($J8-$J$3)/1000,1)+(_xlfn.RANK.AVG($J8,($J8,$O8,$T8),1)-2)*20)</f>
        <v>49.7</v>
      </c>
      <c r="V8" s="54">
        <f>IF($O8="","",ROUND(($O8-$O$3)/1000,1)+(_xlfn.RANK.AVG($O8,($J8,$O8,$T8),1)-2)*20)</f>
        <v>-35.9</v>
      </c>
      <c r="W8" s="55">
        <f>IF($T8="","",ROUND(($T8-$T$3)/1000,1)+(_xlfn.RANK.AVG($T8,($J8,$O8,$T8),1)-2)*20)</f>
        <v>-13.8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86</v>
      </c>
      <c r="BV8" s="41" t="s">
        <v>201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64700</v>
      </c>
      <c r="K9" s="8" t="s">
        <v>197</v>
      </c>
      <c r="L9" s="9">
        <v>-12000</v>
      </c>
      <c r="M9" s="9"/>
      <c r="N9" s="48">
        <v>0</v>
      </c>
      <c r="O9" s="21">
        <f t="shared" si="3"/>
        <v>7100</v>
      </c>
      <c r="P9" s="8" t="s">
        <v>196</v>
      </c>
      <c r="Q9" s="9">
        <v>12000</v>
      </c>
      <c r="R9" s="9"/>
      <c r="S9" s="48">
        <v>0</v>
      </c>
      <c r="T9" s="21">
        <f t="shared" si="4"/>
        <v>33200</v>
      </c>
      <c r="U9" s="53">
        <f>IF($J9="","",ROUND(($J9-$J$3)/1000,1)+(_xlfn.RANK.AVG($J9,($J9,$O9,$T9),1)-2)*20)</f>
        <v>49.7</v>
      </c>
      <c r="V9" s="54">
        <f>IF($O9="","",ROUND(($O9-$O$3)/1000,1)+(_xlfn.RANK.AVG($O9,($J9,$O9,$T9),1)-2)*20)</f>
        <v>-47.9</v>
      </c>
      <c r="W9" s="55">
        <f>IF($T9="","",ROUND(($T9-$T$3)/1000,1)+(_xlfn.RANK.AVG($T9,($J9,$O9,$T9),1)-2)*20)</f>
        <v>-1.8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79</v>
      </c>
      <c r="BV9" s="41" t="s">
        <v>79</v>
      </c>
      <c r="BW9" s="41" t="s">
        <v>84</v>
      </c>
      <c r="BX9" s="41" t="s">
        <v>88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64700</v>
      </c>
      <c r="K10" s="8" t="s">
        <v>196</v>
      </c>
      <c r="L10" s="9">
        <v>16000</v>
      </c>
      <c r="M10" s="9"/>
      <c r="N10" s="48">
        <v>1000</v>
      </c>
      <c r="O10" s="21">
        <f t="shared" si="3"/>
        <v>24100</v>
      </c>
      <c r="P10" s="8" t="s">
        <v>197</v>
      </c>
      <c r="Q10" s="9">
        <v>-16000</v>
      </c>
      <c r="R10" s="9"/>
      <c r="S10" s="48">
        <v>-1000</v>
      </c>
      <c r="T10" s="21">
        <f t="shared" si="4"/>
        <v>16200</v>
      </c>
      <c r="U10" s="53">
        <f>IF($J10="","",ROUND(($J10-$J$3)/1000,1)+(_xlfn.RANK.AVG($J10,($J10,$O10,$T10),1)-2)*20)</f>
        <v>49.7</v>
      </c>
      <c r="V10" s="54">
        <f>IF($O10="","",ROUND(($O10-$O$3)/1000,1)+(_xlfn.RANK.AVG($O10,($J10,$O10,$T10),1)-2)*20)</f>
        <v>-10.9</v>
      </c>
      <c r="W10" s="55">
        <f>IF($T10="","",ROUND(($T10-$T$3)/1000,1)+(_xlfn.RANK.AVG($T10,($J10,$O10,$T10),1)-2)*20)</f>
        <v>-38.799999999999997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200</v>
      </c>
      <c r="AZ10" s="40" t="s">
        <v>198</v>
      </c>
      <c r="BA10" s="41" t="s">
        <v>104</v>
      </c>
      <c r="BB10" s="41" t="s">
        <v>93</v>
      </c>
      <c r="BC10" s="41" t="s">
        <v>86</v>
      </c>
      <c r="BD10" s="41" t="s">
        <v>86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E4A5041-4818-4179-ADF0-6609B86BC3B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8C212-82CA-48F3-BA34-570B48BCF9E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196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197</v>
      </c>
      <c r="L4" s="9">
        <v>-9600</v>
      </c>
      <c r="M4" s="9"/>
      <c r="N4" s="48">
        <v>0</v>
      </c>
      <c r="O4" s="21">
        <f>IF(COUNTA($F4,$K4,$P4)&gt;0,O3+SUM(L4:N4),"")</f>
        <v>25400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29.6</v>
      </c>
      <c r="V4" s="54">
        <f>IF($O4="","",ROUND(($O4-$O$3)/1000,1)+(_xlfn.RANK.AVG($O4,($J4,$O4,$T4),1)-2)*20)</f>
        <v>-29.6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4</v>
      </c>
      <c r="AD4" s="30">
        <v>25</v>
      </c>
      <c r="AE4" s="40" t="s">
        <v>79</v>
      </c>
      <c r="AF4" s="41" t="s">
        <v>79</v>
      </c>
      <c r="AG4" s="41" t="s">
        <v>101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43100</v>
      </c>
      <c r="K5" s="8" t="s">
        <v>205</v>
      </c>
      <c r="L5" s="9">
        <v>3000</v>
      </c>
      <c r="M5" s="9">
        <v>-1000</v>
      </c>
      <c r="N5" s="48"/>
      <c r="O5" s="21">
        <f t="shared" ref="O5:O30" si="3">IF(COUNTA($F5,$K5,$P5)&gt;0,O4+SUM(L5:N5),"")</f>
        <v>27400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IF($J5="","",ROUND(($J5-$J$3)/1000,1)+(_xlfn.RANK.AVG($J5,($J5,$O5,$T5),1)-2)*20)</f>
        <v>28.1</v>
      </c>
      <c r="V5" s="54">
        <f>IF($O5="","",ROUND(($O5-$O$3)/1000,1)+(_xlfn.RANK.AVG($O5,($J5,$O5,$T5),1)-2)*20)</f>
        <v>-27.6</v>
      </c>
      <c r="W5" s="55">
        <f>IF($T5="","",ROUND(($T5-$T$3)/1000,1)+(_xlfn.RANK.AVG($T5,($J5,$O5,$T5),1)-2)*20)</f>
        <v>-1.5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191</v>
      </c>
      <c r="F6" s="8" t="s">
        <v>194</v>
      </c>
      <c r="G6" s="9">
        <v>-24000</v>
      </c>
      <c r="H6" s="9">
        <v>-1000</v>
      </c>
      <c r="I6" s="48">
        <v>-1000</v>
      </c>
      <c r="J6" s="21">
        <f t="shared" si="2"/>
        <v>17100</v>
      </c>
      <c r="K6" s="8" t="s">
        <v>195</v>
      </c>
      <c r="L6" s="9">
        <v>48000</v>
      </c>
      <c r="M6" s="9">
        <v>2000</v>
      </c>
      <c r="N6" s="48">
        <v>2000</v>
      </c>
      <c r="O6" s="21">
        <f t="shared" si="3"/>
        <v>79400</v>
      </c>
      <c r="P6" s="8" t="s">
        <v>194</v>
      </c>
      <c r="Q6" s="9">
        <v>-24000</v>
      </c>
      <c r="R6" s="9"/>
      <c r="S6" s="48">
        <v>-1000</v>
      </c>
      <c r="T6" s="21">
        <f t="shared" si="4"/>
        <v>8500</v>
      </c>
      <c r="U6" s="53">
        <f>IF($J6="","",ROUND(($J6-$J$3)/1000,1)+(_xlfn.RANK.AVG($J6,($J6,$O6,$T6),1)-2)*20)</f>
        <v>-17.899999999999999</v>
      </c>
      <c r="V6" s="54">
        <f>IF($O6="","",ROUND(($O6-$O$3)/1000,1)+(_xlfn.RANK.AVG($O6,($J6,$O6,$T6),1)-2)*20)</f>
        <v>64.400000000000006</v>
      </c>
      <c r="W6" s="55">
        <f>IF($T6="","",ROUND(($T6-$T$3)/1000,1)+(_xlfn.RANK.AVG($T6,($J6,$O6,$T6),1)-2)*20)</f>
        <v>-46.5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13</v>
      </c>
      <c r="AY6" s="30" t="s">
        <v>200</v>
      </c>
      <c r="AZ6" s="40" t="s">
        <v>107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194</v>
      </c>
      <c r="G7" s="9">
        <v>-9000</v>
      </c>
      <c r="H7" s="9"/>
      <c r="I7" s="48">
        <v>-1500</v>
      </c>
      <c r="J7" s="21">
        <f t="shared" si="2"/>
        <v>6600</v>
      </c>
      <c r="K7" s="8" t="s">
        <v>195</v>
      </c>
      <c r="L7" s="9">
        <v>18000</v>
      </c>
      <c r="M7" s="9"/>
      <c r="N7" s="48">
        <v>3000</v>
      </c>
      <c r="O7" s="21">
        <f t="shared" si="3"/>
        <v>100400</v>
      </c>
      <c r="P7" s="8" t="s">
        <v>194</v>
      </c>
      <c r="Q7" s="9">
        <v>-9000</v>
      </c>
      <c r="R7" s="9"/>
      <c r="S7" s="48">
        <v>-1500</v>
      </c>
      <c r="T7" s="21">
        <f t="shared" si="4"/>
        <v>-2000</v>
      </c>
      <c r="U7" s="53">
        <f>IF($J7="","",ROUND(($J7-$J$3)/1000,1)+(_xlfn.RANK.AVG($J7,($J7,$O7,$T7),1)-2)*20)</f>
        <v>-28.4</v>
      </c>
      <c r="V7" s="54">
        <f>IF($O7="","",ROUND(($O7-$O$3)/1000,1)+(_xlfn.RANK.AVG($O7,($J7,$O7,$T7),1)-2)*20)</f>
        <v>85.4</v>
      </c>
      <c r="W7" s="55">
        <f>IF($T7="","",ROUND(($T7-$T$3)/1000,1)+(_xlfn.RANK.AVG($T7,($J7,$O7,$T7),1)-2)*20)</f>
        <v>-57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200</v>
      </c>
      <c r="AZ7" s="40" t="s">
        <v>86</v>
      </c>
      <c r="BA7" s="41" t="s">
        <v>86</v>
      </c>
      <c r="BB7" s="41" t="s">
        <v>86</v>
      </c>
      <c r="BC7" s="41" t="s">
        <v>79</v>
      </c>
      <c r="BD7" s="41" t="s">
        <v>79</v>
      </c>
      <c r="BE7" s="41" t="s">
        <v>79</v>
      </c>
      <c r="BF7" s="41" t="s">
        <v>201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4E4E743-936F-4EF6-9733-9F08649C645E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8C6B9C20-9DF2-48AE-9512-F618B468E00F}">
      <formula1>"ロン,ツモ,放銃,ツモ支払,流局,チョンボ"</formula1>
    </dataValidation>
    <dataValidation type="list" allowBlank="1" showInputMessage="1" showErrorMessage="1" sqref="E4:E30" xr:uid="{8867A8E6-1B21-473E-9600-E0BBBA9E99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9495-F738-44D8-B353-B3F454D30FF1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206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AD1FF52-45D0-4684-88C6-36FF98332049}">
      <formula1>$U$2:$W$2</formula1>
    </dataValidation>
    <dataValidation type="list" showInputMessage="1" showErrorMessage="1" sqref="K4:K30 P4:P30 F4:F30" xr:uid="{4FD8F5F7-96B7-4979-9F27-6FC96705F49B}">
      <formula1>"ロン,ツモ,放銃,ツモ支払,流局,チョンボ"</formula1>
    </dataValidation>
    <dataValidation type="list" allowBlank="1" showInputMessage="1" sqref="F1:T1" xr:uid="{73F30682-ED31-4830-8735-33A86D02A669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2019-06-18T14:17:33Z</dcterms:modified>
</cp:coreProperties>
</file>