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201AB61-04D6-437E-A71A-495D3928E15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30" r:id="rId6"/>
    <sheet name="だいち" sheetId="4532" r:id="rId7"/>
    <sheet name="りくと" sheetId="4534" r:id="rId8"/>
    <sheet name="ただ" sheetId="4536" r:id="rId9"/>
    <sheet name="れんたろう" sheetId="4538" r:id="rId10"/>
    <sheet name="たかの" sheetId="4540" r:id="rId11"/>
    <sheet name="ぱぱ" sheetId="4542" r:id="rId12"/>
    <sheet name="まっつん" sheetId="4544" r:id="rId13"/>
    <sheet name="あさひ" sheetId="4546" r:id="rId14"/>
    <sheet name="いっしー" sheetId="4548" r:id="rId15"/>
    <sheet name="いっしー2" sheetId="4549" state="hidden" r:id="rId16"/>
    <sheet name="あさひ2" sheetId="4547" state="hidden" r:id="rId17"/>
    <sheet name="まっつん2" sheetId="4545" state="hidden" r:id="rId18"/>
    <sheet name="ぱぱ2" sheetId="4543" state="hidden" r:id="rId19"/>
    <sheet name="たかの2" sheetId="4541" state="hidden" r:id="rId20"/>
    <sheet name="れんたろう2" sheetId="4539" state="hidden" r:id="rId21"/>
    <sheet name="ただ2" sheetId="4537" state="hidden" r:id="rId22"/>
    <sheet name="りくと2" sheetId="4535" state="hidden" r:id="rId23"/>
    <sheet name="だいち2" sheetId="4533" state="hidden" r:id="rId24"/>
    <sheet name="全体2" sheetId="45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9" i="4548" l="1"/>
  <c r="O15" i="4548"/>
  <c r="O16" i="4538"/>
  <c r="O19" i="4536"/>
  <c r="O17" i="4546" l="1"/>
  <c r="O19" i="4542"/>
  <c r="O15" i="4546"/>
  <c r="O18" i="4548"/>
  <c r="O16" i="4534"/>
  <c r="O15" i="4544"/>
  <c r="O16" i="4530"/>
  <c r="O16" i="4548"/>
  <c r="O17" i="4548"/>
  <c r="H7" i="4548"/>
  <c r="H52" i="4548"/>
  <c r="H51" i="4548"/>
  <c r="H50" i="4548"/>
  <c r="H49" i="4548"/>
  <c r="H48" i="4548"/>
  <c r="H47" i="4548"/>
  <c r="H46" i="4548"/>
  <c r="H45" i="4548"/>
  <c r="H44" i="4548"/>
  <c r="H43" i="4548"/>
  <c r="H42" i="4548"/>
  <c r="H41" i="4548"/>
  <c r="H40" i="4548"/>
  <c r="H39" i="4548"/>
  <c r="H38" i="4548"/>
  <c r="H37" i="4548"/>
  <c r="H36" i="4548"/>
  <c r="H35" i="4548"/>
  <c r="H34" i="4548"/>
  <c r="H33" i="4548"/>
  <c r="H32" i="4548"/>
  <c r="H31" i="4548"/>
  <c r="H30" i="4548"/>
  <c r="H5" i="4548"/>
  <c r="H29" i="4548"/>
  <c r="H28" i="4548"/>
  <c r="H27" i="4548"/>
  <c r="C25" i="4548"/>
  <c r="H26" i="4548"/>
  <c r="H25" i="4548"/>
  <c r="H24" i="4548"/>
  <c r="B22" i="4548"/>
  <c r="H23" i="4548"/>
  <c r="H22" i="4548"/>
  <c r="C20" i="4548"/>
  <c r="H21" i="4548"/>
  <c r="H20" i="4548"/>
  <c r="H19" i="4548"/>
  <c r="B17" i="4548"/>
  <c r="C18" i="4548" s="1"/>
  <c r="H18" i="4548"/>
  <c r="C16" i="4548"/>
  <c r="H17" i="4548"/>
  <c r="C15" i="4548"/>
  <c r="H16" i="4548"/>
  <c r="C14" i="4548"/>
  <c r="H15" i="4548"/>
  <c r="C13" i="4548"/>
  <c r="O12" i="4548"/>
  <c r="H14" i="4548"/>
  <c r="C12" i="4548"/>
  <c r="O11" i="4548"/>
  <c r="H13" i="4548"/>
  <c r="C11" i="4548"/>
  <c r="O10" i="4548"/>
  <c r="H2" i="4548"/>
  <c r="C10" i="4548"/>
  <c r="H12" i="4548"/>
  <c r="C9" i="4548"/>
  <c r="H11" i="4548"/>
  <c r="C8" i="4548"/>
  <c r="O7" i="4548"/>
  <c r="H6" i="4548"/>
  <c r="C7" i="4548"/>
  <c r="O6" i="4548"/>
  <c r="H10" i="4548"/>
  <c r="B6" i="4548"/>
  <c r="O5" i="4548"/>
  <c r="H9" i="4548"/>
  <c r="B5" i="4548"/>
  <c r="O4" i="4548"/>
  <c r="H4" i="4548"/>
  <c r="O3" i="4548"/>
  <c r="H8" i="4548"/>
  <c r="O2" i="4548"/>
  <c r="H3" i="4548"/>
  <c r="O16" i="4546"/>
  <c r="O18" i="4546"/>
  <c r="H7" i="4546"/>
  <c r="H52" i="4546"/>
  <c r="H51" i="4546"/>
  <c r="H50" i="4546"/>
  <c r="H49" i="4546"/>
  <c r="H48" i="4546"/>
  <c r="H47" i="4546"/>
  <c r="H46" i="4546"/>
  <c r="H45" i="4546"/>
  <c r="H44" i="4546"/>
  <c r="H43" i="4546"/>
  <c r="H42" i="4546"/>
  <c r="H41" i="4546"/>
  <c r="H40" i="4546"/>
  <c r="H39" i="4546"/>
  <c r="H38" i="4546"/>
  <c r="H37" i="4546"/>
  <c r="H36" i="4546"/>
  <c r="H35" i="4546"/>
  <c r="H34" i="4546"/>
  <c r="H33" i="4546"/>
  <c r="H32" i="4546"/>
  <c r="H31" i="4546"/>
  <c r="H30" i="4546"/>
  <c r="H6" i="4546"/>
  <c r="H29" i="4546"/>
  <c r="H28" i="4546"/>
  <c r="H11" i="4546"/>
  <c r="C25" i="4546"/>
  <c r="H27" i="4546"/>
  <c r="H26" i="4546"/>
  <c r="H25" i="4546"/>
  <c r="B22" i="4546"/>
  <c r="H24" i="4546"/>
  <c r="H23" i="4546"/>
  <c r="C20" i="4546"/>
  <c r="H22" i="4546"/>
  <c r="H21" i="4546"/>
  <c r="H20" i="4546"/>
  <c r="B17" i="4546"/>
  <c r="B21" i="4546" s="1"/>
  <c r="H19" i="4546"/>
  <c r="C16" i="4546"/>
  <c r="H18" i="4546"/>
  <c r="C15" i="4546"/>
  <c r="H17" i="4546"/>
  <c r="C14" i="4546"/>
  <c r="H16" i="4546"/>
  <c r="C13" i="4546"/>
  <c r="O12" i="4546"/>
  <c r="H15" i="4546"/>
  <c r="C12" i="4546"/>
  <c r="O11" i="4546"/>
  <c r="H14" i="4546"/>
  <c r="C11" i="4546"/>
  <c r="O10" i="4546"/>
  <c r="H4" i="4546"/>
  <c r="C10" i="4546"/>
  <c r="H10" i="4546"/>
  <c r="C9" i="4546"/>
  <c r="H13" i="4546"/>
  <c r="C8" i="4546"/>
  <c r="O7" i="4546"/>
  <c r="H9" i="4546"/>
  <c r="C7" i="4546"/>
  <c r="O6" i="4546"/>
  <c r="H8" i="4546"/>
  <c r="B6" i="4546"/>
  <c r="O5" i="4546"/>
  <c r="H5" i="4546"/>
  <c r="B5" i="4546"/>
  <c r="O4" i="4546"/>
  <c r="H3" i="4546"/>
  <c r="O3" i="4546"/>
  <c r="H12" i="4546"/>
  <c r="O2" i="4546"/>
  <c r="H2" i="4546"/>
  <c r="O20" i="4544"/>
  <c r="O19" i="4544"/>
  <c r="O17" i="4532"/>
  <c r="O16" i="4532"/>
  <c r="O22" i="4530"/>
  <c r="C17" i="4546" l="1"/>
  <c r="C19" i="4546"/>
  <c r="C19" i="4548"/>
  <c r="B21" i="4548"/>
  <c r="C17" i="4548"/>
  <c r="C18" i="4546"/>
  <c r="O16" i="4544" l="1"/>
  <c r="O17" i="4542"/>
  <c r="O20" i="4542"/>
  <c r="O15" i="4534"/>
  <c r="O16" i="4540" l="1"/>
  <c r="O18" i="4538"/>
  <c r="O16" i="4542"/>
  <c r="O18" i="4542"/>
  <c r="O15" i="4540" l="1"/>
  <c r="O15" i="4538"/>
  <c r="O18" i="4536"/>
  <c r="O20" i="4536"/>
  <c r="O18" i="4544"/>
  <c r="O17" i="4544"/>
  <c r="H5" i="4544"/>
  <c r="H52" i="4544"/>
  <c r="H51" i="4544"/>
  <c r="H50" i="4544"/>
  <c r="H49" i="4544"/>
  <c r="H48" i="4544"/>
  <c r="H47" i="4544"/>
  <c r="H46" i="4544"/>
  <c r="H45" i="4544"/>
  <c r="H44" i="4544"/>
  <c r="H43" i="4544"/>
  <c r="H42" i="4544"/>
  <c r="H41" i="4544"/>
  <c r="H40" i="4544"/>
  <c r="H39" i="4544"/>
  <c r="H38" i="4544"/>
  <c r="H37" i="4544"/>
  <c r="H36" i="4544"/>
  <c r="H35" i="4544"/>
  <c r="H34" i="4544"/>
  <c r="H33" i="4544"/>
  <c r="H32" i="4544"/>
  <c r="H14" i="4544"/>
  <c r="H31" i="4544"/>
  <c r="H10" i="4544"/>
  <c r="H30" i="4544"/>
  <c r="H29" i="4544"/>
  <c r="H28" i="4544"/>
  <c r="C25" i="4544"/>
  <c r="H13" i="4544"/>
  <c r="H27" i="4544"/>
  <c r="H12" i="4544"/>
  <c r="B22" i="4544"/>
  <c r="H26" i="4544"/>
  <c r="H25" i="4544"/>
  <c r="C20" i="4544"/>
  <c r="H24" i="4544"/>
  <c r="H23" i="4544"/>
  <c r="H22" i="4544"/>
  <c r="B17" i="4544"/>
  <c r="C18" i="4544" s="1"/>
  <c r="H21" i="4544"/>
  <c r="C16" i="4544"/>
  <c r="H20" i="4544"/>
  <c r="C15" i="4544"/>
  <c r="H19" i="4544"/>
  <c r="C14" i="4544"/>
  <c r="H11" i="4544"/>
  <c r="C13" i="4544"/>
  <c r="O12" i="4544"/>
  <c r="H18" i="4544"/>
  <c r="C12" i="4544"/>
  <c r="O11" i="4544"/>
  <c r="H17" i="4544"/>
  <c r="C11" i="4544"/>
  <c r="O10" i="4544"/>
  <c r="H3" i="4544"/>
  <c r="C10" i="4544"/>
  <c r="H16" i="4544"/>
  <c r="C9" i="4544"/>
  <c r="H15" i="4544"/>
  <c r="C8" i="4544"/>
  <c r="O7" i="4544"/>
  <c r="H9" i="4544"/>
  <c r="C7" i="4544"/>
  <c r="O6" i="4544"/>
  <c r="H7" i="4544"/>
  <c r="B6" i="4544"/>
  <c r="O5" i="4544"/>
  <c r="H6" i="4544"/>
  <c r="B5" i="4544"/>
  <c r="O4" i="4544"/>
  <c r="H4" i="4544"/>
  <c r="O3" i="4544"/>
  <c r="H8" i="4544"/>
  <c r="O2" i="4544"/>
  <c r="H2" i="4544"/>
  <c r="O17" i="4538"/>
  <c r="O20" i="4534"/>
  <c r="O18" i="4530"/>
  <c r="C19" i="4544" l="1"/>
  <c r="C17" i="4544"/>
  <c r="B21" i="4544"/>
  <c r="O16" i="4536" l="1"/>
  <c r="O21" i="4542"/>
  <c r="O15" i="4542"/>
  <c r="H6" i="4542"/>
  <c r="H52" i="4542"/>
  <c r="H51" i="4542"/>
  <c r="H50" i="4542"/>
  <c r="H49" i="4542"/>
  <c r="H48" i="4542"/>
  <c r="H47" i="4542"/>
  <c r="H46" i="4542"/>
  <c r="H45" i="4542"/>
  <c r="H44" i="4542"/>
  <c r="H43" i="4542"/>
  <c r="H42" i="4542"/>
  <c r="H41" i="4542"/>
  <c r="H40" i="4542"/>
  <c r="H39" i="4542"/>
  <c r="H38" i="4542"/>
  <c r="H37" i="4542"/>
  <c r="H36" i="4542"/>
  <c r="H35" i="4542"/>
  <c r="H34" i="4542"/>
  <c r="H33" i="4542"/>
  <c r="H32" i="4542"/>
  <c r="H31" i="4542"/>
  <c r="H30" i="4542"/>
  <c r="H7" i="4542"/>
  <c r="H29" i="4542"/>
  <c r="H28" i="4542"/>
  <c r="H14" i="4542"/>
  <c r="C25" i="4542"/>
  <c r="H27" i="4542"/>
  <c r="H26" i="4542"/>
  <c r="H12" i="4542"/>
  <c r="B22" i="4542"/>
  <c r="H25" i="4542"/>
  <c r="H24" i="4542"/>
  <c r="C20" i="4542"/>
  <c r="H23" i="4542"/>
  <c r="H22" i="4542"/>
  <c r="H13" i="4542"/>
  <c r="B17" i="4542"/>
  <c r="C18" i="4542" s="1"/>
  <c r="H21" i="4542"/>
  <c r="C16" i="4542"/>
  <c r="H20" i="4542"/>
  <c r="C15" i="4542"/>
  <c r="H19" i="4542"/>
  <c r="C14" i="4542"/>
  <c r="H18" i="4542"/>
  <c r="C13" i="4542"/>
  <c r="O12" i="4542"/>
  <c r="H17" i="4542"/>
  <c r="C12" i="4542"/>
  <c r="O11" i="4542"/>
  <c r="H16" i="4542"/>
  <c r="C11" i="4542"/>
  <c r="O10" i="4542"/>
  <c r="H3" i="4542"/>
  <c r="C10" i="4542"/>
  <c r="H10" i="4542"/>
  <c r="C9" i="4542"/>
  <c r="H8" i="4542"/>
  <c r="C8" i="4542"/>
  <c r="O7" i="4542"/>
  <c r="H9" i="4542"/>
  <c r="C7" i="4542"/>
  <c r="O6" i="4542"/>
  <c r="H4" i="4542"/>
  <c r="B6" i="4542"/>
  <c r="O5" i="4542"/>
  <c r="H11" i="4542"/>
  <c r="B5" i="4542"/>
  <c r="O4" i="4542"/>
  <c r="H2" i="4542"/>
  <c r="O3" i="4542"/>
  <c r="H15" i="4542"/>
  <c r="O2" i="4542"/>
  <c r="H5" i="4542"/>
  <c r="O15" i="4532"/>
  <c r="O17" i="4530"/>
  <c r="O19" i="4540"/>
  <c r="O17" i="4534"/>
  <c r="O18" i="4534"/>
  <c r="O20" i="4538"/>
  <c r="O17" i="4540"/>
  <c r="O18" i="4540"/>
  <c r="H3" i="4540"/>
  <c r="H52" i="4540"/>
  <c r="H51" i="4540"/>
  <c r="H50" i="4540"/>
  <c r="H49" i="4540"/>
  <c r="H48" i="4540"/>
  <c r="H47" i="4540"/>
  <c r="H46" i="4540"/>
  <c r="H45" i="4540"/>
  <c r="H44" i="4540"/>
  <c r="H43" i="4540"/>
  <c r="H42" i="4540"/>
  <c r="H41" i="4540"/>
  <c r="H40" i="4540"/>
  <c r="H39" i="4540"/>
  <c r="H38" i="4540"/>
  <c r="H37" i="4540"/>
  <c r="H36" i="4540"/>
  <c r="H35" i="4540"/>
  <c r="H34" i="4540"/>
  <c r="H33" i="4540"/>
  <c r="H32" i="4540"/>
  <c r="H31" i="4540"/>
  <c r="H30" i="4540"/>
  <c r="H9" i="4540"/>
  <c r="H29" i="4540"/>
  <c r="H28" i="4540"/>
  <c r="H13" i="4540"/>
  <c r="C25" i="4540"/>
  <c r="H27" i="4540"/>
  <c r="H26" i="4540"/>
  <c r="H12" i="4540"/>
  <c r="B22" i="4540"/>
  <c r="H25" i="4540"/>
  <c r="H11" i="4540"/>
  <c r="C20" i="4540"/>
  <c r="H24" i="4540"/>
  <c r="H23" i="4540"/>
  <c r="H22" i="4540"/>
  <c r="B17" i="4540"/>
  <c r="C18" i="4540" s="1"/>
  <c r="H21" i="4540"/>
  <c r="C16" i="4540"/>
  <c r="H20" i="4540"/>
  <c r="C15" i="4540"/>
  <c r="H19" i="4540"/>
  <c r="C14" i="4540"/>
  <c r="H18" i="4540"/>
  <c r="C13" i="4540"/>
  <c r="O12" i="4540"/>
  <c r="H17" i="4540"/>
  <c r="C12" i="4540"/>
  <c r="O11" i="4540"/>
  <c r="H16" i="4540"/>
  <c r="C11" i="4540"/>
  <c r="O10" i="4540"/>
  <c r="H2" i="4540"/>
  <c r="C10" i="4540"/>
  <c r="H15" i="4540"/>
  <c r="C9" i="4540"/>
  <c r="H14" i="4540"/>
  <c r="C8" i="4540"/>
  <c r="O7" i="4540"/>
  <c r="H10" i="4540"/>
  <c r="C7" i="4540"/>
  <c r="O6" i="4540"/>
  <c r="H7" i="4540"/>
  <c r="B6" i="4540"/>
  <c r="O5" i="4540"/>
  <c r="H6" i="4540"/>
  <c r="B5" i="4540"/>
  <c r="O4" i="4540"/>
  <c r="H5" i="4540"/>
  <c r="O3" i="4540"/>
  <c r="H8" i="4540"/>
  <c r="O2" i="4540"/>
  <c r="H4" i="4540"/>
  <c r="O21" i="4538"/>
  <c r="O19" i="4538"/>
  <c r="H5" i="4538"/>
  <c r="H52" i="4538"/>
  <c r="H51" i="4538"/>
  <c r="H50" i="4538"/>
  <c r="H49" i="4538"/>
  <c r="H48" i="4538"/>
  <c r="H47" i="4538"/>
  <c r="H46" i="4538"/>
  <c r="H45" i="4538"/>
  <c r="H44" i="4538"/>
  <c r="H43" i="4538"/>
  <c r="H42" i="4538"/>
  <c r="H41" i="4538"/>
  <c r="H40" i="4538"/>
  <c r="H39" i="4538"/>
  <c r="H38" i="4538"/>
  <c r="H37" i="4538"/>
  <c r="H36" i="4538"/>
  <c r="H35" i="4538"/>
  <c r="H34" i="4538"/>
  <c r="H33" i="4538"/>
  <c r="H17" i="4538"/>
  <c r="H32" i="4538"/>
  <c r="H31" i="4538"/>
  <c r="H9" i="4538"/>
  <c r="H30" i="4538"/>
  <c r="H29" i="4538"/>
  <c r="H14" i="4538"/>
  <c r="C25" i="4538"/>
  <c r="H28" i="4538"/>
  <c r="H27" i="4538"/>
  <c r="H13" i="4538"/>
  <c r="B22" i="4538"/>
  <c r="H26" i="4538"/>
  <c r="H16" i="4538"/>
  <c r="C20" i="4538"/>
  <c r="H25" i="4538"/>
  <c r="H24" i="4538"/>
  <c r="H23" i="4538"/>
  <c r="B17" i="4538"/>
  <c r="C18" i="4538" s="1"/>
  <c r="H22" i="4538"/>
  <c r="C16" i="4538"/>
  <c r="H21" i="4538"/>
  <c r="C15" i="4538"/>
  <c r="H20" i="4538"/>
  <c r="C14" i="4538"/>
  <c r="H15" i="4538"/>
  <c r="C13" i="4538"/>
  <c r="O12" i="4538"/>
  <c r="H19" i="4538"/>
  <c r="C12" i="4538"/>
  <c r="O11" i="4538"/>
  <c r="H18" i="4538"/>
  <c r="C11" i="4538"/>
  <c r="O10" i="4538"/>
  <c r="H3" i="4538"/>
  <c r="C10" i="4538"/>
  <c r="H12" i="4538"/>
  <c r="C9" i="4538"/>
  <c r="H11" i="4538"/>
  <c r="C8" i="4538"/>
  <c r="O7" i="4538"/>
  <c r="H6" i="4538"/>
  <c r="C7" i="4538"/>
  <c r="O6" i="4538"/>
  <c r="H8" i="4538"/>
  <c r="B6" i="4538"/>
  <c r="O5" i="4538"/>
  <c r="H7" i="4538"/>
  <c r="B5" i="4538"/>
  <c r="O4" i="4538"/>
  <c r="H2" i="4538"/>
  <c r="O3" i="4538"/>
  <c r="H10" i="4538"/>
  <c r="O2" i="4538"/>
  <c r="H4" i="4538"/>
  <c r="O20" i="4532"/>
  <c r="O19" i="4532"/>
  <c r="O19" i="4530"/>
  <c r="O20" i="4530"/>
  <c r="C19" i="4542" l="1"/>
  <c r="C19" i="4538"/>
  <c r="C17" i="4542"/>
  <c r="B21" i="4542"/>
  <c r="C19" i="4540"/>
  <c r="C17" i="4540"/>
  <c r="B21" i="4540"/>
  <c r="B21" i="4538"/>
  <c r="C17" i="4538"/>
  <c r="O15" i="4536" l="1"/>
  <c r="O17" i="4536"/>
  <c r="H7" i="4536"/>
  <c r="H52" i="4536"/>
  <c r="H51" i="4536"/>
  <c r="H50" i="4536"/>
  <c r="H49" i="4536"/>
  <c r="H48" i="4536"/>
  <c r="H47" i="4536"/>
  <c r="H46" i="4536"/>
  <c r="H45" i="4536"/>
  <c r="H44" i="4536"/>
  <c r="H43" i="4536"/>
  <c r="H42" i="4536"/>
  <c r="H41" i="4536"/>
  <c r="H40" i="4536"/>
  <c r="H39" i="4536"/>
  <c r="H38" i="4536"/>
  <c r="H37" i="4536"/>
  <c r="H36" i="4536"/>
  <c r="H35" i="4536"/>
  <c r="H34" i="4536"/>
  <c r="H33" i="4536"/>
  <c r="H32" i="4536"/>
  <c r="H31" i="4536"/>
  <c r="H30" i="4536"/>
  <c r="H10" i="4536"/>
  <c r="H29" i="4536"/>
  <c r="H28" i="4536"/>
  <c r="H12" i="4536"/>
  <c r="C25" i="4536"/>
  <c r="H27" i="4536"/>
  <c r="H26" i="4536"/>
  <c r="H15" i="4536"/>
  <c r="B22" i="4536"/>
  <c r="H25" i="4536"/>
  <c r="H24" i="4536"/>
  <c r="C20" i="4536"/>
  <c r="H23" i="4536"/>
  <c r="H22" i="4536"/>
  <c r="H21" i="4536"/>
  <c r="B17" i="4536"/>
  <c r="C18" i="4536" s="1"/>
  <c r="H14" i="4536"/>
  <c r="C16" i="4536"/>
  <c r="H20" i="4536"/>
  <c r="C15" i="4536"/>
  <c r="H19" i="4536"/>
  <c r="C14" i="4536"/>
  <c r="H18" i="4536"/>
  <c r="C13" i="4536"/>
  <c r="O12" i="4536"/>
  <c r="H17" i="4536"/>
  <c r="C12" i="4536"/>
  <c r="O11" i="4536"/>
  <c r="H16" i="4536"/>
  <c r="C11" i="4536"/>
  <c r="O10" i="4536"/>
  <c r="H6" i="4536"/>
  <c r="C10" i="4536"/>
  <c r="H9" i="4536"/>
  <c r="C9" i="4536"/>
  <c r="H8" i="4536"/>
  <c r="C8" i="4536"/>
  <c r="O7" i="4536"/>
  <c r="H11" i="4536"/>
  <c r="C7" i="4536"/>
  <c r="O6" i="4536"/>
  <c r="H4" i="4536"/>
  <c r="B6" i="4536"/>
  <c r="O5" i="4536"/>
  <c r="H5" i="4536"/>
  <c r="B5" i="4536"/>
  <c r="O4" i="4536"/>
  <c r="H2" i="4536"/>
  <c r="O3" i="4536"/>
  <c r="H13" i="4536"/>
  <c r="O2" i="4536"/>
  <c r="H3" i="4536"/>
  <c r="O21" i="4534"/>
  <c r="O19" i="4534"/>
  <c r="H5" i="4534"/>
  <c r="H22" i="4534"/>
  <c r="H52" i="4534"/>
  <c r="H51" i="4534"/>
  <c r="H50" i="4534"/>
  <c r="H49" i="4534"/>
  <c r="H48" i="4534"/>
  <c r="H47" i="4534"/>
  <c r="H46" i="4534"/>
  <c r="H45" i="4534"/>
  <c r="H44" i="4534"/>
  <c r="H43" i="4534"/>
  <c r="H42" i="4534"/>
  <c r="H41" i="4534"/>
  <c r="H40" i="4534"/>
  <c r="H39" i="4534"/>
  <c r="H38" i="4534"/>
  <c r="H37" i="4534"/>
  <c r="H36" i="4534"/>
  <c r="H35" i="4534"/>
  <c r="H34" i="4534"/>
  <c r="H21" i="4534"/>
  <c r="H14" i="4534"/>
  <c r="H33" i="4534"/>
  <c r="H12" i="4534"/>
  <c r="H32" i="4534"/>
  <c r="H31" i="4534"/>
  <c r="H11" i="4534"/>
  <c r="C25" i="4534"/>
  <c r="H30" i="4534"/>
  <c r="H29" i="4534"/>
  <c r="H15" i="4534"/>
  <c r="B22" i="4534"/>
  <c r="H28" i="4534"/>
  <c r="H13" i="4534"/>
  <c r="C20" i="4534"/>
  <c r="H27" i="4534"/>
  <c r="H26" i="4534"/>
  <c r="H20" i="4534"/>
  <c r="B17" i="4534"/>
  <c r="C18" i="4534" s="1"/>
  <c r="H25" i="4534"/>
  <c r="C16" i="4534"/>
  <c r="H24" i="4534"/>
  <c r="C15" i="4534"/>
  <c r="H23" i="4534"/>
  <c r="C14" i="4534"/>
  <c r="H19" i="4534"/>
  <c r="C13" i="4534"/>
  <c r="O12" i="4534"/>
  <c r="H18" i="4534"/>
  <c r="C12" i="4534"/>
  <c r="O11" i="4534"/>
  <c r="H17" i="4534"/>
  <c r="C11" i="4534"/>
  <c r="O10" i="4534"/>
  <c r="H6" i="4534"/>
  <c r="C10" i="4534"/>
  <c r="H16" i="4534"/>
  <c r="C9" i="4534"/>
  <c r="H10" i="4534"/>
  <c r="C8" i="4534"/>
  <c r="O7" i="4534"/>
  <c r="H8" i="4534"/>
  <c r="C7" i="4534"/>
  <c r="O6" i="4534"/>
  <c r="H7" i="4534"/>
  <c r="B6" i="4534"/>
  <c r="O5" i="4534"/>
  <c r="H4" i="4534"/>
  <c r="B5" i="4534"/>
  <c r="O4" i="4534"/>
  <c r="H2" i="4534"/>
  <c r="O3" i="4534"/>
  <c r="H9" i="4534"/>
  <c r="O2" i="4534"/>
  <c r="H3" i="4534"/>
  <c r="O23" i="4530"/>
  <c r="O18" i="4532"/>
  <c r="O21" i="4532"/>
  <c r="H5" i="4532"/>
  <c r="H52" i="4532"/>
  <c r="H51" i="4532"/>
  <c r="H50" i="4532"/>
  <c r="H49" i="4532"/>
  <c r="H48" i="4532"/>
  <c r="H47" i="4532"/>
  <c r="H46" i="4532"/>
  <c r="H45" i="4532"/>
  <c r="H44" i="4532"/>
  <c r="H43" i="4532"/>
  <c r="H42" i="4532"/>
  <c r="H41" i="4532"/>
  <c r="H40" i="4532"/>
  <c r="H39" i="4532"/>
  <c r="H38" i="4532"/>
  <c r="H37" i="4532"/>
  <c r="H36" i="4532"/>
  <c r="H20" i="4532"/>
  <c r="H35" i="4532"/>
  <c r="H34" i="4532"/>
  <c r="H33" i="4532"/>
  <c r="H32" i="4532"/>
  <c r="H19" i="4532"/>
  <c r="H9" i="4532"/>
  <c r="H31" i="4532"/>
  <c r="H18" i="4532"/>
  <c r="H13" i="4532"/>
  <c r="C25" i="4532"/>
  <c r="H30" i="4532"/>
  <c r="H29" i="4532"/>
  <c r="H15" i="4532"/>
  <c r="B22" i="4532"/>
  <c r="H28" i="4532"/>
  <c r="H16" i="4532"/>
  <c r="C20" i="4532"/>
  <c r="H27" i="4532"/>
  <c r="H26" i="4532"/>
  <c r="H25" i="4532"/>
  <c r="B17" i="4532"/>
  <c r="B21" i="4532" s="1"/>
  <c r="H14" i="4532"/>
  <c r="C16" i="4532"/>
  <c r="H24" i="4532"/>
  <c r="C15" i="4532"/>
  <c r="H23" i="4532"/>
  <c r="C14" i="4532"/>
  <c r="H22" i="4532"/>
  <c r="C13" i="4532"/>
  <c r="O12" i="4532"/>
  <c r="H21" i="4532"/>
  <c r="C12" i="4532"/>
  <c r="O11" i="4532"/>
  <c r="H17" i="4532"/>
  <c r="C11" i="4532"/>
  <c r="O10" i="4532"/>
  <c r="H3" i="4532"/>
  <c r="C10" i="4532"/>
  <c r="H12" i="4532"/>
  <c r="C9" i="4532"/>
  <c r="H11" i="4532"/>
  <c r="C8" i="4532"/>
  <c r="O7" i="4532"/>
  <c r="H7" i="4532"/>
  <c r="C7" i="4532"/>
  <c r="O6" i="4532"/>
  <c r="H8" i="4532"/>
  <c r="B6" i="4532"/>
  <c r="O5" i="4532"/>
  <c r="H6" i="4532"/>
  <c r="B5" i="4532"/>
  <c r="O4" i="4532"/>
  <c r="H2" i="4532"/>
  <c r="O3" i="4532"/>
  <c r="H10" i="4532"/>
  <c r="O2" i="4532"/>
  <c r="H4" i="4532"/>
  <c r="O15" i="4530"/>
  <c r="O21" i="4530"/>
  <c r="H5" i="4530"/>
  <c r="H27" i="4530"/>
  <c r="H52" i="4530"/>
  <c r="H51" i="4530"/>
  <c r="H50" i="4530"/>
  <c r="H49" i="4530"/>
  <c r="H48" i="4530"/>
  <c r="H47" i="4530"/>
  <c r="H46" i="4530"/>
  <c r="H45" i="4530"/>
  <c r="H44" i="4530"/>
  <c r="H43" i="4530"/>
  <c r="H42" i="4530"/>
  <c r="H41" i="4530"/>
  <c r="H40" i="4530"/>
  <c r="H39" i="4530"/>
  <c r="H38" i="4530"/>
  <c r="H37" i="4530"/>
  <c r="H26" i="4530"/>
  <c r="H36" i="4530"/>
  <c r="H35" i="4530"/>
  <c r="H21" i="4530"/>
  <c r="H17" i="4530"/>
  <c r="H25" i="4530"/>
  <c r="H9" i="4530"/>
  <c r="H34" i="4530"/>
  <c r="H24" i="4530"/>
  <c r="H13" i="4530"/>
  <c r="C25" i="4530"/>
  <c r="H23" i="4530"/>
  <c r="H33" i="4530"/>
  <c r="H14" i="4530"/>
  <c r="B22" i="4530"/>
  <c r="H32" i="4530"/>
  <c r="H15" i="4530"/>
  <c r="C20" i="4530"/>
  <c r="H31" i="4530"/>
  <c r="H30" i="4530"/>
  <c r="H20" i="4530"/>
  <c r="B17" i="4530"/>
  <c r="B21" i="4530" s="1"/>
  <c r="H16" i="4530"/>
  <c r="C16" i="4530"/>
  <c r="H29" i="4530"/>
  <c r="C15" i="4530"/>
  <c r="H28" i="4530"/>
  <c r="C14" i="4530"/>
  <c r="H18" i="4530"/>
  <c r="C13" i="4530"/>
  <c r="O12" i="4530"/>
  <c r="H22" i="4530"/>
  <c r="C12" i="4530"/>
  <c r="O11" i="4530"/>
  <c r="H19" i="4530"/>
  <c r="C11" i="4530"/>
  <c r="O10" i="4530"/>
  <c r="H3" i="4530"/>
  <c r="C10" i="4530"/>
  <c r="H12" i="4530"/>
  <c r="C9" i="4530"/>
  <c r="H11" i="4530"/>
  <c r="C8" i="4530"/>
  <c r="O7" i="4530"/>
  <c r="H8" i="4530"/>
  <c r="C7" i="4530"/>
  <c r="O6" i="4530"/>
  <c r="H7" i="4530"/>
  <c r="B6" i="4530"/>
  <c r="O5" i="4530"/>
  <c r="H6" i="4530"/>
  <c r="B5" i="4530"/>
  <c r="O4" i="4530"/>
  <c r="H2" i="4530"/>
  <c r="O3" i="4530"/>
  <c r="H10" i="4530"/>
  <c r="O2" i="4530"/>
  <c r="H4" i="4530"/>
  <c r="C19" i="4532" l="1"/>
  <c r="C19" i="4536"/>
  <c r="C18" i="4532"/>
  <c r="B21" i="4536"/>
  <c r="C17" i="4536"/>
  <c r="C19" i="4534"/>
  <c r="C17" i="4534"/>
  <c r="B21" i="4534"/>
  <c r="C18" i="4530"/>
  <c r="C17" i="4532"/>
  <c r="C17" i="4530"/>
  <c r="C19" i="453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<sst xmlns="http://schemas.openxmlformats.org/spreadsheetml/2006/main" count="2435" uniqueCount="201">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</sst>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全体!$L$2:$L$116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B-4857-BE7D-ECE1A0A2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-43.859649122807021</c:v>
                </c:pt>
                <c:pt idx="1">
                  <c:v>-8.7719298245614041</c:v>
                </c:pt>
                <c:pt idx="2">
                  <c:v>55.555555555555557</c:v>
                </c:pt>
                <c:pt idx="3">
                  <c:v>0</c:v>
                </c:pt>
                <c:pt idx="4">
                  <c:v>-52.083333333333336</c:v>
                </c:pt>
                <c:pt idx="5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D-4E87-A958-D9D57215D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だいち!$L$2:$L$25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9F4-AF04-7588D524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2104.3478260869565</c:v>
                </c:pt>
                <c:pt idx="1">
                  <c:v>4286.95652173913</c:v>
                </c:pt>
                <c:pt idx="2">
                  <c:v>3700</c:v>
                </c:pt>
                <c:pt idx="3">
                  <c:v>4061.9047619047619</c:v>
                </c:pt>
                <c:pt idx="4">
                  <c:v>1644.4444444444443</c:v>
                </c:pt>
                <c:pt idx="5">
                  <c:v>447.05882352941177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6-4CC0-9817-919C0CD9F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C-4B71-A539-133B1269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1120.8333333333333</c:v>
                </c:pt>
                <c:pt idx="1">
                  <c:v>-958.33333333333337</c:v>
                </c:pt>
                <c:pt idx="2">
                  <c:v>-758.33333333333337</c:v>
                </c:pt>
                <c:pt idx="3">
                  <c:v>3512.5</c:v>
                </c:pt>
                <c:pt idx="4">
                  <c:v>3359.090909090909</c:v>
                </c:pt>
                <c:pt idx="5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7-4301-8D67-5F9A6A8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D-4796-87D1-C7AAEDB1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A-427D-B39D-09F0A41A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A-487C-A434-F98E5C46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780</c:v>
                </c:pt>
                <c:pt idx="1">
                  <c:v>1920</c:v>
                </c:pt>
                <c:pt idx="2">
                  <c:v>63.157894736842103</c:v>
                </c:pt>
                <c:pt idx="3">
                  <c:v>-4138.8888888888887</c:v>
                </c:pt>
                <c:pt idx="4">
                  <c:v>500</c:v>
                </c:pt>
                <c:pt idx="5">
                  <c:v>1121.4285714285713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D-4546-BC2E-0784F618E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7-4FD1-9EB6-41D2BCD76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F-4247-9C10-47BA1F8D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1-480C-BF1A-05FF48537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5-416B-AB87-BDE0115FF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まっつん!$L$2:$L$10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7-4068-854F-5EEB7F033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-1412.5</c:v>
                </c:pt>
                <c:pt idx="1">
                  <c:v>-4162.5</c:v>
                </c:pt>
                <c:pt idx="2">
                  <c:v>600</c:v>
                </c:pt>
                <c:pt idx="3">
                  <c:v>-2200</c:v>
                </c:pt>
                <c:pt idx="4">
                  <c:v>-2171.4285714285716</c:v>
                </c:pt>
                <c:pt idx="5">
                  <c:v>3642.8571428571427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5-41A9-8BBC-8CF1145F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E-411E-AB03-9D3F828B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B-4E91-98E7-9AFCA292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9-44AA-99A9-6CC0A8E4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733.33333333333337</c:v>
                </c:pt>
                <c:pt idx="1">
                  <c:v>-6333.333333333333</c:v>
                </c:pt>
                <c:pt idx="2">
                  <c:v>800</c:v>
                </c:pt>
                <c:pt idx="3">
                  <c:v>-3266.6666666666665</c:v>
                </c:pt>
                <c:pt idx="4">
                  <c:v>-666.66666666666663</c:v>
                </c:pt>
                <c:pt idx="5">
                  <c:v>-4066.6666666666665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B-4CE5-B841-668C66E7F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</c:formatCode>
                <c:ptCount val="4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いっしー2!$Q$3:$Q$6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1"/>
      <c r="C1" s="14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3">
        <v>0</v>
      </c>
      <c r="C2" s="144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5">
        <v>0</v>
      </c>
      <c r="C3" s="146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7">
        <v>0</v>
      </c>
      <c r="C4" s="148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49">
        <f>IF(B$2=0,0,B$4/B$2)</f>
        <v>0</v>
      </c>
      <c r="C5" s="150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5">
        <f>IF(B$2=0,0,(B$7*1+B$8*2+B$9*3)/B$2)</f>
        <v>0</v>
      </c>
      <c r="C6" s="15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53">
        <v>0</v>
      </c>
      <c r="C23" s="15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51">
        <v>0</v>
      </c>
      <c r="C24" s="15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3">
        <v>0</v>
      </c>
      <c r="C26" s="144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57">
        <v>0</v>
      </c>
      <c r="C27" s="158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  <row r="8" spans="1:10" x14ac:dyDescent="0.4">
      <c r="A8" s="30" t="s">
        <v>198</v>
      </c>
      <c r="B8" s="31">
        <v>43563.064872685187</v>
      </c>
      <c r="C8" s="30" t="s">
        <v>134</v>
      </c>
      <c r="D8" s="30" t="s">
        <v>135</v>
      </c>
      <c r="E8" s="30" t="s">
        <v>177</v>
      </c>
      <c r="F8" s="30" t="s">
        <v>182</v>
      </c>
      <c r="G8" s="30" t="s">
        <v>183</v>
      </c>
      <c r="H8" s="30" t="s">
        <v>195</v>
      </c>
      <c r="I8" s="30" t="s">
        <v>196</v>
      </c>
    </row>
    <row r="9" spans="1:10" x14ac:dyDescent="0.4">
      <c r="A9" s="30" t="s">
        <v>199</v>
      </c>
      <c r="B9" s="31">
        <v>43564.018368055556</v>
      </c>
      <c r="C9" s="30" t="s">
        <v>134</v>
      </c>
      <c r="D9" s="30" t="s">
        <v>135</v>
      </c>
    </row>
    <row r="10" spans="1:10" x14ac:dyDescent="0.4">
      <c r="A10" s="30" t="s">
        <v>200</v>
      </c>
      <c r="B10" s="31">
        <v>43564.860347222224</v>
      </c>
      <c r="C10" s="30" t="s">
        <v>134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3" t="s">
        <v>6</v>
      </c>
      <c r="C1" s="164"/>
      <c r="D1" s="163" t="s">
        <v>7</v>
      </c>
      <c r="E1" s="164"/>
      <c r="F1" s="163" t="s">
        <v>16</v>
      </c>
      <c r="G1" s="164"/>
      <c r="H1" s="163" t="s">
        <v>15</v>
      </c>
      <c r="I1" s="164"/>
      <c r="J1" s="163" t="s">
        <v>169</v>
      </c>
      <c r="K1" s="164"/>
      <c r="L1" s="163" t="s">
        <v>153</v>
      </c>
      <c r="M1" s="164"/>
      <c r="N1" s="163" t="s">
        <v>154</v>
      </c>
      <c r="O1" s="164"/>
      <c r="P1" s="163" t="s">
        <v>5</v>
      </c>
      <c r="Q1" s="164"/>
      <c r="R1" s="163" t="s">
        <v>17</v>
      </c>
      <c r="S1" s="164"/>
      <c r="T1" s="163" t="s">
        <v>18</v>
      </c>
      <c r="U1" s="164"/>
      <c r="V1" s="163" t="s">
        <v>145</v>
      </c>
      <c r="W1" s="164"/>
      <c r="X1" s="163" t="s">
        <v>167</v>
      </c>
      <c r="Y1" s="164"/>
      <c r="Z1" s="163" t="s">
        <v>127</v>
      </c>
      <c r="AA1" s="164"/>
      <c r="AB1" s="163" t="s">
        <v>122</v>
      </c>
      <c r="AC1" s="164"/>
      <c r="AD1" s="163" t="s">
        <v>130</v>
      </c>
      <c r="AE1" s="164"/>
      <c r="AF1" s="163" t="s">
        <v>155</v>
      </c>
      <c r="AG1" s="164"/>
      <c r="AH1" s="163" t="s">
        <v>148</v>
      </c>
      <c r="AI1" s="164"/>
      <c r="AJ1" s="163" t="s">
        <v>156</v>
      </c>
      <c r="AK1" s="164"/>
      <c r="AL1" s="163" t="s">
        <v>158</v>
      </c>
      <c r="AM1" s="164"/>
      <c r="AN1" s="163" t="s">
        <v>170</v>
      </c>
      <c r="AO1" s="164"/>
    </row>
    <row r="2" spans="1:41" x14ac:dyDescent="0.4">
      <c r="A2" s="72" t="s">
        <v>168</v>
      </c>
      <c r="B2" s="161"/>
      <c r="C2" s="162"/>
      <c r="D2" s="161"/>
      <c r="E2" s="162"/>
      <c r="F2" s="159">
        <v>0.99935084762741078</v>
      </c>
      <c r="G2" s="160"/>
      <c r="H2" s="159">
        <v>0.97982784239884979</v>
      </c>
      <c r="I2" s="160"/>
      <c r="J2" s="159">
        <v>0.98895651794880091</v>
      </c>
      <c r="K2" s="160"/>
      <c r="L2" s="159">
        <v>0.84386083477993423</v>
      </c>
      <c r="M2" s="160"/>
      <c r="N2" s="159">
        <v>0.78768981054661347</v>
      </c>
      <c r="O2" s="160"/>
      <c r="P2" s="159">
        <v>0.78772148537261844</v>
      </c>
      <c r="Q2" s="160"/>
      <c r="R2" s="159">
        <v>0.80574781200440448</v>
      </c>
      <c r="S2" s="160"/>
      <c r="T2" s="159">
        <v>0.89305932182039816</v>
      </c>
      <c r="U2" s="160"/>
      <c r="V2" s="159">
        <v>0.96257492368614572</v>
      </c>
      <c r="W2" s="160"/>
      <c r="X2" s="159">
        <v>0.90737642866322243</v>
      </c>
      <c r="Y2" s="160"/>
      <c r="Z2" s="159">
        <v>0.9299281137241322</v>
      </c>
      <c r="AA2" s="160"/>
      <c r="AB2" s="159">
        <v>0.56291558874613068</v>
      </c>
      <c r="AC2" s="160"/>
      <c r="AD2" s="159">
        <v>0.65974134222603031</v>
      </c>
      <c r="AE2" s="160"/>
      <c r="AF2" s="159">
        <v>0.54467797366208059</v>
      </c>
      <c r="AG2" s="160"/>
      <c r="AH2" s="159">
        <v>-0.49546890618466977</v>
      </c>
      <c r="AI2" s="160"/>
      <c r="AJ2" s="159">
        <v>-0.71825742766869782</v>
      </c>
      <c r="AK2" s="160"/>
      <c r="AL2" s="159">
        <v>0.96984483694229395</v>
      </c>
      <c r="AM2" s="160"/>
      <c r="AN2" s="159">
        <v>0.25810920733976467</v>
      </c>
      <c r="AO2" s="160"/>
    </row>
    <row r="3" spans="1:41" x14ac:dyDescent="0.4">
      <c r="A3" s="74">
        <v>1</v>
      </c>
      <c r="B3" s="75" t="s">
        <v>131</v>
      </c>
      <c r="C3" s="76">
        <v>555.90000000000009</v>
      </c>
      <c r="D3" s="77" t="s">
        <v>131</v>
      </c>
      <c r="E3" s="100">
        <v>24.169565217391309</v>
      </c>
      <c r="F3" s="77" t="s">
        <v>193</v>
      </c>
      <c r="G3" s="78">
        <v>1.3333333333333333</v>
      </c>
      <c r="H3" s="77" t="s">
        <v>193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0.421875</v>
      </c>
      <c r="N3" s="77" t="s">
        <v>193</v>
      </c>
      <c r="O3" s="80">
        <v>0.10526315789473684</v>
      </c>
      <c r="P3" s="77" t="s">
        <v>132</v>
      </c>
      <c r="Q3" s="81">
        <v>9260.8695652173919</v>
      </c>
      <c r="R3" s="77" t="s">
        <v>193</v>
      </c>
      <c r="S3" s="81">
        <v>-5150</v>
      </c>
      <c r="T3" s="77" t="s">
        <v>132</v>
      </c>
      <c r="U3" s="79">
        <v>0</v>
      </c>
      <c r="V3" s="77" t="s">
        <v>131</v>
      </c>
      <c r="W3" s="79">
        <v>0.17391304347826086</v>
      </c>
      <c r="X3" s="77" t="s">
        <v>131</v>
      </c>
      <c r="Y3" s="79">
        <v>0.21739130434782608</v>
      </c>
      <c r="Z3" s="77" t="s">
        <v>131</v>
      </c>
      <c r="AA3" s="80">
        <v>0.36979166666666669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0.75</v>
      </c>
      <c r="AH3" s="77" t="s">
        <v>181</v>
      </c>
      <c r="AI3" s="80">
        <v>0.53125</v>
      </c>
      <c r="AJ3" s="77" t="s">
        <v>133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6</v>
      </c>
    </row>
    <row r="4" spans="1:41" x14ac:dyDescent="0.4">
      <c r="A4" s="84">
        <v>2</v>
      </c>
      <c r="B4" s="85" t="s">
        <v>132</v>
      </c>
      <c r="C4" s="86">
        <v>240.39999999999998</v>
      </c>
      <c r="D4" s="87" t="s">
        <v>193</v>
      </c>
      <c r="E4" s="101">
        <v>20.333333333333332</v>
      </c>
      <c r="F4" s="87" t="s">
        <v>131</v>
      </c>
      <c r="G4" s="88">
        <v>1.5652173913043479</v>
      </c>
      <c r="H4" s="87" t="s">
        <v>131</v>
      </c>
      <c r="I4" s="89">
        <v>0.56521739130434778</v>
      </c>
      <c r="J4" s="87" t="s">
        <v>131</v>
      </c>
      <c r="K4" s="89">
        <v>0.13043478260869565</v>
      </c>
      <c r="L4" s="87" t="s">
        <v>132</v>
      </c>
      <c r="M4" s="90">
        <v>0.31944444444444442</v>
      </c>
      <c r="N4" s="87" t="s">
        <v>132</v>
      </c>
      <c r="O4" s="90">
        <v>0.14814814814814814</v>
      </c>
      <c r="P4" s="87" t="s">
        <v>131</v>
      </c>
      <c r="Q4" s="91">
        <v>8733.3333333333339</v>
      </c>
      <c r="R4" s="87" t="s">
        <v>185</v>
      </c>
      <c r="S4" s="91">
        <v>-6236.363636363636</v>
      </c>
      <c r="T4" s="87" t="s">
        <v>180</v>
      </c>
      <c r="U4" s="89">
        <v>0</v>
      </c>
      <c r="V4" s="87" t="s">
        <v>179</v>
      </c>
      <c r="W4" s="89">
        <v>0.1</v>
      </c>
      <c r="X4" s="87" t="s">
        <v>132</v>
      </c>
      <c r="Y4" s="89">
        <v>0.16666666666666666</v>
      </c>
      <c r="Z4" s="87" t="s">
        <v>132</v>
      </c>
      <c r="AA4" s="90">
        <v>0.33980582524271846</v>
      </c>
      <c r="AB4" s="87" t="s">
        <v>131</v>
      </c>
      <c r="AC4" s="90">
        <v>0.27083333333333331</v>
      </c>
      <c r="AD4" s="87" t="s">
        <v>132</v>
      </c>
      <c r="AE4" s="90">
        <v>0.6428571428571429</v>
      </c>
      <c r="AF4" s="87" t="s">
        <v>131</v>
      </c>
      <c r="AG4" s="90">
        <v>0.55769230769230771</v>
      </c>
      <c r="AH4" s="87" t="s">
        <v>194</v>
      </c>
      <c r="AI4" s="90">
        <v>0.42857142857142855</v>
      </c>
      <c r="AJ4" s="87" t="s">
        <v>149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193</v>
      </c>
      <c r="C5" s="86">
        <v>61</v>
      </c>
      <c r="D5" s="87" t="s">
        <v>132</v>
      </c>
      <c r="E5" s="101">
        <v>10.016666666666666</v>
      </c>
      <c r="F5" s="87" t="s">
        <v>132</v>
      </c>
      <c r="G5" s="88">
        <v>1.8333333333333333</v>
      </c>
      <c r="H5" s="87" t="s">
        <v>132</v>
      </c>
      <c r="I5" s="89">
        <v>0.41666666666666669</v>
      </c>
      <c r="J5" s="87" t="s">
        <v>132</v>
      </c>
      <c r="K5" s="89">
        <v>0.25</v>
      </c>
      <c r="L5" s="87" t="s">
        <v>149</v>
      </c>
      <c r="M5" s="90">
        <v>0.30202020202020202</v>
      </c>
      <c r="N5" s="87" t="s">
        <v>180</v>
      </c>
      <c r="O5" s="90">
        <v>0.16393442622950818</v>
      </c>
      <c r="P5" s="87" t="s">
        <v>179</v>
      </c>
      <c r="Q5" s="91">
        <v>8008.695652173913</v>
      </c>
      <c r="R5" s="87" t="s">
        <v>180</v>
      </c>
      <c r="S5" s="91">
        <v>-7190</v>
      </c>
      <c r="T5" s="87" t="s">
        <v>193</v>
      </c>
      <c r="U5" s="89">
        <v>0</v>
      </c>
      <c r="V5" s="87" t="s">
        <v>132</v>
      </c>
      <c r="W5" s="89">
        <v>8.3333333333333329E-2</v>
      </c>
      <c r="X5" s="87" t="s">
        <v>185</v>
      </c>
      <c r="Y5" s="89">
        <v>0.125</v>
      </c>
      <c r="Z5" s="87" t="s">
        <v>149</v>
      </c>
      <c r="AA5" s="90">
        <v>0.27500000000000002</v>
      </c>
      <c r="AB5" s="87" t="s">
        <v>181</v>
      </c>
      <c r="AC5" s="90">
        <v>0.25242718446601942</v>
      </c>
      <c r="AD5" s="87" t="s">
        <v>180</v>
      </c>
      <c r="AE5" s="90">
        <v>0.63636363636363635</v>
      </c>
      <c r="AF5" s="87" t="s">
        <v>193</v>
      </c>
      <c r="AG5" s="90">
        <v>0.5</v>
      </c>
      <c r="AH5" s="87" t="s">
        <v>131</v>
      </c>
      <c r="AI5" s="90">
        <v>0.40740740740740738</v>
      </c>
      <c r="AJ5" s="87" t="s">
        <v>181</v>
      </c>
      <c r="AK5" s="92">
        <v>6</v>
      </c>
      <c r="AL5" s="87" t="s">
        <v>179</v>
      </c>
      <c r="AM5" s="96">
        <v>91700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149</v>
      </c>
      <c r="C6" s="86">
        <v>1.4210854715202004E-14</v>
      </c>
      <c r="D6" s="87" t="s">
        <v>149</v>
      </c>
      <c r="E6" s="101">
        <v>1.246566203087895E-16</v>
      </c>
      <c r="F6" s="87" t="s">
        <v>179</v>
      </c>
      <c r="G6" s="88">
        <v>2</v>
      </c>
      <c r="H6" s="87" t="s">
        <v>179</v>
      </c>
      <c r="I6" s="89">
        <v>0.35</v>
      </c>
      <c r="J6" s="87" t="s">
        <v>180</v>
      </c>
      <c r="K6" s="89">
        <v>0.25</v>
      </c>
      <c r="L6" s="87" t="s">
        <v>181</v>
      </c>
      <c r="M6" s="90">
        <v>0.2831858407079646</v>
      </c>
      <c r="N6" s="87" t="s">
        <v>179</v>
      </c>
      <c r="O6" s="90">
        <v>0.17318435754189945</v>
      </c>
      <c r="P6" s="87" t="s">
        <v>193</v>
      </c>
      <c r="Q6" s="91">
        <v>7860</v>
      </c>
      <c r="R6" s="87" t="s">
        <v>194</v>
      </c>
      <c r="S6" s="91">
        <v>-7200</v>
      </c>
      <c r="T6" s="87" t="s">
        <v>194</v>
      </c>
      <c r="U6" s="89">
        <v>0</v>
      </c>
      <c r="V6" s="87" t="s">
        <v>149</v>
      </c>
      <c r="W6" s="89">
        <v>7.0175438596491224E-2</v>
      </c>
      <c r="X6" s="87" t="s">
        <v>149</v>
      </c>
      <c r="Y6" s="89">
        <v>0.11403508771929824</v>
      </c>
      <c r="Z6" s="87" t="s">
        <v>193</v>
      </c>
      <c r="AA6" s="90">
        <v>0.26315789473684209</v>
      </c>
      <c r="AB6" s="87" t="s">
        <v>185</v>
      </c>
      <c r="AC6" s="90">
        <v>0.25</v>
      </c>
      <c r="AD6" s="87" t="s">
        <v>193</v>
      </c>
      <c r="AE6" s="90">
        <v>0.6</v>
      </c>
      <c r="AF6" s="87" t="s">
        <v>149</v>
      </c>
      <c r="AG6" s="90">
        <v>0.40566037735849059</v>
      </c>
      <c r="AH6" s="87" t="s">
        <v>133</v>
      </c>
      <c r="AI6" s="90">
        <v>0.40740740740740738</v>
      </c>
      <c r="AJ6" s="87" t="s">
        <v>131</v>
      </c>
      <c r="AK6" s="92">
        <v>5</v>
      </c>
      <c r="AL6" s="87" t="s">
        <v>132</v>
      </c>
      <c r="AM6" s="96">
        <v>88600</v>
      </c>
      <c r="AN6" s="87" t="s">
        <v>181</v>
      </c>
      <c r="AO6" s="93">
        <v>1</v>
      </c>
    </row>
    <row r="7" spans="1:41" x14ac:dyDescent="0.4">
      <c r="A7" s="84">
        <v>5</v>
      </c>
      <c r="B7" s="85" t="s">
        <v>179</v>
      </c>
      <c r="C7" s="86">
        <v>-3.5999999999999917</v>
      </c>
      <c r="D7" s="87" t="s">
        <v>179</v>
      </c>
      <c r="E7" s="101">
        <v>-0.17999999999999958</v>
      </c>
      <c r="F7" s="87" t="s">
        <v>149</v>
      </c>
      <c r="G7" s="88">
        <v>2</v>
      </c>
      <c r="H7" s="87" t="s">
        <v>149</v>
      </c>
      <c r="I7" s="89">
        <v>0.33333333333333331</v>
      </c>
      <c r="J7" s="87" t="s">
        <v>149</v>
      </c>
      <c r="K7" s="89">
        <v>0.33333333333333331</v>
      </c>
      <c r="L7" s="87" t="s">
        <v>180</v>
      </c>
      <c r="M7" s="90">
        <v>0.27868852459016391</v>
      </c>
      <c r="N7" s="87" t="s">
        <v>131</v>
      </c>
      <c r="O7" s="90">
        <v>0.17708333333333334</v>
      </c>
      <c r="P7" s="87" t="s">
        <v>149</v>
      </c>
      <c r="Q7" s="91">
        <v>7842.4749163879596</v>
      </c>
      <c r="R7" s="87" t="s">
        <v>179</v>
      </c>
      <c r="S7" s="91">
        <v>-7629.0322580645161</v>
      </c>
      <c r="T7" s="87" t="s">
        <v>131</v>
      </c>
      <c r="U7" s="89">
        <v>4.3478260869565216E-2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179</v>
      </c>
      <c r="AA7" s="90">
        <v>0.26035502958579881</v>
      </c>
      <c r="AB7" s="87" t="s">
        <v>179</v>
      </c>
      <c r="AC7" s="90">
        <v>0.22485207100591717</v>
      </c>
      <c r="AD7" s="87" t="s">
        <v>149</v>
      </c>
      <c r="AE7" s="90">
        <v>0.57196969696969702</v>
      </c>
      <c r="AF7" s="87" t="s">
        <v>181</v>
      </c>
      <c r="AG7" s="90">
        <v>0.38461538461538464</v>
      </c>
      <c r="AH7" s="87" t="s">
        <v>149</v>
      </c>
      <c r="AI7" s="90">
        <v>0.38795986622073581</v>
      </c>
      <c r="AJ7" s="87" t="s">
        <v>132</v>
      </c>
      <c r="AK7" s="92">
        <v>5</v>
      </c>
      <c r="AL7" s="87" t="s">
        <v>185</v>
      </c>
      <c r="AM7" s="96">
        <v>65000</v>
      </c>
      <c r="AN7" s="87" t="s">
        <v>131</v>
      </c>
      <c r="AO7" s="93">
        <v>0</v>
      </c>
    </row>
    <row r="8" spans="1:41" x14ac:dyDescent="0.4">
      <c r="A8" s="84">
        <v>6</v>
      </c>
      <c r="B8" s="85" t="s">
        <v>180</v>
      </c>
      <c r="C8" s="86">
        <v>-29.5</v>
      </c>
      <c r="D8" s="87" t="s">
        <v>180</v>
      </c>
      <c r="E8" s="101">
        <v>-3.6875</v>
      </c>
      <c r="F8" s="87" t="s">
        <v>180</v>
      </c>
      <c r="G8" s="88">
        <v>2.125</v>
      </c>
      <c r="H8" s="87" t="s">
        <v>185</v>
      </c>
      <c r="I8" s="89">
        <v>0.25</v>
      </c>
      <c r="J8" s="87" t="s">
        <v>179</v>
      </c>
      <c r="K8" s="89">
        <v>0.35</v>
      </c>
      <c r="L8" s="87" t="s">
        <v>193</v>
      </c>
      <c r="M8" s="90">
        <v>0.26315789473684209</v>
      </c>
      <c r="N8" s="87" t="s">
        <v>149</v>
      </c>
      <c r="O8" s="90">
        <v>0.18282828282828284</v>
      </c>
      <c r="P8" s="87" t="s">
        <v>133</v>
      </c>
      <c r="Q8" s="91">
        <v>7314.8148148148148</v>
      </c>
      <c r="R8" s="87" t="s">
        <v>131</v>
      </c>
      <c r="S8" s="91">
        <v>-7744.1176470588234</v>
      </c>
      <c r="T8" s="87" t="s">
        <v>179</v>
      </c>
      <c r="U8" s="89">
        <v>0.05</v>
      </c>
      <c r="V8" s="87" t="s">
        <v>181</v>
      </c>
      <c r="W8" s="89">
        <v>0</v>
      </c>
      <c r="X8" s="87" t="s">
        <v>133</v>
      </c>
      <c r="Y8" s="89">
        <v>7.6923076923076927E-2</v>
      </c>
      <c r="Z8" s="87" t="s">
        <v>185</v>
      </c>
      <c r="AA8" s="90">
        <v>0.23333333333333334</v>
      </c>
      <c r="AB8" s="87" t="s">
        <v>149</v>
      </c>
      <c r="AC8" s="90">
        <v>0.22083333333333333</v>
      </c>
      <c r="AD8" s="87" t="s">
        <v>185</v>
      </c>
      <c r="AE8" s="90">
        <v>0.5714285714285714</v>
      </c>
      <c r="AF8" s="87" t="s">
        <v>179</v>
      </c>
      <c r="AG8" s="90">
        <v>0.36842105263157893</v>
      </c>
      <c r="AH8" s="87" t="s">
        <v>132</v>
      </c>
      <c r="AI8" s="90">
        <v>0.36231884057971014</v>
      </c>
      <c r="AJ8" s="87" t="s">
        <v>179</v>
      </c>
      <c r="AK8" s="92">
        <v>4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194</v>
      </c>
      <c r="C9" s="86">
        <v>-78.400000000000006</v>
      </c>
      <c r="D9" s="87" t="s">
        <v>185</v>
      </c>
      <c r="E9" s="101">
        <v>-10.887499999999999</v>
      </c>
      <c r="F9" s="87" t="s">
        <v>185</v>
      </c>
      <c r="G9" s="88">
        <v>2.25</v>
      </c>
      <c r="H9" s="87" t="s">
        <v>133</v>
      </c>
      <c r="I9" s="89">
        <v>0.15384615384615385</v>
      </c>
      <c r="J9" s="87" t="s">
        <v>181</v>
      </c>
      <c r="K9" s="89">
        <v>0.5</v>
      </c>
      <c r="L9" s="87" t="s">
        <v>179</v>
      </c>
      <c r="M9" s="90">
        <v>0.25698324022346369</v>
      </c>
      <c r="N9" s="87" t="s">
        <v>185</v>
      </c>
      <c r="O9" s="90">
        <v>0.18333333333333332</v>
      </c>
      <c r="P9" s="87" t="s">
        <v>185</v>
      </c>
      <c r="Q9" s="91">
        <v>6253.333333333333</v>
      </c>
      <c r="R9" s="87" t="s">
        <v>132</v>
      </c>
      <c r="S9" s="91">
        <v>-7765.625</v>
      </c>
      <c r="T9" s="87" t="s">
        <v>149</v>
      </c>
      <c r="U9" s="89">
        <v>7.0175438596491224E-2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133</v>
      </c>
      <c r="AA9" s="90">
        <v>0.22950819672131148</v>
      </c>
      <c r="AB9" s="87" t="s">
        <v>193</v>
      </c>
      <c r="AC9" s="90">
        <v>0.21052631578947367</v>
      </c>
      <c r="AD9" s="87" t="s">
        <v>131</v>
      </c>
      <c r="AE9" s="90">
        <v>0.56338028169014087</v>
      </c>
      <c r="AF9" s="87" t="s">
        <v>133</v>
      </c>
      <c r="AG9" s="90">
        <v>0.33333333333333331</v>
      </c>
      <c r="AH9" s="87" t="s">
        <v>180</v>
      </c>
      <c r="AI9" s="90">
        <v>0.35294117647058826</v>
      </c>
      <c r="AJ9" s="87" t="s">
        <v>185</v>
      </c>
      <c r="AK9" s="92">
        <v>4</v>
      </c>
      <c r="AL9" s="87" t="s">
        <v>133</v>
      </c>
      <c r="AM9" s="96">
        <v>52200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185</v>
      </c>
      <c r="C10" s="86">
        <v>-87.1</v>
      </c>
      <c r="D10" s="87" t="s">
        <v>181</v>
      </c>
      <c r="E10" s="101">
        <v>-24.133333333333329</v>
      </c>
      <c r="F10" s="87" t="s">
        <v>181</v>
      </c>
      <c r="G10" s="88">
        <v>2.4166666666666665</v>
      </c>
      <c r="H10" s="87" t="s">
        <v>180</v>
      </c>
      <c r="I10" s="89">
        <v>0.125</v>
      </c>
      <c r="J10" s="87" t="s">
        <v>185</v>
      </c>
      <c r="K10" s="89">
        <v>0.5</v>
      </c>
      <c r="L10" s="87" t="s">
        <v>185</v>
      </c>
      <c r="M10" s="90">
        <v>0.25</v>
      </c>
      <c r="N10" s="87" t="s">
        <v>133</v>
      </c>
      <c r="O10" s="90">
        <v>0.21311475409836064</v>
      </c>
      <c r="P10" s="87" t="s">
        <v>180</v>
      </c>
      <c r="Q10" s="91">
        <v>5858.8235294117649</v>
      </c>
      <c r="R10" s="87" t="s">
        <v>149</v>
      </c>
      <c r="S10" s="91">
        <v>-7993.370165745856</v>
      </c>
      <c r="T10" s="87" t="s">
        <v>185</v>
      </c>
      <c r="U10" s="89">
        <v>0.125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132</v>
      </c>
      <c r="AC10" s="90">
        <v>0.1941747572815534</v>
      </c>
      <c r="AD10" s="87" t="s">
        <v>133</v>
      </c>
      <c r="AE10" s="90">
        <v>0.5</v>
      </c>
      <c r="AF10" s="87" t="s">
        <v>180</v>
      </c>
      <c r="AG10" s="90">
        <v>0.33333333333333331</v>
      </c>
      <c r="AH10" s="87" t="s">
        <v>185</v>
      </c>
      <c r="AI10" s="90">
        <v>0.33333333333333331</v>
      </c>
      <c r="AJ10" s="87" t="s">
        <v>180</v>
      </c>
      <c r="AK10" s="92">
        <v>3</v>
      </c>
      <c r="AL10" s="87" t="s">
        <v>181</v>
      </c>
      <c r="AM10" s="96">
        <v>50800</v>
      </c>
      <c r="AN10" s="87" t="s">
        <v>185</v>
      </c>
      <c r="AO10" s="93">
        <v>0</v>
      </c>
    </row>
    <row r="11" spans="1:41" x14ac:dyDescent="0.4">
      <c r="A11" s="84">
        <v>9</v>
      </c>
      <c r="B11" s="85" t="s">
        <v>181</v>
      </c>
      <c r="C11" s="86">
        <v>-289.59999999999997</v>
      </c>
      <c r="D11" s="87" t="s">
        <v>194</v>
      </c>
      <c r="E11" s="101">
        <v>-26.133333333333336</v>
      </c>
      <c r="F11" s="87" t="s">
        <v>133</v>
      </c>
      <c r="G11" s="88">
        <v>2.4615384615384617</v>
      </c>
      <c r="H11" s="87" t="s">
        <v>181</v>
      </c>
      <c r="I11" s="89">
        <v>8.3333333333333329E-2</v>
      </c>
      <c r="J11" s="87" t="s">
        <v>133</v>
      </c>
      <c r="K11" s="89">
        <v>0.61538461538461542</v>
      </c>
      <c r="L11" s="87" t="s">
        <v>194</v>
      </c>
      <c r="M11" s="90">
        <v>0.25</v>
      </c>
      <c r="N11" s="87" t="s">
        <v>181</v>
      </c>
      <c r="O11" s="90">
        <v>0.24778761061946902</v>
      </c>
      <c r="P11" s="87" t="s">
        <v>181</v>
      </c>
      <c r="Q11" s="91">
        <v>5150</v>
      </c>
      <c r="R11" s="87" t="s">
        <v>181</v>
      </c>
      <c r="S11" s="91">
        <v>-8521.4285714285706</v>
      </c>
      <c r="T11" s="87" t="s">
        <v>181</v>
      </c>
      <c r="U11" s="89">
        <v>0.16666666666666666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0.17475728155339806</v>
      </c>
      <c r="AB11" s="87" t="s">
        <v>194</v>
      </c>
      <c r="AC11" s="90">
        <v>0.14285714285714285</v>
      </c>
      <c r="AD11" s="87" t="s">
        <v>179</v>
      </c>
      <c r="AE11" s="90">
        <v>0.5</v>
      </c>
      <c r="AF11" s="87" t="s">
        <v>185</v>
      </c>
      <c r="AG11" s="90">
        <v>0.33333333333333331</v>
      </c>
      <c r="AH11" s="87" t="s">
        <v>179</v>
      </c>
      <c r="AI11" s="90">
        <v>0.32608695652173914</v>
      </c>
      <c r="AJ11" s="87" t="s">
        <v>193</v>
      </c>
      <c r="AK11" s="92">
        <v>3</v>
      </c>
      <c r="AL11" s="87" t="s">
        <v>180</v>
      </c>
      <c r="AM11" s="96">
        <v>48100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133</v>
      </c>
      <c r="C12" s="86">
        <v>-369.1</v>
      </c>
      <c r="D12" s="87" t="s">
        <v>133</v>
      </c>
      <c r="E12" s="101">
        <v>-28.392307692307693</v>
      </c>
      <c r="F12" s="87" t="s">
        <v>194</v>
      </c>
      <c r="G12" s="88">
        <v>2.6666666666666665</v>
      </c>
      <c r="H12" s="87" t="s">
        <v>194</v>
      </c>
      <c r="I12" s="89">
        <v>0</v>
      </c>
      <c r="J12" s="87" t="s">
        <v>194</v>
      </c>
      <c r="K12" s="89">
        <v>0.66666666666666663</v>
      </c>
      <c r="L12" s="87" t="s">
        <v>133</v>
      </c>
      <c r="M12" s="90">
        <v>0.22131147540983606</v>
      </c>
      <c r="N12" s="87" t="s">
        <v>194</v>
      </c>
      <c r="O12" s="90">
        <v>0.25</v>
      </c>
      <c r="P12" s="87" t="s">
        <v>194</v>
      </c>
      <c r="Q12" s="91">
        <v>5014.2857142857147</v>
      </c>
      <c r="R12" s="87" t="s">
        <v>133</v>
      </c>
      <c r="S12" s="91">
        <v>-9950</v>
      </c>
      <c r="T12" s="87" t="s">
        <v>133</v>
      </c>
      <c r="U12" s="89">
        <v>0.23076923076923078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0.10714285714285714</v>
      </c>
      <c r="AB12" s="87" t="s">
        <v>133</v>
      </c>
      <c r="AC12" s="90">
        <v>9.8360655737704916E-2</v>
      </c>
      <c r="AD12" s="87" t="s">
        <v>181</v>
      </c>
      <c r="AE12" s="90">
        <v>0.5</v>
      </c>
      <c r="AF12" s="87" t="s">
        <v>132</v>
      </c>
      <c r="AG12" s="90">
        <v>0.3</v>
      </c>
      <c r="AH12" s="87" t="s">
        <v>193</v>
      </c>
      <c r="AI12" s="90">
        <v>0.2</v>
      </c>
      <c r="AJ12" s="87" t="s">
        <v>194</v>
      </c>
      <c r="AK12" s="92">
        <v>3</v>
      </c>
      <c r="AL12" s="87" t="s">
        <v>194</v>
      </c>
      <c r="AM12" s="96">
        <v>32800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16F9-A070-40B8-AB57-7333C1038CBC}">
  <sheetPr codeName="Sheet4"/>
  <dimension ref="A1:Q116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149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114</v>
      </c>
      <c r="C2" s="144"/>
      <c r="E2" s="62" t="s">
        <v>68</v>
      </c>
      <c r="F2" s="59" t="s">
        <v>23</v>
      </c>
      <c r="G2" s="46">
        <v>209</v>
      </c>
      <c r="H2" s="136">
        <f>IF(B$27=0,0,G2/B$27)</f>
        <v>0.71821305841924399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-43.859649122807021</v>
      </c>
      <c r="P2" s="122">
        <v>114</v>
      </c>
      <c r="Q2" s="106">
        <v>-5000</v>
      </c>
    </row>
    <row r="3" spans="1:17" x14ac:dyDescent="0.4">
      <c r="A3" s="55" t="s">
        <v>8</v>
      </c>
      <c r="B3" s="145">
        <v>990</v>
      </c>
      <c r="C3" s="146"/>
      <c r="E3" s="63" t="s">
        <v>74</v>
      </c>
      <c r="F3" s="60" t="s">
        <v>28</v>
      </c>
      <c r="G3" s="47">
        <v>156</v>
      </c>
      <c r="H3" s="137">
        <f>IF(B$27=0,0,G3/B$27)</f>
        <v>0.53608247422680411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-8.7719298245614041</v>
      </c>
      <c r="P3" s="123">
        <v>114</v>
      </c>
      <c r="Q3" s="107">
        <v>-1000</v>
      </c>
    </row>
    <row r="4" spans="1:17" x14ac:dyDescent="0.4">
      <c r="A4" s="55" t="s">
        <v>6</v>
      </c>
      <c r="B4" s="147">
        <v>1.4210854715202004E-14</v>
      </c>
      <c r="C4" s="148"/>
      <c r="E4" s="63" t="s">
        <v>66</v>
      </c>
      <c r="F4" s="60" t="s">
        <v>21</v>
      </c>
      <c r="G4" s="47">
        <v>148</v>
      </c>
      <c r="H4" s="137">
        <f>IF(B$27=0,0,G4/B$27)</f>
        <v>0.50859106529209619</v>
      </c>
      <c r="I4" s="98">
        <v>4</v>
      </c>
      <c r="K4" s="38">
        <v>2</v>
      </c>
      <c r="L4" s="103">
        <v>40.4</v>
      </c>
      <c r="N4" s="119" t="s">
        <v>138</v>
      </c>
      <c r="O4" s="126">
        <f t="shared" si="0"/>
        <v>55.555555555555557</v>
      </c>
      <c r="P4" s="123">
        <v>108</v>
      </c>
      <c r="Q4" s="107">
        <v>6000</v>
      </c>
    </row>
    <row r="5" spans="1:17" x14ac:dyDescent="0.4">
      <c r="A5" s="55" t="s">
        <v>7</v>
      </c>
      <c r="B5" s="149">
        <f>IF(B$2=0,0,B$4/B$2)</f>
        <v>1.246566203087895E-16</v>
      </c>
      <c r="C5" s="150"/>
      <c r="E5" s="63" t="s">
        <v>189</v>
      </c>
      <c r="F5" s="60" t="s">
        <v>190</v>
      </c>
      <c r="G5" s="47">
        <v>111</v>
      </c>
      <c r="H5" s="137">
        <f>IF(B$27=0,0,G5/B$27)</f>
        <v>0.38144329896907214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105</v>
      </c>
      <c r="Q5" s="107">
        <v>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69</v>
      </c>
      <c r="F6" s="60" t="s">
        <v>24</v>
      </c>
      <c r="G6" s="47">
        <v>77</v>
      </c>
      <c r="H6" s="137">
        <f>IF(B$27=0,0,G6/B$27)</f>
        <v>0.26460481099656358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-52.083333333333336</v>
      </c>
      <c r="P6" s="123">
        <v>96</v>
      </c>
      <c r="Q6" s="107">
        <v>-5000</v>
      </c>
    </row>
    <row r="7" spans="1:17" x14ac:dyDescent="0.4">
      <c r="A7" s="55" t="s">
        <v>2</v>
      </c>
      <c r="B7" s="47">
        <v>38</v>
      </c>
      <c r="C7" s="39">
        <f>IF(B$2=0,0,B7/B$2)</f>
        <v>0.33333333333333331</v>
      </c>
      <c r="E7" s="63" t="s">
        <v>70</v>
      </c>
      <c r="F7" s="60" t="s">
        <v>12</v>
      </c>
      <c r="G7" s="47">
        <v>73</v>
      </c>
      <c r="H7" s="137">
        <f>IF(B$27=0,0,G7/B$27)</f>
        <v>0.25085910652920962</v>
      </c>
      <c r="I7" s="98">
        <v>4</v>
      </c>
      <c r="K7" s="38">
        <v>5</v>
      </c>
      <c r="L7" s="103">
        <v>-37</v>
      </c>
      <c r="N7" s="120" t="s">
        <v>141</v>
      </c>
      <c r="O7" s="127">
        <f t="shared" si="0"/>
        <v>55.555555555555557</v>
      </c>
      <c r="P7" s="124">
        <v>90</v>
      </c>
      <c r="Q7" s="108">
        <v>5000</v>
      </c>
    </row>
    <row r="8" spans="1:17" x14ac:dyDescent="0.4">
      <c r="A8" s="55" t="s">
        <v>3</v>
      </c>
      <c r="B8" s="47">
        <v>38</v>
      </c>
      <c r="C8" s="39">
        <f>IF(B$2=0,0,B8/B$2)</f>
        <v>0.33333333333333331</v>
      </c>
      <c r="E8" s="63" t="s">
        <v>71</v>
      </c>
      <c r="F8" s="60" t="s">
        <v>25</v>
      </c>
      <c r="G8" s="47">
        <v>56</v>
      </c>
      <c r="H8" s="137">
        <f>IF(B$27=0,0,G8/B$27)</f>
        <v>0.19243986254295534</v>
      </c>
      <c r="I8" s="98">
        <v>6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38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46</v>
      </c>
      <c r="H9" s="137">
        <f>IF(B$27=0,0,G9/B$27)</f>
        <v>0.15807560137457044</v>
      </c>
      <c r="I9" s="98">
        <v>6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8</v>
      </c>
      <c r="C10" s="40">
        <f>IF(B$2=0,0,B10/B$2)</f>
        <v>7.0175438596491224E-2</v>
      </c>
      <c r="E10" s="63" t="s">
        <v>67</v>
      </c>
      <c r="F10" s="60" t="s">
        <v>22</v>
      </c>
      <c r="G10" s="47">
        <v>33</v>
      </c>
      <c r="H10" s="137">
        <f>IF(B$27=0,0,G10/B$27)</f>
        <v>0.1134020618556701</v>
      </c>
      <c r="I10" s="98">
        <v>6</v>
      </c>
      <c r="K10" s="38">
        <v>8</v>
      </c>
      <c r="L10" s="103">
        <v>19.699999999999996</v>
      </c>
      <c r="N10" s="118" t="s">
        <v>172</v>
      </c>
      <c r="O10" s="128">
        <f>IF(P10=0,0,Q10/P10)</f>
        <v>4.2368421052631575</v>
      </c>
      <c r="P10" s="122">
        <v>38</v>
      </c>
      <c r="Q10" s="110">
        <v>161</v>
      </c>
    </row>
    <row r="11" spans="1:17" x14ac:dyDescent="0.4">
      <c r="A11" s="56" t="s">
        <v>144</v>
      </c>
      <c r="B11" s="48">
        <v>8</v>
      </c>
      <c r="C11" s="40">
        <f>IF(B$2=0,0,B11/B$2)</f>
        <v>7.0175438596491224E-2</v>
      </c>
      <c r="E11" s="63" t="s">
        <v>72</v>
      </c>
      <c r="F11" s="60" t="s">
        <v>26</v>
      </c>
      <c r="G11" s="47">
        <v>26</v>
      </c>
      <c r="H11" s="137">
        <f>IF(B$27=0,0,G11/B$27)</f>
        <v>8.9347079037800689E-2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-8.1684210526315777</v>
      </c>
      <c r="P11" s="123">
        <v>38</v>
      </c>
      <c r="Q11" s="111">
        <v>-310.39999999999998</v>
      </c>
    </row>
    <row r="12" spans="1:17" x14ac:dyDescent="0.4">
      <c r="A12" s="57" t="s">
        <v>165</v>
      </c>
      <c r="B12" s="49">
        <v>13</v>
      </c>
      <c r="C12" s="42">
        <f>IF(B$2=0,0,B12/B$2)</f>
        <v>0.11403508771929824</v>
      </c>
      <c r="E12" s="63" t="s">
        <v>73</v>
      </c>
      <c r="F12" s="60" t="s">
        <v>27</v>
      </c>
      <c r="G12" s="47">
        <v>18</v>
      </c>
      <c r="H12" s="137">
        <f>IF(B$27=0,0,G12/B$27)</f>
        <v>6.1855670103092786E-2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3.931578947368422</v>
      </c>
      <c r="P12" s="124">
        <v>38</v>
      </c>
      <c r="Q12" s="112">
        <v>149.40000000000003</v>
      </c>
    </row>
    <row r="13" spans="1:17" x14ac:dyDescent="0.4">
      <c r="A13" s="58" t="s">
        <v>126</v>
      </c>
      <c r="B13" s="50">
        <v>264</v>
      </c>
      <c r="C13" s="44">
        <f>IF(B$26=0,0,B13/B$26)</f>
        <v>0.27500000000000002</v>
      </c>
      <c r="E13" s="63" t="s">
        <v>89</v>
      </c>
      <c r="F13" s="60" t="s">
        <v>43</v>
      </c>
      <c r="G13" s="47">
        <v>16</v>
      </c>
      <c r="H13" s="137">
        <f>IF(B$27=0,0,G13/B$27)</f>
        <v>5.4982817869415807E-2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212</v>
      </c>
      <c r="C14" s="39">
        <f>IF(B$26=0,0,B14/B$26)</f>
        <v>0.22083333333333333</v>
      </c>
      <c r="E14" s="63" t="s">
        <v>86</v>
      </c>
      <c r="F14" s="60" t="s">
        <v>40</v>
      </c>
      <c r="G14" s="47">
        <v>14</v>
      </c>
      <c r="H14" s="137">
        <f>IF(B$27=0,0,G14/B$27)</f>
        <v>4.8109965635738834E-2</v>
      </c>
      <c r="I14" s="98">
        <v>5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151</v>
      </c>
      <c r="C15" s="37">
        <f>IF(B$13=0,0,B15/B$13)</f>
        <v>0.57196969696969702</v>
      </c>
      <c r="E15" s="63" t="s">
        <v>84</v>
      </c>
      <c r="F15" s="60" t="s">
        <v>38</v>
      </c>
      <c r="G15" s="47">
        <v>7</v>
      </c>
      <c r="H15" s="137">
        <f>IF(B$27=0,0,G15/B$27)</f>
        <v>2.4054982817869417E-2</v>
      </c>
      <c r="I15" s="98">
        <v>4</v>
      </c>
      <c r="K15" s="38">
        <v>13</v>
      </c>
      <c r="L15" s="103">
        <v>-42.100000000000009</v>
      </c>
      <c r="N15" s="118" t="s">
        <v>133</v>
      </c>
      <c r="O15" s="128">
        <f>IF(P15=0,0,Q15/P15)</f>
        <v>42.588461538461537</v>
      </c>
      <c r="P15" s="122">
        <v>26</v>
      </c>
      <c r="Q15" s="110">
        <v>1107.3</v>
      </c>
    </row>
    <row r="16" spans="1:17" x14ac:dyDescent="0.4">
      <c r="A16" s="54" t="s">
        <v>129</v>
      </c>
      <c r="B16" s="46">
        <v>86</v>
      </c>
      <c r="C16" s="37">
        <f>IF(B$14=0,0,B16/B$14)</f>
        <v>0.40566037735849059</v>
      </c>
      <c r="E16" s="63" t="s">
        <v>80</v>
      </c>
      <c r="F16" s="60" t="s">
        <v>34</v>
      </c>
      <c r="G16" s="47">
        <v>4</v>
      </c>
      <c r="H16" s="137">
        <f>IF(B$27=0,0,G16/B$27)</f>
        <v>1.3745704467353952E-2</v>
      </c>
      <c r="I16" s="98">
        <v>3</v>
      </c>
      <c r="K16" s="38">
        <v>14</v>
      </c>
      <c r="L16" s="103">
        <v>18.79999999999999</v>
      </c>
      <c r="N16" s="119" t="s">
        <v>194</v>
      </c>
      <c r="O16" s="129">
        <f>IF(P16=0,0,Q16/P16)</f>
        <v>39.199999999999996</v>
      </c>
      <c r="P16" s="123">
        <v>6</v>
      </c>
      <c r="Q16" s="111">
        <v>235.2</v>
      </c>
    </row>
    <row r="17" spans="1:17" x14ac:dyDescent="0.4">
      <c r="A17" s="54" t="s">
        <v>10</v>
      </c>
      <c r="B17" s="46">
        <f>B19+B18</f>
        <v>299</v>
      </c>
      <c r="C17" s="37">
        <f>IF(B$3=0,0,B17/B$3)</f>
        <v>0.30202020202020202</v>
      </c>
      <c r="E17" s="63" t="s">
        <v>94</v>
      </c>
      <c r="F17" s="60" t="s">
        <v>48</v>
      </c>
      <c r="G17" s="47">
        <v>4</v>
      </c>
      <c r="H17" s="137">
        <f>IF(B$27=0,0,G17/B$27)</f>
        <v>1.3745704467353952E-2</v>
      </c>
      <c r="I17" s="98">
        <v>3</v>
      </c>
      <c r="K17" s="38">
        <v>15</v>
      </c>
      <c r="L17" s="103">
        <v>-1.0658141036401503E-14</v>
      </c>
      <c r="N17" s="119" t="s">
        <v>181</v>
      </c>
      <c r="O17" s="129">
        <f>IF(P17=0,0,Q17/P17)</f>
        <v>36.199999999999996</v>
      </c>
      <c r="P17" s="123">
        <v>24</v>
      </c>
      <c r="Q17" s="111">
        <v>868.8</v>
      </c>
    </row>
    <row r="18" spans="1:17" x14ac:dyDescent="0.4">
      <c r="A18" s="55" t="s">
        <v>12</v>
      </c>
      <c r="B18" s="47">
        <v>116</v>
      </c>
      <c r="C18" s="39">
        <f>IF(B$17=0,0,B18/B$17)</f>
        <v>0.38795986622073581</v>
      </c>
      <c r="E18" s="63" t="s">
        <v>77</v>
      </c>
      <c r="F18" s="60" t="s">
        <v>31</v>
      </c>
      <c r="G18" s="47">
        <v>3</v>
      </c>
      <c r="H18" s="137">
        <f>IF(B$27=0,0,G18/B$27)</f>
        <v>1.0309278350515464E-2</v>
      </c>
      <c r="I18" s="98">
        <v>4</v>
      </c>
      <c r="K18" s="38">
        <v>16</v>
      </c>
      <c r="L18" s="103">
        <v>90.899999999999991</v>
      </c>
      <c r="N18" s="119" t="s">
        <v>185</v>
      </c>
      <c r="O18" s="129">
        <f>IF(P18=0,0,Q18/P18)</f>
        <v>16.331249999999997</v>
      </c>
      <c r="P18" s="123">
        <v>16</v>
      </c>
      <c r="Q18" s="111">
        <v>261.29999999999995</v>
      </c>
    </row>
    <row r="19" spans="1:17" x14ac:dyDescent="0.4">
      <c r="A19" s="55" t="s">
        <v>11</v>
      </c>
      <c r="B19" s="47">
        <v>183</v>
      </c>
      <c r="C19" s="39">
        <f>IF(B$17=0,0,B19/B$17)</f>
        <v>0.61204013377926425</v>
      </c>
      <c r="E19" s="63" t="s">
        <v>75</v>
      </c>
      <c r="F19" s="60" t="s">
        <v>29</v>
      </c>
      <c r="G19" s="47">
        <v>2</v>
      </c>
      <c r="H19" s="137">
        <f>IF(B$27=0,0,G19/B$27)</f>
        <v>6.8728522336769758E-3</v>
      </c>
      <c r="I19" s="98">
        <v>3</v>
      </c>
      <c r="K19" s="38">
        <v>17</v>
      </c>
      <c r="L19" s="103">
        <v>8.2999999999999972</v>
      </c>
      <c r="N19" s="119" t="s">
        <v>180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181</v>
      </c>
      <c r="C20" s="39">
        <f>IF(B$3=0,0,B20/B$3)</f>
        <v>0.18282828282828284</v>
      </c>
      <c r="E20" s="63" t="s">
        <v>81</v>
      </c>
      <c r="F20" s="60" t="s">
        <v>35</v>
      </c>
      <c r="G20" s="47">
        <v>2</v>
      </c>
      <c r="H20" s="137">
        <f>IF(B$27=0,0,G20/B$27)</f>
        <v>6.8728522336769758E-3</v>
      </c>
      <c r="I20" s="98">
        <v>3</v>
      </c>
      <c r="K20" s="38">
        <v>18</v>
      </c>
      <c r="L20" s="103">
        <v>-3.5527136788005009E-15</v>
      </c>
      <c r="N20" s="119" t="s">
        <v>179</v>
      </c>
      <c r="O20" s="129">
        <f>IF(P20=0,0,Q20/P20)</f>
        <v>0.27000000000000063</v>
      </c>
      <c r="P20" s="123">
        <v>40</v>
      </c>
      <c r="Q20" s="111">
        <v>10.800000000000026</v>
      </c>
    </row>
    <row r="21" spans="1:17" x14ac:dyDescent="0.4">
      <c r="A21" s="55" t="s">
        <v>5</v>
      </c>
      <c r="B21" s="51">
        <f>IF(B$17=0,0,C21/B$17)</f>
        <v>7842.4749163879596</v>
      </c>
      <c r="C21" s="41">
        <v>2344900</v>
      </c>
      <c r="E21" s="63" t="s">
        <v>95</v>
      </c>
      <c r="F21" s="60" t="s">
        <v>49</v>
      </c>
      <c r="G21" s="47">
        <v>2</v>
      </c>
      <c r="H21" s="137">
        <f>IF(B$27=0,0,G21/B$27)</f>
        <v>6.8728522336769758E-3</v>
      </c>
      <c r="I21" s="98">
        <v>3</v>
      </c>
      <c r="K21" s="38">
        <v>19</v>
      </c>
      <c r="L21" s="103">
        <v>30.999999999999996</v>
      </c>
      <c r="N21" s="119" t="s">
        <v>132</v>
      </c>
      <c r="O21" s="129">
        <f>IF(P21=0,0,Q21/P21)</f>
        <v>-15.024999999999997</v>
      </c>
      <c r="P21" s="123">
        <v>48</v>
      </c>
      <c r="Q21" s="111">
        <v>-721.19999999999982</v>
      </c>
    </row>
    <row r="22" spans="1:17" x14ac:dyDescent="0.4">
      <c r="A22" s="57" t="s">
        <v>14</v>
      </c>
      <c r="B22" s="52">
        <f>IF(B$20=0,0,C22/B$20)</f>
        <v>-7993.370165745856</v>
      </c>
      <c r="C22" s="45">
        <v>-1446800</v>
      </c>
      <c r="E22" s="63" t="s">
        <v>76</v>
      </c>
      <c r="F22" s="60" t="s">
        <v>30</v>
      </c>
      <c r="G22" s="47">
        <v>1</v>
      </c>
      <c r="H22" s="137">
        <f>IF(B$27=0,0,G22/B$27)</f>
        <v>3.4364261168384879E-3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53">
        <v>7</v>
      </c>
      <c r="C23" s="154"/>
      <c r="E23" s="63" t="s">
        <v>88</v>
      </c>
      <c r="F23" s="60" t="s">
        <v>42</v>
      </c>
      <c r="G23" s="47">
        <v>1</v>
      </c>
      <c r="H23" s="137">
        <f>IF(B$27=0,0,G23/B$27)</f>
        <v>3.4364261168384879E-3</v>
      </c>
      <c r="I23" s="98">
        <v>2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-36.25434782608697</v>
      </c>
      <c r="P23" s="123">
        <v>46</v>
      </c>
      <c r="Q23" s="111">
        <v>-1667.7000000000005</v>
      </c>
    </row>
    <row r="24" spans="1:17" x14ac:dyDescent="0.4">
      <c r="A24" s="58" t="s">
        <v>157</v>
      </c>
      <c r="B24" s="151">
        <v>105900</v>
      </c>
      <c r="C24" s="152"/>
      <c r="E24" s="63" t="s">
        <v>90</v>
      </c>
      <c r="F24" s="60" t="s">
        <v>44</v>
      </c>
      <c r="G24" s="47">
        <v>1</v>
      </c>
      <c r="H24" s="137">
        <f>IF(B$27=0,0,G24/B$27)</f>
        <v>3.4364261168384879E-3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6</v>
      </c>
      <c r="C25" s="42">
        <f>IF(B$3=0,0,B25/B$3)</f>
        <v>6.0606060606060606E-3</v>
      </c>
      <c r="E25" s="63" t="s">
        <v>93</v>
      </c>
      <c r="F25" s="60" t="s">
        <v>47</v>
      </c>
      <c r="G25" s="47">
        <v>1</v>
      </c>
      <c r="H25" s="137">
        <f>IF(B$27=0,0,G25/B$27)</f>
        <v>3.4364261168384879E-3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3">
        <v>960</v>
      </c>
      <c r="C26" s="144"/>
      <c r="E26" s="63" t="s">
        <v>98</v>
      </c>
      <c r="F26" s="60" t="s">
        <v>52</v>
      </c>
      <c r="G26" s="47">
        <v>1</v>
      </c>
      <c r="H26" s="137">
        <f>IF(B$27=0,0,G26/B$27)</f>
        <v>3.4364261168384879E-3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57">
        <v>291</v>
      </c>
      <c r="C27" s="158"/>
      <c r="E27" s="63" t="s">
        <v>188</v>
      </c>
      <c r="F27" s="60" t="s">
        <v>191</v>
      </c>
      <c r="G27" s="47">
        <v>1</v>
      </c>
      <c r="H27" s="137">
        <f>IF(B$27=0,0,G27/B$27)</f>
        <v>3.4364261168384879E-3</v>
      </c>
      <c r="I27" s="98">
        <v>2</v>
      </c>
      <c r="K27" s="38">
        <v>25</v>
      </c>
      <c r="L27" s="103">
        <v>-31.300000000000004</v>
      </c>
    </row>
    <row r="28" spans="1:17" x14ac:dyDescent="0.4">
      <c r="E28" s="63" t="s">
        <v>78</v>
      </c>
      <c r="F28" s="60" t="s">
        <v>32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79</v>
      </c>
      <c r="F29" s="60" t="s">
        <v>33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-5.0999999999999854</v>
      </c>
    </row>
    <row r="115" spans="11:12" x14ac:dyDescent="0.4">
      <c r="K115" s="38">
        <v>113</v>
      </c>
      <c r="L115" s="103">
        <v>31.600000000000016</v>
      </c>
    </row>
    <row r="116" spans="11:12" x14ac:dyDescent="0.4">
      <c r="K116" s="38">
        <v>114</v>
      </c>
      <c r="L116" s="103">
        <v>1.4210854715202004E-14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7C55-EDE6-4B37-B197-707762238C73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131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23</v>
      </c>
      <c r="C2" s="144"/>
      <c r="E2" s="62" t="s">
        <v>68</v>
      </c>
      <c r="F2" s="59" t="s">
        <v>23</v>
      </c>
      <c r="G2" s="46">
        <v>58</v>
      </c>
      <c r="H2" s="136">
        <f>IF(B$27=0,0,G2/B$27)</f>
        <v>0.71604938271604934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2104.3478260869565</v>
      </c>
      <c r="P2" s="122">
        <v>23</v>
      </c>
      <c r="Q2" s="106">
        <v>48400</v>
      </c>
    </row>
    <row r="3" spans="1:17" x14ac:dyDescent="0.4">
      <c r="A3" s="55" t="s">
        <v>8</v>
      </c>
      <c r="B3" s="145">
        <v>192</v>
      </c>
      <c r="C3" s="146"/>
      <c r="E3" s="63" t="s">
        <v>74</v>
      </c>
      <c r="F3" s="60" t="s">
        <v>28</v>
      </c>
      <c r="G3" s="47">
        <v>49</v>
      </c>
      <c r="H3" s="137">
        <f>IF(B$27=0,0,G3/B$27)</f>
        <v>0.60493827160493829</v>
      </c>
      <c r="I3" s="98">
        <v>4</v>
      </c>
      <c r="K3" s="38">
        <v>1</v>
      </c>
      <c r="L3" s="103">
        <v>-5.0999999999999996</v>
      </c>
      <c r="N3" s="119" t="s">
        <v>137</v>
      </c>
      <c r="O3" s="126">
        <f t="shared" si="0"/>
        <v>4286.95652173913</v>
      </c>
      <c r="P3" s="123">
        <v>23</v>
      </c>
      <c r="Q3" s="107">
        <v>98600</v>
      </c>
    </row>
    <row r="4" spans="1:17" x14ac:dyDescent="0.4">
      <c r="A4" s="55" t="s">
        <v>6</v>
      </c>
      <c r="B4" s="147">
        <v>555.90000000000009</v>
      </c>
      <c r="C4" s="148"/>
      <c r="E4" s="63" t="s">
        <v>66</v>
      </c>
      <c r="F4" s="60" t="s">
        <v>21</v>
      </c>
      <c r="G4" s="47">
        <v>40</v>
      </c>
      <c r="H4" s="137">
        <f>IF(B$27=0,0,G4/B$27)</f>
        <v>0.49382716049382713</v>
      </c>
      <c r="I4" s="98">
        <v>5</v>
      </c>
      <c r="K4" s="38">
        <v>2</v>
      </c>
      <c r="L4" s="103">
        <v>-2.8999999999999995</v>
      </c>
      <c r="N4" s="119" t="s">
        <v>138</v>
      </c>
      <c r="O4" s="126">
        <f t="shared" si="0"/>
        <v>3700</v>
      </c>
      <c r="P4" s="123">
        <v>22</v>
      </c>
      <c r="Q4" s="107">
        <v>81400</v>
      </c>
    </row>
    <row r="5" spans="1:17" x14ac:dyDescent="0.4">
      <c r="A5" s="55" t="s">
        <v>7</v>
      </c>
      <c r="B5" s="149">
        <f>IF(B$2=0,0,B$4/B$2)</f>
        <v>24.169565217391309</v>
      </c>
      <c r="C5" s="150"/>
      <c r="E5" s="63" t="s">
        <v>189</v>
      </c>
      <c r="F5" s="60" t="s">
        <v>190</v>
      </c>
      <c r="G5" s="47">
        <v>35</v>
      </c>
      <c r="H5" s="137">
        <f>IF(B$27=0,0,G5/B$27)</f>
        <v>0.43209876543209874</v>
      </c>
      <c r="I5" s="98">
        <v>3</v>
      </c>
      <c r="K5" s="38">
        <v>3</v>
      </c>
      <c r="L5" s="103">
        <v>70.399999999999991</v>
      </c>
      <c r="N5" s="119" t="s">
        <v>139</v>
      </c>
      <c r="O5" s="126">
        <f t="shared" si="0"/>
        <v>4061.9047619047619</v>
      </c>
      <c r="P5" s="123">
        <v>21</v>
      </c>
      <c r="Q5" s="107">
        <v>85300</v>
      </c>
    </row>
    <row r="6" spans="1:17" x14ac:dyDescent="0.4">
      <c r="A6" s="55" t="s">
        <v>1</v>
      </c>
      <c r="B6" s="155">
        <f>IF(B$2=0,0,(B$7*1+B$8*2+B$9*3)/B$2)</f>
        <v>1.5652173913043479</v>
      </c>
      <c r="C6" s="156"/>
      <c r="E6" s="63" t="s">
        <v>69</v>
      </c>
      <c r="F6" s="60" t="s">
        <v>24</v>
      </c>
      <c r="G6" s="47">
        <v>18</v>
      </c>
      <c r="H6" s="137">
        <f>IF(B$27=0,0,G6/B$27)</f>
        <v>0.22222222222222221</v>
      </c>
      <c r="I6" s="98">
        <v>6</v>
      </c>
      <c r="K6" s="38">
        <v>4</v>
      </c>
      <c r="L6" s="103">
        <v>110.5</v>
      </c>
      <c r="N6" s="119" t="s">
        <v>140</v>
      </c>
      <c r="O6" s="126">
        <f t="shared" si="0"/>
        <v>1644.4444444444443</v>
      </c>
      <c r="P6" s="123">
        <v>18</v>
      </c>
      <c r="Q6" s="107">
        <v>29600</v>
      </c>
    </row>
    <row r="7" spans="1:17" x14ac:dyDescent="0.4">
      <c r="A7" s="55" t="s">
        <v>2</v>
      </c>
      <c r="B7" s="47">
        <v>13</v>
      </c>
      <c r="C7" s="39">
        <f>IF(B$2=0,0,B7/B$2)</f>
        <v>0.56521739130434778</v>
      </c>
      <c r="E7" s="63" t="s">
        <v>71</v>
      </c>
      <c r="F7" s="60" t="s">
        <v>25</v>
      </c>
      <c r="G7" s="47">
        <v>17</v>
      </c>
      <c r="H7" s="137">
        <f>IF(B$27=0,0,G7/B$27)</f>
        <v>0.20987654320987653</v>
      </c>
      <c r="I7" s="98">
        <v>4</v>
      </c>
      <c r="K7" s="38">
        <v>5</v>
      </c>
      <c r="L7" s="103">
        <v>201.4</v>
      </c>
      <c r="N7" s="120" t="s">
        <v>141</v>
      </c>
      <c r="O7" s="127">
        <f t="shared" si="0"/>
        <v>447.05882352941177</v>
      </c>
      <c r="P7" s="124">
        <v>17</v>
      </c>
      <c r="Q7" s="108">
        <v>7600</v>
      </c>
    </row>
    <row r="8" spans="1:17" x14ac:dyDescent="0.4">
      <c r="A8" s="55" t="s">
        <v>3</v>
      </c>
      <c r="B8" s="47">
        <v>7</v>
      </c>
      <c r="C8" s="39">
        <f>IF(B$2=0,0,B8/B$2)</f>
        <v>0.30434782608695654</v>
      </c>
      <c r="E8" s="63" t="s">
        <v>70</v>
      </c>
      <c r="F8" s="60" t="s">
        <v>12</v>
      </c>
      <c r="G8" s="47">
        <v>16</v>
      </c>
      <c r="H8" s="137">
        <f>IF(B$27=0,0,G8/B$27)</f>
        <v>0.19753086419753085</v>
      </c>
      <c r="I8" s="98">
        <v>7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3</v>
      </c>
      <c r="C9" s="40">
        <f t="shared" ref="C9" si="1">IF(B$2=0,0,B9/B$2)</f>
        <v>0.13043478260869565</v>
      </c>
      <c r="E9" s="63" t="s">
        <v>92</v>
      </c>
      <c r="F9" s="60" t="s">
        <v>46</v>
      </c>
      <c r="G9" s="47">
        <v>16</v>
      </c>
      <c r="H9" s="137">
        <f>IF(B$27=0,0,G9/B$27)</f>
        <v>0.19753086419753085</v>
      </c>
      <c r="I9" s="98">
        <v>3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4.3478260869565216E-2</v>
      </c>
      <c r="E10" s="63" t="s">
        <v>67</v>
      </c>
      <c r="F10" s="60" t="s">
        <v>22</v>
      </c>
      <c r="G10" s="47">
        <v>13</v>
      </c>
      <c r="H10" s="137">
        <f>IF(B$27=0,0,G10/B$27)</f>
        <v>0.16049382716049382</v>
      </c>
      <c r="I10" s="98">
        <v>1</v>
      </c>
      <c r="K10" s="38">
        <v>8</v>
      </c>
      <c r="L10" s="103">
        <v>285.20000000000005</v>
      </c>
      <c r="N10" s="118" t="s">
        <v>172</v>
      </c>
      <c r="O10" s="128">
        <f>IF(P10=0,0,Q10/P10)</f>
        <v>24.628571428571426</v>
      </c>
      <c r="P10" s="122">
        <v>7</v>
      </c>
      <c r="Q10" s="110">
        <v>172.39999999999998</v>
      </c>
    </row>
    <row r="11" spans="1:17" x14ac:dyDescent="0.4">
      <c r="A11" s="56" t="s">
        <v>144</v>
      </c>
      <c r="B11" s="48">
        <v>4</v>
      </c>
      <c r="C11" s="40">
        <f>IF(B$2=0,0,B11/B$2)</f>
        <v>0.17391304347826086</v>
      </c>
      <c r="E11" s="63" t="s">
        <v>72</v>
      </c>
      <c r="F11" s="60" t="s">
        <v>26</v>
      </c>
      <c r="G11" s="47">
        <v>4</v>
      </c>
      <c r="H11" s="137">
        <f>IF(B$27=0,0,G11/B$27)</f>
        <v>4.9382716049382713E-2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13.362500000000001</v>
      </c>
      <c r="P11" s="123">
        <v>8</v>
      </c>
      <c r="Q11" s="111">
        <v>106.9</v>
      </c>
    </row>
    <row r="12" spans="1:17" x14ac:dyDescent="0.4">
      <c r="A12" s="57" t="s">
        <v>165</v>
      </c>
      <c r="B12" s="49">
        <v>5</v>
      </c>
      <c r="C12" s="42">
        <f>IF(B$2=0,0,B12/B$2)</f>
        <v>0.21739130434782608</v>
      </c>
      <c r="E12" s="63" t="s">
        <v>73</v>
      </c>
      <c r="F12" s="60" t="s">
        <v>27</v>
      </c>
      <c r="G12" s="47">
        <v>4</v>
      </c>
      <c r="H12" s="137">
        <f>IF(B$27=0,0,G12/B$27)</f>
        <v>4.9382716049382713E-2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34.575000000000003</v>
      </c>
      <c r="P12" s="124">
        <v>8</v>
      </c>
      <c r="Q12" s="112">
        <v>276.60000000000002</v>
      </c>
    </row>
    <row r="13" spans="1:17" x14ac:dyDescent="0.4">
      <c r="A13" s="58" t="s">
        <v>126</v>
      </c>
      <c r="B13" s="50">
        <v>71</v>
      </c>
      <c r="C13" s="44">
        <f>IF(B$26=0,0,B13/B$26)</f>
        <v>0.36979166666666669</v>
      </c>
      <c r="E13" s="63" t="s">
        <v>89</v>
      </c>
      <c r="F13" s="60" t="s">
        <v>43</v>
      </c>
      <c r="G13" s="47">
        <v>4</v>
      </c>
      <c r="H13" s="137">
        <f>IF(B$27=0,0,G13/B$27)</f>
        <v>4.9382716049382713E-2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52</v>
      </c>
      <c r="C14" s="39">
        <f>IF(B$26=0,0,B14/B$26)</f>
        <v>0.27083333333333331</v>
      </c>
      <c r="E14" s="63" t="s">
        <v>80</v>
      </c>
      <c r="F14" s="60" t="s">
        <v>34</v>
      </c>
      <c r="G14" s="47">
        <v>3</v>
      </c>
      <c r="H14" s="137">
        <f>IF(B$27=0,0,G14/B$27)</f>
        <v>3.7037037037037035E-2</v>
      </c>
      <c r="I14" s="98">
        <v>1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40</v>
      </c>
      <c r="C15" s="37">
        <f>IF(B$13=0,0,B15/B$13)</f>
        <v>0.56338028169014087</v>
      </c>
      <c r="E15" s="63" t="s">
        <v>86</v>
      </c>
      <c r="F15" s="60" t="s">
        <v>40</v>
      </c>
      <c r="G15" s="47">
        <v>3</v>
      </c>
      <c r="H15" s="137">
        <f>IF(B$27=0,0,G15/B$27)</f>
        <v>3.7037037037037035E-2</v>
      </c>
      <c r="I15" s="98">
        <v>6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29</v>
      </c>
      <c r="C16" s="37">
        <f>IF(B$14=0,0,B16/B$14)</f>
        <v>0.55769230769230771</v>
      </c>
      <c r="E16" s="63" t="s">
        <v>84</v>
      </c>
      <c r="F16" s="60" t="s">
        <v>38</v>
      </c>
      <c r="G16" s="47">
        <v>2</v>
      </c>
      <c r="H16" s="137">
        <f>IF(B$27=0,0,G16/B$27)</f>
        <v>2.4691358024691357E-2</v>
      </c>
      <c r="I16" s="98">
        <v>3</v>
      </c>
      <c r="K16" s="38">
        <v>14</v>
      </c>
      <c r="L16" s="103">
        <v>473.50000000000006</v>
      </c>
      <c r="N16" s="119" t="s">
        <v>185</v>
      </c>
      <c r="O16" s="129">
        <f>IF(P16=0,0,Q16/P16)</f>
        <v>78.399999999999991</v>
      </c>
      <c r="P16" s="123">
        <v>3</v>
      </c>
      <c r="Q16" s="111">
        <v>235.2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0.421875</v>
      </c>
      <c r="E17" s="63" t="s">
        <v>75</v>
      </c>
      <c r="F17" s="60" t="s">
        <v>29</v>
      </c>
      <c r="G17" s="47">
        <v>1</v>
      </c>
      <c r="H17" s="137">
        <f>IF(B$27=0,0,G17/B$27)</f>
        <v>1.2345679012345678E-2</v>
      </c>
      <c r="I17" s="98">
        <v>2</v>
      </c>
      <c r="K17" s="38">
        <v>15</v>
      </c>
      <c r="L17" s="103">
        <v>481.50000000000006</v>
      </c>
      <c r="N17" s="119" t="s">
        <v>193</v>
      </c>
      <c r="O17" s="129">
        <f>IF(P17=0,0,Q17/P17)</f>
        <v>69.2</v>
      </c>
      <c r="P17" s="123">
        <v>1</v>
      </c>
      <c r="Q17" s="111">
        <v>69.2</v>
      </c>
    </row>
    <row r="18" spans="1:17" x14ac:dyDescent="0.4">
      <c r="A18" s="55" t="s">
        <v>12</v>
      </c>
      <c r="B18" s="47">
        <v>33</v>
      </c>
      <c r="C18" s="39">
        <f>IF(B$17=0,0,B18/B$17)</f>
        <v>0.40740740740740738</v>
      </c>
      <c r="E18" s="63" t="s">
        <v>90</v>
      </c>
      <c r="F18" s="60" t="s">
        <v>44</v>
      </c>
      <c r="G18" s="47">
        <v>1</v>
      </c>
      <c r="H18" s="137">
        <f>IF(B$27=0,0,G18/B$27)</f>
        <v>1.2345679012345678E-2</v>
      </c>
      <c r="I18" s="98">
        <v>1</v>
      </c>
      <c r="K18" s="38">
        <v>16</v>
      </c>
      <c r="L18" s="103">
        <v>425.50000000000006</v>
      </c>
      <c r="N18" s="119" t="s">
        <v>133</v>
      </c>
      <c r="O18" s="129">
        <f>IF(P18=0,0,Q18/P18)</f>
        <v>51.81111111111111</v>
      </c>
      <c r="P18" s="123">
        <v>9</v>
      </c>
      <c r="Q18" s="111">
        <v>466.3</v>
      </c>
    </row>
    <row r="19" spans="1:17" x14ac:dyDescent="0.4">
      <c r="A19" s="55" t="s">
        <v>11</v>
      </c>
      <c r="B19" s="47">
        <v>48</v>
      </c>
      <c r="C19" s="39">
        <f>IF(B$17=0,0,B19/B$17)</f>
        <v>0.59259259259259256</v>
      </c>
      <c r="E19" s="63" t="s">
        <v>93</v>
      </c>
      <c r="F19" s="60" t="s">
        <v>47</v>
      </c>
      <c r="G19" s="47">
        <v>1</v>
      </c>
      <c r="H19" s="137">
        <f>IF(B$27=0,0,G19/B$27)</f>
        <v>1.2345679012345678E-2</v>
      </c>
      <c r="I19" s="98">
        <v>1</v>
      </c>
      <c r="K19" s="38">
        <v>17</v>
      </c>
      <c r="L19" s="103">
        <v>427.40000000000003</v>
      </c>
      <c r="N19" s="119" t="s">
        <v>179</v>
      </c>
      <c r="O19" s="129">
        <f>IF(P19=0,0,Q19/P19)</f>
        <v>38.239999999999995</v>
      </c>
      <c r="P19" s="123">
        <v>10</v>
      </c>
      <c r="Q19" s="111">
        <v>382.39999999999992</v>
      </c>
    </row>
    <row r="20" spans="1:17" x14ac:dyDescent="0.4">
      <c r="A20" s="55" t="s">
        <v>13</v>
      </c>
      <c r="B20" s="47">
        <v>34</v>
      </c>
      <c r="C20" s="39">
        <f>IF(B$3=0,0,B20/B$3)</f>
        <v>0.17708333333333334</v>
      </c>
      <c r="E20" s="63" t="s">
        <v>98</v>
      </c>
      <c r="F20" s="60" t="s">
        <v>52</v>
      </c>
      <c r="G20" s="47">
        <v>1</v>
      </c>
      <c r="H20" s="137">
        <f>IF(B$27=0,0,G20/B$27)</f>
        <v>1.2345679012345678E-2</v>
      </c>
      <c r="I20" s="98">
        <v>1</v>
      </c>
      <c r="K20" s="38">
        <v>18</v>
      </c>
      <c r="L20" s="103">
        <v>429.3</v>
      </c>
      <c r="N20" s="119" t="s">
        <v>180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5</v>
      </c>
      <c r="B21" s="51">
        <f>IF(B$17=0,0,C21/B$17)</f>
        <v>8733.3333333333339</v>
      </c>
      <c r="C21" s="41">
        <v>707400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3</v>
      </c>
      <c r="K21" s="38">
        <v>19</v>
      </c>
      <c r="L21" s="103">
        <v>405.40000000000003</v>
      </c>
      <c r="N21" s="119" t="s">
        <v>132</v>
      </c>
      <c r="O21" s="129">
        <f>IF(P21=0,0,Q21/P21)</f>
        <v>6.3375000000000004</v>
      </c>
      <c r="P21" s="123">
        <v>16</v>
      </c>
      <c r="Q21" s="111">
        <v>101.4</v>
      </c>
    </row>
    <row r="22" spans="1:17" x14ac:dyDescent="0.4">
      <c r="A22" s="57" t="s">
        <v>14</v>
      </c>
      <c r="B22" s="52">
        <f>IF(B$20=0,0,C22/B$20)</f>
        <v>-7744.1176470588234</v>
      </c>
      <c r="C22" s="45">
        <v>-263300</v>
      </c>
      <c r="E22" s="63" t="s">
        <v>77</v>
      </c>
      <c r="F22" s="60" t="s">
        <v>31</v>
      </c>
      <c r="G22" s="47">
        <v>0</v>
      </c>
      <c r="H22" s="137">
        <f>IF(B$27=0,0,G22/B$27)</f>
        <v>0</v>
      </c>
      <c r="I22" s="98">
        <v>5</v>
      </c>
      <c r="K22" s="38">
        <v>20</v>
      </c>
      <c r="L22" s="103">
        <v>469.6</v>
      </c>
    </row>
    <row r="23" spans="1:17" x14ac:dyDescent="0.4">
      <c r="A23" s="94" t="s">
        <v>146</v>
      </c>
      <c r="B23" s="153">
        <v>5</v>
      </c>
      <c r="C23" s="154"/>
      <c r="E23" s="63" t="s">
        <v>78</v>
      </c>
      <c r="F23" s="60" t="s">
        <v>32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468.3</v>
      </c>
    </row>
    <row r="24" spans="1:17" x14ac:dyDescent="0.4">
      <c r="A24" s="58" t="s">
        <v>157</v>
      </c>
      <c r="B24" s="151">
        <v>105900</v>
      </c>
      <c r="C24" s="152"/>
      <c r="E24" s="63" t="s">
        <v>79</v>
      </c>
      <c r="F24" s="60" t="s">
        <v>33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519.20000000000005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81</v>
      </c>
      <c r="F25" s="60" t="s">
        <v>35</v>
      </c>
      <c r="G25" s="47">
        <v>0</v>
      </c>
      <c r="H25" s="137">
        <f>IF(B$27=0,0,G25/B$27)</f>
        <v>0</v>
      </c>
      <c r="I25" s="98">
        <v>4</v>
      </c>
      <c r="K25" s="38">
        <v>23</v>
      </c>
      <c r="L25" s="103">
        <v>555.90000000000009</v>
      </c>
    </row>
    <row r="26" spans="1:17" x14ac:dyDescent="0.4">
      <c r="A26" s="54" t="s">
        <v>124</v>
      </c>
      <c r="B26" s="143">
        <v>192</v>
      </c>
      <c r="C26" s="144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81</v>
      </c>
      <c r="C27" s="158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409C-3F5E-4C57-AED3-502080D2F6AD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132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24</v>
      </c>
      <c r="C2" s="144"/>
      <c r="E2" s="62" t="s">
        <v>68</v>
      </c>
      <c r="F2" s="59" t="s">
        <v>23</v>
      </c>
      <c r="G2" s="46">
        <v>49</v>
      </c>
      <c r="H2" s="136">
        <f>IF(B$27=0,0,G2/B$27)</f>
        <v>0.77777777777777779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1120.8333333333333</v>
      </c>
      <c r="P2" s="122">
        <v>24</v>
      </c>
      <c r="Q2" s="106">
        <v>26900</v>
      </c>
    </row>
    <row r="3" spans="1:17" x14ac:dyDescent="0.4">
      <c r="A3" s="55" t="s">
        <v>8</v>
      </c>
      <c r="B3" s="145">
        <v>216</v>
      </c>
      <c r="C3" s="146"/>
      <c r="E3" s="63" t="s">
        <v>66</v>
      </c>
      <c r="F3" s="60" t="s">
        <v>21</v>
      </c>
      <c r="G3" s="47">
        <v>44</v>
      </c>
      <c r="H3" s="137">
        <f>IF(B$27=0,0,G3/B$27)</f>
        <v>0.69841269841269837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-958.33333333333337</v>
      </c>
      <c r="P3" s="123">
        <v>24</v>
      </c>
      <c r="Q3" s="107">
        <v>-23000</v>
      </c>
    </row>
    <row r="4" spans="1:17" x14ac:dyDescent="0.4">
      <c r="A4" s="55" t="s">
        <v>6</v>
      </c>
      <c r="B4" s="147">
        <v>240.39999999999998</v>
      </c>
      <c r="C4" s="148"/>
      <c r="E4" s="63" t="s">
        <v>69</v>
      </c>
      <c r="F4" s="60" t="s">
        <v>24</v>
      </c>
      <c r="G4" s="47">
        <v>31</v>
      </c>
      <c r="H4" s="137">
        <f>IF(B$27=0,0,G4/B$27)</f>
        <v>0.49206349206349204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-758.33333333333337</v>
      </c>
      <c r="P4" s="123">
        <v>24</v>
      </c>
      <c r="Q4" s="107">
        <v>-18200</v>
      </c>
    </row>
    <row r="5" spans="1:17" x14ac:dyDescent="0.4">
      <c r="A5" s="55" t="s">
        <v>7</v>
      </c>
      <c r="B5" s="149">
        <f>IF(B$2=0,0,B$4/B$2)</f>
        <v>10.016666666666666</v>
      </c>
      <c r="C5" s="150"/>
      <c r="E5" s="63" t="s">
        <v>189</v>
      </c>
      <c r="F5" s="60" t="s">
        <v>190</v>
      </c>
      <c r="G5" s="47">
        <v>30</v>
      </c>
      <c r="H5" s="137">
        <f>IF(B$27=0,0,G5/B$27)</f>
        <v>0.47619047619047616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3512.5</v>
      </c>
      <c r="P5" s="123">
        <v>24</v>
      </c>
      <c r="Q5" s="107">
        <v>84300</v>
      </c>
    </row>
    <row r="6" spans="1:17" x14ac:dyDescent="0.4">
      <c r="A6" s="55" t="s">
        <v>1</v>
      </c>
      <c r="B6" s="155">
        <f>IF(B$2=0,0,(B$7*1+B$8*2+B$9*3)/B$2)</f>
        <v>1.8333333333333333</v>
      </c>
      <c r="C6" s="156"/>
      <c r="E6" s="63" t="s">
        <v>74</v>
      </c>
      <c r="F6" s="60" t="s">
        <v>28</v>
      </c>
      <c r="G6" s="47">
        <v>28</v>
      </c>
      <c r="H6" s="137">
        <f>IF(B$27=0,0,G6/B$27)</f>
        <v>0.44444444444444442</v>
      </c>
      <c r="I6" s="98">
        <v>9</v>
      </c>
      <c r="K6" s="38">
        <v>4</v>
      </c>
      <c r="L6" s="103">
        <v>13.599999999999994</v>
      </c>
      <c r="N6" s="119" t="s">
        <v>140</v>
      </c>
      <c r="O6" s="126">
        <f t="shared" si="0"/>
        <v>3359.090909090909</v>
      </c>
      <c r="P6" s="123">
        <v>22</v>
      </c>
      <c r="Q6" s="107">
        <v>73900</v>
      </c>
    </row>
    <row r="7" spans="1:17" x14ac:dyDescent="0.4">
      <c r="A7" s="55" t="s">
        <v>2</v>
      </c>
      <c r="B7" s="47">
        <v>10</v>
      </c>
      <c r="C7" s="39">
        <f>IF(B$2=0,0,B7/B$2)</f>
        <v>0.41666666666666669</v>
      </c>
      <c r="E7" s="63" t="s">
        <v>70</v>
      </c>
      <c r="F7" s="60" t="s">
        <v>12</v>
      </c>
      <c r="G7" s="47">
        <v>21</v>
      </c>
      <c r="H7" s="137">
        <f>IF(B$27=0,0,G7/B$27)</f>
        <v>0.33333333333333331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785.71428571428567</v>
      </c>
      <c r="P7" s="124">
        <v>21</v>
      </c>
      <c r="Q7" s="108">
        <v>16500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71</v>
      </c>
      <c r="F8" s="60" t="s">
        <v>25</v>
      </c>
      <c r="G8" s="47">
        <v>16</v>
      </c>
      <c r="H8" s="137">
        <f>IF(B$27=0,0,G8/B$27)</f>
        <v>0.25396825396825395</v>
      </c>
      <c r="I8" s="98">
        <v>2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0.25</v>
      </c>
      <c r="E9" s="63" t="s">
        <v>67</v>
      </c>
      <c r="F9" s="60" t="s">
        <v>22</v>
      </c>
      <c r="G9" s="47">
        <v>9</v>
      </c>
      <c r="H9" s="137">
        <f>IF(B$27=0,0,G9/B$27)</f>
        <v>0.14285714285714285</v>
      </c>
      <c r="I9" s="98">
        <v>2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8</v>
      </c>
      <c r="H10" s="137">
        <f>IF(B$27=0,0,G10/B$27)</f>
        <v>0.12698412698412698</v>
      </c>
      <c r="I10" s="98">
        <v>4</v>
      </c>
      <c r="K10" s="38">
        <v>8</v>
      </c>
      <c r="L10" s="103">
        <v>-49.6</v>
      </c>
      <c r="N10" s="118" t="s">
        <v>172</v>
      </c>
      <c r="O10" s="128">
        <f>IF(P10=0,0,Q10/P10)</f>
        <v>20.474999999999998</v>
      </c>
      <c r="P10" s="122">
        <v>12</v>
      </c>
      <c r="Q10" s="110">
        <v>245.69999999999996</v>
      </c>
    </row>
    <row r="11" spans="1:17" x14ac:dyDescent="0.4">
      <c r="A11" s="56" t="s">
        <v>144</v>
      </c>
      <c r="B11" s="48">
        <v>2</v>
      </c>
      <c r="C11" s="40">
        <f>IF(B$2=0,0,B11/B$2)</f>
        <v>8.3333333333333329E-2</v>
      </c>
      <c r="E11" s="63" t="s">
        <v>89</v>
      </c>
      <c r="F11" s="60" t="s">
        <v>43</v>
      </c>
      <c r="G11" s="47">
        <v>5</v>
      </c>
      <c r="H11" s="137">
        <f>IF(B$27=0,0,G11/B$27)</f>
        <v>7.9365079365079361E-2</v>
      </c>
      <c r="I11" s="98">
        <v>2</v>
      </c>
      <c r="K11" s="38">
        <v>9</v>
      </c>
      <c r="L11" s="103">
        <v>-79.5</v>
      </c>
      <c r="N11" s="119" t="s">
        <v>173</v>
      </c>
      <c r="O11" s="129">
        <f>IF(P11=0,0,Q11/P11)</f>
        <v>-5.4555555555555539</v>
      </c>
      <c r="P11" s="123">
        <v>9</v>
      </c>
      <c r="Q11" s="111">
        <v>-49.099999999999987</v>
      </c>
    </row>
    <row r="12" spans="1:17" x14ac:dyDescent="0.4">
      <c r="A12" s="57" t="s">
        <v>165</v>
      </c>
      <c r="B12" s="49">
        <v>4</v>
      </c>
      <c r="C12" s="42">
        <f>IF(B$2=0,0,B12/B$2)</f>
        <v>0.16666666666666666</v>
      </c>
      <c r="E12" s="63" t="s">
        <v>92</v>
      </c>
      <c r="F12" s="60" t="s">
        <v>46</v>
      </c>
      <c r="G12" s="47">
        <v>4</v>
      </c>
      <c r="H12" s="137">
        <f>IF(B$27=0,0,G12/B$27)</f>
        <v>6.3492063492063489E-2</v>
      </c>
      <c r="I12" s="98">
        <v>10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70</v>
      </c>
      <c r="C13" s="44">
        <f>IF(B$26=0,0,B13/B$26)</f>
        <v>0.33980582524271846</v>
      </c>
      <c r="E13" s="63" t="s">
        <v>84</v>
      </c>
      <c r="F13" s="60" t="s">
        <v>38</v>
      </c>
      <c r="G13" s="47">
        <v>3</v>
      </c>
      <c r="H13" s="137">
        <f>IF(B$27=0,0,G13/B$27)</f>
        <v>4.7619047619047616E-2</v>
      </c>
      <c r="I13" s="98">
        <v>2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40</v>
      </c>
      <c r="C14" s="39">
        <f>IF(B$26=0,0,B14/B$26)</f>
        <v>0.1941747572815534</v>
      </c>
      <c r="E14" s="63" t="s">
        <v>94</v>
      </c>
      <c r="F14" s="60" t="s">
        <v>48</v>
      </c>
      <c r="G14" s="47">
        <v>3</v>
      </c>
      <c r="H14" s="137">
        <f>IF(B$27=0,0,G14/B$27)</f>
        <v>4.7619047619047616E-2</v>
      </c>
      <c r="I14" s="98">
        <v>2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45</v>
      </c>
      <c r="C15" s="37">
        <f>IF(B$13=0,0,B15/B$13)</f>
        <v>0.6428571428571429</v>
      </c>
      <c r="E15" s="63" t="s">
        <v>86</v>
      </c>
      <c r="F15" s="60" t="s">
        <v>40</v>
      </c>
      <c r="G15" s="47">
        <v>2</v>
      </c>
      <c r="H15" s="137">
        <f>IF(B$27=0,0,G15/B$27)</f>
        <v>3.1746031746031744E-2</v>
      </c>
      <c r="I15" s="98">
        <v>8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12</v>
      </c>
      <c r="C16" s="37">
        <f>IF(B$14=0,0,B16/B$14)</f>
        <v>0.3</v>
      </c>
      <c r="E16" s="63" t="s">
        <v>73</v>
      </c>
      <c r="F16" s="60" t="s">
        <v>27</v>
      </c>
      <c r="G16" s="47">
        <v>1</v>
      </c>
      <c r="H16" s="137">
        <f>IF(B$27=0,0,G16/B$27)</f>
        <v>1.5873015873015872E-2</v>
      </c>
      <c r="I16" s="98">
        <v>7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0.31944444444444442</v>
      </c>
      <c r="E17" s="63" t="s">
        <v>75</v>
      </c>
      <c r="F17" s="60" t="s">
        <v>29</v>
      </c>
      <c r="G17" s="47">
        <v>1</v>
      </c>
      <c r="H17" s="137">
        <f>IF(B$27=0,0,G17/B$27)</f>
        <v>1.5873015873015872E-2</v>
      </c>
      <c r="I17" s="98">
        <v>1</v>
      </c>
      <c r="K17" s="38">
        <v>15</v>
      </c>
      <c r="L17" s="103">
        <v>47.999999999999986</v>
      </c>
      <c r="N17" s="119" t="s">
        <v>179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25</v>
      </c>
      <c r="C18" s="39">
        <f>IF(B$17=0,0,B18/B$17)</f>
        <v>0.36231884057971014</v>
      </c>
      <c r="E18" s="63" t="s">
        <v>76</v>
      </c>
      <c r="F18" s="60" t="s">
        <v>30</v>
      </c>
      <c r="G18" s="47">
        <v>1</v>
      </c>
      <c r="H18" s="137">
        <f>IF(B$27=0,0,G18/B$27)</f>
        <v>1.5873015873015872E-2</v>
      </c>
      <c r="I18" s="98">
        <v>1</v>
      </c>
      <c r="K18" s="38">
        <v>16</v>
      </c>
      <c r="L18" s="103">
        <v>41.699999999999989</v>
      </c>
      <c r="N18" s="119" t="s">
        <v>180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44</v>
      </c>
      <c r="C19" s="39">
        <f>IF(B$17=0,0,B19/B$17)</f>
        <v>0.6376811594202898</v>
      </c>
      <c r="E19" s="63" t="s">
        <v>77</v>
      </c>
      <c r="F19" s="60" t="s">
        <v>31</v>
      </c>
      <c r="G19" s="47">
        <v>1</v>
      </c>
      <c r="H19" s="137">
        <f>IF(B$27=0,0,G19/B$27)</f>
        <v>1.5873015873015872E-2</v>
      </c>
      <c r="I19" s="98">
        <v>3</v>
      </c>
      <c r="K19" s="38">
        <v>17</v>
      </c>
      <c r="L19" s="103">
        <v>94.6</v>
      </c>
      <c r="N19" s="119" t="s">
        <v>133</v>
      </c>
      <c r="O19" s="129">
        <f>IF(P19=0,0,Q19/P19)</f>
        <v>9.7624999999999993</v>
      </c>
      <c r="P19" s="123">
        <v>8</v>
      </c>
      <c r="Q19" s="111">
        <v>78.099999999999994</v>
      </c>
    </row>
    <row r="20" spans="1:17" x14ac:dyDescent="0.4">
      <c r="A20" s="55" t="s">
        <v>13</v>
      </c>
      <c r="B20" s="47">
        <v>32</v>
      </c>
      <c r="C20" s="39">
        <f>IF(B$3=0,0,B20/B$3)</f>
        <v>0.14814814814814814</v>
      </c>
      <c r="E20" s="63" t="s">
        <v>81</v>
      </c>
      <c r="F20" s="60" t="s">
        <v>35</v>
      </c>
      <c r="G20" s="47">
        <v>1</v>
      </c>
      <c r="H20" s="137">
        <f>IF(B$27=0,0,G20/B$27)</f>
        <v>1.5873015873015872E-2</v>
      </c>
      <c r="I20" s="98">
        <v>2</v>
      </c>
      <c r="K20" s="38">
        <v>18</v>
      </c>
      <c r="L20" s="103">
        <v>116.69999999999999</v>
      </c>
      <c r="N20" s="119" t="s">
        <v>185</v>
      </c>
      <c r="O20" s="129">
        <f>IF(P20=0,0,Q20/P20)</f>
        <v>2.2799999999999998</v>
      </c>
      <c r="P20" s="123">
        <v>5</v>
      </c>
      <c r="Q20" s="111">
        <v>11.399999999999999</v>
      </c>
    </row>
    <row r="21" spans="1:17" x14ac:dyDescent="0.4">
      <c r="A21" s="55" t="s">
        <v>5</v>
      </c>
      <c r="B21" s="51">
        <f>IF(B$17=0,0,C21/B$17)</f>
        <v>9260.8695652173919</v>
      </c>
      <c r="C21" s="41">
        <v>639000</v>
      </c>
      <c r="E21" s="63" t="s">
        <v>95</v>
      </c>
      <c r="F21" s="60" t="s">
        <v>49</v>
      </c>
      <c r="G21" s="47">
        <v>1</v>
      </c>
      <c r="H21" s="137">
        <f>IF(B$27=0,0,G21/B$27)</f>
        <v>1.5873015873015872E-2</v>
      </c>
      <c r="I21" s="98">
        <v>2</v>
      </c>
      <c r="K21" s="38">
        <v>19</v>
      </c>
      <c r="L21" s="103">
        <v>138.79999999999998</v>
      </c>
      <c r="N21" s="119" t="s">
        <v>131</v>
      </c>
      <c r="O21" s="129">
        <f>IF(P21=0,0,Q21/P21)</f>
        <v>-6.3375000000000004</v>
      </c>
      <c r="P21" s="123">
        <v>16</v>
      </c>
      <c r="Q21" s="111">
        <v>-101.4</v>
      </c>
    </row>
    <row r="22" spans="1:17" x14ac:dyDescent="0.4">
      <c r="A22" s="57" t="s">
        <v>14</v>
      </c>
      <c r="B22" s="52">
        <f>IF(B$20=0,0,C22/B$20)</f>
        <v>-7765.625</v>
      </c>
      <c r="C22" s="45">
        <v>-248500</v>
      </c>
      <c r="E22" s="63" t="s">
        <v>188</v>
      </c>
      <c r="F22" s="60" t="s">
        <v>191</v>
      </c>
      <c r="G22" s="47">
        <v>1</v>
      </c>
      <c r="H22" s="137">
        <f>IF(B$27=0,0,G22/B$27)</f>
        <v>1.5873015873015872E-2</v>
      </c>
      <c r="I22" s="98">
        <v>1</v>
      </c>
      <c r="K22" s="38">
        <v>20</v>
      </c>
      <c r="L22" s="103">
        <v>164.49999999999997</v>
      </c>
    </row>
    <row r="23" spans="1:17" x14ac:dyDescent="0.4">
      <c r="A23" s="94" t="s">
        <v>146</v>
      </c>
      <c r="B23" s="153">
        <v>5</v>
      </c>
      <c r="C23" s="154"/>
      <c r="E23" s="63" t="s">
        <v>78</v>
      </c>
      <c r="F23" s="60" t="s">
        <v>32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204.09999999999997</v>
      </c>
    </row>
    <row r="24" spans="1:17" x14ac:dyDescent="0.4">
      <c r="A24" s="58" t="s">
        <v>157</v>
      </c>
      <c r="B24" s="151">
        <v>88600</v>
      </c>
      <c r="C24" s="152"/>
      <c r="E24" s="63" t="s">
        <v>79</v>
      </c>
      <c r="F24" s="60" t="s">
        <v>33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239.39999999999998</v>
      </c>
    </row>
    <row r="25" spans="1:17" x14ac:dyDescent="0.4">
      <c r="A25" s="57" t="s">
        <v>147</v>
      </c>
      <c r="B25" s="65">
        <v>4</v>
      </c>
      <c r="C25" s="42">
        <f>IF(B$3=0,0,B25/B$3)</f>
        <v>1.8518518518518517E-2</v>
      </c>
      <c r="E25" s="63" t="s">
        <v>80</v>
      </c>
      <c r="F25" s="60" t="s">
        <v>34</v>
      </c>
      <c r="G25" s="47">
        <v>0</v>
      </c>
      <c r="H25" s="137">
        <f>IF(B$27=0,0,G25/B$27)</f>
        <v>0</v>
      </c>
      <c r="I25" s="98">
        <v>4</v>
      </c>
      <c r="K25" s="38">
        <v>23</v>
      </c>
      <c r="L25" s="103">
        <v>245.49999999999997</v>
      </c>
    </row>
    <row r="26" spans="1:17" x14ac:dyDescent="0.4">
      <c r="A26" s="54" t="s">
        <v>124</v>
      </c>
      <c r="B26" s="143">
        <v>206</v>
      </c>
      <c r="C26" s="144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240.39999999999998</v>
      </c>
    </row>
    <row r="27" spans="1:17" x14ac:dyDescent="0.4">
      <c r="A27" s="57" t="s">
        <v>125</v>
      </c>
      <c r="B27" s="157">
        <v>63</v>
      </c>
      <c r="C27" s="158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IF(B$27=0,0,G33/B$27)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49A0-D07C-4769-94DC-AAECC0010F7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133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13</v>
      </c>
      <c r="C2" s="144"/>
      <c r="E2" s="62" t="s">
        <v>68</v>
      </c>
      <c r="F2" s="59" t="s">
        <v>23</v>
      </c>
      <c r="G2" s="46">
        <v>29</v>
      </c>
      <c r="H2" s="136">
        <f>IF(B$27=0,0,G2/B$27)</f>
        <v>1.0740740740740742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-4961.5384615384619</v>
      </c>
      <c r="P2" s="122">
        <v>13</v>
      </c>
      <c r="Q2" s="106">
        <v>-64500</v>
      </c>
    </row>
    <row r="3" spans="1:17" x14ac:dyDescent="0.4">
      <c r="A3" s="55" t="s">
        <v>8</v>
      </c>
      <c r="B3" s="145">
        <v>122</v>
      </c>
      <c r="C3" s="146"/>
      <c r="E3" s="63" t="s">
        <v>66</v>
      </c>
      <c r="F3" s="60" t="s">
        <v>21</v>
      </c>
      <c r="G3" s="47">
        <v>13</v>
      </c>
      <c r="H3" s="137">
        <f>IF(B$27=0,0,G3/B$27)</f>
        <v>0.48148148148148145</v>
      </c>
      <c r="I3" s="98">
        <v>6</v>
      </c>
      <c r="K3" s="38">
        <v>1</v>
      </c>
      <c r="L3" s="103">
        <v>-40.4</v>
      </c>
      <c r="N3" s="119" t="s">
        <v>137</v>
      </c>
      <c r="O3" s="126">
        <f t="shared" si="0"/>
        <v>-2661.5384615384614</v>
      </c>
      <c r="P3" s="123">
        <v>13</v>
      </c>
      <c r="Q3" s="107">
        <v>-34600</v>
      </c>
    </row>
    <row r="4" spans="1:17" x14ac:dyDescent="0.4">
      <c r="A4" s="55" t="s">
        <v>6</v>
      </c>
      <c r="B4" s="147">
        <v>-369.1</v>
      </c>
      <c r="C4" s="148"/>
      <c r="E4" s="63" t="s">
        <v>70</v>
      </c>
      <c r="F4" s="60" t="s">
        <v>12</v>
      </c>
      <c r="G4" s="47">
        <v>9</v>
      </c>
      <c r="H4" s="137">
        <f>IF(B$27=0,0,G4/B$27)</f>
        <v>0.33333333333333331</v>
      </c>
      <c r="I4" s="98">
        <v>2</v>
      </c>
      <c r="K4" s="38">
        <v>2</v>
      </c>
      <c r="L4" s="103">
        <v>-3.3999999999999986</v>
      </c>
      <c r="N4" s="119" t="s">
        <v>138</v>
      </c>
      <c r="O4" s="126">
        <f t="shared" si="0"/>
        <v>-5163.636363636364</v>
      </c>
      <c r="P4" s="123">
        <v>11</v>
      </c>
      <c r="Q4" s="107">
        <v>-56800</v>
      </c>
    </row>
    <row r="5" spans="1:17" x14ac:dyDescent="0.4">
      <c r="A5" s="55" t="s">
        <v>7</v>
      </c>
      <c r="B5" s="149">
        <f>IF(B$2=0,0,B$4/B$2)</f>
        <v>-28.392307692307693</v>
      </c>
      <c r="C5" s="150"/>
      <c r="E5" s="63" t="s">
        <v>69</v>
      </c>
      <c r="F5" s="60" t="s">
        <v>24</v>
      </c>
      <c r="G5" s="47">
        <v>8</v>
      </c>
      <c r="H5" s="137">
        <f>IF(B$27=0,0,G5/B$27)</f>
        <v>0.29629629629629628</v>
      </c>
      <c r="I5" s="98">
        <v>3</v>
      </c>
      <c r="K5" s="38">
        <v>3</v>
      </c>
      <c r="L5" s="103">
        <v>-23.099999999999998</v>
      </c>
      <c r="N5" s="119" t="s">
        <v>139</v>
      </c>
      <c r="O5" s="126">
        <f t="shared" si="0"/>
        <v>-3863.6363636363635</v>
      </c>
      <c r="P5" s="123">
        <v>11</v>
      </c>
      <c r="Q5" s="107">
        <v>-42500</v>
      </c>
    </row>
    <row r="6" spans="1:17" x14ac:dyDescent="0.4">
      <c r="A6" s="55" t="s">
        <v>1</v>
      </c>
      <c r="B6" s="155">
        <f>IF(B$2=0,0,(B$7*1+B$8*2+B$9*3)/B$2)</f>
        <v>2.4615384615384617</v>
      </c>
      <c r="C6" s="156"/>
      <c r="E6" s="63" t="s">
        <v>74</v>
      </c>
      <c r="F6" s="60" t="s">
        <v>28</v>
      </c>
      <c r="G6" s="47">
        <v>8</v>
      </c>
      <c r="H6" s="137">
        <f>IF(B$27=0,0,G6/B$27)</f>
        <v>0.29629629629629628</v>
      </c>
      <c r="I6" s="98">
        <v>10</v>
      </c>
      <c r="K6" s="38">
        <v>4</v>
      </c>
      <c r="L6" s="103">
        <v>-31.4</v>
      </c>
      <c r="N6" s="119" t="s">
        <v>140</v>
      </c>
      <c r="O6" s="126">
        <f t="shared" si="0"/>
        <v>-3154.5454545454545</v>
      </c>
      <c r="P6" s="123">
        <v>11</v>
      </c>
      <c r="Q6" s="107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189</v>
      </c>
      <c r="F7" s="60" t="s">
        <v>190</v>
      </c>
      <c r="G7" s="47">
        <v>8</v>
      </c>
      <c r="H7" s="137">
        <f>IF(B$27=0,0,G7/B$27)</f>
        <v>0.29629629629629628</v>
      </c>
      <c r="I7" s="98">
        <v>7</v>
      </c>
      <c r="K7" s="38">
        <v>5</v>
      </c>
      <c r="L7" s="103">
        <v>-32.199999999999996</v>
      </c>
      <c r="N7" s="120" t="s">
        <v>141</v>
      </c>
      <c r="O7" s="127">
        <f t="shared" si="0"/>
        <v>-1454.5454545454545</v>
      </c>
      <c r="P7" s="124">
        <v>11</v>
      </c>
      <c r="Q7" s="108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IF(B$27=0,0,G8/B$27)</f>
        <v>0.14814814814814814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7">
        <f>IF(B$27=0,0,G9/B$27)</f>
        <v>0.14814814814814814</v>
      </c>
      <c r="I9" s="98">
        <v>2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7">
        <f>IF(B$27=0,0,G10/B$27)</f>
        <v>0.14814814814814814</v>
      </c>
      <c r="I10" s="98">
        <v>7</v>
      </c>
      <c r="K10" s="38">
        <v>8</v>
      </c>
      <c r="L10" s="103">
        <v>-79.599999999999994</v>
      </c>
      <c r="N10" s="118" t="s">
        <v>172</v>
      </c>
      <c r="O10" s="128">
        <f>IF(P10=0,0,Q10/P10)</f>
        <v>-30.919999999999998</v>
      </c>
      <c r="P10" s="122">
        <v>5</v>
      </c>
      <c r="Q10" s="110">
        <v>-154.6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7">
        <f>IF(B$27=0,0,G11/B$27)</f>
        <v>0.1111111111111111</v>
      </c>
      <c r="I11" s="98">
        <v>8</v>
      </c>
      <c r="K11" s="38">
        <v>9</v>
      </c>
      <c r="L11" s="103">
        <v>-127.6</v>
      </c>
      <c r="N11" s="119" t="s">
        <v>173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165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7">
        <f>IF(B$27=0,0,G12/B$27)</f>
        <v>7.407407407407407E-2</v>
      </c>
      <c r="I12" s="98">
        <v>3</v>
      </c>
      <c r="K12" s="38">
        <v>10</v>
      </c>
      <c r="L12" s="103">
        <v>-231.39999999999998</v>
      </c>
      <c r="N12" s="120" t="s">
        <v>174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126</v>
      </c>
      <c r="B13" s="50">
        <v>28</v>
      </c>
      <c r="C13" s="44">
        <f>IF(B$26=0,0,B13/B$26)</f>
        <v>0.22950819672131148</v>
      </c>
      <c r="E13" s="63" t="s">
        <v>67</v>
      </c>
      <c r="F13" s="60" t="s">
        <v>22</v>
      </c>
      <c r="G13" s="47">
        <v>1</v>
      </c>
      <c r="H13" s="137">
        <f>IF(B$27=0,0,G13/B$27)</f>
        <v>3.7037037037037035E-2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9.8360655737704916E-2</v>
      </c>
      <c r="E14" s="63" t="s">
        <v>80</v>
      </c>
      <c r="F14" s="60" t="s">
        <v>34</v>
      </c>
      <c r="G14" s="47">
        <v>1</v>
      </c>
      <c r="H14" s="137">
        <f>IF(B$27=0,0,G14/B$27)</f>
        <v>3.7037037037037035E-2</v>
      </c>
      <c r="I14" s="98">
        <v>1</v>
      </c>
      <c r="K14" s="38">
        <v>12</v>
      </c>
      <c r="L14" s="103">
        <v>-337.5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7">
        <f>IF(B$27=0,0,G15/B$27)</f>
        <v>3.7037037037037035E-2</v>
      </c>
      <c r="I15" s="98">
        <v>6</v>
      </c>
      <c r="K15" s="38">
        <v>13</v>
      </c>
      <c r="L15" s="103">
        <v>-369.1</v>
      </c>
      <c r="N15" s="118" t="s">
        <v>132</v>
      </c>
      <c r="O15" s="128">
        <f>IF(P15=0,0,Q15/P15)</f>
        <v>-9.7625000000000028</v>
      </c>
      <c r="P15" s="122">
        <v>8</v>
      </c>
      <c r="Q15" s="110">
        <v>-78.100000000000023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131</v>
      </c>
      <c r="O17" s="129">
        <f>IF(P17=0,0,Q17/P17)</f>
        <v>-51.81111111111111</v>
      </c>
      <c r="P17" s="123">
        <v>9</v>
      </c>
      <c r="Q17" s="111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194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179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5</v>
      </c>
      <c r="B21" s="51">
        <f>IF(B$17=0,0,C21/B$17)</f>
        <v>7314.8148148148148</v>
      </c>
      <c r="C21" s="41">
        <v>197500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-9950</v>
      </c>
      <c r="C22" s="45">
        <v>-258700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7</v>
      </c>
      <c r="C23" s="15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52200</v>
      </c>
      <c r="C24" s="15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122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27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EF5C9-B1F9-49AB-B161-E4EFAD3A5F64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179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20</v>
      </c>
      <c r="C2" s="144"/>
      <c r="E2" s="62" t="s">
        <v>68</v>
      </c>
      <c r="F2" s="59" t="s">
        <v>23</v>
      </c>
      <c r="G2" s="46">
        <v>29</v>
      </c>
      <c r="H2" s="136">
        <f>IF(B$27=0,0,G2/B$27)</f>
        <v>0.63043478260869568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780</v>
      </c>
      <c r="P2" s="122">
        <v>20</v>
      </c>
      <c r="Q2" s="106">
        <v>15600</v>
      </c>
    </row>
    <row r="3" spans="1:17" x14ac:dyDescent="0.4">
      <c r="A3" s="55" t="s">
        <v>8</v>
      </c>
      <c r="B3" s="145">
        <v>179</v>
      </c>
      <c r="C3" s="146"/>
      <c r="E3" s="63" t="s">
        <v>74</v>
      </c>
      <c r="F3" s="60" t="s">
        <v>28</v>
      </c>
      <c r="G3" s="47">
        <v>28</v>
      </c>
      <c r="H3" s="137">
        <f>IF(B$27=0,0,G3/B$27)</f>
        <v>0.60869565217391308</v>
      </c>
      <c r="I3" s="98">
        <v>3</v>
      </c>
      <c r="K3" s="38">
        <v>1</v>
      </c>
      <c r="L3" s="103">
        <v>-51.2</v>
      </c>
      <c r="N3" s="119" t="s">
        <v>137</v>
      </c>
      <c r="O3" s="126">
        <f t="shared" si="0"/>
        <v>1920</v>
      </c>
      <c r="P3" s="123">
        <v>20</v>
      </c>
      <c r="Q3" s="107">
        <v>38400</v>
      </c>
    </row>
    <row r="4" spans="1:17" x14ac:dyDescent="0.4">
      <c r="A4" s="55" t="s">
        <v>6</v>
      </c>
      <c r="B4" s="147">
        <v>-3.5999999999999917</v>
      </c>
      <c r="C4" s="148"/>
      <c r="E4" s="63" t="s">
        <v>66</v>
      </c>
      <c r="F4" s="60" t="s">
        <v>21</v>
      </c>
      <c r="G4" s="47">
        <v>21</v>
      </c>
      <c r="H4" s="137">
        <f>IF(B$27=0,0,G4/B$27)</f>
        <v>0.45652173913043476</v>
      </c>
      <c r="I4" s="98">
        <v>7</v>
      </c>
      <c r="K4" s="38">
        <v>2</v>
      </c>
      <c r="L4" s="103">
        <v>-93.300000000000011</v>
      </c>
      <c r="N4" s="119" t="s">
        <v>138</v>
      </c>
      <c r="O4" s="126">
        <f t="shared" si="0"/>
        <v>63.157894736842103</v>
      </c>
      <c r="P4" s="123">
        <v>19</v>
      </c>
      <c r="Q4" s="107">
        <v>1200</v>
      </c>
    </row>
    <row r="5" spans="1:17" x14ac:dyDescent="0.4">
      <c r="A5" s="55" t="s">
        <v>7</v>
      </c>
      <c r="B5" s="149">
        <f>IF(B$2=0,0,B$4/B$2)</f>
        <v>-0.17999999999999958</v>
      </c>
      <c r="C5" s="150"/>
      <c r="E5" s="63" t="s">
        <v>189</v>
      </c>
      <c r="F5" s="60" t="s">
        <v>190</v>
      </c>
      <c r="G5" s="47">
        <v>15</v>
      </c>
      <c r="H5" s="137">
        <f>IF(B$27=0,0,G5/B$27)</f>
        <v>0.32608695652173914</v>
      </c>
      <c r="I5" s="98">
        <v>6</v>
      </c>
      <c r="K5" s="38">
        <v>3</v>
      </c>
      <c r="L5" s="103">
        <v>-60.100000000000009</v>
      </c>
      <c r="N5" s="119" t="s">
        <v>139</v>
      </c>
      <c r="O5" s="126">
        <f t="shared" si="0"/>
        <v>-4138.8888888888887</v>
      </c>
      <c r="P5" s="123">
        <v>18</v>
      </c>
      <c r="Q5" s="107">
        <v>-74500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71</v>
      </c>
      <c r="F6" s="60" t="s">
        <v>25</v>
      </c>
      <c r="G6" s="47">
        <v>11</v>
      </c>
      <c r="H6" s="137">
        <f>IF(B$27=0,0,G6/B$27)</f>
        <v>0.2391304347826087</v>
      </c>
      <c r="I6" s="98">
        <v>3</v>
      </c>
      <c r="K6" s="38">
        <v>4</v>
      </c>
      <c r="L6" s="103">
        <v>-11.300000000000011</v>
      </c>
      <c r="N6" s="119" t="s">
        <v>140</v>
      </c>
      <c r="O6" s="126">
        <f t="shared" si="0"/>
        <v>500</v>
      </c>
      <c r="P6" s="123">
        <v>16</v>
      </c>
      <c r="Q6" s="107">
        <v>8000</v>
      </c>
    </row>
    <row r="7" spans="1:17" x14ac:dyDescent="0.4">
      <c r="A7" s="55" t="s">
        <v>2</v>
      </c>
      <c r="B7" s="47">
        <v>7</v>
      </c>
      <c r="C7" s="39">
        <f>IF(B$2=0,0,B7/B$2)</f>
        <v>0.35</v>
      </c>
      <c r="E7" s="63" t="s">
        <v>69</v>
      </c>
      <c r="F7" s="60" t="s">
        <v>24</v>
      </c>
      <c r="G7" s="47">
        <v>8</v>
      </c>
      <c r="H7" s="137">
        <f>IF(B$27=0,0,G7/B$27)</f>
        <v>0.17391304347826086</v>
      </c>
      <c r="I7" s="98">
        <v>8</v>
      </c>
      <c r="K7" s="38">
        <v>5</v>
      </c>
      <c r="L7" s="103">
        <v>-36.100000000000009</v>
      </c>
      <c r="N7" s="120" t="s">
        <v>141</v>
      </c>
      <c r="O7" s="127">
        <f t="shared" si="0"/>
        <v>1121.4285714285713</v>
      </c>
      <c r="P7" s="124">
        <v>14</v>
      </c>
      <c r="Q7" s="108">
        <v>15700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70</v>
      </c>
      <c r="F8" s="60" t="s">
        <v>12</v>
      </c>
      <c r="G8" s="47">
        <v>8</v>
      </c>
      <c r="H8" s="137">
        <f>IF(B$27=0,0,G8/B$27)</f>
        <v>0.17391304347826086</v>
      </c>
      <c r="I8" s="98">
        <v>9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92</v>
      </c>
      <c r="F9" s="60" t="s">
        <v>46</v>
      </c>
      <c r="G9" s="47">
        <v>8</v>
      </c>
      <c r="H9" s="137">
        <f>IF(B$27=0,0,G9/B$27)</f>
        <v>0.17391304347826086</v>
      </c>
      <c r="I9" s="98">
        <v>4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6</v>
      </c>
      <c r="H10" s="137">
        <f>IF(B$27=0,0,G10/B$27)</f>
        <v>0.13043478260869565</v>
      </c>
      <c r="I10" s="98">
        <v>4</v>
      </c>
      <c r="K10" s="38">
        <v>8</v>
      </c>
      <c r="L10" s="103">
        <v>-1.7000000000000028</v>
      </c>
      <c r="N10" s="118" t="s">
        <v>172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144</v>
      </c>
      <c r="B11" s="48">
        <v>2</v>
      </c>
      <c r="C11" s="40">
        <f>IF(B$2=0,0,B11/B$2)</f>
        <v>0.1</v>
      </c>
      <c r="E11" s="63" t="s">
        <v>72</v>
      </c>
      <c r="F11" s="60" t="s">
        <v>26</v>
      </c>
      <c r="G11" s="47">
        <v>6</v>
      </c>
      <c r="H11" s="137">
        <f>IF(B$27=0,0,G11/B$27)</f>
        <v>0.13043478260869565</v>
      </c>
      <c r="I11" s="98">
        <v>3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</v>
      </c>
      <c r="E12" s="63" t="s">
        <v>73</v>
      </c>
      <c r="F12" s="60" t="s">
        <v>27</v>
      </c>
      <c r="G12" s="47">
        <v>5</v>
      </c>
      <c r="H12" s="137">
        <f>IF(B$27=0,0,G12/B$27)</f>
        <v>0.10869565217391304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126</v>
      </c>
      <c r="B13" s="50">
        <v>44</v>
      </c>
      <c r="C13" s="44">
        <f>IF(B$26=0,0,B13/B$26)</f>
        <v>0.26035502958579881</v>
      </c>
      <c r="E13" s="63" t="s">
        <v>86</v>
      </c>
      <c r="F13" s="60" t="s">
        <v>40</v>
      </c>
      <c r="G13" s="47">
        <v>4</v>
      </c>
      <c r="H13" s="137">
        <f>IF(B$27=0,0,G13/B$27)</f>
        <v>8.6956521739130432E-2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0.22485207100591717</v>
      </c>
      <c r="E14" s="63" t="s">
        <v>89</v>
      </c>
      <c r="F14" s="60" t="s">
        <v>43</v>
      </c>
      <c r="G14" s="47">
        <v>2</v>
      </c>
      <c r="H14" s="137">
        <f>IF(B$27=0,0,G14/B$27)</f>
        <v>4.3478260869565216E-2</v>
      </c>
      <c r="I14" s="98">
        <v>7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22</v>
      </c>
      <c r="C15" s="37">
        <f>IF(B$13=0,0,B15/B$13)</f>
        <v>0.5</v>
      </c>
      <c r="E15" s="63" t="s">
        <v>77</v>
      </c>
      <c r="F15" s="60" t="s">
        <v>31</v>
      </c>
      <c r="G15" s="47">
        <v>1</v>
      </c>
      <c r="H15" s="137">
        <f>IF(B$27=0,0,G15/B$27)</f>
        <v>2.1739130434782608E-2</v>
      </c>
      <c r="I15" s="98">
        <v>2</v>
      </c>
      <c r="K15" s="38">
        <v>13</v>
      </c>
      <c r="L15" s="103">
        <v>-58.7</v>
      </c>
      <c r="N15" s="118" t="s">
        <v>133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129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IF(B$27=0,0,G16/B$27)</f>
        <v>2.1739130434782608E-2</v>
      </c>
      <c r="I16" s="98">
        <v>5</v>
      </c>
      <c r="K16" s="38">
        <v>14</v>
      </c>
      <c r="L16" s="103">
        <v>-29.400000000000002</v>
      </c>
      <c r="N16" s="119" t="s">
        <v>194</v>
      </c>
      <c r="O16" s="129">
        <f>IF(P16=0,0,Q16/P16)</f>
        <v>78.900000000000006</v>
      </c>
      <c r="P16" s="123">
        <v>1</v>
      </c>
      <c r="Q16" s="111">
        <v>78.900000000000006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0.25698324022346369</v>
      </c>
      <c r="E17" s="63" t="s">
        <v>95</v>
      </c>
      <c r="F17" s="60" t="s">
        <v>49</v>
      </c>
      <c r="G17" s="47">
        <v>1</v>
      </c>
      <c r="H17" s="137">
        <f>IF(B$27=0,0,G17/B$27)</f>
        <v>2.1739130434782608E-2</v>
      </c>
      <c r="I17" s="98">
        <v>1</v>
      </c>
      <c r="K17" s="38">
        <v>15</v>
      </c>
      <c r="L17" s="103">
        <v>-26.3</v>
      </c>
      <c r="N17" s="119" t="s">
        <v>185</v>
      </c>
      <c r="O17" s="129">
        <f>IF(P17=0,0,Q17/P17)</f>
        <v>35.1</v>
      </c>
      <c r="P17" s="123">
        <v>1</v>
      </c>
      <c r="Q17" s="111">
        <v>35.1</v>
      </c>
    </row>
    <row r="18" spans="1:17" x14ac:dyDescent="0.4">
      <c r="A18" s="55" t="s">
        <v>12</v>
      </c>
      <c r="B18" s="47">
        <v>15</v>
      </c>
      <c r="C18" s="39">
        <f>IF(B$17=0,0,B18/B$17)</f>
        <v>0.32608695652173914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4</v>
      </c>
      <c r="K18" s="38">
        <v>16</v>
      </c>
      <c r="L18" s="103">
        <v>-50.3</v>
      </c>
      <c r="N18" s="119" t="s">
        <v>181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31</v>
      </c>
      <c r="C19" s="39">
        <f>IF(B$17=0,0,B19/B$17)</f>
        <v>0.67391304347826086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3</v>
      </c>
      <c r="K19" s="38">
        <v>17</v>
      </c>
      <c r="L19" s="103">
        <v>-74.3</v>
      </c>
      <c r="N19" s="119" t="s">
        <v>180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0.17318435754189945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-76.099999999999994</v>
      </c>
      <c r="N20" s="119" t="s">
        <v>132</v>
      </c>
      <c r="O20" s="129">
        <f>IF(P20=0,0,Q20/P20)</f>
        <v>-33.520000000000003</v>
      </c>
      <c r="P20" s="123">
        <v>10</v>
      </c>
      <c r="Q20" s="111">
        <v>-335.20000000000005</v>
      </c>
    </row>
    <row r="21" spans="1:17" x14ac:dyDescent="0.4">
      <c r="A21" s="55" t="s">
        <v>5</v>
      </c>
      <c r="B21" s="51">
        <f>IF(B$17=0,0,C21/B$17)</f>
        <v>8008.695652173913</v>
      </c>
      <c r="C21" s="41">
        <v>368400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0.60000000000000853</v>
      </c>
      <c r="N21" s="119" t="s">
        <v>131</v>
      </c>
      <c r="O21" s="129">
        <f>IF(P21=0,0,Q21/P21)</f>
        <v>-38.239999999999995</v>
      </c>
      <c r="P21" s="123">
        <v>10</v>
      </c>
      <c r="Q21" s="111">
        <v>-382.4</v>
      </c>
    </row>
    <row r="22" spans="1:17" x14ac:dyDescent="0.4">
      <c r="A22" s="57" t="s">
        <v>14</v>
      </c>
      <c r="B22" s="52">
        <f>IF(B$20=0,0,C22/B$20)</f>
        <v>-7629.0322580645161</v>
      </c>
      <c r="C22" s="45">
        <v>-236500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4</v>
      </c>
      <c r="K22" s="38">
        <v>20</v>
      </c>
      <c r="L22" s="103">
        <v>-3.5999999999999917</v>
      </c>
    </row>
    <row r="23" spans="1:17" x14ac:dyDescent="0.4">
      <c r="A23" s="94" t="s">
        <v>146</v>
      </c>
      <c r="B23" s="153">
        <v>4</v>
      </c>
      <c r="C23" s="15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4</v>
      </c>
    </row>
    <row r="24" spans="1:17" x14ac:dyDescent="0.4">
      <c r="A24" s="58" t="s">
        <v>157</v>
      </c>
      <c r="B24" s="151">
        <v>91700</v>
      </c>
      <c r="C24" s="15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5.5865921787709499E-3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169</v>
      </c>
      <c r="C26" s="144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46</v>
      </c>
      <c r="C27" s="158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F494-43E3-4219-A0FC-213124ED3B22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180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8</v>
      </c>
      <c r="C2" s="144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45">
        <v>61</v>
      </c>
      <c r="C3" s="146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2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47">
        <v>-29.5</v>
      </c>
      <c r="C4" s="148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9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49">
        <f>IF(B$2=0,0,B$4/B$2)</f>
        <v>-3.6875</v>
      </c>
      <c r="C5" s="150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9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55">
        <f>IF(B$2=0,0,(B$7*1+B$8*2+B$9*3)/B$2)</f>
        <v>2.125</v>
      </c>
      <c r="C6" s="15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9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4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53">
        <v>3</v>
      </c>
      <c r="C23" s="15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48100</v>
      </c>
      <c r="C24" s="15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61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17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4DE0F-0005-41F2-813F-D7E1A5A725C7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181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12</v>
      </c>
      <c r="C2" s="144"/>
      <c r="E2" s="62" t="s">
        <v>68</v>
      </c>
      <c r="F2" s="59" t="s">
        <v>23</v>
      </c>
      <c r="G2" s="46">
        <v>25</v>
      </c>
      <c r="H2" s="136">
        <f>IF(B$27=0,0,G2/B$27)</f>
        <v>0.83333333333333337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45">
        <v>113</v>
      </c>
      <c r="C3" s="146"/>
      <c r="E3" s="63" t="s">
        <v>74</v>
      </c>
      <c r="F3" s="60" t="s">
        <v>28</v>
      </c>
      <c r="G3" s="47">
        <v>15</v>
      </c>
      <c r="H3" s="137">
        <f>IF(B$27=0,0,G3/B$27)</f>
        <v>0.5</v>
      </c>
      <c r="I3" s="98">
        <v>8</v>
      </c>
      <c r="K3" s="38">
        <v>1</v>
      </c>
      <c r="L3" s="103">
        <v>-82.6</v>
      </c>
      <c r="N3" s="119" t="s">
        <v>137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47">
        <v>-289.59999999999997</v>
      </c>
      <c r="C4" s="148"/>
      <c r="E4" s="63" t="s">
        <v>70</v>
      </c>
      <c r="F4" s="60" t="s">
        <v>12</v>
      </c>
      <c r="G4" s="47">
        <v>12</v>
      </c>
      <c r="H4" s="137">
        <f>IF(B$27=0,0,G4/B$27)</f>
        <v>0.4</v>
      </c>
      <c r="I4" s="98">
        <v>1</v>
      </c>
      <c r="K4" s="38">
        <v>2</v>
      </c>
      <c r="L4" s="103">
        <v>-122.3</v>
      </c>
      <c r="N4" s="119" t="s">
        <v>138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49">
        <f>IF(B$2=0,0,B$4/B$2)</f>
        <v>-24.133333333333329</v>
      </c>
      <c r="C5" s="150"/>
      <c r="E5" s="63" t="s">
        <v>66</v>
      </c>
      <c r="F5" s="60" t="s">
        <v>21</v>
      </c>
      <c r="G5" s="47">
        <v>9</v>
      </c>
      <c r="H5" s="137">
        <f>IF(B$27=0,0,G5/B$27)</f>
        <v>0.3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55">
        <f>IF(B$2=0,0,(B$7*1+B$8*2+B$9*3)/B$2)</f>
        <v>2.4166666666666665</v>
      </c>
      <c r="C6" s="156"/>
      <c r="E6" s="63" t="s">
        <v>189</v>
      </c>
      <c r="F6" s="60" t="s">
        <v>190</v>
      </c>
      <c r="G6" s="47">
        <v>7</v>
      </c>
      <c r="H6" s="137">
        <f>IF(B$27=0,0,G6/B$27)</f>
        <v>0.23333333333333334</v>
      </c>
      <c r="I6" s="98">
        <v>10</v>
      </c>
      <c r="K6" s="38">
        <v>4</v>
      </c>
      <c r="L6" s="103">
        <v>-150.6</v>
      </c>
      <c r="N6" s="119" t="s">
        <v>140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IF(B$27=0,0,G7/B$27)</f>
        <v>0.16666666666666666</v>
      </c>
      <c r="I7" s="98">
        <v>5</v>
      </c>
      <c r="K7" s="38">
        <v>5</v>
      </c>
      <c r="L7" s="103">
        <v>-184.89999999999998</v>
      </c>
      <c r="N7" s="120" t="s">
        <v>141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IF(B$27=0,0,G8/B$27)</f>
        <v>0.13333333333333333</v>
      </c>
      <c r="I8" s="98">
        <v>2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IF(B$27=0,0,G9/B$27)</f>
        <v>0.1</v>
      </c>
      <c r="I9" s="98">
        <v>9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IF(B$27=0,0,G10/B$27)</f>
        <v>0.1</v>
      </c>
      <c r="I10" s="98">
        <v>4</v>
      </c>
      <c r="K10" s="38">
        <v>8</v>
      </c>
      <c r="L10" s="103">
        <v>-219.59999999999997</v>
      </c>
      <c r="N10" s="118" t="s">
        <v>172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IF(B$27=0,0,G11/B$27)</f>
        <v>6.6666666666666666E-2</v>
      </c>
      <c r="I11" s="98">
        <v>9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IF(B$27=0,0,G12/B$27)</f>
        <v>6.6666666666666666E-2</v>
      </c>
      <c r="I12" s="98">
        <v>2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18</v>
      </c>
      <c r="C13" s="44">
        <f>IF(B$26=0,0,B13/B$26)</f>
        <v>0.17475728155339806</v>
      </c>
      <c r="E13" s="63" t="s">
        <v>81</v>
      </c>
      <c r="F13" s="60" t="s">
        <v>35</v>
      </c>
      <c r="G13" s="47">
        <v>1</v>
      </c>
      <c r="H13" s="137">
        <f>IF(B$27=0,0,G13/B$27)</f>
        <v>3.3333333333333333E-2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0.25242718446601942</v>
      </c>
      <c r="E14" s="63" t="s">
        <v>89</v>
      </c>
      <c r="F14" s="60" t="s">
        <v>43</v>
      </c>
      <c r="G14" s="47">
        <v>1</v>
      </c>
      <c r="H14" s="137">
        <f>IF(B$27=0,0,G14/B$27)</f>
        <v>3.3333333333333333E-2</v>
      </c>
      <c r="I14" s="98">
        <v>8</v>
      </c>
      <c r="K14" s="38">
        <v>12</v>
      </c>
      <c r="L14" s="103">
        <v>-289.59999999999997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180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179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5150</v>
      </c>
      <c r="C21" s="41">
        <v>164800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-8521.4285714285706</v>
      </c>
      <c r="C22" s="45">
        <v>-238600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6</v>
      </c>
      <c r="C23" s="15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50800</v>
      </c>
      <c r="C24" s="15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1</v>
      </c>
      <c r="C25" s="42">
        <f>IF(B$3=0,0,B25/B$3)</f>
        <v>8.8495575221238937E-3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103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30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3680-DD44-46AC-A39D-1880648AC58F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185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8</v>
      </c>
      <c r="C2" s="144"/>
      <c r="E2" s="62" t="s">
        <v>66</v>
      </c>
      <c r="F2" s="59" t="s">
        <v>21</v>
      </c>
      <c r="G2" s="46">
        <v>8</v>
      </c>
      <c r="H2" s="136">
        <f>IF(B$27=0,0,G2/B$27)</f>
        <v>0.53333333333333333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-1412.5</v>
      </c>
      <c r="P2" s="122">
        <v>8</v>
      </c>
      <c r="Q2" s="106">
        <v>-11300</v>
      </c>
    </row>
    <row r="3" spans="1:17" x14ac:dyDescent="0.4">
      <c r="A3" s="55" t="s">
        <v>8</v>
      </c>
      <c r="B3" s="145">
        <v>60</v>
      </c>
      <c r="C3" s="146"/>
      <c r="E3" s="63" t="s">
        <v>74</v>
      </c>
      <c r="F3" s="60" t="s">
        <v>28</v>
      </c>
      <c r="G3" s="47">
        <v>8</v>
      </c>
      <c r="H3" s="137">
        <f>IF(B$27=0,0,G3/B$27)</f>
        <v>0.53333333333333333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-4162.5</v>
      </c>
      <c r="P3" s="123">
        <v>8</v>
      </c>
      <c r="Q3" s="107">
        <v>-33300</v>
      </c>
    </row>
    <row r="4" spans="1:17" x14ac:dyDescent="0.4">
      <c r="A4" s="55" t="s">
        <v>6</v>
      </c>
      <c r="B4" s="147">
        <v>-87.1</v>
      </c>
      <c r="C4" s="148"/>
      <c r="E4" s="63" t="s">
        <v>68</v>
      </c>
      <c r="F4" s="60" t="s">
        <v>23</v>
      </c>
      <c r="G4" s="47">
        <v>6</v>
      </c>
      <c r="H4" s="137">
        <f>IF(B$27=0,0,G4/B$27)</f>
        <v>0.4</v>
      </c>
      <c r="I4" s="98">
        <v>10</v>
      </c>
      <c r="K4" s="38">
        <v>2</v>
      </c>
      <c r="L4" s="103">
        <v>30</v>
      </c>
      <c r="N4" s="119" t="s">
        <v>138</v>
      </c>
      <c r="O4" s="126">
        <f t="shared" si="0"/>
        <v>600</v>
      </c>
      <c r="P4" s="123">
        <v>8</v>
      </c>
      <c r="Q4" s="107">
        <v>4800</v>
      </c>
    </row>
    <row r="5" spans="1:17" x14ac:dyDescent="0.4">
      <c r="A5" s="55" t="s">
        <v>7</v>
      </c>
      <c r="B5" s="149">
        <f>IF(B$2=0,0,B$4/B$2)</f>
        <v>-10.887499999999999</v>
      </c>
      <c r="C5" s="150"/>
      <c r="E5" s="63" t="s">
        <v>189</v>
      </c>
      <c r="F5" s="60" t="s">
        <v>190</v>
      </c>
      <c r="G5" s="47">
        <v>4</v>
      </c>
      <c r="H5" s="137">
        <f>IF(B$27=0,0,G5/B$27)</f>
        <v>0.26666666666666666</v>
      </c>
      <c r="I5" s="98">
        <v>9</v>
      </c>
      <c r="K5" s="38">
        <v>3</v>
      </c>
      <c r="L5" s="103">
        <v>-10</v>
      </c>
      <c r="N5" s="119" t="s">
        <v>139</v>
      </c>
      <c r="O5" s="126">
        <f t="shared" si="0"/>
        <v>-2200</v>
      </c>
      <c r="P5" s="123">
        <v>8</v>
      </c>
      <c r="Q5" s="107">
        <v>-17600</v>
      </c>
    </row>
    <row r="6" spans="1:17" x14ac:dyDescent="0.4">
      <c r="A6" s="55" t="s">
        <v>1</v>
      </c>
      <c r="B6" s="155">
        <f>IF(B$2=0,0,(B$7*1+B$8*2+B$9*3)/B$2)</f>
        <v>2.25</v>
      </c>
      <c r="C6" s="156"/>
      <c r="E6" s="63" t="s">
        <v>69</v>
      </c>
      <c r="F6" s="60" t="s">
        <v>24</v>
      </c>
      <c r="G6" s="47">
        <v>3</v>
      </c>
      <c r="H6" s="137">
        <f>IF(B$27=0,0,G6/B$27)</f>
        <v>0.2</v>
      </c>
      <c r="I6" s="98">
        <v>7</v>
      </c>
      <c r="K6" s="38">
        <v>4</v>
      </c>
      <c r="L6" s="103">
        <v>40</v>
      </c>
      <c r="N6" s="119" t="s">
        <v>140</v>
      </c>
      <c r="O6" s="126">
        <f t="shared" si="0"/>
        <v>-2171.4285714285716</v>
      </c>
      <c r="P6" s="123">
        <v>7</v>
      </c>
      <c r="Q6" s="107">
        <v>-15200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70</v>
      </c>
      <c r="F7" s="60" t="s">
        <v>12</v>
      </c>
      <c r="G7" s="47">
        <v>3</v>
      </c>
      <c r="H7" s="137">
        <f>IF(B$27=0,0,G7/B$27)</f>
        <v>0.2</v>
      </c>
      <c r="I7" s="98">
        <v>5</v>
      </c>
      <c r="K7" s="38">
        <v>5</v>
      </c>
      <c r="L7" s="103">
        <v>35.4</v>
      </c>
      <c r="N7" s="120" t="s">
        <v>141</v>
      </c>
      <c r="O7" s="127">
        <f t="shared" si="0"/>
        <v>3642.8571428571427</v>
      </c>
      <c r="P7" s="124">
        <v>7</v>
      </c>
      <c r="Q7" s="108">
        <v>25500</v>
      </c>
    </row>
    <row r="8" spans="1:17" x14ac:dyDescent="0.4">
      <c r="A8" s="55" t="s">
        <v>3</v>
      </c>
      <c r="B8" s="47">
        <v>2</v>
      </c>
      <c r="C8" s="39">
        <f>IF(B$2=0,0,B8/B$2)</f>
        <v>0.25</v>
      </c>
      <c r="E8" s="63" t="s">
        <v>67</v>
      </c>
      <c r="F8" s="60" t="s">
        <v>22</v>
      </c>
      <c r="G8" s="47">
        <v>2</v>
      </c>
      <c r="H8" s="137">
        <f>IF(B$27=0,0,G8/B$27)</f>
        <v>0.13333333333333333</v>
      </c>
      <c r="I8" s="98">
        <v>3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2</v>
      </c>
      <c r="H9" s="137">
        <f>IF(B$27=0,0,G9/B$27)</f>
        <v>0.13333333333333333</v>
      </c>
      <c r="I9" s="98">
        <v>7</v>
      </c>
      <c r="K9" s="38">
        <v>7</v>
      </c>
      <c r="L9" s="103">
        <v>-30.1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92</v>
      </c>
      <c r="F10" s="60" t="s">
        <v>46</v>
      </c>
      <c r="G10" s="47">
        <v>2</v>
      </c>
      <c r="H10" s="137">
        <f>IF(B$27=0,0,G10/B$27)</f>
        <v>0.13333333333333333</v>
      </c>
      <c r="I10" s="98">
        <v>8</v>
      </c>
      <c r="K10" s="38">
        <v>8</v>
      </c>
      <c r="L10" s="103">
        <v>-87.1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6.6666666666666666E-2</v>
      </c>
      <c r="I11" s="98">
        <v>1</v>
      </c>
      <c r="N11" s="119" t="s">
        <v>173</v>
      </c>
      <c r="O11" s="129">
        <f>IF(P11=0,0,Q11/P11)</f>
        <v>-25.366666666666664</v>
      </c>
      <c r="P11" s="123">
        <v>3</v>
      </c>
      <c r="Q11" s="111">
        <v>-76.099999999999994</v>
      </c>
    </row>
    <row r="12" spans="1:17" x14ac:dyDescent="0.4">
      <c r="A12" s="57" t="s">
        <v>165</v>
      </c>
      <c r="B12" s="49">
        <v>1</v>
      </c>
      <c r="C12" s="42">
        <f>IF(B$2=0,0,B12/B$2)</f>
        <v>0.125</v>
      </c>
      <c r="E12" s="63" t="s">
        <v>86</v>
      </c>
      <c r="F12" s="60" t="s">
        <v>40</v>
      </c>
      <c r="G12" s="47">
        <v>1</v>
      </c>
      <c r="H12" s="137">
        <f>IF(B$27=0,0,G12/B$27)</f>
        <v>6.6666666666666666E-2</v>
      </c>
      <c r="I12" s="98">
        <v>2</v>
      </c>
      <c r="N12" s="120" t="s">
        <v>174</v>
      </c>
      <c r="O12" s="130">
        <f>IF(P12=0,0,Q12/P12)</f>
        <v>-2.2749999999999986</v>
      </c>
      <c r="P12" s="124">
        <v>4</v>
      </c>
      <c r="Q12" s="112">
        <v>-9.0999999999999943</v>
      </c>
    </row>
    <row r="13" spans="1:17" x14ac:dyDescent="0.4">
      <c r="A13" s="58" t="s">
        <v>126</v>
      </c>
      <c r="B13" s="50">
        <v>14</v>
      </c>
      <c r="C13" s="44">
        <f>IF(B$26=0,0,B13/B$26)</f>
        <v>0.23333333333333334</v>
      </c>
      <c r="E13" s="63" t="s">
        <v>88</v>
      </c>
      <c r="F13" s="60" t="s">
        <v>42</v>
      </c>
      <c r="G13" s="47">
        <v>1</v>
      </c>
      <c r="H13" s="137">
        <f>IF(B$27=0,0,G13/B$27)</f>
        <v>6.6666666666666666E-2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15</v>
      </c>
      <c r="C14" s="39">
        <f>IF(B$26=0,0,B14/B$26)</f>
        <v>0.25</v>
      </c>
      <c r="E14" s="63" t="s">
        <v>94</v>
      </c>
      <c r="F14" s="60" t="s">
        <v>48</v>
      </c>
      <c r="G14" s="47">
        <v>1</v>
      </c>
      <c r="H14" s="137">
        <f>IF(B$27=0,0,G14/B$27)</f>
        <v>6.6666666666666666E-2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</v>
      </c>
      <c r="C15" s="37">
        <f>IF(B$13=0,0,B15/B$13)</f>
        <v>0.5714285714285714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5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8</v>
      </c>
      <c r="N16" s="119" t="s">
        <v>181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0.25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4</v>
      </c>
      <c r="N17" s="119" t="s">
        <v>132</v>
      </c>
      <c r="O17" s="129">
        <f>IF(P17=0,0,Q17/P17)</f>
        <v>-2.2799999999999994</v>
      </c>
      <c r="P17" s="123">
        <v>5</v>
      </c>
      <c r="Q17" s="111">
        <v>-11.399999999999997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3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11</v>
      </c>
      <c r="C20" s="39">
        <f>IF(B$3=0,0,B20/B$3)</f>
        <v>0.18333333333333332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-78.400000000000006</v>
      </c>
      <c r="P20" s="123">
        <v>3</v>
      </c>
      <c r="Q20" s="111">
        <v>-235.20000000000002</v>
      </c>
    </row>
    <row r="21" spans="1:17" x14ac:dyDescent="0.4">
      <c r="A21" s="55" t="s">
        <v>5</v>
      </c>
      <c r="B21" s="51">
        <f>IF(B$17=0,0,C21/B$17)</f>
        <v>6253.333333333333</v>
      </c>
      <c r="C21" s="41">
        <v>93800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-6236.363636363636</v>
      </c>
      <c r="C22" s="45">
        <v>-68600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53">
        <v>4</v>
      </c>
      <c r="C23" s="15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65000</v>
      </c>
      <c r="C24" s="15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6</v>
      </c>
    </row>
    <row r="26" spans="1:17" x14ac:dyDescent="0.4">
      <c r="A26" s="54" t="s">
        <v>124</v>
      </c>
      <c r="B26" s="143">
        <v>60</v>
      </c>
      <c r="C26" s="144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15</v>
      </c>
      <c r="C27" s="158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F0D6-E750-484C-A2AB-1EE4DF5438AC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193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3</v>
      </c>
      <c r="C2" s="144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45">
        <v>19</v>
      </c>
      <c r="C3" s="146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7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47">
        <v>61</v>
      </c>
      <c r="C4" s="148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5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49">
        <f>IF(B$2=0,0,B$4/B$2)</f>
        <v>20.333333333333332</v>
      </c>
      <c r="C5" s="150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55">
        <f>IF(B$2=0,0,(B$7*1+B$8*2+B$9*3)/B$2)</f>
        <v>1.3333333333333333</v>
      </c>
      <c r="C6" s="15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2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5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4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3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4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3</v>
      </c>
      <c r="C23" s="15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51">
        <v>53500</v>
      </c>
      <c r="C24" s="15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3">
        <v>19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5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133CB-8D15-4A66-B6C1-ACF0560DD573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194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3</v>
      </c>
      <c r="C2" s="144"/>
      <c r="E2" s="62" t="s">
        <v>74</v>
      </c>
      <c r="F2" s="59" t="s">
        <v>28</v>
      </c>
      <c r="G2" s="46">
        <v>5</v>
      </c>
      <c r="H2" s="136">
        <f>IF(B$27=0,0,G2/B$27)</f>
        <v>0.7142857142857143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733.33333333333337</v>
      </c>
      <c r="P2" s="122">
        <v>3</v>
      </c>
      <c r="Q2" s="106">
        <v>2200</v>
      </c>
    </row>
    <row r="3" spans="1:17" x14ac:dyDescent="0.4">
      <c r="A3" s="55" t="s">
        <v>8</v>
      </c>
      <c r="B3" s="145">
        <v>28</v>
      </c>
      <c r="C3" s="146"/>
      <c r="E3" s="63" t="s">
        <v>66</v>
      </c>
      <c r="F3" s="60" t="s">
        <v>21</v>
      </c>
      <c r="G3" s="47">
        <v>3</v>
      </c>
      <c r="H3" s="137">
        <f>IF(B$27=0,0,G3/B$27)</f>
        <v>0.42857142857142855</v>
      </c>
      <c r="I3" s="98">
        <v>8</v>
      </c>
      <c r="K3" s="38">
        <v>1</v>
      </c>
      <c r="L3" s="103">
        <v>-43.7</v>
      </c>
      <c r="N3" s="119" t="s">
        <v>137</v>
      </c>
      <c r="O3" s="126">
        <f t="shared" si="0"/>
        <v>-6333.333333333333</v>
      </c>
      <c r="P3" s="123">
        <v>3</v>
      </c>
      <c r="Q3" s="107">
        <v>-19000</v>
      </c>
    </row>
    <row r="4" spans="1:17" x14ac:dyDescent="0.4">
      <c r="A4" s="55" t="s">
        <v>6</v>
      </c>
      <c r="B4" s="147">
        <v>-78.400000000000006</v>
      </c>
      <c r="C4" s="148"/>
      <c r="E4" s="63" t="s">
        <v>68</v>
      </c>
      <c r="F4" s="60" t="s">
        <v>23</v>
      </c>
      <c r="G4" s="47">
        <v>3</v>
      </c>
      <c r="H4" s="137">
        <f>IF(B$27=0,0,G4/B$27)</f>
        <v>0.42857142857142855</v>
      </c>
      <c r="I4" s="98">
        <v>8</v>
      </c>
      <c r="K4" s="38">
        <v>2</v>
      </c>
      <c r="L4" s="103">
        <v>-76.2</v>
      </c>
      <c r="N4" s="119" t="s">
        <v>138</v>
      </c>
      <c r="O4" s="126">
        <f t="shared" si="0"/>
        <v>800</v>
      </c>
      <c r="P4" s="123">
        <v>3</v>
      </c>
      <c r="Q4" s="107">
        <v>2400</v>
      </c>
    </row>
    <row r="5" spans="1:17" x14ac:dyDescent="0.4">
      <c r="A5" s="55" t="s">
        <v>7</v>
      </c>
      <c r="B5" s="149">
        <f>IF(B$2=0,0,B$4/B$2)</f>
        <v>-26.133333333333336</v>
      </c>
      <c r="C5" s="150"/>
      <c r="E5" s="63" t="s">
        <v>92</v>
      </c>
      <c r="F5" s="60" t="s">
        <v>46</v>
      </c>
      <c r="G5" s="47">
        <v>3</v>
      </c>
      <c r="H5" s="137">
        <f>IF(B$27=0,0,G5/B$27)</f>
        <v>0.42857142857142855</v>
      </c>
      <c r="I5" s="98">
        <v>1</v>
      </c>
      <c r="K5" s="38">
        <v>3</v>
      </c>
      <c r="L5" s="103">
        <v>-78.400000000000006</v>
      </c>
      <c r="N5" s="119" t="s">
        <v>139</v>
      </c>
      <c r="O5" s="126">
        <f t="shared" si="0"/>
        <v>-3266.6666666666665</v>
      </c>
      <c r="P5" s="123">
        <v>3</v>
      </c>
      <c r="Q5" s="107">
        <v>-9800</v>
      </c>
    </row>
    <row r="6" spans="1:17" x14ac:dyDescent="0.4">
      <c r="A6" s="55" t="s">
        <v>1</v>
      </c>
      <c r="B6" s="155">
        <f>IF(B$2=0,0,(B$7*1+B$8*2+B$9*3)/B$2)</f>
        <v>2.6666666666666665</v>
      </c>
      <c r="C6" s="156"/>
      <c r="E6" s="63" t="s">
        <v>71</v>
      </c>
      <c r="F6" s="60" t="s">
        <v>25</v>
      </c>
      <c r="G6" s="47">
        <v>2</v>
      </c>
      <c r="H6" s="137">
        <f>IF(B$27=0,0,G6/B$27)</f>
        <v>0.2857142857142857</v>
      </c>
      <c r="I6" s="98">
        <v>1</v>
      </c>
      <c r="N6" s="119" t="s">
        <v>140</v>
      </c>
      <c r="O6" s="126">
        <f t="shared" si="0"/>
        <v>-666.66666666666663</v>
      </c>
      <c r="P6" s="123">
        <v>3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189</v>
      </c>
      <c r="F7" s="60" t="s">
        <v>190</v>
      </c>
      <c r="G7" s="47">
        <v>2</v>
      </c>
      <c r="H7" s="137">
        <f>IF(B$27=0,0,G7/B$27)</f>
        <v>0.2857142857142857</v>
      </c>
      <c r="I7" s="98">
        <v>8</v>
      </c>
      <c r="N7" s="120" t="s">
        <v>141</v>
      </c>
      <c r="O7" s="127">
        <f t="shared" si="0"/>
        <v>-4066.6666666666665</v>
      </c>
      <c r="P7" s="124">
        <v>3</v>
      </c>
      <c r="Q7" s="108">
        <v>-12200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67</v>
      </c>
      <c r="F8" s="60" t="s">
        <v>22</v>
      </c>
      <c r="G8" s="47">
        <v>0</v>
      </c>
      <c r="H8" s="137">
        <f>IF(B$27=0,0,G8/B$27)</f>
        <v>0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0.66666666666666663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3</v>
      </c>
      <c r="C13" s="44">
        <f>IF(B$26=0,0,B13/B$26)</f>
        <v>0.10714285714285714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0.14285714285714285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129</v>
      </c>
      <c r="B16" s="46">
        <v>3</v>
      </c>
      <c r="C16" s="37">
        <f>IF(B$14=0,0,B16/B$14)</f>
        <v>0.75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-37.400000000000006</v>
      </c>
      <c r="P16" s="123">
        <v>1</v>
      </c>
      <c r="Q16" s="111">
        <v>-37.400000000000006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0.25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185</v>
      </c>
      <c r="O17" s="129">
        <f>IF(P17=0,0,Q17/P17)</f>
        <v>-60.800000000000004</v>
      </c>
      <c r="P17" s="123">
        <v>2</v>
      </c>
      <c r="Q17" s="111">
        <v>-121.60000000000001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0.42857142857142855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4</v>
      </c>
      <c r="N18" s="119" t="s">
        <v>193</v>
      </c>
      <c r="O18" s="129">
        <f>IF(P18=0,0,Q18/P18)</f>
        <v>-69.599999999999994</v>
      </c>
      <c r="P18" s="123">
        <v>1</v>
      </c>
      <c r="Q18" s="111">
        <v>-69.599999999999994</v>
      </c>
    </row>
    <row r="19" spans="1:17" x14ac:dyDescent="0.4">
      <c r="A19" s="55" t="s">
        <v>11</v>
      </c>
      <c r="B19" s="47">
        <v>4</v>
      </c>
      <c r="C19" s="39">
        <f>IF(B$17=0,0,B19/B$17)</f>
        <v>0.5714285714285714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4</v>
      </c>
      <c r="N19" s="119" t="s">
        <v>179</v>
      </c>
      <c r="O19" s="129">
        <f>IF(P19=0,0,Q19/P19)</f>
        <v>-78.900000000000006</v>
      </c>
      <c r="P19" s="123">
        <v>1</v>
      </c>
      <c r="Q19" s="111">
        <v>-78.900000000000006</v>
      </c>
    </row>
    <row r="20" spans="1:17" x14ac:dyDescent="0.4">
      <c r="A20" s="55" t="s">
        <v>13</v>
      </c>
      <c r="B20" s="47">
        <v>7</v>
      </c>
      <c r="C20" s="39">
        <f>IF(B$3=0,0,B20/B$3)</f>
        <v>0.25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5014.2857142857147</v>
      </c>
      <c r="C21" s="41">
        <v>35100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-7200</v>
      </c>
      <c r="C22" s="45">
        <v>-50400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6</v>
      </c>
    </row>
    <row r="23" spans="1:17" x14ac:dyDescent="0.4">
      <c r="A23" s="94" t="s">
        <v>146</v>
      </c>
      <c r="B23" s="153">
        <v>3</v>
      </c>
      <c r="C23" s="15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32800</v>
      </c>
      <c r="C24" s="15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28</v>
      </c>
      <c r="C26" s="144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57">
        <v>7</v>
      </c>
      <c r="C27" s="158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ABB26-1353-4F9C-BF72-45D4A9CBDD7C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E867-737A-455D-B572-F1C76EAD9DA4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2A641-3E01-475E-B41D-2CDAC6E00AE1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4088-59DD-4F3B-9A35-DFFF28661692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0.17475728155339806</v>
      </c>
      <c r="N15" s="67">
        <v>0.25242718446601942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F0DA-8337-4284-BFC7-32507B7BE6E1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6E5F-4ED7-456B-A954-08E624D962D4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0.27044025157232704</v>
      </c>
      <c r="N22" s="67">
        <v>0.23270440251572327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0.26035502958579881</v>
      </c>
      <c r="N23" s="67">
        <v>0.22485207100591717</v>
      </c>
      <c r="O23" s="67">
        <v>0.5</v>
      </c>
      <c r="P23" s="67">
        <v>0.36842105263157893</v>
      </c>
      <c r="Q23" s="67">
        <v>0.32608695652173914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3B16-4CF7-49EC-893B-F07504BD90B8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7.6923076923076927E-2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1FCE-D671-4C94-A28A-5EB794042BCB}">
  <sheetPr codeName="Sheet1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0.35714285714285715</v>
      </c>
      <c r="N20" s="67">
        <v>0.22142857142857142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0.35135135135135137</v>
      </c>
      <c r="N21" s="67">
        <v>0.20945945945945946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0.34615384615384615</v>
      </c>
      <c r="N22" s="67">
        <v>0.19871794871794871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0.3413173652694611</v>
      </c>
      <c r="N23" s="67">
        <v>0.19161676646706588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0.34254143646408841</v>
      </c>
      <c r="N24" s="67">
        <v>0.19889502762430938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0.35263157894736841</v>
      </c>
      <c r="N25" s="67">
        <v>0.19473684210526315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0.35204081632653061</v>
      </c>
      <c r="N26" s="67">
        <v>0.19387755102040816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0.33980582524271846</v>
      </c>
      <c r="N27" s="67">
        <v>0.1941747572815534</v>
      </c>
      <c r="O27" s="67">
        <v>0.6428571428571429</v>
      </c>
      <c r="P27" s="67">
        <v>0.3</v>
      </c>
      <c r="Q27" s="67">
        <v>0.36231884057971014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EC0A-61B2-43AB-ADAA-6B498F9BDA95}">
  <sheetPr codeName="Sheet8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B6AE-3F32-4959-9416-D872695D62B8}">
  <sheetPr codeName="Sheet6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0.26695526695526695</v>
      </c>
      <c r="N32" s="67">
        <v>0.24242424242424243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0.26778242677824265</v>
      </c>
      <c r="N33" s="67">
        <v>0.2384937238493724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0.26855600539811064</v>
      </c>
      <c r="N34" s="67">
        <v>0.23481781376518218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0.27648578811369506</v>
      </c>
      <c r="N35" s="67">
        <v>0.23255813953488372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0.27818627450980393</v>
      </c>
      <c r="N36" s="67">
        <v>0.23284313725490197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0.27251461988304093</v>
      </c>
      <c r="N37" s="67">
        <v>0.2304093567251462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0.2711864406779661</v>
      </c>
      <c r="N38" s="67">
        <v>0.22372881355932203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0.27521929824561403</v>
      </c>
      <c r="N39" s="67">
        <v>0.22039473684210525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0.27419354838709675</v>
      </c>
      <c r="N40" s="67">
        <v>0.22150537634408601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0.11403508771929824</v>
      </c>
      <c r="M41" s="67">
        <v>0.27500000000000002</v>
      </c>
      <c r="N41" s="67">
        <v>0.22083333333333333</v>
      </c>
      <c r="O41" s="67">
        <v>0.57196969696969702</v>
      </c>
      <c r="P41" s="67">
        <v>0.40566037735849059</v>
      </c>
      <c r="Q41" s="67">
        <v>0.38795986622073581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2019-04-09T11:39:20Z</dcterms:modified>
</cp:coreProperties>
</file>