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AC71434-96AB-40B6-9327-B54681924A6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75" r:id="rId6"/>
    <sheet name="だいち" sheetId="5377" r:id="rId7"/>
    <sheet name="りくと" sheetId="5379" r:id="rId8"/>
    <sheet name="ただ" sheetId="5381" r:id="rId9"/>
    <sheet name="れんたろう" sheetId="5383" r:id="rId10"/>
    <sheet name="たかの" sheetId="5385" r:id="rId11"/>
    <sheet name="ぱぱ" sheetId="5387" r:id="rId12"/>
    <sheet name="まっつん" sheetId="5389" r:id="rId13"/>
    <sheet name="あさひ" sheetId="5391" r:id="rId14"/>
    <sheet name="いっしー" sheetId="5393" r:id="rId15"/>
    <sheet name="ほたに" sheetId="5395" r:id="rId16"/>
    <sheet name="かわたつ" sheetId="5397" r:id="rId17"/>
    <sheet name="やがさき" sheetId="5399" r:id="rId18"/>
    <sheet name="やがさき2" sheetId="5400" state="hidden" r:id="rId19"/>
    <sheet name="かわたつ2" sheetId="5398" state="hidden" r:id="rId20"/>
    <sheet name="ほたに2" sheetId="5396" state="hidden" r:id="rId21"/>
    <sheet name="いっしー2" sheetId="5394" state="hidden" r:id="rId22"/>
    <sheet name="あさひ2" sheetId="5392" state="hidden" r:id="rId23"/>
    <sheet name="まっつん2" sheetId="5390" state="hidden" r:id="rId24"/>
    <sheet name="ぱぱ2" sheetId="5388" state="hidden" r:id="rId25"/>
    <sheet name="たかの2" sheetId="5386" state="hidden" r:id="rId26"/>
    <sheet name="れんたろう2" sheetId="5384" state="hidden" r:id="rId27"/>
    <sheet name="ただ2" sheetId="5382" state="hidden" r:id="rId28"/>
    <sheet name="りくと2" sheetId="5380" state="hidden" r:id="rId29"/>
    <sheet name="だいち2" sheetId="5378" state="hidden" r:id="rId30"/>
    <sheet name="全体2" sheetId="537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81" l="1"/>
  <c r="O16" i="5385"/>
  <c r="O15" i="5375"/>
  <c r="O16" i="5399"/>
  <c r="O15" i="5399"/>
  <c r="C27" i="5399"/>
  <c r="B24" i="5399"/>
  <c r="C20" i="5399"/>
  <c r="B17" i="5399"/>
  <c r="H48" i="5399" s="1"/>
  <c r="C16" i="5399"/>
  <c r="C15" i="5399"/>
  <c r="C14" i="5399"/>
  <c r="C13" i="5399"/>
  <c r="O12" i="5399"/>
  <c r="C12" i="5399"/>
  <c r="O11" i="5399"/>
  <c r="C11" i="5399"/>
  <c r="O10" i="5399"/>
  <c r="C10" i="5399"/>
  <c r="C9" i="5399"/>
  <c r="C8" i="5399"/>
  <c r="O7" i="5399"/>
  <c r="C7" i="5399"/>
  <c r="O6" i="5399"/>
  <c r="B6" i="5399"/>
  <c r="O5" i="5399"/>
  <c r="B5" i="5399"/>
  <c r="O4" i="5399"/>
  <c r="O3" i="5399"/>
  <c r="O2" i="5399"/>
  <c r="O15" i="5397"/>
  <c r="O16" i="5397"/>
  <c r="H34" i="5397"/>
  <c r="C27" i="5397"/>
  <c r="B24" i="5397"/>
  <c r="B23" i="5397"/>
  <c r="C20" i="5397"/>
  <c r="B17" i="5397"/>
  <c r="H49" i="5397" s="1"/>
  <c r="H16" i="5397"/>
  <c r="C16" i="5397"/>
  <c r="C15" i="5397"/>
  <c r="C14" i="5397"/>
  <c r="C13" i="5397"/>
  <c r="O12" i="5397"/>
  <c r="H12" i="5397"/>
  <c r="C12" i="5397"/>
  <c r="O11" i="5397"/>
  <c r="C11" i="5397"/>
  <c r="O10" i="5397"/>
  <c r="C10" i="5397"/>
  <c r="H9" i="5397"/>
  <c r="C9" i="5397"/>
  <c r="C8" i="5397"/>
  <c r="O7" i="5397"/>
  <c r="C7" i="5397"/>
  <c r="O6" i="5397"/>
  <c r="B6" i="5397"/>
  <c r="O5" i="5397"/>
  <c r="B5" i="5397"/>
  <c r="O4" i="5397"/>
  <c r="O3" i="5397"/>
  <c r="O2" i="5397"/>
  <c r="H2" i="5397"/>
  <c r="O23" i="5383"/>
  <c r="O18" i="5377"/>
  <c r="O25" i="5375"/>
  <c r="H10" i="5399" l="1"/>
  <c r="H2" i="5399"/>
  <c r="H4" i="5399"/>
  <c r="C17" i="5399"/>
  <c r="H8" i="5399"/>
  <c r="H20" i="5399"/>
  <c r="H26" i="5399"/>
  <c r="H33" i="5399"/>
  <c r="H41" i="5399"/>
  <c r="H49" i="5399"/>
  <c r="H7" i="5399"/>
  <c r="H13" i="5399"/>
  <c r="H21" i="5399"/>
  <c r="H34" i="5399"/>
  <c r="H42" i="5399"/>
  <c r="H50" i="5399"/>
  <c r="H17" i="5399"/>
  <c r="H22" i="5399"/>
  <c r="H27" i="5399"/>
  <c r="H35" i="5399"/>
  <c r="H43" i="5399"/>
  <c r="H51" i="5399"/>
  <c r="H5" i="5399"/>
  <c r="H11" i="5399"/>
  <c r="H14" i="5399"/>
  <c r="C18" i="5399"/>
  <c r="B23" i="5399"/>
  <c r="H28" i="5399"/>
  <c r="H36" i="5399"/>
  <c r="H44" i="5399"/>
  <c r="H18" i="5399"/>
  <c r="H23" i="5399"/>
  <c r="H29" i="5399"/>
  <c r="H37" i="5399"/>
  <c r="H45" i="5399"/>
  <c r="H15" i="5399"/>
  <c r="C19" i="5399"/>
  <c r="H30" i="5399"/>
  <c r="H38" i="5399"/>
  <c r="H46" i="5399"/>
  <c r="H3" i="5399"/>
  <c r="H6" i="5399"/>
  <c r="H9" i="5399"/>
  <c r="H12" i="5399"/>
  <c r="H19" i="5399"/>
  <c r="H24" i="5399"/>
  <c r="H31" i="5399"/>
  <c r="H39" i="5399"/>
  <c r="H47" i="5399"/>
  <c r="H16" i="5399"/>
  <c r="H25" i="5399"/>
  <c r="H32" i="5399"/>
  <c r="H40" i="5399"/>
  <c r="H23" i="5397"/>
  <c r="H3" i="5397"/>
  <c r="H17" i="5397"/>
  <c r="C18" i="5397"/>
  <c r="C19" i="5397"/>
  <c r="H35" i="5397"/>
  <c r="H6" i="5397"/>
  <c r="H24" i="5397"/>
  <c r="H14" i="5397"/>
  <c r="H43" i="5397"/>
  <c r="H45" i="5397"/>
  <c r="H36" i="5397"/>
  <c r="H42" i="5397"/>
  <c r="H4" i="5397"/>
  <c r="H18" i="5397"/>
  <c r="H11" i="5397"/>
  <c r="H27" i="5397"/>
  <c r="H44" i="5397"/>
  <c r="H15" i="5397"/>
  <c r="H19" i="5397"/>
  <c r="H30" i="5397"/>
  <c r="H5" i="5397"/>
  <c r="H8" i="5397"/>
  <c r="H31" i="5397"/>
  <c r="H46" i="5397"/>
  <c r="H37" i="5397"/>
  <c r="H47" i="5397"/>
  <c r="H21" i="5397"/>
  <c r="H28" i="5397"/>
  <c r="H38" i="5397"/>
  <c r="H50" i="5397"/>
  <c r="H10" i="5397"/>
  <c r="H7" i="5397"/>
  <c r="H13" i="5397"/>
  <c r="C17" i="5397"/>
  <c r="H22" i="5397"/>
  <c r="H29" i="5397"/>
  <c r="H39" i="5397"/>
  <c r="H51" i="5397"/>
  <c r="H25" i="5397"/>
  <c r="H32" i="5397"/>
  <c r="H40" i="5397"/>
  <c r="H48" i="5397"/>
  <c r="H20" i="5397"/>
  <c r="H26" i="5397"/>
  <c r="H33" i="5397"/>
  <c r="H41" i="5397"/>
  <c r="O17" i="5385" l="1"/>
  <c r="O18" i="5393"/>
  <c r="O20" i="5395" l="1"/>
  <c r="O18" i="5395"/>
  <c r="O15" i="5389"/>
  <c r="O20" i="5379"/>
  <c r="O24" i="5377" l="1"/>
  <c r="O16" i="5395"/>
  <c r="O21" i="5387"/>
  <c r="O15" i="5395"/>
  <c r="O17" i="5395" l="1"/>
  <c r="O19" i="5395"/>
  <c r="C27" i="5395"/>
  <c r="B24" i="5395"/>
  <c r="C20" i="5395"/>
  <c r="B17" i="5395"/>
  <c r="H49" i="5395" s="1"/>
  <c r="C16" i="5395"/>
  <c r="C15" i="5395"/>
  <c r="C14" i="5395"/>
  <c r="C13" i="5395"/>
  <c r="O12" i="5395"/>
  <c r="C12" i="5395"/>
  <c r="O11" i="5395"/>
  <c r="C11" i="5395"/>
  <c r="O10" i="5395"/>
  <c r="C10" i="5395"/>
  <c r="C9" i="5395"/>
  <c r="C8" i="5395"/>
  <c r="O7" i="5395"/>
  <c r="C7" i="5395"/>
  <c r="O6" i="5395"/>
  <c r="B6" i="5395"/>
  <c r="O5" i="5395"/>
  <c r="B5" i="5395"/>
  <c r="O4" i="5395"/>
  <c r="O3" i="5395"/>
  <c r="O2" i="5395"/>
  <c r="O21" i="5383"/>
  <c r="O18" i="5385"/>
  <c r="O19" i="5375"/>
  <c r="H2" i="5395" l="1"/>
  <c r="H24" i="5395"/>
  <c r="H6" i="5395"/>
  <c r="H3" i="5395"/>
  <c r="H43" i="5395"/>
  <c r="H18" i="5395"/>
  <c r="H46" i="5395"/>
  <c r="H37" i="5395"/>
  <c r="H17" i="5395"/>
  <c r="C18" i="5395"/>
  <c r="H44" i="5395"/>
  <c r="H45" i="5395"/>
  <c r="H34" i="5395"/>
  <c r="H9" i="5395"/>
  <c r="H42" i="5395"/>
  <c r="H14" i="5395"/>
  <c r="H27" i="5395"/>
  <c r="H11" i="5395"/>
  <c r="C19" i="5395"/>
  <c r="H30" i="5395"/>
  <c r="H15" i="5395"/>
  <c r="H19" i="5395"/>
  <c r="H31" i="5395"/>
  <c r="H5" i="5395"/>
  <c r="H8" i="5395"/>
  <c r="H12" i="5395"/>
  <c r="H16" i="5395"/>
  <c r="B23" i="5395"/>
  <c r="H36" i="5395"/>
  <c r="H23" i="5395"/>
  <c r="H35" i="5395"/>
  <c r="H47" i="5395"/>
  <c r="H4" i="5395"/>
  <c r="H10" i="5395"/>
  <c r="H21" i="5395"/>
  <c r="H38" i="5395"/>
  <c r="H50" i="5395"/>
  <c r="H28" i="5395"/>
  <c r="H7" i="5395"/>
  <c r="H13" i="5395"/>
  <c r="C17" i="5395"/>
  <c r="H22" i="5395"/>
  <c r="H29" i="5395"/>
  <c r="H39" i="5395"/>
  <c r="H51" i="5395"/>
  <c r="H25" i="5395"/>
  <c r="H32" i="5395"/>
  <c r="H40" i="5395"/>
  <c r="H48" i="5395"/>
  <c r="H20" i="5395"/>
  <c r="H26" i="5395"/>
  <c r="H33" i="5395"/>
  <c r="H41" i="5395"/>
  <c r="O20" i="5385" l="1"/>
  <c r="O16" i="5381"/>
  <c r="O21" i="5389"/>
  <c r="O20" i="5389"/>
  <c r="O22" i="5377" l="1"/>
  <c r="O16" i="5393"/>
  <c r="O20" i="5393" l="1"/>
  <c r="O15" i="5393"/>
  <c r="O16" i="5383"/>
  <c r="O22" i="5381"/>
  <c r="O17" i="5391" l="1"/>
  <c r="O22" i="5387"/>
  <c r="O15" i="5391"/>
  <c r="O21" i="5393"/>
  <c r="O15" i="5379"/>
  <c r="O17" i="5389"/>
  <c r="O17" i="5375"/>
  <c r="O19" i="5393"/>
  <c r="O17" i="5393"/>
  <c r="C27" i="5393"/>
  <c r="B24" i="5393"/>
  <c r="C20" i="5393"/>
  <c r="B17" i="5393"/>
  <c r="H49" i="5393" s="1"/>
  <c r="C16" i="5393"/>
  <c r="C15" i="5393"/>
  <c r="C14" i="5393"/>
  <c r="C13" i="5393"/>
  <c r="O12" i="5393"/>
  <c r="C12" i="5393"/>
  <c r="O11" i="5393"/>
  <c r="C11" i="5393"/>
  <c r="O10" i="5393"/>
  <c r="C10" i="5393"/>
  <c r="C9" i="5393"/>
  <c r="C8" i="5393"/>
  <c r="O7" i="5393"/>
  <c r="C7" i="5393"/>
  <c r="O6" i="5393"/>
  <c r="B6" i="5393"/>
  <c r="O5" i="5393"/>
  <c r="B5" i="5393"/>
  <c r="O4" i="5393"/>
  <c r="O3" i="5393"/>
  <c r="O2" i="5393"/>
  <c r="O16" i="5391"/>
  <c r="O18" i="5391"/>
  <c r="C27" i="5391"/>
  <c r="B24" i="5391"/>
  <c r="C20" i="5391"/>
  <c r="B17" i="5391"/>
  <c r="H50" i="5391" s="1"/>
  <c r="C16" i="5391"/>
  <c r="C15" i="5391"/>
  <c r="C14" i="5391"/>
  <c r="C13" i="5391"/>
  <c r="O12" i="5391"/>
  <c r="C12" i="5391"/>
  <c r="O11" i="5391"/>
  <c r="C11" i="5391"/>
  <c r="O10" i="5391"/>
  <c r="C10" i="5391"/>
  <c r="C9" i="5391"/>
  <c r="C8" i="5391"/>
  <c r="O7" i="5391"/>
  <c r="C7" i="5391"/>
  <c r="O6" i="5391"/>
  <c r="B6" i="5391"/>
  <c r="O5" i="5391"/>
  <c r="B5" i="5391"/>
  <c r="O4" i="5391"/>
  <c r="O3" i="5391"/>
  <c r="O2" i="5391"/>
  <c r="O22" i="5389"/>
  <c r="O23" i="5389"/>
  <c r="O15" i="5377"/>
  <c r="O17" i="5377"/>
  <c r="O26" i="5375"/>
  <c r="H35" i="5393" l="1"/>
  <c r="H27" i="5393"/>
  <c r="H34" i="5393"/>
  <c r="H10" i="5393"/>
  <c r="H6" i="5393"/>
  <c r="C17" i="5391"/>
  <c r="H8" i="5391"/>
  <c r="H3" i="5391"/>
  <c r="H10" i="5391"/>
  <c r="H2" i="5391"/>
  <c r="H4" i="5391"/>
  <c r="H16" i="5393"/>
  <c r="H3" i="5393"/>
  <c r="H25" i="5393"/>
  <c r="H43" i="5393"/>
  <c r="H12" i="5393"/>
  <c r="H19" i="5393"/>
  <c r="H9" i="5393"/>
  <c r="H44" i="5393"/>
  <c r="H4" i="5393"/>
  <c r="H21" i="5393"/>
  <c r="H7" i="5393"/>
  <c r="H46" i="5393"/>
  <c r="H36" i="5393"/>
  <c r="H13" i="5393"/>
  <c r="H22" i="5393"/>
  <c r="H29" i="5393"/>
  <c r="H5" i="5393"/>
  <c r="H14" i="5393"/>
  <c r="H23" i="5393"/>
  <c r="H30" i="5393"/>
  <c r="H39" i="5393"/>
  <c r="H48" i="5393"/>
  <c r="H45" i="5393"/>
  <c r="H28" i="5393"/>
  <c r="B23" i="5393"/>
  <c r="H47" i="5393"/>
  <c r="H11" i="5393"/>
  <c r="H2" i="5393"/>
  <c r="H8" i="5393"/>
  <c r="H18" i="5393"/>
  <c r="H31" i="5393"/>
  <c r="H40" i="5393"/>
  <c r="H50" i="5393"/>
  <c r="C17" i="5393"/>
  <c r="H37" i="5393"/>
  <c r="H17" i="5393"/>
  <c r="H38" i="5393"/>
  <c r="C18" i="5393"/>
  <c r="H15" i="5393"/>
  <c r="C19" i="5393"/>
  <c r="H24" i="5393"/>
  <c r="H32" i="5393"/>
  <c r="H42" i="5393"/>
  <c r="H51" i="5393"/>
  <c r="H20" i="5393"/>
  <c r="H26" i="5393"/>
  <c r="H33" i="5393"/>
  <c r="H41" i="5393"/>
  <c r="H17" i="5391"/>
  <c r="H22" i="5391"/>
  <c r="H27" i="5391"/>
  <c r="H35" i="5391"/>
  <c r="H43" i="5391"/>
  <c r="H51" i="5391"/>
  <c r="H5" i="5391"/>
  <c r="H11" i="5391"/>
  <c r="H14" i="5391"/>
  <c r="C18" i="5391"/>
  <c r="B23" i="5391"/>
  <c r="H28" i="5391"/>
  <c r="H36" i="5391"/>
  <c r="H44" i="5391"/>
  <c r="H18" i="5391"/>
  <c r="H23" i="5391"/>
  <c r="H29" i="5391"/>
  <c r="H37" i="5391"/>
  <c r="H45" i="5391"/>
  <c r="H15" i="5391"/>
  <c r="C19" i="5391"/>
  <c r="H30" i="5391"/>
  <c r="H38" i="5391"/>
  <c r="H46" i="5391"/>
  <c r="H6" i="5391"/>
  <c r="H9" i="5391"/>
  <c r="H12" i="5391"/>
  <c r="H19" i="5391"/>
  <c r="H24" i="5391"/>
  <c r="H31" i="5391"/>
  <c r="H39" i="5391"/>
  <c r="H47" i="5391"/>
  <c r="H16" i="5391"/>
  <c r="H25" i="5391"/>
  <c r="H32" i="5391"/>
  <c r="H40" i="5391"/>
  <c r="H48" i="5391"/>
  <c r="H20" i="5391"/>
  <c r="H26" i="5391"/>
  <c r="H33" i="5391"/>
  <c r="H41" i="5391"/>
  <c r="H49" i="5391"/>
  <c r="H7" i="5391"/>
  <c r="H13" i="5391"/>
  <c r="H21" i="5391"/>
  <c r="H34" i="5391"/>
  <c r="H42" i="5391"/>
  <c r="O19" i="5389" l="1"/>
  <c r="O17" i="5387"/>
  <c r="O16" i="5387"/>
  <c r="O17" i="5379"/>
  <c r="O19" i="5385" l="1"/>
  <c r="O17" i="5383"/>
  <c r="O18" i="5387"/>
  <c r="O19" i="5387"/>
  <c r="O15" i="5385" l="1"/>
  <c r="O15" i="5383"/>
  <c r="O21" i="5381"/>
  <c r="O19" i="5381"/>
  <c r="O16" i="5389"/>
  <c r="O18" i="5389"/>
  <c r="C27" i="5389"/>
  <c r="B24" i="5389"/>
  <c r="C20" i="5389"/>
  <c r="B17" i="5389"/>
  <c r="H50" i="5389" s="1"/>
  <c r="C16" i="5389"/>
  <c r="C15" i="5389"/>
  <c r="C14" i="5389"/>
  <c r="C13" i="5389"/>
  <c r="O12" i="5389"/>
  <c r="C12" i="5389"/>
  <c r="O11" i="5389"/>
  <c r="C11" i="5389"/>
  <c r="O10" i="5389"/>
  <c r="C10" i="5389"/>
  <c r="C9" i="5389"/>
  <c r="C8" i="5389"/>
  <c r="O7" i="5389"/>
  <c r="C7" i="5389"/>
  <c r="O6" i="5389"/>
  <c r="B6" i="5389"/>
  <c r="O5" i="5389"/>
  <c r="B5" i="5389"/>
  <c r="O4" i="5389"/>
  <c r="O3" i="5389"/>
  <c r="O2" i="5389"/>
  <c r="O22" i="5383"/>
  <c r="O21" i="5379"/>
  <c r="O22" i="5375"/>
  <c r="H12" i="5389" l="1"/>
  <c r="H24" i="5389"/>
  <c r="H9" i="5389"/>
  <c r="H43" i="5389"/>
  <c r="H17" i="5389"/>
  <c r="H14" i="5389"/>
  <c r="H4" i="5389"/>
  <c r="C17" i="5389"/>
  <c r="H33" i="5389"/>
  <c r="H6" i="5389"/>
  <c r="H25" i="5389"/>
  <c r="H18" i="5389"/>
  <c r="H11" i="5389"/>
  <c r="H37" i="5389"/>
  <c r="H48" i="5389"/>
  <c r="H3" i="5389"/>
  <c r="H13" i="5389"/>
  <c r="H21" i="5389"/>
  <c r="H44" i="5389"/>
  <c r="H45" i="5389"/>
  <c r="C18" i="5389"/>
  <c r="H46" i="5389"/>
  <c r="C19" i="5389"/>
  <c r="H19" i="5389"/>
  <c r="H38" i="5389"/>
  <c r="H51" i="5389"/>
  <c r="H22" i="5389"/>
  <c r="H8" i="5389"/>
  <c r="H30" i="5389"/>
  <c r="B23" i="5389"/>
  <c r="H26" i="5389"/>
  <c r="H36" i="5389"/>
  <c r="H2" i="5389"/>
  <c r="H28" i="5389"/>
  <c r="H27" i="5389"/>
  <c r="H10" i="5389"/>
  <c r="H7" i="5389"/>
  <c r="H15" i="5389"/>
  <c r="H20" i="5389"/>
  <c r="H16" i="5389"/>
  <c r="H39" i="5389"/>
  <c r="H5" i="5389"/>
  <c r="H23" i="5389"/>
  <c r="H40" i="5389"/>
  <c r="H47" i="5389"/>
  <c r="H31" i="5389"/>
  <c r="H34" i="5389"/>
  <c r="H41" i="5389"/>
  <c r="H49" i="5389"/>
  <c r="H29" i="5389"/>
  <c r="H32" i="5389"/>
  <c r="H35" i="5389"/>
  <c r="H42" i="5389"/>
  <c r="O18" i="5381" l="1"/>
  <c r="O20" i="5387"/>
  <c r="O15" i="5387"/>
  <c r="C27" i="5387"/>
  <c r="B24" i="5387"/>
  <c r="C20" i="5387"/>
  <c r="B17" i="5387"/>
  <c r="H51" i="5387" s="1"/>
  <c r="C16" i="5387"/>
  <c r="C15" i="5387"/>
  <c r="C14" i="5387"/>
  <c r="C13" i="5387"/>
  <c r="O12" i="5387"/>
  <c r="C12" i="5387"/>
  <c r="O11" i="5387"/>
  <c r="C11" i="5387"/>
  <c r="O10" i="5387"/>
  <c r="C10" i="5387"/>
  <c r="C9" i="5387"/>
  <c r="C8" i="5387"/>
  <c r="O7" i="5387"/>
  <c r="C7" i="5387"/>
  <c r="O6" i="5387"/>
  <c r="B6" i="5387"/>
  <c r="O5" i="5387"/>
  <c r="B5" i="5387"/>
  <c r="O4" i="5387"/>
  <c r="O3" i="5387"/>
  <c r="O2" i="5387"/>
  <c r="O20" i="5377"/>
  <c r="O18" i="5375"/>
  <c r="O21" i="5385"/>
  <c r="O19" i="5379"/>
  <c r="O18" i="5379"/>
  <c r="O19" i="5383"/>
  <c r="O22" i="5385"/>
  <c r="O23" i="5385"/>
  <c r="C27" i="5385"/>
  <c r="B24" i="5385"/>
  <c r="C20" i="5385"/>
  <c r="B17" i="5385"/>
  <c r="H50" i="5385" s="1"/>
  <c r="C16" i="5385"/>
  <c r="C15" i="5385"/>
  <c r="C14" i="5385"/>
  <c r="C13" i="5385"/>
  <c r="O12" i="5385"/>
  <c r="C12" i="5385"/>
  <c r="O11" i="5385"/>
  <c r="C11" i="5385"/>
  <c r="O10" i="5385"/>
  <c r="C10" i="5385"/>
  <c r="C9" i="5385"/>
  <c r="C8" i="5385"/>
  <c r="O7" i="5385"/>
  <c r="C7" i="5385"/>
  <c r="O6" i="5385"/>
  <c r="B6" i="5385"/>
  <c r="O5" i="5385"/>
  <c r="B5" i="5385"/>
  <c r="O4" i="5385"/>
  <c r="O3" i="5385"/>
  <c r="O2" i="5385"/>
  <c r="O20" i="5383"/>
  <c r="O18" i="5383"/>
  <c r="C27" i="5383"/>
  <c r="B24" i="5383"/>
  <c r="C20" i="5383"/>
  <c r="B17" i="5383"/>
  <c r="H50" i="5383" s="1"/>
  <c r="C16" i="5383"/>
  <c r="C15" i="5383"/>
  <c r="C14" i="5383"/>
  <c r="C13" i="5383"/>
  <c r="O12" i="5383"/>
  <c r="C12" i="5383"/>
  <c r="O11" i="5383"/>
  <c r="C11" i="5383"/>
  <c r="O10" i="5383"/>
  <c r="C10" i="5383"/>
  <c r="C9" i="5383"/>
  <c r="C8" i="5383"/>
  <c r="O7" i="5383"/>
  <c r="C7" i="5383"/>
  <c r="O6" i="5383"/>
  <c r="B6" i="5383"/>
  <c r="O5" i="5383"/>
  <c r="B5" i="5383"/>
  <c r="O4" i="5383"/>
  <c r="O3" i="5383"/>
  <c r="O2" i="5383"/>
  <c r="O19" i="5377"/>
  <c r="O23" i="5377"/>
  <c r="O21" i="5375"/>
  <c r="O23" i="5375"/>
  <c r="H43" i="5385" l="1"/>
  <c r="H32" i="5387"/>
  <c r="H8" i="5387"/>
  <c r="H15" i="5387"/>
  <c r="H26" i="5387"/>
  <c r="H7" i="5387"/>
  <c r="H33" i="5387"/>
  <c r="H45" i="5387"/>
  <c r="H4" i="5387"/>
  <c r="H47" i="5387"/>
  <c r="H24" i="5387"/>
  <c r="H21" i="5387"/>
  <c r="H12" i="5387"/>
  <c r="C19" i="5387"/>
  <c r="H46" i="5387"/>
  <c r="H14" i="5387"/>
  <c r="H9" i="5387"/>
  <c r="B23" i="5387"/>
  <c r="H11" i="5387"/>
  <c r="H29" i="5387"/>
  <c r="H3" i="5387"/>
  <c r="H38" i="5387"/>
  <c r="H48" i="5387"/>
  <c r="H5" i="5387"/>
  <c r="H49" i="5387"/>
  <c r="H16" i="5387"/>
  <c r="H2" i="5387"/>
  <c r="C18" i="5387"/>
  <c r="H13" i="5387"/>
  <c r="H39" i="5387"/>
  <c r="H36" i="5387"/>
  <c r="H37" i="5387"/>
  <c r="H23" i="5387"/>
  <c r="H25" i="5387"/>
  <c r="H44" i="5387"/>
  <c r="H40" i="5385"/>
  <c r="H3" i="5383"/>
  <c r="H4" i="5383"/>
  <c r="H10" i="5383"/>
  <c r="H6" i="5383"/>
  <c r="H17" i="5387"/>
  <c r="H31" i="5387"/>
  <c r="H40" i="5387"/>
  <c r="H20" i="5387"/>
  <c r="H10" i="5387"/>
  <c r="H22" i="5387"/>
  <c r="C17" i="5387"/>
  <c r="H28" i="5387"/>
  <c r="H18" i="5387"/>
  <c r="H41" i="5387"/>
  <c r="H6" i="5387"/>
  <c r="H19" i="5387"/>
  <c r="H34" i="5387"/>
  <c r="H42" i="5387"/>
  <c r="H50" i="5387"/>
  <c r="H27" i="5387"/>
  <c r="H30" i="5387"/>
  <c r="H35" i="5387"/>
  <c r="H43" i="5387"/>
  <c r="H17" i="5385"/>
  <c r="H44" i="5385"/>
  <c r="H9" i="5385"/>
  <c r="H30" i="5385"/>
  <c r="H3" i="5385"/>
  <c r="H14" i="5385"/>
  <c r="C19" i="5385"/>
  <c r="H32" i="5385"/>
  <c r="H5" i="5385"/>
  <c r="H8" i="5385"/>
  <c r="H24" i="5385"/>
  <c r="H25" i="5385"/>
  <c r="H2" i="5385"/>
  <c r="C18" i="5385"/>
  <c r="H45" i="5385"/>
  <c r="H6" i="5385"/>
  <c r="H18" i="5385"/>
  <c r="H31" i="5385"/>
  <c r="H11" i="5385"/>
  <c r="H15" i="5385"/>
  <c r="H23" i="5385"/>
  <c r="H35" i="5385"/>
  <c r="H12" i="5385"/>
  <c r="H19" i="5385"/>
  <c r="H36" i="5385"/>
  <c r="H46" i="5385"/>
  <c r="H16" i="5385"/>
  <c r="H27" i="5385"/>
  <c r="H37" i="5385"/>
  <c r="H47" i="5385"/>
  <c r="H48" i="5385"/>
  <c r="H4" i="5385"/>
  <c r="H10" i="5385"/>
  <c r="H22" i="5385"/>
  <c r="H28" i="5385"/>
  <c r="H38" i="5385"/>
  <c r="H7" i="5385"/>
  <c r="H13" i="5385"/>
  <c r="C17" i="5385"/>
  <c r="B23" i="5385"/>
  <c r="H29" i="5385"/>
  <c r="H39" i="5385"/>
  <c r="H51" i="5385"/>
  <c r="H20" i="5385"/>
  <c r="H26" i="5385"/>
  <c r="H33" i="5385"/>
  <c r="H41" i="5385"/>
  <c r="H49" i="5385"/>
  <c r="H21" i="5385"/>
  <c r="H34" i="5385"/>
  <c r="H42" i="5385"/>
  <c r="H8" i="5383"/>
  <c r="C17" i="5383"/>
  <c r="H12" i="5383"/>
  <c r="H2" i="5383"/>
  <c r="H9" i="5383"/>
  <c r="H17" i="5383"/>
  <c r="H22" i="5383"/>
  <c r="H27" i="5383"/>
  <c r="H35" i="5383"/>
  <c r="H43" i="5383"/>
  <c r="H51" i="5383"/>
  <c r="H5" i="5383"/>
  <c r="H11" i="5383"/>
  <c r="H14" i="5383"/>
  <c r="C18" i="5383"/>
  <c r="B23" i="5383"/>
  <c r="H28" i="5383"/>
  <c r="H36" i="5383"/>
  <c r="H44" i="5383"/>
  <c r="H18" i="5383"/>
  <c r="H23" i="5383"/>
  <c r="H29" i="5383"/>
  <c r="H37" i="5383"/>
  <c r="H45" i="5383"/>
  <c r="H15" i="5383"/>
  <c r="C19" i="5383"/>
  <c r="H30" i="5383"/>
  <c r="H38" i="5383"/>
  <c r="H46" i="5383"/>
  <c r="H19" i="5383"/>
  <c r="H24" i="5383"/>
  <c r="H31" i="5383"/>
  <c r="H39" i="5383"/>
  <c r="H47" i="5383"/>
  <c r="H16" i="5383"/>
  <c r="H25" i="5383"/>
  <c r="H32" i="5383"/>
  <c r="H40" i="5383"/>
  <c r="H48" i="5383"/>
  <c r="H20" i="5383"/>
  <c r="H26" i="5383"/>
  <c r="H33" i="5383"/>
  <c r="H41" i="5383"/>
  <c r="H49" i="5383"/>
  <c r="H7" i="5383"/>
  <c r="H13" i="5383"/>
  <c r="H21" i="5383"/>
  <c r="H34" i="5383"/>
  <c r="H42" i="5383"/>
  <c r="O17" i="5381" l="1"/>
  <c r="O20" i="5381"/>
  <c r="C27" i="5381"/>
  <c r="B24" i="5381"/>
  <c r="C20" i="5381"/>
  <c r="B17" i="5381"/>
  <c r="H50" i="5381" s="1"/>
  <c r="C16" i="5381"/>
  <c r="C15" i="5381"/>
  <c r="C14" i="5381"/>
  <c r="C13" i="5381"/>
  <c r="O12" i="5381"/>
  <c r="C12" i="5381"/>
  <c r="O11" i="5381"/>
  <c r="C11" i="5381"/>
  <c r="O10" i="5381"/>
  <c r="C10" i="5381"/>
  <c r="C9" i="5381"/>
  <c r="C8" i="5381"/>
  <c r="O7" i="5381"/>
  <c r="C7" i="5381"/>
  <c r="O6" i="5381"/>
  <c r="B6" i="5381"/>
  <c r="O5" i="5381"/>
  <c r="B5" i="5381"/>
  <c r="O4" i="5381"/>
  <c r="O3" i="5381"/>
  <c r="O2" i="5381"/>
  <c r="O22" i="5379"/>
  <c r="O16" i="5379"/>
  <c r="C27" i="5379"/>
  <c r="B24" i="5379"/>
  <c r="C20" i="5379"/>
  <c r="B17" i="5379"/>
  <c r="H49" i="5379" s="1"/>
  <c r="C16" i="5379"/>
  <c r="C15" i="5379"/>
  <c r="C14" i="5379"/>
  <c r="C13" i="5379"/>
  <c r="O12" i="5379"/>
  <c r="C12" i="5379"/>
  <c r="O11" i="5379"/>
  <c r="C11" i="5379"/>
  <c r="O10" i="5379"/>
  <c r="C10" i="5379"/>
  <c r="C9" i="5379"/>
  <c r="C8" i="5379"/>
  <c r="O7" i="5379"/>
  <c r="C7" i="5379"/>
  <c r="O6" i="5379"/>
  <c r="B6" i="5379"/>
  <c r="O5" i="5379"/>
  <c r="B5" i="5379"/>
  <c r="O4" i="5379"/>
  <c r="O3" i="5379"/>
  <c r="O2" i="5379"/>
  <c r="O24" i="5375"/>
  <c r="O16" i="5377"/>
  <c r="O21" i="5377"/>
  <c r="C27" i="5377"/>
  <c r="B24" i="5377"/>
  <c r="C20" i="5377"/>
  <c r="B17" i="5377"/>
  <c r="H51" i="5377" s="1"/>
  <c r="C16" i="5377"/>
  <c r="C15" i="5377"/>
  <c r="C14" i="5377"/>
  <c r="C13" i="5377"/>
  <c r="O12" i="5377"/>
  <c r="C12" i="5377"/>
  <c r="O11" i="5377"/>
  <c r="C11" i="5377"/>
  <c r="O10" i="5377"/>
  <c r="C10" i="5377"/>
  <c r="C9" i="5377"/>
  <c r="C8" i="5377"/>
  <c r="O7" i="5377"/>
  <c r="C7" i="5377"/>
  <c r="O6" i="5377"/>
  <c r="B6" i="5377"/>
  <c r="O5" i="5377"/>
  <c r="B5" i="5377"/>
  <c r="O4" i="5377"/>
  <c r="O3" i="5377"/>
  <c r="O2" i="5377"/>
  <c r="O16" i="5375"/>
  <c r="O20" i="5375"/>
  <c r="C27" i="5375"/>
  <c r="B24" i="5375"/>
  <c r="C20" i="5375"/>
  <c r="B17" i="5375"/>
  <c r="H5" i="5375" s="1"/>
  <c r="C16" i="5375"/>
  <c r="C15" i="5375"/>
  <c r="C14" i="5375"/>
  <c r="C13" i="5375"/>
  <c r="O12" i="5375"/>
  <c r="C12" i="5375"/>
  <c r="O11" i="5375"/>
  <c r="C11" i="5375"/>
  <c r="O10" i="5375"/>
  <c r="C10" i="5375"/>
  <c r="C9" i="5375"/>
  <c r="C8" i="5375"/>
  <c r="O7" i="5375"/>
  <c r="C7" i="5375"/>
  <c r="O6" i="5375"/>
  <c r="B6" i="5375"/>
  <c r="O5" i="5375"/>
  <c r="B5" i="5375"/>
  <c r="O4" i="5375"/>
  <c r="O3" i="5375"/>
  <c r="O2" i="5375"/>
  <c r="H16" i="5379" l="1"/>
  <c r="H23" i="5377"/>
  <c r="H4" i="5377"/>
  <c r="H44" i="5377"/>
  <c r="H45" i="5377"/>
  <c r="H17" i="5377"/>
  <c r="H24" i="5381"/>
  <c r="H4" i="5381"/>
  <c r="H3" i="5379"/>
  <c r="H2" i="5377"/>
  <c r="H11" i="5377"/>
  <c r="H13" i="5377"/>
  <c r="H26" i="5377"/>
  <c r="H46" i="5377"/>
  <c r="H12" i="5377"/>
  <c r="H32" i="5377"/>
  <c r="H28" i="5377"/>
  <c r="H30" i="5377"/>
  <c r="C19" i="5377"/>
  <c r="H35" i="5377"/>
  <c r="H10" i="5377"/>
  <c r="H3" i="5377"/>
  <c r="H16" i="5377"/>
  <c r="H36" i="5377"/>
  <c r="H7" i="5377"/>
  <c r="H37" i="5377"/>
  <c r="H8" i="5381"/>
  <c r="H27" i="5381"/>
  <c r="H12" i="5381"/>
  <c r="H17" i="5381"/>
  <c r="H31" i="5381"/>
  <c r="H35" i="5381"/>
  <c r="C17" i="5381"/>
  <c r="H2" i="5381"/>
  <c r="H9" i="5381"/>
  <c r="H19" i="5381"/>
  <c r="H6" i="5381"/>
  <c r="H39" i="5381"/>
  <c r="H3" i="5381"/>
  <c r="H10" i="5381"/>
  <c r="H22" i="5381"/>
  <c r="H43" i="5381"/>
  <c r="H51" i="5381"/>
  <c r="H5" i="5381"/>
  <c r="H11" i="5381"/>
  <c r="H14" i="5381"/>
  <c r="C18" i="5381"/>
  <c r="B23" i="5381"/>
  <c r="H28" i="5381"/>
  <c r="H36" i="5381"/>
  <c r="H44" i="5381"/>
  <c r="H18" i="5381"/>
  <c r="H23" i="5381"/>
  <c r="H29" i="5381"/>
  <c r="H37" i="5381"/>
  <c r="H45" i="5381"/>
  <c r="H15" i="5381"/>
  <c r="C19" i="5381"/>
  <c r="H30" i="5381"/>
  <c r="H38" i="5381"/>
  <c r="H46" i="5381"/>
  <c r="H47" i="5381"/>
  <c r="H16" i="5381"/>
  <c r="H25" i="5381"/>
  <c r="H32" i="5381"/>
  <c r="H40" i="5381"/>
  <c r="H48" i="5381"/>
  <c r="H20" i="5381"/>
  <c r="H26" i="5381"/>
  <c r="H33" i="5381"/>
  <c r="H41" i="5381"/>
  <c r="H49" i="5381"/>
  <c r="H7" i="5381"/>
  <c r="H13" i="5381"/>
  <c r="H21" i="5381"/>
  <c r="H34" i="5381"/>
  <c r="H42" i="5381"/>
  <c r="H4" i="5379"/>
  <c r="H9" i="5379"/>
  <c r="H34" i="5379"/>
  <c r="H25" i="5379"/>
  <c r="H6" i="5379"/>
  <c r="H35" i="5379"/>
  <c r="H43" i="5379"/>
  <c r="H12" i="5379"/>
  <c r="H19" i="5379"/>
  <c r="H44" i="5379"/>
  <c r="H45" i="5379"/>
  <c r="H27" i="5379"/>
  <c r="H13" i="5379"/>
  <c r="H46" i="5379"/>
  <c r="H17" i="5379"/>
  <c r="C17" i="5379"/>
  <c r="H28" i="5379"/>
  <c r="H29" i="5379"/>
  <c r="H11" i="5379"/>
  <c r="H14" i="5379"/>
  <c r="C18" i="5379"/>
  <c r="H23" i="5379"/>
  <c r="H30" i="5379"/>
  <c r="H39" i="5379"/>
  <c r="H48" i="5379"/>
  <c r="H36" i="5379"/>
  <c r="H22" i="5379"/>
  <c r="H47" i="5379"/>
  <c r="H8" i="5379"/>
  <c r="H18" i="5379"/>
  <c r="H31" i="5379"/>
  <c r="H40" i="5379"/>
  <c r="H50" i="5379"/>
  <c r="H10" i="5379"/>
  <c r="H21" i="5379"/>
  <c r="H7" i="5379"/>
  <c r="H37" i="5379"/>
  <c r="B23" i="5379"/>
  <c r="H38" i="5379"/>
  <c r="H5" i="5379"/>
  <c r="H2" i="5379"/>
  <c r="H15" i="5379"/>
  <c r="C19" i="5379"/>
  <c r="H24" i="5379"/>
  <c r="H32" i="5379"/>
  <c r="H42" i="5379"/>
  <c r="H51" i="5379"/>
  <c r="H20" i="5379"/>
  <c r="H26" i="5379"/>
  <c r="H33" i="5379"/>
  <c r="H41" i="5379"/>
  <c r="H47" i="5377"/>
  <c r="H22" i="5377"/>
  <c r="H14" i="5377"/>
  <c r="H38" i="5377"/>
  <c r="C17" i="5377"/>
  <c r="H39" i="5377"/>
  <c r="B23" i="5377"/>
  <c r="H18" i="5377"/>
  <c r="H40" i="5377"/>
  <c r="H15" i="5377"/>
  <c r="H9" i="5377"/>
  <c r="H48" i="5377"/>
  <c r="H8" i="5377"/>
  <c r="H24" i="5377"/>
  <c r="H27" i="5377"/>
  <c r="H50" i="5377"/>
  <c r="H19" i="5377"/>
  <c r="H6" i="5377"/>
  <c r="H20" i="5377"/>
  <c r="H31" i="5377"/>
  <c r="C18" i="5377"/>
  <c r="H25" i="5377"/>
  <c r="H21" i="5377"/>
  <c r="H42" i="5377"/>
  <c r="H5" i="5377"/>
  <c r="H41" i="5377"/>
  <c r="H49" i="5377"/>
  <c r="H33" i="5377"/>
  <c r="H34" i="5377"/>
  <c r="H29" i="5377"/>
  <c r="H43" i="5377"/>
  <c r="H16" i="5375"/>
  <c r="H9" i="5375"/>
  <c r="H22" i="5375"/>
  <c r="H17" i="5375"/>
  <c r="H37" i="5375"/>
  <c r="H44" i="5375"/>
  <c r="C17" i="5375"/>
  <c r="H4" i="5375"/>
  <c r="H34" i="5375"/>
  <c r="H40" i="5375"/>
  <c r="H27" i="5375"/>
  <c r="H47" i="5375"/>
  <c r="H6" i="5375"/>
  <c r="H12" i="5375"/>
  <c r="H2" i="5375"/>
  <c r="H20" i="5375"/>
  <c r="H8" i="5375"/>
  <c r="C19" i="5375"/>
  <c r="H7" i="5375"/>
  <c r="H14" i="5375"/>
  <c r="H3" i="5375"/>
  <c r="H11" i="5375"/>
  <c r="H28" i="5375"/>
  <c r="H19" i="5375"/>
  <c r="H21" i="5375"/>
  <c r="H33" i="5375"/>
  <c r="C18" i="5375"/>
  <c r="B23" i="5375"/>
  <c r="H30" i="5375"/>
  <c r="H39" i="5375"/>
  <c r="H46" i="5375"/>
  <c r="H23" i="5375"/>
  <c r="H41" i="5375"/>
  <c r="H48" i="5375"/>
  <c r="H15" i="5375"/>
  <c r="H13" i="5375"/>
  <c r="H25" i="5375"/>
  <c r="H32" i="5375"/>
  <c r="H49" i="5375"/>
  <c r="H24" i="5375"/>
  <c r="H36" i="5375"/>
  <c r="H42" i="5375"/>
  <c r="H50" i="5375"/>
  <c r="H35" i="5375"/>
  <c r="H29" i="5375"/>
  <c r="H31" i="5375"/>
  <c r="H43" i="5375"/>
  <c r="H51" i="5375"/>
  <c r="H18" i="5375"/>
  <c r="H26" i="5375"/>
  <c r="H10" i="5375"/>
  <c r="H38" i="5375"/>
  <c r="H45" i="53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<sst xmlns="http://schemas.openxmlformats.org/spreadsheetml/2006/main" count="3220" uniqueCount="239">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</sst>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全体!$K$2:$K$551</c:f>
              <c:numCache>
                <c:formatCode>General</c:formatCode>
                <c:ptCount val="5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</c:numCache>
            </c:numRef>
          </c:xVal>
          <c:yVal>
            <c:numRef>
              <c:f>全体!$L$2:$L$551</c:f>
              <c:numCache>
                <c:formatCode>\+0.0;\-0.0;\±0</c:formatCode>
                <c:ptCount val="55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0-4A5D-971C-64D3E319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-14.571948998178506</c:v>
                </c:pt>
                <c:pt idx="1">
                  <c:v>-7.4487895716945998</c:v>
                </c:pt>
                <c:pt idx="2">
                  <c:v>7.8895463510848129</c:v>
                </c:pt>
                <c:pt idx="3">
                  <c:v>10.893246187363834</c:v>
                </c:pt>
                <c:pt idx="4">
                  <c:v>-14.598540145985401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AC-44ED-B190-DD90D742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だいち!$L$2:$L$125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7-4C00-BA82-65451FE46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1617.0731707317073</c:v>
                </c:pt>
                <c:pt idx="1">
                  <c:v>1381.6666666666667</c:v>
                </c:pt>
                <c:pt idx="2">
                  <c:v>1435.0877192982457</c:v>
                </c:pt>
                <c:pt idx="3">
                  <c:v>2149.0384615384614</c:v>
                </c:pt>
                <c:pt idx="4">
                  <c:v>975.82417582417577</c:v>
                </c:pt>
                <c:pt idx="5">
                  <c:v>896.2962962962963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8-4059-BF9F-CEA8B53F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7-41EE-ACE0-BE0C248E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F-4750-8037-10A29FAB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ただ!$L$2:$L$67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3-4D4B-AD64-6015C4A8D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-1896.9230769230769</c:v>
                </c:pt>
                <c:pt idx="1">
                  <c:v>-1312.6984126984128</c:v>
                </c:pt>
                <c:pt idx="2">
                  <c:v>-993.22033898305085</c:v>
                </c:pt>
                <c:pt idx="3">
                  <c:v>-5470.588235294118</c:v>
                </c:pt>
                <c:pt idx="4">
                  <c:v>-1915.5555555555557</c:v>
                </c:pt>
                <c:pt idx="5">
                  <c:v>-2057.1428571428573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8-465F-B258-BC66FFAD0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9-496F-A4A5-B043ADED6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-1152</c:v>
                </c:pt>
                <c:pt idx="1">
                  <c:v>382.43243243243245</c:v>
                </c:pt>
                <c:pt idx="2">
                  <c:v>1686.9565217391305</c:v>
                </c:pt>
                <c:pt idx="3">
                  <c:v>2362.7118644067796</c:v>
                </c:pt>
                <c:pt idx="4">
                  <c:v>-838.46153846153845</c:v>
                </c:pt>
                <c:pt idx="5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A-442D-9664-F6D4C5DF6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たかの!$L$2:$L$61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6-45CF-BDFD-F27CA662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445.76271186440675</c:v>
                </c:pt>
                <c:pt idx="1">
                  <c:v>100</c:v>
                </c:pt>
                <c:pt idx="2">
                  <c:v>-1135.8490566037735</c:v>
                </c:pt>
                <c:pt idx="3">
                  <c:v>372</c:v>
                </c:pt>
                <c:pt idx="4">
                  <c:v>661.22448979591832</c:v>
                </c:pt>
                <c:pt idx="5">
                  <c:v>-351.16279069767444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25-4F8F-BFDC-68AF86709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ぱぱ!$L$2:$L$45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E-4127-8E0A-3C77FA5B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-2806.9767441860463</c:v>
                </c:pt>
                <c:pt idx="1">
                  <c:v>2062.7906976744184</c:v>
                </c:pt>
                <c:pt idx="2">
                  <c:v>-831.70731707317077</c:v>
                </c:pt>
                <c:pt idx="3">
                  <c:v>-3700</c:v>
                </c:pt>
                <c:pt idx="4">
                  <c:v>-44.117647058823529</c:v>
                </c:pt>
                <c:pt idx="5">
                  <c:v>136.36363636363637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EC8-93B4-9E170C42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075-AF7F-0AC65B98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1204.4444444444443</c:v>
                </c:pt>
                <c:pt idx="1">
                  <c:v>655.81395348837214</c:v>
                </c:pt>
                <c:pt idx="2">
                  <c:v>-1348.7179487179487</c:v>
                </c:pt>
                <c:pt idx="3">
                  <c:v>1668.421052631579</c:v>
                </c:pt>
                <c:pt idx="4">
                  <c:v>-1444.1176470588234</c:v>
                </c:pt>
                <c:pt idx="5">
                  <c:v>-220.68965517241378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A-431D-A7C5-40DB1E39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428-B3A6-0EDFB1BE6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94-4049-A35D-49CEF8D0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7-4485-A2EE-4762E28E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C35-BC73-8FE55BD45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7-4C24-A1E8-E166072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D-4258-B654-A4C76D318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0-49BD-AF9C-E7729BF2B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5-4D71-8D50-39BE4C99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A-48E4-9D43-D68FD2F7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6-407E-97CA-5DD370CD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まっつん2!$B$3:$B$48</c:f>
              <c:numCache>
                <c:formatCode>\+0.0;\-0.0;\±0</c:formatCode>
                <c:ptCount val="4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まっつん2!$C$3:$C$48</c:f>
              <c:numCache>
                <c:formatCode>\+0.0;\-0.0;\±0</c:formatCode>
                <c:ptCount val="46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9424906331530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まっつん2!$D$3:$D$48</c:f>
              <c:numCache>
                <c:formatCode>0.00\ "位"</c:formatCode>
                <c:ptCount val="46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まっつん2!$E$3:$E$48</c:f>
              <c:numCache>
                <c:formatCode>0.0%</c:formatCode>
                <c:ptCount val="4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まっつん2!$F$3:$F$48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まっつん2!$G$3:$G$48</c:f>
              <c:numCache>
                <c:formatCode>0.0%</c:formatCode>
                <c:ptCount val="46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15280506439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まっつん2!$H$3:$H$48</c:f>
              <c:numCache>
                <c:formatCode>0.0%</c:formatCode>
                <c:ptCount val="46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648984937786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まっつん2!$I$3:$I$48</c:f>
              <c:numCache>
                <c:formatCode>0</c:formatCode>
                <c:ptCount val="46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60.79999999999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まっつん2!$J$3:$J$48</c:f>
              <c:numCache>
                <c:formatCode>0</c:formatCode>
                <c:ptCount val="46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36.84895833333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まっつん2!$K$3:$K$48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754098360655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まっつん2!$L$3:$L$48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754098360655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まっつん2!$M$3:$M$48</c:f>
              <c:numCache>
                <c:formatCode>0.0%</c:formatCode>
                <c:ptCount val="46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414974896310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まっつん2!$N$3:$N$48</c:f>
              <c:numCache>
                <c:formatCode>0.0%</c:formatCode>
                <c:ptCount val="46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342938223095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まっつん2!$O$3:$O$48</c:f>
              <c:numCache>
                <c:formatCode>0.0%</c:formatCode>
                <c:ptCount val="46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2031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まっつん2!$P$3:$P$48</c:f>
              <c:numCache>
                <c:formatCode>0.0%</c:formatCode>
                <c:ptCount val="46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07507820646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まっつん2!$Q$3:$Q$48</c:f>
              <c:numCache>
                <c:formatCode>0.0%</c:formatCode>
                <c:ptCount val="46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636363636363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6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6" x14ac:dyDescent="0.4">
      <c r="A50" s="30" t="s">
        <v>238</v>
      </c>
      <c r="B50" s="31">
        <v>43609.772719907407</v>
      </c>
      <c r="C50" s="30" t="s">
        <v>130</v>
      </c>
      <c r="D50" s="30" t="s">
        <v>131</v>
      </c>
      <c r="E50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549</v>
      </c>
    </row>
    <row r="2" spans="1:2" x14ac:dyDescent="0.4">
      <c r="A2" t="s">
        <v>127</v>
      </c>
      <c r="B2">
        <v>123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65</v>
      </c>
    </row>
    <row r="5" spans="1:2" x14ac:dyDescent="0.4">
      <c r="A5" t="s">
        <v>171</v>
      </c>
      <c r="B5">
        <v>75</v>
      </c>
    </row>
    <row r="6" spans="1:2" x14ac:dyDescent="0.4">
      <c r="A6" t="s">
        <v>172</v>
      </c>
      <c r="B6">
        <v>59</v>
      </c>
    </row>
    <row r="7" spans="1:2" x14ac:dyDescent="0.4">
      <c r="A7" t="s">
        <v>173</v>
      </c>
      <c r="B7">
        <v>43</v>
      </c>
    </row>
    <row r="8" spans="1:2" x14ac:dyDescent="0.4">
      <c r="A8" t="s">
        <v>177</v>
      </c>
      <c r="B8">
        <v>45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0.41526826067372113</v>
      </c>
      <c r="G2" s="155"/>
      <c r="H2" s="154">
        <v>9.9319684042336265E-2</v>
      </c>
      <c r="I2" s="155"/>
      <c r="J2" s="154">
        <v>0.57704877971963686</v>
      </c>
      <c r="K2" s="155"/>
      <c r="L2" s="154">
        <v>0.22844342082564953</v>
      </c>
      <c r="M2" s="155"/>
      <c r="N2" s="154">
        <v>0.44128684922904848</v>
      </c>
      <c r="O2" s="155"/>
      <c r="P2" s="154">
        <v>0.42738209817733691</v>
      </c>
      <c r="Q2" s="155"/>
      <c r="R2" s="154">
        <v>-4.3612241714775381E-2</v>
      </c>
      <c r="S2" s="155"/>
      <c r="T2" s="154">
        <v>0.23241772665730212</v>
      </c>
      <c r="U2" s="155"/>
      <c r="V2" s="154">
        <v>0.64605222577134447</v>
      </c>
      <c r="W2" s="155"/>
      <c r="X2" s="154">
        <v>0.81673979487363046</v>
      </c>
      <c r="Y2" s="155"/>
      <c r="Z2" s="154">
        <v>-8.1882919004133664E-2</v>
      </c>
      <c r="AA2" s="155"/>
      <c r="AB2" s="154">
        <v>-0.3545836297156863</v>
      </c>
      <c r="AC2" s="155"/>
      <c r="AD2" s="154">
        <v>7.9365945348425313E-3</v>
      </c>
      <c r="AE2" s="155"/>
      <c r="AF2" s="154">
        <v>-0.48593936931841147</v>
      </c>
      <c r="AG2" s="155"/>
      <c r="AH2" s="154">
        <v>0.6912257684305797</v>
      </c>
      <c r="AI2" s="155"/>
    </row>
    <row r="3" spans="1:35" x14ac:dyDescent="0.4">
      <c r="A3" s="74">
        <v>1</v>
      </c>
      <c r="B3" s="75" t="s">
        <v>127</v>
      </c>
      <c r="C3" s="76">
        <v>1598.200000000001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0.17073170731707318</v>
      </c>
      <c r="X3" s="77" t="s">
        <v>225</v>
      </c>
      <c r="Y3" s="80">
        <v>0.375</v>
      </c>
      <c r="Z3" s="77" t="s">
        <v>172</v>
      </c>
      <c r="AA3" s="80">
        <v>0.28875968992248063</v>
      </c>
      <c r="AB3" s="77" t="s">
        <v>225</v>
      </c>
      <c r="AC3" s="80">
        <v>1</v>
      </c>
      <c r="AD3" s="77" t="s">
        <v>127</v>
      </c>
      <c r="AE3" s="80">
        <v>0.51598173515981738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145.29999999999998</v>
      </c>
      <c r="D4" s="85" t="s">
        <v>224</v>
      </c>
      <c r="E4" s="97">
        <v>13.3</v>
      </c>
      <c r="F4" s="85" t="s">
        <v>127</v>
      </c>
      <c r="G4" s="86">
        <v>1.7235772357723578</v>
      </c>
      <c r="H4" s="85" t="s">
        <v>127</v>
      </c>
      <c r="I4" s="87">
        <v>0.49593495934959347</v>
      </c>
      <c r="J4" s="85" t="s">
        <v>224</v>
      </c>
      <c r="K4" s="87">
        <v>0</v>
      </c>
      <c r="L4" s="85" t="s">
        <v>172</v>
      </c>
      <c r="M4" s="88">
        <v>0.36434108527131781</v>
      </c>
      <c r="N4" s="85" t="s">
        <v>185</v>
      </c>
      <c r="O4" s="88">
        <v>0.10526315789473684</v>
      </c>
      <c r="P4" s="85" t="s">
        <v>171</v>
      </c>
      <c r="Q4" s="89">
        <v>9939.8876404494385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0.13333333333333333</v>
      </c>
      <c r="X4" s="85" t="s">
        <v>127</v>
      </c>
      <c r="Y4" s="88">
        <v>0.32865731462925851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12.993495934959357</v>
      </c>
      <c r="F5" s="85" t="s">
        <v>177</v>
      </c>
      <c r="G5" s="86">
        <v>1.9555555555555555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0.35170340681362727</v>
      </c>
      <c r="N5" s="85" t="s">
        <v>172</v>
      </c>
      <c r="O5" s="88">
        <v>0.12790697674418605</v>
      </c>
      <c r="P5" s="85" t="s">
        <v>128</v>
      </c>
      <c r="Q5" s="89">
        <v>9304.2635658914733</v>
      </c>
      <c r="R5" s="85" t="s">
        <v>177</v>
      </c>
      <c r="S5" s="89">
        <v>-7621.311475409836</v>
      </c>
      <c r="T5" s="85" t="s">
        <v>224</v>
      </c>
      <c r="U5" s="87">
        <v>0</v>
      </c>
      <c r="V5" s="85" t="s">
        <v>145</v>
      </c>
      <c r="W5" s="87">
        <v>0.11475409836065574</v>
      </c>
      <c r="X5" s="85" t="s">
        <v>128</v>
      </c>
      <c r="Y5" s="88">
        <v>0.29778247096092925</v>
      </c>
      <c r="Z5" s="85" t="s">
        <v>173</v>
      </c>
      <c r="AA5" s="88">
        <v>0.26133333333333331</v>
      </c>
      <c r="AB5" s="85" t="s">
        <v>177</v>
      </c>
      <c r="AC5" s="88">
        <v>0.67021276595744683</v>
      </c>
      <c r="AD5" s="85" t="s">
        <v>186</v>
      </c>
      <c r="AE5" s="88">
        <v>0.45</v>
      </c>
      <c r="AF5" s="85" t="s">
        <v>173</v>
      </c>
      <c r="AG5" s="88">
        <v>0.50450450450450446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39.500000000000007</v>
      </c>
      <c r="D6" s="85" t="s">
        <v>171</v>
      </c>
      <c r="E6" s="97">
        <v>1.9373333333333331</v>
      </c>
      <c r="F6" s="85" t="s">
        <v>145</v>
      </c>
      <c r="G6" s="86">
        <v>2</v>
      </c>
      <c r="H6" s="85" t="s">
        <v>177</v>
      </c>
      <c r="I6" s="87">
        <v>0.37777777777777777</v>
      </c>
      <c r="J6" s="85" t="s">
        <v>127</v>
      </c>
      <c r="K6" s="87">
        <v>0.21951219512195122</v>
      </c>
      <c r="L6" s="85" t="s">
        <v>202</v>
      </c>
      <c r="M6" s="88">
        <v>0.30434782608695654</v>
      </c>
      <c r="N6" s="85" t="s">
        <v>127</v>
      </c>
      <c r="O6" s="88">
        <v>0.15330661322645289</v>
      </c>
      <c r="P6" s="85" t="s">
        <v>127</v>
      </c>
      <c r="Q6" s="89">
        <v>9112.2507122507122</v>
      </c>
      <c r="R6" s="85" t="s">
        <v>186</v>
      </c>
      <c r="S6" s="89">
        <v>-7700</v>
      </c>
      <c r="T6" s="85" t="s">
        <v>225</v>
      </c>
      <c r="U6" s="87">
        <v>0</v>
      </c>
      <c r="V6" s="85" t="s">
        <v>177</v>
      </c>
      <c r="W6" s="87">
        <v>0.1111111111111111</v>
      </c>
      <c r="X6" s="85" t="s">
        <v>171</v>
      </c>
      <c r="Y6" s="88">
        <v>0.2861685214626391</v>
      </c>
      <c r="Z6" s="85" t="s">
        <v>127</v>
      </c>
      <c r="AA6" s="88">
        <v>0.21943887775551102</v>
      </c>
      <c r="AB6" s="85" t="s">
        <v>186</v>
      </c>
      <c r="AC6" s="88">
        <v>0.625</v>
      </c>
      <c r="AD6" s="85" t="s">
        <v>172</v>
      </c>
      <c r="AE6" s="88">
        <v>0.44295302013422821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172</v>
      </c>
      <c r="C7" s="84">
        <v>21.999999999999986</v>
      </c>
      <c r="D7" s="85" t="s">
        <v>177</v>
      </c>
      <c r="E7" s="97">
        <v>0.87777777777777799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0.30508474576271188</v>
      </c>
      <c r="L7" s="85" t="s">
        <v>145</v>
      </c>
      <c r="M7" s="88">
        <v>0.3001528050643964</v>
      </c>
      <c r="N7" s="85" t="s">
        <v>177</v>
      </c>
      <c r="O7" s="88">
        <v>0.16621253405994552</v>
      </c>
      <c r="P7" s="85" t="s">
        <v>129</v>
      </c>
      <c r="Q7" s="89">
        <v>9066.9421487603304</v>
      </c>
      <c r="R7" s="85" t="s">
        <v>128</v>
      </c>
      <c r="S7" s="89">
        <v>-7741.1042944785277</v>
      </c>
      <c r="T7" s="85" t="s">
        <v>172</v>
      </c>
      <c r="U7" s="87">
        <v>5.0847457627118647E-2</v>
      </c>
      <c r="V7" s="85" t="s">
        <v>129</v>
      </c>
      <c r="W7" s="87">
        <v>0.1076923076923077</v>
      </c>
      <c r="X7" s="85" t="s">
        <v>145</v>
      </c>
      <c r="Y7" s="88">
        <v>0.27941497489631084</v>
      </c>
      <c r="Z7" s="85" t="s">
        <v>185</v>
      </c>
      <c r="AA7" s="88">
        <v>0.21052631578947367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0.37288135593220317</v>
      </c>
      <c r="F8" s="85" t="s">
        <v>224</v>
      </c>
      <c r="G8" s="86">
        <v>2</v>
      </c>
      <c r="H8" s="85" t="s">
        <v>171</v>
      </c>
      <c r="I8" s="87">
        <v>0.30666666666666664</v>
      </c>
      <c r="J8" s="85" t="s">
        <v>177</v>
      </c>
      <c r="K8" s="87">
        <v>0.33333333333333331</v>
      </c>
      <c r="L8" s="85" t="s">
        <v>177</v>
      </c>
      <c r="M8" s="88">
        <v>0.29700272479564033</v>
      </c>
      <c r="N8" s="85" t="s">
        <v>145</v>
      </c>
      <c r="O8" s="88">
        <v>0.16764898493778652</v>
      </c>
      <c r="P8" s="85" t="s">
        <v>177</v>
      </c>
      <c r="Q8" s="89">
        <v>8874.3119266055037</v>
      </c>
      <c r="R8" s="85" t="s">
        <v>173</v>
      </c>
      <c r="S8" s="89">
        <v>-7807.1428571428569</v>
      </c>
      <c r="T8" s="85" t="s">
        <v>171</v>
      </c>
      <c r="U8" s="87">
        <v>6.6666666666666666E-2</v>
      </c>
      <c r="V8" s="85" t="s">
        <v>172</v>
      </c>
      <c r="W8" s="87">
        <v>0.10169491525423729</v>
      </c>
      <c r="X8" s="85" t="s">
        <v>129</v>
      </c>
      <c r="Y8" s="88">
        <v>0.26865671641791045</v>
      </c>
      <c r="Z8" s="85" t="s">
        <v>145</v>
      </c>
      <c r="AA8" s="88">
        <v>0.20934293822309538</v>
      </c>
      <c r="AB8" s="85" t="s">
        <v>173</v>
      </c>
      <c r="AC8" s="88">
        <v>0.59302325581395354</v>
      </c>
      <c r="AD8" s="85" t="s">
        <v>171</v>
      </c>
      <c r="AE8" s="88">
        <v>0.39830508474576271</v>
      </c>
      <c r="AF8" s="85" t="s">
        <v>129</v>
      </c>
      <c r="AG8" s="88">
        <v>0.49586776859504134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1.2942490633153009E-17</v>
      </c>
      <c r="F9" s="85" t="s">
        <v>172</v>
      </c>
      <c r="G9" s="86">
        <v>2.0338983050847457</v>
      </c>
      <c r="H9" s="85" t="s">
        <v>173</v>
      </c>
      <c r="I9" s="87">
        <v>0.27906976744186046</v>
      </c>
      <c r="J9" s="85" t="s">
        <v>145</v>
      </c>
      <c r="K9" s="87">
        <v>0.33333333333333331</v>
      </c>
      <c r="L9" s="85" t="s">
        <v>173</v>
      </c>
      <c r="M9" s="88">
        <v>0.29599999999999999</v>
      </c>
      <c r="N9" s="85" t="s">
        <v>171</v>
      </c>
      <c r="O9" s="88">
        <v>0.17170111287758347</v>
      </c>
      <c r="P9" s="85" t="s">
        <v>225</v>
      </c>
      <c r="Q9" s="89">
        <v>8666.6666666666661</v>
      </c>
      <c r="R9" s="85" t="s">
        <v>171</v>
      </c>
      <c r="S9" s="89">
        <v>-7845.3703703703704</v>
      </c>
      <c r="T9" s="85" t="s">
        <v>127</v>
      </c>
      <c r="U9" s="87">
        <v>0.10569105691056911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186</v>
      </c>
      <c r="AA9" s="88">
        <v>0.19230769230769232</v>
      </c>
      <c r="AB9" s="85" t="s">
        <v>171</v>
      </c>
      <c r="AC9" s="88">
        <v>0.58888888888888891</v>
      </c>
      <c r="AD9" s="85" t="s">
        <v>145</v>
      </c>
      <c r="AE9" s="88">
        <v>0.39207507820646509</v>
      </c>
      <c r="AF9" s="85" t="s">
        <v>145</v>
      </c>
      <c r="AG9" s="88">
        <v>0.43563636363636365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171</v>
      </c>
      <c r="G10" s="86">
        <v>2.04</v>
      </c>
      <c r="H10" s="85" t="s">
        <v>172</v>
      </c>
      <c r="I10" s="87">
        <v>0.2711864406779661</v>
      </c>
      <c r="J10" s="85" t="s">
        <v>171</v>
      </c>
      <c r="K10" s="87">
        <v>0.34666666666666668</v>
      </c>
      <c r="L10" s="85" t="s">
        <v>171</v>
      </c>
      <c r="M10" s="88">
        <v>0.28298887122416533</v>
      </c>
      <c r="N10" s="85" t="s">
        <v>128</v>
      </c>
      <c r="O10" s="88">
        <v>0.17212249208025343</v>
      </c>
      <c r="P10" s="85" t="s">
        <v>145</v>
      </c>
      <c r="Q10" s="89">
        <v>8660.7999999999993</v>
      </c>
      <c r="R10" s="85" t="s">
        <v>127</v>
      </c>
      <c r="S10" s="89">
        <v>-8224.1830065359482</v>
      </c>
      <c r="T10" s="85" t="s">
        <v>145</v>
      </c>
      <c r="U10" s="87">
        <v>0.11475409836065574</v>
      </c>
      <c r="V10" s="85" t="s">
        <v>173</v>
      </c>
      <c r="W10" s="87">
        <v>6.9767441860465115E-2</v>
      </c>
      <c r="X10" s="85" t="s">
        <v>177</v>
      </c>
      <c r="Y10" s="88">
        <v>0.2561307901907357</v>
      </c>
      <c r="Z10" s="85" t="s">
        <v>177</v>
      </c>
      <c r="AA10" s="88">
        <v>0.1907356948228883</v>
      </c>
      <c r="AB10" s="85" t="s">
        <v>128</v>
      </c>
      <c r="AC10" s="88">
        <v>0.58510638297872342</v>
      </c>
      <c r="AD10" s="85" t="s">
        <v>177</v>
      </c>
      <c r="AE10" s="88">
        <v>0.37142857142857144</v>
      </c>
      <c r="AF10" s="85" t="s">
        <v>171</v>
      </c>
      <c r="AG10" s="88">
        <v>0.42696629213483145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2.0782608695652174</v>
      </c>
      <c r="H11" s="85" t="s">
        <v>128</v>
      </c>
      <c r="I11" s="87">
        <v>0.26956521739130435</v>
      </c>
      <c r="J11" s="85" t="s">
        <v>128</v>
      </c>
      <c r="K11" s="87">
        <v>0.34782608695652173</v>
      </c>
      <c r="L11" s="85" t="s">
        <v>128</v>
      </c>
      <c r="M11" s="88">
        <v>0.27243928194297784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145</v>
      </c>
      <c r="S11" s="89">
        <v>-8236.8489583333339</v>
      </c>
      <c r="T11" s="85" t="s">
        <v>173</v>
      </c>
      <c r="U11" s="87">
        <v>0.11627906976744186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171</v>
      </c>
      <c r="AA11" s="88">
        <v>0.18759936406995231</v>
      </c>
      <c r="AB11" s="85" t="s">
        <v>145</v>
      </c>
      <c r="AC11" s="88">
        <v>0.58203125</v>
      </c>
      <c r="AD11" s="85" t="s">
        <v>173</v>
      </c>
      <c r="AE11" s="88">
        <v>0.33673469387755101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-6.7372093023255815</v>
      </c>
      <c r="F12" s="85" t="s">
        <v>186</v>
      </c>
      <c r="G12" s="86">
        <v>2.0833333333333335</v>
      </c>
      <c r="H12" s="85" t="s">
        <v>129</v>
      </c>
      <c r="I12" s="87">
        <v>0.23076923076923078</v>
      </c>
      <c r="J12" s="85" t="s">
        <v>173</v>
      </c>
      <c r="K12" s="87">
        <v>0.37209302325581395</v>
      </c>
      <c r="L12" s="85" t="s">
        <v>186</v>
      </c>
      <c r="M12" s="88">
        <v>0.26923076923076922</v>
      </c>
      <c r="N12" s="85" t="s">
        <v>173</v>
      </c>
      <c r="O12" s="88">
        <v>0.18666666666666668</v>
      </c>
      <c r="P12" s="85" t="s">
        <v>186</v>
      </c>
      <c r="Q12" s="89">
        <v>7700</v>
      </c>
      <c r="R12" s="85" t="s">
        <v>172</v>
      </c>
      <c r="S12" s="89">
        <v>-9269.69696969697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0.18057022175290391</v>
      </c>
      <c r="AB12" s="85" t="s">
        <v>172</v>
      </c>
      <c r="AC12" s="88">
        <v>0.57894736842105265</v>
      </c>
      <c r="AD12" s="85" t="s">
        <v>128</v>
      </c>
      <c r="AE12" s="88">
        <v>0.2982456140350877</v>
      </c>
      <c r="AF12" s="85" t="s">
        <v>172</v>
      </c>
      <c r="AG12" s="88">
        <v>0.42021276595744683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-289.7</v>
      </c>
      <c r="D13" s="85" t="s">
        <v>186</v>
      </c>
      <c r="E13" s="97">
        <v>-9.7166666666666668</v>
      </c>
      <c r="F13" s="85" t="s">
        <v>173</v>
      </c>
      <c r="G13" s="86">
        <v>2.0930232558139537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0.19589552238805971</v>
      </c>
      <c r="P13" s="85" t="s">
        <v>202</v>
      </c>
      <c r="Q13" s="89">
        <v>7438.0952380952385</v>
      </c>
      <c r="R13" s="85" t="s">
        <v>129</v>
      </c>
      <c r="S13" s="89">
        <v>-9580.9523809523816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0.16604477611940299</v>
      </c>
      <c r="AB13" s="85" t="s">
        <v>127</v>
      </c>
      <c r="AC13" s="88">
        <v>0.57621951219512191</v>
      </c>
      <c r="AD13" s="85" t="s">
        <v>129</v>
      </c>
      <c r="AE13" s="88">
        <v>0.23595505617977527</v>
      </c>
      <c r="AF13" s="85" t="s">
        <v>177</v>
      </c>
      <c r="AG13" s="88">
        <v>0.41284403669724773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-16.663076923076918</v>
      </c>
      <c r="F14" s="85" t="s">
        <v>129</v>
      </c>
      <c r="G14" s="86">
        <v>2.2769230769230768</v>
      </c>
      <c r="H14" s="85" t="s">
        <v>224</v>
      </c>
      <c r="I14" s="87">
        <v>0</v>
      </c>
      <c r="J14" s="85" t="s">
        <v>129</v>
      </c>
      <c r="K14" s="87">
        <v>0.50769230769230766</v>
      </c>
      <c r="L14" s="85" t="s">
        <v>129</v>
      </c>
      <c r="M14" s="88">
        <v>0.22574626865671643</v>
      </c>
      <c r="N14" s="85" t="s">
        <v>186</v>
      </c>
      <c r="O14" s="88">
        <v>0.23076923076923078</v>
      </c>
      <c r="P14" s="85" t="s">
        <v>173</v>
      </c>
      <c r="Q14" s="89">
        <v>6976.5765765765764</v>
      </c>
      <c r="R14" s="85" t="s">
        <v>224</v>
      </c>
      <c r="S14" s="89">
        <v>-12000</v>
      </c>
      <c r="T14" s="85" t="s">
        <v>177</v>
      </c>
      <c r="U14" s="87">
        <v>0.17777777777777778</v>
      </c>
      <c r="V14" s="85" t="s">
        <v>224</v>
      </c>
      <c r="W14" s="87">
        <v>0</v>
      </c>
      <c r="X14" s="85" t="s">
        <v>173</v>
      </c>
      <c r="Y14" s="88">
        <v>0.22933333333333333</v>
      </c>
      <c r="Z14" s="85" t="s">
        <v>225</v>
      </c>
      <c r="AA14" s="88">
        <v>0.125</v>
      </c>
      <c r="AB14" s="85" t="s">
        <v>129</v>
      </c>
      <c r="AC14" s="88">
        <v>0.49305555555555558</v>
      </c>
      <c r="AD14" s="85" t="s">
        <v>224</v>
      </c>
      <c r="AE14" s="88">
        <v>0</v>
      </c>
      <c r="AF14" s="85" t="s">
        <v>127</v>
      </c>
      <c r="AG14" s="88">
        <v>0.40740740740740738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-1083.0999999999997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6579.255319148936</v>
      </c>
      <c r="R15" s="85" t="s">
        <v>225</v>
      </c>
      <c r="S15" s="89">
        <v>-14000</v>
      </c>
      <c r="T15" s="85" t="s">
        <v>129</v>
      </c>
      <c r="U15" s="87">
        <v>0.18461538461538463</v>
      </c>
      <c r="V15" s="85" t="s">
        <v>225</v>
      </c>
      <c r="W15" s="87">
        <v>0</v>
      </c>
      <c r="X15" s="85" t="s">
        <v>172</v>
      </c>
      <c r="Y15" s="88">
        <v>0.22093023255813954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17C8-B4FA-41A2-BCFD-E2187B042FB4}">
  <sheetPr codeName="Sheet4"/>
  <dimension ref="A1:Q5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549</v>
      </c>
      <c r="C2" s="147"/>
      <c r="E2" s="62" t="s">
        <v>67</v>
      </c>
      <c r="F2" s="59" t="s">
        <v>23</v>
      </c>
      <c r="G2" s="46">
        <v>1020</v>
      </c>
      <c r="H2" s="132">
        <f>IF(B$17=0,0,G2/B$17)</f>
        <v>0.74181818181818182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-14.571948998178506</v>
      </c>
      <c r="P2" s="118">
        <v>549</v>
      </c>
      <c r="Q2" s="102">
        <v>-8000</v>
      </c>
    </row>
    <row r="3" spans="1:17" x14ac:dyDescent="0.4">
      <c r="A3" s="55" t="s">
        <v>8</v>
      </c>
      <c r="B3" s="148">
        <v>4581</v>
      </c>
      <c r="C3" s="149"/>
      <c r="E3" s="63" t="s">
        <v>65</v>
      </c>
      <c r="F3" s="60" t="s">
        <v>21</v>
      </c>
      <c r="G3" s="47">
        <v>712</v>
      </c>
      <c r="H3" s="133">
        <f>IF(B$17=0,0,G3/B$17)</f>
        <v>0.51781818181818184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-7.4487895716945998</v>
      </c>
      <c r="P3" s="119">
        <v>537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703</v>
      </c>
      <c r="H4" s="133">
        <f>IF(B$17=0,0,G4/B$17)</f>
        <v>0.51127272727272732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7.8895463510848129</v>
      </c>
      <c r="P4" s="119">
        <v>507</v>
      </c>
      <c r="Q4" s="103">
        <v>4000</v>
      </c>
    </row>
    <row r="5" spans="1:17" x14ac:dyDescent="0.4">
      <c r="A5" s="55" t="s">
        <v>7</v>
      </c>
      <c r="B5" s="152">
        <f>IF(B$2=0,0,B$4/B$2)</f>
        <v>1.2942490633153009E-17</v>
      </c>
      <c r="C5" s="153"/>
      <c r="E5" s="63" t="s">
        <v>181</v>
      </c>
      <c r="F5" s="60" t="s">
        <v>182</v>
      </c>
      <c r="G5" s="47">
        <v>566</v>
      </c>
      <c r="H5" s="133">
        <f>IF(B$17=0,0,G5/B$17)</f>
        <v>0.41163636363636363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10.893246187363834</v>
      </c>
      <c r="P5" s="119">
        <v>459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432</v>
      </c>
      <c r="H6" s="133">
        <f>IF(B$17=0,0,G6/B$17)</f>
        <v>0.31418181818181817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-14.598540145985401</v>
      </c>
      <c r="P6" s="119">
        <v>411</v>
      </c>
      <c r="Q6" s="103">
        <v>-6000</v>
      </c>
    </row>
    <row r="7" spans="1:17" x14ac:dyDescent="0.4">
      <c r="A7" s="55" t="s">
        <v>2</v>
      </c>
      <c r="B7" s="47">
        <v>183</v>
      </c>
      <c r="C7" s="39">
        <f>IF(B$2=0,0,B7/B$2)</f>
        <v>0.33333333333333331</v>
      </c>
      <c r="E7" s="63" t="s">
        <v>68</v>
      </c>
      <c r="F7" s="60" t="s">
        <v>24</v>
      </c>
      <c r="G7" s="47">
        <v>412</v>
      </c>
      <c r="H7" s="133">
        <f>IF(B$17=0,0,G7/B$17)</f>
        <v>0.29963636363636365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</v>
      </c>
      <c r="P7" s="120">
        <v>375</v>
      </c>
      <c r="Q7" s="104">
        <v>9000</v>
      </c>
    </row>
    <row r="8" spans="1:17" x14ac:dyDescent="0.4">
      <c r="A8" s="55" t="s">
        <v>3</v>
      </c>
      <c r="B8" s="47">
        <v>183</v>
      </c>
      <c r="C8" s="39">
        <f>IF(B$2=0,0,B8/B$2)</f>
        <v>0.33333333333333331</v>
      </c>
      <c r="E8" s="63" t="s">
        <v>70</v>
      </c>
      <c r="F8" s="60" t="s">
        <v>25</v>
      </c>
      <c r="G8" s="47">
        <v>247</v>
      </c>
      <c r="H8" s="133">
        <f>IF(B$17=0,0,G8/B$17)</f>
        <v>0.17963636363636365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183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169</v>
      </c>
      <c r="H9" s="133">
        <f>IF(B$17=0,0,G9/B$17)</f>
        <v>0.12290909090909091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63</v>
      </c>
      <c r="C10" s="40">
        <f>IF(B$2=0,0,B10/B$2)</f>
        <v>0.11475409836065574</v>
      </c>
      <c r="E10" s="63" t="s">
        <v>90</v>
      </c>
      <c r="F10" s="60" t="s">
        <v>45</v>
      </c>
      <c r="G10" s="47">
        <v>166</v>
      </c>
      <c r="H10" s="133">
        <f>IF(B$17=0,0,G10/B$17)</f>
        <v>0.12072727272727272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-2.5950819672131149</v>
      </c>
      <c r="P10" s="118">
        <v>183</v>
      </c>
      <c r="Q10" s="106">
        <v>-474.90000000000003</v>
      </c>
    </row>
    <row r="11" spans="1:17" x14ac:dyDescent="0.4">
      <c r="A11" s="56" t="s">
        <v>140</v>
      </c>
      <c r="B11" s="48">
        <v>63</v>
      </c>
      <c r="C11" s="40">
        <f>IF(B$2=0,0,B11/B$2)</f>
        <v>0.11475409836065574</v>
      </c>
      <c r="E11" s="63" t="s">
        <v>71</v>
      </c>
      <c r="F11" s="60" t="s">
        <v>26</v>
      </c>
      <c r="G11" s="47">
        <v>142</v>
      </c>
      <c r="H11" s="133">
        <f>IF(B$17=0,0,G11/B$17)</f>
        <v>0.10327272727272727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-0.73989071038251386</v>
      </c>
      <c r="P11" s="119">
        <v>183</v>
      </c>
      <c r="Q11" s="107">
        <v>-135.40000000000003</v>
      </c>
    </row>
    <row r="12" spans="1:17" x14ac:dyDescent="0.4">
      <c r="A12" s="57" t="s">
        <v>160</v>
      </c>
      <c r="B12" s="49">
        <v>47</v>
      </c>
      <c r="C12" s="42">
        <f>IF(B$2=0,0,B12/B$2)</f>
        <v>8.5610200364298727E-2</v>
      </c>
      <c r="E12" s="63" t="s">
        <v>72</v>
      </c>
      <c r="F12" s="60" t="s">
        <v>27</v>
      </c>
      <c r="G12" s="47">
        <v>91</v>
      </c>
      <c r="H12" s="133">
        <f>IF(B$17=0,0,G12/B$17)</f>
        <v>6.6181818181818175E-2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3.334972677595629</v>
      </c>
      <c r="P12" s="120">
        <v>183</v>
      </c>
      <c r="Q12" s="108">
        <v>610.30000000000007</v>
      </c>
    </row>
    <row r="13" spans="1:17" x14ac:dyDescent="0.4">
      <c r="A13" s="58" t="s">
        <v>122</v>
      </c>
      <c r="B13" s="50">
        <v>1280</v>
      </c>
      <c r="C13" s="44">
        <f>IF(B$3=0,0,B13/B$3)</f>
        <v>0.27941497489631084</v>
      </c>
      <c r="E13" s="63" t="s">
        <v>87</v>
      </c>
      <c r="F13" s="60" t="s">
        <v>42</v>
      </c>
      <c r="G13" s="47">
        <v>76</v>
      </c>
      <c r="H13" s="133">
        <f>IF(B$17=0,0,G13/B$17)</f>
        <v>5.5272727272727272E-2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959</v>
      </c>
      <c r="C14" s="39">
        <f>IF(B$3=0,0,B14/B$3)</f>
        <v>0.20934293822309538</v>
      </c>
      <c r="E14" s="63" t="s">
        <v>84</v>
      </c>
      <c r="F14" s="60" t="s">
        <v>39</v>
      </c>
      <c r="G14" s="47">
        <v>60</v>
      </c>
      <c r="H14" s="133">
        <f>IF(B$17=0,0,G14/B$17)</f>
        <v>4.363636363636364E-2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745</v>
      </c>
      <c r="C15" s="37">
        <f>IF(B$13=0,0,B15/B$13)</f>
        <v>0.58203125</v>
      </c>
      <c r="E15" s="63" t="s">
        <v>82</v>
      </c>
      <c r="F15" s="60" t="s">
        <v>37</v>
      </c>
      <c r="G15" s="47">
        <v>39</v>
      </c>
      <c r="H15" s="133">
        <f>IF(B$17=0,0,G15/B$17)</f>
        <v>2.8363636363636365E-2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376</v>
      </c>
      <c r="C16" s="37">
        <f>IF(B$14=0,0,B16/B$14)</f>
        <v>0.39207507820646509</v>
      </c>
      <c r="E16" s="63" t="s">
        <v>79</v>
      </c>
      <c r="F16" s="60" t="s">
        <v>34</v>
      </c>
      <c r="G16" s="47">
        <v>36</v>
      </c>
      <c r="H16" s="133">
        <f>IF(B$17=0,0,G16/B$17)</f>
        <v>2.6181818181818181E-2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24.994615384615404</v>
      </c>
      <c r="P16" s="119">
        <v>130</v>
      </c>
      <c r="Q16" s="107">
        <v>3249.3000000000025</v>
      </c>
    </row>
    <row r="17" spans="1:17" x14ac:dyDescent="0.4">
      <c r="A17" s="54" t="s">
        <v>10</v>
      </c>
      <c r="B17" s="46">
        <f>B19+B18</f>
        <v>1375</v>
      </c>
      <c r="C17" s="37">
        <f>IF(B$3=0,0,B17/B$3)</f>
        <v>0.3001528050643964</v>
      </c>
      <c r="E17" s="63" t="s">
        <v>92</v>
      </c>
      <c r="F17" s="60" t="s">
        <v>47</v>
      </c>
      <c r="G17" s="47">
        <v>27</v>
      </c>
      <c r="H17" s="133">
        <f>IF(B$17=0,0,G17/B$17)</f>
        <v>1.9636363636363636E-2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599</v>
      </c>
      <c r="C18" s="39">
        <f>IF(B$17=0,0,B18/B$17)</f>
        <v>0.43563636363636365</v>
      </c>
      <c r="E18" s="63" t="s">
        <v>80</v>
      </c>
      <c r="F18" s="60" t="s">
        <v>35</v>
      </c>
      <c r="G18" s="47">
        <v>22</v>
      </c>
      <c r="H18" s="133">
        <f>IF(B$17=0,0,G18/B$17)</f>
        <v>1.6E-2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10.10581395348837</v>
      </c>
      <c r="P18" s="119">
        <v>86</v>
      </c>
      <c r="Q18" s="107">
        <v>869.0999999999998</v>
      </c>
    </row>
    <row r="19" spans="1:17" x14ac:dyDescent="0.4">
      <c r="A19" s="55" t="s">
        <v>11</v>
      </c>
      <c r="B19" s="47">
        <v>776</v>
      </c>
      <c r="C19" s="39">
        <f>IF(B$17=0,0,B19/B$17)</f>
        <v>0.5643636363636364</v>
      </c>
      <c r="E19" s="63" t="s">
        <v>180</v>
      </c>
      <c r="F19" s="60" t="s">
        <v>183</v>
      </c>
      <c r="G19" s="47">
        <v>20</v>
      </c>
      <c r="H19" s="133">
        <f>IF(B$17=0,0,G19/B$17)</f>
        <v>1.4545454545454545E-2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768</v>
      </c>
      <c r="C20" s="39">
        <f>IF(B$3=0,0,B20/B$3)</f>
        <v>0.16764898493778652</v>
      </c>
      <c r="E20" s="63" t="s">
        <v>76</v>
      </c>
      <c r="F20" s="60" t="s">
        <v>31</v>
      </c>
      <c r="G20" s="47">
        <v>9</v>
      </c>
      <c r="H20" s="133">
        <f>IF(B$17=0,0,G20/B$17)</f>
        <v>6.5454545454545453E-3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5.8181818181818178E-3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-0.5593220338983067</v>
      </c>
      <c r="P21" s="119">
        <v>118</v>
      </c>
      <c r="Q21" s="107">
        <v>-66.000000000000185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75</v>
      </c>
      <c r="F22" s="60" t="s">
        <v>30</v>
      </c>
      <c r="G22" s="47">
        <v>6</v>
      </c>
      <c r="H22" s="133">
        <f>IF(B$17=0,0,G22/B$17)</f>
        <v>4.3636363636363638E-3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-1.3166666666666689</v>
      </c>
      <c r="P22" s="119">
        <v>90</v>
      </c>
      <c r="Q22" s="107">
        <v>-118.5000000000002</v>
      </c>
    </row>
    <row r="23" spans="1:17" x14ac:dyDescent="0.4">
      <c r="A23" s="55" t="s">
        <v>5</v>
      </c>
      <c r="B23" s="51">
        <f>IF(B$17=0,0,C23/B$17)</f>
        <v>8660.7999999999993</v>
      </c>
      <c r="C23" s="41">
        <v>11908600</v>
      </c>
      <c r="E23" s="63" t="s">
        <v>93</v>
      </c>
      <c r="F23" s="60" t="s">
        <v>48</v>
      </c>
      <c r="G23" s="47">
        <v>6</v>
      </c>
      <c r="H23" s="133">
        <f>IF(B$17=0,0,G23/B$17)</f>
        <v>4.3636363636363638E-3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-2.9059999999999979</v>
      </c>
      <c r="P23" s="119">
        <v>150</v>
      </c>
      <c r="Q23" s="107">
        <v>-435.89999999999969</v>
      </c>
    </row>
    <row r="24" spans="1:17" x14ac:dyDescent="0.4">
      <c r="A24" s="57" t="s">
        <v>14</v>
      </c>
      <c r="B24" s="52">
        <f>IF(B$20=0,0,C24/B$20)</f>
        <v>-8236.8489583333339</v>
      </c>
      <c r="C24" s="45">
        <v>-6325900</v>
      </c>
      <c r="E24" s="63" t="s">
        <v>88</v>
      </c>
      <c r="F24" s="60" t="s">
        <v>43</v>
      </c>
      <c r="G24" s="47">
        <v>5</v>
      </c>
      <c r="H24" s="133">
        <f>IF(B$17=0,0,G24/B$17)</f>
        <v>3.6363636363636364E-3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-19.490243902439001</v>
      </c>
      <c r="P24" s="119">
        <v>246</v>
      </c>
      <c r="Q24" s="107">
        <v>-4794.599999999994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3.6363636363636364E-3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4</v>
      </c>
      <c r="H26" s="133">
        <f>IF(B$17=0,0,G26/B$17)</f>
        <v>2.9090909090909089E-3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3.0561012879283997E-3</v>
      </c>
      <c r="E27" s="63" t="s">
        <v>78</v>
      </c>
      <c r="F27" s="60" t="s">
        <v>33</v>
      </c>
      <c r="G27" s="47">
        <v>3</v>
      </c>
      <c r="H27" s="133">
        <f>IF(B$17=0,0,G27/B$17)</f>
        <v>2.1818181818181819E-3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2.1818181818181819E-3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1.4545454545454545E-3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1.4545454545454545E-3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1.4545454545454545E-3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7.2727272727272723E-4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16FD-1D7B-43C9-8428-0CD1C8A80EB5}">
  <sheetPr codeName="Sheet7"/>
  <dimension ref="A1:Q12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123</v>
      </c>
      <c r="C2" s="147"/>
      <c r="E2" s="62" t="s">
        <v>67</v>
      </c>
      <c r="F2" s="59" t="s">
        <v>23</v>
      </c>
      <c r="G2" s="46">
        <v>261</v>
      </c>
      <c r="H2" s="132">
        <f>IF(B$17=0,0,G2/B$17)</f>
        <v>0.74358974358974361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1617.0731707317073</v>
      </c>
      <c r="P2" s="118">
        <v>123</v>
      </c>
      <c r="Q2" s="102">
        <v>198900</v>
      </c>
    </row>
    <row r="3" spans="1:17" x14ac:dyDescent="0.4">
      <c r="A3" s="55" t="s">
        <v>8</v>
      </c>
      <c r="B3" s="148">
        <v>998</v>
      </c>
      <c r="C3" s="149"/>
      <c r="E3" s="63" t="s">
        <v>73</v>
      </c>
      <c r="F3" s="60" t="s">
        <v>28</v>
      </c>
      <c r="G3" s="47">
        <v>198</v>
      </c>
      <c r="H3" s="133">
        <f>IF(B$17=0,0,G3/B$17)</f>
        <v>0.5641025641025641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1381.6666666666667</v>
      </c>
      <c r="P3" s="119">
        <v>120</v>
      </c>
      <c r="Q3" s="103">
        <v>165800</v>
      </c>
    </row>
    <row r="4" spans="1:17" x14ac:dyDescent="0.4">
      <c r="A4" s="55" t="s">
        <v>6</v>
      </c>
      <c r="B4" s="150">
        <v>1598.200000000001</v>
      </c>
      <c r="C4" s="151"/>
      <c r="E4" s="63" t="s">
        <v>65</v>
      </c>
      <c r="F4" s="60" t="s">
        <v>21</v>
      </c>
      <c r="G4" s="47">
        <v>174</v>
      </c>
      <c r="H4" s="133">
        <f>IF(B$17=0,0,G4/B$17)</f>
        <v>0.49572649572649574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1435.0877192982457</v>
      </c>
      <c r="P4" s="119">
        <v>114</v>
      </c>
      <c r="Q4" s="103">
        <v>163600</v>
      </c>
    </row>
    <row r="5" spans="1:17" x14ac:dyDescent="0.4">
      <c r="A5" s="55" t="s">
        <v>7</v>
      </c>
      <c r="B5" s="152">
        <f>IF(B$2=0,0,B$4/B$2)</f>
        <v>12.993495934959357</v>
      </c>
      <c r="C5" s="153"/>
      <c r="E5" s="63" t="s">
        <v>181</v>
      </c>
      <c r="F5" s="60" t="s">
        <v>182</v>
      </c>
      <c r="G5" s="47">
        <v>144</v>
      </c>
      <c r="H5" s="133">
        <f>IF(B$17=0,0,G5/B$17)</f>
        <v>0.41025641025641024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2149.0384615384614</v>
      </c>
      <c r="P5" s="119">
        <v>104</v>
      </c>
      <c r="Q5" s="103">
        <v>223500</v>
      </c>
    </row>
    <row r="6" spans="1:17" x14ac:dyDescent="0.4">
      <c r="A6" s="55" t="s">
        <v>1</v>
      </c>
      <c r="B6" s="142">
        <f>IF(B$2=0,0,(B$7*1+B$8*2+B$9*3)/B$2)</f>
        <v>1.7235772357723578</v>
      </c>
      <c r="C6" s="143"/>
      <c r="E6" s="63" t="s">
        <v>68</v>
      </c>
      <c r="F6" s="60" t="s">
        <v>24</v>
      </c>
      <c r="G6" s="47">
        <v>101</v>
      </c>
      <c r="H6" s="133">
        <f>IF(B$17=0,0,G6/B$17)</f>
        <v>0.28774928774928776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975.82417582417577</v>
      </c>
      <c r="P6" s="119">
        <v>91</v>
      </c>
      <c r="Q6" s="103">
        <v>88800</v>
      </c>
    </row>
    <row r="7" spans="1:17" x14ac:dyDescent="0.4">
      <c r="A7" s="55" t="s">
        <v>2</v>
      </c>
      <c r="B7" s="47">
        <v>61</v>
      </c>
      <c r="C7" s="39">
        <f>IF(B$2=0,0,B7/B$2)</f>
        <v>0.49593495934959347</v>
      </c>
      <c r="E7" s="63" t="s">
        <v>69</v>
      </c>
      <c r="F7" s="60" t="s">
        <v>12</v>
      </c>
      <c r="G7" s="47">
        <v>91</v>
      </c>
      <c r="H7" s="133">
        <f>IF(B$17=0,0,G7/B$17)</f>
        <v>0.25925925925925924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896.2962962962963</v>
      </c>
      <c r="P7" s="120">
        <v>81</v>
      </c>
      <c r="Q7" s="104">
        <v>72600</v>
      </c>
    </row>
    <row r="8" spans="1:17" x14ac:dyDescent="0.4">
      <c r="A8" s="55" t="s">
        <v>3</v>
      </c>
      <c r="B8" s="47">
        <v>35</v>
      </c>
      <c r="C8" s="39">
        <f>IF(B$2=0,0,B8/B$2)</f>
        <v>0.28455284552845528</v>
      </c>
      <c r="E8" s="63" t="s">
        <v>70</v>
      </c>
      <c r="F8" s="60" t="s">
        <v>25</v>
      </c>
      <c r="G8" s="47">
        <v>61</v>
      </c>
      <c r="H8" s="133">
        <f>IF(B$17=0,0,G8/B$17)</f>
        <v>0.1737891737891738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0.21951219512195122</v>
      </c>
      <c r="E9" s="63" t="s">
        <v>90</v>
      </c>
      <c r="F9" s="60" t="s">
        <v>45</v>
      </c>
      <c r="G9" s="47">
        <v>52</v>
      </c>
      <c r="H9" s="133">
        <f>IF(B$17=0,0,G9/B$17)</f>
        <v>0.14814814814814814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0.10569105691056911</v>
      </c>
      <c r="E10" s="63" t="s">
        <v>66</v>
      </c>
      <c r="F10" s="60" t="s">
        <v>22</v>
      </c>
      <c r="G10" s="47">
        <v>50</v>
      </c>
      <c r="H10" s="133">
        <f>IF(B$17=0,0,G10/B$17)</f>
        <v>0.14245014245014245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0.17073170731707318</v>
      </c>
      <c r="E11" s="63" t="s">
        <v>71</v>
      </c>
      <c r="F11" s="60" t="s">
        <v>26</v>
      </c>
      <c r="G11" s="47">
        <v>34</v>
      </c>
      <c r="H11" s="133">
        <f>IF(B$17=0,0,G11/B$17)</f>
        <v>9.686609686609686E-2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8.5289473684210524</v>
      </c>
      <c r="P11" s="119">
        <v>38</v>
      </c>
      <c r="Q11" s="107">
        <v>324.10000000000002</v>
      </c>
    </row>
    <row r="12" spans="1:17" x14ac:dyDescent="0.4">
      <c r="A12" s="57" t="s">
        <v>160</v>
      </c>
      <c r="B12" s="49">
        <v>19</v>
      </c>
      <c r="C12" s="42">
        <f>IF(B$2=0,0,B12/B$2)</f>
        <v>0.15447154471544716</v>
      </c>
      <c r="E12" s="63" t="s">
        <v>72</v>
      </c>
      <c r="F12" s="60" t="s">
        <v>27</v>
      </c>
      <c r="G12" s="47">
        <v>25</v>
      </c>
      <c r="H12" s="133">
        <f>IF(B$17=0,0,G12/B$17)</f>
        <v>7.1225071225071226E-2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13.86274509803922</v>
      </c>
      <c r="P12" s="120">
        <v>51</v>
      </c>
      <c r="Q12" s="108">
        <v>707.00000000000023</v>
      </c>
    </row>
    <row r="13" spans="1:17" x14ac:dyDescent="0.4">
      <c r="A13" s="58" t="s">
        <v>122</v>
      </c>
      <c r="B13" s="50">
        <v>328</v>
      </c>
      <c r="C13" s="44">
        <f>IF(B$3=0,0,B13/B$3)</f>
        <v>0.32865731462925851</v>
      </c>
      <c r="E13" s="63" t="s">
        <v>87</v>
      </c>
      <c r="F13" s="60" t="s">
        <v>42</v>
      </c>
      <c r="G13" s="47">
        <v>23</v>
      </c>
      <c r="H13" s="133">
        <f>IF(B$17=0,0,G13/B$17)</f>
        <v>6.5527065527065526E-2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219</v>
      </c>
      <c r="C14" s="39">
        <f>IF(B$3=0,0,B14/B$3)</f>
        <v>0.21943887775551102</v>
      </c>
      <c r="E14" s="63" t="s">
        <v>84</v>
      </c>
      <c r="F14" s="60" t="s">
        <v>39</v>
      </c>
      <c r="G14" s="47">
        <v>17</v>
      </c>
      <c r="H14" s="133">
        <f>IF(B$17=0,0,G14/B$17)</f>
        <v>4.843304843304843E-2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189</v>
      </c>
      <c r="C15" s="37">
        <f>IF(B$13=0,0,B15/B$13)</f>
        <v>0.57621951219512191</v>
      </c>
      <c r="E15" s="63" t="s">
        <v>180</v>
      </c>
      <c r="F15" s="60" t="s">
        <v>183</v>
      </c>
      <c r="G15" s="47">
        <v>12</v>
      </c>
      <c r="H15" s="133">
        <f>IF(B$17=0,0,G15/B$17)</f>
        <v>3.4188034188034191E-2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113</v>
      </c>
      <c r="C16" s="37">
        <f>IF(B$14=0,0,B16/B$14)</f>
        <v>0.51598173515981738</v>
      </c>
      <c r="E16" s="63" t="s">
        <v>82</v>
      </c>
      <c r="F16" s="60" t="s">
        <v>37</v>
      </c>
      <c r="G16" s="47">
        <v>11</v>
      </c>
      <c r="H16" s="133">
        <f>IF(B$17=0,0,G16/B$17)</f>
        <v>3.1339031339031341E-2</v>
      </c>
      <c r="I16" s="94">
        <v>5</v>
      </c>
      <c r="K16" s="38">
        <v>14</v>
      </c>
      <c r="L16" s="99">
        <v>473.50000000000006</v>
      </c>
      <c r="N16" s="115" t="s">
        <v>129</v>
      </c>
      <c r="O16" s="125">
        <f>IF(P16=0,0,Q16/P16)</f>
        <v>36.828205128205141</v>
      </c>
      <c r="P16" s="119">
        <v>39</v>
      </c>
      <c r="Q16" s="107">
        <v>1436.3000000000004</v>
      </c>
    </row>
    <row r="17" spans="1:17" x14ac:dyDescent="0.4">
      <c r="A17" s="54" t="s">
        <v>10</v>
      </c>
      <c r="B17" s="46">
        <f>B19+B18</f>
        <v>351</v>
      </c>
      <c r="C17" s="37">
        <f>IF(B$3=0,0,B17/B$3)</f>
        <v>0.35170340681362727</v>
      </c>
      <c r="E17" s="63" t="s">
        <v>79</v>
      </c>
      <c r="F17" s="60" t="s">
        <v>34</v>
      </c>
      <c r="G17" s="47">
        <v>7</v>
      </c>
      <c r="H17" s="133">
        <f>IF(B$17=0,0,G17/B$17)</f>
        <v>1.9943019943019943E-2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29.705263157894741</v>
      </c>
      <c r="P17" s="119">
        <v>19</v>
      </c>
      <c r="Q17" s="107">
        <v>564.40000000000009</v>
      </c>
    </row>
    <row r="18" spans="1:17" x14ac:dyDescent="0.4">
      <c r="A18" s="55" t="s">
        <v>12</v>
      </c>
      <c r="B18" s="47">
        <v>143</v>
      </c>
      <c r="C18" s="39">
        <f>IF(B$17=0,0,B18/B$17)</f>
        <v>0.40740740740740738</v>
      </c>
      <c r="E18" s="63" t="s">
        <v>92</v>
      </c>
      <c r="F18" s="60" t="s">
        <v>47</v>
      </c>
      <c r="G18" s="47">
        <v>7</v>
      </c>
      <c r="H18" s="133">
        <f>IF(B$17=0,0,G18/B$17)</f>
        <v>1.9943019943019943E-2</v>
      </c>
      <c r="I18" s="94">
        <v>4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208</v>
      </c>
      <c r="C19" s="39">
        <f>IF(B$17=0,0,B19/B$17)</f>
        <v>0.59259259259259256</v>
      </c>
      <c r="E19" s="63" t="s">
        <v>80</v>
      </c>
      <c r="F19" s="60" t="s">
        <v>35</v>
      </c>
      <c r="G19" s="47">
        <v>5</v>
      </c>
      <c r="H19" s="133">
        <f>IF(B$17=0,0,G19/B$17)</f>
        <v>1.4245014245014245E-2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24.890322580645162</v>
      </c>
      <c r="P19" s="119">
        <v>31</v>
      </c>
      <c r="Q19" s="107">
        <v>771.6</v>
      </c>
    </row>
    <row r="20" spans="1:17" x14ac:dyDescent="0.4">
      <c r="A20" s="55" t="s">
        <v>13</v>
      </c>
      <c r="B20" s="47">
        <v>153</v>
      </c>
      <c r="C20" s="39">
        <f>IF(B$3=0,0,B20/B$3)</f>
        <v>0.15330661322645289</v>
      </c>
      <c r="E20" s="63" t="s">
        <v>74</v>
      </c>
      <c r="F20" s="60" t="s">
        <v>29</v>
      </c>
      <c r="G20" s="47">
        <v>2</v>
      </c>
      <c r="H20" s="133">
        <f>IF(B$17=0,0,G20/B$17)</f>
        <v>5.6980056980056983E-3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5.6980056980056983E-3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>IF(P21=0,0,Q21/P21)</f>
        <v>17.662025316455697</v>
      </c>
      <c r="P21" s="119">
        <v>79</v>
      </c>
      <c r="Q21" s="107">
        <v>1395.3000000000002</v>
      </c>
    </row>
    <row r="22" spans="1:17" x14ac:dyDescent="0.4">
      <c r="A22" s="55" t="s">
        <v>194</v>
      </c>
      <c r="B22" s="47">
        <v>39</v>
      </c>
      <c r="C22" s="135">
        <v>3</v>
      </c>
      <c r="E22" s="63" t="s">
        <v>76</v>
      </c>
      <c r="F22" s="60" t="s">
        <v>31</v>
      </c>
      <c r="G22" s="47">
        <v>1</v>
      </c>
      <c r="H22" s="133">
        <f>IF(B$17=0,0,G22/B$17)</f>
        <v>2.8490028490028491E-3</v>
      </c>
      <c r="I22" s="94">
        <v>7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9112.2507122507122</v>
      </c>
      <c r="C23" s="41">
        <v>3198400</v>
      </c>
      <c r="E23" s="63" t="s">
        <v>78</v>
      </c>
      <c r="F23" s="60" t="s">
        <v>33</v>
      </c>
      <c r="G23" s="47">
        <v>1</v>
      </c>
      <c r="H23" s="133">
        <f>IF(B$17=0,0,G23/B$17)</f>
        <v>2.8490028490028491E-3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-1.0727272727272756</v>
      </c>
      <c r="P23" s="119">
        <v>44</v>
      </c>
      <c r="Q23" s="107">
        <v>-47.200000000000131</v>
      </c>
    </row>
    <row r="24" spans="1:17" x14ac:dyDescent="0.4">
      <c r="A24" s="57" t="s">
        <v>14</v>
      </c>
      <c r="B24" s="52">
        <f>IF(B$20=0,0,C24/B$20)</f>
        <v>-8224.1830065359482</v>
      </c>
      <c r="C24" s="45">
        <v>-1258300</v>
      </c>
      <c r="E24" s="63" t="s">
        <v>85</v>
      </c>
      <c r="F24" s="60" t="s">
        <v>40</v>
      </c>
      <c r="G24" s="47">
        <v>1</v>
      </c>
      <c r="H24" s="133">
        <f>IF(B$17=0,0,G24/B$17)</f>
        <v>2.8490028490028491E-3</v>
      </c>
      <c r="I24" s="94">
        <v>4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86</v>
      </c>
      <c r="F25" s="60" t="s">
        <v>41</v>
      </c>
      <c r="G25" s="47">
        <v>1</v>
      </c>
      <c r="H25" s="133">
        <f>IF(B$17=0,0,G25/B$17)</f>
        <v>2.8490028490028491E-3</v>
      </c>
      <c r="I25" s="94">
        <v>2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1</v>
      </c>
      <c r="H26" s="133">
        <f>IF(B$17=0,0,G26/B$17)</f>
        <v>2.8490028490028491E-3</v>
      </c>
      <c r="I26" s="94">
        <v>6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1.002004008016032E-3</v>
      </c>
      <c r="E27" s="63" t="s">
        <v>91</v>
      </c>
      <c r="F27" s="60" t="s">
        <v>46</v>
      </c>
      <c r="G27" s="47">
        <v>1</v>
      </c>
      <c r="H27" s="133">
        <f>IF(B$17=0,0,G27/B$17)</f>
        <v>2.8490028490028491E-3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2.8490028490028491E-3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2.8490028490028491E-3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8118-3A13-46AA-BDAA-4B416E5635C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E2:I11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C4E6-4960-44B9-84DF-0C7256D0DAEE}">
  <sheetPr codeName="Sheet11"/>
  <dimension ref="A1:Q6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65</v>
      </c>
      <c r="C2" s="147"/>
      <c r="E2" s="62" t="s">
        <v>65</v>
      </c>
      <c r="F2" s="59" t="s">
        <v>21</v>
      </c>
      <c r="G2" s="46">
        <v>68</v>
      </c>
      <c r="H2" s="132">
        <f>IF(B$17=0,0,G2/B$17)</f>
        <v>0.56198347107438018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-1896.9230769230769</v>
      </c>
      <c r="P2" s="118">
        <v>65</v>
      </c>
      <c r="Q2" s="102">
        <v>-123300</v>
      </c>
    </row>
    <row r="3" spans="1:17" x14ac:dyDescent="0.4">
      <c r="A3" s="55" t="s">
        <v>8</v>
      </c>
      <c r="B3" s="148">
        <v>536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7.43801652892562E-2</v>
      </c>
      <c r="I3" s="94">
        <v>8</v>
      </c>
      <c r="K3" s="38">
        <v>1</v>
      </c>
      <c r="L3" s="99">
        <v>-40.4</v>
      </c>
      <c r="N3" s="115" t="s">
        <v>133</v>
      </c>
      <c r="O3" s="122">
        <f t="shared" si="0"/>
        <v>-1312.6984126984128</v>
      </c>
      <c r="P3" s="119">
        <v>63</v>
      </c>
      <c r="Q3" s="103">
        <v>-82700</v>
      </c>
    </row>
    <row r="4" spans="1:17" x14ac:dyDescent="0.4">
      <c r="A4" s="55" t="s">
        <v>6</v>
      </c>
      <c r="B4" s="150">
        <v>-1083.0999999999997</v>
      </c>
      <c r="C4" s="151"/>
      <c r="E4" s="63" t="s">
        <v>67</v>
      </c>
      <c r="F4" s="60" t="s">
        <v>23</v>
      </c>
      <c r="G4" s="47">
        <v>108</v>
      </c>
      <c r="H4" s="133">
        <f>IF(B$17=0,0,G4/B$17)</f>
        <v>0.8925619834710744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-993.22033898305085</v>
      </c>
      <c r="P4" s="119">
        <v>59</v>
      </c>
      <c r="Q4" s="103">
        <v>-58600</v>
      </c>
    </row>
    <row r="5" spans="1:17" x14ac:dyDescent="0.4">
      <c r="A5" s="55" t="s">
        <v>7</v>
      </c>
      <c r="B5" s="152">
        <f>IF(B$2=0,0,B$4/B$2)</f>
        <v>-16.663076923076918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0.33884297520661155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-5470.588235294118</v>
      </c>
      <c r="P5" s="119">
        <v>51</v>
      </c>
      <c r="Q5" s="103">
        <v>-279000</v>
      </c>
    </row>
    <row r="6" spans="1:17" x14ac:dyDescent="0.4">
      <c r="A6" s="55" t="s">
        <v>1</v>
      </c>
      <c r="B6" s="142">
        <f>IF(B$2=0,0,(B$7*1+B$8*2+B$9*3)/B$2)</f>
        <v>2.2769230769230768</v>
      </c>
      <c r="C6" s="143"/>
      <c r="E6" s="63" t="s">
        <v>69</v>
      </c>
      <c r="F6" s="60" t="s">
        <v>12</v>
      </c>
      <c r="G6" s="47">
        <v>52</v>
      </c>
      <c r="H6" s="133">
        <f>IF(B$17=0,0,G6/B$17)</f>
        <v>0.42975206611570249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-1915.5555555555557</v>
      </c>
      <c r="P6" s="119">
        <v>45</v>
      </c>
      <c r="Q6" s="103">
        <v>-86200</v>
      </c>
    </row>
    <row r="7" spans="1:17" x14ac:dyDescent="0.4">
      <c r="A7" s="55" t="s">
        <v>2</v>
      </c>
      <c r="B7" s="47">
        <v>15</v>
      </c>
      <c r="C7" s="39">
        <f>IF(B$2=0,0,B7/B$2)</f>
        <v>0.23076923076923078</v>
      </c>
      <c r="E7" s="63" t="s">
        <v>70</v>
      </c>
      <c r="F7" s="60" t="s">
        <v>25</v>
      </c>
      <c r="G7" s="47">
        <v>27</v>
      </c>
      <c r="H7" s="133">
        <f>IF(B$17=0,0,G7/B$17)</f>
        <v>0.2231404958677686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-2057.1428571428573</v>
      </c>
      <c r="P7" s="120">
        <v>42</v>
      </c>
      <c r="Q7" s="104">
        <v>-86400</v>
      </c>
    </row>
    <row r="8" spans="1:17" x14ac:dyDescent="0.4">
      <c r="A8" s="55" t="s">
        <v>3</v>
      </c>
      <c r="B8" s="47">
        <v>17</v>
      </c>
      <c r="C8" s="39">
        <f>IF(B$2=0,0,B8/B$2)</f>
        <v>0.26153846153846155</v>
      </c>
      <c r="E8" s="63" t="s">
        <v>71</v>
      </c>
      <c r="F8" s="60" t="s">
        <v>26</v>
      </c>
      <c r="G8" s="47">
        <v>20</v>
      </c>
      <c r="H8" s="133">
        <f>IF(B$17=0,0,G8/B$17)</f>
        <v>0.16528925619834711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0.50769230769230766</v>
      </c>
      <c r="E9" s="63" t="s">
        <v>72</v>
      </c>
      <c r="F9" s="60" t="s">
        <v>27</v>
      </c>
      <c r="G9" s="47">
        <v>13</v>
      </c>
      <c r="H9" s="133">
        <f>IF(B$17=0,0,G9/B$17)</f>
        <v>0.10743801652892562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0.18461538461538463</v>
      </c>
      <c r="E10" s="63" t="s">
        <v>73</v>
      </c>
      <c r="F10" s="60" t="s">
        <v>28</v>
      </c>
      <c r="G10" s="47">
        <v>43</v>
      </c>
      <c r="H10" s="133">
        <f>IF(B$17=0,0,G10/B$17)</f>
        <v>0.35537190082644626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-19.049999999999997</v>
      </c>
      <c r="P10" s="118">
        <v>20</v>
      </c>
      <c r="Q10" s="106">
        <v>-380.99999999999994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0.1076923076923077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-13.785185185185188</v>
      </c>
      <c r="P11" s="119">
        <v>27</v>
      </c>
      <c r="Q11" s="107">
        <v>-372.2000000000001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7.6923076923076927E-2</v>
      </c>
      <c r="E12" s="63" t="s">
        <v>75</v>
      </c>
      <c r="F12" s="60" t="s">
        <v>30</v>
      </c>
      <c r="G12" s="47">
        <v>2</v>
      </c>
      <c r="H12" s="133">
        <f>IF(B$17=0,0,G12/B$17)</f>
        <v>1.6528925619834711E-2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144</v>
      </c>
      <c r="C13" s="44">
        <f>IF(B$3=0,0,B13/B$3)</f>
        <v>0.26865671641791045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89</v>
      </c>
      <c r="C14" s="39">
        <f>IF(B$3=0,0,B14/B$3)</f>
        <v>0.16604477611940299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</v>
      </c>
      <c r="C15" s="37">
        <f>IF(B$13=0,0,B15/B$13)</f>
        <v>0.49305555555555558</v>
      </c>
      <c r="E15" s="63" t="s">
        <v>78</v>
      </c>
      <c r="F15" s="60" t="s">
        <v>33</v>
      </c>
      <c r="G15" s="47">
        <v>1</v>
      </c>
      <c r="H15" s="133">
        <f>IF(B$17=0,0,G15/B$17)</f>
        <v>8.2644628099173556E-3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21</v>
      </c>
      <c r="C16" s="37">
        <f>IF(B$14=0,0,B16/B$14)</f>
        <v>0.23595505617977527</v>
      </c>
      <c r="E16" s="63" t="s">
        <v>79</v>
      </c>
      <c r="F16" s="60" t="s">
        <v>34</v>
      </c>
      <c r="G16" s="47">
        <v>4</v>
      </c>
      <c r="H16" s="133">
        <f>IF(B$17=0,0,G16/B$17)</f>
        <v>3.3057851239669422E-2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>IF(P16=0,0,Q16/P16)</f>
        <v>1.3583333333333336</v>
      </c>
      <c r="P16" s="119">
        <v>12</v>
      </c>
      <c r="Q16" s="107">
        <v>16.300000000000004</v>
      </c>
    </row>
    <row r="17" spans="1:17" x14ac:dyDescent="0.4">
      <c r="A17" s="54" t="s">
        <v>10</v>
      </c>
      <c r="B17" s="46">
        <f>B19+B18</f>
        <v>121</v>
      </c>
      <c r="C17" s="37">
        <f>IF(B$3=0,0,B17/B$3)</f>
        <v>0.22574626865671643</v>
      </c>
      <c r="E17" s="63" t="s">
        <v>80</v>
      </c>
      <c r="F17" s="60" t="s">
        <v>35</v>
      </c>
      <c r="G17" s="47">
        <v>1</v>
      </c>
      <c r="H17" s="133">
        <f>IF(B$17=0,0,G17/B$17)</f>
        <v>8.2644628099173556E-3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60</v>
      </c>
      <c r="C18" s="39">
        <f>IF(B$17=0,0,B18/B$17)</f>
        <v>0.49586776859504134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61</v>
      </c>
      <c r="C19" s="39">
        <f>IF(B$17=0,0,B19/B$17)</f>
        <v>0.50413223140495866</v>
      </c>
      <c r="E19" s="63" t="s">
        <v>82</v>
      </c>
      <c r="F19" s="60" t="s">
        <v>37</v>
      </c>
      <c r="G19" s="47">
        <v>2</v>
      </c>
      <c r="H19" s="133">
        <f>IF(B$17=0,0,G19/B$17)</f>
        <v>1.6528925619834711E-2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>IF(P19=0,0,Q19/P19)</f>
        <v>-26.395</v>
      </c>
      <c r="P19" s="119">
        <v>20</v>
      </c>
      <c r="Q19" s="107">
        <v>-527.9</v>
      </c>
    </row>
    <row r="20" spans="1:17" x14ac:dyDescent="0.4">
      <c r="A20" s="55" t="s">
        <v>13</v>
      </c>
      <c r="B20" s="47">
        <v>105</v>
      </c>
      <c r="C20" s="39">
        <f>IF(B$3=0,0,B20/B$3)</f>
        <v>0.19589552238805971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-36.828205128205141</v>
      </c>
      <c r="P20" s="119">
        <v>39</v>
      </c>
      <c r="Q20" s="107">
        <v>-1436.3000000000006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4.1322314049586778E-2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9066.9421487603304</v>
      </c>
      <c r="C23" s="41">
        <v>1097100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-9580.9523809523816</v>
      </c>
      <c r="C24" s="45">
        <v>-1006000</v>
      </c>
      <c r="E24" s="63" t="s">
        <v>87</v>
      </c>
      <c r="F24" s="60" t="s">
        <v>42</v>
      </c>
      <c r="G24" s="47">
        <v>9</v>
      </c>
      <c r="H24" s="133">
        <f>IF(B$17=0,0,G24/B$17)</f>
        <v>7.43801652892562E-2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8.2644628099173556E-3</v>
      </c>
      <c r="I25" s="94">
        <v>2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8.2644628099173556E-3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1.8656716417910447E-3</v>
      </c>
      <c r="E27" s="63" t="s">
        <v>90</v>
      </c>
      <c r="F27" s="60" t="s">
        <v>45</v>
      </c>
      <c r="G27" s="47">
        <v>11</v>
      </c>
      <c r="H27" s="133">
        <f>IF(B$17=0,0,G27/B$17)</f>
        <v>9.0909090909090912E-2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8.2644628099173556E-3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1.6528925619834711E-2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0.38842975206611569</v>
      </c>
      <c r="I51" s="95">
        <v>9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</sheetData>
  <sortState ref="E2:I6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8340-0AAD-49FA-81BA-E02D22FAD482}">
  <sheetPr codeName="Sheet13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65</v>
      </c>
      <c r="F2" s="59" t="s">
        <v>21</v>
      </c>
      <c r="G2" s="46">
        <v>101</v>
      </c>
      <c r="H2" s="132">
        <f>IF(B$17=0,0,G2/B$17)</f>
        <v>0.56741573033707871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-1152</v>
      </c>
      <c r="P2" s="118">
        <v>75</v>
      </c>
      <c r="Q2" s="102">
        <v>-86400</v>
      </c>
    </row>
    <row r="3" spans="1:17" x14ac:dyDescent="0.4">
      <c r="A3" s="55" t="s">
        <v>8</v>
      </c>
      <c r="B3" s="148">
        <v>629</v>
      </c>
      <c r="C3" s="149"/>
      <c r="E3" s="63" t="s">
        <v>66</v>
      </c>
      <c r="F3" s="60" t="s">
        <v>22</v>
      </c>
      <c r="G3" s="47">
        <v>25</v>
      </c>
      <c r="H3" s="133">
        <f>IF(B$17=0,0,G3/B$17)</f>
        <v>0.1404494382022472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382.43243243243245</v>
      </c>
      <c r="P3" s="119">
        <v>74</v>
      </c>
      <c r="Q3" s="103">
        <v>28300</v>
      </c>
    </row>
    <row r="4" spans="1:17" x14ac:dyDescent="0.4">
      <c r="A4" s="55" t="s">
        <v>6</v>
      </c>
      <c r="B4" s="150">
        <v>145.29999999999998</v>
      </c>
      <c r="C4" s="151"/>
      <c r="E4" s="63" t="s">
        <v>67</v>
      </c>
      <c r="F4" s="60" t="s">
        <v>23</v>
      </c>
      <c r="G4" s="47">
        <v>155</v>
      </c>
      <c r="H4" s="133">
        <f>IF(B$17=0,0,G4/B$17)</f>
        <v>0.8707865168539326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1686.9565217391305</v>
      </c>
      <c r="P4" s="119">
        <v>69</v>
      </c>
      <c r="Q4" s="103">
        <v>116400</v>
      </c>
    </row>
    <row r="5" spans="1:17" x14ac:dyDescent="0.4">
      <c r="A5" s="55" t="s">
        <v>7</v>
      </c>
      <c r="B5" s="152">
        <f>IF(B$2=0,0,B$4/B$2)</f>
        <v>1.9373333333333331</v>
      </c>
      <c r="C5" s="153"/>
      <c r="E5" s="63" t="s">
        <v>68</v>
      </c>
      <c r="F5" s="60" t="s">
        <v>24</v>
      </c>
      <c r="G5" s="47">
        <v>59</v>
      </c>
      <c r="H5" s="133">
        <f>IF(B$17=0,0,G5/B$17)</f>
        <v>0.33146067415730335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2362.7118644067796</v>
      </c>
      <c r="P5" s="119">
        <v>59</v>
      </c>
      <c r="Q5" s="103">
        <v>139400</v>
      </c>
    </row>
    <row r="6" spans="1:17" x14ac:dyDescent="0.4">
      <c r="A6" s="55" t="s">
        <v>1</v>
      </c>
      <c r="B6" s="142">
        <f>IF(B$2=0,0,(B$7*1+B$8*2+B$9*3)/B$2)</f>
        <v>2.04</v>
      </c>
      <c r="C6" s="143"/>
      <c r="E6" s="63" t="s">
        <v>69</v>
      </c>
      <c r="F6" s="60" t="s">
        <v>12</v>
      </c>
      <c r="G6" s="47">
        <v>56</v>
      </c>
      <c r="H6" s="133">
        <f>IF(B$17=0,0,G6/B$17)</f>
        <v>0.3146067415730337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-838.46153846153845</v>
      </c>
      <c r="P6" s="119">
        <v>52</v>
      </c>
      <c r="Q6" s="103">
        <v>-43600</v>
      </c>
    </row>
    <row r="7" spans="1:17" x14ac:dyDescent="0.4">
      <c r="A7" s="55" t="s">
        <v>2</v>
      </c>
      <c r="B7" s="47">
        <v>23</v>
      </c>
      <c r="C7" s="39">
        <f>IF(B$2=0,0,B7/B$2)</f>
        <v>0.30666666666666664</v>
      </c>
      <c r="E7" s="63" t="s">
        <v>70</v>
      </c>
      <c r="F7" s="60" t="s">
        <v>25</v>
      </c>
      <c r="G7" s="47">
        <v>35</v>
      </c>
      <c r="H7" s="133">
        <f>IF(B$17=0,0,G7/B$17)</f>
        <v>0.19662921348314608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462.5</v>
      </c>
      <c r="P7" s="120">
        <v>48</v>
      </c>
      <c r="Q7" s="104">
        <v>22200</v>
      </c>
    </row>
    <row r="8" spans="1:17" x14ac:dyDescent="0.4">
      <c r="A8" s="55" t="s">
        <v>3</v>
      </c>
      <c r="B8" s="47">
        <v>26</v>
      </c>
      <c r="C8" s="39">
        <f>IF(B$2=0,0,B8/B$2)</f>
        <v>0.34666666666666668</v>
      </c>
      <c r="E8" s="63" t="s">
        <v>71</v>
      </c>
      <c r="F8" s="60" t="s">
        <v>26</v>
      </c>
      <c r="G8" s="47">
        <v>20</v>
      </c>
      <c r="H8" s="133">
        <f>IF(B$17=0,0,G8/B$17)</f>
        <v>0.11235955056179775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0.34666666666666668</v>
      </c>
      <c r="E9" s="63" t="s">
        <v>72</v>
      </c>
      <c r="F9" s="60" t="s">
        <v>27</v>
      </c>
      <c r="G9" s="47">
        <v>12</v>
      </c>
      <c r="H9" s="133">
        <f>IF(B$17=0,0,G9/B$17)</f>
        <v>6.741573033707865E-2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6.6666666666666666E-2</v>
      </c>
      <c r="E10" s="63" t="s">
        <v>73</v>
      </c>
      <c r="F10" s="60" t="s">
        <v>28</v>
      </c>
      <c r="G10" s="47">
        <v>89</v>
      </c>
      <c r="H10" s="133">
        <f>IF(B$17=0,0,G10/B$17)</f>
        <v>0.5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0.13333333333333333</v>
      </c>
      <c r="E11" s="63" t="s">
        <v>74</v>
      </c>
      <c r="F11" s="60" t="s">
        <v>29</v>
      </c>
      <c r="G11" s="47">
        <v>1</v>
      </c>
      <c r="H11" s="133">
        <f>IF(B$17=0,0,G11/B$17)</f>
        <v>5.6179775280898875E-3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-2.7357142857142844</v>
      </c>
      <c r="P11" s="119">
        <v>28</v>
      </c>
      <c r="Q11" s="107">
        <v>-76.599999999999966</v>
      </c>
    </row>
    <row r="12" spans="1:17" x14ac:dyDescent="0.4">
      <c r="A12" s="57" t="s">
        <v>160</v>
      </c>
      <c r="B12" s="49">
        <v>6</v>
      </c>
      <c r="C12" s="42">
        <f>IF(B$2=0,0,B12/B$2)</f>
        <v>0.08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180</v>
      </c>
      <c r="C13" s="44">
        <f>IF(B$3=0,0,B13/B$3)</f>
        <v>0.2861685214626391</v>
      </c>
      <c r="E13" s="63" t="s">
        <v>76</v>
      </c>
      <c r="F13" s="60" t="s">
        <v>31</v>
      </c>
      <c r="G13" s="47">
        <v>3</v>
      </c>
      <c r="H13" s="133">
        <f>IF(B$17=0,0,G13/B$17)</f>
        <v>1.6853932584269662E-2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118</v>
      </c>
      <c r="C14" s="39">
        <f>IF(B$3=0,0,B14/B$3)</f>
        <v>0.18759936406995231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0.58888888888888891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26.394999999999992</v>
      </c>
      <c r="P15" s="118">
        <v>20</v>
      </c>
      <c r="Q15" s="106">
        <v>527.89999999999986</v>
      </c>
    </row>
    <row r="16" spans="1:17" x14ac:dyDescent="0.4">
      <c r="A16" s="54" t="s">
        <v>125</v>
      </c>
      <c r="B16" s="46">
        <v>47</v>
      </c>
      <c r="C16" s="37">
        <f>IF(B$14=0,0,B16/B$14)</f>
        <v>0.39830508474576271</v>
      </c>
      <c r="E16" s="63" t="s">
        <v>79</v>
      </c>
      <c r="F16" s="60" t="s">
        <v>34</v>
      </c>
      <c r="G16" s="47">
        <v>9</v>
      </c>
      <c r="H16" s="133">
        <f>IF(B$17=0,0,G16/B$17)</f>
        <v>5.0561797752808987E-2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178</v>
      </c>
      <c r="C17" s="37">
        <f>IF(B$3=0,0,B17/B$3)</f>
        <v>0.28298887122416533</v>
      </c>
      <c r="E17" s="63" t="s">
        <v>80</v>
      </c>
      <c r="F17" s="60" t="s">
        <v>35</v>
      </c>
      <c r="G17" s="47">
        <v>3</v>
      </c>
      <c r="H17" s="133">
        <f>IF(B$17=0,0,G17/B$17)</f>
        <v>1.6853932584269662E-2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76</v>
      </c>
      <c r="C18" s="39">
        <f>IF(B$17=0,0,B18/B$17)</f>
        <v>0.42696629213483145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102</v>
      </c>
      <c r="C19" s="39">
        <f>IF(B$17=0,0,B19/B$17)</f>
        <v>0.5730337078651685</v>
      </c>
      <c r="E19" s="63" t="s">
        <v>82</v>
      </c>
      <c r="F19" s="60" t="s">
        <v>37</v>
      </c>
      <c r="G19" s="47">
        <v>7</v>
      </c>
      <c r="H19" s="133">
        <f>IF(B$17=0,0,G19/B$17)</f>
        <v>3.9325842696629212E-2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108</v>
      </c>
      <c r="C20" s="39">
        <f>IF(B$3=0,0,B20/B$3)</f>
        <v>0.17170111287758347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1.0727272727272774</v>
      </c>
      <c r="P20" s="119">
        <v>44</v>
      </c>
      <c r="Q20" s="107">
        <v>47.200000000000202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3.9325842696629212E-2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85</v>
      </c>
      <c r="F22" s="60" t="s">
        <v>40</v>
      </c>
      <c r="G22" s="47">
        <v>2</v>
      </c>
      <c r="H22" s="133">
        <f>IF(B$17=0,0,G22/B$17)</f>
        <v>1.1235955056179775E-2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9939.8876404494385</v>
      </c>
      <c r="C23" s="41">
        <v>1769300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-7845.3703703703704</v>
      </c>
      <c r="C24" s="45">
        <v>-847300</v>
      </c>
      <c r="E24" s="63" t="s">
        <v>87</v>
      </c>
      <c r="F24" s="60" t="s">
        <v>42</v>
      </c>
      <c r="G24" s="47">
        <v>13</v>
      </c>
      <c r="H24" s="133">
        <f>IF(B$17=0,0,G24/B$17)</f>
        <v>7.3033707865168537E-2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5.6179775280898875E-3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1.589825119236884E-3</v>
      </c>
      <c r="E27" s="63" t="s">
        <v>90</v>
      </c>
      <c r="F27" s="60" t="s">
        <v>45</v>
      </c>
      <c r="G27" s="47">
        <v>27</v>
      </c>
      <c r="H27" s="133">
        <f>IF(B$17=0,0,G27/B$17)</f>
        <v>0.15168539325842698</v>
      </c>
      <c r="I27" s="94">
        <v>6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2.247191011235955E-2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1.1235955056179775E-2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5.6179775280898875E-3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1.1235955056179775E-2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70</v>
      </c>
      <c r="H51" s="134">
        <f>IF(B$17=0,0,G51/B$17)</f>
        <v>0.39325842696629215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</sheetData>
  <sortState ref="E2:I7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5715C-F592-49A8-9CA3-A30916D7A69D}">
  <sheetPr codeName="Sheet15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0.35106382978723405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445.76271186440675</v>
      </c>
      <c r="P2" s="118">
        <v>59</v>
      </c>
      <c r="Q2" s="102">
        <v>26300</v>
      </c>
    </row>
    <row r="3" spans="1:17" x14ac:dyDescent="0.4">
      <c r="A3" s="55" t="s">
        <v>8</v>
      </c>
      <c r="B3" s="148">
        <v>516</v>
      </c>
      <c r="C3" s="149"/>
      <c r="E3" s="63" t="s">
        <v>66</v>
      </c>
      <c r="F3" s="60" t="s">
        <v>22</v>
      </c>
      <c r="G3" s="47">
        <v>21</v>
      </c>
      <c r="H3" s="133">
        <f>IF(B$17=0,0,G3/B$17)</f>
        <v>0.11170212765957446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100</v>
      </c>
      <c r="P3" s="119">
        <v>59</v>
      </c>
      <c r="Q3" s="103">
        <v>5900</v>
      </c>
    </row>
    <row r="4" spans="1:17" x14ac:dyDescent="0.4">
      <c r="A4" s="55" t="s">
        <v>6</v>
      </c>
      <c r="B4" s="150">
        <v>21.999999999999986</v>
      </c>
      <c r="C4" s="151"/>
      <c r="E4" s="63" t="s">
        <v>67</v>
      </c>
      <c r="F4" s="60" t="s">
        <v>23</v>
      </c>
      <c r="G4" s="47">
        <v>125</v>
      </c>
      <c r="H4" s="133">
        <f>IF(B$17=0,0,G4/B$17)</f>
        <v>0.66489361702127658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-1135.8490566037735</v>
      </c>
      <c r="P4" s="119">
        <v>53</v>
      </c>
      <c r="Q4" s="103">
        <v>-60200</v>
      </c>
    </row>
    <row r="5" spans="1:17" x14ac:dyDescent="0.4">
      <c r="A5" s="55" t="s">
        <v>7</v>
      </c>
      <c r="B5" s="152">
        <f>IF(B$2=0,0,B$4/B$2)</f>
        <v>0.37288135593220317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0.1702127659574468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372</v>
      </c>
      <c r="P5" s="119">
        <v>50</v>
      </c>
      <c r="Q5" s="103">
        <v>18600</v>
      </c>
    </row>
    <row r="6" spans="1:17" x14ac:dyDescent="0.4">
      <c r="A6" s="55" t="s">
        <v>1</v>
      </c>
      <c r="B6" s="142">
        <f>IF(B$2=0,0,(B$7*1+B$8*2+B$9*3)/B$2)</f>
        <v>2.0338983050847457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0.27127659574468083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661.22448979591832</v>
      </c>
      <c r="P6" s="119">
        <v>49</v>
      </c>
      <c r="Q6" s="103">
        <v>32400</v>
      </c>
    </row>
    <row r="7" spans="1:17" x14ac:dyDescent="0.4">
      <c r="A7" s="55" t="s">
        <v>2</v>
      </c>
      <c r="B7" s="47">
        <v>16</v>
      </c>
      <c r="C7" s="39">
        <f>IF(B$2=0,0,B7/B$2)</f>
        <v>0.2711864406779661</v>
      </c>
      <c r="E7" s="63" t="s">
        <v>70</v>
      </c>
      <c r="F7" s="60" t="s">
        <v>25</v>
      </c>
      <c r="G7" s="47">
        <v>28</v>
      </c>
      <c r="H7" s="133">
        <f>IF(B$17=0,0,G7/B$17)</f>
        <v>0.14893617021276595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-351.16279069767444</v>
      </c>
      <c r="P7" s="120">
        <v>43</v>
      </c>
      <c r="Q7" s="104">
        <v>-15100</v>
      </c>
    </row>
    <row r="8" spans="1:17" x14ac:dyDescent="0.4">
      <c r="A8" s="55" t="s">
        <v>3</v>
      </c>
      <c r="B8" s="47">
        <v>25</v>
      </c>
      <c r="C8" s="39">
        <f>IF(B$2=0,0,B8/B$2)</f>
        <v>0.42372881355932202</v>
      </c>
      <c r="E8" s="63" t="s">
        <v>71</v>
      </c>
      <c r="F8" s="60" t="s">
        <v>26</v>
      </c>
      <c r="G8" s="47">
        <v>11</v>
      </c>
      <c r="H8" s="133">
        <f>IF(B$17=0,0,G8/B$17)</f>
        <v>5.8510638297872342E-2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72</v>
      </c>
      <c r="F9" s="60" t="s">
        <v>27</v>
      </c>
      <c r="G9" s="47">
        <v>15</v>
      </c>
      <c r="H9" s="133">
        <f>IF(B$17=0,0,G9/B$17)</f>
        <v>7.9787234042553196E-2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5.0847457627118647E-2</v>
      </c>
      <c r="E10" s="63" t="s">
        <v>73</v>
      </c>
      <c r="F10" s="60" t="s">
        <v>28</v>
      </c>
      <c r="G10" s="47">
        <v>106</v>
      </c>
      <c r="H10" s="133">
        <f>IF(B$17=0,0,G10/B$17)</f>
        <v>0.56382978723404253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0.10169491525423729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3</v>
      </c>
      <c r="C12" s="42">
        <f>IF(B$2=0,0,B12/B$2)</f>
        <v>5.0847457627118647E-2</v>
      </c>
      <c r="E12" s="63" t="s">
        <v>75</v>
      </c>
      <c r="F12" s="60" t="s">
        <v>30</v>
      </c>
      <c r="G12" s="47">
        <v>1</v>
      </c>
      <c r="H12" s="133">
        <f>IF(B$17=0,0,G12/B$17)</f>
        <v>5.3191489361702126E-3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2.8409090909090913</v>
      </c>
      <c r="P12" s="120">
        <v>22</v>
      </c>
      <c r="Q12" s="108">
        <v>62.500000000000007</v>
      </c>
    </row>
    <row r="13" spans="1:17" x14ac:dyDescent="0.4">
      <c r="A13" s="58" t="s">
        <v>122</v>
      </c>
      <c r="B13" s="50">
        <v>114</v>
      </c>
      <c r="C13" s="44">
        <f>IF(B$3=0,0,B13/B$3)</f>
        <v>0.22093023255813954</v>
      </c>
      <c r="E13" s="63" t="s">
        <v>76</v>
      </c>
      <c r="F13" s="60" t="s">
        <v>31</v>
      </c>
      <c r="G13" s="47">
        <v>1</v>
      </c>
      <c r="H13" s="133">
        <f>IF(B$17=0,0,G13/B$17)</f>
        <v>5.3191489361702126E-3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</v>
      </c>
      <c r="C14" s="39">
        <f>IF(B$3=0,0,B14/B$3)</f>
        <v>0.28875968992248063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0.57894736842105265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66</v>
      </c>
      <c r="C16" s="37">
        <f>IF(B$14=0,0,B16/B$14)</f>
        <v>0.44295302013422821</v>
      </c>
      <c r="E16" s="63" t="s">
        <v>79</v>
      </c>
      <c r="F16" s="60" t="s">
        <v>34</v>
      </c>
      <c r="G16" s="47">
        <v>2</v>
      </c>
      <c r="H16" s="133">
        <f>IF(B$17=0,0,G16/B$17)</f>
        <v>1.0638297872340425E-2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0.36434108527131781</v>
      </c>
      <c r="E17" s="63" t="s">
        <v>80</v>
      </c>
      <c r="F17" s="60" t="s">
        <v>35</v>
      </c>
      <c r="G17" s="47">
        <v>2</v>
      </c>
      <c r="H17" s="133">
        <f>IF(B$17=0,0,G17/B$17)</f>
        <v>1.0638297872340425E-2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79</v>
      </c>
      <c r="C18" s="39">
        <f>IF(B$17=0,0,B18/B$17)</f>
        <v>0.42021276595744683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109</v>
      </c>
      <c r="C19" s="39">
        <f>IF(B$17=0,0,B19/B$17)</f>
        <v>0.57978723404255317</v>
      </c>
      <c r="E19" s="63" t="s">
        <v>82</v>
      </c>
      <c r="F19" s="60" t="s">
        <v>37</v>
      </c>
      <c r="G19" s="47">
        <v>6</v>
      </c>
      <c r="H19" s="133">
        <f>IF(B$17=0,0,G19/B$17)</f>
        <v>3.1914893617021274E-2</v>
      </c>
      <c r="I19" s="94">
        <v>5</v>
      </c>
      <c r="K19" s="38">
        <v>17</v>
      </c>
      <c r="L19" s="99">
        <v>-55.099999999999994</v>
      </c>
      <c r="N19" s="115" t="s">
        <v>173</v>
      </c>
      <c r="O19" s="125">
        <f t="shared" si="2"/>
        <v>12.590909090909088</v>
      </c>
      <c r="P19" s="119">
        <v>11</v>
      </c>
      <c r="Q19" s="107">
        <v>138.49999999999997</v>
      </c>
    </row>
    <row r="20" spans="1:17" x14ac:dyDescent="0.4">
      <c r="A20" s="55" t="s">
        <v>13</v>
      </c>
      <c r="B20" s="47">
        <v>66</v>
      </c>
      <c r="C20" s="39">
        <f>IF(B$3=0,0,B20/B$3)</f>
        <v>0.12790697674418605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7.7299999999999995</v>
      </c>
      <c r="P20" s="119">
        <v>10</v>
      </c>
      <c r="Q20" s="107">
        <v>77.3</v>
      </c>
    </row>
    <row r="21" spans="1:17" x14ac:dyDescent="0.4">
      <c r="A21" s="55" t="s">
        <v>193</v>
      </c>
      <c r="B21" s="47">
        <v>10</v>
      </c>
      <c r="C21" s="135">
        <v>3</v>
      </c>
      <c r="E21" s="63" t="s">
        <v>84</v>
      </c>
      <c r="F21" s="60" t="s">
        <v>39</v>
      </c>
      <c r="G21" s="47">
        <v>10</v>
      </c>
      <c r="H21" s="133">
        <f>IF(B$17=0,0,G21/B$17)</f>
        <v>5.3191489361702128E-2</v>
      </c>
      <c r="I21" s="94">
        <v>2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6579.255319148936</v>
      </c>
      <c r="C23" s="41">
        <v>1236900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-24.890322580645162</v>
      </c>
      <c r="P23" s="119">
        <v>31</v>
      </c>
      <c r="Q23" s="107">
        <v>-771.6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87</v>
      </c>
      <c r="F24" s="60" t="s">
        <v>42</v>
      </c>
      <c r="G24" s="47">
        <v>8</v>
      </c>
      <c r="H24" s="133">
        <f>IF(B$17=0,0,G24/B$17)</f>
        <v>4.2553191489361701E-2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5.3191489361702126E-3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1.937984496124031E-3</v>
      </c>
      <c r="E27" s="63" t="s">
        <v>90</v>
      </c>
      <c r="F27" s="60" t="s">
        <v>45</v>
      </c>
      <c r="G27" s="47">
        <v>12</v>
      </c>
      <c r="H27" s="133">
        <f>IF(B$17=0,0,G27/B$17)</f>
        <v>6.3829787234042548E-2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1.0638297872340425E-2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86</v>
      </c>
      <c r="H51" s="134">
        <f>IF(B$17=0,0,G51/B$17)</f>
        <v>0.45744680851063829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</sheetData>
  <sortState ref="E2:I6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6764-8195-48A4-A88A-DF4F1B91545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43</v>
      </c>
      <c r="C2" s="147"/>
      <c r="E2" s="62" t="s">
        <v>67</v>
      </c>
      <c r="F2" s="59" t="s">
        <v>23</v>
      </c>
      <c r="G2" s="46">
        <v>75</v>
      </c>
      <c r="H2" s="132">
        <f>IF(B$17=0,0,G2/B$17)</f>
        <v>0.67567567567567566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-2806.9767441860463</v>
      </c>
      <c r="P2" s="118">
        <v>43</v>
      </c>
      <c r="Q2" s="102">
        <v>-120700</v>
      </c>
    </row>
    <row r="3" spans="1:17" x14ac:dyDescent="0.4">
      <c r="A3" s="55" t="s">
        <v>8</v>
      </c>
      <c r="B3" s="148">
        <v>375</v>
      </c>
      <c r="C3" s="149"/>
      <c r="E3" s="63" t="s">
        <v>73</v>
      </c>
      <c r="F3" s="60" t="s">
        <v>28</v>
      </c>
      <c r="G3" s="47">
        <v>59</v>
      </c>
      <c r="H3" s="133">
        <f>IF(B$17=0,0,G3/B$17)</f>
        <v>0.53153153153153154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2062.7906976744184</v>
      </c>
      <c r="P3" s="119">
        <v>43</v>
      </c>
      <c r="Q3" s="103">
        <v>88700</v>
      </c>
    </row>
    <row r="4" spans="1:17" x14ac:dyDescent="0.4">
      <c r="A4" s="55" t="s">
        <v>6</v>
      </c>
      <c r="B4" s="150">
        <v>-289.7</v>
      </c>
      <c r="C4" s="151"/>
      <c r="E4" s="63" t="s">
        <v>65</v>
      </c>
      <c r="F4" s="60" t="s">
        <v>21</v>
      </c>
      <c r="G4" s="47">
        <v>50</v>
      </c>
      <c r="H4" s="133">
        <f>IF(B$17=0,0,G4/B$17)</f>
        <v>0.45045045045045046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-831.70731707317077</v>
      </c>
      <c r="P4" s="119">
        <v>41</v>
      </c>
      <c r="Q4" s="103">
        <v>-34100</v>
      </c>
    </row>
    <row r="5" spans="1:17" x14ac:dyDescent="0.4">
      <c r="A5" s="55" t="s">
        <v>7</v>
      </c>
      <c r="B5" s="152">
        <f>IF(B$2=0,0,B$4/B$2)</f>
        <v>-6.7372093023255815</v>
      </c>
      <c r="C5" s="153"/>
      <c r="E5" s="63" t="s">
        <v>69</v>
      </c>
      <c r="F5" s="60" t="s">
        <v>12</v>
      </c>
      <c r="G5" s="47">
        <v>42</v>
      </c>
      <c r="H5" s="133">
        <f>IF(B$17=0,0,G5/B$17)</f>
        <v>0.3783783783783784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-3700</v>
      </c>
      <c r="P5" s="119">
        <v>38</v>
      </c>
      <c r="Q5" s="103">
        <v>-140600</v>
      </c>
    </row>
    <row r="6" spans="1:17" x14ac:dyDescent="0.4">
      <c r="A6" s="55" t="s">
        <v>1</v>
      </c>
      <c r="B6" s="142">
        <f>IF(B$2=0,0,(B$7*1+B$8*2+B$9*3)/B$2)</f>
        <v>2.0930232558139537</v>
      </c>
      <c r="C6" s="143"/>
      <c r="E6" s="63" t="s">
        <v>181</v>
      </c>
      <c r="F6" s="60" t="s">
        <v>182</v>
      </c>
      <c r="G6" s="47">
        <v>41</v>
      </c>
      <c r="H6" s="133">
        <f>IF(B$17=0,0,G6/B$17)</f>
        <v>0.36936936936936937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-44.117647058823529</v>
      </c>
      <c r="P6" s="119">
        <v>34</v>
      </c>
      <c r="Q6" s="103">
        <v>-1500</v>
      </c>
    </row>
    <row r="7" spans="1:17" x14ac:dyDescent="0.4">
      <c r="A7" s="55" t="s">
        <v>2</v>
      </c>
      <c r="B7" s="47">
        <v>12</v>
      </c>
      <c r="C7" s="39">
        <f>IF(B$2=0,0,B7/B$2)</f>
        <v>0.27906976744186046</v>
      </c>
      <c r="E7" s="63" t="s">
        <v>68</v>
      </c>
      <c r="F7" s="60" t="s">
        <v>24</v>
      </c>
      <c r="G7" s="47">
        <v>26</v>
      </c>
      <c r="H7" s="133">
        <f>IF(B$17=0,0,G7/B$17)</f>
        <v>0.23423423423423423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136.36363636363637</v>
      </c>
      <c r="P7" s="120">
        <v>33</v>
      </c>
      <c r="Q7" s="104">
        <v>4500</v>
      </c>
    </row>
    <row r="8" spans="1:17" x14ac:dyDescent="0.4">
      <c r="A8" s="55" t="s">
        <v>3</v>
      </c>
      <c r="B8" s="47">
        <v>15</v>
      </c>
      <c r="C8" s="39">
        <f>IF(B$2=0,0,B8/B$2)</f>
        <v>0.34883720930232559</v>
      </c>
      <c r="E8" s="63" t="s">
        <v>71</v>
      </c>
      <c r="F8" s="60" t="s">
        <v>26</v>
      </c>
      <c r="G8" s="47">
        <v>14</v>
      </c>
      <c r="H8" s="133">
        <f>IF(B$17=0,0,G8/B$17)</f>
        <v>0.12612612612612611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0.37209302325581395</v>
      </c>
      <c r="E9" s="63" t="s">
        <v>90</v>
      </c>
      <c r="F9" s="60" t="s">
        <v>45</v>
      </c>
      <c r="G9" s="47">
        <v>14</v>
      </c>
      <c r="H9" s="133">
        <f>IF(B$17=0,0,G9/B$17)</f>
        <v>0.12612612612612611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0.11627906976744186</v>
      </c>
      <c r="E10" s="63" t="s">
        <v>70</v>
      </c>
      <c r="F10" s="60" t="s">
        <v>25</v>
      </c>
      <c r="G10" s="47">
        <v>12</v>
      </c>
      <c r="H10" s="133">
        <f>IF(B$17=0,0,G10/B$17)</f>
        <v>0.10810810810810811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3</v>
      </c>
      <c r="C11" s="40">
        <f>IF(B$2=0,0,B11/B$2)</f>
        <v>6.9767441860465115E-2</v>
      </c>
      <c r="E11" s="63" t="s">
        <v>66</v>
      </c>
      <c r="F11" s="60" t="s">
        <v>22</v>
      </c>
      <c r="G11" s="47">
        <v>9</v>
      </c>
      <c r="H11" s="133">
        <f>IF(B$17=0,0,G11/B$17)</f>
        <v>8.1081081081081086E-2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1</v>
      </c>
      <c r="C12" s="42">
        <f>IF(B$2=0,0,B12/B$2)</f>
        <v>2.3255813953488372E-2</v>
      </c>
      <c r="E12" s="63" t="s">
        <v>72</v>
      </c>
      <c r="F12" s="60" t="s">
        <v>27</v>
      </c>
      <c r="G12" s="47">
        <v>6</v>
      </c>
      <c r="H12" s="133">
        <f>IF(B$17=0,0,G12/B$17)</f>
        <v>5.4054054054054057E-2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86</v>
      </c>
      <c r="C13" s="44">
        <f>IF(B$3=0,0,B13/B$3)</f>
        <v>0.22933333333333333</v>
      </c>
      <c r="E13" s="63" t="s">
        <v>87</v>
      </c>
      <c r="F13" s="60" t="s">
        <v>42</v>
      </c>
      <c r="G13" s="47">
        <v>4</v>
      </c>
      <c r="H13" s="133">
        <f>IF(B$17=0,0,G13/B$17)</f>
        <v>3.6036036036036036E-2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0.26133333333333331</v>
      </c>
      <c r="E14" s="63" t="s">
        <v>74</v>
      </c>
      <c r="F14" s="60" t="s">
        <v>29</v>
      </c>
      <c r="G14" s="47">
        <v>2</v>
      </c>
      <c r="H14" s="133">
        <f>IF(B$17=0,0,G14/B$17)</f>
        <v>1.8018018018018018E-2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51</v>
      </c>
      <c r="C15" s="37">
        <f>IF(B$13=0,0,B15/B$13)</f>
        <v>0.59302325581395354</v>
      </c>
      <c r="E15" s="63" t="s">
        <v>79</v>
      </c>
      <c r="F15" s="60" t="s">
        <v>34</v>
      </c>
      <c r="G15" s="47">
        <v>2</v>
      </c>
      <c r="H15" s="133">
        <f>IF(B$17=0,0,G15/B$17)</f>
        <v>1.8018018018018018E-2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80</v>
      </c>
      <c r="F16" s="60" t="s">
        <v>35</v>
      </c>
      <c r="G16" s="47">
        <v>2</v>
      </c>
      <c r="H16" s="133">
        <f>IF(B$17=0,0,G16/B$17)</f>
        <v>1.8018018018018018E-2</v>
      </c>
      <c r="I16" s="94">
        <v>4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0.29599999999999999</v>
      </c>
      <c r="E17" s="63" t="s">
        <v>84</v>
      </c>
      <c r="F17" s="60" t="s">
        <v>39</v>
      </c>
      <c r="G17" s="47">
        <v>2</v>
      </c>
      <c r="H17" s="133">
        <f>IF(B$17=0,0,G17/B$17)</f>
        <v>1.8018018018018018E-2</v>
      </c>
      <c r="I17" s="94">
        <v>10</v>
      </c>
      <c r="K17" s="38">
        <v>15</v>
      </c>
      <c r="L17" s="99">
        <v>-264.59999999999997</v>
      </c>
      <c r="N17" s="115" t="s">
        <v>177</v>
      </c>
      <c r="O17" s="125">
        <f>IF(P17=0,0,Q17/P17)</f>
        <v>-10.050000000000001</v>
      </c>
      <c r="P17" s="119">
        <v>6</v>
      </c>
      <c r="Q17" s="107">
        <v>-60.300000000000004</v>
      </c>
    </row>
    <row r="18" spans="1:17" x14ac:dyDescent="0.4">
      <c r="A18" s="55" t="s">
        <v>12</v>
      </c>
      <c r="B18" s="47">
        <v>56</v>
      </c>
      <c r="C18" s="39">
        <f>IF(B$17=0,0,B18/B$17)</f>
        <v>0.50450450450450446</v>
      </c>
      <c r="E18" s="63" t="s">
        <v>92</v>
      </c>
      <c r="F18" s="60" t="s">
        <v>47</v>
      </c>
      <c r="G18" s="47">
        <v>2</v>
      </c>
      <c r="H18" s="133">
        <f>IF(B$17=0,0,G18/B$17)</f>
        <v>1.8018018018018018E-2</v>
      </c>
      <c r="I18" s="94">
        <v>6</v>
      </c>
      <c r="K18" s="38">
        <v>16</v>
      </c>
      <c r="L18" s="99">
        <v>-292.79999999999995</v>
      </c>
      <c r="N18" s="115" t="s">
        <v>172</v>
      </c>
      <c r="O18" s="125">
        <f>IF(P18=0,0,Q18/P18)</f>
        <v>-12.590909090909088</v>
      </c>
      <c r="P18" s="119">
        <v>11</v>
      </c>
      <c r="Q18" s="107">
        <v>-138.49999999999997</v>
      </c>
    </row>
    <row r="19" spans="1:17" x14ac:dyDescent="0.4">
      <c r="A19" s="55" t="s">
        <v>11</v>
      </c>
      <c r="B19" s="47">
        <v>55</v>
      </c>
      <c r="C19" s="39">
        <f>IF(B$17=0,0,B19/B$17)</f>
        <v>0.49549549549549549</v>
      </c>
      <c r="E19" s="63" t="s">
        <v>88</v>
      </c>
      <c r="F19" s="60" t="s">
        <v>43</v>
      </c>
      <c r="G19" s="47">
        <v>1</v>
      </c>
      <c r="H19" s="133">
        <f>IF(B$17=0,0,G19/B$17)</f>
        <v>9.0090090090090089E-3</v>
      </c>
      <c r="I19" s="94">
        <v>1</v>
      </c>
      <c r="K19" s="38">
        <v>17</v>
      </c>
      <c r="L19" s="99">
        <v>-248.89999999999995</v>
      </c>
      <c r="N19" s="115" t="s">
        <v>171</v>
      </c>
      <c r="O19" s="125">
        <f>IF(P19=0,0,Q19/P19)</f>
        <v>-13.774999999999999</v>
      </c>
      <c r="P19" s="119">
        <v>16</v>
      </c>
      <c r="Q19" s="107">
        <v>-220.39999999999998</v>
      </c>
    </row>
    <row r="20" spans="1:17" x14ac:dyDescent="0.4">
      <c r="A20" s="55" t="s">
        <v>13</v>
      </c>
      <c r="B20" s="47">
        <v>70</v>
      </c>
      <c r="C20" s="39">
        <f>IF(B$3=0,0,B20/B$3)</f>
        <v>0.18666666666666668</v>
      </c>
      <c r="E20" s="63" t="s">
        <v>180</v>
      </c>
      <c r="F20" s="60" t="s">
        <v>183</v>
      </c>
      <c r="G20" s="47">
        <v>1</v>
      </c>
      <c r="H20" s="133">
        <f>IF(B$17=0,0,G20/B$17)</f>
        <v>9.0090090090090089E-3</v>
      </c>
      <c r="I20" s="94">
        <v>5</v>
      </c>
      <c r="K20" s="38">
        <v>18</v>
      </c>
      <c r="L20" s="99">
        <v>-218.99999999999994</v>
      </c>
      <c r="N20" s="115" t="s">
        <v>127</v>
      </c>
      <c r="O20" s="125">
        <f>IF(P20=0,0,Q20/P20)</f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6976.5765765765764</v>
      </c>
      <c r="C23" s="41">
        <v>774400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-7807.1428571428569</v>
      </c>
      <c r="C24" s="45">
        <v>-546500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5.3333333333333332E-3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64A7-1F12-442F-AB65-AF140CF570E0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45</v>
      </c>
      <c r="C2" s="147"/>
      <c r="E2" s="62" t="s">
        <v>65</v>
      </c>
      <c r="F2" s="59" t="s">
        <v>21</v>
      </c>
      <c r="G2" s="46">
        <v>63</v>
      </c>
      <c r="H2" s="132">
        <f>IF(B$17=0,0,G2/B$17)</f>
        <v>0.57798165137614677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1204.4444444444443</v>
      </c>
      <c r="P2" s="118">
        <v>45</v>
      </c>
      <c r="Q2" s="102">
        <v>54200</v>
      </c>
    </row>
    <row r="3" spans="1:17" x14ac:dyDescent="0.4">
      <c r="A3" s="55" t="s">
        <v>8</v>
      </c>
      <c r="B3" s="148">
        <v>367</v>
      </c>
      <c r="C3" s="149"/>
      <c r="E3" s="63" t="s">
        <v>67</v>
      </c>
      <c r="F3" s="60" t="s">
        <v>23</v>
      </c>
      <c r="G3" s="47">
        <v>60</v>
      </c>
      <c r="H3" s="133">
        <f>IF(B$17=0,0,G3/B$17)</f>
        <v>0.55045871559633031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655.81395348837214</v>
      </c>
      <c r="P3" s="119">
        <v>43</v>
      </c>
      <c r="Q3" s="103">
        <v>28200</v>
      </c>
    </row>
    <row r="4" spans="1:17" x14ac:dyDescent="0.4">
      <c r="A4" s="55" t="s">
        <v>6</v>
      </c>
      <c r="B4" s="150">
        <v>39.500000000000007</v>
      </c>
      <c r="C4" s="151"/>
      <c r="E4" s="63" t="s">
        <v>73</v>
      </c>
      <c r="F4" s="60" t="s">
        <v>28</v>
      </c>
      <c r="G4" s="47">
        <v>52</v>
      </c>
      <c r="H4" s="133">
        <f>IF(B$17=0,0,G4/B$17)</f>
        <v>0.47706422018348627</v>
      </c>
      <c r="I4" s="94">
        <v>9</v>
      </c>
      <c r="K4" s="38">
        <v>2</v>
      </c>
      <c r="L4" s="99">
        <v>30</v>
      </c>
      <c r="N4" s="115" t="s">
        <v>134</v>
      </c>
      <c r="O4" s="122">
        <f t="shared" si="0"/>
        <v>-1348.7179487179487</v>
      </c>
      <c r="P4" s="119">
        <v>39</v>
      </c>
      <c r="Q4" s="103">
        <v>-52600</v>
      </c>
    </row>
    <row r="5" spans="1:17" x14ac:dyDescent="0.4">
      <c r="A5" s="55" t="s">
        <v>7</v>
      </c>
      <c r="B5" s="152">
        <f>IF(B$2=0,0,B$4/B$2)</f>
        <v>0.87777777777777799</v>
      </c>
      <c r="C5" s="153"/>
      <c r="E5" s="63" t="s">
        <v>181</v>
      </c>
      <c r="F5" s="60" t="s">
        <v>182</v>
      </c>
      <c r="G5" s="47">
        <v>45</v>
      </c>
      <c r="H5" s="133">
        <f>IF(B$17=0,0,G5/B$17)</f>
        <v>0.41284403669724773</v>
      </c>
      <c r="I5" s="94">
        <v>4</v>
      </c>
      <c r="K5" s="38">
        <v>3</v>
      </c>
      <c r="L5" s="99">
        <v>-10</v>
      </c>
      <c r="N5" s="115" t="s">
        <v>135</v>
      </c>
      <c r="O5" s="122">
        <f t="shared" si="0"/>
        <v>1668.421052631579</v>
      </c>
      <c r="P5" s="119">
        <v>38</v>
      </c>
      <c r="Q5" s="103">
        <v>63400</v>
      </c>
    </row>
    <row r="6" spans="1:17" x14ac:dyDescent="0.4">
      <c r="A6" s="55" t="s">
        <v>1</v>
      </c>
      <c r="B6" s="142">
        <f>IF(B$2=0,0,(B$7*1+B$8*2+B$9*3)/B$2)</f>
        <v>1.9555555555555555</v>
      </c>
      <c r="C6" s="143"/>
      <c r="E6" s="63" t="s">
        <v>68</v>
      </c>
      <c r="F6" s="60" t="s">
        <v>24</v>
      </c>
      <c r="G6" s="47">
        <v>39</v>
      </c>
      <c r="H6" s="133">
        <f>IF(B$17=0,0,G6/B$17)</f>
        <v>0.3577981651376147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-1444.1176470588234</v>
      </c>
      <c r="P6" s="119">
        <v>34</v>
      </c>
      <c r="Q6" s="103">
        <v>-49100</v>
      </c>
    </row>
    <row r="7" spans="1:17" x14ac:dyDescent="0.4">
      <c r="A7" s="55" t="s">
        <v>2</v>
      </c>
      <c r="B7" s="47">
        <v>17</v>
      </c>
      <c r="C7" s="39">
        <f>IF(B$2=0,0,B7/B$2)</f>
        <v>0.37777777777777777</v>
      </c>
      <c r="E7" s="63" t="s">
        <v>69</v>
      </c>
      <c r="F7" s="60" t="s">
        <v>12</v>
      </c>
      <c r="G7" s="47">
        <v>31</v>
      </c>
      <c r="H7" s="133">
        <f>IF(B$17=0,0,G7/B$17)</f>
        <v>0.28440366972477066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-220.68965517241378</v>
      </c>
      <c r="P7" s="120">
        <v>29</v>
      </c>
      <c r="Q7" s="104">
        <v>-6400</v>
      </c>
    </row>
    <row r="8" spans="1:17" x14ac:dyDescent="0.4">
      <c r="A8" s="55" t="s">
        <v>3</v>
      </c>
      <c r="B8" s="47">
        <v>13</v>
      </c>
      <c r="C8" s="39">
        <f>IF(B$2=0,0,B8/B$2)</f>
        <v>0.28888888888888886</v>
      </c>
      <c r="E8" s="63" t="s">
        <v>70</v>
      </c>
      <c r="F8" s="60" t="s">
        <v>25</v>
      </c>
      <c r="G8" s="47">
        <v>16</v>
      </c>
      <c r="H8" s="133">
        <f>IF(B$17=0,0,G8/B$17)</f>
        <v>0.14678899082568808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13</v>
      </c>
      <c r="H9" s="133">
        <f>IF(B$17=0,0,G9/B$17)</f>
        <v>0.11926605504587157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0.17777777777777778</v>
      </c>
      <c r="E10" s="63" t="s">
        <v>66</v>
      </c>
      <c r="F10" s="60" t="s">
        <v>22</v>
      </c>
      <c r="G10" s="47">
        <v>12</v>
      </c>
      <c r="H10" s="133">
        <f>IF(B$17=0,0,G10/B$17)</f>
        <v>0.11009174311926606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1.5999999999999992</v>
      </c>
      <c r="P10" s="118">
        <v>13</v>
      </c>
      <c r="Q10" s="106">
        <v>20.79999999999999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0.1111111111111111</v>
      </c>
      <c r="E11" s="63" t="s">
        <v>71</v>
      </c>
      <c r="F11" s="60" t="s">
        <v>26</v>
      </c>
      <c r="G11" s="47">
        <v>8</v>
      </c>
      <c r="H11" s="133">
        <f>IF(B$17=0,0,G11/B$17)</f>
        <v>7.3394495412844041E-2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4.0352941176470587</v>
      </c>
      <c r="P11" s="119">
        <v>17</v>
      </c>
      <c r="Q11" s="107">
        <v>68.599999999999994</v>
      </c>
    </row>
    <row r="12" spans="1:17" x14ac:dyDescent="0.4">
      <c r="A12" s="57" t="s">
        <v>160</v>
      </c>
      <c r="B12" s="49">
        <v>4</v>
      </c>
      <c r="C12" s="42">
        <f>IF(B$2=0,0,B12/B$2)</f>
        <v>8.8888888888888892E-2</v>
      </c>
      <c r="E12" s="63" t="s">
        <v>79</v>
      </c>
      <c r="F12" s="60" t="s">
        <v>34</v>
      </c>
      <c r="G12" s="47">
        <v>5</v>
      </c>
      <c r="H12" s="133">
        <f>IF(B$17=0,0,G12/B$17)</f>
        <v>4.5871559633027525E-2</v>
      </c>
      <c r="I12" s="94">
        <v>4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94</v>
      </c>
      <c r="C13" s="44">
        <f>IF(B$3=0,0,B13/B$3)</f>
        <v>0.2561307901907357</v>
      </c>
      <c r="E13" s="63" t="s">
        <v>84</v>
      </c>
      <c r="F13" s="60" t="s">
        <v>39</v>
      </c>
      <c r="G13" s="47">
        <v>5</v>
      </c>
      <c r="H13" s="133">
        <f>IF(B$17=0,0,G13/B$17)</f>
        <v>4.5871559633027525E-2</v>
      </c>
      <c r="I13" s="94">
        <v>5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0.1907356948228883</v>
      </c>
      <c r="E14" s="63" t="s">
        <v>92</v>
      </c>
      <c r="F14" s="60" t="s">
        <v>47</v>
      </c>
      <c r="G14" s="47">
        <v>5</v>
      </c>
      <c r="H14" s="133">
        <f>IF(B$17=0,0,G14/B$17)</f>
        <v>4.5871559633027525E-2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63</v>
      </c>
      <c r="C15" s="37">
        <f>IF(B$13=0,0,B15/B$13)</f>
        <v>0.67021276595744683</v>
      </c>
      <c r="E15" s="63" t="s">
        <v>72</v>
      </c>
      <c r="F15" s="60" t="s">
        <v>27</v>
      </c>
      <c r="G15" s="47">
        <v>4</v>
      </c>
      <c r="H15" s="133">
        <f>IF(B$17=0,0,G15/B$17)</f>
        <v>3.669724770642202E-2</v>
      </c>
      <c r="I15" s="94">
        <v>9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0.37142857142857144</v>
      </c>
      <c r="E16" s="63" t="s">
        <v>82</v>
      </c>
      <c r="F16" s="60" t="s">
        <v>37</v>
      </c>
      <c r="G16" s="47">
        <v>3</v>
      </c>
      <c r="H16" s="133">
        <f>IF(B$17=0,0,G16/B$17)</f>
        <v>2.7522935779816515E-2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109</v>
      </c>
      <c r="C17" s="37">
        <f>IF(B$3=0,0,B17/B$3)</f>
        <v>0.29700272479564033</v>
      </c>
      <c r="E17" s="63" t="s">
        <v>80</v>
      </c>
      <c r="F17" s="60" t="s">
        <v>35</v>
      </c>
      <c r="G17" s="47">
        <v>2</v>
      </c>
      <c r="H17" s="133">
        <f>IF(B$17=0,0,G17/B$17)</f>
        <v>1.834862385321101E-2</v>
      </c>
      <c r="I17" s="94">
        <v>3</v>
      </c>
      <c r="K17" s="38">
        <v>15</v>
      </c>
      <c r="L17" s="99">
        <v>-146.19999999999999</v>
      </c>
      <c r="N17" s="115" t="s">
        <v>186</v>
      </c>
      <c r="O17" s="125">
        <f>IF(P17=0,0,Q17/P17)</f>
        <v>15.833333333333337</v>
      </c>
      <c r="P17" s="119">
        <v>3</v>
      </c>
      <c r="Q17" s="107">
        <v>47.500000000000014</v>
      </c>
    </row>
    <row r="18" spans="1:17" x14ac:dyDescent="0.4">
      <c r="A18" s="55" t="s">
        <v>12</v>
      </c>
      <c r="B18" s="47">
        <v>45</v>
      </c>
      <c r="C18" s="39">
        <f>IF(B$17=0,0,B18/B$17)</f>
        <v>0.41284403669724773</v>
      </c>
      <c r="E18" s="63" t="s">
        <v>86</v>
      </c>
      <c r="F18" s="60" t="s">
        <v>41</v>
      </c>
      <c r="G18" s="47">
        <v>2</v>
      </c>
      <c r="H18" s="133">
        <f>IF(B$17=0,0,G18/B$17)</f>
        <v>1.834862385321101E-2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64</v>
      </c>
      <c r="C19" s="39">
        <f>IF(B$17=0,0,B19/B$17)</f>
        <v>0.58715596330275233</v>
      </c>
      <c r="E19" s="63" t="s">
        <v>87</v>
      </c>
      <c r="F19" s="60" t="s">
        <v>42</v>
      </c>
      <c r="G19" s="47">
        <v>2</v>
      </c>
      <c r="H19" s="133">
        <f>IF(B$17=0,0,G19/B$17)</f>
        <v>1.834862385321101E-2</v>
      </c>
      <c r="I19" s="94">
        <v>10</v>
      </c>
      <c r="K19" s="38">
        <v>17</v>
      </c>
      <c r="L19" s="99">
        <v>-161.19999999999999</v>
      </c>
      <c r="N19" s="115" t="s">
        <v>173</v>
      </c>
      <c r="O19" s="125">
        <f>IF(P19=0,0,Q19/P19)</f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61</v>
      </c>
      <c r="C20" s="39">
        <f>IF(B$3=0,0,B20/B$3)</f>
        <v>0.16621253405994552</v>
      </c>
      <c r="E20" s="63" t="s">
        <v>75</v>
      </c>
      <c r="F20" s="60" t="s">
        <v>30</v>
      </c>
      <c r="G20" s="47">
        <v>1</v>
      </c>
      <c r="H20" s="133">
        <f>IF(B$17=0,0,G20/B$17)</f>
        <v>9.1743119266055051E-3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-1.3583333333333361</v>
      </c>
      <c r="P20" s="119">
        <v>12</v>
      </c>
      <c r="Q20" s="107">
        <v>-16.300000000000033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9.1743119266055051E-3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1</v>
      </c>
      <c r="E22" s="63" t="s">
        <v>91</v>
      </c>
      <c r="F22" s="60" t="s">
        <v>46</v>
      </c>
      <c r="G22" s="47">
        <v>1</v>
      </c>
      <c r="H22" s="133">
        <f>IF(B$17=0,0,G22/B$17)</f>
        <v>9.1743119266055051E-3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-29.705263157894741</v>
      </c>
      <c r="P22" s="119">
        <v>19</v>
      </c>
      <c r="Q22" s="107">
        <v>-564.40000000000009</v>
      </c>
    </row>
    <row r="23" spans="1:17" x14ac:dyDescent="0.4">
      <c r="A23" s="55" t="s">
        <v>5</v>
      </c>
      <c r="B23" s="51">
        <f>IF(B$17=0,0,C23/B$17)</f>
        <v>8874.3119266055037</v>
      </c>
      <c r="C23" s="41">
        <v>967300</v>
      </c>
      <c r="E23" s="63" t="s">
        <v>93</v>
      </c>
      <c r="F23" s="60" t="s">
        <v>48</v>
      </c>
      <c r="G23" s="47">
        <v>1</v>
      </c>
      <c r="H23" s="133">
        <f>IF(B$17=0,0,G23/B$17)</f>
        <v>9.1743119266055051E-3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-7621.311475409836</v>
      </c>
      <c r="C24" s="45">
        <v>-464900</v>
      </c>
      <c r="E24" s="63" t="s">
        <v>102</v>
      </c>
      <c r="F24" s="60" t="s">
        <v>57</v>
      </c>
      <c r="G24" s="47">
        <v>1</v>
      </c>
      <c r="H24" s="133">
        <f>IF(B$17=0,0,G24/B$17)</f>
        <v>9.1743119266055051E-3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8.1743869209809257E-3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30D0-3903-4C85-AEAE-8097FF5AC18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E1F8-16F1-4B14-B9FD-33592E6996E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10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153AF-2078-408E-8167-5521A82CA6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DC5B4-A072-4822-8C3B-CD2D873593F1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47D8F-7D91-466C-A755-13AD3EC2ACE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27E8A-CFCE-47A5-837E-CB44B08AE0A4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F601F-93E7-4D79-8817-1058DC674F62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BFDCF-17EA-4310-AAFF-AB48F430B06B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3455-20AE-4DA8-97ED-BA76EAA82F72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5600-6635-47E3-9FB1-DC9B5CCDAC5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8E52-0D08-463B-86E4-854D7195E562}">
  <sheetPr codeName="Sheet20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9EC-1F87-4066-BA97-948D38F3BA68}">
  <sheetPr codeName="Sheet18"/>
  <dimension ref="A1:Q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C0CC-FC4B-4C4A-B719-77E3F350CD15}">
  <sheetPr codeName="Sheet16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0CB4-47EE-42C6-B2A6-064C42428CB7}">
  <sheetPr codeName="Sheet14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B521-45D7-484C-833B-E0BDF64530BA}">
  <sheetPr codeName="Sheet12"/>
  <dimension ref="A1:Q6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F36A7-5471-424E-AFC8-730416647676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2B54-62C2-4822-A2E7-CA05CD4C6780}">
  <sheetPr codeName="Sheet8"/>
  <dimension ref="A1:Q1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6624-9B68-4DCF-ADED-DCF9221E715F}">
  <sheetPr codeName="Sheet6"/>
  <dimension ref="A1:Q18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2019-05-24T09:35:05Z</dcterms:modified>
</cp:coreProperties>
</file>