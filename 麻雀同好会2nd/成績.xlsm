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77A8EED8-C41E-428A-8D14-3A68B7090193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79" r:id="rId6"/>
    <sheet name="だいち" sheetId="5481" r:id="rId7"/>
    <sheet name="りくと" sheetId="5483" r:id="rId8"/>
    <sheet name="ただ" sheetId="5485" r:id="rId9"/>
    <sheet name="れんたろう" sheetId="5487" r:id="rId10"/>
    <sheet name="たかの" sheetId="5489" r:id="rId11"/>
    <sheet name="ぱぱ" sheetId="5491" r:id="rId12"/>
    <sheet name="まっつん" sheetId="5493" r:id="rId13"/>
    <sheet name="あさひ" sheetId="5495" r:id="rId14"/>
    <sheet name="いっしー" sheetId="5497" r:id="rId15"/>
    <sheet name="ほたに" sheetId="5499" r:id="rId16"/>
    <sheet name="かわたつ" sheetId="5501" r:id="rId17"/>
    <sheet name="やがさき" sheetId="5503" r:id="rId18"/>
    <sheet name="やがさき2" sheetId="5504" state="hidden" r:id="rId19"/>
    <sheet name="かわたつ2" sheetId="5502" state="hidden" r:id="rId20"/>
    <sheet name="ほたに2" sheetId="5500" state="hidden" r:id="rId21"/>
    <sheet name="いっしー2" sheetId="5498" state="hidden" r:id="rId22"/>
    <sheet name="あさひ2" sheetId="5496" state="hidden" r:id="rId23"/>
    <sheet name="まっつん2" sheetId="5494" state="hidden" r:id="rId24"/>
    <sheet name="ぱぱ2" sheetId="5492" state="hidden" r:id="rId25"/>
    <sheet name="たかの2" sheetId="5490" state="hidden" r:id="rId26"/>
    <sheet name="れんたろう2" sheetId="5488" state="hidden" r:id="rId27"/>
    <sheet name="ただ2" sheetId="5486" state="hidden" r:id="rId28"/>
    <sheet name="りくと2" sheetId="5484" state="hidden" r:id="rId29"/>
    <sheet name="だいち2" sheetId="5482" state="hidden" r:id="rId30"/>
    <sheet name="全体2" sheetId="5480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5" i="5481" l="1"/>
  <c r="O15" i="5503"/>
  <c r="O15" i="5485" l="1"/>
  <c r="O16" i="5489"/>
  <c r="O16" i="5479"/>
  <c r="O17" i="5503"/>
  <c r="O16" i="5503"/>
  <c r="C27" i="5503"/>
  <c r="B24" i="5503"/>
  <c r="C20" i="5503"/>
  <c r="B17" i="5503"/>
  <c r="H52" i="5503" s="1"/>
  <c r="C16" i="5503"/>
  <c r="C15" i="5503"/>
  <c r="C14" i="5503"/>
  <c r="C13" i="5503"/>
  <c r="O12" i="5503"/>
  <c r="C12" i="5503"/>
  <c r="O11" i="5503"/>
  <c r="C11" i="5503"/>
  <c r="O10" i="5503"/>
  <c r="C10" i="5503"/>
  <c r="C9" i="5503"/>
  <c r="C8" i="5503"/>
  <c r="O7" i="5503"/>
  <c r="C7" i="5503"/>
  <c r="O6" i="5503"/>
  <c r="B6" i="5503"/>
  <c r="O5" i="5503"/>
  <c r="B5" i="5503"/>
  <c r="O4" i="5503"/>
  <c r="O3" i="5503"/>
  <c r="O2" i="5503"/>
  <c r="O15" i="5501"/>
  <c r="O16" i="5501"/>
  <c r="C27" i="5501"/>
  <c r="B24" i="5501"/>
  <c r="C20" i="5501"/>
  <c r="B17" i="5501"/>
  <c r="H51" i="5501" s="1"/>
  <c r="C16" i="5501"/>
  <c r="C15" i="5501"/>
  <c r="H14" i="5501"/>
  <c r="C14" i="5501"/>
  <c r="C13" i="5501"/>
  <c r="O12" i="5501"/>
  <c r="H12" i="5501"/>
  <c r="C12" i="5501"/>
  <c r="O11" i="5501"/>
  <c r="H11" i="5501"/>
  <c r="C11" i="5501"/>
  <c r="O10" i="5501"/>
  <c r="C10" i="5501"/>
  <c r="H9" i="5501"/>
  <c r="C9" i="5501"/>
  <c r="C8" i="5501"/>
  <c r="O7" i="5501"/>
  <c r="C7" i="5501"/>
  <c r="O6" i="5501"/>
  <c r="H6" i="5501"/>
  <c r="B6" i="5501"/>
  <c r="O5" i="5501"/>
  <c r="H5" i="5501"/>
  <c r="B5" i="5501"/>
  <c r="O4" i="5501"/>
  <c r="H4" i="5501"/>
  <c r="O3" i="5501"/>
  <c r="H3" i="5501"/>
  <c r="O2" i="5501"/>
  <c r="H2" i="5501"/>
  <c r="O23" i="5487"/>
  <c r="O16" i="5481"/>
  <c r="O25" i="5479"/>
  <c r="H12" i="5503" l="1"/>
  <c r="H9" i="5503"/>
  <c r="H2" i="5503"/>
  <c r="H4" i="5503"/>
  <c r="H6" i="5503"/>
  <c r="H3" i="5503"/>
  <c r="H8" i="5503"/>
  <c r="H10" i="5503"/>
  <c r="C18" i="5503"/>
  <c r="H38" i="5503"/>
  <c r="H5" i="5503"/>
  <c r="H11" i="5503"/>
  <c r="H14" i="5503"/>
  <c r="H16" i="5503"/>
  <c r="C19" i="5503"/>
  <c r="H42" i="5503"/>
  <c r="H30" i="5503"/>
  <c r="H46" i="5503"/>
  <c r="H7" i="5503"/>
  <c r="H13" i="5503"/>
  <c r="H15" i="5503"/>
  <c r="C17" i="5503"/>
  <c r="H21" i="5503"/>
  <c r="H34" i="5503"/>
  <c r="H50" i="5503"/>
  <c r="H18" i="5503"/>
  <c r="H20" i="5503"/>
  <c r="H23" i="5503"/>
  <c r="H26" i="5503"/>
  <c r="H29" i="5503"/>
  <c r="H33" i="5503"/>
  <c r="H37" i="5503"/>
  <c r="H41" i="5503"/>
  <c r="H45" i="5503"/>
  <c r="H49" i="5503"/>
  <c r="H17" i="5503"/>
  <c r="H19" i="5503"/>
  <c r="H22" i="5503"/>
  <c r="H24" i="5503"/>
  <c r="H27" i="5503"/>
  <c r="H31" i="5503"/>
  <c r="H35" i="5503"/>
  <c r="H39" i="5503"/>
  <c r="H43" i="5503"/>
  <c r="H47" i="5503"/>
  <c r="H51" i="5503"/>
  <c r="B23" i="5503"/>
  <c r="H25" i="5503"/>
  <c r="H28" i="5503"/>
  <c r="H32" i="5503"/>
  <c r="H36" i="5503"/>
  <c r="H40" i="5503"/>
  <c r="H44" i="5503"/>
  <c r="H48" i="5503"/>
  <c r="H21" i="5501"/>
  <c r="H28" i="5501"/>
  <c r="H10" i="5501"/>
  <c r="C17" i="5501"/>
  <c r="B23" i="5501"/>
  <c r="H40" i="5501"/>
  <c r="H8" i="5501"/>
  <c r="H7" i="5501"/>
  <c r="H13" i="5501"/>
  <c r="H15" i="5501"/>
  <c r="C18" i="5501"/>
  <c r="H44" i="5501"/>
  <c r="H16" i="5501"/>
  <c r="C19" i="5501"/>
  <c r="H32" i="5501"/>
  <c r="H48" i="5501"/>
  <c r="H25" i="5501"/>
  <c r="H36" i="5501"/>
  <c r="H52" i="5501"/>
  <c r="H18" i="5501"/>
  <c r="H20" i="5501"/>
  <c r="H23" i="5501"/>
  <c r="H26" i="5501"/>
  <c r="H29" i="5501"/>
  <c r="H33" i="5501"/>
  <c r="H37" i="5501"/>
  <c r="H41" i="5501"/>
  <c r="H45" i="5501"/>
  <c r="H49" i="5501"/>
  <c r="H30" i="5501"/>
  <c r="H34" i="5501"/>
  <c r="H38" i="5501"/>
  <c r="H42" i="5501"/>
  <c r="H46" i="5501"/>
  <c r="H50" i="5501"/>
  <c r="H17" i="5501"/>
  <c r="H19" i="5501"/>
  <c r="H22" i="5501"/>
  <c r="H24" i="5501"/>
  <c r="H27" i="5501"/>
  <c r="H31" i="5501"/>
  <c r="H35" i="5501"/>
  <c r="H39" i="5501"/>
  <c r="H43" i="5501"/>
  <c r="H47" i="5501"/>
  <c r="O17" i="5489" l="1"/>
  <c r="O16" i="5497"/>
  <c r="O20" i="5499" l="1"/>
  <c r="O18" i="5499"/>
  <c r="O16" i="5493"/>
  <c r="O20" i="5483"/>
  <c r="O24" i="5481" l="1"/>
  <c r="O17" i="5499"/>
  <c r="O21" i="5491"/>
  <c r="O15" i="5499"/>
  <c r="O16" i="5499" l="1"/>
  <c r="O19" i="5499"/>
  <c r="C27" i="5499"/>
  <c r="B24" i="5499"/>
  <c r="C20" i="5499"/>
  <c r="B17" i="5499"/>
  <c r="H52" i="5499" s="1"/>
  <c r="C16" i="5499"/>
  <c r="C15" i="5499"/>
  <c r="C14" i="5499"/>
  <c r="C13" i="5499"/>
  <c r="O12" i="5499"/>
  <c r="C12" i="5499"/>
  <c r="O11" i="5499"/>
  <c r="C11" i="5499"/>
  <c r="O10" i="5499"/>
  <c r="C10" i="5499"/>
  <c r="C9" i="5499"/>
  <c r="C8" i="5499"/>
  <c r="O7" i="5499"/>
  <c r="C7" i="5499"/>
  <c r="O6" i="5499"/>
  <c r="B6" i="5499"/>
  <c r="O5" i="5499"/>
  <c r="B5" i="5499"/>
  <c r="O4" i="5499"/>
  <c r="O3" i="5499"/>
  <c r="O2" i="5499"/>
  <c r="O21" i="5487"/>
  <c r="O20" i="5489"/>
  <c r="O22" i="5479"/>
  <c r="H8" i="5499" l="1"/>
  <c r="H5" i="5499"/>
  <c r="C17" i="5499"/>
  <c r="H4" i="5499"/>
  <c r="H2" i="5499"/>
  <c r="H10" i="5499"/>
  <c r="H20" i="5499"/>
  <c r="H26" i="5499"/>
  <c r="H33" i="5499"/>
  <c r="H41" i="5499"/>
  <c r="H45" i="5499"/>
  <c r="H7" i="5499"/>
  <c r="H13" i="5499"/>
  <c r="H15" i="5499"/>
  <c r="C19" i="5499"/>
  <c r="H21" i="5499"/>
  <c r="H30" i="5499"/>
  <c r="H34" i="5499"/>
  <c r="H38" i="5499"/>
  <c r="H42" i="5499"/>
  <c r="H46" i="5499"/>
  <c r="H50" i="5499"/>
  <c r="H18" i="5499"/>
  <c r="H23" i="5499"/>
  <c r="H29" i="5499"/>
  <c r="H37" i="5499"/>
  <c r="H49" i="5499"/>
  <c r="H3" i="5499"/>
  <c r="H6" i="5499"/>
  <c r="H9" i="5499"/>
  <c r="H12" i="5499"/>
  <c r="H17" i="5499"/>
  <c r="H19" i="5499"/>
  <c r="H22" i="5499"/>
  <c r="H24" i="5499"/>
  <c r="H27" i="5499"/>
  <c r="H31" i="5499"/>
  <c r="H35" i="5499"/>
  <c r="H39" i="5499"/>
  <c r="H43" i="5499"/>
  <c r="H47" i="5499"/>
  <c r="H51" i="5499"/>
  <c r="H11" i="5499"/>
  <c r="H14" i="5499"/>
  <c r="H16" i="5499"/>
  <c r="C18" i="5499"/>
  <c r="B23" i="5499"/>
  <c r="H25" i="5499"/>
  <c r="H28" i="5499"/>
  <c r="H32" i="5499"/>
  <c r="H36" i="5499"/>
  <c r="H40" i="5499"/>
  <c r="H44" i="5499"/>
  <c r="H48" i="5499"/>
  <c r="O21" i="5489" l="1"/>
  <c r="O16" i="5485"/>
  <c r="O21" i="5493"/>
  <c r="O19" i="5493"/>
  <c r="O21" i="5481" l="1"/>
  <c r="O17" i="5497"/>
  <c r="O20" i="5497" l="1"/>
  <c r="O15" i="5497"/>
  <c r="O15" i="5487"/>
  <c r="O22" i="5485"/>
  <c r="O17" i="5495" l="1"/>
  <c r="O22" i="5491"/>
  <c r="O15" i="5495"/>
  <c r="O21" i="5497"/>
  <c r="O15" i="5483"/>
  <c r="O17" i="5493"/>
  <c r="O17" i="5479"/>
  <c r="O19" i="5497"/>
  <c r="O18" i="5497"/>
  <c r="C27" i="5497"/>
  <c r="B24" i="5497"/>
  <c r="C20" i="5497"/>
  <c r="B17" i="5497"/>
  <c r="H49" i="5497" s="1"/>
  <c r="C16" i="5497"/>
  <c r="C15" i="5497"/>
  <c r="C14" i="5497"/>
  <c r="C13" i="5497"/>
  <c r="O12" i="5497"/>
  <c r="C12" i="5497"/>
  <c r="O11" i="5497"/>
  <c r="C11" i="5497"/>
  <c r="O10" i="5497"/>
  <c r="C10" i="5497"/>
  <c r="C9" i="5497"/>
  <c r="C8" i="5497"/>
  <c r="O7" i="5497"/>
  <c r="C7" i="5497"/>
  <c r="O6" i="5497"/>
  <c r="B6" i="5497"/>
  <c r="O5" i="5497"/>
  <c r="B5" i="5497"/>
  <c r="O4" i="5497"/>
  <c r="O3" i="5497"/>
  <c r="O2" i="5497"/>
  <c r="O16" i="5495"/>
  <c r="O18" i="5495"/>
  <c r="C27" i="5495"/>
  <c r="B24" i="5495"/>
  <c r="C20" i="5495"/>
  <c r="B17" i="5495"/>
  <c r="H49" i="5495" s="1"/>
  <c r="C16" i="5495"/>
  <c r="C15" i="5495"/>
  <c r="C14" i="5495"/>
  <c r="C13" i="5495"/>
  <c r="O12" i="5495"/>
  <c r="C12" i="5495"/>
  <c r="O11" i="5495"/>
  <c r="C11" i="5495"/>
  <c r="O10" i="5495"/>
  <c r="C10" i="5495"/>
  <c r="C9" i="5495"/>
  <c r="H8" i="5495"/>
  <c r="C8" i="5495"/>
  <c r="O7" i="5495"/>
  <c r="C7" i="5495"/>
  <c r="O6" i="5495"/>
  <c r="B6" i="5495"/>
  <c r="O5" i="5495"/>
  <c r="B5" i="5495"/>
  <c r="O4" i="5495"/>
  <c r="O3" i="5495"/>
  <c r="O2" i="5495"/>
  <c r="O22" i="5493"/>
  <c r="O23" i="5493"/>
  <c r="O15" i="5481"/>
  <c r="O18" i="5481"/>
  <c r="O26" i="5479"/>
  <c r="H39" i="5495" l="1"/>
  <c r="H44" i="5495"/>
  <c r="H14" i="5495"/>
  <c r="H34" i="5495"/>
  <c r="H5" i="5495"/>
  <c r="C18" i="5495"/>
  <c r="H24" i="5495"/>
  <c r="H4" i="5495"/>
  <c r="H11" i="5495"/>
  <c r="H2" i="5495"/>
  <c r="H10" i="5495"/>
  <c r="H16" i="5495"/>
  <c r="H21" i="5495"/>
  <c r="H28" i="5495"/>
  <c r="H50" i="5495"/>
  <c r="H25" i="5495"/>
  <c r="H51" i="5495"/>
  <c r="C19" i="5495"/>
  <c r="H35" i="5495"/>
  <c r="C17" i="5495"/>
  <c r="H52" i="5495"/>
  <c r="H22" i="5495"/>
  <c r="H30" i="5495"/>
  <c r="H40" i="5495"/>
  <c r="H46" i="5495"/>
  <c r="H7" i="5495"/>
  <c r="H13" i="5495"/>
  <c r="H15" i="5495"/>
  <c r="H19" i="5495"/>
  <c r="B23" i="5495"/>
  <c r="H31" i="5495"/>
  <c r="H36" i="5495"/>
  <c r="H42" i="5495"/>
  <c r="H47" i="5495"/>
  <c r="H3" i="5495"/>
  <c r="H6" i="5495"/>
  <c r="H9" i="5495"/>
  <c r="H12" i="5495"/>
  <c r="H17" i="5495"/>
  <c r="H27" i="5495"/>
  <c r="H32" i="5495"/>
  <c r="H38" i="5495"/>
  <c r="H43" i="5495"/>
  <c r="H48" i="5495"/>
  <c r="H3" i="5497"/>
  <c r="H8" i="5497"/>
  <c r="H10" i="5497"/>
  <c r="H17" i="5497"/>
  <c r="H27" i="5497"/>
  <c r="H32" i="5497"/>
  <c r="H6" i="5497"/>
  <c r="H43" i="5497"/>
  <c r="H12" i="5497"/>
  <c r="H2" i="5497"/>
  <c r="H4" i="5497"/>
  <c r="H9" i="5497"/>
  <c r="H38" i="5497"/>
  <c r="H48" i="5497"/>
  <c r="H5" i="5497"/>
  <c r="H11" i="5497"/>
  <c r="H14" i="5497"/>
  <c r="H16" i="5497"/>
  <c r="C18" i="5497"/>
  <c r="H21" i="5497"/>
  <c r="H24" i="5497"/>
  <c r="H28" i="5497"/>
  <c r="H34" i="5497"/>
  <c r="H39" i="5497"/>
  <c r="H44" i="5497"/>
  <c r="H50" i="5497"/>
  <c r="C19" i="5497"/>
  <c r="H22" i="5497"/>
  <c r="H25" i="5497"/>
  <c r="H30" i="5497"/>
  <c r="H35" i="5497"/>
  <c r="H40" i="5497"/>
  <c r="H46" i="5497"/>
  <c r="H51" i="5497"/>
  <c r="H7" i="5497"/>
  <c r="H13" i="5497"/>
  <c r="H15" i="5497"/>
  <c r="C17" i="5497"/>
  <c r="H19" i="5497"/>
  <c r="B23" i="5497"/>
  <c r="H31" i="5497"/>
  <c r="H36" i="5497"/>
  <c r="H42" i="5497"/>
  <c r="H47" i="5497"/>
  <c r="H52" i="5497"/>
  <c r="H18" i="5497"/>
  <c r="H20" i="5497"/>
  <c r="H23" i="5497"/>
  <c r="H26" i="5497"/>
  <c r="H29" i="5497"/>
  <c r="H33" i="5497"/>
  <c r="H37" i="5497"/>
  <c r="H41" i="5497"/>
  <c r="H45" i="5497"/>
  <c r="H18" i="5495"/>
  <c r="H20" i="5495"/>
  <c r="H23" i="5495"/>
  <c r="H26" i="5495"/>
  <c r="H29" i="5495"/>
  <c r="H33" i="5495"/>
  <c r="H37" i="5495"/>
  <c r="H41" i="5495"/>
  <c r="H45" i="5495"/>
  <c r="O20" i="5493" l="1"/>
  <c r="O18" i="5491"/>
  <c r="O16" i="5491"/>
  <c r="O17" i="5483"/>
  <c r="O18" i="5489" l="1"/>
  <c r="O17" i="5487"/>
  <c r="O17" i="5491"/>
  <c r="O19" i="5491"/>
  <c r="O15" i="5489" l="1"/>
  <c r="O16" i="5487"/>
  <c r="O21" i="5485"/>
  <c r="O18" i="5485"/>
  <c r="O15" i="5493"/>
  <c r="O18" i="5493"/>
  <c r="C27" i="5493"/>
  <c r="B24" i="5493"/>
  <c r="C20" i="5493"/>
  <c r="B17" i="5493"/>
  <c r="H51" i="5493" s="1"/>
  <c r="C16" i="5493"/>
  <c r="C15" i="5493"/>
  <c r="C14" i="5493"/>
  <c r="C13" i="5493"/>
  <c r="O12" i="5493"/>
  <c r="C12" i="5493"/>
  <c r="O11" i="5493"/>
  <c r="C11" i="5493"/>
  <c r="O10" i="5493"/>
  <c r="C10" i="5493"/>
  <c r="C9" i="5493"/>
  <c r="C8" i="5493"/>
  <c r="O7" i="5493"/>
  <c r="C7" i="5493"/>
  <c r="O6" i="5493"/>
  <c r="B6" i="5493"/>
  <c r="O5" i="5493"/>
  <c r="B5" i="5493"/>
  <c r="O4" i="5493"/>
  <c r="O3" i="5493"/>
  <c r="O2" i="5493"/>
  <c r="O22" i="5487"/>
  <c r="O21" i="5483"/>
  <c r="O23" i="5479"/>
  <c r="H24" i="5493" l="1"/>
  <c r="H7" i="5493"/>
  <c r="H14" i="5493"/>
  <c r="H31" i="5493"/>
  <c r="H48" i="5493"/>
  <c r="H30" i="5493"/>
  <c r="H41" i="5493"/>
  <c r="H9" i="5493"/>
  <c r="H19" i="5493"/>
  <c r="B23" i="5493"/>
  <c r="H33" i="5493"/>
  <c r="C18" i="5493"/>
  <c r="H34" i="5493"/>
  <c r="H49" i="5493"/>
  <c r="H16" i="5493"/>
  <c r="H10" i="5493"/>
  <c r="H37" i="5493"/>
  <c r="H44" i="5493"/>
  <c r="H4" i="5493"/>
  <c r="H6" i="5493"/>
  <c r="H20" i="5493"/>
  <c r="H26" i="5493"/>
  <c r="H2" i="5493"/>
  <c r="H3" i="5493"/>
  <c r="H12" i="5493"/>
  <c r="H25" i="5493"/>
  <c r="C17" i="5493"/>
  <c r="H17" i="5493"/>
  <c r="H22" i="5493"/>
  <c r="H38" i="5493"/>
  <c r="H45" i="5493"/>
  <c r="H52" i="5493"/>
  <c r="H32" i="5493"/>
  <c r="H39" i="5493"/>
  <c r="H50" i="5493"/>
  <c r="H11" i="5493"/>
  <c r="H5" i="5493"/>
  <c r="H28" i="5493"/>
  <c r="H29" i="5493"/>
  <c r="H18" i="5493"/>
  <c r="H15" i="5493"/>
  <c r="H35" i="5493"/>
  <c r="H42" i="5493"/>
  <c r="H46" i="5493"/>
  <c r="H8" i="5493"/>
  <c r="H21" i="5493"/>
  <c r="H27" i="5493"/>
  <c r="C19" i="5493"/>
  <c r="H13" i="5493"/>
  <c r="H23" i="5493"/>
  <c r="H36" i="5493"/>
  <c r="H40" i="5493"/>
  <c r="H43" i="5493"/>
  <c r="H47" i="5493"/>
  <c r="O19" i="5485" l="1"/>
  <c r="O20" i="5491"/>
  <c r="O15" i="5491"/>
  <c r="C27" i="5491"/>
  <c r="B24" i="5491"/>
  <c r="C20" i="5491"/>
  <c r="B17" i="5491"/>
  <c r="H50" i="5491" s="1"/>
  <c r="C16" i="5491"/>
  <c r="C15" i="5491"/>
  <c r="C14" i="5491"/>
  <c r="C13" i="5491"/>
  <c r="O12" i="5491"/>
  <c r="C12" i="5491"/>
  <c r="O11" i="5491"/>
  <c r="C11" i="5491"/>
  <c r="O10" i="5491"/>
  <c r="C10" i="5491"/>
  <c r="C9" i="5491"/>
  <c r="C8" i="5491"/>
  <c r="O7" i="5491"/>
  <c r="C7" i="5491"/>
  <c r="O6" i="5491"/>
  <c r="B6" i="5491"/>
  <c r="O5" i="5491"/>
  <c r="B5" i="5491"/>
  <c r="O4" i="5491"/>
  <c r="O3" i="5491"/>
  <c r="O2" i="5491"/>
  <c r="O20" i="5481"/>
  <c r="O18" i="5479"/>
  <c r="O19" i="5489"/>
  <c r="O19" i="5483"/>
  <c r="O18" i="5483"/>
  <c r="O19" i="5487"/>
  <c r="O22" i="5489"/>
  <c r="O23" i="5489"/>
  <c r="C27" i="5489"/>
  <c r="B24" i="5489"/>
  <c r="C20" i="5489"/>
  <c r="B17" i="5489"/>
  <c r="H50" i="5489" s="1"/>
  <c r="C16" i="5489"/>
  <c r="C15" i="5489"/>
  <c r="C14" i="5489"/>
  <c r="C13" i="5489"/>
  <c r="O12" i="5489"/>
  <c r="C12" i="5489"/>
  <c r="O11" i="5489"/>
  <c r="C11" i="5489"/>
  <c r="O10" i="5489"/>
  <c r="C10" i="5489"/>
  <c r="C9" i="5489"/>
  <c r="C8" i="5489"/>
  <c r="O7" i="5489"/>
  <c r="C7" i="5489"/>
  <c r="O6" i="5489"/>
  <c r="B6" i="5489"/>
  <c r="O5" i="5489"/>
  <c r="B5" i="5489"/>
  <c r="O4" i="5489"/>
  <c r="O3" i="5489"/>
  <c r="O2" i="5489"/>
  <c r="O20" i="5487"/>
  <c r="O18" i="5487"/>
  <c r="C27" i="5487"/>
  <c r="B24" i="5487"/>
  <c r="C20" i="5487"/>
  <c r="B17" i="5487"/>
  <c r="H49" i="5487" s="1"/>
  <c r="C16" i="5487"/>
  <c r="C15" i="5487"/>
  <c r="C14" i="5487"/>
  <c r="C13" i="5487"/>
  <c r="O12" i="5487"/>
  <c r="C12" i="5487"/>
  <c r="O11" i="5487"/>
  <c r="C11" i="5487"/>
  <c r="O10" i="5487"/>
  <c r="C10" i="5487"/>
  <c r="C9" i="5487"/>
  <c r="C8" i="5487"/>
  <c r="O7" i="5487"/>
  <c r="C7" i="5487"/>
  <c r="O6" i="5487"/>
  <c r="B6" i="5487"/>
  <c r="O5" i="5487"/>
  <c r="B5" i="5487"/>
  <c r="O4" i="5487"/>
  <c r="O3" i="5487"/>
  <c r="O2" i="5487"/>
  <c r="O19" i="5481"/>
  <c r="O23" i="5481"/>
  <c r="O20" i="5479"/>
  <c r="O21" i="5479"/>
  <c r="H8" i="5491" l="1"/>
  <c r="H2" i="5491"/>
  <c r="H4" i="5491"/>
  <c r="H10" i="5491"/>
  <c r="H12" i="5489"/>
  <c r="H5" i="5489"/>
  <c r="H14" i="5489"/>
  <c r="H43" i="5487"/>
  <c r="H10" i="5487"/>
  <c r="H8" i="5487"/>
  <c r="H24" i="5487"/>
  <c r="H32" i="5487"/>
  <c r="H5" i="5487"/>
  <c r="H12" i="5487"/>
  <c r="C18" i="5487"/>
  <c r="H4" i="5487"/>
  <c r="H9" i="5487"/>
  <c r="H2" i="5487"/>
  <c r="H16" i="5487"/>
  <c r="H34" i="5487"/>
  <c r="C19" i="5491"/>
  <c r="H22" i="5491"/>
  <c r="H25" i="5491"/>
  <c r="H31" i="5491"/>
  <c r="H39" i="5491"/>
  <c r="H47" i="5491"/>
  <c r="H13" i="5491"/>
  <c r="H15" i="5491"/>
  <c r="C17" i="5491"/>
  <c r="H19" i="5491"/>
  <c r="B23" i="5491"/>
  <c r="H32" i="5491"/>
  <c r="H40" i="5491"/>
  <c r="H48" i="5491"/>
  <c r="H3" i="5491"/>
  <c r="H6" i="5491"/>
  <c r="H9" i="5491"/>
  <c r="H12" i="5491"/>
  <c r="H17" i="5491"/>
  <c r="H27" i="5491"/>
  <c r="H35" i="5491"/>
  <c r="H43" i="5491"/>
  <c r="H51" i="5491"/>
  <c r="H7" i="5491"/>
  <c r="H5" i="5491"/>
  <c r="H11" i="5491"/>
  <c r="H14" i="5491"/>
  <c r="H16" i="5491"/>
  <c r="C18" i="5491"/>
  <c r="H21" i="5491"/>
  <c r="H24" i="5491"/>
  <c r="H28" i="5491"/>
  <c r="H36" i="5491"/>
  <c r="H44" i="5491"/>
  <c r="H52" i="5491"/>
  <c r="H18" i="5491"/>
  <c r="H20" i="5491"/>
  <c r="H23" i="5491"/>
  <c r="H26" i="5491"/>
  <c r="H29" i="5491"/>
  <c r="H33" i="5491"/>
  <c r="H37" i="5491"/>
  <c r="H41" i="5491"/>
  <c r="H45" i="5491"/>
  <c r="H49" i="5491"/>
  <c r="H30" i="5491"/>
  <c r="H34" i="5491"/>
  <c r="H38" i="5491"/>
  <c r="H42" i="5491"/>
  <c r="H46" i="5491"/>
  <c r="H22" i="5489"/>
  <c r="H40" i="5489"/>
  <c r="H47" i="5489"/>
  <c r="H4" i="5489"/>
  <c r="C18" i="5489"/>
  <c r="H32" i="5489"/>
  <c r="H48" i="5489"/>
  <c r="H9" i="5489"/>
  <c r="H17" i="5489"/>
  <c r="B23" i="5489"/>
  <c r="H31" i="5489"/>
  <c r="H2" i="5489"/>
  <c r="H8" i="5489"/>
  <c r="H10" i="5489"/>
  <c r="H16" i="5489"/>
  <c r="H25" i="5489"/>
  <c r="H39" i="5489"/>
  <c r="H44" i="5487"/>
  <c r="H14" i="5487"/>
  <c r="H27" i="5487"/>
  <c r="H48" i="5487"/>
  <c r="H21" i="5487"/>
  <c r="H38" i="5487"/>
  <c r="H3" i="5487"/>
  <c r="H6" i="5487"/>
  <c r="H11" i="5487"/>
  <c r="H17" i="5487"/>
  <c r="H28" i="5487"/>
  <c r="H39" i="5487"/>
  <c r="H19" i="5489"/>
  <c r="H27" i="5489"/>
  <c r="H35" i="5489"/>
  <c r="H43" i="5489"/>
  <c r="H51" i="5489"/>
  <c r="H3" i="5489"/>
  <c r="H6" i="5489"/>
  <c r="H11" i="5489"/>
  <c r="C17" i="5489"/>
  <c r="H24" i="5489"/>
  <c r="H28" i="5489"/>
  <c r="H36" i="5489"/>
  <c r="H44" i="5489"/>
  <c r="H52" i="5489"/>
  <c r="H18" i="5489"/>
  <c r="H20" i="5489"/>
  <c r="H23" i="5489"/>
  <c r="H26" i="5489"/>
  <c r="H29" i="5489"/>
  <c r="H33" i="5489"/>
  <c r="H37" i="5489"/>
  <c r="H41" i="5489"/>
  <c r="H45" i="5489"/>
  <c r="H49" i="5489"/>
  <c r="H7" i="5489"/>
  <c r="H13" i="5489"/>
  <c r="H15" i="5489"/>
  <c r="C19" i="5489"/>
  <c r="H21" i="5489"/>
  <c r="H30" i="5489"/>
  <c r="H34" i="5489"/>
  <c r="H38" i="5489"/>
  <c r="H42" i="5489"/>
  <c r="H46" i="5489"/>
  <c r="H50" i="5487"/>
  <c r="C19" i="5487"/>
  <c r="H22" i="5487"/>
  <c r="H25" i="5487"/>
  <c r="H30" i="5487"/>
  <c r="H35" i="5487"/>
  <c r="H40" i="5487"/>
  <c r="H46" i="5487"/>
  <c r="H51" i="5487"/>
  <c r="H7" i="5487"/>
  <c r="H13" i="5487"/>
  <c r="H15" i="5487"/>
  <c r="C17" i="5487"/>
  <c r="H19" i="5487"/>
  <c r="B23" i="5487"/>
  <c r="H31" i="5487"/>
  <c r="H36" i="5487"/>
  <c r="H42" i="5487"/>
  <c r="H47" i="5487"/>
  <c r="H52" i="5487"/>
  <c r="H18" i="5487"/>
  <c r="H20" i="5487"/>
  <c r="H23" i="5487"/>
  <c r="H26" i="5487"/>
  <c r="H29" i="5487"/>
  <c r="H33" i="5487"/>
  <c r="H37" i="5487"/>
  <c r="H41" i="5487"/>
  <c r="H45" i="5487"/>
  <c r="O17" i="5485" l="1"/>
  <c r="O20" i="5485"/>
  <c r="C27" i="5485"/>
  <c r="B24" i="5485"/>
  <c r="C20" i="5485"/>
  <c r="B17" i="5485"/>
  <c r="H50" i="5485" s="1"/>
  <c r="C16" i="5485"/>
  <c r="C15" i="5485"/>
  <c r="C14" i="5485"/>
  <c r="C13" i="5485"/>
  <c r="O12" i="5485"/>
  <c r="C12" i="5485"/>
  <c r="O11" i="5485"/>
  <c r="C11" i="5485"/>
  <c r="O10" i="5485"/>
  <c r="C10" i="5485"/>
  <c r="C9" i="5485"/>
  <c r="C8" i="5485"/>
  <c r="O7" i="5485"/>
  <c r="C7" i="5485"/>
  <c r="O6" i="5485"/>
  <c r="B6" i="5485"/>
  <c r="O5" i="5485"/>
  <c r="B5" i="5485"/>
  <c r="O4" i="5485"/>
  <c r="O3" i="5485"/>
  <c r="O2" i="5485"/>
  <c r="O22" i="5483"/>
  <c r="O16" i="5483"/>
  <c r="C27" i="5483"/>
  <c r="B24" i="5483"/>
  <c r="C20" i="5483"/>
  <c r="B17" i="5483"/>
  <c r="H52" i="5483" s="1"/>
  <c r="C16" i="5483"/>
  <c r="C15" i="5483"/>
  <c r="C14" i="5483"/>
  <c r="C13" i="5483"/>
  <c r="O12" i="5483"/>
  <c r="C12" i="5483"/>
  <c r="O11" i="5483"/>
  <c r="C11" i="5483"/>
  <c r="O10" i="5483"/>
  <c r="C10" i="5483"/>
  <c r="C9" i="5483"/>
  <c r="C8" i="5483"/>
  <c r="O7" i="5483"/>
  <c r="C7" i="5483"/>
  <c r="O6" i="5483"/>
  <c r="B6" i="5483"/>
  <c r="O5" i="5483"/>
  <c r="B5" i="5483"/>
  <c r="O4" i="5483"/>
  <c r="O3" i="5483"/>
  <c r="O2" i="5483"/>
  <c r="O24" i="5479"/>
  <c r="O17" i="5481"/>
  <c r="O22" i="5481"/>
  <c r="C27" i="5481"/>
  <c r="B24" i="5481"/>
  <c r="C20" i="5481"/>
  <c r="B17" i="5481"/>
  <c r="H5" i="5481" s="1"/>
  <c r="C16" i="5481"/>
  <c r="C15" i="5481"/>
  <c r="C14" i="5481"/>
  <c r="C13" i="5481"/>
  <c r="O12" i="5481"/>
  <c r="C12" i="5481"/>
  <c r="O11" i="5481"/>
  <c r="C11" i="5481"/>
  <c r="O10" i="5481"/>
  <c r="C10" i="5481"/>
  <c r="C9" i="5481"/>
  <c r="C8" i="5481"/>
  <c r="O7" i="5481"/>
  <c r="C7" i="5481"/>
  <c r="O6" i="5481"/>
  <c r="B6" i="5481"/>
  <c r="O5" i="5481"/>
  <c r="B5" i="5481"/>
  <c r="O4" i="5481"/>
  <c r="O3" i="5481"/>
  <c r="O2" i="5481"/>
  <c r="O15" i="5479"/>
  <c r="O19" i="5479"/>
  <c r="C27" i="5479"/>
  <c r="B24" i="5479"/>
  <c r="C20" i="5479"/>
  <c r="B17" i="5479"/>
  <c r="H51" i="5479" s="1"/>
  <c r="C16" i="5479"/>
  <c r="C15" i="5479"/>
  <c r="C14" i="5479"/>
  <c r="C13" i="5479"/>
  <c r="O12" i="5479"/>
  <c r="C12" i="5479"/>
  <c r="O11" i="5479"/>
  <c r="C11" i="5479"/>
  <c r="O10" i="5479"/>
  <c r="C10" i="5479"/>
  <c r="C9" i="5479"/>
  <c r="C8" i="5479"/>
  <c r="O7" i="5479"/>
  <c r="C7" i="5479"/>
  <c r="O6" i="5479"/>
  <c r="B6" i="5479"/>
  <c r="O5" i="5479"/>
  <c r="B5" i="5479"/>
  <c r="O4" i="5479"/>
  <c r="O3" i="5479"/>
  <c r="O2" i="5479"/>
  <c r="H9" i="5485" l="1"/>
  <c r="H6" i="5485"/>
  <c r="H16" i="5483"/>
  <c r="H7" i="5485"/>
  <c r="H2" i="5485"/>
  <c r="H10" i="5485"/>
  <c r="H5" i="5483"/>
  <c r="H17" i="5481"/>
  <c r="H3" i="5485"/>
  <c r="H11" i="5485"/>
  <c r="H5" i="5485"/>
  <c r="H4" i="5483"/>
  <c r="H2" i="5483"/>
  <c r="H10" i="5483"/>
  <c r="C18" i="5483"/>
  <c r="H30" i="5483"/>
  <c r="H8" i="5483"/>
  <c r="H17" i="5485"/>
  <c r="H21" i="5485"/>
  <c r="H12" i="5485"/>
  <c r="H33" i="5485"/>
  <c r="H39" i="5485"/>
  <c r="H44" i="5485"/>
  <c r="H49" i="5485"/>
  <c r="H25" i="5485"/>
  <c r="H27" i="5485"/>
  <c r="H15" i="5485"/>
  <c r="C18" i="5485"/>
  <c r="H14" i="5485"/>
  <c r="H13" i="5485"/>
  <c r="H32" i="5485"/>
  <c r="H35" i="5485"/>
  <c r="H40" i="5485"/>
  <c r="H45" i="5485"/>
  <c r="H51" i="5485"/>
  <c r="C19" i="5485"/>
  <c r="H30" i="5485"/>
  <c r="H18" i="5485"/>
  <c r="H24" i="5485"/>
  <c r="H36" i="5485"/>
  <c r="H41" i="5485"/>
  <c r="H47" i="5485"/>
  <c r="H4" i="5485"/>
  <c r="H8" i="5485"/>
  <c r="H26" i="5485"/>
  <c r="H20" i="5485"/>
  <c r="C17" i="5485"/>
  <c r="H16" i="5485"/>
  <c r="B23" i="5485"/>
  <c r="H19" i="5485"/>
  <c r="H37" i="5485"/>
  <c r="H43" i="5485"/>
  <c r="H48" i="5485"/>
  <c r="H52" i="5485"/>
  <c r="H28" i="5485"/>
  <c r="H29" i="5485"/>
  <c r="H31" i="5485"/>
  <c r="H22" i="5485"/>
  <c r="H23" i="5485"/>
  <c r="H34" i="5485"/>
  <c r="H38" i="5485"/>
  <c r="H42" i="5485"/>
  <c r="H46" i="5485"/>
  <c r="H31" i="5483"/>
  <c r="H9" i="5483"/>
  <c r="H12" i="5483"/>
  <c r="H14" i="5483"/>
  <c r="H21" i="5483"/>
  <c r="H3" i="5483"/>
  <c r="H6" i="5483"/>
  <c r="H11" i="5483"/>
  <c r="H17" i="5483"/>
  <c r="H39" i="5483"/>
  <c r="H42" i="5483"/>
  <c r="H19" i="5483"/>
  <c r="H24" i="5483"/>
  <c r="H34" i="5483"/>
  <c r="H46" i="5483"/>
  <c r="H7" i="5483"/>
  <c r="H13" i="5483"/>
  <c r="H15" i="5483"/>
  <c r="C17" i="5483"/>
  <c r="H38" i="5483"/>
  <c r="H47" i="5483"/>
  <c r="H50" i="5483"/>
  <c r="C19" i="5483"/>
  <c r="H22" i="5483"/>
  <c r="H27" i="5483"/>
  <c r="H35" i="5483"/>
  <c r="H43" i="5483"/>
  <c r="H51" i="5483"/>
  <c r="H18" i="5483"/>
  <c r="H20" i="5483"/>
  <c r="H23" i="5483"/>
  <c r="H26" i="5483"/>
  <c r="H29" i="5483"/>
  <c r="H33" i="5483"/>
  <c r="H37" i="5483"/>
  <c r="H41" i="5483"/>
  <c r="H45" i="5483"/>
  <c r="H49" i="5483"/>
  <c r="B23" i="5483"/>
  <c r="H25" i="5483"/>
  <c r="H28" i="5483"/>
  <c r="H32" i="5483"/>
  <c r="H36" i="5483"/>
  <c r="H40" i="5483"/>
  <c r="H44" i="5483"/>
  <c r="H48" i="5483"/>
  <c r="H8" i="5479"/>
  <c r="H46" i="5479"/>
  <c r="H12" i="5479"/>
  <c r="H13" i="5479"/>
  <c r="H6" i="5479"/>
  <c r="C18" i="5479"/>
  <c r="H10" i="5479"/>
  <c r="H36" i="5479"/>
  <c r="H20" i="5479"/>
  <c r="H33" i="5479"/>
  <c r="H45" i="5479"/>
  <c r="H7" i="5479"/>
  <c r="H21" i="5479"/>
  <c r="H24" i="5479"/>
  <c r="H16" i="5479"/>
  <c r="H37" i="5479"/>
  <c r="H10" i="5481"/>
  <c r="H24" i="5481"/>
  <c r="H7" i="5481"/>
  <c r="H31" i="5481"/>
  <c r="H6" i="5481"/>
  <c r="C19" i="5481"/>
  <c r="H13" i="5481"/>
  <c r="H21" i="5481"/>
  <c r="H40" i="5481"/>
  <c r="H48" i="5481"/>
  <c r="H27" i="5481"/>
  <c r="H42" i="5481"/>
  <c r="H50" i="5481"/>
  <c r="C17" i="5481"/>
  <c r="H36" i="5481"/>
  <c r="H44" i="5481"/>
  <c r="H15" i="5481"/>
  <c r="H35" i="5481"/>
  <c r="H4" i="5481"/>
  <c r="H2" i="5481"/>
  <c r="H11" i="5481"/>
  <c r="H3" i="5481"/>
  <c r="H25" i="5481"/>
  <c r="H22" i="5481"/>
  <c r="H14" i="5481"/>
  <c r="H8" i="5481"/>
  <c r="C18" i="5481"/>
  <c r="B23" i="5481"/>
  <c r="H23" i="5481"/>
  <c r="H38" i="5481"/>
  <c r="H46" i="5481"/>
  <c r="H52" i="5481"/>
  <c r="H32" i="5481"/>
  <c r="H33" i="5481"/>
  <c r="H20" i="5481"/>
  <c r="H34" i="5481"/>
  <c r="H18" i="5481"/>
  <c r="H29" i="5481"/>
  <c r="H39" i="5481"/>
  <c r="H43" i="5481"/>
  <c r="H47" i="5481"/>
  <c r="H51" i="5481"/>
  <c r="H30" i="5481"/>
  <c r="H19" i="5481"/>
  <c r="H16" i="5481"/>
  <c r="H26" i="5481"/>
  <c r="H12" i="5481"/>
  <c r="H9" i="5481"/>
  <c r="H28" i="5481"/>
  <c r="H37" i="5481"/>
  <c r="H41" i="5481"/>
  <c r="H45" i="5481"/>
  <c r="H49" i="5481"/>
  <c r="H14" i="5479"/>
  <c r="H50" i="5479"/>
  <c r="H9" i="5479"/>
  <c r="H41" i="5479"/>
  <c r="H3" i="5479"/>
  <c r="H2" i="5479"/>
  <c r="H11" i="5479"/>
  <c r="H4" i="5479"/>
  <c r="H18" i="5479"/>
  <c r="H29" i="5479"/>
  <c r="H32" i="5479"/>
  <c r="H19" i="5479"/>
  <c r="C19" i="5479"/>
  <c r="H28" i="5479"/>
  <c r="H25" i="5479"/>
  <c r="H23" i="5479"/>
  <c r="H38" i="5479"/>
  <c r="H42" i="5479"/>
  <c r="H48" i="5479"/>
  <c r="H5" i="5479"/>
  <c r="H27" i="5479"/>
  <c r="C17" i="5479"/>
  <c r="H15" i="5479"/>
  <c r="B23" i="5479"/>
  <c r="H26" i="5479"/>
  <c r="H39" i="5479"/>
  <c r="H44" i="5479"/>
  <c r="H49" i="5479"/>
  <c r="H52" i="5479"/>
  <c r="H34" i="5479"/>
  <c r="H35" i="5479"/>
  <c r="H22" i="5479"/>
  <c r="H30" i="5479"/>
  <c r="H17" i="5479"/>
  <c r="H31" i="5479"/>
  <c r="H40" i="5479"/>
  <c r="H43" i="5479"/>
  <c r="H47" i="5479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<sst xmlns="http://schemas.openxmlformats.org/spreadsheetml/2006/main" count="3295" uniqueCount="254">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</sst>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全体!$K$2:$K$647</c:f>
              <c:numCache>
                <c:formatCode>General</c:formatCode>
                <c:ptCount val="6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</c:numCache>
            </c:numRef>
          </c:xVal>
          <c:yVal>
            <c:numRef>
              <c:f>全体!$L$2:$L$647</c:f>
              <c:numCache>
                <c:formatCode>\+0.0;\-0.0;\±0</c:formatCode>
                <c:ptCount val="646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E-4E38-B0A1-B62DCE267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-13.953488372093023</c:v>
                </c:pt>
                <c:pt idx="1">
                  <c:v>-7.9365079365079367</c:v>
                </c:pt>
                <c:pt idx="2">
                  <c:v>8.4175084175084169</c:v>
                </c:pt>
                <c:pt idx="3">
                  <c:v>9.2592592592592595</c:v>
                </c:pt>
                <c:pt idx="4">
                  <c:v>-12.345679012345679</c:v>
                </c:pt>
                <c:pt idx="5">
                  <c:v>22.988505747126435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7-4F22-A85A-E224C5BA2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だいち!$K$2:$K$147</c:f>
              <c:numCache>
                <c:formatCode>General</c:formatCode>
                <c:ptCount val="1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</c:numCache>
            </c:numRef>
          </c:xVal>
          <c:yVal>
            <c:numRef>
              <c:f>だいち!$L$2:$L$147</c:f>
              <c:numCache>
                <c:formatCode>\+0.0;\-0.0;\±0</c:formatCode>
                <c:ptCount val="146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91-4080-B1E2-41ACE64A4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2274.4827586206898</c:v>
                </c:pt>
                <c:pt idx="1">
                  <c:v>1181.5602836879432</c:v>
                </c:pt>
                <c:pt idx="2">
                  <c:v>791.04477611940297</c:v>
                </c:pt>
                <c:pt idx="3">
                  <c:v>2605.6910569105689</c:v>
                </c:pt>
                <c:pt idx="4">
                  <c:v>232.11009174311926</c:v>
                </c:pt>
                <c:pt idx="5">
                  <c:v>811.57894736842104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3D-421D-92A1-7CE2ACAEF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2D-4AE9-9ECF-BA4921BF9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299.17355371900828</c:v>
                </c:pt>
                <c:pt idx="1">
                  <c:v>-2208.5470085470088</c:v>
                </c:pt>
                <c:pt idx="2">
                  <c:v>293.85964912280701</c:v>
                </c:pt>
                <c:pt idx="3">
                  <c:v>16.831683168316832</c:v>
                </c:pt>
                <c:pt idx="4">
                  <c:v>203.33333333333334</c:v>
                </c:pt>
                <c:pt idx="5">
                  <c:v>280.95238095238096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8-43DB-823C-B31FE9AA74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ただ!$L$2:$L$90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CD-4588-A69B-7BF1A9612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-3288.6363636363635</c:v>
                </c:pt>
                <c:pt idx="1">
                  <c:v>-1413.953488372093</c:v>
                </c:pt>
                <c:pt idx="2">
                  <c:v>386.41975308641975</c:v>
                </c:pt>
                <c:pt idx="3">
                  <c:v>-4704.2253521126759</c:v>
                </c:pt>
                <c:pt idx="4">
                  <c:v>-859.375</c:v>
                </c:pt>
                <c:pt idx="5">
                  <c:v>-1129.3103448275863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AD-407D-81F5-AFA7D55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れんたろう!$L$2:$L$90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75-443A-A224-D0335479D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-618.18181818181813</c:v>
                </c:pt>
                <c:pt idx="1">
                  <c:v>496.51162790697674</c:v>
                </c:pt>
                <c:pt idx="2">
                  <c:v>1178.4810126582279</c:v>
                </c:pt>
                <c:pt idx="3">
                  <c:v>998.52941176470586</c:v>
                </c:pt>
                <c:pt idx="4">
                  <c:v>-588.33333333333337</c:v>
                </c:pt>
                <c:pt idx="5">
                  <c:v>-303.63636363636363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00-4819-BE23-2AFBC21C3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たかの!$L$2:$L$74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9C-4D4E-B58B-A6F63F295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745.83333333333337</c:v>
                </c:pt>
                <c:pt idx="1">
                  <c:v>-1040.2777777777778</c:v>
                </c:pt>
                <c:pt idx="2">
                  <c:v>-1564.6153846153845</c:v>
                </c:pt>
                <c:pt idx="3">
                  <c:v>985.48387096774195</c:v>
                </c:pt>
                <c:pt idx="4">
                  <c:v>769.49152542372883</c:v>
                </c:pt>
                <c:pt idx="5">
                  <c:v>-472.54901960784315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BF-4F35-B74B-8AFB8C3F9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61-4A0D-A1CD-DE13282450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-3038.6363636363635</c:v>
                </c:pt>
                <c:pt idx="1">
                  <c:v>2159.090909090909</c:v>
                </c:pt>
                <c:pt idx="2">
                  <c:v>-738.09523809523807</c:v>
                </c:pt>
                <c:pt idx="3">
                  <c:v>-3689.7435897435898</c:v>
                </c:pt>
                <c:pt idx="4">
                  <c:v>-128.57142857142858</c:v>
                </c:pt>
                <c:pt idx="5">
                  <c:v>632.35294117647061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25-4905-9795-AFF5E1CAD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AD-4E7F-894E-99EEB067A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984.48275862068965</c:v>
                </c:pt>
                <c:pt idx="1">
                  <c:v>1969.090909090909</c:v>
                </c:pt>
                <c:pt idx="2">
                  <c:v>-1154</c:v>
                </c:pt>
                <c:pt idx="3">
                  <c:v>1956.25</c:v>
                </c:pt>
                <c:pt idx="4">
                  <c:v>-1288.3720930232557</c:v>
                </c:pt>
                <c:pt idx="5">
                  <c:v>531.42857142857144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81-4DC4-AE96-0D9C7D31B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C1-4E53-A2D8-D196158E3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84-4082-A445-2DD93823E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44-4BDE-AB35-F91284F1F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-114.28571428571429</c:v>
                </c:pt>
                <c:pt idx="1">
                  <c:v>-328.57142857142856</c:v>
                </c:pt>
                <c:pt idx="2">
                  <c:v>-850</c:v>
                </c:pt>
                <c:pt idx="3">
                  <c:v>-4700</c:v>
                </c:pt>
                <c:pt idx="4">
                  <c:v>1869.2307692307693</c:v>
                </c:pt>
                <c:pt idx="5">
                  <c:v>-3650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23-4031-81DA-4BC4CDE9D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ほたに!$L$2:$L$11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BF-4F5C-B2B3-E218EC11B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-1966.6666666666667</c:v>
                </c:pt>
                <c:pt idx="1">
                  <c:v>4077.7777777777778</c:v>
                </c:pt>
                <c:pt idx="2">
                  <c:v>-3733.3333333333335</c:v>
                </c:pt>
                <c:pt idx="3">
                  <c:v>-1666.6666666666667</c:v>
                </c:pt>
                <c:pt idx="4">
                  <c:v>1957.1428571428571</c:v>
                </c:pt>
                <c:pt idx="5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B3-491D-B484-6372EF0BF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49-4B82-869E-F10C61EF5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2F-44E7-A647-2EDB0F7B3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F-4130-95F7-5E2156BDF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25-48F9-923C-FBB85D420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まっつん2!$B$3:$B$61</c:f>
              <c:numCache>
                <c:formatCode>\+0.0;\-0.0;\±0</c:formatCode>
                <c:ptCount val="59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まっつん2!$C$3:$C$61</c:f>
              <c:numCache>
                <c:formatCode>\+0.0;\-0.0;\±0</c:formatCode>
                <c:ptCount val="59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  <c:pt idx="37">
                  <c:v>1.2081081081081084</c:v>
                </c:pt>
                <c:pt idx="38">
                  <c:v>-0.49473684210526292</c:v>
                </c:pt>
                <c:pt idx="39">
                  <c:v>-0.42820512820512791</c:v>
                </c:pt>
                <c:pt idx="40">
                  <c:v>0.98250000000000026</c:v>
                </c:pt>
                <c:pt idx="41">
                  <c:v>2.3487804878048784</c:v>
                </c:pt>
                <c:pt idx="42">
                  <c:v>2.323809523809524</c:v>
                </c:pt>
                <c:pt idx="43">
                  <c:v>2.3976744186046512</c:v>
                </c:pt>
                <c:pt idx="44">
                  <c:v>2.1954545454545458</c:v>
                </c:pt>
                <c:pt idx="45">
                  <c:v>0.87777777777777799</c:v>
                </c:pt>
                <c:pt idx="46">
                  <c:v>0.8108695652173914</c:v>
                </c:pt>
                <c:pt idx="47">
                  <c:v>1.5127659574468084</c:v>
                </c:pt>
                <c:pt idx="48">
                  <c:v>0.85208333333333319</c:v>
                </c:pt>
                <c:pt idx="49">
                  <c:v>-0.61020408163265316</c:v>
                </c:pt>
                <c:pt idx="50">
                  <c:v>-0.53800000000000014</c:v>
                </c:pt>
                <c:pt idx="51">
                  <c:v>0.41176470588235281</c:v>
                </c:pt>
                <c:pt idx="52">
                  <c:v>0.59038461538461529</c:v>
                </c:pt>
                <c:pt idx="53">
                  <c:v>1.4490566037735848</c:v>
                </c:pt>
                <c:pt idx="54">
                  <c:v>2.4685185185185188</c:v>
                </c:pt>
                <c:pt idx="55">
                  <c:v>3.3018181818181822</c:v>
                </c:pt>
                <c:pt idx="56">
                  <c:v>3.3500000000000005</c:v>
                </c:pt>
                <c:pt idx="57">
                  <c:v>4.4824561403508776</c:v>
                </c:pt>
                <c:pt idx="58">
                  <c:v>4.2172413793103454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3048499337679078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まっつん2!$D$3:$D$61</c:f>
              <c:numCache>
                <c:formatCode>0.00\ "位"</c:formatCode>
                <c:ptCount val="59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  <c:pt idx="37">
                  <c:v>1.9459459459459461</c:v>
                </c:pt>
                <c:pt idx="38">
                  <c:v>1.9736842105263157</c:v>
                </c:pt>
                <c:pt idx="39">
                  <c:v>1.9743589743589745</c:v>
                </c:pt>
                <c:pt idx="40">
                  <c:v>1.95</c:v>
                </c:pt>
                <c:pt idx="41">
                  <c:v>1.9268292682926829</c:v>
                </c:pt>
                <c:pt idx="42">
                  <c:v>1.9285714285714286</c:v>
                </c:pt>
                <c:pt idx="43">
                  <c:v>1.930232558139535</c:v>
                </c:pt>
                <c:pt idx="44">
                  <c:v>1.9318181818181819</c:v>
                </c:pt>
                <c:pt idx="45">
                  <c:v>1.9555555555555555</c:v>
                </c:pt>
                <c:pt idx="46">
                  <c:v>1.9565217391304348</c:v>
                </c:pt>
                <c:pt idx="47">
                  <c:v>1.9361702127659575</c:v>
                </c:pt>
                <c:pt idx="48">
                  <c:v>1.9583333333333333</c:v>
                </c:pt>
                <c:pt idx="49">
                  <c:v>1.9795918367346939</c:v>
                </c:pt>
                <c:pt idx="50">
                  <c:v>1.98</c:v>
                </c:pt>
                <c:pt idx="51">
                  <c:v>1.9607843137254901</c:v>
                </c:pt>
                <c:pt idx="52">
                  <c:v>1.9615384615384615</c:v>
                </c:pt>
                <c:pt idx="53">
                  <c:v>1.9433962264150944</c:v>
                </c:pt>
                <c:pt idx="54">
                  <c:v>1.9259259259259258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1.896551724137931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まっつん2!$E$3:$E$61</c:f>
              <c:numCache>
                <c:formatCode>0.0%</c:formatCode>
                <c:ptCount val="59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0.38636363636363635</c:v>
                </c:pt>
                <c:pt idx="45">
                  <c:v>0.37777777777777777</c:v>
                </c:pt>
                <c:pt idx="46">
                  <c:v>0.36956521739130432</c:v>
                </c:pt>
                <c:pt idx="47">
                  <c:v>0.38297872340425532</c:v>
                </c:pt>
                <c:pt idx="48">
                  <c:v>0.375</c:v>
                </c:pt>
                <c:pt idx="49">
                  <c:v>0.36734693877551022</c:v>
                </c:pt>
                <c:pt idx="50">
                  <c:v>0.36</c:v>
                </c:pt>
                <c:pt idx="51">
                  <c:v>0.37254901960784315</c:v>
                </c:pt>
                <c:pt idx="52">
                  <c:v>0.36538461538461536</c:v>
                </c:pt>
                <c:pt idx="53">
                  <c:v>0.37735849056603776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0.40350877192982454</c:v>
                </c:pt>
                <c:pt idx="58">
                  <c:v>0.39655172413793105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まっつん2!$F$3:$F$61</c:f>
              <c:numCache>
                <c:formatCode>0.0%</c:formatCode>
                <c:ptCount val="59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0.33333333333333331</c:v>
                </c:pt>
                <c:pt idx="49">
                  <c:v>0.34693877551020408</c:v>
                </c:pt>
                <c:pt idx="50">
                  <c:v>0.34</c:v>
                </c:pt>
                <c:pt idx="51">
                  <c:v>0.33333333333333331</c:v>
                </c:pt>
                <c:pt idx="52">
                  <c:v>0.32692307692307693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0.30909090909090908</c:v>
                </c:pt>
                <c:pt idx="56">
                  <c:v>0.30357142857142855</c:v>
                </c:pt>
                <c:pt idx="57">
                  <c:v>0.2982456140350877</c:v>
                </c:pt>
                <c:pt idx="58">
                  <c:v>0.29310344827586204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まっつん2!$G$3:$G$61</c:f>
              <c:numCache>
                <c:formatCode>0.0%</c:formatCode>
                <c:ptCount val="59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  <c:pt idx="37">
                  <c:v>0.29773462783171523</c:v>
                </c:pt>
                <c:pt idx="38">
                  <c:v>0.29153605015673983</c:v>
                </c:pt>
                <c:pt idx="39">
                  <c:v>0.29447852760736198</c:v>
                </c:pt>
                <c:pt idx="40">
                  <c:v>0.3</c:v>
                </c:pt>
                <c:pt idx="41">
                  <c:v>0.30630630630630629</c:v>
                </c:pt>
                <c:pt idx="42">
                  <c:v>0.30791788856304986</c:v>
                </c:pt>
                <c:pt idx="43">
                  <c:v>0.30945558739255014</c:v>
                </c:pt>
                <c:pt idx="44">
                  <c:v>0.30422535211267604</c:v>
                </c:pt>
                <c:pt idx="45">
                  <c:v>0.29700272479564033</c:v>
                </c:pt>
                <c:pt idx="46">
                  <c:v>0.29333333333333333</c:v>
                </c:pt>
                <c:pt idx="47">
                  <c:v>0.29396325459317585</c:v>
                </c:pt>
                <c:pt idx="48">
                  <c:v>0.29591836734693877</c:v>
                </c:pt>
                <c:pt idx="49">
                  <c:v>0.29219143576826195</c:v>
                </c:pt>
                <c:pt idx="50">
                  <c:v>0.29484029484029484</c:v>
                </c:pt>
                <c:pt idx="51">
                  <c:v>0.29879518072289157</c:v>
                </c:pt>
                <c:pt idx="52">
                  <c:v>0.30023640661938533</c:v>
                </c:pt>
                <c:pt idx="53">
                  <c:v>0.30162412993039445</c:v>
                </c:pt>
                <c:pt idx="54">
                  <c:v>0.30523917995444189</c:v>
                </c:pt>
                <c:pt idx="55">
                  <c:v>0.3087248322147651</c:v>
                </c:pt>
                <c:pt idx="56">
                  <c:v>0.30905077262693159</c:v>
                </c:pt>
                <c:pt idx="57">
                  <c:v>0.31372549019607843</c:v>
                </c:pt>
                <c:pt idx="58">
                  <c:v>0.30916844349680173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702712746190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まっつん2!$H$3:$H$61</c:f>
              <c:numCache>
                <c:formatCode>0.0%</c:formatCode>
                <c:ptCount val="59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  <c:pt idx="37">
                  <c:v>0.1650485436893204</c:v>
                </c:pt>
                <c:pt idx="38">
                  <c:v>0.16614420062695925</c:v>
                </c:pt>
                <c:pt idx="39">
                  <c:v>0.16257668711656442</c:v>
                </c:pt>
                <c:pt idx="40">
                  <c:v>0.16060606060606061</c:v>
                </c:pt>
                <c:pt idx="41">
                  <c:v>0.15915915915915915</c:v>
                </c:pt>
                <c:pt idx="42">
                  <c:v>0.15835777126099707</c:v>
                </c:pt>
                <c:pt idx="43">
                  <c:v>0.15759312320916904</c:v>
                </c:pt>
                <c:pt idx="44">
                  <c:v>0.16056338028169015</c:v>
                </c:pt>
                <c:pt idx="45">
                  <c:v>0.16621253405994552</c:v>
                </c:pt>
                <c:pt idx="46">
                  <c:v>0.16266666666666665</c:v>
                </c:pt>
                <c:pt idx="47">
                  <c:v>0.16010498687664043</c:v>
                </c:pt>
                <c:pt idx="48">
                  <c:v>0.16071428571428573</c:v>
                </c:pt>
                <c:pt idx="49">
                  <c:v>0.16372795969773299</c:v>
                </c:pt>
                <c:pt idx="50">
                  <c:v>0.16461916461916462</c:v>
                </c:pt>
                <c:pt idx="51">
                  <c:v>0.16144578313253011</c:v>
                </c:pt>
                <c:pt idx="52">
                  <c:v>0.15839243498817968</c:v>
                </c:pt>
                <c:pt idx="53">
                  <c:v>0.1554524361948956</c:v>
                </c:pt>
                <c:pt idx="54">
                  <c:v>0.15261958997722094</c:v>
                </c:pt>
                <c:pt idx="55">
                  <c:v>0.14988814317673377</c:v>
                </c:pt>
                <c:pt idx="56">
                  <c:v>0.15231788079470199</c:v>
                </c:pt>
                <c:pt idx="57">
                  <c:v>0.15032679738562091</c:v>
                </c:pt>
                <c:pt idx="58">
                  <c:v>0.15351812366737741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8338907469342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まっつん2!$I$3:$I$61</c:f>
              <c:numCache>
                <c:formatCode>0</c:formatCode>
                <c:ptCount val="59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  <c:pt idx="37">
                  <c:v>8683.6956521739139</c:v>
                </c:pt>
                <c:pt idx="38">
                  <c:v>8673.1182795698933</c:v>
                </c:pt>
                <c:pt idx="39">
                  <c:v>8621.875</c:v>
                </c:pt>
                <c:pt idx="40">
                  <c:v>8683.8383838383834</c:v>
                </c:pt>
                <c:pt idx="41">
                  <c:v>8781.3725490196084</c:v>
                </c:pt>
                <c:pt idx="42">
                  <c:v>8869.5238095238092</c:v>
                </c:pt>
                <c:pt idx="43">
                  <c:v>8845.3703703703704</c:v>
                </c:pt>
                <c:pt idx="44">
                  <c:v>8845.3703703703704</c:v>
                </c:pt>
                <c:pt idx="45">
                  <c:v>8874.3119266055037</c:v>
                </c:pt>
                <c:pt idx="46">
                  <c:v>8805.454545454546</c:v>
                </c:pt>
                <c:pt idx="47">
                  <c:v>8838.3928571428569</c:v>
                </c:pt>
                <c:pt idx="48">
                  <c:v>8723.2758620689656</c:v>
                </c:pt>
                <c:pt idx="49">
                  <c:v>8723.2758620689656</c:v>
                </c:pt>
                <c:pt idx="50">
                  <c:v>8586.6666666666661</c:v>
                </c:pt>
                <c:pt idx="51">
                  <c:v>8587.0967741935492</c:v>
                </c:pt>
                <c:pt idx="52">
                  <c:v>8508.6614173228354</c:v>
                </c:pt>
                <c:pt idx="53">
                  <c:v>8553.0769230769238</c:v>
                </c:pt>
                <c:pt idx="54">
                  <c:v>8598.507462686568</c:v>
                </c:pt>
                <c:pt idx="55">
                  <c:v>8637.68115942029</c:v>
                </c:pt>
                <c:pt idx="56">
                  <c:v>8685.7142857142862</c:v>
                </c:pt>
                <c:pt idx="57">
                  <c:v>8768.75</c:v>
                </c:pt>
                <c:pt idx="58">
                  <c:v>8762.0689655172409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35.46187228766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まっつん2!$J$3:$J$61</c:f>
              <c:numCache>
                <c:formatCode>0</c:formatCode>
                <c:ptCount val="59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  <c:pt idx="37">
                  <c:v>-7680.3921568627447</c:v>
                </c:pt>
                <c:pt idx="38">
                  <c:v>-7664.1509433962265</c:v>
                </c:pt>
                <c:pt idx="39">
                  <c:v>-7664.1509433962265</c:v>
                </c:pt>
                <c:pt idx="40">
                  <c:v>-7664.1509433962265</c:v>
                </c:pt>
                <c:pt idx="41">
                  <c:v>-7664.1509433962265</c:v>
                </c:pt>
                <c:pt idx="42">
                  <c:v>-7670.3703703703704</c:v>
                </c:pt>
                <c:pt idx="43">
                  <c:v>-7749.090909090909</c:v>
                </c:pt>
                <c:pt idx="44">
                  <c:v>-7591.2280701754389</c:v>
                </c:pt>
                <c:pt idx="45">
                  <c:v>-7621.311475409836</c:v>
                </c:pt>
                <c:pt idx="46">
                  <c:v>-7621.311475409836</c:v>
                </c:pt>
                <c:pt idx="47">
                  <c:v>-7621.311475409836</c:v>
                </c:pt>
                <c:pt idx="48">
                  <c:v>-7787.3015873015875</c:v>
                </c:pt>
                <c:pt idx="49">
                  <c:v>-8036.9230769230771</c:v>
                </c:pt>
                <c:pt idx="50">
                  <c:v>-7931.3432835820895</c:v>
                </c:pt>
                <c:pt idx="51">
                  <c:v>-7931.3432835820895</c:v>
                </c:pt>
                <c:pt idx="52">
                  <c:v>-7931.3432835820895</c:v>
                </c:pt>
                <c:pt idx="53">
                  <c:v>-7931.3432835820895</c:v>
                </c:pt>
                <c:pt idx="54">
                  <c:v>-7931.3432835820895</c:v>
                </c:pt>
                <c:pt idx="55">
                  <c:v>-7931.3432835820895</c:v>
                </c:pt>
                <c:pt idx="56">
                  <c:v>-7991.304347826087</c:v>
                </c:pt>
                <c:pt idx="57">
                  <c:v>-7991.304347826087</c:v>
                </c:pt>
                <c:pt idx="58">
                  <c:v>-7793.0555555555557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80.46357615893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まっつん2!$K$3:$K$61</c:f>
              <c:numCache>
                <c:formatCode>0.0%</c:formatCode>
                <c:ptCount val="5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0.15909090909090909</c:v>
                </c:pt>
                <c:pt idx="45">
                  <c:v>0.17777777777777778</c:v>
                </c:pt>
                <c:pt idx="46">
                  <c:v>0.17391304347826086</c:v>
                </c:pt>
                <c:pt idx="47">
                  <c:v>0.1702127659574468</c:v>
                </c:pt>
                <c:pt idx="48">
                  <c:v>0.16666666666666666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0.16981132075471697</c:v>
                </c:pt>
                <c:pt idx="54">
                  <c:v>0.16666666666666666</c:v>
                </c:pt>
                <c:pt idx="55">
                  <c:v>0.16363636363636364</c:v>
                </c:pt>
                <c:pt idx="56">
                  <c:v>0.16071428571428573</c:v>
                </c:pt>
                <c:pt idx="57">
                  <c:v>0.15789473684210525</c:v>
                </c:pt>
                <c:pt idx="58">
                  <c:v>0.15517241379310345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6279069767441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まっつん2!$L$3:$L$61</c:f>
              <c:numCache>
                <c:formatCode>0.0%</c:formatCode>
                <c:ptCount val="5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0.1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0.1111111111111111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0.14035087719298245</c:v>
                </c:pt>
                <c:pt idx="58">
                  <c:v>0.13793103448275862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6279069767441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まっつん2!$M$3:$M$61</c:f>
              <c:numCache>
                <c:formatCode>0.0%</c:formatCode>
                <c:ptCount val="59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  <c:pt idx="37">
                  <c:v>0.22330097087378642</c:v>
                </c:pt>
                <c:pt idx="38">
                  <c:v>0.22884012539184953</c:v>
                </c:pt>
                <c:pt idx="39">
                  <c:v>0.23312883435582821</c:v>
                </c:pt>
                <c:pt idx="40">
                  <c:v>0.23636363636363636</c:v>
                </c:pt>
                <c:pt idx="41">
                  <c:v>0.24324324324324326</c:v>
                </c:pt>
                <c:pt idx="42">
                  <c:v>0.24926686217008798</c:v>
                </c:pt>
                <c:pt idx="43">
                  <c:v>0.25214899713467048</c:v>
                </c:pt>
                <c:pt idx="44">
                  <c:v>0.25352112676056338</c:v>
                </c:pt>
                <c:pt idx="45">
                  <c:v>0.2561307901907357</c:v>
                </c:pt>
                <c:pt idx="46">
                  <c:v>0.25866666666666666</c:v>
                </c:pt>
                <c:pt idx="47">
                  <c:v>0.25984251968503935</c:v>
                </c:pt>
                <c:pt idx="48">
                  <c:v>0.26020408163265307</c:v>
                </c:pt>
                <c:pt idx="49">
                  <c:v>0.26196473551637278</c:v>
                </c:pt>
                <c:pt idx="50">
                  <c:v>0.26289926289926291</c:v>
                </c:pt>
                <c:pt idx="51">
                  <c:v>0.26506024096385544</c:v>
                </c:pt>
                <c:pt idx="52">
                  <c:v>0.26477541371158392</c:v>
                </c:pt>
                <c:pt idx="53">
                  <c:v>0.26682134570765659</c:v>
                </c:pt>
                <c:pt idx="54">
                  <c:v>0.27334851936218679</c:v>
                </c:pt>
                <c:pt idx="55">
                  <c:v>0.27516778523489932</c:v>
                </c:pt>
                <c:pt idx="56">
                  <c:v>0.27593818984547464</c:v>
                </c:pt>
                <c:pt idx="57">
                  <c:v>0.27886710239651419</c:v>
                </c:pt>
                <c:pt idx="58">
                  <c:v>0.28358208955223879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0379041248606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まっつん2!$N$3:$N$61</c:f>
              <c:numCache>
                <c:formatCode>0.0%</c:formatCode>
                <c:ptCount val="59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  <c:pt idx="37">
                  <c:v>0.2168284789644013</c:v>
                </c:pt>
                <c:pt idx="38">
                  <c:v>0.21316614420062696</c:v>
                </c:pt>
                <c:pt idx="39">
                  <c:v>0.21165644171779141</c:v>
                </c:pt>
                <c:pt idx="40">
                  <c:v>0.20909090909090908</c:v>
                </c:pt>
                <c:pt idx="41">
                  <c:v>0.2072072072072072</c:v>
                </c:pt>
                <c:pt idx="42">
                  <c:v>0.20527859237536658</c:v>
                </c:pt>
                <c:pt idx="43">
                  <c:v>0.20057306590257878</c:v>
                </c:pt>
                <c:pt idx="44">
                  <c:v>0.19718309859154928</c:v>
                </c:pt>
                <c:pt idx="45">
                  <c:v>0.1907356948228883</c:v>
                </c:pt>
                <c:pt idx="46">
                  <c:v>0.192</c:v>
                </c:pt>
                <c:pt idx="47">
                  <c:v>0.19160104986876642</c:v>
                </c:pt>
                <c:pt idx="48">
                  <c:v>0.18877551020408162</c:v>
                </c:pt>
                <c:pt idx="49">
                  <c:v>0.18639798488664988</c:v>
                </c:pt>
                <c:pt idx="50">
                  <c:v>0.1891891891891892</c:v>
                </c:pt>
                <c:pt idx="51">
                  <c:v>0.18795180722891566</c:v>
                </c:pt>
                <c:pt idx="52">
                  <c:v>0.1867612293144208</c:v>
                </c:pt>
                <c:pt idx="53">
                  <c:v>0.18793503480278423</c:v>
                </c:pt>
                <c:pt idx="54">
                  <c:v>0.18906605922551253</c:v>
                </c:pt>
                <c:pt idx="55">
                  <c:v>0.18791946308724833</c:v>
                </c:pt>
                <c:pt idx="56">
                  <c:v>0.18543046357615894</c:v>
                </c:pt>
                <c:pt idx="57">
                  <c:v>0.18736383442265794</c:v>
                </c:pt>
                <c:pt idx="58">
                  <c:v>0.18550106609808104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8844295800817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まっつん2!$O$3:$O$61</c:f>
              <c:numCache>
                <c:formatCode>0.0%</c:formatCode>
                <c:ptCount val="59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  <c:pt idx="37">
                  <c:v>0.69565217391304346</c:v>
                </c:pt>
                <c:pt idx="38">
                  <c:v>0.67123287671232879</c:v>
                </c:pt>
                <c:pt idx="39">
                  <c:v>0.67105263157894735</c:v>
                </c:pt>
                <c:pt idx="40">
                  <c:v>0.67948717948717952</c:v>
                </c:pt>
                <c:pt idx="41">
                  <c:v>0.69135802469135799</c:v>
                </c:pt>
                <c:pt idx="42">
                  <c:v>0.69411764705882351</c:v>
                </c:pt>
                <c:pt idx="43">
                  <c:v>0.70454545454545459</c:v>
                </c:pt>
                <c:pt idx="44">
                  <c:v>0.68888888888888888</c:v>
                </c:pt>
                <c:pt idx="45">
                  <c:v>0.67021276595744683</c:v>
                </c:pt>
                <c:pt idx="46">
                  <c:v>0.65979381443298968</c:v>
                </c:pt>
                <c:pt idx="47">
                  <c:v>0.66666666666666663</c:v>
                </c:pt>
                <c:pt idx="48">
                  <c:v>0.67647058823529416</c:v>
                </c:pt>
                <c:pt idx="49">
                  <c:v>0.66346153846153844</c:v>
                </c:pt>
                <c:pt idx="50">
                  <c:v>0.66355140186915884</c:v>
                </c:pt>
                <c:pt idx="51">
                  <c:v>0.66363636363636369</c:v>
                </c:pt>
                <c:pt idx="52">
                  <c:v>0.6696428571428571</c:v>
                </c:pt>
                <c:pt idx="53">
                  <c:v>0.67826086956521736</c:v>
                </c:pt>
                <c:pt idx="54">
                  <c:v>0.66666666666666663</c:v>
                </c:pt>
                <c:pt idx="55">
                  <c:v>0.67479674796747968</c:v>
                </c:pt>
                <c:pt idx="56">
                  <c:v>0.68</c:v>
                </c:pt>
                <c:pt idx="57">
                  <c:v>0.6875</c:v>
                </c:pt>
                <c:pt idx="58">
                  <c:v>0.66917293233082709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9191517561298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まっつん2!$P$3:$P$61</c:f>
              <c:numCache>
                <c:formatCode>0.0%</c:formatCode>
                <c:ptCount val="59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  <c:pt idx="37">
                  <c:v>0.37313432835820898</c:v>
                </c:pt>
                <c:pt idx="38">
                  <c:v>0.36764705882352944</c:v>
                </c:pt>
                <c:pt idx="39">
                  <c:v>0.37681159420289856</c:v>
                </c:pt>
                <c:pt idx="40">
                  <c:v>0.37681159420289856</c:v>
                </c:pt>
                <c:pt idx="41">
                  <c:v>0.37681159420289856</c:v>
                </c:pt>
                <c:pt idx="42">
                  <c:v>0.37142857142857144</c:v>
                </c:pt>
                <c:pt idx="43">
                  <c:v>0.37142857142857144</c:v>
                </c:pt>
                <c:pt idx="44">
                  <c:v>0.37142857142857144</c:v>
                </c:pt>
                <c:pt idx="45">
                  <c:v>0.37142857142857144</c:v>
                </c:pt>
                <c:pt idx="46">
                  <c:v>0.3611111111111111</c:v>
                </c:pt>
                <c:pt idx="47">
                  <c:v>0.35616438356164382</c:v>
                </c:pt>
                <c:pt idx="48">
                  <c:v>0.35135135135135137</c:v>
                </c:pt>
                <c:pt idx="49">
                  <c:v>0.35135135135135137</c:v>
                </c:pt>
                <c:pt idx="50">
                  <c:v>0.36363636363636365</c:v>
                </c:pt>
                <c:pt idx="51">
                  <c:v>0.37179487179487181</c:v>
                </c:pt>
                <c:pt idx="52">
                  <c:v>0.379746835443038</c:v>
                </c:pt>
                <c:pt idx="53">
                  <c:v>0.37037037037037035</c:v>
                </c:pt>
                <c:pt idx="54">
                  <c:v>0.37349397590361444</c:v>
                </c:pt>
                <c:pt idx="55">
                  <c:v>0.38095238095238093</c:v>
                </c:pt>
                <c:pt idx="56">
                  <c:v>0.38095238095238093</c:v>
                </c:pt>
                <c:pt idx="57">
                  <c:v>0.38372093023255816</c:v>
                </c:pt>
                <c:pt idx="58">
                  <c:v>0.37931034482758619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4128113879003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まっつん2!$Q$3:$Q$61</c:f>
              <c:numCache>
                <c:formatCode>0.0%</c:formatCode>
                <c:ptCount val="59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  <c:pt idx="37">
                  <c:v>0.41304347826086957</c:v>
                </c:pt>
                <c:pt idx="38">
                  <c:v>0.41935483870967744</c:v>
                </c:pt>
                <c:pt idx="39">
                  <c:v>0.41666666666666669</c:v>
                </c:pt>
                <c:pt idx="40">
                  <c:v>0.41414141414141414</c:v>
                </c:pt>
                <c:pt idx="41">
                  <c:v>0.40196078431372551</c:v>
                </c:pt>
                <c:pt idx="42">
                  <c:v>0.41904761904761906</c:v>
                </c:pt>
                <c:pt idx="43">
                  <c:v>0.41666666666666669</c:v>
                </c:pt>
                <c:pt idx="44">
                  <c:v>0.41666666666666669</c:v>
                </c:pt>
                <c:pt idx="45">
                  <c:v>0.41284403669724773</c:v>
                </c:pt>
                <c:pt idx="46">
                  <c:v>0.40909090909090912</c:v>
                </c:pt>
                <c:pt idx="47">
                  <c:v>0.41964285714285715</c:v>
                </c:pt>
                <c:pt idx="48">
                  <c:v>0.42241379310344829</c:v>
                </c:pt>
                <c:pt idx="49">
                  <c:v>0.42241379310344829</c:v>
                </c:pt>
                <c:pt idx="50">
                  <c:v>0.42499999999999999</c:v>
                </c:pt>
                <c:pt idx="51">
                  <c:v>0.43548387096774194</c:v>
                </c:pt>
                <c:pt idx="52">
                  <c:v>0.43307086614173229</c:v>
                </c:pt>
                <c:pt idx="53">
                  <c:v>0.43076923076923079</c:v>
                </c:pt>
                <c:pt idx="54">
                  <c:v>0.42537313432835822</c:v>
                </c:pt>
                <c:pt idx="55">
                  <c:v>0.42753623188405798</c:v>
                </c:pt>
                <c:pt idx="56">
                  <c:v>0.42142857142857143</c:v>
                </c:pt>
                <c:pt idx="57">
                  <c:v>0.43055555555555558</c:v>
                </c:pt>
                <c:pt idx="58">
                  <c:v>0.43448275862068964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2114073155610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63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43560.923958333333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43560.923958333333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43560.923958333333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43560.923958333333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43561.114791666667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43563.354502314818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43566.043888888889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43566.04109953704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43566.04109953704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43566.04109953704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43567.62232638889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43568.073333333334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43569.506898148145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43570.561921296299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43571.057638888888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43573.881539351853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43574.073113425926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43575.795416666668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43576.362476851849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43577.448182870372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43579.070729166669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43583.728298611109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43583.728298611109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43583.728298611109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43583.728298611109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43591.888472222221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43601.059386574074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43601.059386574074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43601.059386574074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43601.059386574074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43601.059386574074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43601.059386574074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43601.059386574074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43601.059386574074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43601.059386574074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43601.059386574074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43601.059942129628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43602.105740740742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43605.86346064815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43605.863437499997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43608.863275462965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43606.051539351851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43607.022546296299</v>
      </c>
      <c r="C44" s="30" t="s">
        <v>130</v>
      </c>
    </row>
    <row r="45" spans="1:11" x14ac:dyDescent="0.4">
      <c r="A45" s="30" t="s">
        <v>230</v>
      </c>
      <c r="B45" s="31">
        <v>43607.022546296299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43608.770729166667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43608.770729166667</v>
      </c>
      <c r="C47" s="30" t="s">
        <v>130</v>
      </c>
    </row>
    <row r="48" spans="1:11" x14ac:dyDescent="0.4">
      <c r="A48" s="30" t="s">
        <v>235</v>
      </c>
      <c r="B48" s="31">
        <v>43609.351793981485</v>
      </c>
      <c r="C48" s="30" t="s">
        <v>130</v>
      </c>
    </row>
    <row r="49" spans="1:7" x14ac:dyDescent="0.4">
      <c r="A49" s="30" t="s">
        <v>234</v>
      </c>
      <c r="B49" s="31">
        <v>43609.351793981485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43609.958668981482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43611.059386574074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43613.341041666667</v>
      </c>
      <c r="C52" s="30" t="s">
        <v>130</v>
      </c>
    </row>
    <row r="53" spans="1:7" x14ac:dyDescent="0.4">
      <c r="A53" s="30" t="s">
        <v>239</v>
      </c>
      <c r="B53" s="31">
        <v>43614.346238425926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43618.928472222222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43618.928472222222</v>
      </c>
      <c r="C55" s="30" t="s">
        <v>130</v>
      </c>
    </row>
    <row r="56" spans="1:7" x14ac:dyDescent="0.4">
      <c r="A56" s="30" t="s">
        <v>242</v>
      </c>
      <c r="B56" s="31">
        <v>43618.953240740739</v>
      </c>
      <c r="C56" s="30" t="s">
        <v>130</v>
      </c>
    </row>
    <row r="57" spans="1:7" x14ac:dyDescent="0.4">
      <c r="A57" s="30" t="s">
        <v>243</v>
      </c>
      <c r="B57" s="31">
        <v>43620.343842592592</v>
      </c>
      <c r="C57" s="30" t="s">
        <v>130</v>
      </c>
    </row>
    <row r="58" spans="1:7" x14ac:dyDescent="0.4">
      <c r="A58" s="30" t="s">
        <v>244</v>
      </c>
      <c r="B58" s="31">
        <v>43627.737962962965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43627.737962962965</v>
      </c>
      <c r="C59" s="30" t="s">
        <v>130</v>
      </c>
    </row>
    <row r="60" spans="1:7" x14ac:dyDescent="0.4">
      <c r="A60" s="30" t="s">
        <v>250</v>
      </c>
      <c r="B60" s="31">
        <v>43627.737962962965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43627.737962962965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43627.737962962965</v>
      </c>
      <c r="C62" s="30" t="s">
        <v>130</v>
      </c>
    </row>
    <row r="63" spans="1:7" x14ac:dyDescent="0.4">
      <c r="A63" s="30" t="s">
        <v>253</v>
      </c>
      <c r="B63" s="31">
        <v>43628.012662037036</v>
      </c>
      <c r="C63" s="30" t="s">
        <v>130</v>
      </c>
      <c r="D63" s="30" t="s">
        <v>131</v>
      </c>
      <c r="E63" s="30" t="s">
        <v>169</v>
      </c>
      <c r="F63" s="30" t="s">
        <v>174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645</v>
      </c>
    </row>
    <row r="2" spans="1:2" x14ac:dyDescent="0.4">
      <c r="A2" t="s">
        <v>127</v>
      </c>
      <c r="B2">
        <v>145</v>
      </c>
    </row>
    <row r="3" spans="1:2" x14ac:dyDescent="0.4">
      <c r="A3" t="s">
        <v>128</v>
      </c>
      <c r="B3">
        <v>121</v>
      </c>
    </row>
    <row r="4" spans="1:2" x14ac:dyDescent="0.4">
      <c r="A4" t="s">
        <v>129</v>
      </c>
      <c r="B4">
        <v>88</v>
      </c>
    </row>
    <row r="5" spans="1:2" x14ac:dyDescent="0.4">
      <c r="A5" t="s">
        <v>171</v>
      </c>
      <c r="B5">
        <v>88</v>
      </c>
    </row>
    <row r="6" spans="1:2" x14ac:dyDescent="0.4">
      <c r="A6" t="s">
        <v>172</v>
      </c>
      <c r="B6">
        <v>72</v>
      </c>
    </row>
    <row r="7" spans="1:2" x14ac:dyDescent="0.4">
      <c r="A7" t="s">
        <v>173</v>
      </c>
      <c r="B7">
        <v>44</v>
      </c>
    </row>
    <row r="8" spans="1:2" x14ac:dyDescent="0.4">
      <c r="A8" t="s">
        <v>177</v>
      </c>
      <c r="B8">
        <v>58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14</v>
      </c>
    </row>
    <row r="11" spans="1:2" x14ac:dyDescent="0.4">
      <c r="A11" t="s">
        <v>200</v>
      </c>
      <c r="B11">
        <v>9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</row>
    <row r="2" spans="1:35" x14ac:dyDescent="0.4">
      <c r="A2" s="72" t="s">
        <v>161</v>
      </c>
      <c r="B2" s="162"/>
      <c r="C2" s="163"/>
      <c r="D2" s="162"/>
      <c r="E2" s="163"/>
      <c r="F2" s="158">
        <v>0.96428121832865532</v>
      </c>
      <c r="G2" s="159"/>
      <c r="H2" s="158">
        <v>0.74000730318192054</v>
      </c>
      <c r="I2" s="159"/>
      <c r="J2" s="158">
        <v>0.93533393306834567</v>
      </c>
      <c r="K2" s="159"/>
      <c r="L2" s="158">
        <v>0.76618844078799619</v>
      </c>
      <c r="M2" s="159"/>
      <c r="N2" s="158">
        <v>0.68143916988747255</v>
      </c>
      <c r="O2" s="159"/>
      <c r="P2" s="158">
        <v>0.3009546322804903</v>
      </c>
      <c r="Q2" s="159"/>
      <c r="R2" s="158">
        <v>0.30484730825148793</v>
      </c>
      <c r="S2" s="159"/>
      <c r="T2" s="158">
        <v>0.46278456622840825</v>
      </c>
      <c r="U2" s="159"/>
      <c r="V2" s="158">
        <v>0.74959330102100852</v>
      </c>
      <c r="W2" s="159"/>
      <c r="X2" s="158">
        <v>0.42007930928125797</v>
      </c>
      <c r="Y2" s="159"/>
      <c r="Z2" s="158">
        <v>0.17357131323660688</v>
      </c>
      <c r="AA2" s="159"/>
      <c r="AB2" s="158">
        <v>0.11822190264677999</v>
      </c>
      <c r="AC2" s="159"/>
      <c r="AD2" s="158">
        <v>0.69961213549411638</v>
      </c>
      <c r="AE2" s="159"/>
      <c r="AF2" s="158">
        <v>-0.53910108182047878</v>
      </c>
      <c r="AG2" s="159"/>
      <c r="AH2" s="158">
        <v>0.68527941950401927</v>
      </c>
      <c r="AI2" s="159"/>
    </row>
    <row r="3" spans="1:35" x14ac:dyDescent="0.4">
      <c r="A3" s="74">
        <v>1</v>
      </c>
      <c r="B3" s="75" t="s">
        <v>127</v>
      </c>
      <c r="C3" s="76">
        <v>1774.3000000000009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127</v>
      </c>
      <c r="M3" s="80">
        <v>0.34819175777964678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127</v>
      </c>
      <c r="W3" s="79">
        <v>0.17241379310344829</v>
      </c>
      <c r="X3" s="77" t="s">
        <v>127</v>
      </c>
      <c r="Y3" s="80">
        <v>0.31286795626576958</v>
      </c>
      <c r="Z3" s="77" t="s">
        <v>200</v>
      </c>
      <c r="AA3" s="80">
        <v>0.29411764705882354</v>
      </c>
      <c r="AB3" s="77" t="s">
        <v>223</v>
      </c>
      <c r="AC3" s="80">
        <v>1</v>
      </c>
      <c r="AD3" s="77" t="s">
        <v>127</v>
      </c>
      <c r="AE3" s="80">
        <v>0.51908396946564883</v>
      </c>
      <c r="AF3" s="77" t="s">
        <v>223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244.60000000000002</v>
      </c>
      <c r="D4" s="85" t="s">
        <v>222</v>
      </c>
      <c r="E4" s="97">
        <v>13.3</v>
      </c>
      <c r="F4" s="85" t="s">
        <v>127</v>
      </c>
      <c r="G4" s="86">
        <v>1.7448275862068965</v>
      </c>
      <c r="H4" s="85" t="s">
        <v>127</v>
      </c>
      <c r="I4" s="87">
        <v>0.48965517241379308</v>
      </c>
      <c r="J4" s="85" t="s">
        <v>222</v>
      </c>
      <c r="K4" s="87">
        <v>0</v>
      </c>
      <c r="L4" s="85" t="s">
        <v>172</v>
      </c>
      <c r="M4" s="88">
        <v>0.34460547504025762</v>
      </c>
      <c r="N4" s="85" t="s">
        <v>183</v>
      </c>
      <c r="O4" s="88">
        <v>0.10526315789473684</v>
      </c>
      <c r="P4" s="85" t="s">
        <v>223</v>
      </c>
      <c r="Q4" s="89">
        <v>10600</v>
      </c>
      <c r="R4" s="85" t="s">
        <v>200</v>
      </c>
      <c r="S4" s="89">
        <v>-6378.5714285714284</v>
      </c>
      <c r="T4" s="85" t="s">
        <v>200</v>
      </c>
      <c r="U4" s="87">
        <v>0</v>
      </c>
      <c r="V4" s="85" t="s">
        <v>177</v>
      </c>
      <c r="W4" s="87">
        <v>0.13793103448275862</v>
      </c>
      <c r="X4" s="85" t="s">
        <v>128</v>
      </c>
      <c r="Y4" s="88">
        <v>0.30149253731343284</v>
      </c>
      <c r="Z4" s="85" t="s">
        <v>172</v>
      </c>
      <c r="AA4" s="88">
        <v>0.28824476650563607</v>
      </c>
      <c r="AB4" s="85" t="s">
        <v>200</v>
      </c>
      <c r="AC4" s="88">
        <v>0.7</v>
      </c>
      <c r="AD4" s="85" t="s">
        <v>183</v>
      </c>
      <c r="AE4" s="88">
        <v>0.5</v>
      </c>
      <c r="AF4" s="85" t="s">
        <v>200</v>
      </c>
      <c r="AG4" s="88">
        <v>0.58620689655172409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183</v>
      </c>
      <c r="C5" s="84">
        <v>61</v>
      </c>
      <c r="D5" s="85" t="s">
        <v>127</v>
      </c>
      <c r="E5" s="97">
        <v>12.236551724137938</v>
      </c>
      <c r="F5" s="85" t="s">
        <v>200</v>
      </c>
      <c r="G5" s="86">
        <v>1.8888888888888888</v>
      </c>
      <c r="H5" s="85" t="s">
        <v>177</v>
      </c>
      <c r="I5" s="87">
        <v>0.39655172413793105</v>
      </c>
      <c r="J5" s="85" t="s">
        <v>200</v>
      </c>
      <c r="K5" s="87">
        <v>0.1111111111111111</v>
      </c>
      <c r="L5" s="85" t="s">
        <v>200</v>
      </c>
      <c r="M5" s="88">
        <v>0.3411764705882353</v>
      </c>
      <c r="N5" s="85" t="s">
        <v>172</v>
      </c>
      <c r="O5" s="88">
        <v>0.13687600644122383</v>
      </c>
      <c r="P5" s="85" t="s">
        <v>171</v>
      </c>
      <c r="Q5" s="89">
        <v>10010.731707317073</v>
      </c>
      <c r="R5" s="85" t="s">
        <v>128</v>
      </c>
      <c r="S5" s="89">
        <v>-7776.6081871345032</v>
      </c>
      <c r="T5" s="85" t="s">
        <v>222</v>
      </c>
      <c r="U5" s="87">
        <v>0</v>
      </c>
      <c r="V5" s="85" t="s">
        <v>171</v>
      </c>
      <c r="W5" s="87">
        <v>0.13636363636363635</v>
      </c>
      <c r="X5" s="85" t="s">
        <v>171</v>
      </c>
      <c r="Y5" s="88">
        <v>0.29120879120879123</v>
      </c>
      <c r="Z5" s="85" t="s">
        <v>173</v>
      </c>
      <c r="AA5" s="88">
        <v>0.25654450261780104</v>
      </c>
      <c r="AB5" s="85" t="s">
        <v>184</v>
      </c>
      <c r="AC5" s="88">
        <v>0.6785714285714286</v>
      </c>
      <c r="AD5" s="85" t="s">
        <v>200</v>
      </c>
      <c r="AE5" s="88">
        <v>0.48</v>
      </c>
      <c r="AF5" s="85" t="s">
        <v>184</v>
      </c>
      <c r="AG5" s="88">
        <v>0.52941176470588236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171</v>
      </c>
      <c r="C6" s="84">
        <v>46.300000000000026</v>
      </c>
      <c r="D6" s="85" t="s">
        <v>177</v>
      </c>
      <c r="E6" s="97">
        <v>4.2172413793103454</v>
      </c>
      <c r="F6" s="85" t="s">
        <v>177</v>
      </c>
      <c r="G6" s="86">
        <v>1.896551724137931</v>
      </c>
      <c r="H6" s="85" t="s">
        <v>184</v>
      </c>
      <c r="I6" s="87">
        <v>0.35714285714285715</v>
      </c>
      <c r="J6" s="85" t="s">
        <v>127</v>
      </c>
      <c r="K6" s="87">
        <v>0.23448275862068965</v>
      </c>
      <c r="L6" s="85" t="s">
        <v>177</v>
      </c>
      <c r="M6" s="88">
        <v>0.30916844349680173</v>
      </c>
      <c r="N6" s="85" t="s">
        <v>177</v>
      </c>
      <c r="O6" s="88">
        <v>0.15351812366737741</v>
      </c>
      <c r="P6" s="85" t="s">
        <v>128</v>
      </c>
      <c r="Q6" s="89">
        <v>9253.1365313653132</v>
      </c>
      <c r="R6" s="85" t="s">
        <v>177</v>
      </c>
      <c r="S6" s="89">
        <v>-7793.0555555555557</v>
      </c>
      <c r="T6" s="85" t="s">
        <v>223</v>
      </c>
      <c r="U6" s="87">
        <v>0</v>
      </c>
      <c r="V6" s="85" t="s">
        <v>145</v>
      </c>
      <c r="W6" s="87">
        <v>0.11627906976744186</v>
      </c>
      <c r="X6" s="85" t="s">
        <v>129</v>
      </c>
      <c r="Y6" s="88">
        <v>0.28396739130434784</v>
      </c>
      <c r="Z6" s="85" t="s">
        <v>223</v>
      </c>
      <c r="AA6" s="88">
        <v>0.23529411764705882</v>
      </c>
      <c r="AB6" s="85" t="s">
        <v>177</v>
      </c>
      <c r="AC6" s="88">
        <v>0.66917293233082709</v>
      </c>
      <c r="AD6" s="85" t="s">
        <v>184</v>
      </c>
      <c r="AE6" s="88">
        <v>0.44</v>
      </c>
      <c r="AF6" s="85" t="s">
        <v>173</v>
      </c>
      <c r="AG6" s="88">
        <v>0.50877192982456143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200</v>
      </c>
      <c r="C7" s="84">
        <v>18.099999999999994</v>
      </c>
      <c r="D7" s="85" t="s">
        <v>200</v>
      </c>
      <c r="E7" s="97">
        <v>2.0111111111111106</v>
      </c>
      <c r="F7" s="85" t="s">
        <v>145</v>
      </c>
      <c r="G7" s="86">
        <v>2</v>
      </c>
      <c r="H7" s="85" t="s">
        <v>145</v>
      </c>
      <c r="I7" s="87">
        <v>0.33333333333333331</v>
      </c>
      <c r="J7" s="85" t="s">
        <v>177</v>
      </c>
      <c r="K7" s="87">
        <v>0.29310344827586204</v>
      </c>
      <c r="L7" s="85" t="s">
        <v>145</v>
      </c>
      <c r="M7" s="88">
        <v>0.29970271274619098</v>
      </c>
      <c r="N7" s="85" t="s">
        <v>127</v>
      </c>
      <c r="O7" s="88">
        <v>0.159798149705635</v>
      </c>
      <c r="P7" s="85" t="s">
        <v>127</v>
      </c>
      <c r="Q7" s="89">
        <v>9094.4444444444453</v>
      </c>
      <c r="R7" s="85" t="s">
        <v>173</v>
      </c>
      <c r="S7" s="89">
        <v>-7866.1971830985913</v>
      </c>
      <c r="T7" s="85" t="s">
        <v>172</v>
      </c>
      <c r="U7" s="87">
        <v>4.1666666666666664E-2</v>
      </c>
      <c r="V7" s="85" t="s">
        <v>129</v>
      </c>
      <c r="W7" s="87">
        <v>0.10227272727272728</v>
      </c>
      <c r="X7" s="85" t="s">
        <v>177</v>
      </c>
      <c r="Y7" s="88">
        <v>0.28358208955223879</v>
      </c>
      <c r="Z7" s="85" t="s">
        <v>127</v>
      </c>
      <c r="AA7" s="88">
        <v>0.22035323801513879</v>
      </c>
      <c r="AB7" s="85" t="s">
        <v>183</v>
      </c>
      <c r="AC7" s="88">
        <v>0.6</v>
      </c>
      <c r="AD7" s="85" t="s">
        <v>172</v>
      </c>
      <c r="AE7" s="88">
        <v>0.42458100558659218</v>
      </c>
      <c r="AF7" s="85" t="s">
        <v>222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171</v>
      </c>
      <c r="E8" s="97">
        <v>0.52613636363636396</v>
      </c>
      <c r="F8" s="85" t="s">
        <v>222</v>
      </c>
      <c r="G8" s="86">
        <v>2</v>
      </c>
      <c r="H8" s="85" t="s">
        <v>171</v>
      </c>
      <c r="I8" s="87">
        <v>0.30681818181818182</v>
      </c>
      <c r="J8" s="85" t="s">
        <v>172</v>
      </c>
      <c r="K8" s="87">
        <v>0.31944444444444442</v>
      </c>
      <c r="L8" s="85" t="s">
        <v>173</v>
      </c>
      <c r="M8" s="88">
        <v>0.29842931937172773</v>
      </c>
      <c r="N8" s="85" t="s">
        <v>200</v>
      </c>
      <c r="O8" s="88">
        <v>0.16470588235294117</v>
      </c>
      <c r="P8" s="85" t="s">
        <v>129</v>
      </c>
      <c r="Q8" s="89">
        <v>8818.2857142857138</v>
      </c>
      <c r="R8" s="85" t="s">
        <v>184</v>
      </c>
      <c r="S8" s="89">
        <v>-8107.6923076923076</v>
      </c>
      <c r="T8" s="85" t="s">
        <v>171</v>
      </c>
      <c r="U8" s="87">
        <v>0.10227272727272728</v>
      </c>
      <c r="V8" s="85" t="s">
        <v>172</v>
      </c>
      <c r="W8" s="87">
        <v>9.7222222222222224E-2</v>
      </c>
      <c r="X8" s="85" t="s">
        <v>145</v>
      </c>
      <c r="Y8" s="88">
        <v>0.28037904124860646</v>
      </c>
      <c r="Z8" s="85" t="s">
        <v>184</v>
      </c>
      <c r="AA8" s="88">
        <v>0.21186440677966101</v>
      </c>
      <c r="AB8" s="85" t="s">
        <v>173</v>
      </c>
      <c r="AC8" s="88">
        <v>0.59090909090909094</v>
      </c>
      <c r="AD8" s="85" t="s">
        <v>171</v>
      </c>
      <c r="AE8" s="88">
        <v>0.41605839416058393</v>
      </c>
      <c r="AF8" s="85" t="s">
        <v>177</v>
      </c>
      <c r="AG8" s="88">
        <v>0.43448275862068964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-2.1316282072803006E-14</v>
      </c>
      <c r="D9" s="85" t="s">
        <v>145</v>
      </c>
      <c r="E9" s="97">
        <v>-3.3048499337679078E-17</v>
      </c>
      <c r="F9" s="85" t="s">
        <v>171</v>
      </c>
      <c r="G9" s="86">
        <v>2.0454545454545454</v>
      </c>
      <c r="H9" s="85" t="s">
        <v>173</v>
      </c>
      <c r="I9" s="87">
        <v>0.29545454545454547</v>
      </c>
      <c r="J9" s="85" t="s">
        <v>145</v>
      </c>
      <c r="K9" s="87">
        <v>0.33333333333333331</v>
      </c>
      <c r="L9" s="85" t="s">
        <v>223</v>
      </c>
      <c r="M9" s="88">
        <v>0.29411764705882354</v>
      </c>
      <c r="N9" s="85" t="s">
        <v>145</v>
      </c>
      <c r="O9" s="88">
        <v>0.16833890746934224</v>
      </c>
      <c r="P9" s="85" t="s">
        <v>177</v>
      </c>
      <c r="Q9" s="89">
        <v>8762.0689655172409</v>
      </c>
      <c r="R9" s="85" t="s">
        <v>127</v>
      </c>
      <c r="S9" s="89">
        <v>-8250.5263157894733</v>
      </c>
      <c r="T9" s="85" t="s">
        <v>127</v>
      </c>
      <c r="U9" s="87">
        <v>0.10344827586206896</v>
      </c>
      <c r="V9" s="85" t="s">
        <v>128</v>
      </c>
      <c r="W9" s="87">
        <v>9.0909090909090912E-2</v>
      </c>
      <c r="X9" s="85" t="s">
        <v>183</v>
      </c>
      <c r="Y9" s="88">
        <v>0.26315789473684209</v>
      </c>
      <c r="Z9" s="85" t="s">
        <v>183</v>
      </c>
      <c r="AA9" s="88">
        <v>0.21052631578947367</v>
      </c>
      <c r="AB9" s="85" t="s">
        <v>145</v>
      </c>
      <c r="AC9" s="88">
        <v>0.57919151756129883</v>
      </c>
      <c r="AD9" s="85" t="s">
        <v>145</v>
      </c>
      <c r="AE9" s="88">
        <v>0.39412811387900354</v>
      </c>
      <c r="AF9" s="85" t="s">
        <v>129</v>
      </c>
      <c r="AG9" s="88">
        <v>0.43428571428571427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223</v>
      </c>
      <c r="C10" s="84">
        <v>-24.7</v>
      </c>
      <c r="D10" s="85" t="s">
        <v>172</v>
      </c>
      <c r="E10" s="97">
        <v>-0.95000000000000029</v>
      </c>
      <c r="F10" s="85" t="s">
        <v>172</v>
      </c>
      <c r="G10" s="86">
        <v>2.0555555555555554</v>
      </c>
      <c r="H10" s="85" t="s">
        <v>172</v>
      </c>
      <c r="I10" s="87">
        <v>0.2638888888888889</v>
      </c>
      <c r="J10" s="85" t="s">
        <v>171</v>
      </c>
      <c r="K10" s="87">
        <v>0.35227272727272729</v>
      </c>
      <c r="L10" s="85" t="s">
        <v>184</v>
      </c>
      <c r="M10" s="88">
        <v>0.28813559322033899</v>
      </c>
      <c r="N10" s="85" t="s">
        <v>128</v>
      </c>
      <c r="O10" s="88">
        <v>0.17014925373134329</v>
      </c>
      <c r="P10" s="85" t="s">
        <v>145</v>
      </c>
      <c r="Q10" s="89">
        <v>8635.4618722876621</v>
      </c>
      <c r="R10" s="85" t="s">
        <v>145</v>
      </c>
      <c r="S10" s="89">
        <v>-8280.4635761589398</v>
      </c>
      <c r="T10" s="85" t="s">
        <v>173</v>
      </c>
      <c r="U10" s="87">
        <v>0.11363636363636363</v>
      </c>
      <c r="V10" s="85" t="s">
        <v>173</v>
      </c>
      <c r="W10" s="87">
        <v>6.8181818181818177E-2</v>
      </c>
      <c r="X10" s="85" t="s">
        <v>184</v>
      </c>
      <c r="Y10" s="88">
        <v>0.23728813559322035</v>
      </c>
      <c r="Z10" s="85" t="s">
        <v>145</v>
      </c>
      <c r="AA10" s="88">
        <v>0.20884429580081754</v>
      </c>
      <c r="AB10" s="85" t="s">
        <v>127</v>
      </c>
      <c r="AC10" s="88">
        <v>0.57795698924731187</v>
      </c>
      <c r="AD10" s="85" t="s">
        <v>177</v>
      </c>
      <c r="AE10" s="88">
        <v>0.37931034482758619</v>
      </c>
      <c r="AF10" s="85" t="s">
        <v>145</v>
      </c>
      <c r="AG10" s="88">
        <v>0.43211407315561068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172</v>
      </c>
      <c r="C11" s="84">
        <v>-68.40000000000002</v>
      </c>
      <c r="D11" s="85" t="s">
        <v>128</v>
      </c>
      <c r="E11" s="97">
        <v>-3.4884297520661165</v>
      </c>
      <c r="F11" s="85" t="s">
        <v>173</v>
      </c>
      <c r="G11" s="86">
        <v>2.0681818181818183</v>
      </c>
      <c r="H11" s="85" t="s">
        <v>128</v>
      </c>
      <c r="I11" s="87">
        <v>0.256198347107438</v>
      </c>
      <c r="J11" s="85" t="s">
        <v>128</v>
      </c>
      <c r="K11" s="87">
        <v>0.35537190082644626</v>
      </c>
      <c r="L11" s="85" t="s">
        <v>171</v>
      </c>
      <c r="M11" s="88">
        <v>0.28159340659340659</v>
      </c>
      <c r="N11" s="85" t="s">
        <v>171</v>
      </c>
      <c r="O11" s="88">
        <v>0.17445054945054944</v>
      </c>
      <c r="P11" s="85" t="s">
        <v>183</v>
      </c>
      <c r="Q11" s="89">
        <v>7860</v>
      </c>
      <c r="R11" s="85" t="s">
        <v>171</v>
      </c>
      <c r="S11" s="89">
        <v>-8534.645669291338</v>
      </c>
      <c r="T11" s="85" t="s">
        <v>145</v>
      </c>
      <c r="U11" s="87">
        <v>0.11627906976744186</v>
      </c>
      <c r="V11" s="85" t="s">
        <v>184</v>
      </c>
      <c r="W11" s="87">
        <v>0</v>
      </c>
      <c r="X11" s="85" t="s">
        <v>200</v>
      </c>
      <c r="Y11" s="88">
        <v>0.23529411764705882</v>
      </c>
      <c r="Z11" s="85" t="s">
        <v>171</v>
      </c>
      <c r="AA11" s="88">
        <v>0.18818681318681318</v>
      </c>
      <c r="AB11" s="85" t="s">
        <v>128</v>
      </c>
      <c r="AC11" s="88">
        <v>0.57755775577557755</v>
      </c>
      <c r="AD11" s="85" t="s">
        <v>173</v>
      </c>
      <c r="AE11" s="88">
        <v>0.33673469387755101</v>
      </c>
      <c r="AF11" s="85" t="s">
        <v>172</v>
      </c>
      <c r="AG11" s="88">
        <v>0.42523364485981308</v>
      </c>
      <c r="AH11" s="85" t="s">
        <v>184</v>
      </c>
      <c r="AI11" s="92">
        <v>62700</v>
      </c>
    </row>
    <row r="12" spans="1:35" x14ac:dyDescent="0.4">
      <c r="A12" s="82">
        <v>10</v>
      </c>
      <c r="B12" s="83" t="s">
        <v>184</v>
      </c>
      <c r="C12" s="84">
        <v>-138.69999999999999</v>
      </c>
      <c r="D12" s="85" t="s">
        <v>173</v>
      </c>
      <c r="E12" s="97">
        <v>-5.9681818181818178</v>
      </c>
      <c r="F12" s="85" t="s">
        <v>128</v>
      </c>
      <c r="G12" s="86">
        <v>2.0991735537190084</v>
      </c>
      <c r="H12" s="85" t="s">
        <v>129</v>
      </c>
      <c r="I12" s="87">
        <v>0.25</v>
      </c>
      <c r="J12" s="85" t="s">
        <v>173</v>
      </c>
      <c r="K12" s="87">
        <v>0.36363636363636365</v>
      </c>
      <c r="L12" s="85" t="s">
        <v>128</v>
      </c>
      <c r="M12" s="88">
        <v>0.26965174129353237</v>
      </c>
      <c r="N12" s="85" t="s">
        <v>173</v>
      </c>
      <c r="O12" s="88">
        <v>0.18586387434554974</v>
      </c>
      <c r="P12" s="85" t="s">
        <v>184</v>
      </c>
      <c r="Q12" s="89">
        <v>7494.1176470588234</v>
      </c>
      <c r="R12" s="85" t="s">
        <v>172</v>
      </c>
      <c r="S12" s="89">
        <v>-8638.823529411764</v>
      </c>
      <c r="T12" s="85" t="s">
        <v>128</v>
      </c>
      <c r="U12" s="87">
        <v>0.12396694214876033</v>
      </c>
      <c r="V12" s="85" t="s">
        <v>183</v>
      </c>
      <c r="W12" s="87">
        <v>0</v>
      </c>
      <c r="X12" s="85" t="s">
        <v>222</v>
      </c>
      <c r="Y12" s="88">
        <v>0.23076923076923078</v>
      </c>
      <c r="Z12" s="85" t="s">
        <v>177</v>
      </c>
      <c r="AA12" s="88">
        <v>0.18550106609808104</v>
      </c>
      <c r="AB12" s="85" t="s">
        <v>171</v>
      </c>
      <c r="AC12" s="88">
        <v>0.56603773584905659</v>
      </c>
      <c r="AD12" s="85" t="s">
        <v>128</v>
      </c>
      <c r="AE12" s="88">
        <v>0.287292817679558</v>
      </c>
      <c r="AF12" s="85" t="s">
        <v>128</v>
      </c>
      <c r="AG12" s="88">
        <v>0.42435424354243545</v>
      </c>
      <c r="AH12" s="85" t="s">
        <v>200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-262.59999999999997</v>
      </c>
      <c r="D13" s="85" t="s">
        <v>184</v>
      </c>
      <c r="E13" s="97">
        <v>-9.9071428571428566</v>
      </c>
      <c r="F13" s="85" t="s">
        <v>184</v>
      </c>
      <c r="G13" s="86">
        <v>2.1428571428571428</v>
      </c>
      <c r="H13" s="85" t="s">
        <v>200</v>
      </c>
      <c r="I13" s="87">
        <v>0.22222222222222221</v>
      </c>
      <c r="J13" s="85" t="s">
        <v>129</v>
      </c>
      <c r="K13" s="87">
        <v>0.47727272727272729</v>
      </c>
      <c r="L13" s="85" t="s">
        <v>183</v>
      </c>
      <c r="M13" s="88">
        <v>0.26315789473684209</v>
      </c>
      <c r="N13" s="85" t="s">
        <v>129</v>
      </c>
      <c r="O13" s="88">
        <v>0.19429347826086957</v>
      </c>
      <c r="P13" s="85" t="s">
        <v>173</v>
      </c>
      <c r="Q13" s="89">
        <v>6998.2456140350878</v>
      </c>
      <c r="R13" s="85" t="s">
        <v>129</v>
      </c>
      <c r="S13" s="89">
        <v>-9054.545454545454</v>
      </c>
      <c r="T13" s="85" t="s">
        <v>184</v>
      </c>
      <c r="U13" s="87">
        <v>0.14285714285714285</v>
      </c>
      <c r="V13" s="85" t="s">
        <v>200</v>
      </c>
      <c r="W13" s="87">
        <v>0</v>
      </c>
      <c r="X13" s="85" t="s">
        <v>173</v>
      </c>
      <c r="Y13" s="88">
        <v>0.23036649214659685</v>
      </c>
      <c r="Z13" s="85" t="s">
        <v>128</v>
      </c>
      <c r="AA13" s="88">
        <v>0.18009950248756218</v>
      </c>
      <c r="AB13" s="85" t="s">
        <v>172</v>
      </c>
      <c r="AC13" s="88">
        <v>0.55639097744360899</v>
      </c>
      <c r="AD13" s="85" t="s">
        <v>223</v>
      </c>
      <c r="AE13" s="88">
        <v>0.25</v>
      </c>
      <c r="AF13" s="85" t="s">
        <v>127</v>
      </c>
      <c r="AG13" s="88">
        <v>0.41062801932367149</v>
      </c>
      <c r="AH13" s="85" t="s">
        <v>183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-422.10000000000008</v>
      </c>
      <c r="D14" s="85" t="s">
        <v>223</v>
      </c>
      <c r="E14" s="97">
        <v>-12.35</v>
      </c>
      <c r="F14" s="85" t="s">
        <v>129</v>
      </c>
      <c r="G14" s="86">
        <v>2.2272727272727271</v>
      </c>
      <c r="H14" s="85" t="s">
        <v>222</v>
      </c>
      <c r="I14" s="87">
        <v>0</v>
      </c>
      <c r="J14" s="85" t="s">
        <v>184</v>
      </c>
      <c r="K14" s="87">
        <v>0.5</v>
      </c>
      <c r="L14" s="85" t="s">
        <v>129</v>
      </c>
      <c r="M14" s="88">
        <v>0.23777173913043478</v>
      </c>
      <c r="N14" s="85" t="s">
        <v>184</v>
      </c>
      <c r="O14" s="88">
        <v>0.22033898305084745</v>
      </c>
      <c r="P14" s="85" t="s">
        <v>200</v>
      </c>
      <c r="Q14" s="89">
        <v>6765.5172413793107</v>
      </c>
      <c r="R14" s="85" t="s">
        <v>222</v>
      </c>
      <c r="S14" s="89">
        <v>-12000</v>
      </c>
      <c r="T14" s="85" t="s">
        <v>177</v>
      </c>
      <c r="U14" s="87">
        <v>0.15517241379310345</v>
      </c>
      <c r="V14" s="85" t="s">
        <v>222</v>
      </c>
      <c r="W14" s="87">
        <v>0</v>
      </c>
      <c r="X14" s="85" t="s">
        <v>172</v>
      </c>
      <c r="Y14" s="88">
        <v>0.214170692431562</v>
      </c>
      <c r="Z14" s="85" t="s">
        <v>129</v>
      </c>
      <c r="AA14" s="88">
        <v>0.16440217391304349</v>
      </c>
      <c r="AB14" s="85" t="s">
        <v>129</v>
      </c>
      <c r="AC14" s="88">
        <v>0.52153110047846885</v>
      </c>
      <c r="AD14" s="85" t="s">
        <v>129</v>
      </c>
      <c r="AE14" s="88">
        <v>0.24793388429752067</v>
      </c>
      <c r="AF14" s="85" t="s">
        <v>171</v>
      </c>
      <c r="AG14" s="88">
        <v>0.40975609756097559</v>
      </c>
      <c r="AH14" s="85" t="s">
        <v>222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-1241.1000000000001</v>
      </c>
      <c r="D15" s="85" t="s">
        <v>129</v>
      </c>
      <c r="E15" s="97">
        <v>-14.103409090909093</v>
      </c>
      <c r="F15" s="85" t="s">
        <v>223</v>
      </c>
      <c r="G15" s="86">
        <v>2.5</v>
      </c>
      <c r="H15" s="85" t="s">
        <v>223</v>
      </c>
      <c r="I15" s="87">
        <v>0</v>
      </c>
      <c r="J15" s="85" t="s">
        <v>223</v>
      </c>
      <c r="K15" s="87">
        <v>0.5</v>
      </c>
      <c r="L15" s="85" t="s">
        <v>222</v>
      </c>
      <c r="M15" s="88">
        <v>0.15384615384615385</v>
      </c>
      <c r="N15" s="85" t="s">
        <v>223</v>
      </c>
      <c r="O15" s="88">
        <v>0.23529411764705882</v>
      </c>
      <c r="P15" s="85" t="s">
        <v>172</v>
      </c>
      <c r="Q15" s="89">
        <v>6643.4579439252338</v>
      </c>
      <c r="R15" s="85" t="s">
        <v>223</v>
      </c>
      <c r="S15" s="89">
        <v>-12425</v>
      </c>
      <c r="T15" s="85" t="s">
        <v>129</v>
      </c>
      <c r="U15" s="87">
        <v>0.19318181818181818</v>
      </c>
      <c r="V15" s="85" t="s">
        <v>223</v>
      </c>
      <c r="W15" s="87">
        <v>0</v>
      </c>
      <c r="X15" s="85" t="s">
        <v>223</v>
      </c>
      <c r="Y15" s="88">
        <v>0.17647058823529413</v>
      </c>
      <c r="Z15" s="85" t="s">
        <v>222</v>
      </c>
      <c r="AA15" s="88">
        <v>7.6923076923076927E-2</v>
      </c>
      <c r="AB15" s="85" t="s">
        <v>222</v>
      </c>
      <c r="AC15" s="88">
        <v>0.33333333333333331</v>
      </c>
      <c r="AD15" s="85" t="s">
        <v>222</v>
      </c>
      <c r="AE15" s="88">
        <v>0</v>
      </c>
      <c r="AF15" s="85" t="s">
        <v>183</v>
      </c>
      <c r="AG15" s="88">
        <v>0.2</v>
      </c>
      <c r="AH15" s="85" t="s">
        <v>223</v>
      </c>
      <c r="AI15" s="92">
        <v>47300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5EECA-C252-413B-8060-74D724488638}">
  <sheetPr codeName="Sheet4"/>
  <dimension ref="A1:Q64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645</v>
      </c>
      <c r="C2" s="151"/>
      <c r="E2" s="62" t="s">
        <v>67</v>
      </c>
      <c r="F2" s="59" t="s">
        <v>23</v>
      </c>
      <c r="G2" s="46">
        <v>1180</v>
      </c>
      <c r="H2" s="132">
        <f>IF(B$17=0,0,G2/B$17)</f>
        <v>0.73155610663360193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-13.953488372093023</v>
      </c>
      <c r="P2" s="118">
        <v>645</v>
      </c>
      <c r="Q2" s="102">
        <v>-9000</v>
      </c>
    </row>
    <row r="3" spans="1:17" x14ac:dyDescent="0.4">
      <c r="A3" s="55" t="s">
        <v>8</v>
      </c>
      <c r="B3" s="152">
        <v>5382</v>
      </c>
      <c r="C3" s="153"/>
      <c r="E3" s="63" t="s">
        <v>65</v>
      </c>
      <c r="F3" s="60" t="s">
        <v>21</v>
      </c>
      <c r="G3" s="47">
        <v>834</v>
      </c>
      <c r="H3" s="133">
        <f>IF(B$17=0,0,G3/B$17)</f>
        <v>0.51704897706137631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-7.9365079365079367</v>
      </c>
      <c r="P3" s="119">
        <v>630</v>
      </c>
      <c r="Q3" s="103">
        <v>-5000</v>
      </c>
    </row>
    <row r="4" spans="1:17" x14ac:dyDescent="0.4">
      <c r="A4" s="55" t="s">
        <v>6</v>
      </c>
      <c r="B4" s="154">
        <v>-2.1316282072803006E-14</v>
      </c>
      <c r="C4" s="155"/>
      <c r="E4" s="63" t="s">
        <v>73</v>
      </c>
      <c r="F4" s="60" t="s">
        <v>28</v>
      </c>
      <c r="G4" s="47">
        <v>813</v>
      </c>
      <c r="H4" s="133">
        <f>IF(B$17=0,0,G4/B$17)</f>
        <v>0.50402975821450713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8.4175084175084169</v>
      </c>
      <c r="P4" s="119">
        <v>594</v>
      </c>
      <c r="Q4" s="103">
        <v>5000</v>
      </c>
    </row>
    <row r="5" spans="1:17" x14ac:dyDescent="0.4">
      <c r="A5" s="55" t="s">
        <v>7</v>
      </c>
      <c r="B5" s="156">
        <f>IF(B$2=0,0,B$4/B$2)</f>
        <v>-3.3048499337679078E-17</v>
      </c>
      <c r="C5" s="157"/>
      <c r="E5" s="63" t="s">
        <v>245</v>
      </c>
      <c r="F5" s="60" t="s">
        <v>246</v>
      </c>
      <c r="G5" s="47">
        <v>665</v>
      </c>
      <c r="H5" s="133">
        <f>IF(B$17=0,0,G5/B$17)</f>
        <v>0.41227526348419097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9.2592592592592595</v>
      </c>
      <c r="P5" s="119">
        <v>540</v>
      </c>
      <c r="Q5" s="103">
        <v>5000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503</v>
      </c>
      <c r="H6" s="133">
        <f>IF(B$17=0,0,G6/B$17)</f>
        <v>0.31184128952262863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-12.345679012345679</v>
      </c>
      <c r="P6" s="119">
        <v>486</v>
      </c>
      <c r="Q6" s="103">
        <v>-6000</v>
      </c>
    </row>
    <row r="7" spans="1:17" x14ac:dyDescent="0.4">
      <c r="A7" s="55" t="s">
        <v>2</v>
      </c>
      <c r="B7" s="47">
        <v>215</v>
      </c>
      <c r="C7" s="39">
        <f>IF(B$2=0,0,B7/B$2)</f>
        <v>0.33333333333333331</v>
      </c>
      <c r="E7" s="63" t="s">
        <v>68</v>
      </c>
      <c r="F7" s="60" t="s">
        <v>24</v>
      </c>
      <c r="G7" s="47">
        <v>489</v>
      </c>
      <c r="H7" s="133">
        <f>IF(B$17=0,0,G7/B$17)</f>
        <v>0.30316181029138251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22.988505747126435</v>
      </c>
      <c r="P7" s="120">
        <v>435</v>
      </c>
      <c r="Q7" s="104">
        <v>10000</v>
      </c>
    </row>
    <row r="8" spans="1:17" x14ac:dyDescent="0.4">
      <c r="A8" s="55" t="s">
        <v>3</v>
      </c>
      <c r="B8" s="47">
        <v>215</v>
      </c>
      <c r="C8" s="39">
        <f>IF(B$2=0,0,B8/B$2)</f>
        <v>0.33333333333333331</v>
      </c>
      <c r="E8" s="63" t="s">
        <v>70</v>
      </c>
      <c r="F8" s="60" t="s">
        <v>25</v>
      </c>
      <c r="G8" s="47">
        <v>284</v>
      </c>
      <c r="H8" s="133">
        <f>IF(B$17=0,0,G8/B$17)</f>
        <v>0.17606943583384996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215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202</v>
      </c>
      <c r="H9" s="133">
        <f>IF(B$17=0,0,G9/B$17)</f>
        <v>0.12523248605083695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75</v>
      </c>
      <c r="C10" s="40">
        <f>IF(B$2=0,0,B10/B$2)</f>
        <v>0.11627906976744186</v>
      </c>
      <c r="E10" s="63" t="s">
        <v>66</v>
      </c>
      <c r="F10" s="60" t="s">
        <v>22</v>
      </c>
      <c r="G10" s="47">
        <v>196</v>
      </c>
      <c r="H10" s="133">
        <f>IF(B$17=0,0,G10/B$17)</f>
        <v>0.12151270923744575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-1.2860465116279065</v>
      </c>
      <c r="P10" s="118">
        <v>215</v>
      </c>
      <c r="Q10" s="106">
        <v>-276.49999999999989</v>
      </c>
    </row>
    <row r="11" spans="1:17" x14ac:dyDescent="0.4">
      <c r="A11" s="56" t="s">
        <v>140</v>
      </c>
      <c r="B11" s="48">
        <v>75</v>
      </c>
      <c r="C11" s="40">
        <f>IF(B$2=0,0,B11/B$2)</f>
        <v>0.11627906976744186</v>
      </c>
      <c r="E11" s="63" t="s">
        <v>71</v>
      </c>
      <c r="F11" s="60" t="s">
        <v>26</v>
      </c>
      <c r="G11" s="47">
        <v>161</v>
      </c>
      <c r="H11" s="133">
        <f>IF(B$17=0,0,G11/B$17)</f>
        <v>9.9814011159330446E-2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-0.29906976744186059</v>
      </c>
      <c r="P11" s="119">
        <v>215</v>
      </c>
      <c r="Q11" s="107">
        <v>-64.300000000000026</v>
      </c>
    </row>
    <row r="12" spans="1:17" x14ac:dyDescent="0.4">
      <c r="A12" s="57" t="s">
        <v>160</v>
      </c>
      <c r="B12" s="49">
        <v>55</v>
      </c>
      <c r="C12" s="42">
        <f>IF(B$2=0,0,B12/B$2)</f>
        <v>8.5271317829457363E-2</v>
      </c>
      <c r="E12" s="63" t="s">
        <v>72</v>
      </c>
      <c r="F12" s="60" t="s">
        <v>27</v>
      </c>
      <c r="G12" s="47">
        <v>112</v>
      </c>
      <c r="H12" s="133">
        <f>IF(B$17=0,0,G12/B$17)</f>
        <v>6.9435833849969E-2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1.5851162790697673</v>
      </c>
      <c r="P12" s="120">
        <v>215</v>
      </c>
      <c r="Q12" s="108">
        <v>340.79999999999995</v>
      </c>
    </row>
    <row r="13" spans="1:17" x14ac:dyDescent="0.4">
      <c r="A13" s="58" t="s">
        <v>122</v>
      </c>
      <c r="B13" s="50">
        <v>1509</v>
      </c>
      <c r="C13" s="44">
        <f>IF(B$3=0,0,B13/B$3)</f>
        <v>0.28037904124860646</v>
      </c>
      <c r="E13" s="63" t="s">
        <v>87</v>
      </c>
      <c r="F13" s="60" t="s">
        <v>42</v>
      </c>
      <c r="G13" s="47">
        <v>89</v>
      </c>
      <c r="H13" s="133">
        <f>IF(B$17=0,0,G13/B$17)</f>
        <v>5.5176689398636083E-2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1124</v>
      </c>
      <c r="C14" s="39">
        <f>IF(B$3=0,0,B14/B$3)</f>
        <v>0.20884429580081754</v>
      </c>
      <c r="E14" s="63" t="s">
        <v>84</v>
      </c>
      <c r="F14" s="60" t="s">
        <v>39</v>
      </c>
      <c r="G14" s="47">
        <v>81</v>
      </c>
      <c r="H14" s="133">
        <f>IF(B$17=0,0,G14/B$17)</f>
        <v>5.0216986980781156E-2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874</v>
      </c>
      <c r="C15" s="37">
        <f>IF(B$13=0,0,B15/B$13)</f>
        <v>0.57919151756129883</v>
      </c>
      <c r="E15" s="63" t="s">
        <v>82</v>
      </c>
      <c r="F15" s="60" t="s">
        <v>37</v>
      </c>
      <c r="G15" s="47">
        <v>46</v>
      </c>
      <c r="H15" s="133">
        <f>IF(B$17=0,0,G15/B$17)</f>
        <v>2.8518288902665841E-2</v>
      </c>
      <c r="I15" s="94">
        <v>7</v>
      </c>
      <c r="K15" s="38">
        <v>13</v>
      </c>
      <c r="L15" s="99">
        <v>-42.100000000000009</v>
      </c>
      <c r="N15" s="114" t="s">
        <v>129</v>
      </c>
      <c r="O15" s="124">
        <f>IF(P15=0,0,Q15/P15)</f>
        <v>21.155113636363662</v>
      </c>
      <c r="P15" s="118">
        <v>176</v>
      </c>
      <c r="Q15" s="106">
        <v>3723.3000000000047</v>
      </c>
    </row>
    <row r="16" spans="1:17" x14ac:dyDescent="0.4">
      <c r="A16" s="54" t="s">
        <v>125</v>
      </c>
      <c r="B16" s="46">
        <v>443</v>
      </c>
      <c r="C16" s="37">
        <f>IF(B$14=0,0,B16/B$14)</f>
        <v>0.39412811387900354</v>
      </c>
      <c r="E16" s="63" t="s">
        <v>79</v>
      </c>
      <c r="F16" s="60" t="s">
        <v>34</v>
      </c>
      <c r="G16" s="47">
        <v>41</v>
      </c>
      <c r="H16" s="133">
        <f>IF(B$17=0,0,G16/B$17)</f>
        <v>2.5418474891506511E-2</v>
      </c>
      <c r="I16" s="94">
        <v>6</v>
      </c>
      <c r="K16" s="38">
        <v>14</v>
      </c>
      <c r="L16" s="99">
        <v>18.79999999999999</v>
      </c>
      <c r="N16" s="115" t="s">
        <v>223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1613</v>
      </c>
      <c r="C17" s="37">
        <f>IF(B$3=0,0,B17/B$3)</f>
        <v>0.29970271274619098</v>
      </c>
      <c r="E17" s="63" t="s">
        <v>92</v>
      </c>
      <c r="F17" s="60" t="s">
        <v>47</v>
      </c>
      <c r="G17" s="47">
        <v>30</v>
      </c>
      <c r="H17" s="133">
        <f>IF(B$17=0,0,G17/B$17)</f>
        <v>1.8598884066955982E-2</v>
      </c>
      <c r="I17" s="94">
        <v>5</v>
      </c>
      <c r="K17" s="38">
        <v>15</v>
      </c>
      <c r="L17" s="99">
        <v>-1.0658141036401503E-14</v>
      </c>
      <c r="N17" s="115" t="s">
        <v>184</v>
      </c>
      <c r="O17" s="125">
        <f>IF(P17=0,0,Q17/P17)</f>
        <v>14.860714285714284</v>
      </c>
      <c r="P17" s="119">
        <v>28</v>
      </c>
      <c r="Q17" s="107">
        <v>416.09999999999997</v>
      </c>
    </row>
    <row r="18" spans="1:17" x14ac:dyDescent="0.4">
      <c r="A18" s="55" t="s">
        <v>12</v>
      </c>
      <c r="B18" s="47">
        <v>697</v>
      </c>
      <c r="C18" s="39">
        <f>IF(B$17=0,0,B18/B$17)</f>
        <v>0.43211407315561068</v>
      </c>
      <c r="E18" s="63" t="s">
        <v>80</v>
      </c>
      <c r="F18" s="60" t="s">
        <v>35</v>
      </c>
      <c r="G18" s="47">
        <v>25</v>
      </c>
      <c r="H18" s="133">
        <f>IF(B$17=0,0,G18/B$17)</f>
        <v>1.5499070055796652E-2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8.9522727272727263</v>
      </c>
      <c r="P18" s="119">
        <v>88</v>
      </c>
      <c r="Q18" s="107">
        <v>787.79999999999984</v>
      </c>
    </row>
    <row r="19" spans="1:17" x14ac:dyDescent="0.4">
      <c r="A19" s="55" t="s">
        <v>11</v>
      </c>
      <c r="B19" s="47">
        <v>916</v>
      </c>
      <c r="C19" s="39">
        <f>IF(B$17=0,0,B19/B$17)</f>
        <v>0.56788592684438932</v>
      </c>
      <c r="E19" s="63" t="s">
        <v>180</v>
      </c>
      <c r="F19" s="60" t="s">
        <v>181</v>
      </c>
      <c r="G19" s="47">
        <v>25</v>
      </c>
      <c r="H19" s="133">
        <f>IF(B$17=0,0,G19/B$17)</f>
        <v>1.5499070055796652E-2</v>
      </c>
      <c r="I19" s="94">
        <v>5</v>
      </c>
      <c r="K19" s="38">
        <v>17</v>
      </c>
      <c r="L19" s="99">
        <v>8.2999999999999972</v>
      </c>
      <c r="N19" s="115" t="s">
        <v>128</v>
      </c>
      <c r="O19" s="125">
        <f>IF(P19=0,0,Q19/P19)</f>
        <v>5.2326446280991732</v>
      </c>
      <c r="P19" s="119">
        <v>242</v>
      </c>
      <c r="Q19" s="107">
        <v>1266.3</v>
      </c>
    </row>
    <row r="20" spans="1:17" x14ac:dyDescent="0.4">
      <c r="A20" s="55" t="s">
        <v>13</v>
      </c>
      <c r="B20" s="47">
        <v>906</v>
      </c>
      <c r="C20" s="39">
        <f>IF(B$3=0,0,B20/B$3)</f>
        <v>0.16833890746934224</v>
      </c>
      <c r="E20" s="63" t="s">
        <v>74</v>
      </c>
      <c r="F20" s="60" t="s">
        <v>29</v>
      </c>
      <c r="G20" s="47">
        <v>11</v>
      </c>
      <c r="H20" s="133">
        <f>IF(B$17=0,0,G20/B$17)</f>
        <v>6.8195908245505272E-3</v>
      </c>
      <c r="I20" s="94">
        <v>6</v>
      </c>
      <c r="K20" s="38">
        <v>18</v>
      </c>
      <c r="L20" s="99">
        <v>-3.5527136788005009E-15</v>
      </c>
      <c r="N20" s="115" t="s">
        <v>172</v>
      </c>
      <c r="O20" s="125">
        <f>IF(P20=0,0,Q20/P20)</f>
        <v>1.4249999999999992</v>
      </c>
      <c r="P20" s="119">
        <v>144</v>
      </c>
      <c r="Q20" s="107">
        <v>205.19999999999987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76</v>
      </c>
      <c r="F21" s="60" t="s">
        <v>31</v>
      </c>
      <c r="G21" s="47">
        <v>9</v>
      </c>
      <c r="H21" s="133">
        <f>IF(B$17=0,0,G21/B$17)</f>
        <v>5.5796652200867944E-3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-0.78920454545454277</v>
      </c>
      <c r="P21" s="119">
        <v>176</v>
      </c>
      <c r="Q21" s="107">
        <v>-138.89999999999952</v>
      </c>
    </row>
    <row r="22" spans="1:17" x14ac:dyDescent="0.4">
      <c r="A22" s="55" t="s">
        <v>192</v>
      </c>
      <c r="B22" s="47">
        <v>31</v>
      </c>
      <c r="C22" s="135">
        <v>1</v>
      </c>
      <c r="E22" s="63" t="s">
        <v>86</v>
      </c>
      <c r="F22" s="60" t="s">
        <v>41</v>
      </c>
      <c r="G22" s="47">
        <v>7</v>
      </c>
      <c r="H22" s="133">
        <f>IF(B$17=0,0,G22/B$17)</f>
        <v>4.3397396156230625E-3</v>
      </c>
      <c r="I22" s="94">
        <v>3</v>
      </c>
      <c r="K22" s="38">
        <v>20</v>
      </c>
      <c r="L22" s="99">
        <v>0.79999999999999716</v>
      </c>
      <c r="N22" s="115" t="s">
        <v>200</v>
      </c>
      <c r="O22" s="125">
        <f>IF(P22=0,0,Q22/P22)</f>
        <v>-3.0166666666666679</v>
      </c>
      <c r="P22" s="119">
        <v>18</v>
      </c>
      <c r="Q22" s="107">
        <v>-54.300000000000026</v>
      </c>
    </row>
    <row r="23" spans="1:17" x14ac:dyDescent="0.4">
      <c r="A23" s="55" t="s">
        <v>5</v>
      </c>
      <c r="B23" s="51">
        <f>IF(B$17=0,0,C23/B$17)</f>
        <v>8635.4618722876621</v>
      </c>
      <c r="C23" s="41">
        <v>13929000</v>
      </c>
      <c r="E23" s="63" t="s">
        <v>93</v>
      </c>
      <c r="F23" s="60" t="s">
        <v>48</v>
      </c>
      <c r="G23" s="47">
        <v>7</v>
      </c>
      <c r="H23" s="133">
        <f>IF(B$17=0,0,G23/B$17)</f>
        <v>4.3397396156230625E-3</v>
      </c>
      <c r="I23" s="94">
        <v>5</v>
      </c>
      <c r="K23" s="38">
        <v>21</v>
      </c>
      <c r="L23" s="99">
        <v>-2.886579864025407E-15</v>
      </c>
      <c r="N23" s="115" t="s">
        <v>177</v>
      </c>
      <c r="O23" s="125">
        <f>IF(P23=0,0,Q23/P23)</f>
        <v>-6.3258620689655185</v>
      </c>
      <c r="P23" s="119">
        <v>116</v>
      </c>
      <c r="Q23" s="107">
        <v>-733.80000000000018</v>
      </c>
    </row>
    <row r="24" spans="1:17" x14ac:dyDescent="0.4">
      <c r="A24" s="57" t="s">
        <v>14</v>
      </c>
      <c r="B24" s="52">
        <f>IF(B$20=0,0,C24/B$20)</f>
        <v>-8280.4635761589398</v>
      </c>
      <c r="C24" s="45">
        <v>-7502100</v>
      </c>
      <c r="E24" s="63" t="s">
        <v>75</v>
      </c>
      <c r="F24" s="60" t="s">
        <v>30</v>
      </c>
      <c r="G24" s="47">
        <v>6</v>
      </c>
      <c r="H24" s="133">
        <f>IF(B$17=0,0,G24/B$17)</f>
        <v>3.7197768133911966E-3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-18.354827586206873</v>
      </c>
      <c r="P24" s="119">
        <v>290</v>
      </c>
      <c r="Q24" s="107">
        <v>-5322.8999999999933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6</v>
      </c>
      <c r="H25" s="133">
        <f>IF(B$17=0,0,G25/B$17)</f>
        <v>3.7197768133911966E-3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5</v>
      </c>
      <c r="H26" s="133">
        <f>IF(B$17=0,0,G26/B$17)</f>
        <v>3.0998140111593306E-3</v>
      </c>
      <c r="I26" s="94">
        <v>4</v>
      </c>
      <c r="K26" s="38">
        <v>24</v>
      </c>
      <c r="L26" s="99">
        <v>-3.5527136788005009E-15</v>
      </c>
      <c r="N26" s="115" t="s">
        <v>183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2.601263470828688E-3</v>
      </c>
      <c r="E27" s="63" t="s">
        <v>78</v>
      </c>
      <c r="F27" s="60" t="s">
        <v>33</v>
      </c>
      <c r="G27" s="47">
        <v>4</v>
      </c>
      <c r="H27" s="133">
        <f>IF(B$17=0,0,G27/B$17)</f>
        <v>2.4798512089274642E-3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85</v>
      </c>
      <c r="F28" s="60" t="s">
        <v>40</v>
      </c>
      <c r="G28" s="47">
        <v>4</v>
      </c>
      <c r="H28" s="133">
        <f>IF(B$17=0,0,G28/B$17)</f>
        <v>2.4798512089274642E-3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4</v>
      </c>
      <c r="H29" s="133">
        <f>IF(B$17=0,0,G29/B$17)</f>
        <v>2.4798512089274642E-3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2</v>
      </c>
      <c r="H30" s="133">
        <f>IF(B$17=0,0,G30/B$17)</f>
        <v>1.2399256044637321E-3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1.2399256044637321E-3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102</v>
      </c>
      <c r="F32" s="60" t="s">
        <v>57</v>
      </c>
      <c r="G32" s="47">
        <v>1</v>
      </c>
      <c r="H32" s="133">
        <f>IF(B$17=0,0,G32/B$17)</f>
        <v>6.1996280223186606E-4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ECD40-46B1-41D7-B02F-F7E5DB0A7110}">
  <sheetPr codeName="Sheet7"/>
  <dimension ref="A1:Q14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145</v>
      </c>
      <c r="C2" s="151"/>
      <c r="E2" s="62" t="s">
        <v>67</v>
      </c>
      <c r="F2" s="59" t="s">
        <v>23</v>
      </c>
      <c r="G2" s="46">
        <v>298</v>
      </c>
      <c r="H2" s="132">
        <f>IF(B$17=0,0,G2/B$17)</f>
        <v>0.71980676328502413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2274.4827586206898</v>
      </c>
      <c r="P2" s="118">
        <v>145</v>
      </c>
      <c r="Q2" s="102">
        <v>329800</v>
      </c>
    </row>
    <row r="3" spans="1:17" x14ac:dyDescent="0.4">
      <c r="A3" s="55" t="s">
        <v>8</v>
      </c>
      <c r="B3" s="152">
        <v>1189</v>
      </c>
      <c r="C3" s="153"/>
      <c r="E3" s="63" t="s">
        <v>73</v>
      </c>
      <c r="F3" s="60" t="s">
        <v>28</v>
      </c>
      <c r="G3" s="47">
        <v>237</v>
      </c>
      <c r="H3" s="133">
        <f>IF(B$17=0,0,G3/B$17)</f>
        <v>0.57246376811594202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1181.5602836879432</v>
      </c>
      <c r="P3" s="119">
        <v>141</v>
      </c>
      <c r="Q3" s="103">
        <v>166600</v>
      </c>
    </row>
    <row r="4" spans="1:17" x14ac:dyDescent="0.4">
      <c r="A4" s="55" t="s">
        <v>6</v>
      </c>
      <c r="B4" s="154">
        <v>1774.3000000000009</v>
      </c>
      <c r="C4" s="155"/>
      <c r="E4" s="63" t="s">
        <v>65</v>
      </c>
      <c r="F4" s="60" t="s">
        <v>21</v>
      </c>
      <c r="G4" s="47">
        <v>197</v>
      </c>
      <c r="H4" s="133">
        <f>IF(B$17=0,0,G4/B$17)</f>
        <v>0.47584541062801933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791.04477611940297</v>
      </c>
      <c r="P4" s="119">
        <v>134</v>
      </c>
      <c r="Q4" s="103">
        <v>106000</v>
      </c>
    </row>
    <row r="5" spans="1:17" x14ac:dyDescent="0.4">
      <c r="A5" s="55" t="s">
        <v>7</v>
      </c>
      <c r="B5" s="156">
        <f>IF(B$2=0,0,B$4/B$2)</f>
        <v>12.236551724137938</v>
      </c>
      <c r="C5" s="157"/>
      <c r="E5" s="63" t="s">
        <v>245</v>
      </c>
      <c r="F5" s="60" t="s">
        <v>246</v>
      </c>
      <c r="G5" s="47">
        <v>172</v>
      </c>
      <c r="H5" s="133">
        <f>IF(B$17=0,0,G5/B$17)</f>
        <v>0.41545893719806765</v>
      </c>
      <c r="I5" s="94">
        <v>5</v>
      </c>
      <c r="K5" s="38">
        <v>3</v>
      </c>
      <c r="L5" s="99">
        <v>70.399999999999991</v>
      </c>
      <c r="N5" s="115" t="s">
        <v>135</v>
      </c>
      <c r="O5" s="122">
        <f t="shared" si="0"/>
        <v>2605.6910569105689</v>
      </c>
      <c r="P5" s="119">
        <v>123</v>
      </c>
      <c r="Q5" s="103">
        <v>320500</v>
      </c>
    </row>
    <row r="6" spans="1:17" x14ac:dyDescent="0.4">
      <c r="A6" s="55" t="s">
        <v>1</v>
      </c>
      <c r="B6" s="146">
        <f>IF(B$2=0,0,(B$7*1+B$8*2+B$9*3)/B$2)</f>
        <v>1.7448275862068965</v>
      </c>
      <c r="C6" s="147"/>
      <c r="E6" s="63" t="s">
        <v>68</v>
      </c>
      <c r="F6" s="60" t="s">
        <v>24</v>
      </c>
      <c r="G6" s="47">
        <v>115</v>
      </c>
      <c r="H6" s="133">
        <f>IF(B$17=0,0,G6/B$17)</f>
        <v>0.27777777777777779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232.11009174311926</v>
      </c>
      <c r="P6" s="119">
        <v>109</v>
      </c>
      <c r="Q6" s="103">
        <v>25300</v>
      </c>
    </row>
    <row r="7" spans="1:17" x14ac:dyDescent="0.4">
      <c r="A7" s="55" t="s">
        <v>2</v>
      </c>
      <c r="B7" s="47">
        <v>71</v>
      </c>
      <c r="C7" s="39">
        <f>IF(B$2=0,0,B7/B$2)</f>
        <v>0.48965517241379308</v>
      </c>
      <c r="E7" s="63" t="s">
        <v>69</v>
      </c>
      <c r="F7" s="60" t="s">
        <v>12</v>
      </c>
      <c r="G7" s="47">
        <v>109</v>
      </c>
      <c r="H7" s="133">
        <f>IF(B$17=0,0,G7/B$17)</f>
        <v>0.26328502415458938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811.57894736842104</v>
      </c>
      <c r="P7" s="120">
        <v>95</v>
      </c>
      <c r="Q7" s="104">
        <v>77100</v>
      </c>
    </row>
    <row r="8" spans="1:17" x14ac:dyDescent="0.4">
      <c r="A8" s="55" t="s">
        <v>3</v>
      </c>
      <c r="B8" s="47">
        <v>40</v>
      </c>
      <c r="C8" s="39">
        <f>IF(B$2=0,0,B8/B$2)</f>
        <v>0.27586206896551724</v>
      </c>
      <c r="E8" s="63" t="s">
        <v>70</v>
      </c>
      <c r="F8" s="60" t="s">
        <v>25</v>
      </c>
      <c r="G8" s="47">
        <v>67</v>
      </c>
      <c r="H8" s="133">
        <f>IF(B$17=0,0,G8/B$17)</f>
        <v>0.16183574879227053</v>
      </c>
      <c r="I8" s="94">
        <v>9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34</v>
      </c>
      <c r="C9" s="40">
        <f t="shared" ref="C9" si="1">IF(B$2=0,0,B9/B$2)</f>
        <v>0.23448275862068965</v>
      </c>
      <c r="E9" s="63" t="s">
        <v>90</v>
      </c>
      <c r="F9" s="60" t="s">
        <v>45</v>
      </c>
      <c r="G9" s="47">
        <v>64</v>
      </c>
      <c r="H9" s="133">
        <f>IF(B$17=0,0,G9/B$17)</f>
        <v>0.15458937198067632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0.10344827586206896</v>
      </c>
      <c r="E10" s="63" t="s">
        <v>66</v>
      </c>
      <c r="F10" s="60" t="s">
        <v>22</v>
      </c>
      <c r="G10" s="47">
        <v>53</v>
      </c>
      <c r="H10" s="133">
        <f>IF(B$17=0,0,G10/B$17)</f>
        <v>0.1280193236714976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14.802173913043477</v>
      </c>
      <c r="P10" s="118">
        <v>46</v>
      </c>
      <c r="Q10" s="106">
        <v>680.9</v>
      </c>
    </row>
    <row r="11" spans="1:17" x14ac:dyDescent="0.4">
      <c r="A11" s="56" t="s">
        <v>140</v>
      </c>
      <c r="B11" s="48">
        <v>25</v>
      </c>
      <c r="C11" s="40">
        <f>IF(B$2=0,0,B11/B$2)</f>
        <v>0.17241379310344829</v>
      </c>
      <c r="E11" s="63" t="s">
        <v>71</v>
      </c>
      <c r="F11" s="60" t="s">
        <v>26</v>
      </c>
      <c r="G11" s="47">
        <v>37</v>
      </c>
      <c r="H11" s="133">
        <f>IF(B$17=0,0,G11/B$17)</f>
        <v>8.9371980676328497E-2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10.183720930232557</v>
      </c>
      <c r="P11" s="119">
        <v>43</v>
      </c>
      <c r="Q11" s="107">
        <v>437.9</v>
      </c>
    </row>
    <row r="12" spans="1:17" x14ac:dyDescent="0.4">
      <c r="A12" s="57" t="s">
        <v>160</v>
      </c>
      <c r="B12" s="49">
        <v>21</v>
      </c>
      <c r="C12" s="42">
        <f>IF(B$2=0,0,B12/B$2)</f>
        <v>0.14482758620689656</v>
      </c>
      <c r="E12" s="63" t="s">
        <v>87</v>
      </c>
      <c r="F12" s="60" t="s">
        <v>42</v>
      </c>
      <c r="G12" s="47">
        <v>30</v>
      </c>
      <c r="H12" s="133">
        <f>IF(B$17=0,0,G12/B$17)</f>
        <v>7.2463768115942032E-2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11.705357142857144</v>
      </c>
      <c r="P12" s="120">
        <v>56</v>
      </c>
      <c r="Q12" s="108">
        <v>655.50000000000011</v>
      </c>
    </row>
    <row r="13" spans="1:17" x14ac:dyDescent="0.4">
      <c r="A13" s="58" t="s">
        <v>122</v>
      </c>
      <c r="B13" s="50">
        <v>372</v>
      </c>
      <c r="C13" s="44">
        <f>IF(B$3=0,0,B13/B$3)</f>
        <v>0.31286795626576958</v>
      </c>
      <c r="E13" s="63" t="s">
        <v>72</v>
      </c>
      <c r="F13" s="60" t="s">
        <v>27</v>
      </c>
      <c r="G13" s="47">
        <v>29</v>
      </c>
      <c r="H13" s="133">
        <f>IF(B$17=0,0,G13/B$17)</f>
        <v>7.0048309178743967E-2</v>
      </c>
      <c r="I13" s="94">
        <v>4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262</v>
      </c>
      <c r="C14" s="39">
        <f>IF(B$3=0,0,B14/B$3)</f>
        <v>0.22035323801513879</v>
      </c>
      <c r="E14" s="63" t="s">
        <v>84</v>
      </c>
      <c r="F14" s="60" t="s">
        <v>39</v>
      </c>
      <c r="G14" s="47">
        <v>25</v>
      </c>
      <c r="H14" s="133">
        <f>IF(B$17=0,0,G14/B$17)</f>
        <v>6.0386473429951688E-2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215</v>
      </c>
      <c r="C15" s="37">
        <f>IF(B$13=0,0,B15/B$13)</f>
        <v>0.57795698924731187</v>
      </c>
      <c r="E15" s="63" t="s">
        <v>180</v>
      </c>
      <c r="F15" s="60" t="s">
        <v>181</v>
      </c>
      <c r="G15" s="47">
        <v>14</v>
      </c>
      <c r="H15" s="133">
        <f>IF(B$17=0,0,G15/B$17)</f>
        <v>3.3816425120772944E-2</v>
      </c>
      <c r="I15" s="94">
        <v>1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136</v>
      </c>
      <c r="C16" s="37">
        <f>IF(B$14=0,0,B16/B$14)</f>
        <v>0.51908396946564883</v>
      </c>
      <c r="E16" s="63" t="s">
        <v>82</v>
      </c>
      <c r="F16" s="60" t="s">
        <v>37</v>
      </c>
      <c r="G16" s="47">
        <v>12</v>
      </c>
      <c r="H16" s="133">
        <f>IF(B$17=0,0,G16/B$17)</f>
        <v>2.8985507246376812E-2</v>
      </c>
      <c r="I16" s="94">
        <v>6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414</v>
      </c>
      <c r="C17" s="37">
        <f>IF(B$3=0,0,B17/B$3)</f>
        <v>0.34819175777964678</v>
      </c>
      <c r="E17" s="63" t="s">
        <v>79</v>
      </c>
      <c r="F17" s="60" t="s">
        <v>34</v>
      </c>
      <c r="G17" s="47">
        <v>9</v>
      </c>
      <c r="H17" s="133">
        <f>IF(B$17=0,0,G17/B$17)</f>
        <v>2.1739130434782608E-2</v>
      </c>
      <c r="I17" s="94">
        <v>7</v>
      </c>
      <c r="K17" s="38">
        <v>15</v>
      </c>
      <c r="L17" s="99">
        <v>481.50000000000006</v>
      </c>
      <c r="N17" s="115" t="s">
        <v>129</v>
      </c>
      <c r="O17" s="125">
        <f>IF(P17=0,0,Q17/P17)</f>
        <v>27.518181818181823</v>
      </c>
      <c r="P17" s="119">
        <v>55</v>
      </c>
      <c r="Q17" s="107">
        <v>1513.5000000000002</v>
      </c>
    </row>
    <row r="18" spans="1:17" x14ac:dyDescent="0.4">
      <c r="A18" s="55" t="s">
        <v>12</v>
      </c>
      <c r="B18" s="47">
        <v>170</v>
      </c>
      <c r="C18" s="39">
        <f>IF(B$17=0,0,B18/B$17)</f>
        <v>0.41062801932367149</v>
      </c>
      <c r="E18" s="63" t="s">
        <v>92</v>
      </c>
      <c r="F18" s="60" t="s">
        <v>47</v>
      </c>
      <c r="G18" s="47">
        <v>8</v>
      </c>
      <c r="H18" s="133">
        <f>IF(B$17=0,0,G18/B$17)</f>
        <v>1.932367149758454E-2</v>
      </c>
      <c r="I18" s="94">
        <v>4</v>
      </c>
      <c r="K18" s="38">
        <v>16</v>
      </c>
      <c r="L18" s="99">
        <v>425.50000000000006</v>
      </c>
      <c r="N18" s="115" t="s">
        <v>177</v>
      </c>
      <c r="O18" s="125">
        <f>IF(P18=0,0,Q18/P18)</f>
        <v>25.936000000000007</v>
      </c>
      <c r="P18" s="119">
        <v>25</v>
      </c>
      <c r="Q18" s="107">
        <v>648.4000000000002</v>
      </c>
    </row>
    <row r="19" spans="1:17" x14ac:dyDescent="0.4">
      <c r="A19" s="55" t="s">
        <v>11</v>
      </c>
      <c r="B19" s="47">
        <v>244</v>
      </c>
      <c r="C19" s="39">
        <f>IF(B$17=0,0,B19/B$17)</f>
        <v>0.58937198067632846</v>
      </c>
      <c r="E19" s="63" t="s">
        <v>80</v>
      </c>
      <c r="F19" s="60" t="s">
        <v>35</v>
      </c>
      <c r="G19" s="47">
        <v>5</v>
      </c>
      <c r="H19" s="133">
        <f>IF(B$17=0,0,G19/B$17)</f>
        <v>1.2077294685990338E-2</v>
      </c>
      <c r="I19" s="94">
        <v>9</v>
      </c>
      <c r="K19" s="38">
        <v>17</v>
      </c>
      <c r="L19" s="99">
        <v>427.40000000000003</v>
      </c>
      <c r="N19" s="115" t="s">
        <v>172</v>
      </c>
      <c r="O19" s="125">
        <f>IF(P19=0,0,Q19/P19)</f>
        <v>22.892105263157895</v>
      </c>
      <c r="P19" s="119">
        <v>38</v>
      </c>
      <c r="Q19" s="107">
        <v>869.9</v>
      </c>
    </row>
    <row r="20" spans="1:17" x14ac:dyDescent="0.4">
      <c r="A20" s="55" t="s">
        <v>13</v>
      </c>
      <c r="B20" s="47">
        <v>190</v>
      </c>
      <c r="C20" s="39">
        <f>IF(B$3=0,0,B20/B$3)</f>
        <v>0.159798149705635</v>
      </c>
      <c r="E20" s="63" t="s">
        <v>86</v>
      </c>
      <c r="F20" s="60" t="s">
        <v>41</v>
      </c>
      <c r="G20" s="47">
        <v>4</v>
      </c>
      <c r="H20" s="133">
        <f>IF(B$17=0,0,G20/B$17)</f>
        <v>9.6618357487922701E-3</v>
      </c>
      <c r="I20" s="94">
        <v>2</v>
      </c>
      <c r="K20" s="38">
        <v>18</v>
      </c>
      <c r="L20" s="99">
        <v>429.3</v>
      </c>
      <c r="N20" s="115" t="s">
        <v>173</v>
      </c>
      <c r="O20" s="125">
        <f>IF(P20=0,0,Q20/P20)</f>
        <v>21.768181818181816</v>
      </c>
      <c r="P20" s="119">
        <v>22</v>
      </c>
      <c r="Q20" s="107">
        <v>478.9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3</v>
      </c>
      <c r="H21" s="133">
        <f>IF(B$17=0,0,G21/B$17)</f>
        <v>7.246376811594203E-3</v>
      </c>
      <c r="I21" s="94">
        <v>5</v>
      </c>
      <c r="K21" s="38">
        <v>19</v>
      </c>
      <c r="L21" s="99">
        <v>405.40000000000003</v>
      </c>
      <c r="N21" s="115" t="s">
        <v>184</v>
      </c>
      <c r="O21" s="125">
        <f>IF(P21=0,0,Q21/P21)</f>
        <v>20.222222222222214</v>
      </c>
      <c r="P21" s="119">
        <v>9</v>
      </c>
      <c r="Q21" s="107">
        <v>181.99999999999994</v>
      </c>
    </row>
    <row r="22" spans="1:17" x14ac:dyDescent="0.4">
      <c r="A22" s="55" t="s">
        <v>192</v>
      </c>
      <c r="B22" s="47">
        <v>39</v>
      </c>
      <c r="C22" s="135">
        <v>0</v>
      </c>
      <c r="E22" s="63" t="s">
        <v>78</v>
      </c>
      <c r="F22" s="60" t="s">
        <v>33</v>
      </c>
      <c r="G22" s="47">
        <v>2</v>
      </c>
      <c r="H22" s="133">
        <f>IF(B$17=0,0,G22/B$17)</f>
        <v>4.830917874396135E-3</v>
      </c>
      <c r="I22" s="94">
        <v>2</v>
      </c>
      <c r="K22" s="38">
        <v>20</v>
      </c>
      <c r="L22" s="99">
        <v>469.6</v>
      </c>
      <c r="N22" s="115" t="s">
        <v>128</v>
      </c>
      <c r="O22" s="125">
        <f>IF(P22=0,0,Q22/P22)</f>
        <v>19.230952380952381</v>
      </c>
      <c r="P22" s="119">
        <v>84</v>
      </c>
      <c r="Q22" s="107">
        <v>1615.4</v>
      </c>
    </row>
    <row r="23" spans="1:17" x14ac:dyDescent="0.4">
      <c r="A23" s="55" t="s">
        <v>5</v>
      </c>
      <c r="B23" s="51">
        <f>IF(B$17=0,0,C23/B$17)</f>
        <v>9094.4444444444453</v>
      </c>
      <c r="C23" s="41">
        <v>3765100</v>
      </c>
      <c r="E23" s="63" t="s">
        <v>91</v>
      </c>
      <c r="F23" s="60" t="s">
        <v>46</v>
      </c>
      <c r="G23" s="47">
        <v>2</v>
      </c>
      <c r="H23" s="133">
        <f>IF(B$17=0,0,G23/B$17)</f>
        <v>4.830917874396135E-3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0.47499999999999731</v>
      </c>
      <c r="P23" s="119">
        <v>52</v>
      </c>
      <c r="Q23" s="107">
        <v>24.699999999999861</v>
      </c>
    </row>
    <row r="24" spans="1:17" x14ac:dyDescent="0.4">
      <c r="A24" s="57" t="s">
        <v>14</v>
      </c>
      <c r="B24" s="52">
        <f>IF(B$20=0,0,C24/B$20)</f>
        <v>-8250.5263157894733</v>
      </c>
      <c r="C24" s="45">
        <v>-1567600</v>
      </c>
      <c r="E24" s="63" t="s">
        <v>93</v>
      </c>
      <c r="F24" s="60" t="s">
        <v>48</v>
      </c>
      <c r="G24" s="47">
        <v>2</v>
      </c>
      <c r="H24" s="133">
        <f>IF(B$17=0,0,G24/B$17)</f>
        <v>4.830917874396135E-3</v>
      </c>
      <c r="I24" s="94">
        <v>4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7</v>
      </c>
      <c r="C25" s="145"/>
      <c r="E25" s="63" t="s">
        <v>76</v>
      </c>
      <c r="F25" s="60" t="s">
        <v>31</v>
      </c>
      <c r="G25" s="47">
        <v>1</v>
      </c>
      <c r="H25" s="133">
        <f>IF(B$17=0,0,G25/B$17)</f>
        <v>2.4154589371980675E-3</v>
      </c>
      <c r="I25" s="94">
        <v>7</v>
      </c>
      <c r="K25" s="38">
        <v>23</v>
      </c>
      <c r="L25" s="99">
        <v>555.90000000000009</v>
      </c>
      <c r="N25" s="115" t="s">
        <v>223</v>
      </c>
      <c r="O25" s="125">
        <f>IF(P25=0,0,Q25/P25)</f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42">
        <v>116000</v>
      </c>
      <c r="C26" s="143"/>
      <c r="E26" s="63" t="s">
        <v>85</v>
      </c>
      <c r="F26" s="60" t="s">
        <v>40</v>
      </c>
      <c r="G26" s="47">
        <v>1</v>
      </c>
      <c r="H26" s="133">
        <f>IF(B$17=0,0,G26/B$17)</f>
        <v>2.4154589371980675E-3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8.4104289318755253E-4</v>
      </c>
      <c r="E27" s="63" t="s">
        <v>88</v>
      </c>
      <c r="F27" s="60" t="s">
        <v>43</v>
      </c>
      <c r="G27" s="47">
        <v>1</v>
      </c>
      <c r="H27" s="133">
        <f>IF(B$17=0,0,G27/B$17)</f>
        <v>2.4154589371980675E-3</v>
      </c>
      <c r="I27" s="94">
        <v>6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2.4154589371980675E-3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2.4154589371980675E-3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7C4CD-E6F7-4F94-ABDC-40827B007B05}">
  <sheetPr codeName="Sheet9"/>
  <dimension ref="A1:Q12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121</v>
      </c>
      <c r="C2" s="151"/>
      <c r="E2" s="62" t="s">
        <v>65</v>
      </c>
      <c r="F2" s="59" t="s">
        <v>21</v>
      </c>
      <c r="G2" s="46">
        <v>166</v>
      </c>
      <c r="H2" s="132">
        <f>IF(B$17=0,0,G2/B$17)</f>
        <v>0.61254612546125464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299.17355371900828</v>
      </c>
      <c r="P2" s="118">
        <v>121</v>
      </c>
      <c r="Q2" s="102">
        <v>36200</v>
      </c>
    </row>
    <row r="3" spans="1:17" x14ac:dyDescent="0.4">
      <c r="A3" s="55" t="s">
        <v>8</v>
      </c>
      <c r="B3" s="152">
        <v>1005</v>
      </c>
      <c r="C3" s="153"/>
      <c r="E3" s="63" t="s">
        <v>66</v>
      </c>
      <c r="F3" s="60" t="s">
        <v>22</v>
      </c>
      <c r="G3" s="47">
        <v>43</v>
      </c>
      <c r="H3" s="133">
        <f>IF(B$17=0,0,G3/B$17)</f>
        <v>0.15867158671586715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-2208.5470085470088</v>
      </c>
      <c r="P3" s="119">
        <v>117</v>
      </c>
      <c r="Q3" s="103">
        <v>-258400</v>
      </c>
    </row>
    <row r="4" spans="1:17" x14ac:dyDescent="0.4">
      <c r="A4" s="55" t="s">
        <v>6</v>
      </c>
      <c r="B4" s="154">
        <v>-422.10000000000008</v>
      </c>
      <c r="C4" s="155"/>
      <c r="E4" s="63" t="s">
        <v>67</v>
      </c>
      <c r="F4" s="60" t="s">
        <v>23</v>
      </c>
      <c r="G4" s="47">
        <v>209</v>
      </c>
      <c r="H4" s="133">
        <f>IF(B$17=0,0,G4/B$17)</f>
        <v>0.77121771217712176</v>
      </c>
      <c r="I4" s="94">
        <v>6</v>
      </c>
      <c r="K4" s="38">
        <v>2</v>
      </c>
      <c r="L4" s="99">
        <v>6.2999999999999972</v>
      </c>
      <c r="N4" s="115" t="s">
        <v>134</v>
      </c>
      <c r="O4" s="122">
        <f t="shared" si="0"/>
        <v>293.85964912280701</v>
      </c>
      <c r="P4" s="119">
        <v>114</v>
      </c>
      <c r="Q4" s="103">
        <v>33500</v>
      </c>
    </row>
    <row r="5" spans="1:17" x14ac:dyDescent="0.4">
      <c r="A5" s="55" t="s">
        <v>7</v>
      </c>
      <c r="B5" s="156">
        <f>IF(B$2=0,0,B$4/B$2)</f>
        <v>-3.4884297520661165</v>
      </c>
      <c r="C5" s="157"/>
      <c r="E5" s="63" t="s">
        <v>68</v>
      </c>
      <c r="F5" s="60" t="s">
        <v>24</v>
      </c>
      <c r="G5" s="47">
        <v>102</v>
      </c>
      <c r="H5" s="133">
        <f>IF(B$17=0,0,G5/B$17)</f>
        <v>0.37638376383763839</v>
      </c>
      <c r="I5" s="94">
        <v>4</v>
      </c>
      <c r="K5" s="38">
        <v>3</v>
      </c>
      <c r="L5" s="99">
        <v>-47.300000000000004</v>
      </c>
      <c r="N5" s="115" t="s">
        <v>135</v>
      </c>
      <c r="O5" s="122">
        <f t="shared" si="0"/>
        <v>16.831683168316832</v>
      </c>
      <c r="P5" s="119">
        <v>101</v>
      </c>
      <c r="Q5" s="103">
        <v>1700</v>
      </c>
    </row>
    <row r="6" spans="1:17" x14ac:dyDescent="0.4">
      <c r="A6" s="55" t="s">
        <v>1</v>
      </c>
      <c r="B6" s="146">
        <f>IF(B$2=0,0,(B$7*1+B$8*2+B$9*3)/B$2)</f>
        <v>2.0991735537190084</v>
      </c>
      <c r="C6" s="147"/>
      <c r="E6" s="63" t="s">
        <v>69</v>
      </c>
      <c r="F6" s="60" t="s">
        <v>12</v>
      </c>
      <c r="G6" s="47">
        <v>93</v>
      </c>
      <c r="H6" s="133">
        <f>IF(B$17=0,0,G6/B$17)</f>
        <v>0.34317343173431736</v>
      </c>
      <c r="I6" s="94">
        <v>7</v>
      </c>
      <c r="K6" s="38">
        <v>4</v>
      </c>
      <c r="L6" s="99">
        <v>13.599999999999994</v>
      </c>
      <c r="N6" s="115" t="s">
        <v>136</v>
      </c>
      <c r="O6" s="122">
        <f t="shared" si="0"/>
        <v>203.33333333333334</v>
      </c>
      <c r="P6" s="119">
        <v>90</v>
      </c>
      <c r="Q6" s="103">
        <v>18300</v>
      </c>
    </row>
    <row r="7" spans="1:17" x14ac:dyDescent="0.4">
      <c r="A7" s="55" t="s">
        <v>2</v>
      </c>
      <c r="B7" s="47">
        <v>31</v>
      </c>
      <c r="C7" s="39">
        <f>IF(B$2=0,0,B7/B$2)</f>
        <v>0.256198347107438</v>
      </c>
      <c r="E7" s="63" t="s">
        <v>70</v>
      </c>
      <c r="F7" s="60" t="s">
        <v>25</v>
      </c>
      <c r="G7" s="47">
        <v>60</v>
      </c>
      <c r="H7" s="133">
        <f>IF(B$17=0,0,G7/B$17)</f>
        <v>0.22140221402214022</v>
      </c>
      <c r="I7" s="94">
        <v>1</v>
      </c>
      <c r="K7" s="38">
        <v>5</v>
      </c>
      <c r="L7" s="99">
        <v>-16.600000000000005</v>
      </c>
      <c r="N7" s="116" t="s">
        <v>137</v>
      </c>
      <c r="O7" s="123">
        <f t="shared" si="0"/>
        <v>280.95238095238096</v>
      </c>
      <c r="P7" s="120">
        <v>84</v>
      </c>
      <c r="Q7" s="104">
        <v>23600</v>
      </c>
    </row>
    <row r="8" spans="1:17" x14ac:dyDescent="0.4">
      <c r="A8" s="55" t="s">
        <v>3</v>
      </c>
      <c r="B8" s="47">
        <v>47</v>
      </c>
      <c r="C8" s="39">
        <f>IF(B$2=0,0,B8/B$2)</f>
        <v>0.38842975206611569</v>
      </c>
      <c r="E8" s="63" t="s">
        <v>71</v>
      </c>
      <c r="F8" s="60" t="s">
        <v>26</v>
      </c>
      <c r="G8" s="47">
        <v>33</v>
      </c>
      <c r="H8" s="133">
        <f>IF(B$17=0,0,G8/B$17)</f>
        <v>0.12177121771217712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43</v>
      </c>
      <c r="C9" s="40">
        <f t="shared" ref="C9" si="1">IF(B$2=0,0,B9/B$2)</f>
        <v>0.35537190082644626</v>
      </c>
      <c r="E9" s="63" t="s">
        <v>72</v>
      </c>
      <c r="F9" s="60" t="s">
        <v>27</v>
      </c>
      <c r="G9" s="47">
        <v>17</v>
      </c>
      <c r="H9" s="133">
        <f>IF(B$17=0,0,G9/B$17)</f>
        <v>6.273062730627306E-2</v>
      </c>
      <c r="I9" s="94">
        <v>6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0.12396694214876033</v>
      </c>
      <c r="E10" s="63" t="s">
        <v>73</v>
      </c>
      <c r="F10" s="60" t="s">
        <v>28</v>
      </c>
      <c r="G10" s="47">
        <v>123</v>
      </c>
      <c r="H10" s="133">
        <f>IF(B$17=0,0,G10/B$17)</f>
        <v>0.45387453874538747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9.0909090909090912E-2</v>
      </c>
      <c r="E11" s="63" t="s">
        <v>74</v>
      </c>
      <c r="F11" s="60" t="s">
        <v>29</v>
      </c>
      <c r="G11" s="47">
        <v>2</v>
      </c>
      <c r="H11" s="133">
        <f>IF(B$17=0,0,G11/B$17)</f>
        <v>7.3800738007380072E-3</v>
      </c>
      <c r="I11" s="94">
        <v>4</v>
      </c>
      <c r="K11" s="38">
        <v>9</v>
      </c>
      <c r="L11" s="99">
        <v>-79.5</v>
      </c>
      <c r="N11" s="115" t="s">
        <v>165</v>
      </c>
      <c r="O11" s="125">
        <f>IF(P11=0,0,Q11/P11)</f>
        <v>-4.5758620689655158</v>
      </c>
      <c r="P11" s="119">
        <v>29</v>
      </c>
      <c r="Q11" s="107">
        <v>-132.69999999999996</v>
      </c>
    </row>
    <row r="12" spans="1:17" x14ac:dyDescent="0.4">
      <c r="A12" s="57" t="s">
        <v>160</v>
      </c>
      <c r="B12" s="49">
        <v>8</v>
      </c>
      <c r="C12" s="42">
        <f>IF(B$2=0,0,B12/B$2)</f>
        <v>6.6115702479338845E-2</v>
      </c>
      <c r="E12" s="63" t="s">
        <v>75</v>
      </c>
      <c r="F12" s="60" t="s">
        <v>30</v>
      </c>
      <c r="G12" s="47">
        <v>2</v>
      </c>
      <c r="H12" s="133">
        <f>IF(B$17=0,0,G12/B$17)</f>
        <v>7.3800738007380072E-3</v>
      </c>
      <c r="I12" s="94">
        <v>2</v>
      </c>
      <c r="K12" s="38">
        <v>10</v>
      </c>
      <c r="L12" s="99">
        <v>-80.900000000000006</v>
      </c>
      <c r="N12" s="116" t="s">
        <v>166</v>
      </c>
      <c r="O12" s="126">
        <f>IF(P12=0,0,Q12/P12)</f>
        <v>4.2064516129032254</v>
      </c>
      <c r="P12" s="120">
        <v>31</v>
      </c>
      <c r="Q12" s="108">
        <v>130.39999999999998</v>
      </c>
    </row>
    <row r="13" spans="1:17" x14ac:dyDescent="0.4">
      <c r="A13" s="58" t="s">
        <v>122</v>
      </c>
      <c r="B13" s="50">
        <v>303</v>
      </c>
      <c r="C13" s="44">
        <f>IF(B$3=0,0,B13/B$3)</f>
        <v>0.30149253731343284</v>
      </c>
      <c r="E13" s="63" t="s">
        <v>76</v>
      </c>
      <c r="F13" s="60" t="s">
        <v>31</v>
      </c>
      <c r="G13" s="47">
        <v>2</v>
      </c>
      <c r="H13" s="133">
        <f>IF(B$17=0,0,G13/B$17)</f>
        <v>7.3800738007380072E-3</v>
      </c>
      <c r="I13" s="94">
        <v>3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181</v>
      </c>
      <c r="C14" s="39">
        <f>IF(B$3=0,0,B14/B$3)</f>
        <v>0.18009950248756218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175</v>
      </c>
      <c r="C15" s="37">
        <f>IF(B$13=0,0,B15/B$13)</f>
        <v>0.57755775577557755</v>
      </c>
      <c r="E15" s="63" t="s">
        <v>78</v>
      </c>
      <c r="F15" s="60" t="s">
        <v>33</v>
      </c>
      <c r="G15" s="47">
        <v>1</v>
      </c>
      <c r="H15" s="133">
        <f>IF(B$17=0,0,G15/B$17)</f>
        <v>3.6900369003690036E-3</v>
      </c>
      <c r="I15" s="94">
        <v>3</v>
      </c>
      <c r="K15" s="38">
        <v>13</v>
      </c>
      <c r="L15" s="99">
        <v>-81.900000000000006</v>
      </c>
      <c r="N15" s="114" t="s">
        <v>184</v>
      </c>
      <c r="O15" s="124">
        <f t="shared" ref="O15:O22" si="2"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52</v>
      </c>
      <c r="C16" s="37">
        <f>IF(B$14=0,0,B16/B$14)</f>
        <v>0.287292817679558</v>
      </c>
      <c r="E16" s="63" t="s">
        <v>79</v>
      </c>
      <c r="F16" s="60" t="s">
        <v>34</v>
      </c>
      <c r="G16" s="47">
        <v>5</v>
      </c>
      <c r="H16" s="133">
        <f>IF(B$17=0,0,G16/B$17)</f>
        <v>1.8450184501845018E-2</v>
      </c>
      <c r="I16" s="94">
        <v>8</v>
      </c>
      <c r="K16" s="38">
        <v>14</v>
      </c>
      <c r="L16" s="99">
        <v>-25.600000000000009</v>
      </c>
      <c r="N16" s="115" t="s">
        <v>129</v>
      </c>
      <c r="O16" s="125">
        <f t="shared" si="2"/>
        <v>13.074999999999999</v>
      </c>
      <c r="P16" s="119">
        <v>40</v>
      </c>
      <c r="Q16" s="107">
        <v>523</v>
      </c>
    </row>
    <row r="17" spans="1:17" x14ac:dyDescent="0.4">
      <c r="A17" s="54" t="s">
        <v>10</v>
      </c>
      <c r="B17" s="46">
        <f>B19+B18</f>
        <v>271</v>
      </c>
      <c r="C17" s="37">
        <f>IF(B$3=0,0,B17/B$3)</f>
        <v>0.26965174129353237</v>
      </c>
      <c r="E17" s="63" t="s">
        <v>80</v>
      </c>
      <c r="F17" s="60" t="s">
        <v>35</v>
      </c>
      <c r="G17" s="47">
        <v>6</v>
      </c>
      <c r="H17" s="133">
        <f>IF(B$17=0,0,G17/B$17)</f>
        <v>2.2140221402214021E-2</v>
      </c>
      <c r="I17" s="94">
        <v>3</v>
      </c>
      <c r="K17" s="38">
        <v>15</v>
      </c>
      <c r="L17" s="99">
        <v>47.999999999999986</v>
      </c>
      <c r="N17" s="115" t="s">
        <v>173</v>
      </c>
      <c r="O17" s="125">
        <f t="shared" si="2"/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115</v>
      </c>
      <c r="C18" s="39">
        <f>IF(B$17=0,0,B18/B$17)</f>
        <v>0.42435424354243545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172</v>
      </c>
      <c r="O18" s="125">
        <f t="shared" si="2"/>
        <v>0.21290322580645257</v>
      </c>
      <c r="P18" s="119">
        <v>31</v>
      </c>
      <c r="Q18" s="107">
        <v>6.6000000000000298</v>
      </c>
    </row>
    <row r="19" spans="1:17" x14ac:dyDescent="0.4">
      <c r="A19" s="55" t="s">
        <v>11</v>
      </c>
      <c r="B19" s="47">
        <v>156</v>
      </c>
      <c r="C19" s="39">
        <f>IF(B$17=0,0,B19/B$17)</f>
        <v>0.57564575645756455</v>
      </c>
      <c r="E19" s="63" t="s">
        <v>82</v>
      </c>
      <c r="F19" s="60" t="s">
        <v>37</v>
      </c>
      <c r="G19" s="47">
        <v>8</v>
      </c>
      <c r="H19" s="133">
        <f>IF(B$17=0,0,G19/B$17)</f>
        <v>2.9520295202952029E-2</v>
      </c>
      <c r="I19" s="94">
        <v>4</v>
      </c>
      <c r="K19" s="38">
        <v>17</v>
      </c>
      <c r="L19" s="99">
        <v>94.6</v>
      </c>
      <c r="N19" s="115" t="s">
        <v>171</v>
      </c>
      <c r="O19" s="125">
        <f t="shared" si="2"/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171</v>
      </c>
      <c r="C20" s="39">
        <f>IF(B$3=0,0,B20/B$3)</f>
        <v>0.17014925373134329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200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10</v>
      </c>
      <c r="H21" s="133">
        <f>IF(B$17=0,0,G21/B$17)</f>
        <v>3.6900369003690037E-2</v>
      </c>
      <c r="I21" s="94">
        <v>9</v>
      </c>
      <c r="K21" s="38">
        <v>19</v>
      </c>
      <c r="L21" s="99">
        <v>138.79999999999998</v>
      </c>
      <c r="N21" s="115" t="s">
        <v>177</v>
      </c>
      <c r="O21" s="125">
        <f t="shared" si="2"/>
        <v>-12.139130434782608</v>
      </c>
      <c r="P21" s="119">
        <v>23</v>
      </c>
      <c r="Q21" s="107">
        <v>-279.2</v>
      </c>
    </row>
    <row r="22" spans="1:17" x14ac:dyDescent="0.4">
      <c r="A22" s="55" t="s">
        <v>192</v>
      </c>
      <c r="B22" s="47">
        <v>24</v>
      </c>
      <c r="C22" s="135">
        <v>1</v>
      </c>
      <c r="E22" s="63" t="s">
        <v>85</v>
      </c>
      <c r="F22" s="60" t="s">
        <v>40</v>
      </c>
      <c r="G22" s="47">
        <v>1</v>
      </c>
      <c r="H22" s="133">
        <f>IF(B$17=0,0,G22/B$17)</f>
        <v>3.6900369003690036E-3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-19.230952380952381</v>
      </c>
      <c r="P22" s="119">
        <v>84</v>
      </c>
      <c r="Q22" s="107">
        <v>-1615.4</v>
      </c>
    </row>
    <row r="23" spans="1:17" x14ac:dyDescent="0.4">
      <c r="A23" s="55" t="s">
        <v>5</v>
      </c>
      <c r="B23" s="51">
        <f>IF(B$17=0,0,C23/B$17)</f>
        <v>9253.1365313653132</v>
      </c>
      <c r="C23" s="41">
        <v>2507600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-7776.6081871345032</v>
      </c>
      <c r="C24" s="45">
        <v>-1329800</v>
      </c>
      <c r="E24" s="63" t="s">
        <v>87</v>
      </c>
      <c r="F24" s="60" t="s">
        <v>42</v>
      </c>
      <c r="G24" s="47">
        <v>14</v>
      </c>
      <c r="H24" s="133">
        <f>IF(B$17=0,0,G24/B$17)</f>
        <v>5.1660516605166053E-2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97300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3.6900369003690036E-3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4.9751243781094526E-3</v>
      </c>
      <c r="E27" s="63" t="s">
        <v>90</v>
      </c>
      <c r="F27" s="60" t="s">
        <v>45</v>
      </c>
      <c r="G27" s="47">
        <v>26</v>
      </c>
      <c r="H27" s="133">
        <f>IF(B$17=0,0,G27/B$17)</f>
        <v>9.5940959409594101E-2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2.2140221402214021E-2</v>
      </c>
      <c r="I29" s="94">
        <v>3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3.6900369003690036E-3</v>
      </c>
      <c r="I30" s="94">
        <v>6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3.6900369003690036E-3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3.6900369003690036E-3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181</v>
      </c>
      <c r="G50" s="47">
        <v>5</v>
      </c>
      <c r="H50" s="133">
        <f>IF(B$17=0,0,G50/B$17)</f>
        <v>1.8450184501845018E-2</v>
      </c>
      <c r="I50" s="94">
        <v>3</v>
      </c>
      <c r="K50" s="38">
        <v>48</v>
      </c>
      <c r="L50" s="99">
        <v>50.599999999999959</v>
      </c>
    </row>
    <row r="51" spans="5:12" x14ac:dyDescent="0.4">
      <c r="E51" s="136" t="s">
        <v>245</v>
      </c>
      <c r="F51" s="137" t="s">
        <v>246</v>
      </c>
      <c r="G51" s="48">
        <v>120</v>
      </c>
      <c r="H51" s="138">
        <f>IF(B$17=0,0,G51/B$17)</f>
        <v>0.44280442804428044</v>
      </c>
      <c r="I51" s="139">
        <v>3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</sheetData>
  <sortState ref="E2:I123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2B541-49DD-4440-B6EB-50F4C010DD9B}">
  <sheetPr codeName="Sheet11"/>
  <dimension ref="A1:Q9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88</v>
      </c>
      <c r="C2" s="151"/>
      <c r="E2" s="62" t="s">
        <v>67</v>
      </c>
      <c r="F2" s="59" t="s">
        <v>23</v>
      </c>
      <c r="G2" s="46">
        <v>141</v>
      </c>
      <c r="H2" s="132">
        <f>IF(B$17=0,0,G2/B$17)</f>
        <v>0.80571428571428572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-3288.6363636363635</v>
      </c>
      <c r="P2" s="118">
        <v>88</v>
      </c>
      <c r="Q2" s="102">
        <v>-289400</v>
      </c>
    </row>
    <row r="3" spans="1:17" x14ac:dyDescent="0.4">
      <c r="A3" s="55" t="s">
        <v>8</v>
      </c>
      <c r="B3" s="152">
        <v>736</v>
      </c>
      <c r="C3" s="153"/>
      <c r="E3" s="63" t="s">
        <v>65</v>
      </c>
      <c r="F3" s="60" t="s">
        <v>21</v>
      </c>
      <c r="G3" s="47">
        <v>106</v>
      </c>
      <c r="H3" s="133">
        <f>IF(B$17=0,0,G3/B$17)</f>
        <v>0.60571428571428576</v>
      </c>
      <c r="I3" s="94">
        <v>3</v>
      </c>
      <c r="K3" s="38">
        <v>1</v>
      </c>
      <c r="L3" s="99">
        <v>-40.4</v>
      </c>
      <c r="N3" s="115" t="s">
        <v>133</v>
      </c>
      <c r="O3" s="122">
        <f t="shared" si="0"/>
        <v>-1413.953488372093</v>
      </c>
      <c r="P3" s="119">
        <v>86</v>
      </c>
      <c r="Q3" s="103">
        <v>-121600</v>
      </c>
    </row>
    <row r="4" spans="1:17" x14ac:dyDescent="0.4">
      <c r="A4" s="55" t="s">
        <v>6</v>
      </c>
      <c r="B4" s="154">
        <v>-1241.1000000000001</v>
      </c>
      <c r="C4" s="155"/>
      <c r="E4" s="63" t="s">
        <v>245</v>
      </c>
      <c r="F4" s="60" t="s">
        <v>246</v>
      </c>
      <c r="G4" s="47">
        <v>68</v>
      </c>
      <c r="H4" s="133">
        <f>IF(B$17=0,0,G4/B$17)</f>
        <v>0.38857142857142857</v>
      </c>
      <c r="I4" s="94">
        <v>9</v>
      </c>
      <c r="K4" s="38">
        <v>2</v>
      </c>
      <c r="L4" s="99">
        <v>-3.3999999999999986</v>
      </c>
      <c r="N4" s="115" t="s">
        <v>134</v>
      </c>
      <c r="O4" s="122">
        <f t="shared" si="0"/>
        <v>386.41975308641975</v>
      </c>
      <c r="P4" s="119">
        <v>81</v>
      </c>
      <c r="Q4" s="103">
        <v>31300</v>
      </c>
    </row>
    <row r="5" spans="1:17" x14ac:dyDescent="0.4">
      <c r="A5" s="55" t="s">
        <v>7</v>
      </c>
      <c r="B5" s="156">
        <f>IF(B$2=0,0,B$4/B$2)</f>
        <v>-14.103409090909093</v>
      </c>
      <c r="C5" s="157"/>
      <c r="E5" s="63" t="s">
        <v>69</v>
      </c>
      <c r="F5" s="60" t="s">
        <v>12</v>
      </c>
      <c r="G5" s="47">
        <v>66</v>
      </c>
      <c r="H5" s="133">
        <f>IF(B$17=0,0,G5/B$17)</f>
        <v>0.37714285714285717</v>
      </c>
      <c r="I5" s="94">
        <v>5</v>
      </c>
      <c r="K5" s="38">
        <v>3</v>
      </c>
      <c r="L5" s="99">
        <v>-23.099999999999998</v>
      </c>
      <c r="N5" s="115" t="s">
        <v>135</v>
      </c>
      <c r="O5" s="122">
        <f t="shared" si="0"/>
        <v>-4704.2253521126759</v>
      </c>
      <c r="P5" s="119">
        <v>71</v>
      </c>
      <c r="Q5" s="103">
        <v>-334000</v>
      </c>
    </row>
    <row r="6" spans="1:17" x14ac:dyDescent="0.4">
      <c r="A6" s="55" t="s">
        <v>1</v>
      </c>
      <c r="B6" s="146">
        <f>IF(B$2=0,0,(B$7*1+B$8*2+B$9*3)/B$2)</f>
        <v>2.2272727272727271</v>
      </c>
      <c r="C6" s="147"/>
      <c r="E6" s="63" t="s">
        <v>68</v>
      </c>
      <c r="F6" s="60" t="s">
        <v>24</v>
      </c>
      <c r="G6" s="47">
        <v>62</v>
      </c>
      <c r="H6" s="133">
        <f>IF(B$17=0,0,G6/B$17)</f>
        <v>0.35428571428571426</v>
      </c>
      <c r="I6" s="94">
        <v>6</v>
      </c>
      <c r="K6" s="38">
        <v>4</v>
      </c>
      <c r="L6" s="99">
        <v>-31.4</v>
      </c>
      <c r="N6" s="115" t="s">
        <v>136</v>
      </c>
      <c r="O6" s="122">
        <f t="shared" si="0"/>
        <v>-859.375</v>
      </c>
      <c r="P6" s="119">
        <v>64</v>
      </c>
      <c r="Q6" s="103">
        <v>-55000</v>
      </c>
    </row>
    <row r="7" spans="1:17" x14ac:dyDescent="0.4">
      <c r="A7" s="55" t="s">
        <v>2</v>
      </c>
      <c r="B7" s="47">
        <v>22</v>
      </c>
      <c r="C7" s="39">
        <f>IF(B$2=0,0,B7/B$2)</f>
        <v>0.25</v>
      </c>
      <c r="E7" s="63" t="s">
        <v>73</v>
      </c>
      <c r="F7" s="60" t="s">
        <v>28</v>
      </c>
      <c r="G7" s="47">
        <v>59</v>
      </c>
      <c r="H7" s="133">
        <f>IF(B$17=0,0,G7/B$17)</f>
        <v>0.33714285714285713</v>
      </c>
      <c r="I7" s="94">
        <v>12</v>
      </c>
      <c r="K7" s="38">
        <v>5</v>
      </c>
      <c r="L7" s="99">
        <v>-32.199999999999996</v>
      </c>
      <c r="N7" s="116" t="s">
        <v>137</v>
      </c>
      <c r="O7" s="123">
        <f t="shared" si="0"/>
        <v>-1129.3103448275863</v>
      </c>
      <c r="P7" s="120">
        <v>58</v>
      </c>
      <c r="Q7" s="104">
        <v>-65500</v>
      </c>
    </row>
    <row r="8" spans="1:17" x14ac:dyDescent="0.4">
      <c r="A8" s="55" t="s">
        <v>3</v>
      </c>
      <c r="B8" s="47">
        <v>24</v>
      </c>
      <c r="C8" s="39">
        <f>IF(B$2=0,0,B8/B$2)</f>
        <v>0.27272727272727271</v>
      </c>
      <c r="E8" s="63" t="s">
        <v>70</v>
      </c>
      <c r="F8" s="60" t="s">
        <v>25</v>
      </c>
      <c r="G8" s="47">
        <v>35</v>
      </c>
      <c r="H8" s="133">
        <f>IF(B$17=0,0,G8/B$17)</f>
        <v>0.2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42</v>
      </c>
      <c r="C9" s="40">
        <f t="shared" ref="C9" si="1">IF(B$2=0,0,B9/B$2)</f>
        <v>0.47727272727272729</v>
      </c>
      <c r="E9" s="63" t="s">
        <v>71</v>
      </c>
      <c r="F9" s="60" t="s">
        <v>26</v>
      </c>
      <c r="G9" s="47">
        <v>28</v>
      </c>
      <c r="H9" s="133">
        <f>IF(B$17=0,0,G9/B$17)</f>
        <v>0.16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0.19318181818181818</v>
      </c>
      <c r="E10" s="63" t="s">
        <v>72</v>
      </c>
      <c r="F10" s="60" t="s">
        <v>27</v>
      </c>
      <c r="G10" s="47">
        <v>20</v>
      </c>
      <c r="H10" s="133">
        <f>IF(B$17=0,0,G10/B$17)</f>
        <v>0.11428571428571428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-17.74444444444444</v>
      </c>
      <c r="P10" s="118">
        <v>27</v>
      </c>
      <c r="Q10" s="106">
        <v>-479.09999999999985</v>
      </c>
    </row>
    <row r="11" spans="1:17" x14ac:dyDescent="0.4">
      <c r="A11" s="56" t="s">
        <v>140</v>
      </c>
      <c r="B11" s="48">
        <v>9</v>
      </c>
      <c r="C11" s="40">
        <f>IF(B$2=0,0,B11/B$2)</f>
        <v>0.10227272727272728</v>
      </c>
      <c r="E11" s="63" t="s">
        <v>66</v>
      </c>
      <c r="F11" s="60" t="s">
        <v>22</v>
      </c>
      <c r="G11" s="47">
        <v>18</v>
      </c>
      <c r="H11" s="133">
        <f>IF(B$17=0,0,G11/B$17)</f>
        <v>0.10285714285714286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-12.160000000000004</v>
      </c>
      <c r="P11" s="119">
        <v>35</v>
      </c>
      <c r="Q11" s="107">
        <v>-425.60000000000014</v>
      </c>
    </row>
    <row r="12" spans="1:17" x14ac:dyDescent="0.4">
      <c r="A12" s="57" t="s">
        <v>160</v>
      </c>
      <c r="B12" s="49">
        <v>7</v>
      </c>
      <c r="C12" s="42">
        <f>IF(B$2=0,0,B12/B$2)</f>
        <v>7.9545454545454544E-2</v>
      </c>
      <c r="E12" s="63" t="s">
        <v>90</v>
      </c>
      <c r="F12" s="60" t="s">
        <v>45</v>
      </c>
      <c r="G12" s="47">
        <v>16</v>
      </c>
      <c r="H12" s="133">
        <f>IF(B$17=0,0,G12/B$17)</f>
        <v>9.1428571428571428E-2</v>
      </c>
      <c r="I12" s="94">
        <v>11</v>
      </c>
      <c r="K12" s="38">
        <v>10</v>
      </c>
      <c r="L12" s="99">
        <v>-231.39999999999998</v>
      </c>
      <c r="N12" s="116" t="s">
        <v>166</v>
      </c>
      <c r="O12" s="126">
        <f>IF(P12=0,0,Q12/P12)</f>
        <v>-12.938461538461535</v>
      </c>
      <c r="P12" s="120">
        <v>26</v>
      </c>
      <c r="Q12" s="108">
        <v>-336.39999999999992</v>
      </c>
    </row>
    <row r="13" spans="1:17" x14ac:dyDescent="0.4">
      <c r="A13" s="58" t="s">
        <v>122</v>
      </c>
      <c r="B13" s="50">
        <v>209</v>
      </c>
      <c r="C13" s="44">
        <f>IF(B$3=0,0,B13/B$3)</f>
        <v>0.28396739130434784</v>
      </c>
      <c r="E13" s="63" t="s">
        <v>87</v>
      </c>
      <c r="F13" s="60" t="s">
        <v>42</v>
      </c>
      <c r="G13" s="47">
        <v>10</v>
      </c>
      <c r="H13" s="133">
        <f>IF(B$17=0,0,G13/B$17)</f>
        <v>5.7142857142857141E-2</v>
      </c>
      <c r="I13" s="94">
        <v>5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121</v>
      </c>
      <c r="C14" s="39">
        <f>IF(B$3=0,0,B14/B$3)</f>
        <v>0.16440217391304349</v>
      </c>
      <c r="E14" s="63" t="s">
        <v>84</v>
      </c>
      <c r="F14" s="60" t="s">
        <v>39</v>
      </c>
      <c r="G14" s="47">
        <v>7</v>
      </c>
      <c r="H14" s="133">
        <f>IF(B$17=0,0,G14/B$17)</f>
        <v>0.04</v>
      </c>
      <c r="I14" s="94">
        <v>8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109</v>
      </c>
      <c r="C15" s="37">
        <f>IF(B$13=0,0,B15/B$13)</f>
        <v>0.52153110047846885</v>
      </c>
      <c r="E15" s="63" t="s">
        <v>79</v>
      </c>
      <c r="F15" s="60" t="s">
        <v>34</v>
      </c>
      <c r="G15" s="47">
        <v>5</v>
      </c>
      <c r="H15" s="133">
        <f>IF(B$17=0,0,G15/B$17)</f>
        <v>2.8571428571428571E-2</v>
      </c>
      <c r="I15" s="94">
        <v>5</v>
      </c>
      <c r="K15" s="38">
        <v>13</v>
      </c>
      <c r="L15" s="99">
        <v>-369.1</v>
      </c>
      <c r="N15" s="114" t="s">
        <v>223</v>
      </c>
      <c r="O15" s="124">
        <f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30</v>
      </c>
      <c r="C16" s="37">
        <f>IF(B$14=0,0,B16/B$14)</f>
        <v>0.24793388429752067</v>
      </c>
      <c r="E16" s="63" t="s">
        <v>82</v>
      </c>
      <c r="F16" s="60" t="s">
        <v>37</v>
      </c>
      <c r="G16" s="47">
        <v>4</v>
      </c>
      <c r="H16" s="133">
        <f>IF(B$17=0,0,G16/B$17)</f>
        <v>2.2857142857142857E-2</v>
      </c>
      <c r="I16" s="94">
        <v>9</v>
      </c>
      <c r="K16" s="38">
        <v>14</v>
      </c>
      <c r="L16" s="99">
        <v>-394.6</v>
      </c>
      <c r="N16" s="115" t="s">
        <v>177</v>
      </c>
      <c r="O16" s="125">
        <f>IF(P16=0,0,Q16/P16)</f>
        <v>-12.031578947368423</v>
      </c>
      <c r="P16" s="119">
        <v>19</v>
      </c>
      <c r="Q16" s="107">
        <v>-228.60000000000005</v>
      </c>
    </row>
    <row r="17" spans="1:17" x14ac:dyDescent="0.4">
      <c r="A17" s="54" t="s">
        <v>10</v>
      </c>
      <c r="B17" s="46">
        <f>B19+B18</f>
        <v>175</v>
      </c>
      <c r="C17" s="37">
        <f>IF(B$3=0,0,B17/B$3)</f>
        <v>0.23777173913043478</v>
      </c>
      <c r="E17" s="63" t="s">
        <v>75</v>
      </c>
      <c r="F17" s="60" t="s">
        <v>30</v>
      </c>
      <c r="G17" s="47">
        <v>2</v>
      </c>
      <c r="H17" s="133">
        <f>IF(B$17=0,0,G17/B$17)</f>
        <v>1.1428571428571429E-2</v>
      </c>
      <c r="I17" s="94">
        <v>1</v>
      </c>
      <c r="K17" s="38">
        <v>15</v>
      </c>
      <c r="L17" s="99">
        <v>-424.5</v>
      </c>
      <c r="N17" s="115" t="s">
        <v>128</v>
      </c>
      <c r="O17" s="125">
        <f>IF(P17=0,0,Q17/P17)</f>
        <v>-13.074999999999998</v>
      </c>
      <c r="P17" s="119">
        <v>40</v>
      </c>
      <c r="Q17" s="107">
        <v>-522.99999999999989</v>
      </c>
    </row>
    <row r="18" spans="1:17" x14ac:dyDescent="0.4">
      <c r="A18" s="55" t="s">
        <v>12</v>
      </c>
      <c r="B18" s="47">
        <v>76</v>
      </c>
      <c r="C18" s="39">
        <f>IF(B$17=0,0,B18/B$17)</f>
        <v>0.43428571428571427</v>
      </c>
      <c r="E18" s="63" t="s">
        <v>88</v>
      </c>
      <c r="F18" s="60" t="s">
        <v>43</v>
      </c>
      <c r="G18" s="47">
        <v>2</v>
      </c>
      <c r="H18" s="133">
        <f>IF(B$17=0,0,G18/B$17)</f>
        <v>1.1428571428571429E-2</v>
      </c>
      <c r="I18" s="94">
        <v>1</v>
      </c>
      <c r="K18" s="38">
        <v>16</v>
      </c>
      <c r="L18" s="99">
        <v>-472</v>
      </c>
      <c r="N18" s="115" t="s">
        <v>171</v>
      </c>
      <c r="O18" s="125">
        <f>IF(P18=0,0,Q18/P18)</f>
        <v>-20.678571428571423</v>
      </c>
      <c r="P18" s="119">
        <v>28</v>
      </c>
      <c r="Q18" s="107">
        <v>-578.99999999999989</v>
      </c>
    </row>
    <row r="19" spans="1:17" x14ac:dyDescent="0.4">
      <c r="A19" s="55" t="s">
        <v>11</v>
      </c>
      <c r="B19" s="47">
        <v>99</v>
      </c>
      <c r="C19" s="39">
        <f>IF(B$17=0,0,B19/B$17)</f>
        <v>0.56571428571428573</v>
      </c>
      <c r="E19" s="63" t="s">
        <v>94</v>
      </c>
      <c r="F19" s="60" t="s">
        <v>49</v>
      </c>
      <c r="G19" s="47">
        <v>2</v>
      </c>
      <c r="H19" s="133">
        <f>IF(B$17=0,0,G19/B$17)</f>
        <v>1.1428571428571429E-2</v>
      </c>
      <c r="I19" s="94">
        <v>1</v>
      </c>
      <c r="K19" s="38">
        <v>17</v>
      </c>
      <c r="L19" s="99">
        <v>-538.29999999999995</v>
      </c>
      <c r="N19" s="115" t="s">
        <v>173</v>
      </c>
      <c r="O19" s="125">
        <f>IF(P19=0,0,Q19/P19)</f>
        <v>-21.862499999999997</v>
      </c>
      <c r="P19" s="119">
        <v>8</v>
      </c>
      <c r="Q19" s="107">
        <v>-174.89999999999998</v>
      </c>
    </row>
    <row r="20" spans="1:17" x14ac:dyDescent="0.4">
      <c r="A20" s="55" t="s">
        <v>13</v>
      </c>
      <c r="B20" s="47">
        <v>143</v>
      </c>
      <c r="C20" s="39">
        <f>IF(B$3=0,0,B20/B$3)</f>
        <v>0.19429347826086957</v>
      </c>
      <c r="E20" s="63" t="s">
        <v>78</v>
      </c>
      <c r="F20" s="60" t="s">
        <v>33</v>
      </c>
      <c r="G20" s="47">
        <v>1</v>
      </c>
      <c r="H20" s="133">
        <f>IF(B$17=0,0,G20/B$17)</f>
        <v>5.7142857142857143E-3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>IF(P20=0,0,Q20/P20)</f>
        <v>-27.518181818181827</v>
      </c>
      <c r="P20" s="119">
        <v>55</v>
      </c>
      <c r="Q20" s="107">
        <v>-1513.5000000000005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80</v>
      </c>
      <c r="F21" s="60" t="s">
        <v>35</v>
      </c>
      <c r="G21" s="47">
        <v>1</v>
      </c>
      <c r="H21" s="133">
        <f>IF(B$17=0,0,G21/B$17)</f>
        <v>5.7142857142857143E-3</v>
      </c>
      <c r="I21" s="94">
        <v>10</v>
      </c>
      <c r="K21" s="38">
        <v>19</v>
      </c>
      <c r="L21" s="99">
        <v>-569.49999999999989</v>
      </c>
      <c r="N21" s="115" t="s">
        <v>172</v>
      </c>
      <c r="O21" s="125">
        <f>IF(P21=0,0,Q21/P21)</f>
        <v>-32.104761904761901</v>
      </c>
      <c r="P21" s="119">
        <v>21</v>
      </c>
      <c r="Q21" s="107">
        <v>-674.19999999999993</v>
      </c>
    </row>
    <row r="22" spans="1:17" x14ac:dyDescent="0.4">
      <c r="A22" s="55" t="s">
        <v>192</v>
      </c>
      <c r="B22" s="47">
        <v>31</v>
      </c>
      <c r="C22" s="135">
        <v>1</v>
      </c>
      <c r="E22" s="63" t="s">
        <v>89</v>
      </c>
      <c r="F22" s="60" t="s">
        <v>44</v>
      </c>
      <c r="G22" s="47">
        <v>1</v>
      </c>
      <c r="H22" s="133">
        <f>IF(B$17=0,0,G22/B$17)</f>
        <v>5.7142857142857143E-3</v>
      </c>
      <c r="I22" s="94">
        <v>1</v>
      </c>
      <c r="K22" s="38">
        <v>20</v>
      </c>
      <c r="L22" s="99">
        <v>-632.99999999999989</v>
      </c>
      <c r="N22" s="115" t="s">
        <v>184</v>
      </c>
      <c r="O22" s="125">
        <f>IF(P22=0,0,Q22/P22)</f>
        <v>-51.9</v>
      </c>
      <c r="P22" s="119">
        <v>3</v>
      </c>
      <c r="Q22" s="107">
        <v>-155.69999999999999</v>
      </c>
    </row>
    <row r="23" spans="1:17" x14ac:dyDescent="0.4">
      <c r="A23" s="55" t="s">
        <v>5</v>
      </c>
      <c r="B23" s="51">
        <f>IF(B$17=0,0,C23/B$17)</f>
        <v>8818.2857142857138</v>
      </c>
      <c r="C23" s="41">
        <v>1543200</v>
      </c>
      <c r="E23" s="63" t="s">
        <v>92</v>
      </c>
      <c r="F23" s="60" t="s">
        <v>47</v>
      </c>
      <c r="G23" s="47">
        <v>1</v>
      </c>
      <c r="H23" s="133">
        <f>IF(B$17=0,0,G23/B$17)</f>
        <v>5.7142857142857143E-3</v>
      </c>
      <c r="I23" s="94">
        <v>8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-9054.545454545454</v>
      </c>
      <c r="C24" s="45">
        <v>-1294800</v>
      </c>
      <c r="E24" s="63" t="s">
        <v>93</v>
      </c>
      <c r="F24" s="60" t="s">
        <v>48</v>
      </c>
      <c r="G24" s="47">
        <v>1</v>
      </c>
      <c r="H24" s="133">
        <f>IF(B$17=0,0,G24/B$17)</f>
        <v>5.7142857142857143E-3</v>
      </c>
      <c r="I24" s="94">
        <v>3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4">
        <v>7</v>
      </c>
      <c r="C25" s="145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76</v>
      </c>
      <c r="F26" s="60" t="s">
        <v>31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1.358695652173913E-3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-876.19999999999993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-931.09999999999991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411BF-85C0-401F-931E-DE71759594A9}">
  <sheetPr codeName="Sheet13"/>
  <dimension ref="A1:Q9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88</v>
      </c>
      <c r="C2" s="151"/>
      <c r="E2" s="62" t="s">
        <v>65</v>
      </c>
      <c r="F2" s="59" t="s">
        <v>21</v>
      </c>
      <c r="G2" s="46">
        <v>112</v>
      </c>
      <c r="H2" s="132">
        <f>IF(B$17=0,0,G2/B$17)</f>
        <v>0.54634146341463419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-618.18181818181813</v>
      </c>
      <c r="P2" s="118">
        <v>88</v>
      </c>
      <c r="Q2" s="102">
        <v>-54400</v>
      </c>
    </row>
    <row r="3" spans="1:17" x14ac:dyDescent="0.4">
      <c r="A3" s="55" t="s">
        <v>8</v>
      </c>
      <c r="B3" s="152">
        <v>728</v>
      </c>
      <c r="C3" s="153"/>
      <c r="E3" s="63" t="s">
        <v>66</v>
      </c>
      <c r="F3" s="60" t="s">
        <v>22</v>
      </c>
      <c r="G3" s="47">
        <v>28</v>
      </c>
      <c r="H3" s="133">
        <f>IF(B$17=0,0,G3/B$17)</f>
        <v>0.13658536585365855</v>
      </c>
      <c r="I3" s="94">
        <v>2</v>
      </c>
      <c r="K3" s="38">
        <v>1</v>
      </c>
      <c r="L3" s="99">
        <v>-51.2</v>
      </c>
      <c r="N3" s="115" t="s">
        <v>133</v>
      </c>
      <c r="O3" s="122">
        <f t="shared" si="0"/>
        <v>496.51162790697674</v>
      </c>
      <c r="P3" s="119">
        <v>86</v>
      </c>
      <c r="Q3" s="103">
        <v>42700</v>
      </c>
    </row>
    <row r="4" spans="1:17" x14ac:dyDescent="0.4">
      <c r="A4" s="55" t="s">
        <v>6</v>
      </c>
      <c r="B4" s="154">
        <v>46.300000000000026</v>
      </c>
      <c r="C4" s="155"/>
      <c r="E4" s="63" t="s">
        <v>67</v>
      </c>
      <c r="F4" s="60" t="s">
        <v>23</v>
      </c>
      <c r="G4" s="47">
        <v>173</v>
      </c>
      <c r="H4" s="133">
        <f>IF(B$17=0,0,G4/B$17)</f>
        <v>0.84390243902439022</v>
      </c>
      <c r="I4" s="94">
        <v>2</v>
      </c>
      <c r="K4" s="38">
        <v>2</v>
      </c>
      <c r="L4" s="99">
        <v>-93.300000000000011</v>
      </c>
      <c r="N4" s="115" t="s">
        <v>134</v>
      </c>
      <c r="O4" s="122">
        <f t="shared" si="0"/>
        <v>1178.4810126582279</v>
      </c>
      <c r="P4" s="119">
        <v>79</v>
      </c>
      <c r="Q4" s="103">
        <v>93100</v>
      </c>
    </row>
    <row r="5" spans="1:17" x14ac:dyDescent="0.4">
      <c r="A5" s="55" t="s">
        <v>7</v>
      </c>
      <c r="B5" s="156">
        <f>IF(B$2=0,0,B$4/B$2)</f>
        <v>0.52613636363636396</v>
      </c>
      <c r="C5" s="157"/>
      <c r="E5" s="63" t="s">
        <v>68</v>
      </c>
      <c r="F5" s="60" t="s">
        <v>24</v>
      </c>
      <c r="G5" s="47">
        <v>70</v>
      </c>
      <c r="H5" s="133">
        <f>IF(B$17=0,0,G5/B$17)</f>
        <v>0.34146341463414637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998.52941176470586</v>
      </c>
      <c r="P5" s="119">
        <v>68</v>
      </c>
      <c r="Q5" s="103">
        <v>67900</v>
      </c>
    </row>
    <row r="6" spans="1:17" x14ac:dyDescent="0.4">
      <c r="A6" s="55" t="s">
        <v>1</v>
      </c>
      <c r="B6" s="146">
        <f>IF(B$2=0,0,(B$7*1+B$8*2+B$9*3)/B$2)</f>
        <v>2.0454545454545454</v>
      </c>
      <c r="C6" s="147"/>
      <c r="E6" s="63" t="s">
        <v>69</v>
      </c>
      <c r="F6" s="60" t="s">
        <v>12</v>
      </c>
      <c r="G6" s="47">
        <v>61</v>
      </c>
      <c r="H6" s="133">
        <f>IF(B$17=0,0,G6/B$17)</f>
        <v>0.29756097560975608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-588.33333333333337</v>
      </c>
      <c r="P6" s="119">
        <v>60</v>
      </c>
      <c r="Q6" s="103">
        <v>-35300</v>
      </c>
    </row>
    <row r="7" spans="1:17" x14ac:dyDescent="0.4">
      <c r="A7" s="55" t="s">
        <v>2</v>
      </c>
      <c r="B7" s="47">
        <v>27</v>
      </c>
      <c r="C7" s="39">
        <f>IF(B$2=0,0,B7/B$2)</f>
        <v>0.30681818181818182</v>
      </c>
      <c r="E7" s="63" t="s">
        <v>70</v>
      </c>
      <c r="F7" s="60" t="s">
        <v>25</v>
      </c>
      <c r="G7" s="47">
        <v>40</v>
      </c>
      <c r="H7" s="133">
        <f>IF(B$17=0,0,G7/B$17)</f>
        <v>0.1951219512195122</v>
      </c>
      <c r="I7" s="94">
        <v>4</v>
      </c>
      <c r="K7" s="38">
        <v>5</v>
      </c>
      <c r="L7" s="99">
        <v>-36.100000000000009</v>
      </c>
      <c r="N7" s="116" t="s">
        <v>137</v>
      </c>
      <c r="O7" s="123">
        <f t="shared" si="0"/>
        <v>-303.63636363636363</v>
      </c>
      <c r="P7" s="120">
        <v>55</v>
      </c>
      <c r="Q7" s="104">
        <v>-16700</v>
      </c>
    </row>
    <row r="8" spans="1:17" x14ac:dyDescent="0.4">
      <c r="A8" s="55" t="s">
        <v>3</v>
      </c>
      <c r="B8" s="47">
        <v>30</v>
      </c>
      <c r="C8" s="39">
        <f>IF(B$2=0,0,B8/B$2)</f>
        <v>0.34090909090909088</v>
      </c>
      <c r="E8" s="63" t="s">
        <v>71</v>
      </c>
      <c r="F8" s="60" t="s">
        <v>26</v>
      </c>
      <c r="G8" s="47">
        <v>21</v>
      </c>
      <c r="H8" s="133">
        <f>IF(B$17=0,0,G8/B$17)</f>
        <v>0.1024390243902439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31</v>
      </c>
      <c r="C9" s="40">
        <f t="shared" ref="C9" si="1">IF(B$2=0,0,B9/B$2)</f>
        <v>0.35227272727272729</v>
      </c>
      <c r="E9" s="63" t="s">
        <v>72</v>
      </c>
      <c r="F9" s="60" t="s">
        <v>27</v>
      </c>
      <c r="G9" s="47">
        <v>12</v>
      </c>
      <c r="H9" s="133">
        <f>IF(B$17=0,0,G9/B$17)</f>
        <v>5.8536585365853662E-2</v>
      </c>
      <c r="I9" s="94">
        <v>8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0.10227272727272728</v>
      </c>
      <c r="E10" s="63" t="s">
        <v>73</v>
      </c>
      <c r="F10" s="60" t="s">
        <v>28</v>
      </c>
      <c r="G10" s="47">
        <v>107</v>
      </c>
      <c r="H10" s="133">
        <f>IF(B$17=0,0,G10/B$17)</f>
        <v>0.52195121951219514</v>
      </c>
      <c r="I10" s="94">
        <v>7</v>
      </c>
      <c r="K10" s="38">
        <v>8</v>
      </c>
      <c r="L10" s="99">
        <v>-1.7000000000000028</v>
      </c>
      <c r="N10" s="114" t="s">
        <v>164</v>
      </c>
      <c r="O10" s="124">
        <f>IF(P10=0,0,Q10/P10)</f>
        <v>6.1739130434782608</v>
      </c>
      <c r="P10" s="118">
        <v>23</v>
      </c>
      <c r="Q10" s="106">
        <v>142</v>
      </c>
    </row>
    <row r="11" spans="1:17" x14ac:dyDescent="0.4">
      <c r="A11" s="56" t="s">
        <v>140</v>
      </c>
      <c r="B11" s="48">
        <v>12</v>
      </c>
      <c r="C11" s="40">
        <f>IF(B$2=0,0,B11/B$2)</f>
        <v>0.13636363636363635</v>
      </c>
      <c r="E11" s="63" t="s">
        <v>74</v>
      </c>
      <c r="F11" s="60" t="s">
        <v>29</v>
      </c>
      <c r="G11" s="47">
        <v>2</v>
      </c>
      <c r="H11" s="133">
        <f>IF(B$17=0,0,G11/B$17)</f>
        <v>9.7560975609756097E-3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-2.2176470588235273</v>
      </c>
      <c r="P11" s="119">
        <v>34</v>
      </c>
      <c r="Q11" s="107">
        <v>-75.399999999999935</v>
      </c>
    </row>
    <row r="12" spans="1:17" x14ac:dyDescent="0.4">
      <c r="A12" s="57" t="s">
        <v>160</v>
      </c>
      <c r="B12" s="49">
        <v>6</v>
      </c>
      <c r="C12" s="42">
        <f>IF(B$2=0,0,B12/B$2)</f>
        <v>6.8181818181818177E-2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-56.500000000000007</v>
      </c>
      <c r="N12" s="116" t="s">
        <v>166</v>
      </c>
      <c r="O12" s="126">
        <f>IF(P12=0,0,Q12/P12)</f>
        <v>-0.65483870967741953</v>
      </c>
      <c r="P12" s="120">
        <v>31</v>
      </c>
      <c r="Q12" s="108">
        <v>-20.300000000000004</v>
      </c>
    </row>
    <row r="13" spans="1:17" x14ac:dyDescent="0.4">
      <c r="A13" s="58" t="s">
        <v>122</v>
      </c>
      <c r="B13" s="50">
        <v>212</v>
      </c>
      <c r="C13" s="44">
        <f>IF(B$3=0,0,B13/B$3)</f>
        <v>0.29120879120879123</v>
      </c>
      <c r="E13" s="63" t="s">
        <v>76</v>
      </c>
      <c r="F13" s="60" t="s">
        <v>31</v>
      </c>
      <c r="G13" s="47">
        <v>3</v>
      </c>
      <c r="H13" s="133">
        <f>IF(B$17=0,0,G13/B$17)</f>
        <v>1.4634146341463415E-2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137</v>
      </c>
      <c r="C14" s="39">
        <f>IF(B$3=0,0,B14/B$3)</f>
        <v>0.18818681318681318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120</v>
      </c>
      <c r="C15" s="37">
        <f>IF(B$13=0,0,B15/B$13)</f>
        <v>0.56603773584905659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184</v>
      </c>
      <c r="O15" s="124">
        <f t="shared" ref="O15:O23" si="2"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57</v>
      </c>
      <c r="C16" s="37">
        <f>IF(B$14=0,0,B16/B$14)</f>
        <v>0.41605839416058393</v>
      </c>
      <c r="E16" s="63" t="s">
        <v>79</v>
      </c>
      <c r="F16" s="60" t="s">
        <v>34</v>
      </c>
      <c r="G16" s="47">
        <v>9</v>
      </c>
      <c r="H16" s="133">
        <f>IF(B$17=0,0,G16/B$17)</f>
        <v>4.3902439024390241E-2</v>
      </c>
      <c r="I16" s="94">
        <v>3</v>
      </c>
      <c r="K16" s="38">
        <v>14</v>
      </c>
      <c r="L16" s="99">
        <v>-29.400000000000002</v>
      </c>
      <c r="N16" s="115" t="s">
        <v>129</v>
      </c>
      <c r="O16" s="125">
        <f t="shared" si="2"/>
        <v>20.67857142857142</v>
      </c>
      <c r="P16" s="119">
        <v>28</v>
      </c>
      <c r="Q16" s="107">
        <v>578.99999999999977</v>
      </c>
    </row>
    <row r="17" spans="1:17" x14ac:dyDescent="0.4">
      <c r="A17" s="54" t="s">
        <v>10</v>
      </c>
      <c r="B17" s="46">
        <f>B19+B18</f>
        <v>205</v>
      </c>
      <c r="C17" s="37">
        <f>IF(B$3=0,0,B17/B$3)</f>
        <v>0.28159340659340659</v>
      </c>
      <c r="E17" s="63" t="s">
        <v>80</v>
      </c>
      <c r="F17" s="60" t="s">
        <v>35</v>
      </c>
      <c r="G17" s="47">
        <v>3</v>
      </c>
      <c r="H17" s="133">
        <f>IF(B$17=0,0,G17/B$17)</f>
        <v>1.4634146341463415E-2</v>
      </c>
      <c r="I17" s="94">
        <v>6</v>
      </c>
      <c r="K17" s="38">
        <v>15</v>
      </c>
      <c r="L17" s="99">
        <v>-26.3</v>
      </c>
      <c r="N17" s="115" t="s">
        <v>173</v>
      </c>
      <c r="O17" s="125">
        <f t="shared" si="2"/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84</v>
      </c>
      <c r="C18" s="39">
        <f>IF(B$17=0,0,B18/B$17)</f>
        <v>0.40975609756097559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121</v>
      </c>
      <c r="C19" s="39">
        <f>IF(B$17=0,0,B19/B$17)</f>
        <v>0.59024390243902436</v>
      </c>
      <c r="E19" s="63" t="s">
        <v>82</v>
      </c>
      <c r="F19" s="60" t="s">
        <v>37</v>
      </c>
      <c r="G19" s="47">
        <v>8</v>
      </c>
      <c r="H19" s="133">
        <f>IF(B$17=0,0,G19/B$17)</f>
        <v>3.9024390243902439E-2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 t="shared" si="2"/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127</v>
      </c>
      <c r="C20" s="39">
        <f>IF(B$3=0,0,B20/B$3)</f>
        <v>0.17445054945054944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-0.4749999999999957</v>
      </c>
      <c r="P20" s="119">
        <v>52</v>
      </c>
      <c r="Q20" s="107">
        <v>-24.699999999999775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11</v>
      </c>
      <c r="H21" s="133">
        <f>IF(B$17=0,0,G21/B$17)</f>
        <v>5.3658536585365853E-2</v>
      </c>
      <c r="I21" s="94">
        <v>5</v>
      </c>
      <c r="K21" s="38">
        <v>19</v>
      </c>
      <c r="L21" s="99">
        <v>0.60000000000000853</v>
      </c>
      <c r="N21" s="115" t="s">
        <v>200</v>
      </c>
      <c r="O21" s="125">
        <f t="shared" si="2"/>
        <v>-22.524999999999999</v>
      </c>
      <c r="P21" s="119">
        <v>4</v>
      </c>
      <c r="Q21" s="107">
        <v>-90.1</v>
      </c>
    </row>
    <row r="22" spans="1:17" x14ac:dyDescent="0.4">
      <c r="A22" s="55" t="s">
        <v>192</v>
      </c>
      <c r="B22" s="47">
        <v>32</v>
      </c>
      <c r="C22" s="135">
        <v>1</v>
      </c>
      <c r="E22" s="63" t="s">
        <v>85</v>
      </c>
      <c r="F22" s="60" t="s">
        <v>40</v>
      </c>
      <c r="G22" s="47">
        <v>2</v>
      </c>
      <c r="H22" s="133">
        <f>IF(B$17=0,0,G22/B$17)</f>
        <v>9.7560975609756097E-3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-39.917647058823533</v>
      </c>
      <c r="P22" s="119">
        <v>17</v>
      </c>
      <c r="Q22" s="107">
        <v>-678.6</v>
      </c>
    </row>
    <row r="23" spans="1:17" x14ac:dyDescent="0.4">
      <c r="A23" s="55" t="s">
        <v>5</v>
      </c>
      <c r="B23" s="51">
        <f>IF(B$17=0,0,C23/B$17)</f>
        <v>10010.731707317073</v>
      </c>
      <c r="C23" s="41">
        <v>2052200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222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-8534.645669291338</v>
      </c>
      <c r="C24" s="45">
        <v>-1083900</v>
      </c>
      <c r="E24" s="63" t="s">
        <v>87</v>
      </c>
      <c r="F24" s="60" t="s">
        <v>42</v>
      </c>
      <c r="G24" s="47">
        <v>15</v>
      </c>
      <c r="H24" s="133">
        <f>IF(B$17=0,0,G24/B$17)</f>
        <v>7.3170731707317069E-2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4.8780487804878049E-3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91700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1.3736263736263737E-3</v>
      </c>
      <c r="E27" s="63" t="s">
        <v>90</v>
      </c>
      <c r="F27" s="60" t="s">
        <v>45</v>
      </c>
      <c r="G27" s="47">
        <v>35</v>
      </c>
      <c r="H27" s="133">
        <f>IF(B$17=0,0,G27/B$17)</f>
        <v>0.17073170731707318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2.9268292682926831E-2</v>
      </c>
      <c r="I29" s="94">
        <v>2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9.7560975609756097E-3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4.8780487804878049E-3</v>
      </c>
      <c r="I31" s="94">
        <v>2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4</v>
      </c>
      <c r="H50" s="133">
        <f>IF(B$17=0,0,G50/B$17)</f>
        <v>1.9512195121951219E-2</v>
      </c>
      <c r="I50" s="94">
        <v>2</v>
      </c>
      <c r="K50" s="38">
        <v>48</v>
      </c>
      <c r="L50" s="99">
        <v>-33.800000000000004</v>
      </c>
    </row>
    <row r="51" spans="5:12" x14ac:dyDescent="0.4">
      <c r="E51" s="136" t="s">
        <v>245</v>
      </c>
      <c r="F51" s="137" t="s">
        <v>246</v>
      </c>
      <c r="G51" s="48">
        <v>79</v>
      </c>
      <c r="H51" s="138">
        <f>IF(B$17=0,0,G51/B$17)</f>
        <v>0.38536585365853659</v>
      </c>
      <c r="I51" s="139">
        <v>10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</sheetData>
  <sortState ref="E2:I90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3F029-E954-4D90-B119-DB73F4F60D46}">
  <sheetPr codeName="Sheet15"/>
  <dimension ref="A1:Q7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72</v>
      </c>
      <c r="C2" s="151"/>
      <c r="E2" s="62" t="s">
        <v>65</v>
      </c>
      <c r="F2" s="59" t="s">
        <v>21</v>
      </c>
      <c r="G2" s="46">
        <v>74</v>
      </c>
      <c r="H2" s="132">
        <f>IF(B$17=0,0,G2/B$17)</f>
        <v>0.34579439252336447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745.83333333333337</v>
      </c>
      <c r="P2" s="118">
        <v>72</v>
      </c>
      <c r="Q2" s="102">
        <v>53700</v>
      </c>
    </row>
    <row r="3" spans="1:17" x14ac:dyDescent="0.4">
      <c r="A3" s="55" t="s">
        <v>8</v>
      </c>
      <c r="B3" s="152">
        <v>621</v>
      </c>
      <c r="C3" s="153"/>
      <c r="E3" s="63" t="s">
        <v>66</v>
      </c>
      <c r="F3" s="60" t="s">
        <v>22</v>
      </c>
      <c r="G3" s="47">
        <v>25</v>
      </c>
      <c r="H3" s="133">
        <f>IF(B$17=0,0,G3/B$17)</f>
        <v>0.11682242990654206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-1040.2777777777778</v>
      </c>
      <c r="P3" s="119">
        <v>72</v>
      </c>
      <c r="Q3" s="103">
        <v>-74900</v>
      </c>
    </row>
    <row r="4" spans="1:17" x14ac:dyDescent="0.4">
      <c r="A4" s="55" t="s">
        <v>6</v>
      </c>
      <c r="B4" s="154">
        <v>-68.40000000000002</v>
      </c>
      <c r="C4" s="155"/>
      <c r="E4" s="63" t="s">
        <v>67</v>
      </c>
      <c r="F4" s="60" t="s">
        <v>23</v>
      </c>
      <c r="G4" s="47">
        <v>140</v>
      </c>
      <c r="H4" s="133">
        <f>IF(B$17=0,0,G4/B$17)</f>
        <v>0.65420560747663548</v>
      </c>
      <c r="I4" s="94">
        <v>10</v>
      </c>
      <c r="K4" s="38">
        <v>2</v>
      </c>
      <c r="L4" s="99">
        <v>-7.7000000000000011</v>
      </c>
      <c r="N4" s="115" t="s">
        <v>134</v>
      </c>
      <c r="O4" s="122">
        <f t="shared" si="0"/>
        <v>-1564.6153846153845</v>
      </c>
      <c r="P4" s="119">
        <v>65</v>
      </c>
      <c r="Q4" s="103">
        <v>-101700</v>
      </c>
    </row>
    <row r="5" spans="1:17" x14ac:dyDescent="0.4">
      <c r="A5" s="55" t="s">
        <v>7</v>
      </c>
      <c r="B5" s="156">
        <f>IF(B$2=0,0,B$4/B$2)</f>
        <v>-0.95000000000000029</v>
      </c>
      <c r="C5" s="157"/>
      <c r="E5" s="63" t="s">
        <v>68</v>
      </c>
      <c r="F5" s="60" t="s">
        <v>24</v>
      </c>
      <c r="G5" s="47">
        <v>36</v>
      </c>
      <c r="H5" s="133">
        <f>IF(B$17=0,0,G5/B$17)</f>
        <v>0.16822429906542055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985.48387096774195</v>
      </c>
      <c r="P5" s="119">
        <v>62</v>
      </c>
      <c r="Q5" s="103">
        <v>61100</v>
      </c>
    </row>
    <row r="6" spans="1:17" x14ac:dyDescent="0.4">
      <c r="A6" s="55" t="s">
        <v>1</v>
      </c>
      <c r="B6" s="146">
        <f>IF(B$2=0,0,(B$7*1+B$8*2+B$9*3)/B$2)</f>
        <v>2.0555555555555554</v>
      </c>
      <c r="C6" s="147"/>
      <c r="E6" s="63" t="s">
        <v>69</v>
      </c>
      <c r="F6" s="60" t="s">
        <v>12</v>
      </c>
      <c r="G6" s="47">
        <v>57</v>
      </c>
      <c r="H6" s="133">
        <f>IF(B$17=0,0,G6/B$17)</f>
        <v>0.26635514018691586</v>
      </c>
      <c r="I6" s="94">
        <v>11</v>
      </c>
      <c r="K6" s="38">
        <v>4</v>
      </c>
      <c r="L6" s="99">
        <v>34.9</v>
      </c>
      <c r="N6" s="115" t="s">
        <v>136</v>
      </c>
      <c r="O6" s="122">
        <f t="shared" si="0"/>
        <v>769.49152542372883</v>
      </c>
      <c r="P6" s="119">
        <v>59</v>
      </c>
      <c r="Q6" s="103">
        <v>45400</v>
      </c>
    </row>
    <row r="7" spans="1:17" x14ac:dyDescent="0.4">
      <c r="A7" s="55" t="s">
        <v>2</v>
      </c>
      <c r="B7" s="47">
        <v>19</v>
      </c>
      <c r="C7" s="39">
        <f>IF(B$2=0,0,B7/B$2)</f>
        <v>0.2638888888888889</v>
      </c>
      <c r="E7" s="63" t="s">
        <v>70</v>
      </c>
      <c r="F7" s="60" t="s">
        <v>25</v>
      </c>
      <c r="G7" s="47">
        <v>31</v>
      </c>
      <c r="H7" s="133">
        <f>IF(B$17=0,0,G7/B$17)</f>
        <v>0.14485981308411214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-472.54901960784315</v>
      </c>
      <c r="P7" s="120">
        <v>51</v>
      </c>
      <c r="Q7" s="104">
        <v>-24100</v>
      </c>
    </row>
    <row r="8" spans="1:17" x14ac:dyDescent="0.4">
      <c r="A8" s="55" t="s">
        <v>3</v>
      </c>
      <c r="B8" s="47">
        <v>30</v>
      </c>
      <c r="C8" s="39">
        <f>IF(B$2=0,0,B8/B$2)</f>
        <v>0.41666666666666669</v>
      </c>
      <c r="E8" s="63" t="s">
        <v>71</v>
      </c>
      <c r="F8" s="60" t="s">
        <v>26</v>
      </c>
      <c r="G8" s="47">
        <v>14</v>
      </c>
      <c r="H8" s="133">
        <f>IF(B$17=0,0,G8/B$17)</f>
        <v>6.5420560747663545E-2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23</v>
      </c>
      <c r="C9" s="40">
        <f t="shared" ref="C9" si="1">IF(B$2=0,0,B9/B$2)</f>
        <v>0.31944444444444442</v>
      </c>
      <c r="E9" s="63" t="s">
        <v>72</v>
      </c>
      <c r="F9" s="60" t="s">
        <v>27</v>
      </c>
      <c r="G9" s="47">
        <v>17</v>
      </c>
      <c r="H9" s="133">
        <f>IF(B$17=0,0,G9/B$17)</f>
        <v>7.9439252336448593E-2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4.1666666666666664E-2</v>
      </c>
      <c r="E10" s="63" t="s">
        <v>73</v>
      </c>
      <c r="F10" s="60" t="s">
        <v>28</v>
      </c>
      <c r="G10" s="47">
        <v>120</v>
      </c>
      <c r="H10" s="133">
        <f>IF(B$17=0,0,G10/B$17)</f>
        <v>0.56074766355140182</v>
      </c>
      <c r="I10" s="94">
        <v>6</v>
      </c>
      <c r="K10" s="38">
        <v>8</v>
      </c>
      <c r="L10" s="99">
        <v>-29.5</v>
      </c>
      <c r="N10" s="114" t="s">
        <v>164</v>
      </c>
      <c r="O10" s="124">
        <f>IF(P10=0,0,Q10/P10)</f>
        <v>-7.3800000000000026</v>
      </c>
      <c r="P10" s="118">
        <v>20</v>
      </c>
      <c r="Q10" s="106">
        <v>-147.60000000000005</v>
      </c>
    </row>
    <row r="11" spans="1:17" x14ac:dyDescent="0.4">
      <c r="A11" s="56" t="s">
        <v>140</v>
      </c>
      <c r="B11" s="48">
        <v>7</v>
      </c>
      <c r="C11" s="40">
        <f>IF(B$2=0,0,B11/B$2)</f>
        <v>9.7222222222222224E-2</v>
      </c>
      <c r="E11" s="63" t="s">
        <v>74</v>
      </c>
      <c r="F11" s="60" t="s">
        <v>29</v>
      </c>
      <c r="G11" s="47">
        <v>1</v>
      </c>
      <c r="H11" s="133">
        <f>IF(B$17=0,0,G11/B$17)</f>
        <v>4.6728971962616819E-3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2.4500000000000002</v>
      </c>
      <c r="P11" s="119">
        <v>24</v>
      </c>
      <c r="Q11" s="107">
        <v>58.800000000000004</v>
      </c>
    </row>
    <row r="12" spans="1:17" x14ac:dyDescent="0.4">
      <c r="A12" s="57" t="s">
        <v>160</v>
      </c>
      <c r="B12" s="49">
        <v>5</v>
      </c>
      <c r="C12" s="42">
        <f>IF(B$2=0,0,B12/B$2)</f>
        <v>6.9444444444444448E-2</v>
      </c>
      <c r="E12" s="63" t="s">
        <v>75</v>
      </c>
      <c r="F12" s="60" t="s">
        <v>30</v>
      </c>
      <c r="G12" s="47">
        <v>1</v>
      </c>
      <c r="H12" s="133">
        <f>IF(B$17=0,0,G12/B$17)</f>
        <v>4.6728971962616819E-3</v>
      </c>
      <c r="I12" s="94">
        <v>4</v>
      </c>
      <c r="K12" s="38">
        <v>10</v>
      </c>
      <c r="L12" s="99">
        <v>24.200000000000003</v>
      </c>
      <c r="N12" s="116" t="s">
        <v>166</v>
      </c>
      <c r="O12" s="126">
        <f>IF(P12=0,0,Q12/P12)</f>
        <v>0.72857142857142854</v>
      </c>
      <c r="P12" s="120">
        <v>28</v>
      </c>
      <c r="Q12" s="108">
        <v>20.399999999999999</v>
      </c>
    </row>
    <row r="13" spans="1:17" x14ac:dyDescent="0.4">
      <c r="A13" s="58" t="s">
        <v>122</v>
      </c>
      <c r="B13" s="50">
        <v>133</v>
      </c>
      <c r="C13" s="44">
        <f>IF(B$3=0,0,B13/B$3)</f>
        <v>0.214170692431562</v>
      </c>
      <c r="E13" s="63" t="s">
        <v>76</v>
      </c>
      <c r="F13" s="60" t="s">
        <v>31</v>
      </c>
      <c r="G13" s="47">
        <v>1</v>
      </c>
      <c r="H13" s="133">
        <f>IF(B$17=0,0,G13/B$17)</f>
        <v>4.6728971962616819E-3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179</v>
      </c>
      <c r="C14" s="39">
        <f>IF(B$3=0,0,B14/B$3)</f>
        <v>0.28824476650563607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74</v>
      </c>
      <c r="C15" s="37">
        <f>IF(B$13=0,0,B15/B$13)</f>
        <v>0.55639097744360899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32.104761904761894</v>
      </c>
      <c r="P15" s="118">
        <v>21</v>
      </c>
      <c r="Q15" s="106">
        <v>674.19999999999982</v>
      </c>
    </row>
    <row r="16" spans="1:17" x14ac:dyDescent="0.4">
      <c r="A16" s="54" t="s">
        <v>125</v>
      </c>
      <c r="B16" s="46">
        <v>76</v>
      </c>
      <c r="C16" s="37">
        <f>IF(B$14=0,0,B16/B$14)</f>
        <v>0.42458100558659218</v>
      </c>
      <c r="E16" s="63" t="s">
        <v>79</v>
      </c>
      <c r="F16" s="60" t="s">
        <v>34</v>
      </c>
      <c r="G16" s="47">
        <v>3</v>
      </c>
      <c r="H16" s="133">
        <f>IF(B$17=0,0,G16/B$17)</f>
        <v>1.4018691588785047E-2</v>
      </c>
      <c r="I16" s="94">
        <v>10</v>
      </c>
      <c r="K16" s="38">
        <v>14</v>
      </c>
      <c r="L16" s="99">
        <v>-12.3</v>
      </c>
      <c r="N16" s="115" t="s">
        <v>223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214</v>
      </c>
      <c r="C17" s="37">
        <f>IF(B$3=0,0,B17/B$3)</f>
        <v>0.34460547504025762</v>
      </c>
      <c r="E17" s="63" t="s">
        <v>80</v>
      </c>
      <c r="F17" s="60" t="s">
        <v>35</v>
      </c>
      <c r="G17" s="47">
        <v>3</v>
      </c>
      <c r="H17" s="133">
        <f>IF(B$17=0,0,G17/B$17)</f>
        <v>1.4018691588785047E-2</v>
      </c>
      <c r="I17" s="94">
        <v>7</v>
      </c>
      <c r="K17" s="38">
        <v>15</v>
      </c>
      <c r="L17" s="99">
        <v>-80.3</v>
      </c>
      <c r="N17" s="115" t="s">
        <v>184</v>
      </c>
      <c r="O17" s="125">
        <f t="shared" si="2"/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91</v>
      </c>
      <c r="C18" s="39">
        <f>IF(B$17=0,0,B18/B$17)</f>
        <v>0.42523364485981308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173</v>
      </c>
      <c r="O18" s="125">
        <f t="shared" si="2"/>
        <v>6.6333333333333302</v>
      </c>
      <c r="P18" s="119">
        <v>12</v>
      </c>
      <c r="Q18" s="107">
        <v>79.599999999999966</v>
      </c>
    </row>
    <row r="19" spans="1:17" x14ac:dyDescent="0.4">
      <c r="A19" s="55" t="s">
        <v>11</v>
      </c>
      <c r="B19" s="47">
        <v>123</v>
      </c>
      <c r="C19" s="39">
        <f>IF(B$17=0,0,B19/B$17)</f>
        <v>0.57476635514018692</v>
      </c>
      <c r="E19" s="63" t="s">
        <v>82</v>
      </c>
      <c r="F19" s="60" t="s">
        <v>37</v>
      </c>
      <c r="G19" s="47">
        <v>8</v>
      </c>
      <c r="H19" s="133">
        <f>IF(B$17=0,0,G19/B$17)</f>
        <v>3.7383177570093455E-2</v>
      </c>
      <c r="I19" s="94">
        <v>3</v>
      </c>
      <c r="K19" s="38">
        <v>17</v>
      </c>
      <c r="L19" s="99">
        <v>-55.099999999999994</v>
      </c>
      <c r="N19" s="115" t="s">
        <v>128</v>
      </c>
      <c r="O19" s="125">
        <f t="shared" si="2"/>
        <v>-0.21290322580645182</v>
      </c>
      <c r="P19" s="119">
        <v>31</v>
      </c>
      <c r="Q19" s="107">
        <v>-6.6000000000000068</v>
      </c>
    </row>
    <row r="20" spans="1:17" x14ac:dyDescent="0.4">
      <c r="A20" s="55" t="s">
        <v>13</v>
      </c>
      <c r="B20" s="47">
        <v>85</v>
      </c>
      <c r="C20" s="39">
        <f>IF(B$3=0,0,B20/B$3)</f>
        <v>0.13687600644122383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200</v>
      </c>
      <c r="O20" s="125">
        <f t="shared" si="2"/>
        <v>-2.7400000000000033</v>
      </c>
      <c r="P20" s="119">
        <v>5</v>
      </c>
      <c r="Q20" s="107">
        <v>-13.700000000000017</v>
      </c>
    </row>
    <row r="21" spans="1:17" x14ac:dyDescent="0.4">
      <c r="A21" s="55" t="s">
        <v>191</v>
      </c>
      <c r="B21" s="47">
        <v>10</v>
      </c>
      <c r="C21" s="135">
        <v>1</v>
      </c>
      <c r="E21" s="63" t="s">
        <v>84</v>
      </c>
      <c r="F21" s="60" t="s">
        <v>39</v>
      </c>
      <c r="G21" s="47">
        <v>13</v>
      </c>
      <c r="H21" s="133">
        <f>IF(B$17=0,0,G21/B$17)</f>
        <v>6.0747663551401869E-2</v>
      </c>
      <c r="I21" s="94">
        <v>3</v>
      </c>
      <c r="K21" s="38">
        <v>19</v>
      </c>
      <c r="L21" s="99">
        <v>29.200000000000003</v>
      </c>
      <c r="N21" s="115" t="s">
        <v>177</v>
      </c>
      <c r="O21" s="125">
        <f t="shared" si="2"/>
        <v>-2.9214285714285722</v>
      </c>
      <c r="P21" s="119">
        <v>14</v>
      </c>
      <c r="Q21" s="107">
        <v>-40.900000000000013</v>
      </c>
    </row>
    <row r="22" spans="1:17" x14ac:dyDescent="0.4">
      <c r="A22" s="55" t="s">
        <v>192</v>
      </c>
      <c r="B22" s="47">
        <v>23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43</v>
      </c>
      <c r="N22" s="115" t="s">
        <v>171</v>
      </c>
      <c r="O22" s="125">
        <f t="shared" si="2"/>
        <v>-4.6450000000000005</v>
      </c>
      <c r="P22" s="119">
        <v>20</v>
      </c>
      <c r="Q22" s="107">
        <v>-92.9</v>
      </c>
    </row>
    <row r="23" spans="1:17" x14ac:dyDescent="0.4">
      <c r="A23" s="55" t="s">
        <v>5</v>
      </c>
      <c r="B23" s="51">
        <f>IF(B$17=0,0,C23/B$17)</f>
        <v>6643.4579439252338</v>
      </c>
      <c r="C23" s="41">
        <v>1421700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-22.892105263157895</v>
      </c>
      <c r="P23" s="119">
        <v>38</v>
      </c>
      <c r="Q23" s="107">
        <v>-869.9</v>
      </c>
    </row>
    <row r="24" spans="1:17" x14ac:dyDescent="0.4">
      <c r="A24" s="57" t="s">
        <v>14</v>
      </c>
      <c r="B24" s="52">
        <f>IF(B$20=0,0,C24/B$20)</f>
        <v>-8638.823529411764</v>
      </c>
      <c r="C24" s="45">
        <v>-734300</v>
      </c>
      <c r="E24" s="63" t="s">
        <v>87</v>
      </c>
      <c r="F24" s="60" t="s">
        <v>42</v>
      </c>
      <c r="G24" s="47">
        <v>8</v>
      </c>
      <c r="H24" s="133">
        <f>IF(B$17=0,0,G24/B$17)</f>
        <v>3.7383177570093455E-2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4.6728971962616819E-3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1.6103059581320451E-3</v>
      </c>
      <c r="E27" s="63" t="s">
        <v>90</v>
      </c>
      <c r="F27" s="60" t="s">
        <v>45</v>
      </c>
      <c r="G27" s="47">
        <v>17</v>
      </c>
      <c r="H27" s="133">
        <f>IF(B$17=0,0,G27/B$17)</f>
        <v>7.9439252336448593E-2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4.6728971962616819E-3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9.3457943925233638E-3</v>
      </c>
      <c r="I29" s="94">
        <v>7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136" t="s">
        <v>245</v>
      </c>
      <c r="F51" s="137" t="s">
        <v>246</v>
      </c>
      <c r="G51" s="48">
        <v>95</v>
      </c>
      <c r="H51" s="138">
        <f>IF(B$17=0,0,G51/B$17)</f>
        <v>0.44392523364485981</v>
      </c>
      <c r="I51" s="139">
        <v>2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</sheetData>
  <sortState ref="E2:I74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9C69A-1D11-4802-B038-119E86B40E2A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44</v>
      </c>
      <c r="C2" s="151"/>
      <c r="E2" s="62" t="s">
        <v>65</v>
      </c>
      <c r="F2" s="59" t="s">
        <v>21</v>
      </c>
      <c r="G2" s="46">
        <v>50</v>
      </c>
      <c r="H2" s="132">
        <f>IF(B$17=0,0,G2/B$17)</f>
        <v>0.43859649122807015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-3038.6363636363635</v>
      </c>
      <c r="P2" s="118">
        <v>44</v>
      </c>
      <c r="Q2" s="102">
        <v>-133700</v>
      </c>
    </row>
    <row r="3" spans="1:17" x14ac:dyDescent="0.4">
      <c r="A3" s="55" t="s">
        <v>8</v>
      </c>
      <c r="B3" s="152">
        <v>382</v>
      </c>
      <c r="C3" s="153"/>
      <c r="E3" s="63" t="s">
        <v>66</v>
      </c>
      <c r="F3" s="60" t="s">
        <v>22</v>
      </c>
      <c r="G3" s="47">
        <v>9</v>
      </c>
      <c r="H3" s="133">
        <f>IF(B$17=0,0,G3/B$17)</f>
        <v>7.8947368421052627E-2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2159.090909090909</v>
      </c>
      <c r="P3" s="119">
        <v>44</v>
      </c>
      <c r="Q3" s="103">
        <v>95000</v>
      </c>
    </row>
    <row r="4" spans="1:17" x14ac:dyDescent="0.4">
      <c r="A4" s="55" t="s">
        <v>6</v>
      </c>
      <c r="B4" s="154">
        <v>-262.59999999999997</v>
      </c>
      <c r="C4" s="155"/>
      <c r="E4" s="63" t="s">
        <v>67</v>
      </c>
      <c r="F4" s="60" t="s">
        <v>23</v>
      </c>
      <c r="G4" s="47">
        <v>77</v>
      </c>
      <c r="H4" s="133">
        <f>IF(B$17=0,0,G4/B$17)</f>
        <v>0.67543859649122806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-738.09523809523807</v>
      </c>
      <c r="P4" s="119">
        <v>42</v>
      </c>
      <c r="Q4" s="103">
        <v>-31000</v>
      </c>
    </row>
    <row r="5" spans="1:17" x14ac:dyDescent="0.4">
      <c r="A5" s="55" t="s">
        <v>7</v>
      </c>
      <c r="B5" s="156">
        <f>IF(B$2=0,0,B$4/B$2)</f>
        <v>-5.9681818181818178</v>
      </c>
      <c r="C5" s="157"/>
      <c r="E5" s="63" t="s">
        <v>68</v>
      </c>
      <c r="F5" s="60" t="s">
        <v>24</v>
      </c>
      <c r="G5" s="47">
        <v>28</v>
      </c>
      <c r="H5" s="133">
        <f>IF(B$17=0,0,G5/B$17)</f>
        <v>0.24561403508771928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-3689.7435897435898</v>
      </c>
      <c r="P5" s="119">
        <v>39</v>
      </c>
      <c r="Q5" s="103">
        <v>-143900</v>
      </c>
    </row>
    <row r="6" spans="1:17" x14ac:dyDescent="0.4">
      <c r="A6" s="55" t="s">
        <v>1</v>
      </c>
      <c r="B6" s="146">
        <f>IF(B$2=0,0,(B$7*1+B$8*2+B$9*3)/B$2)</f>
        <v>2.0681818181818183</v>
      </c>
      <c r="C6" s="147"/>
      <c r="E6" s="63" t="s">
        <v>69</v>
      </c>
      <c r="F6" s="60" t="s">
        <v>12</v>
      </c>
      <c r="G6" s="47">
        <v>44</v>
      </c>
      <c r="H6" s="133">
        <f>IF(B$17=0,0,G6/B$17)</f>
        <v>0.38596491228070173</v>
      </c>
      <c r="I6" s="94">
        <v>3</v>
      </c>
      <c r="K6" s="38">
        <v>4</v>
      </c>
      <c r="L6" s="99">
        <v>-150.6</v>
      </c>
      <c r="N6" s="115" t="s">
        <v>136</v>
      </c>
      <c r="O6" s="122">
        <f t="shared" si="0"/>
        <v>-128.57142857142858</v>
      </c>
      <c r="P6" s="119">
        <v>35</v>
      </c>
      <c r="Q6" s="103">
        <v>-4500</v>
      </c>
    </row>
    <row r="7" spans="1:17" x14ac:dyDescent="0.4">
      <c r="A7" s="55" t="s">
        <v>2</v>
      </c>
      <c r="B7" s="47">
        <v>13</v>
      </c>
      <c r="C7" s="39">
        <f>IF(B$2=0,0,B7/B$2)</f>
        <v>0.29545454545454547</v>
      </c>
      <c r="E7" s="63" t="s">
        <v>70</v>
      </c>
      <c r="F7" s="60" t="s">
        <v>25</v>
      </c>
      <c r="G7" s="47">
        <v>13</v>
      </c>
      <c r="H7" s="133">
        <f>IF(B$17=0,0,G7/B$17)</f>
        <v>0.11403508771929824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632.35294117647061</v>
      </c>
      <c r="P7" s="120">
        <v>34</v>
      </c>
      <c r="Q7" s="104">
        <v>21500</v>
      </c>
    </row>
    <row r="8" spans="1:17" x14ac:dyDescent="0.4">
      <c r="A8" s="55" t="s">
        <v>3</v>
      </c>
      <c r="B8" s="47">
        <v>15</v>
      </c>
      <c r="C8" s="39">
        <f>IF(B$2=0,0,B8/B$2)</f>
        <v>0.34090909090909088</v>
      </c>
      <c r="E8" s="63" t="s">
        <v>71</v>
      </c>
      <c r="F8" s="60" t="s">
        <v>26</v>
      </c>
      <c r="G8" s="47">
        <v>14</v>
      </c>
      <c r="H8" s="133">
        <f>IF(B$17=0,0,G8/B$17)</f>
        <v>0.12280701754385964</v>
      </c>
      <c r="I8" s="94">
        <v>2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0.36363636363636365</v>
      </c>
      <c r="E9" s="63" t="s">
        <v>72</v>
      </c>
      <c r="F9" s="60" t="s">
        <v>27</v>
      </c>
      <c r="G9" s="47">
        <v>6</v>
      </c>
      <c r="H9" s="133">
        <f>IF(B$17=0,0,G9/B$17)</f>
        <v>5.2631578947368418E-2</v>
      </c>
      <c r="I9" s="94">
        <v>10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0.11363636363636363</v>
      </c>
      <c r="E10" s="63" t="s">
        <v>73</v>
      </c>
      <c r="F10" s="60" t="s">
        <v>28</v>
      </c>
      <c r="G10" s="47">
        <v>59</v>
      </c>
      <c r="H10" s="133">
        <f>IF(B$17=0,0,G10/B$17)</f>
        <v>0.51754385964912286</v>
      </c>
      <c r="I10" s="94">
        <v>8</v>
      </c>
      <c r="K10" s="38">
        <v>8</v>
      </c>
      <c r="L10" s="99">
        <v>-219.59999999999997</v>
      </c>
      <c r="N10" s="114" t="s">
        <v>164</v>
      </c>
      <c r="O10" s="124">
        <f>IF(P10=0,0,Q10/P10)</f>
        <v>-3.9</v>
      </c>
      <c r="P10" s="118">
        <v>11</v>
      </c>
      <c r="Q10" s="106">
        <v>-42.9</v>
      </c>
    </row>
    <row r="11" spans="1:17" x14ac:dyDescent="0.4">
      <c r="A11" s="56" t="s">
        <v>140</v>
      </c>
      <c r="B11" s="48">
        <v>3</v>
      </c>
      <c r="C11" s="40">
        <f>IF(B$2=0,0,B11/B$2)</f>
        <v>6.8181818181818177E-2</v>
      </c>
      <c r="E11" s="63" t="s">
        <v>74</v>
      </c>
      <c r="F11" s="60" t="s">
        <v>29</v>
      </c>
      <c r="G11" s="47">
        <v>2</v>
      </c>
      <c r="H11" s="133">
        <f>IF(B$17=0,0,G11/B$17)</f>
        <v>1.7543859649122806E-2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4.5454545454545456E-2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88</v>
      </c>
      <c r="C13" s="44">
        <f>IF(B$3=0,0,B13/B$3)</f>
        <v>0.23036649214659685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0.25654450261780104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0.59090909090909094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0.33673469387755101</v>
      </c>
      <c r="E16" s="63" t="s">
        <v>79</v>
      </c>
      <c r="F16" s="60" t="s">
        <v>34</v>
      </c>
      <c r="G16" s="47">
        <v>2</v>
      </c>
      <c r="H16" s="133">
        <f>IF(B$17=0,0,G16/B$17)</f>
        <v>1.7543859649122806E-2</v>
      </c>
      <c r="I16" s="94">
        <v>9</v>
      </c>
      <c r="K16" s="38">
        <v>14</v>
      </c>
      <c r="L16" s="99">
        <v>-269.99999999999994</v>
      </c>
      <c r="N16" s="115" t="s">
        <v>128</v>
      </c>
      <c r="O16" s="125">
        <f t="shared" si="2"/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0.29842931937172773</v>
      </c>
      <c r="E17" s="63" t="s">
        <v>80</v>
      </c>
      <c r="F17" s="60" t="s">
        <v>35</v>
      </c>
      <c r="G17" s="47">
        <v>2</v>
      </c>
      <c r="H17" s="133">
        <f>IF(B$17=0,0,G17/B$17)</f>
        <v>1.7543859649122806E-2</v>
      </c>
      <c r="I17" s="94">
        <v>4</v>
      </c>
      <c r="K17" s="38">
        <v>15</v>
      </c>
      <c r="L17" s="99">
        <v>-264.59999999999997</v>
      </c>
      <c r="N17" s="115" t="s">
        <v>172</v>
      </c>
      <c r="O17" s="125">
        <f t="shared" si="2"/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58</v>
      </c>
      <c r="C18" s="39">
        <f>IF(B$17=0,0,B18/B$17)</f>
        <v>0.50877192982456143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177</v>
      </c>
      <c r="O18" s="125">
        <f t="shared" si="2"/>
        <v>-10.050000000000001</v>
      </c>
      <c r="P18" s="119">
        <v>6</v>
      </c>
      <c r="Q18" s="107">
        <v>-60.300000000000004</v>
      </c>
    </row>
    <row r="19" spans="1:17" x14ac:dyDescent="0.4">
      <c r="A19" s="55" t="s">
        <v>11</v>
      </c>
      <c r="B19" s="47">
        <v>56</v>
      </c>
      <c r="C19" s="39">
        <f>IF(B$17=0,0,B19/B$17)</f>
        <v>0.49122807017543857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171</v>
      </c>
      <c r="O19" s="125">
        <f t="shared" si="2"/>
        <v>-11.647058823529409</v>
      </c>
      <c r="P19" s="119">
        <v>17</v>
      </c>
      <c r="Q19" s="107">
        <v>-197.99999999999997</v>
      </c>
    </row>
    <row r="20" spans="1:17" x14ac:dyDescent="0.4">
      <c r="A20" s="55" t="s">
        <v>13</v>
      </c>
      <c r="B20" s="47">
        <v>71</v>
      </c>
      <c r="C20" s="39">
        <f>IF(B$3=0,0,B20/B$3)</f>
        <v>0.18586387434554974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 t="shared" si="2"/>
        <v>-21.768181818181816</v>
      </c>
      <c r="P20" s="119">
        <v>22</v>
      </c>
      <c r="Q20" s="107">
        <v>-478.9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1.7543859649122806E-2</v>
      </c>
      <c r="I21" s="94">
        <v>11</v>
      </c>
      <c r="K21" s="38">
        <v>19</v>
      </c>
      <c r="L21" s="99">
        <v>-188.59999999999994</v>
      </c>
      <c r="N21" s="115" t="s">
        <v>200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192</v>
      </c>
      <c r="B22" s="47">
        <v>24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6998.2456140350878</v>
      </c>
      <c r="C23" s="41">
        <v>797800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-7866.1971830985913</v>
      </c>
      <c r="C24" s="45">
        <v>-558500</v>
      </c>
      <c r="E24" s="63" t="s">
        <v>87</v>
      </c>
      <c r="F24" s="60" t="s">
        <v>42</v>
      </c>
      <c r="G24" s="47">
        <v>4</v>
      </c>
      <c r="H24" s="133">
        <f>IF(B$17=0,0,G24/B$17)</f>
        <v>3.5087719298245612E-2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8.771929824561403E-3</v>
      </c>
      <c r="I25" s="94">
        <v>2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85900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5.235602094240838E-3</v>
      </c>
      <c r="E27" s="63" t="s">
        <v>90</v>
      </c>
      <c r="F27" s="60" t="s">
        <v>45</v>
      </c>
      <c r="G27" s="47">
        <v>14</v>
      </c>
      <c r="H27" s="133">
        <f>IF(B$17=0,0,G27/B$17)</f>
        <v>0.12280701754385964</v>
      </c>
      <c r="I27" s="94">
        <v>8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1.7543859649122806E-2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1.7543859649122806E-2</v>
      </c>
      <c r="I50" s="94">
        <v>4</v>
      </c>
    </row>
    <row r="51" spans="5:9" x14ac:dyDescent="0.4">
      <c r="E51" s="136" t="s">
        <v>245</v>
      </c>
      <c r="F51" s="137" t="s">
        <v>246</v>
      </c>
      <c r="G51" s="48">
        <v>45</v>
      </c>
      <c r="H51" s="138">
        <f>IF(B$17=0,0,G51/B$17)</f>
        <v>0.39473684210526316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F7A80-F288-4765-963B-E9561A163206}">
  <sheetPr codeName="Sheet19"/>
  <dimension ref="A1:Q6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58</v>
      </c>
      <c r="C2" s="151"/>
      <c r="E2" s="62" t="s">
        <v>65</v>
      </c>
      <c r="F2" s="59" t="s">
        <v>21</v>
      </c>
      <c r="G2" s="46">
        <v>89</v>
      </c>
      <c r="H2" s="132">
        <f>IF(B$17=0,0,G2/B$17)</f>
        <v>0.61379310344827587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984.48275862068965</v>
      </c>
      <c r="P2" s="118">
        <v>58</v>
      </c>
      <c r="Q2" s="102">
        <v>57100</v>
      </c>
    </row>
    <row r="3" spans="1:17" x14ac:dyDescent="0.4">
      <c r="A3" s="55" t="s">
        <v>8</v>
      </c>
      <c r="B3" s="152">
        <v>469</v>
      </c>
      <c r="C3" s="153"/>
      <c r="E3" s="63" t="s">
        <v>67</v>
      </c>
      <c r="F3" s="60" t="s">
        <v>23</v>
      </c>
      <c r="G3" s="47">
        <v>88</v>
      </c>
      <c r="H3" s="133">
        <f>IF(B$17=0,0,G3/B$17)</f>
        <v>0.60689655172413792</v>
      </c>
      <c r="I3" s="94">
        <v>11</v>
      </c>
      <c r="K3" s="38">
        <v>1</v>
      </c>
      <c r="L3" s="99">
        <v>-1.9</v>
      </c>
      <c r="N3" s="115" t="s">
        <v>133</v>
      </c>
      <c r="O3" s="122">
        <f t="shared" si="0"/>
        <v>1969.090909090909</v>
      </c>
      <c r="P3" s="119">
        <v>55</v>
      </c>
      <c r="Q3" s="103">
        <v>108300</v>
      </c>
    </row>
    <row r="4" spans="1:17" x14ac:dyDescent="0.4">
      <c r="A4" s="55" t="s">
        <v>6</v>
      </c>
      <c r="B4" s="154">
        <v>244.60000000000002</v>
      </c>
      <c r="C4" s="155"/>
      <c r="E4" s="63" t="s">
        <v>245</v>
      </c>
      <c r="F4" s="60" t="s">
        <v>246</v>
      </c>
      <c r="G4" s="47">
        <v>61</v>
      </c>
      <c r="H4" s="133">
        <f>IF(B$17=0,0,G4/B$17)</f>
        <v>0.4206896551724138</v>
      </c>
      <c r="I4" s="94">
        <v>4</v>
      </c>
      <c r="K4" s="38">
        <v>2</v>
      </c>
      <c r="L4" s="99">
        <v>30</v>
      </c>
      <c r="N4" s="115" t="s">
        <v>134</v>
      </c>
      <c r="O4" s="122">
        <f t="shared" si="0"/>
        <v>-1154</v>
      </c>
      <c r="P4" s="119">
        <v>50</v>
      </c>
      <c r="Q4" s="103">
        <v>-57700</v>
      </c>
    </row>
    <row r="5" spans="1:17" x14ac:dyDescent="0.4">
      <c r="A5" s="55" t="s">
        <v>7</v>
      </c>
      <c r="B5" s="156">
        <f>IF(B$2=0,0,B$4/B$2)</f>
        <v>4.2172413793103454</v>
      </c>
      <c r="C5" s="157"/>
      <c r="E5" s="63" t="s">
        <v>73</v>
      </c>
      <c r="F5" s="60" t="s">
        <v>28</v>
      </c>
      <c r="G5" s="47">
        <v>60</v>
      </c>
      <c r="H5" s="133">
        <f>IF(B$17=0,0,G5/B$17)</f>
        <v>0.41379310344827586</v>
      </c>
      <c r="I5" s="94">
        <v>11</v>
      </c>
      <c r="K5" s="38">
        <v>3</v>
      </c>
      <c r="L5" s="99">
        <v>-10</v>
      </c>
      <c r="N5" s="115" t="s">
        <v>135</v>
      </c>
      <c r="O5" s="122">
        <f t="shared" si="0"/>
        <v>1956.25</v>
      </c>
      <c r="P5" s="119">
        <v>48</v>
      </c>
      <c r="Q5" s="103">
        <v>93900</v>
      </c>
    </row>
    <row r="6" spans="1:17" x14ac:dyDescent="0.4">
      <c r="A6" s="55" t="s">
        <v>1</v>
      </c>
      <c r="B6" s="146">
        <f>IF(B$2=0,0,(B$7*1+B$8*2+B$9*3)/B$2)</f>
        <v>1.896551724137931</v>
      </c>
      <c r="C6" s="147"/>
      <c r="E6" s="63" t="s">
        <v>68</v>
      </c>
      <c r="F6" s="60" t="s">
        <v>24</v>
      </c>
      <c r="G6" s="47">
        <v>54</v>
      </c>
      <c r="H6" s="133">
        <f>IF(B$17=0,0,G6/B$17)</f>
        <v>0.3724137931034483</v>
      </c>
      <c r="I6" s="94">
        <v>5</v>
      </c>
      <c r="K6" s="38">
        <v>4</v>
      </c>
      <c r="L6" s="99">
        <v>40</v>
      </c>
      <c r="N6" s="115" t="s">
        <v>136</v>
      </c>
      <c r="O6" s="122">
        <f t="shared" si="0"/>
        <v>-1288.3720930232557</v>
      </c>
      <c r="P6" s="119">
        <v>43</v>
      </c>
      <c r="Q6" s="103">
        <v>-55400</v>
      </c>
    </row>
    <row r="7" spans="1:17" x14ac:dyDescent="0.4">
      <c r="A7" s="55" t="s">
        <v>2</v>
      </c>
      <c r="B7" s="47">
        <v>23</v>
      </c>
      <c r="C7" s="39">
        <f>IF(B$2=0,0,B7/B$2)</f>
        <v>0.39655172413793105</v>
      </c>
      <c r="E7" s="63" t="s">
        <v>69</v>
      </c>
      <c r="F7" s="60" t="s">
        <v>12</v>
      </c>
      <c r="G7" s="47">
        <v>45</v>
      </c>
      <c r="H7" s="133">
        <f>IF(B$17=0,0,G7/B$17)</f>
        <v>0.31034482758620691</v>
      </c>
      <c r="I7" s="94">
        <v>9</v>
      </c>
      <c r="K7" s="38">
        <v>5</v>
      </c>
      <c r="L7" s="99">
        <v>35.4</v>
      </c>
      <c r="N7" s="116" t="s">
        <v>137</v>
      </c>
      <c r="O7" s="123">
        <f t="shared" si="0"/>
        <v>531.42857142857144</v>
      </c>
      <c r="P7" s="120">
        <v>35</v>
      </c>
      <c r="Q7" s="104">
        <v>18600</v>
      </c>
    </row>
    <row r="8" spans="1:17" x14ac:dyDescent="0.4">
      <c r="A8" s="55" t="s">
        <v>3</v>
      </c>
      <c r="B8" s="47">
        <v>18</v>
      </c>
      <c r="C8" s="39">
        <f>IF(B$2=0,0,B8/B$2)</f>
        <v>0.31034482758620691</v>
      </c>
      <c r="E8" s="63" t="s">
        <v>70</v>
      </c>
      <c r="F8" s="60" t="s">
        <v>25</v>
      </c>
      <c r="G8" s="47">
        <v>26</v>
      </c>
      <c r="H8" s="133">
        <f>IF(B$17=0,0,G8/B$17)</f>
        <v>0.1793103448275862</v>
      </c>
      <c r="I8" s="94">
        <v>5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0.29310344827586204</v>
      </c>
      <c r="E9" s="63" t="s">
        <v>66</v>
      </c>
      <c r="F9" s="60" t="s">
        <v>22</v>
      </c>
      <c r="G9" s="47">
        <v>17</v>
      </c>
      <c r="H9" s="133">
        <f>IF(B$17=0,0,G9/B$17)</f>
        <v>0.11724137931034483</v>
      </c>
      <c r="I9" s="94">
        <v>5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0.15517241379310345</v>
      </c>
      <c r="E10" s="63" t="s">
        <v>90</v>
      </c>
      <c r="F10" s="60" t="s">
        <v>45</v>
      </c>
      <c r="G10" s="47">
        <v>17</v>
      </c>
      <c r="H10" s="133">
        <f>IF(B$17=0,0,G10/B$17)</f>
        <v>0.11724137931034483</v>
      </c>
      <c r="I10" s="94">
        <v>9</v>
      </c>
      <c r="K10" s="38">
        <v>8</v>
      </c>
      <c r="L10" s="99">
        <v>-87.1</v>
      </c>
      <c r="N10" s="114" t="s">
        <v>164</v>
      </c>
      <c r="O10" s="124">
        <f>IF(P10=0,0,Q10/P10)</f>
        <v>5.511764705882352</v>
      </c>
      <c r="P10" s="118">
        <v>17</v>
      </c>
      <c r="Q10" s="106">
        <v>93.699999999999989</v>
      </c>
    </row>
    <row r="11" spans="1:17" x14ac:dyDescent="0.4">
      <c r="A11" s="56" t="s">
        <v>140</v>
      </c>
      <c r="B11" s="48">
        <v>8</v>
      </c>
      <c r="C11" s="40">
        <f>IF(B$2=0,0,B11/B$2)</f>
        <v>0.13793103448275862</v>
      </c>
      <c r="E11" s="63" t="s">
        <v>71</v>
      </c>
      <c r="F11" s="60" t="s">
        <v>26</v>
      </c>
      <c r="G11" s="47">
        <v>10</v>
      </c>
      <c r="H11" s="133">
        <f>IF(B$17=0,0,G11/B$17)</f>
        <v>6.8965517241379309E-2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9.8272727272727263</v>
      </c>
      <c r="P11" s="119">
        <v>22</v>
      </c>
      <c r="Q11" s="107">
        <v>216.2</v>
      </c>
    </row>
    <row r="12" spans="1:17" x14ac:dyDescent="0.4">
      <c r="A12" s="57" t="s">
        <v>160</v>
      </c>
      <c r="B12" s="49">
        <v>5</v>
      </c>
      <c r="C12" s="42">
        <f>IF(B$2=0,0,B12/B$2)</f>
        <v>8.6206896551724144E-2</v>
      </c>
      <c r="E12" s="63" t="s">
        <v>72</v>
      </c>
      <c r="F12" s="60" t="s">
        <v>27</v>
      </c>
      <c r="G12" s="47">
        <v>8</v>
      </c>
      <c r="H12" s="133">
        <f>IF(B$17=0,0,G12/B$17)</f>
        <v>5.5172413793103448E-2</v>
      </c>
      <c r="I12" s="94">
        <v>9</v>
      </c>
      <c r="K12" s="38">
        <v>10</v>
      </c>
      <c r="L12" s="99">
        <v>-183.7</v>
      </c>
      <c r="N12" s="116" t="s">
        <v>166</v>
      </c>
      <c r="O12" s="126">
        <f>IF(P12=0,0,Q12/P12)</f>
        <v>-3.4368421052631577</v>
      </c>
      <c r="P12" s="120">
        <v>19</v>
      </c>
      <c r="Q12" s="108">
        <v>-65.3</v>
      </c>
    </row>
    <row r="13" spans="1:17" x14ac:dyDescent="0.4">
      <c r="A13" s="58" t="s">
        <v>122</v>
      </c>
      <c r="B13" s="50">
        <v>133</v>
      </c>
      <c r="C13" s="44">
        <f>IF(B$3=0,0,B13/B$3)</f>
        <v>0.28358208955223879</v>
      </c>
      <c r="E13" s="63" t="s">
        <v>84</v>
      </c>
      <c r="F13" s="60" t="s">
        <v>39</v>
      </c>
      <c r="G13" s="47">
        <v>7</v>
      </c>
      <c r="H13" s="133">
        <f>IF(B$17=0,0,G13/B$17)</f>
        <v>4.8275862068965517E-2</v>
      </c>
      <c r="I13" s="94">
        <v>7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87</v>
      </c>
      <c r="C14" s="39">
        <f>IF(B$3=0,0,B14/B$3)</f>
        <v>0.18550106609808104</v>
      </c>
      <c r="E14" s="63" t="s">
        <v>79</v>
      </c>
      <c r="F14" s="60" t="s">
        <v>34</v>
      </c>
      <c r="G14" s="47">
        <v>5</v>
      </c>
      <c r="H14" s="133">
        <f>IF(B$17=0,0,G14/B$17)</f>
        <v>3.4482758620689655E-2</v>
      </c>
      <c r="I14" s="94">
        <v>4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89</v>
      </c>
      <c r="C15" s="37">
        <f>IF(B$13=0,0,B15/B$13)</f>
        <v>0.66917293233082709</v>
      </c>
      <c r="E15" s="63" t="s">
        <v>92</v>
      </c>
      <c r="F15" s="60" t="s">
        <v>47</v>
      </c>
      <c r="G15" s="47">
        <v>5</v>
      </c>
      <c r="H15" s="133">
        <f>IF(B$17=0,0,G15/B$17)</f>
        <v>3.4482758620689655E-2</v>
      </c>
      <c r="I15" s="94">
        <v>1</v>
      </c>
      <c r="K15" s="38">
        <v>13</v>
      </c>
      <c r="L15" s="99">
        <v>-209.59999999999997</v>
      </c>
      <c r="N15" s="114" t="s">
        <v>171</v>
      </c>
      <c r="O15" s="124">
        <f>IF(P15=0,0,Q15/P15)</f>
        <v>39.91764705882354</v>
      </c>
      <c r="P15" s="118">
        <v>17</v>
      </c>
      <c r="Q15" s="106">
        <v>678.60000000000014</v>
      </c>
    </row>
    <row r="16" spans="1:17" x14ac:dyDescent="0.4">
      <c r="A16" s="54" t="s">
        <v>125</v>
      </c>
      <c r="B16" s="46">
        <v>33</v>
      </c>
      <c r="C16" s="37">
        <f>IF(B$14=0,0,B16/B$14)</f>
        <v>0.37931034482758619</v>
      </c>
      <c r="E16" s="63" t="s">
        <v>82</v>
      </c>
      <c r="F16" s="60" t="s">
        <v>37</v>
      </c>
      <c r="G16" s="47">
        <v>4</v>
      </c>
      <c r="H16" s="133">
        <f>IF(B$17=0,0,G16/B$17)</f>
        <v>2.7586206896551724E-2</v>
      </c>
      <c r="I16" s="94">
        <v>8</v>
      </c>
      <c r="K16" s="38">
        <v>14</v>
      </c>
      <c r="L16" s="99">
        <v>-178.49999999999997</v>
      </c>
      <c r="N16" s="115" t="s">
        <v>200</v>
      </c>
      <c r="O16" s="125">
        <f>IF(P16=0,0,Q16/P16)</f>
        <v>32.625</v>
      </c>
      <c r="P16" s="119">
        <v>4</v>
      </c>
      <c r="Q16" s="107">
        <v>130.5</v>
      </c>
    </row>
    <row r="17" spans="1:17" x14ac:dyDescent="0.4">
      <c r="A17" s="54" t="s">
        <v>10</v>
      </c>
      <c r="B17" s="46">
        <f>B19+B18</f>
        <v>145</v>
      </c>
      <c r="C17" s="37">
        <f>IF(B$3=0,0,B17/B$3)</f>
        <v>0.30916844349680173</v>
      </c>
      <c r="E17" s="63" t="s">
        <v>87</v>
      </c>
      <c r="F17" s="60" t="s">
        <v>42</v>
      </c>
      <c r="G17" s="47">
        <v>4</v>
      </c>
      <c r="H17" s="133">
        <f>IF(B$17=0,0,G17/B$17)</f>
        <v>2.7586206896551724E-2</v>
      </c>
      <c r="I17" s="94">
        <v>10</v>
      </c>
      <c r="K17" s="38">
        <v>15</v>
      </c>
      <c r="L17" s="99">
        <v>-146.19999999999999</v>
      </c>
      <c r="N17" s="115" t="s">
        <v>184</v>
      </c>
      <c r="O17" s="125">
        <f>IF(P17=0,0,Q17/P17)</f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63</v>
      </c>
      <c r="C18" s="39">
        <f>IF(B$17=0,0,B18/B$17)</f>
        <v>0.43448275862068964</v>
      </c>
      <c r="E18" s="63" t="s">
        <v>86</v>
      </c>
      <c r="F18" s="60" t="s">
        <v>41</v>
      </c>
      <c r="G18" s="47">
        <v>3</v>
      </c>
      <c r="H18" s="133">
        <f>IF(B$17=0,0,G18/B$17)</f>
        <v>2.0689655172413793E-2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>IF(P18=0,0,Q18/P18)</f>
        <v>12.139130434782608</v>
      </c>
      <c r="P18" s="119">
        <v>23</v>
      </c>
      <c r="Q18" s="107">
        <v>279.2</v>
      </c>
    </row>
    <row r="19" spans="1:17" x14ac:dyDescent="0.4">
      <c r="A19" s="55" t="s">
        <v>11</v>
      </c>
      <c r="B19" s="47">
        <v>82</v>
      </c>
      <c r="C19" s="39">
        <f>IF(B$17=0,0,B19/B$17)</f>
        <v>0.56551724137931036</v>
      </c>
      <c r="E19" s="63" t="s">
        <v>80</v>
      </c>
      <c r="F19" s="60" t="s">
        <v>35</v>
      </c>
      <c r="G19" s="47">
        <v>2</v>
      </c>
      <c r="H19" s="133">
        <f>IF(B$17=0,0,G19/B$17)</f>
        <v>1.3793103448275862E-2</v>
      </c>
      <c r="I19" s="94">
        <v>8</v>
      </c>
      <c r="K19" s="38">
        <v>17</v>
      </c>
      <c r="L19" s="99">
        <v>-161.19999999999999</v>
      </c>
      <c r="N19" s="115" t="s">
        <v>129</v>
      </c>
      <c r="O19" s="125">
        <f>IF(P19=0,0,Q19/P19)</f>
        <v>12.031578947368422</v>
      </c>
      <c r="P19" s="119">
        <v>19</v>
      </c>
      <c r="Q19" s="107">
        <v>228.60000000000002</v>
      </c>
    </row>
    <row r="20" spans="1:17" x14ac:dyDescent="0.4">
      <c r="A20" s="55" t="s">
        <v>13</v>
      </c>
      <c r="B20" s="47">
        <v>72</v>
      </c>
      <c r="C20" s="39">
        <f>IF(B$3=0,0,B20/B$3)</f>
        <v>0.15351812366737741</v>
      </c>
      <c r="E20" s="63" t="s">
        <v>75</v>
      </c>
      <c r="F20" s="60" t="s">
        <v>30</v>
      </c>
      <c r="G20" s="47">
        <v>1</v>
      </c>
      <c r="H20" s="133">
        <f>IF(B$17=0,0,G20/B$17)</f>
        <v>6.8965517241379309E-3</v>
      </c>
      <c r="I20" s="94">
        <v>3</v>
      </c>
      <c r="K20" s="38">
        <v>18</v>
      </c>
      <c r="L20" s="99">
        <v>-159</v>
      </c>
      <c r="N20" s="115" t="s">
        <v>173</v>
      </c>
      <c r="O20" s="125">
        <f>IF(P20=0,0,Q20/P20)</f>
        <v>10.050000000000002</v>
      </c>
      <c r="P20" s="119">
        <v>6</v>
      </c>
      <c r="Q20" s="107">
        <v>60.300000000000011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6.8965517241379309E-3</v>
      </c>
      <c r="I21" s="94">
        <v>4</v>
      </c>
      <c r="K21" s="38">
        <v>19</v>
      </c>
      <c r="L21" s="99">
        <v>-235.6</v>
      </c>
      <c r="N21" s="115" t="s">
        <v>172</v>
      </c>
      <c r="O21" s="125">
        <f>IF(P21=0,0,Q21/P21)</f>
        <v>2.9214285714285686</v>
      </c>
      <c r="P21" s="119">
        <v>14</v>
      </c>
      <c r="Q21" s="107">
        <v>40.899999999999963</v>
      </c>
    </row>
    <row r="22" spans="1:17" x14ac:dyDescent="0.4">
      <c r="A22" s="55" t="s">
        <v>192</v>
      </c>
      <c r="B22" s="47">
        <v>45</v>
      </c>
      <c r="C22" s="135">
        <v>4</v>
      </c>
      <c r="E22" s="63" t="s">
        <v>91</v>
      </c>
      <c r="F22" s="60" t="s">
        <v>46</v>
      </c>
      <c r="G22" s="47">
        <v>1</v>
      </c>
      <c r="H22" s="133">
        <f>IF(B$17=0,0,G22/B$17)</f>
        <v>6.8965517241379309E-3</v>
      </c>
      <c r="I22" s="94">
        <v>1</v>
      </c>
      <c r="K22" s="38">
        <v>20</v>
      </c>
      <c r="L22" s="99">
        <v>-200.8</v>
      </c>
      <c r="N22" s="115" t="s">
        <v>127</v>
      </c>
      <c r="O22" s="125">
        <f>IF(P22=0,0,Q22/P22)</f>
        <v>-25.936000000000007</v>
      </c>
      <c r="P22" s="119">
        <v>25</v>
      </c>
      <c r="Q22" s="107">
        <v>-648.4000000000002</v>
      </c>
    </row>
    <row r="23" spans="1:17" x14ac:dyDescent="0.4">
      <c r="A23" s="55" t="s">
        <v>5</v>
      </c>
      <c r="B23" s="51">
        <f>IF(B$17=0,0,C23/B$17)</f>
        <v>8762.0689655172409</v>
      </c>
      <c r="C23" s="41">
        <v>1270500</v>
      </c>
      <c r="E23" s="63" t="s">
        <v>93</v>
      </c>
      <c r="F23" s="60" t="s">
        <v>48</v>
      </c>
      <c r="G23" s="47">
        <v>1</v>
      </c>
      <c r="H23" s="133">
        <f>IF(B$17=0,0,G23/B$17)</f>
        <v>6.8965517241379309E-3</v>
      </c>
      <c r="I23" s="94">
        <v>2</v>
      </c>
      <c r="K23" s="38">
        <v>21</v>
      </c>
      <c r="L23" s="99">
        <v>-188.60000000000002</v>
      </c>
      <c r="N23" s="115" t="s">
        <v>183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-7793.0555555555557</v>
      </c>
      <c r="C24" s="45">
        <v>-561100</v>
      </c>
      <c r="E24" s="63" t="s">
        <v>102</v>
      </c>
      <c r="F24" s="60" t="s">
        <v>57</v>
      </c>
      <c r="G24" s="47">
        <v>1</v>
      </c>
      <c r="H24" s="133">
        <f>IF(B$17=0,0,G24/B$17)</f>
        <v>6.8965517241379309E-3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4">
        <v>8</v>
      </c>
      <c r="C25" s="145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6.3965884861407248E-3</v>
      </c>
      <c r="E27" s="63" t="s">
        <v>78</v>
      </c>
      <c r="F27" s="60" t="s">
        <v>33</v>
      </c>
      <c r="G27" s="47">
        <v>0</v>
      </c>
      <c r="H27" s="133">
        <f>IF(B$17=0,0,G27/B$17)</f>
        <v>0</v>
      </c>
      <c r="I27" s="94">
        <v>5</v>
      </c>
      <c r="K27" s="38">
        <v>25</v>
      </c>
      <c r="L27" s="99">
        <v>-151.5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7.2000000000000028</v>
      </c>
    </row>
    <row r="31" spans="1:17" x14ac:dyDescent="0.4">
      <c r="E31" s="63" t="s">
        <v>88</v>
      </c>
      <c r="F31" s="60" t="s">
        <v>43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-49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-99.6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B1F44-2752-4BB7-83C8-CA4F156E31F7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12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2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245</v>
      </c>
      <c r="F51" s="137" t="s">
        <v>246</v>
      </c>
      <c r="G51" s="48">
        <v>2</v>
      </c>
      <c r="H51" s="138">
        <f>IF(B$17=0,0,G51/B$17)</f>
        <v>0.4</v>
      </c>
      <c r="I51" s="139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79940-EDD2-4F09-9A84-D7F0D24D34ED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14</v>
      </c>
      <c r="C2" s="151"/>
      <c r="E2" s="62" t="s">
        <v>65</v>
      </c>
      <c r="F2" s="59" t="s">
        <v>21</v>
      </c>
      <c r="G2" s="46">
        <v>19</v>
      </c>
      <c r="H2" s="132">
        <f>IF(B$17=0,0,G2/B$17)</f>
        <v>0.55882352941176472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-114.28571428571429</v>
      </c>
      <c r="P2" s="118">
        <v>14</v>
      </c>
      <c r="Q2" s="102">
        <v>-1600</v>
      </c>
    </row>
    <row r="3" spans="1:17" x14ac:dyDescent="0.4">
      <c r="A3" s="55" t="s">
        <v>8</v>
      </c>
      <c r="B3" s="152">
        <v>118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2.9411764705882353E-2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-328.57142857142856</v>
      </c>
      <c r="P3" s="119">
        <v>14</v>
      </c>
      <c r="Q3" s="103">
        <v>-4600</v>
      </c>
    </row>
    <row r="4" spans="1:17" x14ac:dyDescent="0.4">
      <c r="A4" s="55" t="s">
        <v>6</v>
      </c>
      <c r="B4" s="154">
        <v>-138.69999999999999</v>
      </c>
      <c r="C4" s="155"/>
      <c r="E4" s="63" t="s">
        <v>67</v>
      </c>
      <c r="F4" s="60" t="s">
        <v>23</v>
      </c>
      <c r="G4" s="47">
        <v>28</v>
      </c>
      <c r="H4" s="133">
        <f>IF(B$17=0,0,G4/B$17)</f>
        <v>0.82352941176470584</v>
      </c>
      <c r="I4" s="94">
        <v>3</v>
      </c>
      <c r="K4" s="38">
        <v>2</v>
      </c>
      <c r="L4" s="99">
        <v>-76.2</v>
      </c>
      <c r="N4" s="115" t="s">
        <v>134</v>
      </c>
      <c r="O4" s="122">
        <f t="shared" si="0"/>
        <v>-850</v>
      </c>
      <c r="P4" s="119">
        <v>14</v>
      </c>
      <c r="Q4" s="103">
        <v>-11900</v>
      </c>
    </row>
    <row r="5" spans="1:17" x14ac:dyDescent="0.4">
      <c r="A5" s="55" t="s">
        <v>7</v>
      </c>
      <c r="B5" s="156">
        <f>IF(B$2=0,0,B$4/B$2)</f>
        <v>-9.9071428571428566</v>
      </c>
      <c r="C5" s="157"/>
      <c r="E5" s="63" t="s">
        <v>68</v>
      </c>
      <c r="F5" s="60" t="s">
        <v>24</v>
      </c>
      <c r="G5" s="47">
        <v>7</v>
      </c>
      <c r="H5" s="133">
        <f>IF(B$17=0,0,G5/B$17)</f>
        <v>0.20588235294117646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-4700</v>
      </c>
      <c r="P5" s="119">
        <v>13</v>
      </c>
      <c r="Q5" s="103">
        <v>-61100</v>
      </c>
    </row>
    <row r="6" spans="1:17" x14ac:dyDescent="0.4">
      <c r="A6" s="55" t="s">
        <v>1</v>
      </c>
      <c r="B6" s="146">
        <f>IF(B$2=0,0,(B$7*1+B$8*2+B$9*3)/B$2)</f>
        <v>2.1428571428571428</v>
      </c>
      <c r="C6" s="147"/>
      <c r="E6" s="63" t="s">
        <v>69</v>
      </c>
      <c r="F6" s="60" t="s">
        <v>12</v>
      </c>
      <c r="G6" s="47">
        <v>12</v>
      </c>
      <c r="H6" s="133">
        <f>IF(B$17=0,0,G6/B$17)</f>
        <v>0.35294117647058826</v>
      </c>
      <c r="I6" s="94">
        <v>6</v>
      </c>
      <c r="K6" s="38">
        <v>4</v>
      </c>
      <c r="L6" s="99">
        <v>-49.800000000000004</v>
      </c>
      <c r="N6" s="115" t="s">
        <v>136</v>
      </c>
      <c r="O6" s="122">
        <f t="shared" si="0"/>
        <v>1869.2307692307693</v>
      </c>
      <c r="P6" s="119">
        <v>13</v>
      </c>
      <c r="Q6" s="103">
        <v>24300</v>
      </c>
    </row>
    <row r="7" spans="1:17" x14ac:dyDescent="0.4">
      <c r="A7" s="55" t="s">
        <v>2</v>
      </c>
      <c r="B7" s="47">
        <v>5</v>
      </c>
      <c r="C7" s="39">
        <f>IF(B$2=0,0,B7/B$2)</f>
        <v>0.35714285714285715</v>
      </c>
      <c r="E7" s="63" t="s">
        <v>70</v>
      </c>
      <c r="F7" s="60" t="s">
        <v>25</v>
      </c>
      <c r="G7" s="47">
        <v>6</v>
      </c>
      <c r="H7" s="133">
        <f>IF(B$17=0,0,G7/B$17)</f>
        <v>0.17647058823529413</v>
      </c>
      <c r="I7" s="94">
        <v>6</v>
      </c>
      <c r="K7" s="38">
        <v>5</v>
      </c>
      <c r="L7" s="99">
        <v>-121</v>
      </c>
      <c r="N7" s="116" t="s">
        <v>137</v>
      </c>
      <c r="O7" s="123">
        <f t="shared" si="0"/>
        <v>-3650</v>
      </c>
      <c r="P7" s="120">
        <v>12</v>
      </c>
      <c r="Q7" s="104">
        <v>-43800</v>
      </c>
    </row>
    <row r="8" spans="1:17" x14ac:dyDescent="0.4">
      <c r="A8" s="55" t="s">
        <v>3</v>
      </c>
      <c r="B8" s="47">
        <v>2</v>
      </c>
      <c r="C8" s="39">
        <f>IF(B$2=0,0,B8/B$2)</f>
        <v>0.14285714285714285</v>
      </c>
      <c r="E8" s="63" t="s">
        <v>71</v>
      </c>
      <c r="F8" s="60" t="s">
        <v>26</v>
      </c>
      <c r="G8" s="47">
        <v>4</v>
      </c>
      <c r="H8" s="133">
        <f>IF(B$17=0,0,G8/B$17)</f>
        <v>0.11764705882352941</v>
      </c>
      <c r="I8" s="94">
        <v>4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2</v>
      </c>
      <c r="H9" s="133">
        <f>IF(B$17=0,0,G9/B$17)</f>
        <v>5.8823529411764705E-2</v>
      </c>
      <c r="I9" s="94">
        <v>7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0.14285714285714285</v>
      </c>
      <c r="E10" s="63" t="s">
        <v>73</v>
      </c>
      <c r="F10" s="60" t="s">
        <v>28</v>
      </c>
      <c r="G10" s="47">
        <v>21</v>
      </c>
      <c r="H10" s="133">
        <f>IF(B$17=0,0,G10/B$17)</f>
        <v>0.61764705882352944</v>
      </c>
      <c r="I10" s="94">
        <v>3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2.9411764705882353E-2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7.1428571428571425E-2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28</v>
      </c>
      <c r="C13" s="44">
        <f>IF(B$3=0,0,B13/B$3)</f>
        <v>0.23728813559322035</v>
      </c>
      <c r="E13" s="63" t="s">
        <v>76</v>
      </c>
      <c r="F13" s="60" t="s">
        <v>31</v>
      </c>
      <c r="G13" s="47">
        <v>1</v>
      </c>
      <c r="H13" s="133">
        <f>IF(B$17=0,0,G13/B$17)</f>
        <v>2.9411764705882353E-2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0.21186440677966101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</v>
      </c>
      <c r="C15" s="37">
        <f>IF(B$13=0,0,B15/B$13)</f>
        <v>0.6785714285714286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129</v>
      </c>
      <c r="O15" s="124">
        <f t="shared" ref="O15:O21" si="2">IF(P15=0,0,Q15/P15)</f>
        <v>51.9</v>
      </c>
      <c r="P15" s="118">
        <v>3</v>
      </c>
      <c r="Q15" s="106">
        <v>155.69999999999999</v>
      </c>
    </row>
    <row r="16" spans="1:17" x14ac:dyDescent="0.4">
      <c r="A16" s="54" t="s">
        <v>125</v>
      </c>
      <c r="B16" s="46">
        <v>11</v>
      </c>
      <c r="C16" s="37">
        <f>IF(B$14=0,0,B16/B$14)</f>
        <v>0.44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172</v>
      </c>
      <c r="O16" s="125">
        <f t="shared" si="2"/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0.28813559322033899</v>
      </c>
      <c r="E17" s="63" t="s">
        <v>80</v>
      </c>
      <c r="F17" s="60" t="s">
        <v>35</v>
      </c>
      <c r="G17" s="47">
        <v>2</v>
      </c>
      <c r="H17" s="133">
        <f>IF(B$17=0,0,G17/B$17)</f>
        <v>5.8823529411764705E-2</v>
      </c>
      <c r="I17" s="94">
        <v>1</v>
      </c>
      <c r="N17" s="115" t="s">
        <v>127</v>
      </c>
      <c r="O17" s="125">
        <f t="shared" si="2"/>
        <v>-20.222222222222225</v>
      </c>
      <c r="P17" s="119">
        <v>9</v>
      </c>
      <c r="Q17" s="107">
        <v>-182.00000000000003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 t="shared" si="2"/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82</v>
      </c>
      <c r="F19" s="60" t="s">
        <v>37</v>
      </c>
      <c r="G19" s="47">
        <v>1</v>
      </c>
      <c r="H19" s="133">
        <f>IF(B$17=0,0,G19/B$17)</f>
        <v>2.9411764705882353E-2</v>
      </c>
      <c r="I19" s="94">
        <v>5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26</v>
      </c>
      <c r="C20" s="39">
        <f>IF(B$3=0,0,B20/B$3)</f>
        <v>0.22033898305084745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0.11764705882352941</v>
      </c>
      <c r="I21" s="94">
        <v>2</v>
      </c>
      <c r="N21" s="115" t="s">
        <v>183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192</v>
      </c>
      <c r="B22" s="47">
        <v>17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7494.1176470588234</v>
      </c>
      <c r="C23" s="41">
        <v>254800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-8107.6923076923076</v>
      </c>
      <c r="C24" s="45">
        <v>-210800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62700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0.14705882352941177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245</v>
      </c>
      <c r="F51" s="137" t="s">
        <v>246</v>
      </c>
      <c r="G51" s="48">
        <v>12</v>
      </c>
      <c r="H51" s="138">
        <f>IF(B$17=0,0,G51/B$17)</f>
        <v>0.35294117647058826</v>
      </c>
      <c r="I51" s="139">
        <v>11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1688B-6EF6-4B62-9D75-85FBCB91B4D4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</v>
      </c>
      <c r="C2" s="151"/>
      <c r="E2" s="62" t="s">
        <v>65</v>
      </c>
      <c r="F2" s="59" t="s">
        <v>21</v>
      </c>
      <c r="G2" s="46">
        <v>14</v>
      </c>
      <c r="H2" s="132">
        <f>IF(B$17=0,0,G2/B$17)</f>
        <v>0.48275862068965519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-1966.6666666666667</v>
      </c>
      <c r="P2" s="118">
        <v>9</v>
      </c>
      <c r="Q2" s="102">
        <v>-17700</v>
      </c>
    </row>
    <row r="3" spans="1:17" x14ac:dyDescent="0.4">
      <c r="A3" s="55" t="s">
        <v>8</v>
      </c>
      <c r="B3" s="152">
        <v>85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6.8965517241379309E-2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4077.7777777777778</v>
      </c>
      <c r="P3" s="119">
        <v>9</v>
      </c>
      <c r="Q3" s="103">
        <v>36700</v>
      </c>
    </row>
    <row r="4" spans="1:17" x14ac:dyDescent="0.4">
      <c r="A4" s="55" t="s">
        <v>6</v>
      </c>
      <c r="B4" s="154">
        <v>18.099999999999994</v>
      </c>
      <c r="C4" s="155"/>
      <c r="E4" s="63" t="s">
        <v>67</v>
      </c>
      <c r="F4" s="60" t="s">
        <v>23</v>
      </c>
      <c r="G4" s="47">
        <v>16</v>
      </c>
      <c r="H4" s="133">
        <f>IF(B$17=0,0,G4/B$17)</f>
        <v>0.55172413793103448</v>
      </c>
      <c r="I4" s="94">
        <v>13</v>
      </c>
      <c r="K4" s="38">
        <v>2</v>
      </c>
      <c r="L4" s="99">
        <v>-28.1</v>
      </c>
      <c r="N4" s="115" t="s">
        <v>134</v>
      </c>
      <c r="O4" s="122">
        <f t="shared" si="0"/>
        <v>-3733.3333333333335</v>
      </c>
      <c r="P4" s="119">
        <v>9</v>
      </c>
      <c r="Q4" s="103">
        <v>-33600</v>
      </c>
    </row>
    <row r="5" spans="1:17" x14ac:dyDescent="0.4">
      <c r="A5" s="55" t="s">
        <v>7</v>
      </c>
      <c r="B5" s="156">
        <f>IF(B$2=0,0,B$4/B$2)</f>
        <v>2.0111111111111106</v>
      </c>
      <c r="C5" s="157"/>
      <c r="E5" s="63" t="s">
        <v>68</v>
      </c>
      <c r="F5" s="60" t="s">
        <v>24</v>
      </c>
      <c r="G5" s="47">
        <v>9</v>
      </c>
      <c r="H5" s="133">
        <f>IF(B$17=0,0,G5/B$17)</f>
        <v>0.31034482758620691</v>
      </c>
      <c r="I5" s="94">
        <v>8</v>
      </c>
      <c r="K5" s="38">
        <v>3</v>
      </c>
      <c r="L5" s="99">
        <v>-20.400000000000002</v>
      </c>
      <c r="N5" s="115" t="s">
        <v>135</v>
      </c>
      <c r="O5" s="122">
        <f t="shared" si="0"/>
        <v>-1666.6666666666667</v>
      </c>
      <c r="P5" s="119">
        <v>9</v>
      </c>
      <c r="Q5" s="103">
        <v>-15000</v>
      </c>
    </row>
    <row r="6" spans="1:17" x14ac:dyDescent="0.4">
      <c r="A6" s="55" t="s">
        <v>1</v>
      </c>
      <c r="B6" s="146">
        <f>IF(B$2=0,0,(B$7*1+B$8*2+B$9*3)/B$2)</f>
        <v>1.8888888888888888</v>
      </c>
      <c r="C6" s="147"/>
      <c r="E6" s="63" t="s">
        <v>69</v>
      </c>
      <c r="F6" s="60" t="s">
        <v>12</v>
      </c>
      <c r="G6" s="47">
        <v>11</v>
      </c>
      <c r="H6" s="133">
        <f>IF(B$17=0,0,G6/B$17)</f>
        <v>0.37931034482758619</v>
      </c>
      <c r="I6" s="94">
        <v>4</v>
      </c>
      <c r="K6" s="38">
        <v>4</v>
      </c>
      <c r="L6" s="99">
        <v>19.399999999999995</v>
      </c>
      <c r="N6" s="115" t="s">
        <v>136</v>
      </c>
      <c r="O6" s="122">
        <f t="shared" si="0"/>
        <v>1957.1428571428571</v>
      </c>
      <c r="P6" s="119">
        <v>7</v>
      </c>
      <c r="Q6" s="103">
        <v>13700</v>
      </c>
    </row>
    <row r="7" spans="1:17" x14ac:dyDescent="0.4">
      <c r="A7" s="55" t="s">
        <v>2</v>
      </c>
      <c r="B7" s="47">
        <v>2</v>
      </c>
      <c r="C7" s="39">
        <f>IF(B$2=0,0,B7/B$2)</f>
        <v>0.22222222222222221</v>
      </c>
      <c r="E7" s="63" t="s">
        <v>70</v>
      </c>
      <c r="F7" s="60" t="s">
        <v>25</v>
      </c>
      <c r="G7" s="47">
        <v>5</v>
      </c>
      <c r="H7" s="133">
        <f>IF(B$17=0,0,G7/B$17)</f>
        <v>0.17241379310344829</v>
      </c>
      <c r="I7" s="94">
        <v>8</v>
      </c>
      <c r="K7" s="38">
        <v>5</v>
      </c>
      <c r="L7" s="99">
        <v>-16.100000000000005</v>
      </c>
      <c r="N7" s="116" t="s">
        <v>137</v>
      </c>
      <c r="O7" s="123">
        <f t="shared" si="0"/>
        <v>2000</v>
      </c>
      <c r="P7" s="120">
        <v>7</v>
      </c>
      <c r="Q7" s="104">
        <v>14000</v>
      </c>
    </row>
    <row r="8" spans="1:17" x14ac:dyDescent="0.4">
      <c r="A8" s="55" t="s">
        <v>3</v>
      </c>
      <c r="B8" s="47">
        <v>6</v>
      </c>
      <c r="C8" s="39">
        <f>IF(B$2=0,0,B8/B$2)</f>
        <v>0.66666666666666663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0.1111111111111111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19</v>
      </c>
      <c r="H10" s="133">
        <f>IF(B$17=0,0,G10/B$17)</f>
        <v>0.65517241379310343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3.4333333333333322</v>
      </c>
      <c r="P10" s="118">
        <v>3</v>
      </c>
      <c r="Q10" s="106">
        <v>10.299999999999997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8.1</v>
      </c>
      <c r="P11" s="119">
        <v>2</v>
      </c>
      <c r="Q11" s="107">
        <v>16.2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20</v>
      </c>
      <c r="C13" s="44">
        <f>IF(B$3=0,0,B13/B$3)</f>
        <v>0.23529411764705882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0.29411764705882354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12</v>
      </c>
      <c r="C16" s="37">
        <f>IF(B$14=0,0,B16/B$14)</f>
        <v>0.48</v>
      </c>
      <c r="E16" s="63" t="s">
        <v>79</v>
      </c>
      <c r="F16" s="60" t="s">
        <v>34</v>
      </c>
      <c r="G16" s="47">
        <v>2</v>
      </c>
      <c r="H16" s="133">
        <f>IF(B$17=0,0,G16/B$17)</f>
        <v>6.8965517241379309E-2</v>
      </c>
      <c r="I16" s="94">
        <v>2</v>
      </c>
      <c r="N16" s="115" t="s">
        <v>171</v>
      </c>
      <c r="O16" s="125">
        <f t="shared" si="2"/>
        <v>22.524999999999999</v>
      </c>
      <c r="P16" s="119">
        <v>4</v>
      </c>
      <c r="Q16" s="107">
        <v>90.1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0.3411764705882353</v>
      </c>
      <c r="E17" s="63" t="s">
        <v>80</v>
      </c>
      <c r="F17" s="60" t="s">
        <v>35</v>
      </c>
      <c r="G17" s="47">
        <v>1</v>
      </c>
      <c r="H17" s="133">
        <f>IF(B$17=0,0,G17/B$17)</f>
        <v>3.4482758620689655E-2</v>
      </c>
      <c r="I17" s="94">
        <v>2</v>
      </c>
      <c r="N17" s="115" t="s">
        <v>127</v>
      </c>
      <c r="O17" s="125">
        <f t="shared" si="2"/>
        <v>13.45</v>
      </c>
      <c r="P17" s="119">
        <v>2</v>
      </c>
      <c r="Q17" s="107">
        <v>26.9</v>
      </c>
    </row>
    <row r="18" spans="1:17" x14ac:dyDescent="0.4">
      <c r="A18" s="55" t="s">
        <v>12</v>
      </c>
      <c r="B18" s="47">
        <v>17</v>
      </c>
      <c r="C18" s="39">
        <f>IF(B$17=0,0,B18/B$17)</f>
        <v>0.58620689655172409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12</v>
      </c>
      <c r="C19" s="39">
        <f>IF(B$17=0,0,B19/B$17)</f>
        <v>0.41379310344827586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2.7399999999999949</v>
      </c>
      <c r="P19" s="119">
        <v>5</v>
      </c>
      <c r="Q19" s="107">
        <v>13.699999999999974</v>
      </c>
    </row>
    <row r="20" spans="1:17" x14ac:dyDescent="0.4">
      <c r="A20" s="55" t="s">
        <v>13</v>
      </c>
      <c r="B20" s="47">
        <v>14</v>
      </c>
      <c r="C20" s="39">
        <f>IF(B$3=0,0,B20/B$3)</f>
        <v>0.16470588235294117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-32.625</v>
      </c>
      <c r="P20" s="119">
        <v>4</v>
      </c>
      <c r="Q20" s="107">
        <v>-130.5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3.4482758620689655E-2</v>
      </c>
      <c r="I21" s="94">
        <v>10</v>
      </c>
    </row>
    <row r="22" spans="1:17" x14ac:dyDescent="0.4">
      <c r="A22" s="55" t="s">
        <v>192</v>
      </c>
      <c r="B22" s="47">
        <v>12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6765.5172413793107</v>
      </c>
      <c r="C23" s="41">
        <v>196200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-6378.5714285714284</v>
      </c>
      <c r="C24" s="45">
        <v>-89300</v>
      </c>
      <c r="E24" s="63" t="s">
        <v>87</v>
      </c>
      <c r="F24" s="60" t="s">
        <v>42</v>
      </c>
      <c r="G24" s="47">
        <v>3</v>
      </c>
      <c r="H24" s="133">
        <f>IF(B$17=0,0,G24/B$17)</f>
        <v>0.10344827586206896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54800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0.13793103448275862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245</v>
      </c>
      <c r="F51" s="137" t="s">
        <v>246</v>
      </c>
      <c r="G51" s="48">
        <v>9</v>
      </c>
      <c r="H51" s="138">
        <f>IF(B$17=0,0,G51/B$17)</f>
        <v>0.31034482758620691</v>
      </c>
      <c r="I51" s="139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50D6A-E3CD-4727-A5D3-3EC731432EC8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11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0.5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36A6D-40A6-49EA-90C6-7F157F91FD42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52">
        <v>17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4">
        <v>-24.7</v>
      </c>
      <c r="C4" s="155"/>
      <c r="E4" s="63" t="s">
        <v>67</v>
      </c>
      <c r="F4" s="60" t="s">
        <v>23</v>
      </c>
      <c r="G4" s="47">
        <v>4</v>
      </c>
      <c r="H4" s="133">
        <f>IF(B$17=0,0,G4/B$17)</f>
        <v>0.8</v>
      </c>
      <c r="I4" s="94">
        <v>5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6">
        <f>IF(B$2=0,0,B$4/B$2)</f>
        <v>-12.35</v>
      </c>
      <c r="C5" s="157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6">
        <f>IF(B$2=0,0,(B$7*1+B$8*2+B$9*3)/B$2)</f>
        <v>2.5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5</v>
      </c>
      <c r="H10" s="133">
        <f>IF(B$17=0,0,G10/B$17)</f>
        <v>1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0.2</v>
      </c>
      <c r="I16" s="94">
        <v>1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11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1</v>
      </c>
      <c r="H21" s="133">
        <f>IF(B$17=0,0,G21/B$17)</f>
        <v>0.2</v>
      </c>
      <c r="I21" s="94">
        <v>1</v>
      </c>
    </row>
    <row r="22" spans="1:17" x14ac:dyDescent="0.4">
      <c r="A22" s="55" t="s">
        <v>192</v>
      </c>
      <c r="B22" s="47">
        <v>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47300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0.2</v>
      </c>
      <c r="I51" s="139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5A82D-10B7-44FC-AF7A-CF7CD7951E5F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E9287-E733-44CD-863C-D15A4585F356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CA7EA-99B5-4281-9CCA-CB946C428604}">
  <sheetPr codeName="Sheet26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33B7A-6635-4FC8-A20A-1AA5C08E89D6}">
  <sheetPr codeName="Sheet24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784C5-2985-4B4D-A73D-26BF3A064052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F88DA-6375-4C47-893F-F8E14A08559A}">
  <sheetPr codeName="Sheet20"/>
  <dimension ref="A1:Q6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70BDC-E4FE-4DE5-A975-386CA2736BB8}">
  <sheetPr codeName="Sheet18"/>
  <dimension ref="A1:Q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FC852-3E38-4317-B719-E413074EC7D7}">
  <sheetPr codeName="Sheet16"/>
  <dimension ref="A1:Q7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A1CE1-9F1E-4BD7-A84C-A8E4A56B7D1A}">
  <sheetPr codeName="Sheet14"/>
  <dimension ref="A1:Q9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D5299-F15A-48A2-8FDC-C9EAF91F4AAF}">
  <sheetPr codeName="Sheet12"/>
  <dimension ref="A1:Q9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47F53-95F8-4BE6-B7C3-73AB3F2A0327}">
  <sheetPr codeName="Sheet10"/>
  <dimension ref="A1:Q1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C2-3F5B-4AF6-9116-3B0F964D2B47}">
  <sheetPr codeName="Sheet8"/>
  <dimension ref="A1:Q14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1AB76-8F79-4853-985F-264631E33986}">
  <sheetPr codeName="Sheet6"/>
  <dimension ref="A1:Q2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2019-06-11T15:19:11Z</dcterms:modified>
</cp:coreProperties>
</file>