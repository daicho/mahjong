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48FA12C-BA42-4493-ADEE-A06A9CD9E29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01" r:id="rId6"/>
    <sheet name="だいち" sheetId="5403" r:id="rId7"/>
    <sheet name="りくと" sheetId="5405" r:id="rId8"/>
    <sheet name="ただ" sheetId="5407" r:id="rId9"/>
    <sheet name="れんたろう" sheetId="5409" r:id="rId10"/>
    <sheet name="たかの" sheetId="5411" r:id="rId11"/>
    <sheet name="ぱぱ" sheetId="5413" r:id="rId12"/>
    <sheet name="まっつん" sheetId="5415" r:id="rId13"/>
    <sheet name="あさひ" sheetId="5417" r:id="rId14"/>
    <sheet name="いっしー" sheetId="5419" r:id="rId15"/>
    <sheet name="ほたに" sheetId="5421" r:id="rId16"/>
    <sheet name="かわたつ" sheetId="5423" r:id="rId17"/>
    <sheet name="やがさき" sheetId="5425" r:id="rId18"/>
    <sheet name="やがさき2" sheetId="5426" state="hidden" r:id="rId19"/>
    <sheet name="かわたつ2" sheetId="5424" state="hidden" r:id="rId20"/>
    <sheet name="ほたに2" sheetId="5422" state="hidden" r:id="rId21"/>
    <sheet name="いっしー2" sheetId="5420" state="hidden" r:id="rId22"/>
    <sheet name="あさひ2" sheetId="5418" state="hidden" r:id="rId23"/>
    <sheet name="まっつん2" sheetId="5416" state="hidden" r:id="rId24"/>
    <sheet name="ぱぱ2" sheetId="5414" state="hidden" r:id="rId25"/>
    <sheet name="たかの2" sheetId="5412" state="hidden" r:id="rId26"/>
    <sheet name="れんたろう2" sheetId="5410" state="hidden" r:id="rId27"/>
    <sheet name="ただ2" sheetId="5408" state="hidden" r:id="rId28"/>
    <sheet name="りくと2" sheetId="5406" state="hidden" r:id="rId29"/>
    <sheet name="だいち2" sheetId="5404" state="hidden" r:id="rId30"/>
    <sheet name="全体2" sheetId="540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03" l="1"/>
  <c r="O15" i="5425"/>
  <c r="O15" i="5407" l="1"/>
  <c r="O16" i="5411"/>
  <c r="O16" i="5401"/>
  <c r="O17" i="5425"/>
  <c r="O16" i="5425"/>
  <c r="C27" i="5425"/>
  <c r="B24" i="5425"/>
  <c r="C20" i="5425"/>
  <c r="B17" i="5425"/>
  <c r="H49" i="5425" s="1"/>
  <c r="C16" i="5425"/>
  <c r="C15" i="5425"/>
  <c r="C14" i="5425"/>
  <c r="C13" i="5425"/>
  <c r="O12" i="5425"/>
  <c r="C12" i="5425"/>
  <c r="O11" i="5425"/>
  <c r="C11" i="5425"/>
  <c r="O10" i="5425"/>
  <c r="C10" i="5425"/>
  <c r="C9" i="5425"/>
  <c r="C8" i="5425"/>
  <c r="O7" i="5425"/>
  <c r="C7" i="5425"/>
  <c r="O6" i="5425"/>
  <c r="B6" i="5425"/>
  <c r="O5" i="5425"/>
  <c r="B5" i="5425"/>
  <c r="O4" i="5425"/>
  <c r="O3" i="5425"/>
  <c r="O2" i="5425"/>
  <c r="O15" i="5423"/>
  <c r="O16" i="5423"/>
  <c r="C27" i="5423"/>
  <c r="B24" i="5423"/>
  <c r="C20" i="5423"/>
  <c r="B17" i="5423"/>
  <c r="H48" i="5423" s="1"/>
  <c r="C16" i="5423"/>
  <c r="C15" i="5423"/>
  <c r="C14" i="5423"/>
  <c r="C13" i="5423"/>
  <c r="O12" i="5423"/>
  <c r="C12" i="5423"/>
  <c r="O11" i="5423"/>
  <c r="C11" i="5423"/>
  <c r="O10" i="5423"/>
  <c r="H10" i="5423"/>
  <c r="C10" i="5423"/>
  <c r="C9" i="5423"/>
  <c r="C8" i="5423"/>
  <c r="O7" i="5423"/>
  <c r="C7" i="5423"/>
  <c r="O6" i="5423"/>
  <c r="B6" i="5423"/>
  <c r="O5" i="5423"/>
  <c r="B5" i="5423"/>
  <c r="O4" i="5423"/>
  <c r="O3" i="5423"/>
  <c r="O2" i="5423"/>
  <c r="O23" i="5409"/>
  <c r="O18" i="5403"/>
  <c r="O25" i="5401"/>
  <c r="H3" i="5425" l="1"/>
  <c r="H34" i="5425"/>
  <c r="H16" i="5425"/>
  <c r="H4" i="5425"/>
  <c r="H25" i="5425"/>
  <c r="H9" i="5425"/>
  <c r="H6" i="5425"/>
  <c r="H35" i="5425"/>
  <c r="H43" i="5425"/>
  <c r="H12" i="5425"/>
  <c r="H19" i="5425"/>
  <c r="H44" i="5425"/>
  <c r="H27" i="5425"/>
  <c r="H22" i="5425"/>
  <c r="H7" i="5425"/>
  <c r="H36" i="5425"/>
  <c r="H46" i="5425"/>
  <c r="H29" i="5425"/>
  <c r="H5" i="5425"/>
  <c r="H11" i="5425"/>
  <c r="C18" i="5425"/>
  <c r="H23" i="5425"/>
  <c r="H30" i="5425"/>
  <c r="H39" i="5425"/>
  <c r="H48" i="5425"/>
  <c r="C17" i="5425"/>
  <c r="H28" i="5425"/>
  <c r="H17" i="5425"/>
  <c r="H47" i="5425"/>
  <c r="H8" i="5425"/>
  <c r="H18" i="5425"/>
  <c r="H31" i="5425"/>
  <c r="H40" i="5425"/>
  <c r="H50" i="5425"/>
  <c r="H10" i="5425"/>
  <c r="H21" i="5425"/>
  <c r="H45" i="5425"/>
  <c r="H13" i="5425"/>
  <c r="H37" i="5425"/>
  <c r="B23" i="5425"/>
  <c r="H38" i="5425"/>
  <c r="H14" i="5425"/>
  <c r="H2" i="5425"/>
  <c r="H15" i="5425"/>
  <c r="C19" i="5425"/>
  <c r="H24" i="5425"/>
  <c r="H32" i="5425"/>
  <c r="H42" i="5425"/>
  <c r="H51" i="5425"/>
  <c r="H20" i="5425"/>
  <c r="H26" i="5425"/>
  <c r="H33" i="5425"/>
  <c r="H41" i="5425"/>
  <c r="C17" i="5423"/>
  <c r="H4" i="5423"/>
  <c r="H20" i="5423"/>
  <c r="H26" i="5423"/>
  <c r="H33" i="5423"/>
  <c r="H41" i="5423"/>
  <c r="H49" i="5423"/>
  <c r="H7" i="5423"/>
  <c r="H13" i="5423"/>
  <c r="H21" i="5423"/>
  <c r="H34" i="5423"/>
  <c r="H42" i="5423"/>
  <c r="H50" i="5423"/>
  <c r="H17" i="5423"/>
  <c r="H22" i="5423"/>
  <c r="H27" i="5423"/>
  <c r="H35" i="5423"/>
  <c r="H43" i="5423"/>
  <c r="H51" i="5423"/>
  <c r="H5" i="5423"/>
  <c r="H11" i="5423"/>
  <c r="H14" i="5423"/>
  <c r="C18" i="5423"/>
  <c r="B23" i="5423"/>
  <c r="H28" i="5423"/>
  <c r="H36" i="5423"/>
  <c r="H44" i="5423"/>
  <c r="H2" i="5423"/>
  <c r="H8" i="5423"/>
  <c r="H18" i="5423"/>
  <c r="H23" i="5423"/>
  <c r="H29" i="5423"/>
  <c r="H37" i="5423"/>
  <c r="H45" i="5423"/>
  <c r="H15" i="5423"/>
  <c r="C19" i="5423"/>
  <c r="H30" i="5423"/>
  <c r="H38" i="5423"/>
  <c r="H46" i="5423"/>
  <c r="H3" i="5423"/>
  <c r="H6" i="5423"/>
  <c r="H9" i="5423"/>
  <c r="H12" i="5423"/>
  <c r="H19" i="5423"/>
  <c r="H24" i="5423"/>
  <c r="H31" i="5423"/>
  <c r="H39" i="5423"/>
  <c r="H47" i="5423"/>
  <c r="H16" i="5423"/>
  <c r="H25" i="5423"/>
  <c r="H32" i="5423"/>
  <c r="H40" i="5423"/>
  <c r="O17" i="5411" l="1"/>
  <c r="O16" i="5419"/>
  <c r="O20" i="5421" l="1"/>
  <c r="O18" i="5421"/>
  <c r="O15" i="5415"/>
  <c r="O20" i="5405"/>
  <c r="O24" i="5403" l="1"/>
  <c r="O16" i="5421"/>
  <c r="O21" i="5413"/>
  <c r="O15" i="5421"/>
  <c r="O17" i="5421" l="1"/>
  <c r="O19" i="5421"/>
  <c r="C27" i="5421"/>
  <c r="B24" i="5421"/>
  <c r="C20" i="5421"/>
  <c r="B17" i="5421"/>
  <c r="H49" i="5421" s="1"/>
  <c r="C16" i="5421"/>
  <c r="C15" i="5421"/>
  <c r="C14" i="5421"/>
  <c r="C13" i="5421"/>
  <c r="O12" i="5421"/>
  <c r="C12" i="5421"/>
  <c r="O11" i="5421"/>
  <c r="C11" i="5421"/>
  <c r="O10" i="5421"/>
  <c r="C10" i="5421"/>
  <c r="C9" i="5421"/>
  <c r="C8" i="5421"/>
  <c r="O7" i="5421"/>
  <c r="C7" i="5421"/>
  <c r="O6" i="5421"/>
  <c r="B6" i="5421"/>
  <c r="O5" i="5421"/>
  <c r="B5" i="5421"/>
  <c r="O4" i="5421"/>
  <c r="O3" i="5421"/>
  <c r="O2" i="5421"/>
  <c r="O21" i="5409"/>
  <c r="O18" i="5411"/>
  <c r="O19" i="5401"/>
  <c r="H37" i="5421" l="1"/>
  <c r="C19" i="5421"/>
  <c r="H10" i="5421"/>
  <c r="H42" i="5421"/>
  <c r="H43" i="5421"/>
  <c r="H18" i="5421"/>
  <c r="H11" i="5421"/>
  <c r="H30" i="5421"/>
  <c r="H15" i="5421"/>
  <c r="H46" i="5421"/>
  <c r="H3" i="5421"/>
  <c r="H44" i="5421"/>
  <c r="H5" i="5421"/>
  <c r="H34" i="5421"/>
  <c r="H6" i="5421"/>
  <c r="H17" i="5421"/>
  <c r="H24" i="5421"/>
  <c r="H4" i="5421"/>
  <c r="C18" i="5421"/>
  <c r="H14" i="5421"/>
  <c r="H27" i="5421"/>
  <c r="H45" i="5421"/>
  <c r="H8" i="5421"/>
  <c r="H19" i="5421"/>
  <c r="H31" i="5421"/>
  <c r="H2" i="5421"/>
  <c r="H9" i="5421"/>
  <c r="H12" i="5421"/>
  <c r="H16" i="5421"/>
  <c r="B23" i="5421"/>
  <c r="H36" i="5421"/>
  <c r="H23" i="5421"/>
  <c r="H35" i="5421"/>
  <c r="H47" i="5421"/>
  <c r="H28" i="5421"/>
  <c r="H50" i="5421"/>
  <c r="H21" i="5421"/>
  <c r="H38" i="5421"/>
  <c r="H7" i="5421"/>
  <c r="H13" i="5421"/>
  <c r="C17" i="5421"/>
  <c r="H22" i="5421"/>
  <c r="H29" i="5421"/>
  <c r="H39" i="5421"/>
  <c r="H51" i="5421"/>
  <c r="H25" i="5421"/>
  <c r="H32" i="5421"/>
  <c r="H40" i="5421"/>
  <c r="H48" i="5421"/>
  <c r="H20" i="5421"/>
  <c r="H26" i="5421"/>
  <c r="H33" i="5421"/>
  <c r="H41" i="5421"/>
  <c r="O19" i="5411" l="1"/>
  <c r="O16" i="5407"/>
  <c r="O21" i="5415"/>
  <c r="O20" i="5415"/>
  <c r="O21" i="5403" l="1"/>
  <c r="O17" i="5419"/>
  <c r="O20" i="5419" l="1"/>
  <c r="O15" i="5419"/>
  <c r="O16" i="5409"/>
  <c r="O22" i="5407"/>
  <c r="O17" i="5417" l="1"/>
  <c r="O22" i="5413"/>
  <c r="O15" i="5417"/>
  <c r="O21" i="5419"/>
  <c r="O15" i="5405"/>
  <c r="O17" i="5415"/>
  <c r="O17" i="5401"/>
  <c r="O19" i="5419"/>
  <c r="O18" i="5419"/>
  <c r="C27" i="5419"/>
  <c r="B24" i="5419"/>
  <c r="C20" i="5419"/>
  <c r="B17" i="5419"/>
  <c r="H51" i="5419" s="1"/>
  <c r="C16" i="5419"/>
  <c r="C15" i="5419"/>
  <c r="C14" i="5419"/>
  <c r="C13" i="5419"/>
  <c r="O12" i="5419"/>
  <c r="C12" i="5419"/>
  <c r="O11" i="5419"/>
  <c r="C11" i="5419"/>
  <c r="O10" i="5419"/>
  <c r="C10" i="5419"/>
  <c r="C9" i="5419"/>
  <c r="C8" i="5419"/>
  <c r="O7" i="5419"/>
  <c r="C7" i="5419"/>
  <c r="O6" i="5419"/>
  <c r="B6" i="5419"/>
  <c r="O5" i="5419"/>
  <c r="B5" i="5419"/>
  <c r="O4" i="5419"/>
  <c r="O3" i="5419"/>
  <c r="O2" i="5419"/>
  <c r="O16" i="5417"/>
  <c r="O18" i="5417"/>
  <c r="C27" i="5417"/>
  <c r="B24" i="5417"/>
  <c r="C20" i="5417"/>
  <c r="B17" i="5417"/>
  <c r="H48" i="5417" s="1"/>
  <c r="C16" i="5417"/>
  <c r="C15" i="5417"/>
  <c r="C14" i="5417"/>
  <c r="C13" i="5417"/>
  <c r="O12" i="5417"/>
  <c r="C12" i="5417"/>
  <c r="O11" i="5417"/>
  <c r="C11" i="5417"/>
  <c r="O10" i="5417"/>
  <c r="C10" i="5417"/>
  <c r="C9" i="5417"/>
  <c r="C8" i="5417"/>
  <c r="O7" i="5417"/>
  <c r="C7" i="5417"/>
  <c r="O6" i="5417"/>
  <c r="B6" i="5417"/>
  <c r="O5" i="5417"/>
  <c r="B5" i="5417"/>
  <c r="O4" i="5417"/>
  <c r="O3" i="5417"/>
  <c r="O2" i="5417"/>
  <c r="O22" i="5415"/>
  <c r="O23" i="5415"/>
  <c r="O15" i="5403"/>
  <c r="O17" i="5403"/>
  <c r="O26" i="5401"/>
  <c r="H23" i="5417" l="1"/>
  <c r="H10" i="5417"/>
  <c r="H8" i="5417"/>
  <c r="H2" i="5417"/>
  <c r="H29" i="5417"/>
  <c r="H37" i="5417"/>
  <c r="C17" i="5417"/>
  <c r="H45" i="5417"/>
  <c r="H4" i="5417"/>
  <c r="H18" i="5417"/>
  <c r="H2" i="5419"/>
  <c r="H4" i="5419"/>
  <c r="C17" i="5419"/>
  <c r="H8" i="5419"/>
  <c r="H26" i="5419"/>
  <c r="H41" i="5419"/>
  <c r="H7" i="5419"/>
  <c r="H13" i="5419"/>
  <c r="H42" i="5419"/>
  <c r="H5" i="5419"/>
  <c r="H11" i="5419"/>
  <c r="H14" i="5419"/>
  <c r="C18" i="5419"/>
  <c r="B23" i="5419"/>
  <c r="H28" i="5419"/>
  <c r="H36" i="5419"/>
  <c r="H44" i="5419"/>
  <c r="H18" i="5419"/>
  <c r="H29" i="5419"/>
  <c r="H37" i="5419"/>
  <c r="H15" i="5419"/>
  <c r="H30" i="5419"/>
  <c r="H46" i="5419"/>
  <c r="H3" i="5419"/>
  <c r="H6" i="5419"/>
  <c r="H9" i="5419"/>
  <c r="H12" i="5419"/>
  <c r="H19" i="5419"/>
  <c r="H24" i="5419"/>
  <c r="H31" i="5419"/>
  <c r="H39" i="5419"/>
  <c r="H47" i="5419"/>
  <c r="H23" i="5419"/>
  <c r="H45" i="5419"/>
  <c r="C19" i="5419"/>
  <c r="H38" i="5419"/>
  <c r="H16" i="5419"/>
  <c r="H25" i="5419"/>
  <c r="H32" i="5419"/>
  <c r="H40" i="5419"/>
  <c r="H48" i="5419"/>
  <c r="H10" i="5419"/>
  <c r="H20" i="5419"/>
  <c r="H33" i="5419"/>
  <c r="H49" i="5419"/>
  <c r="H21" i="5419"/>
  <c r="H34" i="5419"/>
  <c r="H50" i="5419"/>
  <c r="H17" i="5419"/>
  <c r="H22" i="5419"/>
  <c r="H27" i="5419"/>
  <c r="H35" i="5419"/>
  <c r="H43" i="5419"/>
  <c r="H20" i="5417"/>
  <c r="H26" i="5417"/>
  <c r="H33" i="5417"/>
  <c r="H41" i="5417"/>
  <c r="H49" i="5417"/>
  <c r="H7" i="5417"/>
  <c r="H13" i="5417"/>
  <c r="H21" i="5417"/>
  <c r="H34" i="5417"/>
  <c r="H42" i="5417"/>
  <c r="H50" i="5417"/>
  <c r="H17" i="5417"/>
  <c r="H22" i="5417"/>
  <c r="H27" i="5417"/>
  <c r="H35" i="5417"/>
  <c r="H43" i="5417"/>
  <c r="H51" i="5417"/>
  <c r="H5" i="5417"/>
  <c r="H11" i="5417"/>
  <c r="H14" i="5417"/>
  <c r="C18" i="5417"/>
  <c r="B23" i="5417"/>
  <c r="H28" i="5417"/>
  <c r="H36" i="5417"/>
  <c r="H44" i="5417"/>
  <c r="H15" i="5417"/>
  <c r="C19" i="5417"/>
  <c r="H30" i="5417"/>
  <c r="H38" i="5417"/>
  <c r="H46" i="5417"/>
  <c r="H3" i="5417"/>
  <c r="H6" i="5417"/>
  <c r="H9" i="5417"/>
  <c r="H12" i="5417"/>
  <c r="H19" i="5417"/>
  <c r="H24" i="5417"/>
  <c r="H31" i="5417"/>
  <c r="H39" i="5417"/>
  <c r="H47" i="5417"/>
  <c r="H16" i="5417"/>
  <c r="H25" i="5417"/>
  <c r="H32" i="5417"/>
  <c r="H40" i="5417"/>
  <c r="O19" i="5415" l="1"/>
  <c r="O18" i="5413"/>
  <c r="O16" i="5413"/>
  <c r="O17" i="5405"/>
  <c r="O20" i="5411" l="1"/>
  <c r="O17" i="5409"/>
  <c r="O17" i="5413"/>
  <c r="O19" i="5413"/>
  <c r="O15" i="5411" l="1"/>
  <c r="O15" i="5409"/>
  <c r="O21" i="5407"/>
  <c r="O19" i="5407"/>
  <c r="O16" i="5415"/>
  <c r="O18" i="5415"/>
  <c r="C27" i="5415"/>
  <c r="B24" i="5415"/>
  <c r="C20" i="5415"/>
  <c r="B17" i="5415"/>
  <c r="H49" i="5415" s="1"/>
  <c r="C16" i="5415"/>
  <c r="C15" i="5415"/>
  <c r="C14" i="5415"/>
  <c r="C13" i="5415"/>
  <c r="O12" i="5415"/>
  <c r="C12" i="5415"/>
  <c r="O11" i="5415"/>
  <c r="C11" i="5415"/>
  <c r="O10" i="5415"/>
  <c r="H4" i="5415"/>
  <c r="C10" i="5415"/>
  <c r="C9" i="5415"/>
  <c r="C8" i="5415"/>
  <c r="O7" i="5415"/>
  <c r="C7" i="5415"/>
  <c r="O6" i="5415"/>
  <c r="B6" i="5415"/>
  <c r="O5" i="5415"/>
  <c r="B5" i="5415"/>
  <c r="O4" i="5415"/>
  <c r="O3" i="5415"/>
  <c r="O2" i="5415"/>
  <c r="O22" i="5409"/>
  <c r="O21" i="5405"/>
  <c r="O22" i="5401"/>
  <c r="H2" i="5415" l="1"/>
  <c r="C17" i="5415"/>
  <c r="H3" i="5415"/>
  <c r="H29" i="5415"/>
  <c r="H32" i="5415"/>
  <c r="H35" i="5415"/>
  <c r="H42" i="5415"/>
  <c r="H50" i="5415"/>
  <c r="H8" i="5415"/>
  <c r="H21" i="5415"/>
  <c r="H14" i="5415"/>
  <c r="H36" i="5415"/>
  <c r="H43" i="5415"/>
  <c r="H51" i="5415"/>
  <c r="H17" i="5415"/>
  <c r="H30" i="5415"/>
  <c r="H10" i="5415"/>
  <c r="H37" i="5415"/>
  <c r="H44" i="5415"/>
  <c r="H5" i="5415"/>
  <c r="H6" i="5415"/>
  <c r="H25" i="5415"/>
  <c r="H26" i="5415"/>
  <c r="C18" i="5415"/>
  <c r="B23" i="5415"/>
  <c r="H22" i="5415"/>
  <c r="H38" i="5415"/>
  <c r="H45" i="5415"/>
  <c r="H11" i="5415"/>
  <c r="H28" i="5415"/>
  <c r="H18" i="5415"/>
  <c r="H15" i="5415"/>
  <c r="H39" i="5415"/>
  <c r="H46" i="5415"/>
  <c r="H27" i="5415"/>
  <c r="C19" i="5415"/>
  <c r="H23" i="5415"/>
  <c r="H40" i="5415"/>
  <c r="H47" i="5415"/>
  <c r="H9" i="5415"/>
  <c r="H7" i="5415"/>
  <c r="H12" i="5415"/>
  <c r="H20" i="5415"/>
  <c r="H16" i="5415"/>
  <c r="H19" i="5415"/>
  <c r="H33" i="5415"/>
  <c r="H24" i="5415"/>
  <c r="H48" i="5415"/>
  <c r="H13" i="5415"/>
  <c r="H31" i="5415"/>
  <c r="H34" i="5415"/>
  <c r="H41" i="5415"/>
  <c r="O18" i="5407" l="1"/>
  <c r="O20" i="5413"/>
  <c r="O15" i="5413"/>
  <c r="C27" i="5413"/>
  <c r="B24" i="5413"/>
  <c r="C20" i="5413"/>
  <c r="B17" i="5413"/>
  <c r="H50" i="5413" s="1"/>
  <c r="C16" i="5413"/>
  <c r="C15" i="5413"/>
  <c r="C14" i="5413"/>
  <c r="C13" i="5413"/>
  <c r="O12" i="5413"/>
  <c r="C12" i="5413"/>
  <c r="O11" i="5413"/>
  <c r="C11" i="5413"/>
  <c r="O10" i="5413"/>
  <c r="C10" i="5413"/>
  <c r="C9" i="5413"/>
  <c r="C8" i="5413"/>
  <c r="O7" i="5413"/>
  <c r="C7" i="5413"/>
  <c r="O6" i="5413"/>
  <c r="B6" i="5413"/>
  <c r="O5" i="5413"/>
  <c r="B5" i="5413"/>
  <c r="O4" i="5413"/>
  <c r="O3" i="5413"/>
  <c r="O2" i="5413"/>
  <c r="O20" i="5403"/>
  <c r="O18" i="5401"/>
  <c r="O21" i="5411"/>
  <c r="O19" i="5405"/>
  <c r="O18" i="5405"/>
  <c r="O18" i="5409"/>
  <c r="O22" i="5411"/>
  <c r="O23" i="5411"/>
  <c r="C27" i="5411"/>
  <c r="B24" i="5411"/>
  <c r="C20" i="5411"/>
  <c r="B17" i="5411"/>
  <c r="H4" i="5411" s="1"/>
  <c r="C16" i="5411"/>
  <c r="C15" i="5411"/>
  <c r="C14" i="5411"/>
  <c r="C13" i="5411"/>
  <c r="O12" i="5411"/>
  <c r="C12" i="5411"/>
  <c r="O11" i="5411"/>
  <c r="C11" i="5411"/>
  <c r="O10" i="5411"/>
  <c r="C10" i="5411"/>
  <c r="C9" i="5411"/>
  <c r="C8" i="5411"/>
  <c r="O7" i="5411"/>
  <c r="C7" i="5411"/>
  <c r="O6" i="5411"/>
  <c r="B6" i="5411"/>
  <c r="O5" i="5411"/>
  <c r="B5" i="5411"/>
  <c r="O4" i="5411"/>
  <c r="O3" i="5411"/>
  <c r="O2" i="5411"/>
  <c r="O20" i="5409"/>
  <c r="O19" i="5409"/>
  <c r="C27" i="5409"/>
  <c r="B24" i="5409"/>
  <c r="C20" i="5409"/>
  <c r="B17" i="5409"/>
  <c r="H51" i="5409" s="1"/>
  <c r="C16" i="5409"/>
  <c r="C15" i="5409"/>
  <c r="C14" i="5409"/>
  <c r="C13" i="5409"/>
  <c r="O12" i="5409"/>
  <c r="C12" i="5409"/>
  <c r="O11" i="5409"/>
  <c r="C11" i="5409"/>
  <c r="O10" i="5409"/>
  <c r="C10" i="5409"/>
  <c r="C9" i="5409"/>
  <c r="C8" i="5409"/>
  <c r="O7" i="5409"/>
  <c r="C7" i="5409"/>
  <c r="O6" i="5409"/>
  <c r="B6" i="5409"/>
  <c r="O5" i="5409"/>
  <c r="B5" i="5409"/>
  <c r="O4" i="5409"/>
  <c r="O3" i="5409"/>
  <c r="O2" i="5409"/>
  <c r="O19" i="5403"/>
  <c r="O23" i="5403"/>
  <c r="O21" i="5401"/>
  <c r="O23" i="5401"/>
  <c r="H10" i="5413" l="1"/>
  <c r="H9" i="5409"/>
  <c r="H6" i="5409"/>
  <c r="H36" i="5409"/>
  <c r="H12" i="5409"/>
  <c r="B23" i="5409"/>
  <c r="H10" i="5409"/>
  <c r="H30" i="5409"/>
  <c r="H3" i="5409"/>
  <c r="H16" i="5409"/>
  <c r="H38" i="5409"/>
  <c r="H13" i="5409"/>
  <c r="H4" i="5409"/>
  <c r="H7" i="5409"/>
  <c r="H40" i="5409"/>
  <c r="H25" i="5409"/>
  <c r="H11" i="5409"/>
  <c r="H45" i="5409"/>
  <c r="C17" i="5409"/>
  <c r="C18" i="5409"/>
  <c r="H5" i="5409"/>
  <c r="H14" i="5409"/>
  <c r="H46" i="5409"/>
  <c r="H24" i="5409"/>
  <c r="H44" i="5409"/>
  <c r="H18" i="5409"/>
  <c r="H2" i="5409"/>
  <c r="H8" i="5409"/>
  <c r="C19" i="5409"/>
  <c r="H28" i="5409"/>
  <c r="H15" i="5409"/>
  <c r="H19" i="5409"/>
  <c r="H29" i="5409"/>
  <c r="C17" i="5413"/>
  <c r="H4" i="5413"/>
  <c r="H17" i="5413"/>
  <c r="H22" i="5413"/>
  <c r="H27" i="5413"/>
  <c r="H35" i="5413"/>
  <c r="H43" i="5413"/>
  <c r="H51" i="5413"/>
  <c r="H5" i="5413"/>
  <c r="H11" i="5413"/>
  <c r="H14" i="5413"/>
  <c r="C18" i="5413"/>
  <c r="B23" i="5413"/>
  <c r="H28" i="5413"/>
  <c r="H36" i="5413"/>
  <c r="H44" i="5413"/>
  <c r="H2" i="5413"/>
  <c r="H8" i="5413"/>
  <c r="H18" i="5413"/>
  <c r="H23" i="5413"/>
  <c r="H29" i="5413"/>
  <c r="H37" i="5413"/>
  <c r="H45" i="5413"/>
  <c r="H30" i="5413"/>
  <c r="H38" i="5413"/>
  <c r="H46" i="5413"/>
  <c r="C19" i="5413"/>
  <c r="H3" i="5413"/>
  <c r="H6" i="5413"/>
  <c r="H9" i="5413"/>
  <c r="H12" i="5413"/>
  <c r="H19" i="5413"/>
  <c r="H24" i="5413"/>
  <c r="H31" i="5413"/>
  <c r="H39" i="5413"/>
  <c r="H47" i="5413"/>
  <c r="H15" i="5413"/>
  <c r="H16" i="5413"/>
  <c r="H25" i="5413"/>
  <c r="H32" i="5413"/>
  <c r="H40" i="5413"/>
  <c r="H48" i="5413"/>
  <c r="H20" i="5413"/>
  <c r="H26" i="5413"/>
  <c r="H33" i="5413"/>
  <c r="H41" i="5413"/>
  <c r="H49" i="5413"/>
  <c r="H7" i="5413"/>
  <c r="H13" i="5413"/>
  <c r="H21" i="5413"/>
  <c r="H34" i="5413"/>
  <c r="H42" i="5413"/>
  <c r="H39" i="5411"/>
  <c r="H12" i="5411"/>
  <c r="H7" i="5411"/>
  <c r="H24" i="5411"/>
  <c r="H40" i="5411"/>
  <c r="H15" i="5411"/>
  <c r="H23" i="5411"/>
  <c r="C19" i="5411"/>
  <c r="H43" i="5411"/>
  <c r="H5" i="5411"/>
  <c r="H9" i="5411"/>
  <c r="H19" i="5411"/>
  <c r="H25" i="5411"/>
  <c r="H18" i="5411"/>
  <c r="H37" i="5409"/>
  <c r="H45" i="5411"/>
  <c r="H10" i="5411"/>
  <c r="B23" i="5411"/>
  <c r="C17" i="5411"/>
  <c r="H35" i="5411"/>
  <c r="H47" i="5411"/>
  <c r="H6" i="5411"/>
  <c r="H31" i="5411"/>
  <c r="H32" i="5411"/>
  <c r="H2" i="5411"/>
  <c r="H8" i="5411"/>
  <c r="H21" i="5411"/>
  <c r="C18" i="5411"/>
  <c r="H48" i="5411"/>
  <c r="H20" i="5411"/>
  <c r="H13" i="5411"/>
  <c r="H46" i="5411"/>
  <c r="H3" i="5411"/>
  <c r="H29" i="5411"/>
  <c r="H37" i="5411"/>
  <c r="H26" i="5411"/>
  <c r="H14" i="5411"/>
  <c r="H38" i="5411"/>
  <c r="H51" i="5411"/>
  <c r="H17" i="5411"/>
  <c r="H22" i="5411"/>
  <c r="H33" i="5411"/>
  <c r="H41" i="5411"/>
  <c r="H49" i="5411"/>
  <c r="H27" i="5411"/>
  <c r="H30" i="5411"/>
  <c r="H34" i="5411"/>
  <c r="H42" i="5411"/>
  <c r="H50" i="5411"/>
  <c r="H16" i="5411"/>
  <c r="H28" i="5411"/>
  <c r="H11" i="5411"/>
  <c r="H36" i="5411"/>
  <c r="H44" i="5411"/>
  <c r="H23" i="5409"/>
  <c r="H32" i="5409"/>
  <c r="H48" i="5409"/>
  <c r="H31" i="5409"/>
  <c r="H39" i="5409"/>
  <c r="H47" i="5409"/>
  <c r="H20" i="5409"/>
  <c r="H26" i="5409"/>
  <c r="H33" i="5409"/>
  <c r="H41" i="5409"/>
  <c r="H49" i="5409"/>
  <c r="H21" i="5409"/>
  <c r="H34" i="5409"/>
  <c r="H42" i="5409"/>
  <c r="H50" i="5409"/>
  <c r="H17" i="5409"/>
  <c r="H22" i="5409"/>
  <c r="H27" i="5409"/>
  <c r="H35" i="5409"/>
  <c r="H43" i="5409"/>
  <c r="O17" i="5407" l="1"/>
  <c r="O20" i="5407"/>
  <c r="C27" i="5407"/>
  <c r="B24" i="5407"/>
  <c r="C20" i="5407"/>
  <c r="B17" i="5407"/>
  <c r="H51" i="5407" s="1"/>
  <c r="C16" i="5407"/>
  <c r="C15" i="5407"/>
  <c r="C14" i="5407"/>
  <c r="C13" i="5407"/>
  <c r="O12" i="5407"/>
  <c r="C12" i="5407"/>
  <c r="O11" i="5407"/>
  <c r="C11" i="5407"/>
  <c r="O10" i="5407"/>
  <c r="C10" i="5407"/>
  <c r="C9" i="5407"/>
  <c r="C8" i="5407"/>
  <c r="O7" i="5407"/>
  <c r="C7" i="5407"/>
  <c r="O6" i="5407"/>
  <c r="B6" i="5407"/>
  <c r="O5" i="5407"/>
  <c r="B5" i="5407"/>
  <c r="O4" i="5407"/>
  <c r="O3" i="5407"/>
  <c r="O2" i="5407"/>
  <c r="O22" i="5405"/>
  <c r="O16" i="5405"/>
  <c r="C27" i="5405"/>
  <c r="B24" i="5405"/>
  <c r="C20" i="5405"/>
  <c r="B17" i="5405"/>
  <c r="H51" i="5405" s="1"/>
  <c r="C16" i="5405"/>
  <c r="C15" i="5405"/>
  <c r="C14" i="5405"/>
  <c r="C13" i="5405"/>
  <c r="O12" i="5405"/>
  <c r="C12" i="5405"/>
  <c r="O11" i="5405"/>
  <c r="C11" i="5405"/>
  <c r="O10" i="5405"/>
  <c r="C10" i="5405"/>
  <c r="C9" i="5405"/>
  <c r="C8" i="5405"/>
  <c r="O7" i="5405"/>
  <c r="C7" i="5405"/>
  <c r="O6" i="5405"/>
  <c r="B6" i="5405"/>
  <c r="O5" i="5405"/>
  <c r="B5" i="5405"/>
  <c r="O4" i="5405"/>
  <c r="O3" i="5405"/>
  <c r="O2" i="5405"/>
  <c r="O24" i="5401"/>
  <c r="O16" i="5403"/>
  <c r="O22" i="5403"/>
  <c r="C27" i="5403"/>
  <c r="B24" i="5403"/>
  <c r="C20" i="5403"/>
  <c r="B17" i="5403"/>
  <c r="H51" i="5403" s="1"/>
  <c r="C16" i="5403"/>
  <c r="C15" i="5403"/>
  <c r="C14" i="5403"/>
  <c r="C13" i="5403"/>
  <c r="O12" i="5403"/>
  <c r="C12" i="5403"/>
  <c r="O11" i="5403"/>
  <c r="C11" i="5403"/>
  <c r="O10" i="5403"/>
  <c r="C10" i="5403"/>
  <c r="C9" i="5403"/>
  <c r="C8" i="5403"/>
  <c r="O7" i="5403"/>
  <c r="C7" i="5403"/>
  <c r="O6" i="5403"/>
  <c r="B6" i="5403"/>
  <c r="O5" i="5403"/>
  <c r="B5" i="5403"/>
  <c r="O4" i="5403"/>
  <c r="O3" i="5403"/>
  <c r="O2" i="5403"/>
  <c r="O15" i="5401"/>
  <c r="O20" i="5401"/>
  <c r="C27" i="5401"/>
  <c r="B24" i="5401"/>
  <c r="C20" i="5401"/>
  <c r="B17" i="5401"/>
  <c r="H51" i="5401" s="1"/>
  <c r="C16" i="5401"/>
  <c r="C15" i="5401"/>
  <c r="C14" i="5401"/>
  <c r="C13" i="5401"/>
  <c r="O12" i="5401"/>
  <c r="C12" i="5401"/>
  <c r="O11" i="5401"/>
  <c r="C11" i="5401"/>
  <c r="O10" i="5401"/>
  <c r="C10" i="5401"/>
  <c r="C9" i="5401"/>
  <c r="C8" i="5401"/>
  <c r="O7" i="5401"/>
  <c r="C7" i="5401"/>
  <c r="O6" i="5401"/>
  <c r="B6" i="5401"/>
  <c r="O5" i="5401"/>
  <c r="B5" i="5401"/>
  <c r="O4" i="5401"/>
  <c r="O3" i="5401"/>
  <c r="O2" i="5401"/>
  <c r="H14" i="5407" l="1"/>
  <c r="H36" i="5403"/>
  <c r="H26" i="5403"/>
  <c r="H13" i="5403"/>
  <c r="H7" i="5403"/>
  <c r="H6" i="5407"/>
  <c r="H16" i="5407"/>
  <c r="H18" i="5407"/>
  <c r="H9" i="5407"/>
  <c r="H10" i="5407"/>
  <c r="H3" i="5407"/>
  <c r="H4" i="5407"/>
  <c r="H37" i="5407"/>
  <c r="H33" i="5407"/>
  <c r="H41" i="5407"/>
  <c r="H26" i="5407"/>
  <c r="H24" i="5407"/>
  <c r="H30" i="5407"/>
  <c r="H27" i="5407"/>
  <c r="H12" i="5407"/>
  <c r="C19" i="5407"/>
  <c r="H44" i="5407"/>
  <c r="H19" i="5407"/>
  <c r="H8" i="5407"/>
  <c r="C17" i="5407"/>
  <c r="H2" i="5407"/>
  <c r="H7" i="5407"/>
  <c r="H13" i="5407"/>
  <c r="H45" i="5407"/>
  <c r="H25" i="5407"/>
  <c r="C18" i="5407"/>
  <c r="H32" i="5407"/>
  <c r="H10" i="5403"/>
  <c r="H17" i="5403"/>
  <c r="H2" i="5403"/>
  <c r="H14" i="5403"/>
  <c r="H6" i="5401"/>
  <c r="H17" i="5407"/>
  <c r="H21" i="5407"/>
  <c r="H36" i="5407"/>
  <c r="H46" i="5407"/>
  <c r="H47" i="5407"/>
  <c r="H15" i="5407"/>
  <c r="H11" i="5407"/>
  <c r="H38" i="5407"/>
  <c r="H48" i="5407"/>
  <c r="H29" i="5407"/>
  <c r="H31" i="5407"/>
  <c r="H39" i="5407"/>
  <c r="H49" i="5407"/>
  <c r="H20" i="5407"/>
  <c r="B23" i="5407"/>
  <c r="H23" i="5407"/>
  <c r="H40" i="5407"/>
  <c r="H5" i="5407"/>
  <c r="H28" i="5407"/>
  <c r="H22" i="5407"/>
  <c r="H34" i="5407"/>
  <c r="H42" i="5407"/>
  <c r="H50" i="5407"/>
  <c r="H35" i="5407"/>
  <c r="H43" i="5407"/>
  <c r="H12" i="5401"/>
  <c r="H37" i="5401"/>
  <c r="H38" i="5401"/>
  <c r="H37" i="5405"/>
  <c r="C18" i="5405"/>
  <c r="H38" i="5405"/>
  <c r="H9" i="5405"/>
  <c r="H17" i="5405"/>
  <c r="H2" i="5405"/>
  <c r="H30" i="5405"/>
  <c r="C19" i="5405"/>
  <c r="H10" i="5405"/>
  <c r="H23" i="5405"/>
  <c r="H26" i="5405"/>
  <c r="H46" i="5405"/>
  <c r="H32" i="5405"/>
  <c r="H4" i="5405"/>
  <c r="H39" i="5405"/>
  <c r="H29" i="5405"/>
  <c r="H45" i="5405"/>
  <c r="H3" i="5405"/>
  <c r="H47" i="5405"/>
  <c r="H7" i="5405"/>
  <c r="H13" i="5405"/>
  <c r="H44" i="5405"/>
  <c r="H20" i="5405"/>
  <c r="H11" i="5405"/>
  <c r="H6" i="5405"/>
  <c r="H15" i="5405"/>
  <c r="H27" i="5405"/>
  <c r="H12" i="5405"/>
  <c r="H21" i="5405"/>
  <c r="H19" i="5405"/>
  <c r="B23" i="5405"/>
  <c r="H36" i="5405"/>
  <c r="H48" i="5405"/>
  <c r="H49" i="5405"/>
  <c r="H14" i="5405"/>
  <c r="H34" i="5405"/>
  <c r="H40" i="5405"/>
  <c r="H18" i="5405"/>
  <c r="H8" i="5405"/>
  <c r="H22" i="5405"/>
  <c r="C17" i="5405"/>
  <c r="H24" i="5405"/>
  <c r="H16" i="5405"/>
  <c r="H41" i="5405"/>
  <c r="H5" i="5405"/>
  <c r="H33" i="5405"/>
  <c r="H35" i="5405"/>
  <c r="H42" i="5405"/>
  <c r="H50" i="5405"/>
  <c r="H31" i="5405"/>
  <c r="H25" i="5405"/>
  <c r="H28" i="5405"/>
  <c r="H43" i="5405"/>
  <c r="H9" i="5401"/>
  <c r="H16" i="5401"/>
  <c r="H2" i="5401"/>
  <c r="H24" i="5401"/>
  <c r="H45" i="5403"/>
  <c r="H37" i="5403"/>
  <c r="H30" i="5403"/>
  <c r="H16" i="5403"/>
  <c r="H46" i="5403"/>
  <c r="H3" i="5403"/>
  <c r="H47" i="5403"/>
  <c r="H8" i="5403"/>
  <c r="H25" i="5403"/>
  <c r="H27" i="5403"/>
  <c r="H39" i="5403"/>
  <c r="H48" i="5403"/>
  <c r="H38" i="5403"/>
  <c r="H41" i="5403"/>
  <c r="H9" i="5403"/>
  <c r="H23" i="5403"/>
  <c r="H19" i="5403"/>
  <c r="H18" i="5403"/>
  <c r="H40" i="5403"/>
  <c r="H31" i="5403"/>
  <c r="H21" i="5403"/>
  <c r="H50" i="5403"/>
  <c r="H4" i="5403"/>
  <c r="H11" i="5403"/>
  <c r="H32" i="5403"/>
  <c r="H28" i="5403"/>
  <c r="H42" i="5403"/>
  <c r="H15" i="5403"/>
  <c r="C17" i="5403"/>
  <c r="B23" i="5403"/>
  <c r="H49" i="5403"/>
  <c r="H6" i="5403"/>
  <c r="H20" i="5403"/>
  <c r="C18" i="5403"/>
  <c r="H22" i="5403"/>
  <c r="H24" i="5403"/>
  <c r="C19" i="5403"/>
  <c r="H12" i="5403"/>
  <c r="H35" i="5403"/>
  <c r="H44" i="5403"/>
  <c r="H5" i="5403"/>
  <c r="H33" i="5403"/>
  <c r="H34" i="5403"/>
  <c r="H29" i="5403"/>
  <c r="H43" i="5403"/>
  <c r="H45" i="5401"/>
  <c r="H22" i="5401"/>
  <c r="H15" i="5401"/>
  <c r="H46" i="5401"/>
  <c r="H39" i="5401"/>
  <c r="C17" i="5401"/>
  <c r="H48" i="5401"/>
  <c r="H4" i="5401"/>
  <c r="H41" i="5401"/>
  <c r="H10" i="5401"/>
  <c r="H21" i="5401"/>
  <c r="H40" i="5401"/>
  <c r="H18" i="5401"/>
  <c r="H17" i="5401"/>
  <c r="H7" i="5401"/>
  <c r="H20" i="5401"/>
  <c r="C18" i="5401"/>
  <c r="H27" i="5401"/>
  <c r="H32" i="5401"/>
  <c r="H25" i="5401"/>
  <c r="H42" i="5401"/>
  <c r="H19" i="5401"/>
  <c r="H14" i="5401"/>
  <c r="H47" i="5401"/>
  <c r="H8" i="5401"/>
  <c r="H26" i="5401"/>
  <c r="H29" i="5401"/>
  <c r="B23" i="5401"/>
  <c r="H49" i="5401"/>
  <c r="H33" i="5401"/>
  <c r="H23" i="5401"/>
  <c r="H50" i="5401"/>
  <c r="H3" i="5401"/>
  <c r="H11" i="5401"/>
  <c r="H34" i="5401"/>
  <c r="H28" i="5401"/>
  <c r="C19" i="5401"/>
  <c r="H13" i="5401"/>
  <c r="H36" i="5401"/>
  <c r="H44" i="5401"/>
  <c r="H5" i="5401"/>
  <c r="H35" i="5401"/>
  <c r="H30" i="5401"/>
  <c r="H31" i="5401"/>
  <c r="H43" i="540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<sst xmlns="http://schemas.openxmlformats.org/spreadsheetml/2006/main" count="3234" uniqueCount="242">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</sst>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全体!$K$2:$K$578</c:f>
              <c:numCache>
                <c:formatCode>General</c:formatCode>
                <c:ptCount val="5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</c:numCache>
            </c:numRef>
          </c:xVal>
          <c:yVal>
            <c:numRef>
              <c:f>全体!$L$2:$L$578</c:f>
              <c:numCache>
                <c:formatCode>\+0.0;\-0.0;\±0</c:formatCode>
                <c:ptCount val="57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B-4FE4-9336-E859B79F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-13.888888888888889</c:v>
                </c:pt>
                <c:pt idx="1">
                  <c:v>-7.0921985815602833</c:v>
                </c:pt>
                <c:pt idx="2">
                  <c:v>5.6497175141242941</c:v>
                </c:pt>
                <c:pt idx="3">
                  <c:v>12.422360248447205</c:v>
                </c:pt>
                <c:pt idx="4">
                  <c:v>-13.888888888888889</c:v>
                </c:pt>
                <c:pt idx="5">
                  <c:v>23.255813953488371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6-4E1F-9B27-78ACA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だいち!$L$2:$L$131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0-409D-9ACF-ADC5EE9DA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1310.8527131782946</c:v>
                </c:pt>
                <c:pt idx="1">
                  <c:v>1136.5079365079366</c:v>
                </c:pt>
                <c:pt idx="2">
                  <c:v>1571.4285714285713</c:v>
                </c:pt>
                <c:pt idx="3">
                  <c:v>2882.5688073394494</c:v>
                </c:pt>
                <c:pt idx="4">
                  <c:v>309.4736842105263</c:v>
                </c:pt>
                <c:pt idx="5">
                  <c:v>867.07317073170736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DBC-B978-7F9F67A2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りくと!$L$2:$L$118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5CA-8D70-BC0ECF22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496.55172413793105</c:v>
                </c:pt>
                <c:pt idx="1">
                  <c:v>-2231.25</c:v>
                </c:pt>
                <c:pt idx="2">
                  <c:v>38.532110091743121</c:v>
                </c:pt>
                <c:pt idx="3">
                  <c:v>171.13402061855669</c:v>
                </c:pt>
                <c:pt idx="4">
                  <c:v>424.41860465116281</c:v>
                </c:pt>
                <c:pt idx="5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4-4AB5-B8E1-2C6D0E5F1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1-4C7D-B954-48E7F941E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-2057.9710144927535</c:v>
                </c:pt>
                <c:pt idx="1">
                  <c:v>-1313.4328358208954</c:v>
                </c:pt>
                <c:pt idx="2">
                  <c:v>-890.47619047619048</c:v>
                </c:pt>
                <c:pt idx="3">
                  <c:v>-4852.727272727273</c:v>
                </c:pt>
                <c:pt idx="4">
                  <c:v>-1510.204081632653</c:v>
                </c:pt>
                <c:pt idx="5">
                  <c:v>-2253.3333333333335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AF5-8174-EA7E819D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れんたろう!$L$2:$L$81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A-4610-BE3C-BB15F39C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-1070.8860759493671</c:v>
                </c:pt>
                <c:pt idx="1">
                  <c:v>1011.5384615384615</c:v>
                </c:pt>
                <c:pt idx="2">
                  <c:v>1584.7222222222222</c:v>
                </c:pt>
                <c:pt idx="3">
                  <c:v>1145.1612903225807</c:v>
                </c:pt>
                <c:pt idx="4">
                  <c:v>-677.77777777777783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8-4A73-A997-CDB312F6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たかの!$L$2:$L$66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7-4856-96F5-722DB8331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1096.875</c:v>
                </c:pt>
                <c:pt idx="1">
                  <c:v>-490.625</c:v>
                </c:pt>
                <c:pt idx="2">
                  <c:v>-1405.2631578947369</c:v>
                </c:pt>
                <c:pt idx="3">
                  <c:v>450</c:v>
                </c:pt>
                <c:pt idx="4">
                  <c:v>709.61538461538464</c:v>
                </c:pt>
                <c:pt idx="5">
                  <c:v>-135.55555555555554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2CB-9D1C-5E4CA1739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0-4A09-BE8A-4CD7671A8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F-4BC0-90B2-66579030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7-43F1-A748-A8533D4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1260.4166666666667</c:v>
                </c:pt>
                <c:pt idx="1">
                  <c:v>604.3478260869565</c:v>
                </c:pt>
                <c:pt idx="2">
                  <c:v>-1323.8095238095239</c:v>
                </c:pt>
                <c:pt idx="3">
                  <c:v>1346.3414634146341</c:v>
                </c:pt>
                <c:pt idx="4">
                  <c:v>-1524.3243243243244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8-49CB-88FC-37E86AF4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C-45F4-8E88-BD4B511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7-413C-A675-0ACD9EC6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F-43C5-A50A-728F714D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A-4DED-8F45-D897D926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4F0C-9EF9-2590D2964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F-45AE-A418-B021AE0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327-8A7F-FDBB2E65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954-89E2-F76FCB5D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E-4A33-AC71-AE2281A2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2-42AC-A888-9D257232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まっつん2!$B$3:$B$51</c:f>
              <c:numCache>
                <c:formatCode>\+0.0;\-0.0;\±0</c:formatCode>
                <c:ptCount val="4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61338147750939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まっつん2!$C$3:$C$51</c:f>
              <c:numCache>
                <c:formatCode>\+0.0;\-0.0;\±0</c:formatCode>
                <c:ptCount val="4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564823173178713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まっつん2!$D$3:$D$51</c:f>
              <c:numCache>
                <c:formatCode>0.00\ "位"</c:formatCode>
                <c:ptCount val="4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まっつん2!$E$3:$E$51</c:f>
              <c:numCache>
                <c:formatCode>0.0%</c:formatCode>
                <c:ptCount val="4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まっつん2!$F$3:$F$51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まっつん2!$G$3:$G$51</c:f>
              <c:numCache>
                <c:formatCode>0.0%</c:formatCode>
                <c:ptCount val="4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604413907974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まっつん2!$H$3:$H$51</c:f>
              <c:numCache>
                <c:formatCode>0.0%</c:formatCode>
                <c:ptCount val="4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2281907141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まっつん2!$I$3:$I$51</c:f>
              <c:numCache>
                <c:formatCode>0</c:formatCode>
                <c:ptCount val="4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7.34537873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まっつん2!$J$3:$J$51</c:f>
              <c:numCache>
                <c:formatCode>0</c:formatCode>
                <c:ptCount val="4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3.76237623762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まっつん2!$K$3:$K$51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58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まっつん2!$L$3:$L$51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58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まっつん2!$M$3:$M$51</c:f>
              <c:numCache>
                <c:formatCode>0.0%</c:formatCode>
                <c:ptCount val="4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992296481365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まっつん2!$N$3:$N$51</c:f>
              <c:numCache>
                <c:formatCode>0.0%</c:formatCode>
                <c:ptCount val="4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90984801165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まっつん2!$O$3:$O$51</c:f>
              <c:numCache>
                <c:formatCode>0.0%</c:formatCode>
                <c:ptCount val="4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1343283582089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まっつん2!$P$3:$P$51</c:f>
              <c:numCache>
                <c:formatCode>0.0%</c:formatCode>
                <c:ptCount val="4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918065153010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まっつん2!$Q$3:$Q$51</c:f>
              <c:numCache>
                <c:formatCode>0.0%</c:formatCode>
                <c:ptCount val="4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93954134815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43613.63894675926</v>
      </c>
      <c r="C52" s="30" t="s">
        <v>130</v>
      </c>
    </row>
    <row r="53" spans="1:7" x14ac:dyDescent="0.4">
      <c r="A53" s="30" t="s">
        <v>241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576</v>
      </c>
    </row>
    <row r="2" spans="1:2" x14ac:dyDescent="0.4">
      <c r="A2" t="s">
        <v>127</v>
      </c>
      <c r="B2">
        <v>129</v>
      </c>
    </row>
    <row r="3" spans="1:2" x14ac:dyDescent="0.4">
      <c r="A3" t="s">
        <v>128</v>
      </c>
      <c r="B3">
        <v>116</v>
      </c>
    </row>
    <row r="4" spans="1:2" x14ac:dyDescent="0.4">
      <c r="A4" t="s">
        <v>129</v>
      </c>
      <c r="B4">
        <v>69</v>
      </c>
    </row>
    <row r="5" spans="1:2" x14ac:dyDescent="0.4">
      <c r="A5" t="s">
        <v>171</v>
      </c>
      <c r="B5">
        <v>79</v>
      </c>
    </row>
    <row r="6" spans="1:2" x14ac:dyDescent="0.4">
      <c r="A6" t="s">
        <v>172</v>
      </c>
      <c r="B6">
        <v>64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48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0.48723511207676384</v>
      </c>
      <c r="G2" s="155"/>
      <c r="H2" s="154">
        <v>0.25750229359473126</v>
      </c>
      <c r="I2" s="155"/>
      <c r="J2" s="154">
        <v>0.57165704193499556</v>
      </c>
      <c r="K2" s="155"/>
      <c r="L2" s="154">
        <v>0.18282068701182133</v>
      </c>
      <c r="M2" s="155"/>
      <c r="N2" s="154">
        <v>0.38420855044690239</v>
      </c>
      <c r="O2" s="155"/>
      <c r="P2" s="154">
        <v>0.47711700737165497</v>
      </c>
      <c r="Q2" s="155"/>
      <c r="R2" s="154">
        <v>8.9868594029672205E-2</v>
      </c>
      <c r="S2" s="155"/>
      <c r="T2" s="154">
        <v>0.10663474603163291</v>
      </c>
      <c r="U2" s="155"/>
      <c r="V2" s="154">
        <v>0.65103342234231054</v>
      </c>
      <c r="W2" s="155"/>
      <c r="X2" s="154">
        <v>0.77157555245159282</v>
      </c>
      <c r="Y2" s="155"/>
      <c r="Z2" s="154">
        <v>-0.13626221229965177</v>
      </c>
      <c r="AA2" s="155"/>
      <c r="AB2" s="154">
        <v>-0.48622228329175293</v>
      </c>
      <c r="AC2" s="155"/>
      <c r="AD2" s="154">
        <v>9.7726723081494965E-2</v>
      </c>
      <c r="AE2" s="155"/>
      <c r="AF2" s="154">
        <v>-0.62208555353142059</v>
      </c>
      <c r="AG2" s="155"/>
      <c r="AH2" s="154">
        <v>0.6854882393570062</v>
      </c>
      <c r="AI2" s="155"/>
    </row>
    <row r="3" spans="1:35" x14ac:dyDescent="0.4">
      <c r="A3" s="74">
        <v>1</v>
      </c>
      <c r="B3" s="75" t="s">
        <v>127</v>
      </c>
      <c r="C3" s="76">
        <v>1603.0000000000011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0.3579136690647482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0.17054263565891473</v>
      </c>
      <c r="X3" s="77" t="s">
        <v>127</v>
      </c>
      <c r="Y3" s="80">
        <v>0.32316491897044802</v>
      </c>
      <c r="Z3" s="77" t="s">
        <v>172</v>
      </c>
      <c r="AA3" s="80">
        <v>0.29136690647482016</v>
      </c>
      <c r="AB3" s="77" t="s">
        <v>225</v>
      </c>
      <c r="AC3" s="80">
        <v>1</v>
      </c>
      <c r="AD3" s="77" t="s">
        <v>127</v>
      </c>
      <c r="AE3" s="80">
        <v>0.51515151515151514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118.49999999999999</v>
      </c>
      <c r="D4" s="85" t="s">
        <v>224</v>
      </c>
      <c r="E4" s="97">
        <v>13.3</v>
      </c>
      <c r="F4" s="85" t="s">
        <v>127</v>
      </c>
      <c r="G4" s="86">
        <v>1.7364341085271318</v>
      </c>
      <c r="H4" s="85" t="s">
        <v>127</v>
      </c>
      <c r="I4" s="87">
        <v>0.49612403100775193</v>
      </c>
      <c r="J4" s="85" t="s">
        <v>224</v>
      </c>
      <c r="K4" s="87">
        <v>0</v>
      </c>
      <c r="L4" s="85" t="s">
        <v>127</v>
      </c>
      <c r="M4" s="88">
        <v>0.34699714013346045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0.12658227848101267</v>
      </c>
      <c r="X4" s="85" t="s">
        <v>128</v>
      </c>
      <c r="Y4" s="88">
        <v>0.2988505747126437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12.426356589147296</v>
      </c>
      <c r="F5" s="85" t="s">
        <v>177</v>
      </c>
      <c r="G5" s="86">
        <v>1.9583333333333333</v>
      </c>
      <c r="H5" s="85" t="s">
        <v>177</v>
      </c>
      <c r="I5" s="87">
        <v>0.375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0.12949640287769784</v>
      </c>
      <c r="P5" s="85" t="s">
        <v>171</v>
      </c>
      <c r="Q5" s="89">
        <v>9977.5401069518721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129</v>
      </c>
      <c r="W5" s="87">
        <v>0.11594202898550725</v>
      </c>
      <c r="X5" s="85" t="s">
        <v>171</v>
      </c>
      <c r="Y5" s="88">
        <v>0.2898330804248862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45.899999999999977</v>
      </c>
      <c r="D6" s="85" t="s">
        <v>171</v>
      </c>
      <c r="E6" s="97">
        <v>1.4999999999999998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0.23255813953488372</v>
      </c>
      <c r="L6" s="85" t="s">
        <v>145</v>
      </c>
      <c r="M6" s="88">
        <v>0.29960441390797421</v>
      </c>
      <c r="N6" s="85" t="s">
        <v>127</v>
      </c>
      <c r="O6" s="88">
        <v>0.15824594852240229</v>
      </c>
      <c r="P6" s="85" t="s">
        <v>128</v>
      </c>
      <c r="Q6" s="89">
        <v>9297.318007662836</v>
      </c>
      <c r="R6" s="85" t="s">
        <v>177</v>
      </c>
      <c r="S6" s="89">
        <v>-7787.3015873015875</v>
      </c>
      <c r="T6" s="85" t="s">
        <v>225</v>
      </c>
      <c r="U6" s="87">
        <v>0</v>
      </c>
      <c r="V6" s="85" t="s">
        <v>145</v>
      </c>
      <c r="W6" s="87">
        <v>0.11458333333333333</v>
      </c>
      <c r="X6" s="85" t="s">
        <v>145</v>
      </c>
      <c r="Y6" s="88">
        <v>0.27899229648136581</v>
      </c>
      <c r="Z6" s="85" t="s">
        <v>225</v>
      </c>
      <c r="AA6" s="88">
        <v>0.23529411764705882</v>
      </c>
      <c r="AB6" s="85" t="s">
        <v>177</v>
      </c>
      <c r="AC6" s="88">
        <v>0.67647058823529416</v>
      </c>
      <c r="AD6" s="85" t="s">
        <v>172</v>
      </c>
      <c r="AE6" s="88">
        <v>0.43827160493827161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177</v>
      </c>
      <c r="C7" s="84">
        <v>40.899999999999991</v>
      </c>
      <c r="D7" s="85" t="s">
        <v>177</v>
      </c>
      <c r="E7" s="97">
        <v>0.85208333333333319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0.296875</v>
      </c>
      <c r="L7" s="85" t="s">
        <v>173</v>
      </c>
      <c r="M7" s="88">
        <v>0.29842931937172773</v>
      </c>
      <c r="N7" s="85" t="s">
        <v>177</v>
      </c>
      <c r="O7" s="88">
        <v>0.16071428571428573</v>
      </c>
      <c r="P7" s="85" t="s">
        <v>127</v>
      </c>
      <c r="Q7" s="89">
        <v>9240.1098901098903</v>
      </c>
      <c r="R7" s="85" t="s">
        <v>173</v>
      </c>
      <c r="S7" s="89">
        <v>-7866.1971830985913</v>
      </c>
      <c r="T7" s="85" t="s">
        <v>172</v>
      </c>
      <c r="U7" s="87">
        <v>4.6875E-2</v>
      </c>
      <c r="V7" s="85" t="s">
        <v>172</v>
      </c>
      <c r="W7" s="87">
        <v>0.109375</v>
      </c>
      <c r="X7" s="85" t="s">
        <v>129</v>
      </c>
      <c r="Y7" s="88">
        <v>0.27272727272727271</v>
      </c>
      <c r="Z7" s="85" t="s">
        <v>127</v>
      </c>
      <c r="AA7" s="88">
        <v>0.2202097235462345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0.71718749999999964</v>
      </c>
      <c r="F8" s="85" t="s">
        <v>224</v>
      </c>
      <c r="G8" s="86">
        <v>2</v>
      </c>
      <c r="H8" s="85" t="s">
        <v>171</v>
      </c>
      <c r="I8" s="87">
        <v>0.30379746835443039</v>
      </c>
      <c r="J8" s="85" t="s">
        <v>177</v>
      </c>
      <c r="K8" s="87">
        <v>0.33333333333333331</v>
      </c>
      <c r="L8" s="85" t="s">
        <v>177</v>
      </c>
      <c r="M8" s="88">
        <v>0.29591836734693877</v>
      </c>
      <c r="N8" s="85" t="s">
        <v>145</v>
      </c>
      <c r="O8" s="88">
        <v>0.168228190714137</v>
      </c>
      <c r="P8" s="85" t="s">
        <v>129</v>
      </c>
      <c r="Q8" s="89">
        <v>8883.9694656488555</v>
      </c>
      <c r="R8" s="85" t="s">
        <v>171</v>
      </c>
      <c r="S8" s="89">
        <v>-8087.1794871794873</v>
      </c>
      <c r="T8" s="85" t="s">
        <v>171</v>
      </c>
      <c r="U8" s="87">
        <v>7.5949367088607597E-2</v>
      </c>
      <c r="V8" s="85" t="s">
        <v>177</v>
      </c>
      <c r="W8" s="87">
        <v>0.10416666666666667</v>
      </c>
      <c r="X8" s="85" t="s">
        <v>185</v>
      </c>
      <c r="Y8" s="88">
        <v>0.26315789473684209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0.40625</v>
      </c>
      <c r="AF8" s="85" t="s">
        <v>129</v>
      </c>
      <c r="AG8" s="88">
        <v>0.47328244274809161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-6.6613381477509392E-16</v>
      </c>
      <c r="D9" s="85" t="s">
        <v>145</v>
      </c>
      <c r="E9" s="97">
        <v>-1.1564823173178713E-18</v>
      </c>
      <c r="F9" s="85" t="s">
        <v>172</v>
      </c>
      <c r="G9" s="86">
        <v>2.015625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225</v>
      </c>
      <c r="M9" s="88">
        <v>0.29411764705882354</v>
      </c>
      <c r="N9" s="85" t="s">
        <v>128</v>
      </c>
      <c r="O9" s="88">
        <v>0.17136886102403343</v>
      </c>
      <c r="P9" s="85" t="s">
        <v>177</v>
      </c>
      <c r="Q9" s="89">
        <v>8723.2758620689656</v>
      </c>
      <c r="R9" s="85" t="s">
        <v>186</v>
      </c>
      <c r="S9" s="89">
        <v>-8107.6923076923076</v>
      </c>
      <c r="T9" s="85" t="s">
        <v>173</v>
      </c>
      <c r="U9" s="87">
        <v>0.11363636363636363</v>
      </c>
      <c r="V9" s="85" t="s">
        <v>128</v>
      </c>
      <c r="W9" s="87">
        <v>9.4827586206896547E-2</v>
      </c>
      <c r="X9" s="85" t="s">
        <v>177</v>
      </c>
      <c r="Y9" s="88">
        <v>0.26020408163265307</v>
      </c>
      <c r="Z9" s="85" t="s">
        <v>145</v>
      </c>
      <c r="AA9" s="88">
        <v>0.21090984801165938</v>
      </c>
      <c r="AB9" s="85" t="s">
        <v>128</v>
      </c>
      <c r="AC9" s="88">
        <v>0.58391608391608396</v>
      </c>
      <c r="AD9" s="85" t="s">
        <v>145</v>
      </c>
      <c r="AE9" s="88">
        <v>0.39091806515301086</v>
      </c>
      <c r="AF9" s="85" t="s">
        <v>145</v>
      </c>
      <c r="AG9" s="88">
        <v>0.43293954134815843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-2.7241379310344831</v>
      </c>
      <c r="F10" s="85" t="s">
        <v>171</v>
      </c>
      <c r="G10" s="86">
        <v>2.037974683544304</v>
      </c>
      <c r="H10" s="85" t="s">
        <v>172</v>
      </c>
      <c r="I10" s="87">
        <v>0.28125</v>
      </c>
      <c r="J10" s="85" t="s">
        <v>171</v>
      </c>
      <c r="K10" s="87">
        <v>0.34177215189873417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145</v>
      </c>
      <c r="Q10" s="89">
        <v>8677.3453787352337</v>
      </c>
      <c r="R10" s="85" t="s">
        <v>127</v>
      </c>
      <c r="S10" s="89">
        <v>-8291.5662650602408</v>
      </c>
      <c r="T10" s="85" t="s">
        <v>145</v>
      </c>
      <c r="U10" s="87">
        <v>0.11458333333333333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185</v>
      </c>
      <c r="AA10" s="88">
        <v>0.21052631578947367</v>
      </c>
      <c r="AB10" s="85" t="s">
        <v>145</v>
      </c>
      <c r="AC10" s="88">
        <v>0.58134328358208953</v>
      </c>
      <c r="AD10" s="85" t="s">
        <v>177</v>
      </c>
      <c r="AE10" s="88">
        <v>0.35135135135135137</v>
      </c>
      <c r="AF10" s="85" t="s">
        <v>171</v>
      </c>
      <c r="AG10" s="88">
        <v>0.42245989304812837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0.26724137931034481</v>
      </c>
      <c r="J11" s="85" t="s">
        <v>128</v>
      </c>
      <c r="K11" s="87">
        <v>0.34482758620689657</v>
      </c>
      <c r="L11" s="85" t="s">
        <v>171</v>
      </c>
      <c r="M11" s="88">
        <v>0.28376327769347498</v>
      </c>
      <c r="N11" s="85" t="s">
        <v>171</v>
      </c>
      <c r="O11" s="88">
        <v>0.17754172989377845</v>
      </c>
      <c r="P11" s="85" t="s">
        <v>185</v>
      </c>
      <c r="Q11" s="89">
        <v>7860</v>
      </c>
      <c r="R11" s="85" t="s">
        <v>145</v>
      </c>
      <c r="S11" s="89">
        <v>-8323.7623762376243</v>
      </c>
      <c r="T11" s="85" t="s">
        <v>127</v>
      </c>
      <c r="U11" s="87">
        <v>0.11627906976744186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0.19423368740515934</v>
      </c>
      <c r="AB11" s="85" t="s">
        <v>171</v>
      </c>
      <c r="AC11" s="88">
        <v>0.5759162303664922</v>
      </c>
      <c r="AD11" s="85" t="s">
        <v>173</v>
      </c>
      <c r="AE11" s="88">
        <v>0.33673469387755101</v>
      </c>
      <c r="AF11" s="85" t="s">
        <v>177</v>
      </c>
      <c r="AG11" s="88">
        <v>0.42241379310344829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2.0775862068965516</v>
      </c>
      <c r="H12" s="85" t="s">
        <v>129</v>
      </c>
      <c r="I12" s="87">
        <v>0.2318840579710145</v>
      </c>
      <c r="J12" s="85" t="s">
        <v>173</v>
      </c>
      <c r="K12" s="87">
        <v>0.36363636363636365</v>
      </c>
      <c r="L12" s="85" t="s">
        <v>128</v>
      </c>
      <c r="M12" s="88">
        <v>0.27272727272727271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-9381.9444444444453</v>
      </c>
      <c r="T12" s="85" t="s">
        <v>128</v>
      </c>
      <c r="U12" s="87">
        <v>0.12931034482758622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0.18877551020408162</v>
      </c>
      <c r="AB12" s="85" t="s">
        <v>127</v>
      </c>
      <c r="AC12" s="88">
        <v>0.57227138643067843</v>
      </c>
      <c r="AD12" s="85" t="s">
        <v>128</v>
      </c>
      <c r="AE12" s="88">
        <v>0.30057803468208094</v>
      </c>
      <c r="AF12" s="85" t="s">
        <v>172</v>
      </c>
      <c r="AG12" s="88">
        <v>0.42211055276381909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0.19230769230769232</v>
      </c>
      <c r="P13" s="85" t="s">
        <v>202</v>
      </c>
      <c r="Q13" s="89">
        <v>7438.0952380952385</v>
      </c>
      <c r="R13" s="85" t="s">
        <v>129</v>
      </c>
      <c r="S13" s="89">
        <v>-9505.454545454546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0.18077324973876699</v>
      </c>
      <c r="AB13" s="85" t="s">
        <v>172</v>
      </c>
      <c r="AC13" s="88">
        <v>0.56557377049180324</v>
      </c>
      <c r="AD13" s="85" t="s">
        <v>225</v>
      </c>
      <c r="AE13" s="88">
        <v>0.25</v>
      </c>
      <c r="AF13" s="85" t="s">
        <v>128</v>
      </c>
      <c r="AG13" s="88">
        <v>0.42145593869731801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-316.00000000000006</v>
      </c>
      <c r="D14" s="85" t="s">
        <v>225</v>
      </c>
      <c r="E14" s="97">
        <v>-12.35</v>
      </c>
      <c r="F14" s="85" t="s">
        <v>129</v>
      </c>
      <c r="G14" s="86">
        <v>2.2753623188405796</v>
      </c>
      <c r="H14" s="85" t="s">
        <v>224</v>
      </c>
      <c r="I14" s="87">
        <v>0</v>
      </c>
      <c r="J14" s="85" t="s">
        <v>225</v>
      </c>
      <c r="K14" s="87">
        <v>0.5</v>
      </c>
      <c r="L14" s="85" t="s">
        <v>129</v>
      </c>
      <c r="M14" s="88">
        <v>0.22902097902097901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0.16666666666666666</v>
      </c>
      <c r="V14" s="85" t="s">
        <v>224</v>
      </c>
      <c r="W14" s="87">
        <v>0</v>
      </c>
      <c r="X14" s="85" t="s">
        <v>172</v>
      </c>
      <c r="Y14" s="88">
        <v>0.21942446043165467</v>
      </c>
      <c r="Z14" s="85" t="s">
        <v>129</v>
      </c>
      <c r="AA14" s="88">
        <v>0.16433566433566432</v>
      </c>
      <c r="AB14" s="85" t="s">
        <v>129</v>
      </c>
      <c r="AC14" s="88">
        <v>0.51282051282051277</v>
      </c>
      <c r="AD14" s="85" t="s">
        <v>129</v>
      </c>
      <c r="AE14" s="88">
        <v>0.22340425531914893</v>
      </c>
      <c r="AF14" s="85" t="s">
        <v>127</v>
      </c>
      <c r="AG14" s="88">
        <v>0.40109890109890112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-1115.2999999999997</v>
      </c>
      <c r="D15" s="85" t="s">
        <v>129</v>
      </c>
      <c r="E15" s="97">
        <v>-16.163768115942027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129</v>
      </c>
      <c r="K15" s="87">
        <v>0.50724637681159424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6665.8291457286432</v>
      </c>
      <c r="R15" s="85" t="s">
        <v>225</v>
      </c>
      <c r="S15" s="89">
        <v>-12425</v>
      </c>
      <c r="T15" s="85" t="s">
        <v>129</v>
      </c>
      <c r="U15" s="87">
        <v>0.17391304347826086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9B12-1E75-41C6-86D1-ED6EBFED1F8E}">
  <sheetPr codeName="Sheet4"/>
  <dimension ref="A1:Q5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576</v>
      </c>
      <c r="C2" s="147"/>
      <c r="E2" s="62" t="s">
        <v>67</v>
      </c>
      <c r="F2" s="59" t="s">
        <v>23</v>
      </c>
      <c r="G2" s="46">
        <v>1073</v>
      </c>
      <c r="H2" s="132">
        <f>IF(B$17=0,0,G2/B$17)</f>
        <v>0.7456567060458652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-13.888888888888889</v>
      </c>
      <c r="P2" s="118">
        <v>576</v>
      </c>
      <c r="Q2" s="102">
        <v>-8000</v>
      </c>
    </row>
    <row r="3" spans="1:17" x14ac:dyDescent="0.4">
      <c r="A3" s="55" t="s">
        <v>8</v>
      </c>
      <c r="B3" s="148">
        <v>4803</v>
      </c>
      <c r="C3" s="149"/>
      <c r="E3" s="63" t="s">
        <v>65</v>
      </c>
      <c r="F3" s="60" t="s">
        <v>21</v>
      </c>
      <c r="G3" s="47">
        <v>743</v>
      </c>
      <c r="H3" s="133">
        <f>IF(B$17=0,0,G3/B$17)</f>
        <v>0.51633078526754694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-7.0921985815602833</v>
      </c>
      <c r="P3" s="119">
        <v>564</v>
      </c>
      <c r="Q3" s="103">
        <v>-4000</v>
      </c>
    </row>
    <row r="4" spans="1:17" x14ac:dyDescent="0.4">
      <c r="A4" s="55" t="s">
        <v>6</v>
      </c>
      <c r="B4" s="150">
        <v>-6.6613381477509392E-16</v>
      </c>
      <c r="C4" s="151"/>
      <c r="E4" s="63" t="s">
        <v>73</v>
      </c>
      <c r="F4" s="60" t="s">
        <v>28</v>
      </c>
      <c r="G4" s="47">
        <v>739</v>
      </c>
      <c r="H4" s="133">
        <f>IF(B$17=0,0,G4/B$17)</f>
        <v>0.51355107713690062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5.6497175141242941</v>
      </c>
      <c r="P4" s="119">
        <v>531</v>
      </c>
      <c r="Q4" s="103">
        <v>3000</v>
      </c>
    </row>
    <row r="5" spans="1:17" x14ac:dyDescent="0.4">
      <c r="A5" s="55" t="s">
        <v>7</v>
      </c>
      <c r="B5" s="152">
        <f>IF(B$2=0,0,B$4/B$2)</f>
        <v>-1.1564823173178713E-18</v>
      </c>
      <c r="C5" s="153"/>
      <c r="E5" s="63" t="s">
        <v>181</v>
      </c>
      <c r="F5" s="60" t="s">
        <v>182</v>
      </c>
      <c r="G5" s="47">
        <v>598</v>
      </c>
      <c r="H5" s="133">
        <f>IF(B$17=0,0,G5/B$17)</f>
        <v>0.41556636553161919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12.422360248447205</v>
      </c>
      <c r="P5" s="119">
        <v>483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450</v>
      </c>
      <c r="H6" s="133">
        <f>IF(B$17=0,0,G6/B$17)</f>
        <v>0.31271716469770672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-13.888888888888889</v>
      </c>
      <c r="P6" s="119">
        <v>432</v>
      </c>
      <c r="Q6" s="103">
        <v>-6000</v>
      </c>
    </row>
    <row r="7" spans="1:17" x14ac:dyDescent="0.4">
      <c r="A7" s="55" t="s">
        <v>2</v>
      </c>
      <c r="B7" s="47">
        <v>192</v>
      </c>
      <c r="C7" s="39">
        <f>IF(B$2=0,0,B7/B$2)</f>
        <v>0.33333333333333331</v>
      </c>
      <c r="E7" s="63" t="s">
        <v>68</v>
      </c>
      <c r="F7" s="60" t="s">
        <v>24</v>
      </c>
      <c r="G7" s="47">
        <v>435</v>
      </c>
      <c r="H7" s="133">
        <f>IF(B$17=0,0,G7/B$17)</f>
        <v>0.30229325920778316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23.255813953488371</v>
      </c>
      <c r="P7" s="120">
        <v>387</v>
      </c>
      <c r="Q7" s="104">
        <v>9000</v>
      </c>
    </row>
    <row r="8" spans="1:17" x14ac:dyDescent="0.4">
      <c r="A8" s="55" t="s">
        <v>3</v>
      </c>
      <c r="B8" s="47">
        <v>192</v>
      </c>
      <c r="C8" s="39">
        <f>IF(B$2=0,0,B8/B$2)</f>
        <v>0.33333333333333331</v>
      </c>
      <c r="E8" s="63" t="s">
        <v>70</v>
      </c>
      <c r="F8" s="60" t="s">
        <v>25</v>
      </c>
      <c r="G8" s="47">
        <v>261</v>
      </c>
      <c r="H8" s="133">
        <f>IF(B$17=0,0,G8/B$17)</f>
        <v>0.1813759555246699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192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178</v>
      </c>
      <c r="H9" s="133">
        <f>IF(B$17=0,0,G9/B$17)</f>
        <v>0.12369701181375956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66</v>
      </c>
      <c r="C10" s="40">
        <f>IF(B$2=0,0,B10/B$2)</f>
        <v>0.11458333333333333</v>
      </c>
      <c r="E10" s="63" t="s">
        <v>90</v>
      </c>
      <c r="F10" s="60" t="s">
        <v>45</v>
      </c>
      <c r="G10" s="47">
        <v>178</v>
      </c>
      <c r="H10" s="133">
        <f>IF(B$17=0,0,G10/B$17)</f>
        <v>0.12369701181375956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-2.9375</v>
      </c>
      <c r="P10" s="118">
        <v>192</v>
      </c>
      <c r="Q10" s="106">
        <v>-564</v>
      </c>
    </row>
    <row r="11" spans="1:17" x14ac:dyDescent="0.4">
      <c r="A11" s="56" t="s">
        <v>140</v>
      </c>
      <c r="B11" s="48">
        <v>66</v>
      </c>
      <c r="C11" s="40">
        <f>IF(B$2=0,0,B11/B$2)</f>
        <v>0.11458333333333333</v>
      </c>
      <c r="E11" s="63" t="s">
        <v>71</v>
      </c>
      <c r="F11" s="60" t="s">
        <v>26</v>
      </c>
      <c r="G11" s="47">
        <v>143</v>
      </c>
      <c r="H11" s="133">
        <f>IF(B$17=0,0,G11/B$17)</f>
        <v>9.9374565670604584E-2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-0.5921875000000002</v>
      </c>
      <c r="P11" s="119">
        <v>192</v>
      </c>
      <c r="Q11" s="107">
        <v>-113.70000000000003</v>
      </c>
    </row>
    <row r="12" spans="1:17" x14ac:dyDescent="0.4">
      <c r="A12" s="57" t="s">
        <v>160</v>
      </c>
      <c r="B12" s="49">
        <v>51</v>
      </c>
      <c r="C12" s="42">
        <f>IF(B$2=0,0,B12/B$2)</f>
        <v>8.8541666666666671E-2</v>
      </c>
      <c r="E12" s="63" t="s">
        <v>72</v>
      </c>
      <c r="F12" s="60" t="s">
        <v>27</v>
      </c>
      <c r="G12" s="47">
        <v>97</v>
      </c>
      <c r="H12" s="133">
        <f>IF(B$17=0,0,G12/B$17)</f>
        <v>6.7407922168172346E-2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3.5296875000000001</v>
      </c>
      <c r="P12" s="120">
        <v>192</v>
      </c>
      <c r="Q12" s="108">
        <v>677.7</v>
      </c>
    </row>
    <row r="13" spans="1:17" x14ac:dyDescent="0.4">
      <c r="A13" s="58" t="s">
        <v>122</v>
      </c>
      <c r="B13" s="50">
        <v>1340</v>
      </c>
      <c r="C13" s="44">
        <f>IF(B$3=0,0,B13/B$3)</f>
        <v>0.27899229648136581</v>
      </c>
      <c r="E13" s="63" t="s">
        <v>87</v>
      </c>
      <c r="F13" s="60" t="s">
        <v>42</v>
      </c>
      <c r="G13" s="47">
        <v>79</v>
      </c>
      <c r="H13" s="133">
        <f>IF(B$17=0,0,G13/B$17)</f>
        <v>5.4899235580264071E-2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1013</v>
      </c>
      <c r="C14" s="39">
        <f>IF(B$3=0,0,B14/B$3)</f>
        <v>0.21090984801165938</v>
      </c>
      <c r="E14" s="63" t="s">
        <v>84</v>
      </c>
      <c r="F14" s="60" t="s">
        <v>39</v>
      </c>
      <c r="G14" s="47">
        <v>67</v>
      </c>
      <c r="H14" s="133">
        <f>IF(B$17=0,0,G14/B$17)</f>
        <v>4.6560111188325225E-2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779</v>
      </c>
      <c r="C15" s="37">
        <f>IF(B$13=0,0,B15/B$13)</f>
        <v>0.58134328358208953</v>
      </c>
      <c r="E15" s="63" t="s">
        <v>82</v>
      </c>
      <c r="F15" s="60" t="s">
        <v>37</v>
      </c>
      <c r="G15" s="47">
        <v>39</v>
      </c>
      <c r="H15" s="133">
        <f>IF(B$17=0,0,G15/B$17)</f>
        <v>2.7102154273801252E-2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24.245652173913065</v>
      </c>
      <c r="P15" s="118">
        <v>138</v>
      </c>
      <c r="Q15" s="106">
        <v>3345.9000000000028</v>
      </c>
    </row>
    <row r="16" spans="1:17" x14ac:dyDescent="0.4">
      <c r="A16" s="54" t="s">
        <v>125</v>
      </c>
      <c r="B16" s="46">
        <v>396</v>
      </c>
      <c r="C16" s="37">
        <f>IF(B$14=0,0,B16/B$14)</f>
        <v>0.39091806515301086</v>
      </c>
      <c r="E16" s="63" t="s">
        <v>79</v>
      </c>
      <c r="F16" s="60" t="s">
        <v>34</v>
      </c>
      <c r="G16" s="47">
        <v>37</v>
      </c>
      <c r="H16" s="133">
        <f>IF(B$17=0,0,G16/B$17)</f>
        <v>2.571230020847811E-2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1439</v>
      </c>
      <c r="C17" s="37">
        <f>IF(B$3=0,0,B17/B$3)</f>
        <v>0.29960441390797421</v>
      </c>
      <c r="E17" s="63" t="s">
        <v>92</v>
      </c>
      <c r="F17" s="60" t="s">
        <v>47</v>
      </c>
      <c r="G17" s="47">
        <v>27</v>
      </c>
      <c r="H17" s="133">
        <f>IF(B$17=0,0,G17/B$17)</f>
        <v>1.8763029881862403E-2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623</v>
      </c>
      <c r="C18" s="39">
        <f>IF(B$17=0,0,B18/B$17)</f>
        <v>0.43293954134815843</v>
      </c>
      <c r="E18" s="63" t="s">
        <v>80</v>
      </c>
      <c r="F18" s="60" t="s">
        <v>35</v>
      </c>
      <c r="G18" s="47">
        <v>23</v>
      </c>
      <c r="H18" s="133">
        <f>IF(B$17=0,0,G18/B$17)</f>
        <v>1.5983321751216122E-2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816</v>
      </c>
      <c r="C19" s="39">
        <f>IF(B$17=0,0,B19/B$17)</f>
        <v>0.56706045865184151</v>
      </c>
      <c r="E19" s="63" t="s">
        <v>180</v>
      </c>
      <c r="F19" s="60" t="s">
        <v>183</v>
      </c>
      <c r="G19" s="47">
        <v>23</v>
      </c>
      <c r="H19" s="133">
        <f>IF(B$17=0,0,G19/B$17)</f>
        <v>1.5983321751216122E-2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808</v>
      </c>
      <c r="C20" s="39">
        <f>IF(B$3=0,0,B20/B$3)</f>
        <v>0.168228190714137</v>
      </c>
      <c r="E20" s="63" t="s">
        <v>74</v>
      </c>
      <c r="F20" s="60" t="s">
        <v>29</v>
      </c>
      <c r="G20" s="47">
        <v>9</v>
      </c>
      <c r="H20" s="133">
        <f>IF(B$17=0,0,G20/B$17)</f>
        <v>6.2543432939541352E-3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4.086206896551726</v>
      </c>
      <c r="P20" s="119">
        <v>232</v>
      </c>
      <c r="Q20" s="107">
        <v>948.00000000000034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6.2543432939541352E-3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-1.0757812500000012</v>
      </c>
      <c r="P21" s="119">
        <v>128</v>
      </c>
      <c r="Q21" s="107">
        <v>-137.70000000000016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6</v>
      </c>
      <c r="H22" s="133">
        <f>IF(B$17=0,0,G22/B$17)</f>
        <v>4.1695621959694229E-3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-1.2781250000000017</v>
      </c>
      <c r="P22" s="119">
        <v>96</v>
      </c>
      <c r="Q22" s="107">
        <v>-122.70000000000017</v>
      </c>
    </row>
    <row r="23" spans="1:17" x14ac:dyDescent="0.4">
      <c r="A23" s="55" t="s">
        <v>5</v>
      </c>
      <c r="B23" s="51">
        <f>IF(B$17=0,0,C23/B$17)</f>
        <v>8677.3453787352337</v>
      </c>
      <c r="C23" s="41">
        <v>12486700</v>
      </c>
      <c r="E23" s="63" t="s">
        <v>93</v>
      </c>
      <c r="F23" s="60" t="s">
        <v>48</v>
      </c>
      <c r="G23" s="47">
        <v>6</v>
      </c>
      <c r="H23" s="133">
        <f>IF(B$17=0,0,G23/B$17)</f>
        <v>4.1695621959694229E-3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-2.2499999999999973</v>
      </c>
      <c r="P23" s="119">
        <v>158</v>
      </c>
      <c r="Q23" s="107">
        <v>-355.4999999999996</v>
      </c>
    </row>
    <row r="24" spans="1:17" x14ac:dyDescent="0.4">
      <c r="A24" s="57" t="s">
        <v>14</v>
      </c>
      <c r="B24" s="52">
        <f>IF(B$20=0,0,C24/B$20)</f>
        <v>-8323.7623762376243</v>
      </c>
      <c r="C24" s="45">
        <v>-6725600</v>
      </c>
      <c r="E24" s="63" t="s">
        <v>88</v>
      </c>
      <c r="F24" s="60" t="s">
        <v>43</v>
      </c>
      <c r="G24" s="47">
        <v>5</v>
      </c>
      <c r="H24" s="133">
        <f>IF(B$17=0,0,G24/B$17)</f>
        <v>3.4746351633078527E-3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-18.639534883720899</v>
      </c>
      <c r="P24" s="119">
        <v>258</v>
      </c>
      <c r="Q24" s="107">
        <v>-4808.9999999999918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3.4746351633078527E-3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2.7797081306462821E-3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2.9148448886112846E-3</v>
      </c>
      <c r="E27" s="63" t="s">
        <v>86</v>
      </c>
      <c r="F27" s="60" t="s">
        <v>41</v>
      </c>
      <c r="G27" s="47">
        <v>4</v>
      </c>
      <c r="H27" s="133">
        <f>IF(B$17=0,0,G27/B$17)</f>
        <v>2.7797081306462821E-3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3</v>
      </c>
      <c r="H28" s="133">
        <f>IF(B$17=0,0,G28/B$17)</f>
        <v>2.0847810979847115E-3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3</v>
      </c>
      <c r="H29" s="133">
        <f>IF(B$17=0,0,G29/B$17)</f>
        <v>2.0847810979847115E-3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1.389854065323141E-3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1.389854065323141E-3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6.9492703266157052E-4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50AE-DA29-4E70-9649-0D746880031C}">
  <sheetPr codeName="Sheet7"/>
  <dimension ref="A1:Q13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129</v>
      </c>
      <c r="C2" s="147"/>
      <c r="E2" s="62" t="s">
        <v>67</v>
      </c>
      <c r="F2" s="59" t="s">
        <v>23</v>
      </c>
      <c r="G2" s="46">
        <v>273</v>
      </c>
      <c r="H2" s="132">
        <f>IF(B$17=0,0,G2/B$17)</f>
        <v>0.75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1310.8527131782946</v>
      </c>
      <c r="P2" s="118">
        <v>129</v>
      </c>
      <c r="Q2" s="102">
        <v>169100</v>
      </c>
    </row>
    <row r="3" spans="1:17" x14ac:dyDescent="0.4">
      <c r="A3" s="55" t="s">
        <v>8</v>
      </c>
      <c r="B3" s="148">
        <v>1049</v>
      </c>
      <c r="C3" s="149"/>
      <c r="E3" s="63" t="s">
        <v>73</v>
      </c>
      <c r="F3" s="60" t="s">
        <v>28</v>
      </c>
      <c r="G3" s="47">
        <v>210</v>
      </c>
      <c r="H3" s="133">
        <f>IF(B$17=0,0,G3/B$17)</f>
        <v>0.57692307692307687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1136.5079365079366</v>
      </c>
      <c r="P3" s="119">
        <v>126</v>
      </c>
      <c r="Q3" s="103">
        <v>143200</v>
      </c>
    </row>
    <row r="4" spans="1:17" x14ac:dyDescent="0.4">
      <c r="A4" s="55" t="s">
        <v>6</v>
      </c>
      <c r="B4" s="150">
        <v>1603.0000000000011</v>
      </c>
      <c r="C4" s="151"/>
      <c r="E4" s="63" t="s">
        <v>65</v>
      </c>
      <c r="F4" s="60" t="s">
        <v>21</v>
      </c>
      <c r="G4" s="47">
        <v>179</v>
      </c>
      <c r="H4" s="133">
        <f>IF(B$17=0,0,G4/B$17)</f>
        <v>0.49175824175824173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1571.4285714285713</v>
      </c>
      <c r="P4" s="119">
        <v>119</v>
      </c>
      <c r="Q4" s="103">
        <v>187000</v>
      </c>
    </row>
    <row r="5" spans="1:17" x14ac:dyDescent="0.4">
      <c r="A5" s="55" t="s">
        <v>7</v>
      </c>
      <c r="B5" s="152">
        <f>IF(B$2=0,0,B$4/B$2)</f>
        <v>12.426356589147296</v>
      </c>
      <c r="C5" s="153"/>
      <c r="E5" s="63" t="s">
        <v>181</v>
      </c>
      <c r="F5" s="60" t="s">
        <v>182</v>
      </c>
      <c r="G5" s="47">
        <v>151</v>
      </c>
      <c r="H5" s="133">
        <f>IF(B$17=0,0,G5/B$17)</f>
        <v>0.41483516483516486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2882.5688073394494</v>
      </c>
      <c r="P5" s="119">
        <v>109</v>
      </c>
      <c r="Q5" s="103">
        <v>314200</v>
      </c>
    </row>
    <row r="6" spans="1:17" x14ac:dyDescent="0.4">
      <c r="A6" s="55" t="s">
        <v>1</v>
      </c>
      <c r="B6" s="142">
        <f>IF(B$2=0,0,(B$7*1+B$8*2+B$9*3)/B$2)</f>
        <v>1.7364341085271318</v>
      </c>
      <c r="C6" s="143"/>
      <c r="E6" s="63" t="s">
        <v>68</v>
      </c>
      <c r="F6" s="60" t="s">
        <v>24</v>
      </c>
      <c r="G6" s="47">
        <v>107</v>
      </c>
      <c r="H6" s="133">
        <f>IF(B$17=0,0,G6/B$17)</f>
        <v>0.29395604395604397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309.4736842105263</v>
      </c>
      <c r="P6" s="119">
        <v>95</v>
      </c>
      <c r="Q6" s="103">
        <v>29400</v>
      </c>
    </row>
    <row r="7" spans="1:17" x14ac:dyDescent="0.4">
      <c r="A7" s="55" t="s">
        <v>2</v>
      </c>
      <c r="B7" s="47">
        <v>64</v>
      </c>
      <c r="C7" s="39">
        <f>IF(B$2=0,0,B7/B$2)</f>
        <v>0.49612403100775193</v>
      </c>
      <c r="E7" s="63" t="s">
        <v>69</v>
      </c>
      <c r="F7" s="60" t="s">
        <v>12</v>
      </c>
      <c r="G7" s="47">
        <v>94</v>
      </c>
      <c r="H7" s="133">
        <f>IF(B$17=0,0,G7/B$17)</f>
        <v>0.25824175824175827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867.07317073170736</v>
      </c>
      <c r="P7" s="120">
        <v>82</v>
      </c>
      <c r="Q7" s="104">
        <v>71100</v>
      </c>
    </row>
    <row r="8" spans="1:17" x14ac:dyDescent="0.4">
      <c r="A8" s="55" t="s">
        <v>3</v>
      </c>
      <c r="B8" s="47">
        <v>35</v>
      </c>
      <c r="C8" s="39">
        <f>IF(B$2=0,0,B8/B$2)</f>
        <v>0.27131782945736432</v>
      </c>
      <c r="E8" s="63" t="s">
        <v>70</v>
      </c>
      <c r="F8" s="60" t="s">
        <v>25</v>
      </c>
      <c r="G8" s="47">
        <v>62</v>
      </c>
      <c r="H8" s="133">
        <f>IF(B$17=0,0,G8/B$17)</f>
        <v>0.17032967032967034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0.23255813953488372</v>
      </c>
      <c r="E9" s="63" t="s">
        <v>90</v>
      </c>
      <c r="F9" s="60" t="s">
        <v>45</v>
      </c>
      <c r="G9" s="47">
        <v>56</v>
      </c>
      <c r="H9" s="133">
        <f>IF(B$17=0,0,G9/B$17)</f>
        <v>0.15384615384615385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0.11627906976744186</v>
      </c>
      <c r="E10" s="63" t="s">
        <v>66</v>
      </c>
      <c r="F10" s="60" t="s">
        <v>22</v>
      </c>
      <c r="G10" s="47">
        <v>51</v>
      </c>
      <c r="H10" s="133">
        <f>IF(B$17=0,0,G10/B$17)</f>
        <v>0.14010989010989011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13.476315789473684</v>
      </c>
      <c r="P10" s="118">
        <v>38</v>
      </c>
      <c r="Q10" s="106">
        <v>512.1</v>
      </c>
    </row>
    <row r="11" spans="1:17" x14ac:dyDescent="0.4">
      <c r="A11" s="56" t="s">
        <v>140</v>
      </c>
      <c r="B11" s="48">
        <v>22</v>
      </c>
      <c r="C11" s="40">
        <f>IF(B$2=0,0,B11/B$2)</f>
        <v>0.17054263565891473</v>
      </c>
      <c r="E11" s="63" t="s">
        <v>71</v>
      </c>
      <c r="F11" s="60" t="s">
        <v>26</v>
      </c>
      <c r="G11" s="47">
        <v>34</v>
      </c>
      <c r="H11" s="133">
        <f>IF(B$17=0,0,G11/B$17)</f>
        <v>9.3406593406593408E-2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0.14728682170542637</v>
      </c>
      <c r="E12" s="63" t="s">
        <v>87</v>
      </c>
      <c r="F12" s="60" t="s">
        <v>42</v>
      </c>
      <c r="G12" s="47">
        <v>26</v>
      </c>
      <c r="H12" s="133">
        <f>IF(B$17=0,0,G12/B$17)</f>
        <v>7.1428571428571425E-2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14.161538461538466</v>
      </c>
      <c r="P12" s="120">
        <v>52</v>
      </c>
      <c r="Q12" s="108">
        <v>736.4000000000002</v>
      </c>
    </row>
    <row r="13" spans="1:17" x14ac:dyDescent="0.4">
      <c r="A13" s="58" t="s">
        <v>122</v>
      </c>
      <c r="B13" s="50">
        <v>339</v>
      </c>
      <c r="C13" s="44">
        <f>IF(B$3=0,0,B13/B$3)</f>
        <v>0.32316491897044802</v>
      </c>
      <c r="E13" s="63" t="s">
        <v>72</v>
      </c>
      <c r="F13" s="60" t="s">
        <v>27</v>
      </c>
      <c r="G13" s="47">
        <v>25</v>
      </c>
      <c r="H13" s="133">
        <f>IF(B$17=0,0,G13/B$17)</f>
        <v>6.8681318681318687E-2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231</v>
      </c>
      <c r="C14" s="39">
        <f>IF(B$3=0,0,B14/B$3)</f>
        <v>0.2202097235462345</v>
      </c>
      <c r="E14" s="63" t="s">
        <v>84</v>
      </c>
      <c r="F14" s="60" t="s">
        <v>39</v>
      </c>
      <c r="G14" s="47">
        <v>19</v>
      </c>
      <c r="H14" s="133">
        <f>IF(B$17=0,0,G14/B$17)</f>
        <v>5.21978021978022E-2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194</v>
      </c>
      <c r="C15" s="37">
        <f>IF(B$13=0,0,B15/B$13)</f>
        <v>0.57227138643067843</v>
      </c>
      <c r="E15" s="63" t="s">
        <v>180</v>
      </c>
      <c r="F15" s="60" t="s">
        <v>183</v>
      </c>
      <c r="G15" s="47">
        <v>12</v>
      </c>
      <c r="H15" s="133">
        <f>IF(B$17=0,0,G15/B$17)</f>
        <v>3.2967032967032968E-2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119</v>
      </c>
      <c r="C16" s="37">
        <f>IF(B$14=0,0,B16/B$14)</f>
        <v>0.51515151515151514</v>
      </c>
      <c r="E16" s="63" t="s">
        <v>82</v>
      </c>
      <c r="F16" s="60" t="s">
        <v>37</v>
      </c>
      <c r="G16" s="47">
        <v>11</v>
      </c>
      <c r="H16" s="133">
        <f>IF(B$17=0,0,G16/B$17)</f>
        <v>3.021978021978022E-2</v>
      </c>
      <c r="I16" s="94">
        <v>4</v>
      </c>
      <c r="K16" s="38">
        <v>14</v>
      </c>
      <c r="L16" s="99">
        <v>473.50000000000006</v>
      </c>
      <c r="N16" s="115" t="s">
        <v>129</v>
      </c>
      <c r="O16" s="125">
        <f>IF(P16=0,0,Q16/P16)</f>
        <v>31.390243902439028</v>
      </c>
      <c r="P16" s="119">
        <v>41</v>
      </c>
      <c r="Q16" s="107">
        <v>1287.0000000000002</v>
      </c>
    </row>
    <row r="17" spans="1:17" x14ac:dyDescent="0.4">
      <c r="A17" s="54" t="s">
        <v>10</v>
      </c>
      <c r="B17" s="46">
        <f>B19+B18</f>
        <v>364</v>
      </c>
      <c r="C17" s="37">
        <f>IF(B$3=0,0,B17/B$3)</f>
        <v>0.34699714013346045</v>
      </c>
      <c r="E17" s="63" t="s">
        <v>79</v>
      </c>
      <c r="F17" s="60" t="s">
        <v>34</v>
      </c>
      <c r="G17" s="47">
        <v>7</v>
      </c>
      <c r="H17" s="133">
        <f>IF(B$17=0,0,G17/B$17)</f>
        <v>1.9230769230769232E-2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31.266666666666673</v>
      </c>
      <c r="P17" s="119">
        <v>21</v>
      </c>
      <c r="Q17" s="107">
        <v>656.60000000000014</v>
      </c>
    </row>
    <row r="18" spans="1:17" x14ac:dyDescent="0.4">
      <c r="A18" s="55" t="s">
        <v>12</v>
      </c>
      <c r="B18" s="47">
        <v>146</v>
      </c>
      <c r="C18" s="39">
        <f>IF(B$17=0,0,B18/B$17)</f>
        <v>0.40109890109890112</v>
      </c>
      <c r="E18" s="63" t="s">
        <v>92</v>
      </c>
      <c r="F18" s="60" t="s">
        <v>47</v>
      </c>
      <c r="G18" s="47">
        <v>7</v>
      </c>
      <c r="H18" s="133">
        <f>IF(B$17=0,0,G18/B$17)</f>
        <v>1.9230769230769232E-2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218</v>
      </c>
      <c r="C19" s="39">
        <f>IF(B$17=0,0,B19/B$17)</f>
        <v>0.59890109890109888</v>
      </c>
      <c r="E19" s="63" t="s">
        <v>80</v>
      </c>
      <c r="F19" s="60" t="s">
        <v>35</v>
      </c>
      <c r="G19" s="47">
        <v>5</v>
      </c>
      <c r="H19" s="133">
        <f>IF(B$17=0,0,G19/B$17)</f>
        <v>1.3736263736263736E-2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166</v>
      </c>
      <c r="C20" s="39">
        <f>IF(B$3=0,0,B20/B$3)</f>
        <v>0.15824594852240229</v>
      </c>
      <c r="E20" s="63" t="s">
        <v>74</v>
      </c>
      <c r="F20" s="60" t="s">
        <v>29</v>
      </c>
      <c r="G20" s="47">
        <v>2</v>
      </c>
      <c r="H20" s="133">
        <f>IF(B$17=0,0,G20/B$17)</f>
        <v>5.4945054945054949E-3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86</v>
      </c>
      <c r="F21" s="60" t="s">
        <v>41</v>
      </c>
      <c r="G21" s="47">
        <v>2</v>
      </c>
      <c r="H21" s="133">
        <f>IF(B$17=0,0,G21/B$17)</f>
        <v>5.4945054945054949E-3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5</v>
      </c>
      <c r="E22" s="63" t="s">
        <v>93</v>
      </c>
      <c r="F22" s="60" t="s">
        <v>48</v>
      </c>
      <c r="G22" s="47">
        <v>2</v>
      </c>
      <c r="H22" s="133">
        <f>IF(B$17=0,0,G22/B$17)</f>
        <v>5.4945054945054949E-3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9240.1098901098903</v>
      </c>
      <c r="C23" s="41">
        <v>3363400</v>
      </c>
      <c r="E23" s="63" t="s">
        <v>76</v>
      </c>
      <c r="F23" s="60" t="s">
        <v>31</v>
      </c>
      <c r="G23" s="47">
        <v>1</v>
      </c>
      <c r="H23" s="133">
        <f>IF(B$17=0,0,G23/B$17)</f>
        <v>2.7472527472527475E-3</v>
      </c>
      <c r="I23" s="94">
        <v>7</v>
      </c>
      <c r="K23" s="38">
        <v>21</v>
      </c>
      <c r="L23" s="99">
        <v>468.3</v>
      </c>
      <c r="N23" s="115" t="s">
        <v>171</v>
      </c>
      <c r="O23" s="125">
        <f>IF(P23=0,0,Q23/P23)</f>
        <v>-2.5531914893619577E-2</v>
      </c>
      <c r="P23" s="119">
        <v>47</v>
      </c>
      <c r="Q23" s="107">
        <v>-1.2000000000001201</v>
      </c>
    </row>
    <row r="24" spans="1:17" x14ac:dyDescent="0.4">
      <c r="A24" s="57" t="s">
        <v>14</v>
      </c>
      <c r="B24" s="52">
        <f>IF(B$20=0,0,C24/B$20)</f>
        <v>-8291.5662650602408</v>
      </c>
      <c r="C24" s="45">
        <v>-1376400</v>
      </c>
      <c r="E24" s="63" t="s">
        <v>78</v>
      </c>
      <c r="F24" s="60" t="s">
        <v>33</v>
      </c>
      <c r="G24" s="47">
        <v>1</v>
      </c>
      <c r="H24" s="133">
        <f>IF(B$17=0,0,G24/B$17)</f>
        <v>2.7472527472527475E-3</v>
      </c>
      <c r="I24" s="94">
        <v>3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85</v>
      </c>
      <c r="F25" s="60" t="s">
        <v>40</v>
      </c>
      <c r="G25" s="47">
        <v>1</v>
      </c>
      <c r="H25" s="133">
        <f>IF(B$17=0,0,G25/B$17)</f>
        <v>2.7472527472527475E-3</v>
      </c>
      <c r="I25" s="94">
        <v>4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2.7472527472527475E-3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9.5328884652049568E-4</v>
      </c>
      <c r="E27" s="63" t="s">
        <v>91</v>
      </c>
      <c r="F27" s="60" t="s">
        <v>46</v>
      </c>
      <c r="G27" s="47">
        <v>1</v>
      </c>
      <c r="H27" s="133">
        <f>IF(B$17=0,0,G27/B$17)</f>
        <v>2.7472527472527475E-3</v>
      </c>
      <c r="I27" s="94">
        <v>3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2.7472527472527475E-3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2.7472527472527475E-3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2CBA-37F2-4102-BBDC-57BDC2FCAC6B}">
  <sheetPr codeName="Sheet9"/>
  <dimension ref="A1:Q11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116</v>
      </c>
      <c r="C2" s="147"/>
      <c r="E2" s="62" t="s">
        <v>67</v>
      </c>
      <c r="F2" s="59" t="s">
        <v>23</v>
      </c>
      <c r="G2" s="46">
        <v>200</v>
      </c>
      <c r="H2" s="132">
        <f>IF(B$17=0,0,G2/B$17)</f>
        <v>0.76628352490421459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496.55172413793105</v>
      </c>
      <c r="P2" s="118">
        <v>116</v>
      </c>
      <c r="Q2" s="102">
        <v>57600</v>
      </c>
    </row>
    <row r="3" spans="1:17" x14ac:dyDescent="0.4">
      <c r="A3" s="55" t="s">
        <v>8</v>
      </c>
      <c r="B3" s="148">
        <v>957</v>
      </c>
      <c r="C3" s="149"/>
      <c r="E3" s="63" t="s">
        <v>65</v>
      </c>
      <c r="F3" s="60" t="s">
        <v>21</v>
      </c>
      <c r="G3" s="47">
        <v>158</v>
      </c>
      <c r="H3" s="133">
        <f>IF(B$17=0,0,G3/B$17)</f>
        <v>0.6053639846743295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-2231.25</v>
      </c>
      <c r="P3" s="119">
        <v>112</v>
      </c>
      <c r="Q3" s="103">
        <v>-249900</v>
      </c>
    </row>
    <row r="4" spans="1:17" x14ac:dyDescent="0.4">
      <c r="A4" s="55" t="s">
        <v>6</v>
      </c>
      <c r="B4" s="150">
        <v>-316.00000000000006</v>
      </c>
      <c r="C4" s="151"/>
      <c r="E4" s="63" t="s">
        <v>73</v>
      </c>
      <c r="F4" s="60" t="s">
        <v>28</v>
      </c>
      <c r="G4" s="47">
        <v>121</v>
      </c>
      <c r="H4" s="133">
        <f>IF(B$17=0,0,G4/B$17)</f>
        <v>0.46360153256704983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38.532110091743121</v>
      </c>
      <c r="P4" s="119">
        <v>109</v>
      </c>
      <c r="Q4" s="103">
        <v>4200</v>
      </c>
    </row>
    <row r="5" spans="1:17" x14ac:dyDescent="0.4">
      <c r="A5" s="55" t="s">
        <v>7</v>
      </c>
      <c r="B5" s="152">
        <f>IF(B$2=0,0,B$4/B$2)</f>
        <v>-2.7241379310344831</v>
      </c>
      <c r="C5" s="153"/>
      <c r="E5" s="63" t="s">
        <v>181</v>
      </c>
      <c r="F5" s="60" t="s">
        <v>182</v>
      </c>
      <c r="G5" s="47">
        <v>115</v>
      </c>
      <c r="H5" s="133">
        <f>IF(B$17=0,0,G5/B$17)</f>
        <v>0.44061302681992337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171.13402061855669</v>
      </c>
      <c r="P5" s="119">
        <v>97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2.0775862068965516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0.37164750957854409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424.41860465116281</v>
      </c>
      <c r="P6" s="119">
        <v>86</v>
      </c>
      <c r="Q6" s="103">
        <v>36500</v>
      </c>
    </row>
    <row r="7" spans="1:17" x14ac:dyDescent="0.4">
      <c r="A7" s="55" t="s">
        <v>2</v>
      </c>
      <c r="B7" s="47">
        <v>31</v>
      </c>
      <c r="C7" s="39">
        <f>IF(B$2=0,0,B7/B$2)</f>
        <v>0.26724137931034481</v>
      </c>
      <c r="E7" s="63" t="s">
        <v>69</v>
      </c>
      <c r="F7" s="60" t="s">
        <v>12</v>
      </c>
      <c r="G7" s="47">
        <v>88</v>
      </c>
      <c r="H7" s="133">
        <f>IF(B$17=0,0,G7/B$17)</f>
        <v>0.33716475095785442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450</v>
      </c>
      <c r="P7" s="120">
        <v>80</v>
      </c>
      <c r="Q7" s="104">
        <v>36000</v>
      </c>
    </row>
    <row r="8" spans="1:17" x14ac:dyDescent="0.4">
      <c r="A8" s="55" t="s">
        <v>3</v>
      </c>
      <c r="B8" s="47">
        <v>45</v>
      </c>
      <c r="C8" s="39">
        <f>IF(B$2=0,0,B8/B$2)</f>
        <v>0.38793103448275862</v>
      </c>
      <c r="E8" s="63" t="s">
        <v>70</v>
      </c>
      <c r="F8" s="60" t="s">
        <v>25</v>
      </c>
      <c r="G8" s="47">
        <v>58</v>
      </c>
      <c r="H8" s="133">
        <f>IF(B$17=0,0,G8/B$17)</f>
        <v>0.22222222222222221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0.34482758620689657</v>
      </c>
      <c r="E9" s="63" t="s">
        <v>66</v>
      </c>
      <c r="F9" s="60" t="s">
        <v>22</v>
      </c>
      <c r="G9" s="47">
        <v>42</v>
      </c>
      <c r="H9" s="133">
        <f>IF(B$17=0,0,G9/B$17)</f>
        <v>0.16091954022988506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0.12931034482758622</v>
      </c>
      <c r="E10" s="63" t="s">
        <v>71</v>
      </c>
      <c r="F10" s="60" t="s">
        <v>26</v>
      </c>
      <c r="G10" s="47">
        <v>31</v>
      </c>
      <c r="H10" s="133">
        <f>IF(B$17=0,0,G10/B$17)</f>
        <v>0.11877394636015326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9.4827586206896547E-2</v>
      </c>
      <c r="E11" s="63" t="s">
        <v>90</v>
      </c>
      <c r="F11" s="60" t="s">
        <v>45</v>
      </c>
      <c r="G11" s="47">
        <v>26</v>
      </c>
      <c r="H11" s="133">
        <f>IF(B$17=0,0,G11/B$17)</f>
        <v>9.9616858237547887E-2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6.8965517241379309E-2</v>
      </c>
      <c r="E12" s="63" t="s">
        <v>72</v>
      </c>
      <c r="F12" s="60" t="s">
        <v>27</v>
      </c>
      <c r="G12" s="47">
        <v>15</v>
      </c>
      <c r="H12" s="133">
        <f>IF(B$17=0,0,G12/B$17)</f>
        <v>5.7471264367816091E-2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286</v>
      </c>
      <c r="C13" s="44">
        <f>IF(B$3=0,0,B13/B$3)</f>
        <v>0.2988505747126437</v>
      </c>
      <c r="E13" s="63" t="s">
        <v>87</v>
      </c>
      <c r="F13" s="60" t="s">
        <v>42</v>
      </c>
      <c r="G13" s="47">
        <v>14</v>
      </c>
      <c r="H13" s="133">
        <f>IF(B$17=0,0,G13/B$17)</f>
        <v>5.3639846743295021E-2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173</v>
      </c>
      <c r="C14" s="39">
        <f>IF(B$3=0,0,B14/B$3)</f>
        <v>0.18077324973876699</v>
      </c>
      <c r="E14" s="63" t="s">
        <v>84</v>
      </c>
      <c r="F14" s="60" t="s">
        <v>39</v>
      </c>
      <c r="G14" s="47">
        <v>10</v>
      </c>
      <c r="H14" s="133">
        <f>IF(B$17=0,0,G14/B$17)</f>
        <v>3.8314176245210725E-2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167</v>
      </c>
      <c r="C15" s="37">
        <f>IF(B$13=0,0,B15/B$13)</f>
        <v>0.58391608391608396</v>
      </c>
      <c r="E15" s="63" t="s">
        <v>82</v>
      </c>
      <c r="F15" s="60" t="s">
        <v>37</v>
      </c>
      <c r="G15" s="47">
        <v>8</v>
      </c>
      <c r="H15" s="133">
        <f>IF(B$17=0,0,G15/B$17)</f>
        <v>3.0651340996168581E-2</v>
      </c>
      <c r="I15" s="94">
        <v>3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0.30057803468208094</v>
      </c>
      <c r="E16" s="63" t="s">
        <v>92</v>
      </c>
      <c r="F16" s="60" t="s">
        <v>47</v>
      </c>
      <c r="G16" s="47">
        <v>6</v>
      </c>
      <c r="H16" s="133">
        <f>IF(B$17=0,0,G16/B$17)</f>
        <v>2.2988505747126436E-2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261</v>
      </c>
      <c r="C17" s="37">
        <f>IF(B$3=0,0,B17/B$3)</f>
        <v>0.27272727272727271</v>
      </c>
      <c r="E17" s="63" t="s">
        <v>80</v>
      </c>
      <c r="F17" s="60" t="s">
        <v>35</v>
      </c>
      <c r="G17" s="47">
        <v>5</v>
      </c>
      <c r="H17" s="133">
        <f>IF(B$17=0,0,G17/B$17)</f>
        <v>1.9157088122605363E-2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0.42145593869731801</v>
      </c>
      <c r="E18" s="63" t="s">
        <v>180</v>
      </c>
      <c r="F18" s="60" t="s">
        <v>183</v>
      </c>
      <c r="G18" s="47">
        <v>5</v>
      </c>
      <c r="H18" s="133">
        <f>IF(B$17=0,0,G18/B$17)</f>
        <v>1.9157088122605363E-2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151</v>
      </c>
      <c r="C19" s="39">
        <f>IF(B$17=0,0,B19/B$17)</f>
        <v>0.57854406130268199</v>
      </c>
      <c r="E19" s="63" t="s">
        <v>79</v>
      </c>
      <c r="F19" s="60" t="s">
        <v>34</v>
      </c>
      <c r="G19" s="47">
        <v>4</v>
      </c>
      <c r="H19" s="133">
        <f>IF(B$17=0,0,G19/B$17)</f>
        <v>1.532567049808429E-2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0.17136886102403343</v>
      </c>
      <c r="E20" s="63" t="s">
        <v>74</v>
      </c>
      <c r="F20" s="60" t="s">
        <v>29</v>
      </c>
      <c r="G20" s="47">
        <v>2</v>
      </c>
      <c r="H20" s="133">
        <f>IF(B$17=0,0,G20/B$17)</f>
        <v>7.6628352490421452E-3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7.6628352490421452E-3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4</v>
      </c>
      <c r="E22" s="63" t="s">
        <v>76</v>
      </c>
      <c r="F22" s="60" t="s">
        <v>31</v>
      </c>
      <c r="G22" s="47">
        <v>2</v>
      </c>
      <c r="H22" s="133">
        <f>IF(B$17=0,0,G22/B$17)</f>
        <v>7.6628352490421452E-3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9297.318007662836</v>
      </c>
      <c r="C23" s="41">
        <v>2426600</v>
      </c>
      <c r="E23" s="63" t="s">
        <v>78</v>
      </c>
      <c r="F23" s="60" t="s">
        <v>33</v>
      </c>
      <c r="G23" s="47">
        <v>1</v>
      </c>
      <c r="H23" s="133">
        <f>IF(B$17=0,0,G23/B$17)</f>
        <v>3.8314176245210726E-3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85</v>
      </c>
      <c r="F24" s="60" t="s">
        <v>40</v>
      </c>
      <c r="G24" s="47">
        <v>1</v>
      </c>
      <c r="H24" s="133">
        <f>IF(B$17=0,0,G24/B$17)</f>
        <v>3.8314176245210726E-3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3.8314176245210726E-3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3.8314176245210726E-3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5.2246603970741903E-3</v>
      </c>
      <c r="E27" s="63" t="s">
        <v>94</v>
      </c>
      <c r="F27" s="60" t="s">
        <v>49</v>
      </c>
      <c r="G27" s="47">
        <v>1</v>
      </c>
      <c r="H27" s="133">
        <f>IF(B$17=0,0,G27/B$17)</f>
        <v>3.8314176245210726E-3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3.8314176245210726E-3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F3E6-FF15-4C3B-8BEC-532C8E294859}">
  <sheetPr codeName="Sheet11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118</v>
      </c>
      <c r="H2" s="132">
        <f>IF(B$17=0,0,G2/B$17)</f>
        <v>0.9007633587786259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-2057.9710144927535</v>
      </c>
      <c r="P2" s="118">
        <v>69</v>
      </c>
      <c r="Q2" s="102">
        <v>-142000</v>
      </c>
    </row>
    <row r="3" spans="1:17" x14ac:dyDescent="0.4">
      <c r="A3" s="55" t="s">
        <v>8</v>
      </c>
      <c r="B3" s="148">
        <v>572</v>
      </c>
      <c r="C3" s="149"/>
      <c r="E3" s="63" t="s">
        <v>65</v>
      </c>
      <c r="F3" s="60" t="s">
        <v>21</v>
      </c>
      <c r="G3" s="47">
        <v>77</v>
      </c>
      <c r="H3" s="133">
        <f>IF(B$17=0,0,G3/B$17)</f>
        <v>0.58778625954198471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-1313.4328358208954</v>
      </c>
      <c r="P3" s="119">
        <v>67</v>
      </c>
      <c r="Q3" s="103">
        <v>-88000</v>
      </c>
    </row>
    <row r="4" spans="1:17" x14ac:dyDescent="0.4">
      <c r="A4" s="55" t="s">
        <v>6</v>
      </c>
      <c r="B4" s="150">
        <v>-1115.2999999999997</v>
      </c>
      <c r="C4" s="151"/>
      <c r="E4" s="63" t="s">
        <v>69</v>
      </c>
      <c r="F4" s="60" t="s">
        <v>12</v>
      </c>
      <c r="G4" s="47">
        <v>54</v>
      </c>
      <c r="H4" s="133">
        <f>IF(B$17=0,0,G4/B$17)</f>
        <v>0.41221374045801529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-890.47619047619048</v>
      </c>
      <c r="P4" s="119">
        <v>63</v>
      </c>
      <c r="Q4" s="103">
        <v>-56100</v>
      </c>
    </row>
    <row r="5" spans="1:17" x14ac:dyDescent="0.4">
      <c r="A5" s="55" t="s">
        <v>7</v>
      </c>
      <c r="B5" s="152">
        <f>IF(B$2=0,0,B$4/B$2)</f>
        <v>-16.163768115942027</v>
      </c>
      <c r="C5" s="153"/>
      <c r="E5" s="63" t="s">
        <v>181</v>
      </c>
      <c r="F5" s="60" t="s">
        <v>182</v>
      </c>
      <c r="G5" s="47">
        <v>50</v>
      </c>
      <c r="H5" s="133">
        <f>IF(B$17=0,0,G5/B$17)</f>
        <v>0.38167938931297712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-4852.727272727273</v>
      </c>
      <c r="P5" s="119">
        <v>55</v>
      </c>
      <c r="Q5" s="103">
        <v>-266900</v>
      </c>
    </row>
    <row r="6" spans="1:17" x14ac:dyDescent="0.4">
      <c r="A6" s="55" t="s">
        <v>1</v>
      </c>
      <c r="B6" s="142">
        <f>IF(B$2=0,0,(B$7*1+B$8*2+B$9*3)/B$2)</f>
        <v>2.2753623188405796</v>
      </c>
      <c r="C6" s="143"/>
      <c r="E6" s="63" t="s">
        <v>68</v>
      </c>
      <c r="F6" s="60" t="s">
        <v>24</v>
      </c>
      <c r="G6" s="47">
        <v>45</v>
      </c>
      <c r="H6" s="133">
        <f>IF(B$17=0,0,G6/B$17)</f>
        <v>0.34351145038167941</v>
      </c>
      <c r="I6" s="94">
        <v>7</v>
      </c>
      <c r="K6" s="38">
        <v>4</v>
      </c>
      <c r="L6" s="99">
        <v>-31.4</v>
      </c>
      <c r="N6" s="115" t="s">
        <v>136</v>
      </c>
      <c r="O6" s="122">
        <f t="shared" si="0"/>
        <v>-1510.204081632653</v>
      </c>
      <c r="P6" s="119">
        <v>49</v>
      </c>
      <c r="Q6" s="103">
        <v>-74000</v>
      </c>
    </row>
    <row r="7" spans="1:17" x14ac:dyDescent="0.4">
      <c r="A7" s="55" t="s">
        <v>2</v>
      </c>
      <c r="B7" s="47">
        <v>16</v>
      </c>
      <c r="C7" s="39">
        <f>IF(B$2=0,0,B7/B$2)</f>
        <v>0.2318840579710145</v>
      </c>
      <c r="E7" s="63" t="s">
        <v>73</v>
      </c>
      <c r="F7" s="60" t="s">
        <v>28</v>
      </c>
      <c r="G7" s="47">
        <v>43</v>
      </c>
      <c r="H7" s="133">
        <f>IF(B$17=0,0,G7/B$17)</f>
        <v>0.3282442748091603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-2253.3333333333335</v>
      </c>
      <c r="P7" s="120">
        <v>45</v>
      </c>
      <c r="Q7" s="104">
        <v>-101400</v>
      </c>
    </row>
    <row r="8" spans="1:17" x14ac:dyDescent="0.4">
      <c r="A8" s="55" t="s">
        <v>3</v>
      </c>
      <c r="B8" s="47">
        <v>18</v>
      </c>
      <c r="C8" s="39">
        <f>IF(B$2=0,0,B8/B$2)</f>
        <v>0.2608695652173913</v>
      </c>
      <c r="E8" s="63" t="s">
        <v>70</v>
      </c>
      <c r="F8" s="60" t="s">
        <v>25</v>
      </c>
      <c r="G8" s="47">
        <v>29</v>
      </c>
      <c r="H8" s="133">
        <f>IF(B$17=0,0,G8/B$17)</f>
        <v>0.22137404580152673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0.50724637681159424</v>
      </c>
      <c r="E9" s="63" t="s">
        <v>71</v>
      </c>
      <c r="F9" s="60" t="s">
        <v>26</v>
      </c>
      <c r="G9" s="47">
        <v>20</v>
      </c>
      <c r="H9" s="133">
        <f>IF(B$17=0,0,G9/B$17)</f>
        <v>0.15267175572519084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0.17391304347826086</v>
      </c>
      <c r="E10" s="63" t="s">
        <v>72</v>
      </c>
      <c r="F10" s="60" t="s">
        <v>27</v>
      </c>
      <c r="G10" s="47">
        <v>14</v>
      </c>
      <c r="H10" s="133">
        <f>IF(B$17=0,0,G10/B$17)</f>
        <v>0.10687022900763359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8</v>
      </c>
      <c r="C11" s="40">
        <f>IF(B$2=0,0,B11/B$2)</f>
        <v>0.11594202898550725</v>
      </c>
      <c r="E11" s="63" t="s">
        <v>90</v>
      </c>
      <c r="F11" s="60" t="s">
        <v>45</v>
      </c>
      <c r="G11" s="47">
        <v>11</v>
      </c>
      <c r="H11" s="133">
        <f>IF(B$17=0,0,G11/B$17)</f>
        <v>8.3969465648854963E-2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-12.150000000000004</v>
      </c>
      <c r="P11" s="119">
        <v>30</v>
      </c>
      <c r="Q11" s="107">
        <v>-364.50000000000011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66</v>
      </c>
      <c r="F12" s="60" t="s">
        <v>22</v>
      </c>
      <c r="G12" s="47">
        <v>10</v>
      </c>
      <c r="H12" s="133">
        <f>IF(B$17=0,0,G12/B$17)</f>
        <v>7.6335877862595422E-2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156</v>
      </c>
      <c r="C13" s="44">
        <f>IF(B$3=0,0,B13/B$3)</f>
        <v>0.27272727272727271</v>
      </c>
      <c r="E13" s="63" t="s">
        <v>87</v>
      </c>
      <c r="F13" s="60" t="s">
        <v>42</v>
      </c>
      <c r="G13" s="47">
        <v>9</v>
      </c>
      <c r="H13" s="133">
        <f>IF(B$17=0,0,G13/B$17)</f>
        <v>6.8702290076335881E-2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0.16433566433566432</v>
      </c>
      <c r="E14" s="63" t="s">
        <v>79</v>
      </c>
      <c r="F14" s="60" t="s">
        <v>34</v>
      </c>
      <c r="G14" s="47">
        <v>5</v>
      </c>
      <c r="H14" s="133">
        <f>IF(B$17=0,0,G14/B$17)</f>
        <v>3.8167938931297711E-2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0.51282051282051277</v>
      </c>
      <c r="E15" s="63" t="s">
        <v>84</v>
      </c>
      <c r="F15" s="60" t="s">
        <v>39</v>
      </c>
      <c r="G15" s="47">
        <v>5</v>
      </c>
      <c r="H15" s="133">
        <f>IF(B$17=0,0,G15/B$17)</f>
        <v>3.8167938931297711E-2</v>
      </c>
      <c r="I15" s="94">
        <v>10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21</v>
      </c>
      <c r="C16" s="37">
        <f>IF(B$14=0,0,B16/B$14)</f>
        <v>0.22340425531914893</v>
      </c>
      <c r="E16" s="63" t="s">
        <v>75</v>
      </c>
      <c r="F16" s="60" t="s">
        <v>30</v>
      </c>
      <c r="G16" s="47">
        <v>2</v>
      </c>
      <c r="H16" s="133">
        <f>IF(B$17=0,0,G16/B$17)</f>
        <v>1.5267175572519083E-2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0.22902097902097901</v>
      </c>
      <c r="E17" s="63" t="s">
        <v>82</v>
      </c>
      <c r="F17" s="60" t="s">
        <v>37</v>
      </c>
      <c r="G17" s="47">
        <v>2</v>
      </c>
      <c r="H17" s="133">
        <f>IF(B$17=0,0,G17/B$17)</f>
        <v>1.5267175572519083E-2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62</v>
      </c>
      <c r="C18" s="39">
        <f>IF(B$17=0,0,B18/B$17)</f>
        <v>0.47328244274809161</v>
      </c>
      <c r="E18" s="63" t="s">
        <v>94</v>
      </c>
      <c r="F18" s="60" t="s">
        <v>49</v>
      </c>
      <c r="G18" s="47">
        <v>2</v>
      </c>
      <c r="H18" s="133">
        <f>IF(B$17=0,0,G18/B$17)</f>
        <v>1.5267175572519083E-2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69</v>
      </c>
      <c r="C19" s="39">
        <f>IF(B$17=0,0,B19/B$17)</f>
        <v>0.52671755725190839</v>
      </c>
      <c r="E19" s="63" t="s">
        <v>78</v>
      </c>
      <c r="F19" s="60" t="s">
        <v>33</v>
      </c>
      <c r="G19" s="47">
        <v>1</v>
      </c>
      <c r="H19" s="133">
        <f>IF(B$17=0,0,G19/B$17)</f>
        <v>7.6335877862595417E-3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-26.328571428571429</v>
      </c>
      <c r="P19" s="119">
        <v>21</v>
      </c>
      <c r="Q19" s="107">
        <v>-552.9</v>
      </c>
    </row>
    <row r="20" spans="1:17" x14ac:dyDescent="0.4">
      <c r="A20" s="55" t="s">
        <v>13</v>
      </c>
      <c r="B20" s="47">
        <v>110</v>
      </c>
      <c r="C20" s="39">
        <f>IF(B$3=0,0,B20/B$3)</f>
        <v>0.19230769230769232</v>
      </c>
      <c r="E20" s="63" t="s">
        <v>80</v>
      </c>
      <c r="F20" s="60" t="s">
        <v>35</v>
      </c>
      <c r="G20" s="47">
        <v>1</v>
      </c>
      <c r="H20" s="133">
        <f>IF(B$17=0,0,G20/B$17)</f>
        <v>7.6335877862595417E-3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-31.390243902439035</v>
      </c>
      <c r="P20" s="119">
        <v>41</v>
      </c>
      <c r="Q20" s="107">
        <v>-1287.0000000000005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7.6335877862595417E-3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-47.692857142857136</v>
      </c>
      <c r="P21" s="119">
        <v>14</v>
      </c>
      <c r="Q21" s="107">
        <v>-667.69999999999993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89</v>
      </c>
      <c r="F22" s="60" t="s">
        <v>44</v>
      </c>
      <c r="G22" s="47">
        <v>1</v>
      </c>
      <c r="H22" s="133">
        <f>IF(B$17=0,0,G22/B$17)</f>
        <v>7.6335877862595417E-3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8883.9694656488555</v>
      </c>
      <c r="C23" s="41">
        <v>1163800</v>
      </c>
      <c r="E23" s="63" t="s">
        <v>92</v>
      </c>
      <c r="F23" s="60" t="s">
        <v>47</v>
      </c>
      <c r="G23" s="47">
        <v>1</v>
      </c>
      <c r="H23" s="133">
        <f>IF(B$17=0,0,G23/B$17)</f>
        <v>7.6335877862595417E-3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-9505.454545454546</v>
      </c>
      <c r="C24" s="45">
        <v>-1045600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1.7482517482517483E-3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E30F-E13F-4FFB-96FA-76FE87A50D23}">
  <sheetPr codeName="Sheet13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79</v>
      </c>
      <c r="C2" s="147"/>
      <c r="E2" s="62" t="s">
        <v>65</v>
      </c>
      <c r="F2" s="59" t="s">
        <v>21</v>
      </c>
      <c r="G2" s="46">
        <v>103</v>
      </c>
      <c r="H2" s="132">
        <f>IF(B$17=0,0,G2/B$17)</f>
        <v>0.55080213903743314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-1070.8860759493671</v>
      </c>
      <c r="P2" s="118">
        <v>79</v>
      </c>
      <c r="Q2" s="102">
        <v>-84600</v>
      </c>
    </row>
    <row r="3" spans="1:17" x14ac:dyDescent="0.4">
      <c r="A3" s="55" t="s">
        <v>8</v>
      </c>
      <c r="B3" s="148">
        <v>659</v>
      </c>
      <c r="C3" s="149"/>
      <c r="E3" s="63" t="s">
        <v>66</v>
      </c>
      <c r="F3" s="60" t="s">
        <v>22</v>
      </c>
      <c r="G3" s="47">
        <v>26</v>
      </c>
      <c r="H3" s="133">
        <f>IF(B$17=0,0,G3/B$17)</f>
        <v>0.13903743315508021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1011.5384615384615</v>
      </c>
      <c r="P3" s="119">
        <v>78</v>
      </c>
      <c r="Q3" s="103">
        <v>78900</v>
      </c>
    </row>
    <row r="4" spans="1:17" x14ac:dyDescent="0.4">
      <c r="A4" s="55" t="s">
        <v>6</v>
      </c>
      <c r="B4" s="150">
        <v>118.49999999999999</v>
      </c>
      <c r="C4" s="151"/>
      <c r="E4" s="63" t="s">
        <v>67</v>
      </c>
      <c r="F4" s="60" t="s">
        <v>23</v>
      </c>
      <c r="G4" s="47">
        <v>162</v>
      </c>
      <c r="H4" s="133">
        <f>IF(B$17=0,0,G4/B$17)</f>
        <v>0.86631016042780751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1584.7222222222222</v>
      </c>
      <c r="P4" s="119">
        <v>72</v>
      </c>
      <c r="Q4" s="103">
        <v>114100</v>
      </c>
    </row>
    <row r="5" spans="1:17" x14ac:dyDescent="0.4">
      <c r="A5" s="55" t="s">
        <v>7</v>
      </c>
      <c r="B5" s="152">
        <f>IF(B$2=0,0,B$4/B$2)</f>
        <v>1.4999999999999998</v>
      </c>
      <c r="C5" s="153"/>
      <c r="E5" s="63" t="s">
        <v>68</v>
      </c>
      <c r="F5" s="60" t="s">
        <v>24</v>
      </c>
      <c r="G5" s="47">
        <v>63</v>
      </c>
      <c r="H5" s="133">
        <f>IF(B$17=0,0,G5/B$17)</f>
        <v>0.33689839572192515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1145.1612903225807</v>
      </c>
      <c r="P5" s="119">
        <v>62</v>
      </c>
      <c r="Q5" s="103">
        <v>71000</v>
      </c>
    </row>
    <row r="6" spans="1:17" x14ac:dyDescent="0.4">
      <c r="A6" s="55" t="s">
        <v>1</v>
      </c>
      <c r="B6" s="142">
        <f>IF(B$2=0,0,(B$7*1+B$8*2+B$9*3)/B$2)</f>
        <v>2.037974683544304</v>
      </c>
      <c r="C6" s="143"/>
      <c r="E6" s="63" t="s">
        <v>69</v>
      </c>
      <c r="F6" s="60" t="s">
        <v>12</v>
      </c>
      <c r="G6" s="47">
        <v>58</v>
      </c>
      <c r="H6" s="133">
        <f>IF(B$17=0,0,G6/B$17)</f>
        <v>0.31016042780748665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-677.77777777777783</v>
      </c>
      <c r="P6" s="119">
        <v>54</v>
      </c>
      <c r="Q6" s="103">
        <v>-36600</v>
      </c>
    </row>
    <row r="7" spans="1:17" x14ac:dyDescent="0.4">
      <c r="A7" s="55" t="s">
        <v>2</v>
      </c>
      <c r="B7" s="47">
        <v>24</v>
      </c>
      <c r="C7" s="39">
        <f>IF(B$2=0,0,B7/B$2)</f>
        <v>0.30379746835443039</v>
      </c>
      <c r="E7" s="63" t="s">
        <v>70</v>
      </c>
      <c r="F7" s="60" t="s">
        <v>25</v>
      </c>
      <c r="G7" s="47">
        <v>37</v>
      </c>
      <c r="H7" s="133">
        <f>IF(B$17=0,0,G7/B$17)</f>
        <v>0.19786096256684493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134</v>
      </c>
      <c r="P7" s="120">
        <v>50</v>
      </c>
      <c r="Q7" s="104">
        <v>6700</v>
      </c>
    </row>
    <row r="8" spans="1:17" x14ac:dyDescent="0.4">
      <c r="A8" s="55" t="s">
        <v>3</v>
      </c>
      <c r="B8" s="47">
        <v>28</v>
      </c>
      <c r="C8" s="39">
        <f>IF(B$2=0,0,B8/B$2)</f>
        <v>0.35443037974683544</v>
      </c>
      <c r="E8" s="63" t="s">
        <v>71</v>
      </c>
      <c r="F8" s="60" t="s">
        <v>26</v>
      </c>
      <c r="G8" s="47">
        <v>20</v>
      </c>
      <c r="H8" s="133">
        <f>IF(B$17=0,0,G8/B$17)</f>
        <v>0.10695187165775401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0.34177215189873417</v>
      </c>
      <c r="E9" s="63" t="s">
        <v>72</v>
      </c>
      <c r="F9" s="60" t="s">
        <v>27</v>
      </c>
      <c r="G9" s="47">
        <v>12</v>
      </c>
      <c r="H9" s="133">
        <f>IF(B$17=0,0,G9/B$17)</f>
        <v>6.4171122994652413E-2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7.5949367088607597E-2</v>
      </c>
      <c r="E10" s="63" t="s">
        <v>73</v>
      </c>
      <c r="F10" s="60" t="s">
        <v>28</v>
      </c>
      <c r="G10" s="47">
        <v>99</v>
      </c>
      <c r="H10" s="133">
        <f>IF(B$17=0,0,G10/B$17)</f>
        <v>0.52941176470588236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0.12658227848101267</v>
      </c>
      <c r="E11" s="63" t="s">
        <v>74</v>
      </c>
      <c r="F11" s="60" t="s">
        <v>29</v>
      </c>
      <c r="G11" s="47">
        <v>1</v>
      </c>
      <c r="H11" s="133">
        <f>IF(B$17=0,0,G11/B$17)</f>
        <v>5.3475935828877002E-3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7.5949367088607597E-2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191</v>
      </c>
      <c r="C13" s="44">
        <f>IF(B$3=0,0,B13/B$3)</f>
        <v>0.2898330804248862</v>
      </c>
      <c r="E13" s="63" t="s">
        <v>76</v>
      </c>
      <c r="F13" s="60" t="s">
        <v>31</v>
      </c>
      <c r="G13" s="47">
        <v>3</v>
      </c>
      <c r="H13" s="133">
        <f>IF(B$17=0,0,G13/B$17)</f>
        <v>1.6042780748663103E-2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128</v>
      </c>
      <c r="C14" s="39">
        <f>IF(B$3=0,0,B14/B$3)</f>
        <v>0.19423368740515934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110</v>
      </c>
      <c r="C15" s="37">
        <f>IF(B$13=0,0,B15/B$13)</f>
        <v>0.5759162303664922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26.328571428571422</v>
      </c>
      <c r="P15" s="118">
        <v>21</v>
      </c>
      <c r="Q15" s="106">
        <v>552.89999999999986</v>
      </c>
    </row>
    <row r="16" spans="1:17" x14ac:dyDescent="0.4">
      <c r="A16" s="54" t="s">
        <v>125</v>
      </c>
      <c r="B16" s="46">
        <v>52</v>
      </c>
      <c r="C16" s="37">
        <f>IF(B$14=0,0,B16/B$14)</f>
        <v>0.40625</v>
      </c>
      <c r="E16" s="63" t="s">
        <v>79</v>
      </c>
      <c r="F16" s="60" t="s">
        <v>34</v>
      </c>
      <c r="G16" s="47">
        <v>9</v>
      </c>
      <c r="H16" s="133">
        <f>IF(B$17=0,0,G16/B$17)</f>
        <v>4.8128342245989303E-2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187</v>
      </c>
      <c r="C17" s="37">
        <f>IF(B$3=0,0,B17/B$3)</f>
        <v>0.28376327769347498</v>
      </c>
      <c r="E17" s="63" t="s">
        <v>80</v>
      </c>
      <c r="F17" s="60" t="s">
        <v>35</v>
      </c>
      <c r="G17" s="47">
        <v>3</v>
      </c>
      <c r="H17" s="133">
        <f>IF(B$17=0,0,G17/B$17)</f>
        <v>1.6042780748663103E-2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79</v>
      </c>
      <c r="C18" s="39">
        <f>IF(B$17=0,0,B18/B$17)</f>
        <v>0.42245989304812837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128</v>
      </c>
      <c r="O18" s="125">
        <f t="shared" si="2"/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108</v>
      </c>
      <c r="C19" s="39">
        <f>IF(B$17=0,0,B19/B$17)</f>
        <v>0.57754010695187163</v>
      </c>
      <c r="E19" s="63" t="s">
        <v>82</v>
      </c>
      <c r="F19" s="60" t="s">
        <v>37</v>
      </c>
      <c r="G19" s="47">
        <v>7</v>
      </c>
      <c r="H19" s="133">
        <f>IF(B$17=0,0,G19/B$17)</f>
        <v>3.7433155080213901E-2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 t="shared" si="2"/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117</v>
      </c>
      <c r="C20" s="39">
        <f>IF(B$3=0,0,B20/B$3)</f>
        <v>0.17754172989377845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2.5531914893621391E-2</v>
      </c>
      <c r="P20" s="119">
        <v>47</v>
      </c>
      <c r="Q20" s="107">
        <v>1.2000000000002053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8</v>
      </c>
      <c r="H21" s="133">
        <f>IF(B$17=0,0,G21/B$17)</f>
        <v>4.2780748663101602E-2</v>
      </c>
      <c r="I21" s="94">
        <v>7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1.06951871657754E-2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9977.5401069518721</v>
      </c>
      <c r="C23" s="41">
        <v>1865800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-8087.1794871794873</v>
      </c>
      <c r="C24" s="45">
        <v>-946200</v>
      </c>
      <c r="E24" s="63" t="s">
        <v>87</v>
      </c>
      <c r="F24" s="60" t="s">
        <v>42</v>
      </c>
      <c r="G24" s="47">
        <v>13</v>
      </c>
      <c r="H24" s="133">
        <f>IF(B$17=0,0,G24/B$17)</f>
        <v>6.9518716577540107E-2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5.3475935828877002E-3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1.5174506828528073E-3</v>
      </c>
      <c r="E27" s="63" t="s">
        <v>90</v>
      </c>
      <c r="F27" s="60" t="s">
        <v>45</v>
      </c>
      <c r="G27" s="47">
        <v>30</v>
      </c>
      <c r="H27" s="133">
        <f>IF(B$17=0,0,G27/B$17)</f>
        <v>0.16042780748663102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2.1390374331550801E-2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1.06951871657754E-2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5.3475935828877002E-3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2.1390374331550801E-2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75</v>
      </c>
      <c r="H51" s="134">
        <f>IF(B$17=0,0,G51/B$17)</f>
        <v>0.40106951871657753</v>
      </c>
      <c r="I51" s="95">
        <v>7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</sheetData>
  <sortState ref="E2:I8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D0BA-E07C-42E4-9AFB-CB7ED8CD5116}">
  <sheetPr codeName="Sheet15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132</v>
      </c>
      <c r="H2" s="132">
        <f>IF(B$17=0,0,G2/B$17)</f>
        <v>0.66331658291457285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1096.875</v>
      </c>
      <c r="P2" s="118">
        <v>64</v>
      </c>
      <c r="Q2" s="102">
        <v>70200</v>
      </c>
    </row>
    <row r="3" spans="1:17" x14ac:dyDescent="0.4">
      <c r="A3" s="55" t="s">
        <v>8</v>
      </c>
      <c r="B3" s="148">
        <v>556</v>
      </c>
      <c r="C3" s="149"/>
      <c r="E3" s="63" t="s">
        <v>73</v>
      </c>
      <c r="F3" s="60" t="s">
        <v>28</v>
      </c>
      <c r="G3" s="47">
        <v>113</v>
      </c>
      <c r="H3" s="133">
        <f>IF(B$17=0,0,G3/B$17)</f>
        <v>0.56783919597989951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-490.625</v>
      </c>
      <c r="P3" s="119">
        <v>64</v>
      </c>
      <c r="Q3" s="103">
        <v>-31400</v>
      </c>
    </row>
    <row r="4" spans="1:17" x14ac:dyDescent="0.4">
      <c r="A4" s="55" t="s">
        <v>6</v>
      </c>
      <c r="B4" s="150">
        <v>45.899999999999977</v>
      </c>
      <c r="C4" s="151"/>
      <c r="E4" s="63" t="s">
        <v>181</v>
      </c>
      <c r="F4" s="60" t="s">
        <v>182</v>
      </c>
      <c r="G4" s="47">
        <v>90</v>
      </c>
      <c r="H4" s="133">
        <f>IF(B$17=0,0,G4/B$17)</f>
        <v>0.45226130653266333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-1405.2631578947369</v>
      </c>
      <c r="P4" s="119">
        <v>57</v>
      </c>
      <c r="Q4" s="103">
        <v>-80100</v>
      </c>
    </row>
    <row r="5" spans="1:17" x14ac:dyDescent="0.4">
      <c r="A5" s="55" t="s">
        <v>7</v>
      </c>
      <c r="B5" s="152">
        <f>IF(B$2=0,0,B$4/B$2)</f>
        <v>0.71718749999999964</v>
      </c>
      <c r="C5" s="153"/>
      <c r="E5" s="63" t="s">
        <v>65</v>
      </c>
      <c r="F5" s="60" t="s">
        <v>21</v>
      </c>
      <c r="G5" s="47">
        <v>69</v>
      </c>
      <c r="H5" s="133">
        <f>IF(B$17=0,0,G5/B$17)</f>
        <v>0.34673366834170855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450</v>
      </c>
      <c r="P5" s="119">
        <v>54</v>
      </c>
      <c r="Q5" s="103">
        <v>24300</v>
      </c>
    </row>
    <row r="6" spans="1:17" x14ac:dyDescent="0.4">
      <c r="A6" s="55" t="s">
        <v>1</v>
      </c>
      <c r="B6" s="142">
        <f>IF(B$2=0,0,(B$7*1+B$8*2+B$9*3)/B$2)</f>
        <v>2.015625</v>
      </c>
      <c r="C6" s="143"/>
      <c r="E6" s="63" t="s">
        <v>69</v>
      </c>
      <c r="F6" s="60" t="s">
        <v>12</v>
      </c>
      <c r="G6" s="47">
        <v>52</v>
      </c>
      <c r="H6" s="133">
        <f>IF(B$17=0,0,G6/B$17)</f>
        <v>0.2613065326633166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709.61538461538464</v>
      </c>
      <c r="P6" s="119">
        <v>52</v>
      </c>
      <c r="Q6" s="103">
        <v>36900</v>
      </c>
    </row>
    <row r="7" spans="1:17" x14ac:dyDescent="0.4">
      <c r="A7" s="55" t="s">
        <v>2</v>
      </c>
      <c r="B7" s="47">
        <v>18</v>
      </c>
      <c r="C7" s="39">
        <f>IF(B$2=0,0,B7/B$2)</f>
        <v>0.28125</v>
      </c>
      <c r="E7" s="63" t="s">
        <v>68</v>
      </c>
      <c r="F7" s="60" t="s">
        <v>24</v>
      </c>
      <c r="G7" s="47">
        <v>33</v>
      </c>
      <c r="H7" s="133">
        <f>IF(B$17=0,0,G7/B$17)</f>
        <v>0.16582914572864321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-135.55555555555554</v>
      </c>
      <c r="P7" s="120">
        <v>45</v>
      </c>
      <c r="Q7" s="104">
        <v>-6100</v>
      </c>
    </row>
    <row r="8" spans="1:17" x14ac:dyDescent="0.4">
      <c r="A8" s="55" t="s">
        <v>3</v>
      </c>
      <c r="B8" s="47">
        <v>27</v>
      </c>
      <c r="C8" s="39">
        <f>IF(B$2=0,0,B8/B$2)</f>
        <v>0.421875</v>
      </c>
      <c r="E8" s="63" t="s">
        <v>70</v>
      </c>
      <c r="F8" s="60" t="s">
        <v>25</v>
      </c>
      <c r="G8" s="47">
        <v>30</v>
      </c>
      <c r="H8" s="133">
        <f>IF(B$17=0,0,G8/B$17)</f>
        <v>0.15075376884422109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0.296875</v>
      </c>
      <c r="E9" s="63" t="s">
        <v>66</v>
      </c>
      <c r="F9" s="60" t="s">
        <v>22</v>
      </c>
      <c r="G9" s="47">
        <v>24</v>
      </c>
      <c r="H9" s="133">
        <f>IF(B$17=0,0,G9/B$17)</f>
        <v>0.12060301507537688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4.6875E-2</v>
      </c>
      <c r="E10" s="63" t="s">
        <v>72</v>
      </c>
      <c r="F10" s="60" t="s">
        <v>27</v>
      </c>
      <c r="G10" s="47">
        <v>16</v>
      </c>
      <c r="H10" s="133">
        <f>IF(B$17=0,0,G10/B$17)</f>
        <v>8.0402010050251257E-2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0.109375</v>
      </c>
      <c r="E11" s="63" t="s">
        <v>90</v>
      </c>
      <c r="F11" s="60" t="s">
        <v>45</v>
      </c>
      <c r="G11" s="47">
        <v>15</v>
      </c>
      <c r="H11" s="133">
        <f>IF(B$17=0,0,G11/B$17)</f>
        <v>7.5376884422110546E-2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6.4523809523809526</v>
      </c>
      <c r="P11" s="119">
        <v>21</v>
      </c>
      <c r="Q11" s="107">
        <v>135.5</v>
      </c>
    </row>
    <row r="12" spans="1:17" x14ac:dyDescent="0.4">
      <c r="A12" s="57" t="s">
        <v>160</v>
      </c>
      <c r="B12" s="49">
        <v>5</v>
      </c>
      <c r="C12" s="42">
        <f>IF(B$2=0,0,B12/B$2)</f>
        <v>7.8125E-2</v>
      </c>
      <c r="E12" s="63" t="s">
        <v>71</v>
      </c>
      <c r="F12" s="60" t="s">
        <v>26</v>
      </c>
      <c r="G12" s="47">
        <v>12</v>
      </c>
      <c r="H12" s="133">
        <f>IF(B$17=0,0,G12/B$17)</f>
        <v>6.030150753768844E-2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122</v>
      </c>
      <c r="C13" s="44">
        <f>IF(B$3=0,0,B13/B$3)</f>
        <v>0.21942446043165467</v>
      </c>
      <c r="E13" s="63" t="s">
        <v>84</v>
      </c>
      <c r="F13" s="60" t="s">
        <v>39</v>
      </c>
      <c r="G13" s="47">
        <v>12</v>
      </c>
      <c r="H13" s="133">
        <f>IF(B$17=0,0,G13/B$17)</f>
        <v>6.030150753768844E-2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162</v>
      </c>
      <c r="C14" s="39">
        <f>IF(B$3=0,0,B14/B$3)</f>
        <v>0.29136690647482016</v>
      </c>
      <c r="E14" s="63" t="s">
        <v>87</v>
      </c>
      <c r="F14" s="60" t="s">
        <v>42</v>
      </c>
      <c r="G14" s="47">
        <v>8</v>
      </c>
      <c r="H14" s="133">
        <f>IF(B$17=0,0,G14/B$17)</f>
        <v>4.0201005025125629E-2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0.56557377049180324</v>
      </c>
      <c r="E15" s="63" t="s">
        <v>82</v>
      </c>
      <c r="F15" s="60" t="s">
        <v>37</v>
      </c>
      <c r="G15" s="47">
        <v>6</v>
      </c>
      <c r="H15" s="133">
        <f>IF(B$17=0,0,G15/B$17)</f>
        <v>3.015075376884422E-2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47.692857142857129</v>
      </c>
      <c r="P15" s="118">
        <v>14</v>
      </c>
      <c r="Q15" s="106">
        <v>667.69999999999982</v>
      </c>
    </row>
    <row r="16" spans="1:17" x14ac:dyDescent="0.4">
      <c r="A16" s="54" t="s">
        <v>125</v>
      </c>
      <c r="B16" s="46">
        <v>71</v>
      </c>
      <c r="C16" s="37">
        <f>IF(B$14=0,0,B16/B$14)</f>
        <v>0.43827160493827161</v>
      </c>
      <c r="E16" s="63" t="s">
        <v>80</v>
      </c>
      <c r="F16" s="60" t="s">
        <v>35</v>
      </c>
      <c r="G16" s="47">
        <v>3</v>
      </c>
      <c r="H16" s="133">
        <f>IF(B$17=0,0,G16/B$17)</f>
        <v>1.507537688442211E-2</v>
      </c>
      <c r="I16" s="94">
        <v>7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199</v>
      </c>
      <c r="C17" s="37">
        <f>IF(B$3=0,0,B17/B$3)</f>
        <v>0.3579136690647482</v>
      </c>
      <c r="E17" s="63" t="s">
        <v>79</v>
      </c>
      <c r="F17" s="60" t="s">
        <v>34</v>
      </c>
      <c r="G17" s="47">
        <v>2</v>
      </c>
      <c r="H17" s="133">
        <f>IF(B$17=0,0,G17/B$17)</f>
        <v>1.0050251256281407E-2</v>
      </c>
      <c r="I17" s="94">
        <v>10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84</v>
      </c>
      <c r="C18" s="39">
        <f>IF(B$17=0,0,B18/B$17)</f>
        <v>0.42211055276381909</v>
      </c>
      <c r="E18" s="63" t="s">
        <v>92</v>
      </c>
      <c r="F18" s="60" t="s">
        <v>47</v>
      </c>
      <c r="G18" s="47">
        <v>2</v>
      </c>
      <c r="H18" s="133">
        <f>IF(B$17=0,0,G18/B$17)</f>
        <v>1.0050251256281407E-2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115</v>
      </c>
      <c r="C19" s="39">
        <f>IF(B$17=0,0,B19/B$17)</f>
        <v>0.57788944723618085</v>
      </c>
      <c r="E19" s="63" t="s">
        <v>74</v>
      </c>
      <c r="F19" s="60" t="s">
        <v>29</v>
      </c>
      <c r="G19" s="47">
        <v>1</v>
      </c>
      <c r="H19" s="133">
        <f>IF(B$17=0,0,G19/B$17)</f>
        <v>5.0251256281407036E-3</v>
      </c>
      <c r="I19" s="94">
        <v>7</v>
      </c>
      <c r="K19" s="38">
        <v>17</v>
      </c>
      <c r="L19" s="99">
        <v>-55.099999999999994</v>
      </c>
      <c r="N19" s="115" t="s">
        <v>177</v>
      </c>
      <c r="O19" s="125">
        <f>IF(P19=0,0,Q19/P19)</f>
        <v>9.8454545454545457</v>
      </c>
      <c r="P19" s="119">
        <v>11</v>
      </c>
      <c r="Q19" s="107">
        <v>108.3</v>
      </c>
    </row>
    <row r="20" spans="1:17" x14ac:dyDescent="0.4">
      <c r="A20" s="55" t="s">
        <v>13</v>
      </c>
      <c r="B20" s="47">
        <v>72</v>
      </c>
      <c r="C20" s="39">
        <f>IF(B$3=0,0,B20/B$3)</f>
        <v>0.12949640287769784</v>
      </c>
      <c r="E20" s="63" t="s">
        <v>75</v>
      </c>
      <c r="F20" s="60" t="s">
        <v>30</v>
      </c>
      <c r="G20" s="47">
        <v>1</v>
      </c>
      <c r="H20" s="133">
        <f>IF(B$17=0,0,G20/B$17)</f>
        <v>5.0251256281407036E-3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>IF(P20=0,0,Q20/P20)</f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5.0251256281407036E-3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6</v>
      </c>
      <c r="E22" s="63" t="s">
        <v>88</v>
      </c>
      <c r="F22" s="60" t="s">
        <v>43</v>
      </c>
      <c r="G22" s="47">
        <v>1</v>
      </c>
      <c r="H22" s="133">
        <f>IF(B$17=0,0,G22/B$17)</f>
        <v>5.0251256281407036E-3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6665.8291457286432</v>
      </c>
      <c r="C23" s="41">
        <v>1326500</v>
      </c>
      <c r="E23" s="63" t="s">
        <v>91</v>
      </c>
      <c r="F23" s="60" t="s">
        <v>46</v>
      </c>
      <c r="G23" s="47">
        <v>1</v>
      </c>
      <c r="H23" s="133">
        <f>IF(B$17=0,0,G23/B$17)</f>
        <v>5.0251256281407036E-3</v>
      </c>
      <c r="I23" s="94">
        <v>2</v>
      </c>
      <c r="K23" s="38">
        <v>21</v>
      </c>
      <c r="L23" s="99">
        <v>89.9</v>
      </c>
      <c r="N23" s="115" t="s">
        <v>127</v>
      </c>
      <c r="O23" s="125">
        <f>IF(P23=0,0,Q23/P23)</f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-9381.9444444444453</v>
      </c>
      <c r="C24" s="45">
        <v>-675500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1.7985611510791368E-3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1133-79AB-45FE-8D71-29DF8E5C13D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2FBDC-342F-4138-BB74-3BE4FEDC9D1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48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0.59482758620689657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1260.4166666666667</v>
      </c>
      <c r="P2" s="118">
        <v>48</v>
      </c>
      <c r="Q2" s="102">
        <v>60500</v>
      </c>
    </row>
    <row r="3" spans="1:17" x14ac:dyDescent="0.4">
      <c r="A3" s="55" t="s">
        <v>8</v>
      </c>
      <c r="B3" s="148">
        <v>392</v>
      </c>
      <c r="C3" s="149"/>
      <c r="E3" s="63" t="s">
        <v>67</v>
      </c>
      <c r="F3" s="60" t="s">
        <v>23</v>
      </c>
      <c r="G3" s="47">
        <v>62</v>
      </c>
      <c r="H3" s="133">
        <f>IF(B$17=0,0,G3/B$17)</f>
        <v>0.53448275862068961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604.3478260869565</v>
      </c>
      <c r="P3" s="119">
        <v>46</v>
      </c>
      <c r="Q3" s="103">
        <v>27800</v>
      </c>
    </row>
    <row r="4" spans="1:17" x14ac:dyDescent="0.4">
      <c r="A4" s="55" t="s">
        <v>6</v>
      </c>
      <c r="B4" s="150">
        <v>40.899999999999991</v>
      </c>
      <c r="C4" s="151"/>
      <c r="E4" s="63" t="s">
        <v>73</v>
      </c>
      <c r="F4" s="60" t="s">
        <v>28</v>
      </c>
      <c r="G4" s="47">
        <v>52</v>
      </c>
      <c r="H4" s="133">
        <f>IF(B$17=0,0,G4/B$17)</f>
        <v>0.44827586206896552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-1323.8095238095239</v>
      </c>
      <c r="P4" s="119">
        <v>42</v>
      </c>
      <c r="Q4" s="103">
        <v>-55600</v>
      </c>
    </row>
    <row r="5" spans="1:17" x14ac:dyDescent="0.4">
      <c r="A5" s="55" t="s">
        <v>7</v>
      </c>
      <c r="B5" s="152">
        <f>IF(B$2=0,0,B$4/B$2)</f>
        <v>0.85208333333333319</v>
      </c>
      <c r="C5" s="153"/>
      <c r="E5" s="63" t="s">
        <v>181</v>
      </c>
      <c r="F5" s="60" t="s">
        <v>182</v>
      </c>
      <c r="G5" s="47">
        <v>49</v>
      </c>
      <c r="H5" s="133">
        <f>IF(B$17=0,0,G5/B$17)</f>
        <v>0.42241379310344829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1346.3414634146341</v>
      </c>
      <c r="P5" s="119">
        <v>41</v>
      </c>
      <c r="Q5" s="103">
        <v>55200</v>
      </c>
    </row>
    <row r="6" spans="1:17" x14ac:dyDescent="0.4">
      <c r="A6" s="55" t="s">
        <v>1</v>
      </c>
      <c r="B6" s="142">
        <f>IF(B$2=0,0,(B$7*1+B$8*2+B$9*3)/B$2)</f>
        <v>1.9583333333333333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0.35344827586206895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-1524.3243243243244</v>
      </c>
      <c r="P6" s="119">
        <v>37</v>
      </c>
      <c r="Q6" s="103">
        <v>-56400</v>
      </c>
    </row>
    <row r="7" spans="1:17" x14ac:dyDescent="0.4">
      <c r="A7" s="55" t="s">
        <v>2</v>
      </c>
      <c r="B7" s="47">
        <v>18</v>
      </c>
      <c r="C7" s="39">
        <f>IF(B$2=0,0,B7/B$2)</f>
        <v>0.375</v>
      </c>
      <c r="E7" s="63" t="s">
        <v>69</v>
      </c>
      <c r="F7" s="60" t="s">
        <v>12</v>
      </c>
      <c r="G7" s="47">
        <v>35</v>
      </c>
      <c r="H7" s="133">
        <f>IF(B$17=0,0,G7/B$17)</f>
        <v>0.30172413793103448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0.29166666666666669</v>
      </c>
      <c r="E8" s="63" t="s">
        <v>70</v>
      </c>
      <c r="F8" s="60" t="s">
        <v>25</v>
      </c>
      <c r="G8" s="47">
        <v>20</v>
      </c>
      <c r="H8" s="133">
        <f>IF(B$17=0,0,G8/B$17)</f>
        <v>0.17241379310344829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14</v>
      </c>
      <c r="H9" s="133">
        <f>IF(B$17=0,0,G9/B$17)</f>
        <v>0.1206896551724138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0.16666666666666666</v>
      </c>
      <c r="E10" s="63" t="s">
        <v>90</v>
      </c>
      <c r="F10" s="60" t="s">
        <v>45</v>
      </c>
      <c r="G10" s="47">
        <v>13</v>
      </c>
      <c r="H10" s="133">
        <f>IF(B$17=0,0,G10/B$17)</f>
        <v>0.11206896551724138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0.10416666666666667</v>
      </c>
      <c r="E11" s="63" t="s">
        <v>71</v>
      </c>
      <c r="F11" s="60" t="s">
        <v>26</v>
      </c>
      <c r="G11" s="47">
        <v>8</v>
      </c>
      <c r="H11" s="133">
        <f>IF(B$17=0,0,G11/B$17)</f>
        <v>6.8965517241379309E-2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0.10416666666666667</v>
      </c>
      <c r="E12" s="63" t="s">
        <v>72</v>
      </c>
      <c r="F12" s="60" t="s">
        <v>27</v>
      </c>
      <c r="G12" s="47">
        <v>6</v>
      </c>
      <c r="H12" s="133">
        <f>IF(B$17=0,0,G12/B$17)</f>
        <v>5.1724137931034482E-2</v>
      </c>
      <c r="I12" s="94">
        <v>10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102</v>
      </c>
      <c r="C13" s="44">
        <f>IF(B$3=0,0,B13/B$3)</f>
        <v>0.26020408163265307</v>
      </c>
      <c r="E13" s="63" t="s">
        <v>79</v>
      </c>
      <c r="F13" s="60" t="s">
        <v>34</v>
      </c>
      <c r="G13" s="47">
        <v>5</v>
      </c>
      <c r="H13" s="133">
        <f>IF(B$17=0,0,G13/B$17)</f>
        <v>4.3103448275862072E-2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74</v>
      </c>
      <c r="C14" s="39">
        <f>IF(B$3=0,0,B14/B$3)</f>
        <v>0.18877551020408162</v>
      </c>
      <c r="E14" s="63" t="s">
        <v>84</v>
      </c>
      <c r="F14" s="60" t="s">
        <v>39</v>
      </c>
      <c r="G14" s="47">
        <v>5</v>
      </c>
      <c r="H14" s="133">
        <f>IF(B$17=0,0,G14/B$17)</f>
        <v>4.3103448275862072E-2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0.67647058823529416</v>
      </c>
      <c r="E15" s="63" t="s">
        <v>92</v>
      </c>
      <c r="F15" s="60" t="s">
        <v>47</v>
      </c>
      <c r="G15" s="47">
        <v>5</v>
      </c>
      <c r="H15" s="133">
        <f>IF(B$17=0,0,G15/B$17)</f>
        <v>4.3103448275862072E-2</v>
      </c>
      <c r="I15" s="94">
        <v>1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0.35135135135135137</v>
      </c>
      <c r="E16" s="63" t="s">
        <v>82</v>
      </c>
      <c r="F16" s="60" t="s">
        <v>37</v>
      </c>
      <c r="G16" s="47">
        <v>3</v>
      </c>
      <c r="H16" s="133">
        <f>IF(B$17=0,0,G16/B$17)</f>
        <v>2.5862068965517241E-2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0.29591836734693877</v>
      </c>
      <c r="E17" s="63" t="s">
        <v>80</v>
      </c>
      <c r="F17" s="60" t="s">
        <v>35</v>
      </c>
      <c r="G17" s="47">
        <v>2</v>
      </c>
      <c r="H17" s="133">
        <f>IF(B$17=0,0,G17/B$17)</f>
        <v>1.7241379310344827E-2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49</v>
      </c>
      <c r="C18" s="39">
        <f>IF(B$17=0,0,B18/B$17)</f>
        <v>0.42241379310344829</v>
      </c>
      <c r="E18" s="63" t="s">
        <v>86</v>
      </c>
      <c r="F18" s="60" t="s">
        <v>41</v>
      </c>
      <c r="G18" s="47">
        <v>2</v>
      </c>
      <c r="H18" s="133">
        <f>IF(B$17=0,0,G18/B$17)</f>
        <v>1.7241379310344827E-2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67</v>
      </c>
      <c r="C19" s="39">
        <f>IF(B$17=0,0,B19/B$17)</f>
        <v>0.57758620689655171</v>
      </c>
      <c r="E19" s="63" t="s">
        <v>87</v>
      </c>
      <c r="F19" s="60" t="s">
        <v>42</v>
      </c>
      <c r="G19" s="47">
        <v>2</v>
      </c>
      <c r="H19" s="133">
        <f>IF(B$17=0,0,G19/B$17)</f>
        <v>1.7241379310344827E-2</v>
      </c>
      <c r="I19" s="94">
        <v>10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63</v>
      </c>
      <c r="C20" s="39">
        <f>IF(B$3=0,0,B20/B$3)</f>
        <v>0.16071428571428573</v>
      </c>
      <c r="E20" s="63" t="s">
        <v>75</v>
      </c>
      <c r="F20" s="60" t="s">
        <v>30</v>
      </c>
      <c r="G20" s="47">
        <v>1</v>
      </c>
      <c r="H20" s="133">
        <f>IF(B$17=0,0,G20/B$17)</f>
        <v>8.6206896551724137E-3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8.6206896551724137E-3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-9.8454545454545492</v>
      </c>
      <c r="P21" s="119">
        <v>11</v>
      </c>
      <c r="Q21" s="107">
        <v>-108.30000000000004</v>
      </c>
    </row>
    <row r="22" spans="1:17" x14ac:dyDescent="0.4">
      <c r="A22" s="55" t="s">
        <v>194</v>
      </c>
      <c r="B22" s="47">
        <v>22</v>
      </c>
      <c r="C22" s="135">
        <v>4</v>
      </c>
      <c r="E22" s="63" t="s">
        <v>91</v>
      </c>
      <c r="F22" s="60" t="s">
        <v>46</v>
      </c>
      <c r="G22" s="47">
        <v>1</v>
      </c>
      <c r="H22" s="133">
        <f>IF(B$17=0,0,G22/B$17)</f>
        <v>8.6206896551724137E-3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-31.266666666666673</v>
      </c>
      <c r="P22" s="119">
        <v>21</v>
      </c>
      <c r="Q22" s="107">
        <v>-656.60000000000014</v>
      </c>
    </row>
    <row r="23" spans="1:17" x14ac:dyDescent="0.4">
      <c r="A23" s="55" t="s">
        <v>5</v>
      </c>
      <c r="B23" s="51">
        <f>IF(B$17=0,0,C23/B$17)</f>
        <v>8723.2758620689656</v>
      </c>
      <c r="C23" s="41">
        <v>1011900</v>
      </c>
      <c r="E23" s="63" t="s">
        <v>93</v>
      </c>
      <c r="F23" s="60" t="s">
        <v>48</v>
      </c>
      <c r="G23" s="47">
        <v>1</v>
      </c>
      <c r="H23" s="133">
        <f>IF(B$17=0,0,G23/B$17)</f>
        <v>8.6206896551724137E-3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-7787.3015873015875</v>
      </c>
      <c r="C24" s="45">
        <v>-490600</v>
      </c>
      <c r="E24" s="63" t="s">
        <v>102</v>
      </c>
      <c r="F24" s="60" t="s">
        <v>57</v>
      </c>
      <c r="G24" s="47">
        <v>1</v>
      </c>
      <c r="H24" s="133">
        <f>IF(B$17=0,0,G24/B$17)</f>
        <v>8.6206896551724137E-3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7.6530612244897957E-3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C7C3-9624-41CA-8645-C823EEAEDF0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7EE8-AF3A-480B-A62F-DA784E761B62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A9AF-16F8-4BBF-89F8-E69A75F604F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1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B973-011A-4428-B1F2-AC68ABE1589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32C9-A4A1-46D8-BCFE-4929E709E70D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0463-E9D4-4F54-B586-E4B426072385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944-47BA-4346-B964-30BC2BE8F18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47DE-E6BE-41F4-B1A4-C48C4100B371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6B0C-D27F-4F50-A79C-9D446360AC94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BF0-A030-447F-8EB7-62E22A795A0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5A80-C2DB-4B73-89C9-6D1ED061EA8C}">
  <sheetPr codeName="Sheet20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0BA-9D02-4A98-9B14-A28D91D9D786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1A8D-3CA3-4084-A762-9E13F4878089}">
  <sheetPr codeName="Sheet16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78AC-2ABB-42B1-ACE0-8D066F7B562A}">
  <sheetPr codeName="Sheet14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1373-4BCA-45A0-9AE6-F03DDA15F41B}">
  <sheetPr codeName="Sheet12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22FB-3CE2-49D5-88E2-5076225D124B}">
  <sheetPr codeName="Sheet10"/>
  <dimension ref="A1:Q1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857-042E-4367-8664-591F8300E266}">
  <sheetPr codeName="Sheet8"/>
  <dimension ref="A1:Q1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2B1D-4505-4407-B9E5-483651E2F222}">
  <sheetPr codeName="Sheet6"/>
  <dimension ref="A1:Q1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2019-05-28T09:19:59Z</dcterms:modified>
</cp:coreProperties>
</file>