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5C3294BE-C3DD-427D-A602-2FBDBBD76A8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63" r:id="rId6"/>
    <sheet name="だいち" sheetId="5065" r:id="rId7"/>
    <sheet name="りくと" sheetId="5067" r:id="rId8"/>
    <sheet name="ただ" sheetId="5069" r:id="rId9"/>
    <sheet name="れんたろう" sheetId="5071" r:id="rId10"/>
    <sheet name="たかの" sheetId="5073" r:id="rId11"/>
    <sheet name="ぱぱ" sheetId="5075" r:id="rId12"/>
    <sheet name="まっつん" sheetId="5077" r:id="rId13"/>
    <sheet name="あさひ" sheetId="5079" r:id="rId14"/>
    <sheet name="いっしー" sheetId="5081" r:id="rId15"/>
    <sheet name="ほたに" sheetId="5083" r:id="rId16"/>
    <sheet name="ほたに2" sheetId="5084" state="hidden" r:id="rId17"/>
    <sheet name="いっしー2" sheetId="5082" state="hidden" r:id="rId18"/>
    <sheet name="あさひ2" sheetId="5080" state="hidden" r:id="rId19"/>
    <sheet name="まっつん2" sheetId="5078" state="hidden" r:id="rId20"/>
    <sheet name="ぱぱ2" sheetId="5076" state="hidden" r:id="rId21"/>
    <sheet name="たかの2" sheetId="5074" state="hidden" r:id="rId22"/>
    <sheet name="れんたろう2" sheetId="5072" state="hidden" r:id="rId23"/>
    <sheet name="ただ2" sheetId="5070" state="hidden" r:id="rId24"/>
    <sheet name="りくと2" sheetId="5068" state="hidden" r:id="rId25"/>
    <sheet name="だいち2" sheetId="5066" state="hidden" r:id="rId26"/>
    <sheet name="全体2" sheetId="506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5065" l="1"/>
  <c r="O18" i="5083"/>
  <c r="O21" i="5075"/>
  <c r="O16" i="5083"/>
  <c r="O15" i="5083" l="1"/>
  <c r="O17" i="5083"/>
  <c r="C27" i="5083"/>
  <c r="B24" i="5083"/>
  <c r="C20" i="5083"/>
  <c r="B17" i="5083"/>
  <c r="H7" i="5083" s="1"/>
  <c r="C16" i="5083"/>
  <c r="C15" i="5083"/>
  <c r="C14" i="5083"/>
  <c r="C13" i="5083"/>
  <c r="O12" i="5083"/>
  <c r="C12" i="5083"/>
  <c r="O11" i="5083"/>
  <c r="C11" i="5083"/>
  <c r="O10" i="5083"/>
  <c r="C10" i="5083"/>
  <c r="C9" i="5083"/>
  <c r="C8" i="5083"/>
  <c r="O7" i="5083"/>
  <c r="C7" i="5083"/>
  <c r="O6" i="5083"/>
  <c r="B6" i="5083"/>
  <c r="O5" i="5083"/>
  <c r="B5" i="5083"/>
  <c r="O4" i="5083"/>
  <c r="O3" i="5083"/>
  <c r="O2" i="5083"/>
  <c r="O22" i="5071"/>
  <c r="O16" i="5073"/>
  <c r="O22" i="5063"/>
  <c r="H2" i="5083" l="1"/>
  <c r="H13" i="5083"/>
  <c r="H5" i="5083"/>
  <c r="H30" i="5083"/>
  <c r="H38" i="5083"/>
  <c r="H15" i="5083"/>
  <c r="H29" i="5083"/>
  <c r="H21" i="5083"/>
  <c r="H3" i="5083"/>
  <c r="H18" i="5083"/>
  <c r="H45" i="5083"/>
  <c r="C17" i="5083"/>
  <c r="C18" i="5083"/>
  <c r="H37" i="5083"/>
  <c r="H4" i="5083"/>
  <c r="B23" i="5083"/>
  <c r="H26" i="5083"/>
  <c r="H46" i="5083"/>
  <c r="H39" i="5083"/>
  <c r="H47" i="5083"/>
  <c r="H19" i="5083"/>
  <c r="C19" i="5083"/>
  <c r="H31" i="5083"/>
  <c r="H10" i="5083"/>
  <c r="H6" i="5083"/>
  <c r="H14" i="5083"/>
  <c r="H16" i="5083"/>
  <c r="H22" i="5083"/>
  <c r="H12" i="5083"/>
  <c r="H32" i="5083"/>
  <c r="H40" i="5083"/>
  <c r="H48" i="5083"/>
  <c r="H11" i="5083"/>
  <c r="H27" i="5083"/>
  <c r="H33" i="5083"/>
  <c r="H41" i="5083"/>
  <c r="H49" i="5083"/>
  <c r="H28" i="5083"/>
  <c r="H34" i="5083"/>
  <c r="H50" i="5083"/>
  <c r="H8" i="5083"/>
  <c r="H17" i="5083"/>
  <c r="H24" i="5083"/>
  <c r="H35" i="5083"/>
  <c r="H43" i="5083"/>
  <c r="H51" i="5083"/>
  <c r="H23" i="5083"/>
  <c r="H42" i="5083"/>
  <c r="H20" i="5083"/>
  <c r="H25" i="5083"/>
  <c r="H9" i="5083"/>
  <c r="H36" i="5083"/>
  <c r="H44" i="5083"/>
  <c r="O18" i="5073" l="1"/>
  <c r="O15" i="5069"/>
  <c r="O19" i="5077"/>
  <c r="O22" i="5077"/>
  <c r="O19" i="5065" l="1"/>
  <c r="O17" i="5081"/>
  <c r="O16" i="5081" l="1"/>
  <c r="O15" i="5081"/>
  <c r="O16" i="5071"/>
  <c r="O20" i="5069"/>
  <c r="O17" i="5079" l="1"/>
  <c r="O22" i="5075"/>
  <c r="O15" i="5079"/>
  <c r="O20" i="5081"/>
  <c r="O15" i="5067"/>
  <c r="O15" i="5077"/>
  <c r="O16" i="5063"/>
  <c r="O18" i="5081"/>
  <c r="O19" i="5081"/>
  <c r="C27" i="5081"/>
  <c r="B24" i="5081"/>
  <c r="C20" i="5081"/>
  <c r="B17" i="5081"/>
  <c r="H50" i="5081" s="1"/>
  <c r="C16" i="5081"/>
  <c r="C15" i="5081"/>
  <c r="C14" i="5081"/>
  <c r="C13" i="5081"/>
  <c r="O12" i="5081"/>
  <c r="C12" i="5081"/>
  <c r="O11" i="5081"/>
  <c r="C11" i="5081"/>
  <c r="O10" i="5081"/>
  <c r="C10" i="5081"/>
  <c r="C9" i="5081"/>
  <c r="C8" i="5081"/>
  <c r="O7" i="5081"/>
  <c r="C7" i="5081"/>
  <c r="O6" i="5081"/>
  <c r="B6" i="5081"/>
  <c r="O5" i="5081"/>
  <c r="B5" i="5081"/>
  <c r="O4" i="5081"/>
  <c r="O3" i="5081"/>
  <c r="O2" i="5081"/>
  <c r="O16" i="5079"/>
  <c r="O18" i="5079"/>
  <c r="C27" i="5079"/>
  <c r="B24" i="5079"/>
  <c r="C20" i="5079"/>
  <c r="B17" i="5079"/>
  <c r="H7" i="5079" s="1"/>
  <c r="C16" i="5079"/>
  <c r="C15" i="5079"/>
  <c r="C14" i="5079"/>
  <c r="C13" i="5079"/>
  <c r="O12" i="5079"/>
  <c r="C12" i="5079"/>
  <c r="O11" i="5079"/>
  <c r="C11" i="5079"/>
  <c r="O10" i="5079"/>
  <c r="H4" i="5079"/>
  <c r="C10" i="5079"/>
  <c r="C9" i="5079"/>
  <c r="C8" i="5079"/>
  <c r="O7" i="5079"/>
  <c r="C7" i="5079"/>
  <c r="O6" i="5079"/>
  <c r="B6" i="5079"/>
  <c r="O5" i="5079"/>
  <c r="B5" i="5079"/>
  <c r="O4" i="5079"/>
  <c r="O3" i="5079"/>
  <c r="O2" i="5079"/>
  <c r="O20" i="5077"/>
  <c r="O21" i="5077"/>
  <c r="O15" i="5065"/>
  <c r="O17" i="5065"/>
  <c r="O24" i="5063"/>
  <c r="H16" i="5081" l="1"/>
  <c r="H36" i="5081"/>
  <c r="H35" i="5081"/>
  <c r="H5" i="5081"/>
  <c r="H17" i="5081"/>
  <c r="H21" i="5081"/>
  <c r="H2" i="5079"/>
  <c r="C17" i="5079"/>
  <c r="H3" i="5079"/>
  <c r="H13" i="5079"/>
  <c r="H3" i="5081"/>
  <c r="H27" i="5081"/>
  <c r="H44" i="5081"/>
  <c r="H18" i="5081"/>
  <c r="H15" i="5081"/>
  <c r="H45" i="5081"/>
  <c r="H2" i="5081"/>
  <c r="H6" i="5081"/>
  <c r="H9" i="5081"/>
  <c r="H29" i="5081"/>
  <c r="H30" i="5081"/>
  <c r="C17" i="5081"/>
  <c r="H12" i="5081"/>
  <c r="H37" i="5081"/>
  <c r="H13" i="5081"/>
  <c r="H47" i="5081"/>
  <c r="H14" i="5081"/>
  <c r="H39" i="5081"/>
  <c r="H8" i="5081"/>
  <c r="H19" i="5081"/>
  <c r="H25" i="5081"/>
  <c r="H40" i="5081"/>
  <c r="H4" i="5081"/>
  <c r="H22" i="5081"/>
  <c r="H32" i="5081"/>
  <c r="H41" i="5081"/>
  <c r="H51" i="5081"/>
  <c r="H10" i="5081"/>
  <c r="H46" i="5081"/>
  <c r="H24" i="5081"/>
  <c r="H38" i="5081"/>
  <c r="B23" i="5081"/>
  <c r="H48" i="5081"/>
  <c r="C18" i="5081"/>
  <c r="H31" i="5081"/>
  <c r="H49" i="5081"/>
  <c r="H11" i="5081"/>
  <c r="H20" i="5081"/>
  <c r="C19" i="5081"/>
  <c r="H26" i="5081"/>
  <c r="H33" i="5081"/>
  <c r="H43" i="5081"/>
  <c r="H7" i="5081"/>
  <c r="H23" i="5081"/>
  <c r="H28" i="5081"/>
  <c r="H34" i="5081"/>
  <c r="H42" i="5081"/>
  <c r="H5" i="5079"/>
  <c r="H14" i="5079"/>
  <c r="H17" i="5079"/>
  <c r="C18" i="5079"/>
  <c r="B23" i="5079"/>
  <c r="H29" i="5079"/>
  <c r="H37" i="5079"/>
  <c r="H45" i="5079"/>
  <c r="H21" i="5079"/>
  <c r="H26" i="5079"/>
  <c r="H30" i="5079"/>
  <c r="H38" i="5079"/>
  <c r="H46" i="5079"/>
  <c r="H18" i="5079"/>
  <c r="C19" i="5079"/>
  <c r="H31" i="5079"/>
  <c r="H39" i="5079"/>
  <c r="H47" i="5079"/>
  <c r="H12" i="5079"/>
  <c r="H8" i="5079"/>
  <c r="H10" i="5079"/>
  <c r="H15" i="5079"/>
  <c r="H22" i="5079"/>
  <c r="H11" i="5079"/>
  <c r="H32" i="5079"/>
  <c r="H40" i="5079"/>
  <c r="H48" i="5079"/>
  <c r="H19" i="5079"/>
  <c r="H27" i="5079"/>
  <c r="H33" i="5079"/>
  <c r="H41" i="5079"/>
  <c r="H49" i="5079"/>
  <c r="H23" i="5079"/>
  <c r="H28" i="5079"/>
  <c r="H34" i="5079"/>
  <c r="H42" i="5079"/>
  <c r="H50" i="5079"/>
  <c r="H9" i="5079"/>
  <c r="H16" i="5079"/>
  <c r="H24" i="5079"/>
  <c r="H35" i="5079"/>
  <c r="H43" i="5079"/>
  <c r="H51" i="5079"/>
  <c r="H20" i="5079"/>
  <c r="H25" i="5079"/>
  <c r="H6" i="5079"/>
  <c r="H36" i="5079"/>
  <c r="H44" i="5079"/>
  <c r="O16" i="5077" l="1"/>
  <c r="O19" i="5075"/>
  <c r="O16" i="5075"/>
  <c r="O20" i="5067"/>
  <c r="O17" i="5073" l="1"/>
  <c r="O17" i="5071"/>
  <c r="O18" i="5075"/>
  <c r="O17" i="5075"/>
  <c r="O15" i="5073" l="1"/>
  <c r="O15" i="5071"/>
  <c r="O21" i="5069"/>
  <c r="O18" i="5069"/>
  <c r="O17" i="5077"/>
  <c r="O18" i="5077"/>
  <c r="C27" i="5077"/>
  <c r="B24" i="5077"/>
  <c r="C20" i="5077"/>
  <c r="B17" i="5077"/>
  <c r="H5" i="5077" s="1"/>
  <c r="C16" i="5077"/>
  <c r="C15" i="5077"/>
  <c r="C14" i="5077"/>
  <c r="C13" i="5077"/>
  <c r="O12" i="5077"/>
  <c r="C12" i="5077"/>
  <c r="O11" i="5077"/>
  <c r="C11" i="5077"/>
  <c r="O10" i="5077"/>
  <c r="C10" i="5077"/>
  <c r="C9" i="5077"/>
  <c r="C8" i="5077"/>
  <c r="O7" i="5077"/>
  <c r="C7" i="5077"/>
  <c r="O6" i="5077"/>
  <c r="B6" i="5077"/>
  <c r="O5" i="5077"/>
  <c r="B5" i="5077"/>
  <c r="O4" i="5077"/>
  <c r="O3" i="5077"/>
  <c r="O2" i="5077"/>
  <c r="O20" i="5071"/>
  <c r="O16" i="5067"/>
  <c r="O17" i="5063"/>
  <c r="B23" i="5077" l="1"/>
  <c r="H32" i="5077"/>
  <c r="H3" i="5077"/>
  <c r="H2" i="5077"/>
  <c r="C17" i="5077"/>
  <c r="H17" i="5077"/>
  <c r="H35" i="5077"/>
  <c r="H8" i="5077"/>
  <c r="H15" i="5077"/>
  <c r="C18" i="5077"/>
  <c r="H37" i="5077"/>
  <c r="H24" i="5077"/>
  <c r="H27" i="5077"/>
  <c r="H38" i="5077"/>
  <c r="H6" i="5077"/>
  <c r="H18" i="5077"/>
  <c r="H20" i="5077"/>
  <c r="C19" i="5077"/>
  <c r="H39" i="5077"/>
  <c r="H4" i="5077"/>
  <c r="H13" i="5077"/>
  <c r="H16" i="5077"/>
  <c r="H30" i="5077"/>
  <c r="H45" i="5077"/>
  <c r="H21" i="5077"/>
  <c r="H12" i="5077"/>
  <c r="H46" i="5077"/>
  <c r="H9" i="5077"/>
  <c r="H7" i="5077"/>
  <c r="H14" i="5077"/>
  <c r="H19" i="5077"/>
  <c r="H11" i="5077"/>
  <c r="H31" i="5077"/>
  <c r="H47" i="5077"/>
  <c r="H40" i="5077"/>
  <c r="H48" i="5077"/>
  <c r="H22" i="5077"/>
  <c r="H28" i="5077"/>
  <c r="H33" i="5077"/>
  <c r="H41" i="5077"/>
  <c r="H49" i="5077"/>
  <c r="H25" i="5077"/>
  <c r="H29" i="5077"/>
  <c r="H34" i="5077"/>
  <c r="H42" i="5077"/>
  <c r="H50" i="5077"/>
  <c r="H43" i="5077"/>
  <c r="H51" i="5077"/>
  <c r="H23" i="5077"/>
  <c r="H26" i="5077"/>
  <c r="H10" i="5077"/>
  <c r="H36" i="5077"/>
  <c r="H44" i="5077"/>
  <c r="O17" i="5069" l="1"/>
  <c r="O20" i="5075"/>
  <c r="O15" i="5075"/>
  <c r="C27" i="5075"/>
  <c r="B24" i="5075"/>
  <c r="C20" i="5075"/>
  <c r="B17" i="5075"/>
  <c r="H51" i="5075" s="1"/>
  <c r="C16" i="5075"/>
  <c r="C15" i="5075"/>
  <c r="C14" i="5075"/>
  <c r="C13" i="5075"/>
  <c r="O12" i="5075"/>
  <c r="C12" i="5075"/>
  <c r="O11" i="5075"/>
  <c r="C11" i="5075"/>
  <c r="O10" i="5075"/>
  <c r="C10" i="5075"/>
  <c r="C9" i="5075"/>
  <c r="C8" i="5075"/>
  <c r="O7" i="5075"/>
  <c r="C7" i="5075"/>
  <c r="O6" i="5075"/>
  <c r="B6" i="5075"/>
  <c r="O5" i="5075"/>
  <c r="B5" i="5075"/>
  <c r="O4" i="5075"/>
  <c r="O3" i="5075"/>
  <c r="O2" i="5075"/>
  <c r="O18" i="5065"/>
  <c r="O18" i="5063"/>
  <c r="O20" i="5073"/>
  <c r="O18" i="5067"/>
  <c r="O19" i="5067"/>
  <c r="O19" i="5071"/>
  <c r="O19" i="5073"/>
  <c r="O21" i="5073"/>
  <c r="C27" i="5073"/>
  <c r="B24" i="5073"/>
  <c r="C20" i="5073"/>
  <c r="B17" i="5073"/>
  <c r="H51" i="5073" s="1"/>
  <c r="C16" i="5073"/>
  <c r="C15" i="5073"/>
  <c r="C14" i="5073"/>
  <c r="C13" i="5073"/>
  <c r="O12" i="5073"/>
  <c r="C12" i="5073"/>
  <c r="O11" i="5073"/>
  <c r="C11" i="5073"/>
  <c r="O10" i="5073"/>
  <c r="C10" i="5073"/>
  <c r="C9" i="5073"/>
  <c r="C8" i="5073"/>
  <c r="O7" i="5073"/>
  <c r="C7" i="5073"/>
  <c r="O6" i="5073"/>
  <c r="B6" i="5073"/>
  <c r="O5" i="5073"/>
  <c r="B5" i="5073"/>
  <c r="O4" i="5073"/>
  <c r="O3" i="5073"/>
  <c r="O2" i="5073"/>
  <c r="O21" i="5071"/>
  <c r="O18" i="5071"/>
  <c r="C27" i="5071"/>
  <c r="B24" i="5071"/>
  <c r="C20" i="5071"/>
  <c r="B17" i="5071"/>
  <c r="H51" i="5071" s="1"/>
  <c r="C16" i="5071"/>
  <c r="C15" i="5071"/>
  <c r="C14" i="5071"/>
  <c r="C13" i="5071"/>
  <c r="O12" i="5071"/>
  <c r="C12" i="5071"/>
  <c r="O11" i="5071"/>
  <c r="C11" i="5071"/>
  <c r="O10" i="5071"/>
  <c r="C10" i="5071"/>
  <c r="C9" i="5071"/>
  <c r="C8" i="5071"/>
  <c r="O7" i="5071"/>
  <c r="C7" i="5071"/>
  <c r="O6" i="5071"/>
  <c r="B6" i="5071"/>
  <c r="O5" i="5071"/>
  <c r="B5" i="5071"/>
  <c r="O4" i="5071"/>
  <c r="O3" i="5071"/>
  <c r="O2" i="5071"/>
  <c r="O20" i="5065"/>
  <c r="O23" i="5065"/>
  <c r="O21" i="5063"/>
  <c r="O20" i="5063"/>
  <c r="H5" i="5075" l="1"/>
  <c r="H11" i="5075"/>
  <c r="H36" i="5075"/>
  <c r="H37" i="5075"/>
  <c r="H37" i="5071"/>
  <c r="H45" i="5071"/>
  <c r="H15" i="5075"/>
  <c r="H20" i="5075"/>
  <c r="H46" i="5075"/>
  <c r="H12" i="5075"/>
  <c r="H2" i="5075"/>
  <c r="H45" i="5075"/>
  <c r="H25" i="5075"/>
  <c r="H29" i="5075"/>
  <c r="H9" i="5073"/>
  <c r="H18" i="5073"/>
  <c r="H7" i="5071"/>
  <c r="H10" i="5071"/>
  <c r="H16" i="5071"/>
  <c r="H13" i="5071"/>
  <c r="H20" i="5071"/>
  <c r="H36" i="5071"/>
  <c r="H47" i="5075"/>
  <c r="C17" i="5075"/>
  <c r="H48" i="5075"/>
  <c r="B23" i="5075"/>
  <c r="H8" i="5075"/>
  <c r="H21" i="5075"/>
  <c r="H27" i="5075"/>
  <c r="H18" i="5075"/>
  <c r="H7" i="5075"/>
  <c r="H14" i="5075"/>
  <c r="H28" i="5075"/>
  <c r="H32" i="5075"/>
  <c r="H41" i="5075"/>
  <c r="H50" i="5075"/>
  <c r="H3" i="5075"/>
  <c r="H38" i="5075"/>
  <c r="H31" i="5075"/>
  <c r="H40" i="5075"/>
  <c r="C18" i="5075"/>
  <c r="H4" i="5075"/>
  <c r="H9" i="5075"/>
  <c r="H24" i="5075"/>
  <c r="H33" i="5075"/>
  <c r="H42" i="5075"/>
  <c r="H19" i="5075"/>
  <c r="H17" i="5075"/>
  <c r="H10" i="5075"/>
  <c r="H39" i="5075"/>
  <c r="H16" i="5075"/>
  <c r="H49" i="5075"/>
  <c r="H22" i="5075"/>
  <c r="H23" i="5075"/>
  <c r="C19" i="5075"/>
  <c r="H13" i="5075"/>
  <c r="H34" i="5075"/>
  <c r="H44" i="5075"/>
  <c r="H6" i="5075"/>
  <c r="H26" i="5075"/>
  <c r="H30" i="5075"/>
  <c r="H35" i="5075"/>
  <c r="H43" i="5075"/>
  <c r="H39" i="5073"/>
  <c r="H14" i="5073"/>
  <c r="H40" i="5073"/>
  <c r="H11" i="5073"/>
  <c r="H20" i="5073"/>
  <c r="H15" i="5073"/>
  <c r="H6" i="5073"/>
  <c r="H23" i="5073"/>
  <c r="H30" i="5073"/>
  <c r="H46" i="5071"/>
  <c r="H22" i="5071"/>
  <c r="H15" i="5071"/>
  <c r="H47" i="5071"/>
  <c r="C17" i="5073"/>
  <c r="H26" i="5073"/>
  <c r="H3" i="5073"/>
  <c r="H45" i="5073"/>
  <c r="H8" i="5073"/>
  <c r="H27" i="5073"/>
  <c r="H36" i="5073"/>
  <c r="H47" i="5073"/>
  <c r="H2" i="5073"/>
  <c r="H31" i="5073"/>
  <c r="H21" i="5073"/>
  <c r="H32" i="5073"/>
  <c r="C18" i="5073"/>
  <c r="H19" i="5073"/>
  <c r="H24" i="5073"/>
  <c r="H12" i="5073"/>
  <c r="H48" i="5073"/>
  <c r="H44" i="5073"/>
  <c r="B23" i="5073"/>
  <c r="H17" i="5073"/>
  <c r="H46" i="5073"/>
  <c r="H7" i="5073"/>
  <c r="H22" i="5073"/>
  <c r="H37" i="5073"/>
  <c r="H5" i="5073"/>
  <c r="H10" i="5073"/>
  <c r="C19" i="5073"/>
  <c r="H38" i="5073"/>
  <c r="H4" i="5073"/>
  <c r="H16" i="5073"/>
  <c r="H28" i="5073"/>
  <c r="H33" i="5073"/>
  <c r="H41" i="5073"/>
  <c r="H49" i="5073"/>
  <c r="H25" i="5073"/>
  <c r="H29" i="5073"/>
  <c r="H34" i="5073"/>
  <c r="H42" i="5073"/>
  <c r="H50" i="5073"/>
  <c r="H13" i="5073"/>
  <c r="H35" i="5073"/>
  <c r="H43" i="5073"/>
  <c r="H2" i="5071"/>
  <c r="H9" i="5071"/>
  <c r="H17" i="5071"/>
  <c r="H31" i="5071"/>
  <c r="B23" i="5071"/>
  <c r="H49" i="5071"/>
  <c r="H6" i="5071"/>
  <c r="H21" i="5071"/>
  <c r="H23" i="5071"/>
  <c r="H18" i="5071"/>
  <c r="H41" i="5071"/>
  <c r="H50" i="5071"/>
  <c r="H38" i="5071"/>
  <c r="H8" i="5071"/>
  <c r="H28" i="5071"/>
  <c r="H48" i="5071"/>
  <c r="H32" i="5071"/>
  <c r="C18" i="5071"/>
  <c r="H11" i="5071"/>
  <c r="H26" i="5071"/>
  <c r="H42" i="5071"/>
  <c r="H19" i="5071"/>
  <c r="H4" i="5071"/>
  <c r="H14" i="5071"/>
  <c r="C17" i="5071"/>
  <c r="H39" i="5071"/>
  <c r="H25" i="5071"/>
  <c r="H40" i="5071"/>
  <c r="H29" i="5071"/>
  <c r="H3" i="5071"/>
  <c r="H33" i="5071"/>
  <c r="H24" i="5071"/>
  <c r="C19" i="5071"/>
  <c r="H12" i="5071"/>
  <c r="H34" i="5071"/>
  <c r="H44" i="5071"/>
  <c r="H5" i="5071"/>
  <c r="H27" i="5071"/>
  <c r="H30" i="5071"/>
  <c r="H35" i="5071"/>
  <c r="H43" i="5071"/>
  <c r="O16" i="5069" l="1"/>
  <c r="O19" i="5069"/>
  <c r="C27" i="5069"/>
  <c r="B24" i="5069"/>
  <c r="C20" i="5069"/>
  <c r="B17" i="5069"/>
  <c r="H50" i="5069" s="1"/>
  <c r="C16" i="5069"/>
  <c r="C15" i="5069"/>
  <c r="C14" i="5069"/>
  <c r="C13" i="5069"/>
  <c r="O12" i="5069"/>
  <c r="C12" i="5069"/>
  <c r="O11" i="5069"/>
  <c r="C11" i="5069"/>
  <c r="O10" i="5069"/>
  <c r="C10" i="5069"/>
  <c r="C9" i="5069"/>
  <c r="C8" i="5069"/>
  <c r="O7" i="5069"/>
  <c r="C7" i="5069"/>
  <c r="O6" i="5069"/>
  <c r="B6" i="5069"/>
  <c r="O5" i="5069"/>
  <c r="B5" i="5069"/>
  <c r="O4" i="5069"/>
  <c r="O3" i="5069"/>
  <c r="O2" i="5069"/>
  <c r="O21" i="5067"/>
  <c r="O17" i="5067"/>
  <c r="C27" i="5067"/>
  <c r="B24" i="5067"/>
  <c r="C20" i="5067"/>
  <c r="B17" i="5067"/>
  <c r="H18" i="5067" s="1"/>
  <c r="C16" i="5067"/>
  <c r="C15" i="5067"/>
  <c r="C14" i="5067"/>
  <c r="C13" i="5067"/>
  <c r="O12" i="5067"/>
  <c r="C12" i="5067"/>
  <c r="O11" i="5067"/>
  <c r="C11" i="5067"/>
  <c r="O10" i="5067"/>
  <c r="C10" i="5067"/>
  <c r="C9" i="5067"/>
  <c r="C8" i="5067"/>
  <c r="O7" i="5067"/>
  <c r="C7" i="5067"/>
  <c r="O6" i="5067"/>
  <c r="B6" i="5067"/>
  <c r="O5" i="5067"/>
  <c r="B5" i="5067"/>
  <c r="O4" i="5067"/>
  <c r="O3" i="5067"/>
  <c r="O2" i="5067"/>
  <c r="O23" i="5063"/>
  <c r="O16" i="5065"/>
  <c r="O22" i="5065"/>
  <c r="C27" i="5065"/>
  <c r="B24" i="5065"/>
  <c r="C20" i="5065"/>
  <c r="B17" i="5065"/>
  <c r="H51" i="5065" s="1"/>
  <c r="C16" i="5065"/>
  <c r="C15" i="5065"/>
  <c r="C14" i="5065"/>
  <c r="C13" i="5065"/>
  <c r="O12" i="5065"/>
  <c r="C12" i="5065"/>
  <c r="O11" i="5065"/>
  <c r="C11" i="5065"/>
  <c r="O10" i="5065"/>
  <c r="C10" i="5065"/>
  <c r="C9" i="5065"/>
  <c r="C8" i="5065"/>
  <c r="O7" i="5065"/>
  <c r="C7" i="5065"/>
  <c r="O6" i="5065"/>
  <c r="B6" i="5065"/>
  <c r="O5" i="5065"/>
  <c r="B5" i="5065"/>
  <c r="O4" i="5065"/>
  <c r="O3" i="5065"/>
  <c r="O2" i="5065"/>
  <c r="O15" i="5063"/>
  <c r="O19" i="5063"/>
  <c r="C27" i="5063"/>
  <c r="B24" i="5063"/>
  <c r="C20" i="5063"/>
  <c r="B17" i="5063"/>
  <c r="H51" i="5063" s="1"/>
  <c r="C16" i="5063"/>
  <c r="C15" i="5063"/>
  <c r="C14" i="5063"/>
  <c r="C13" i="5063"/>
  <c r="O12" i="5063"/>
  <c r="C12" i="5063"/>
  <c r="O11" i="5063"/>
  <c r="C11" i="5063"/>
  <c r="O10" i="5063"/>
  <c r="C10" i="5063"/>
  <c r="C9" i="5063"/>
  <c r="C8" i="5063"/>
  <c r="O7" i="5063"/>
  <c r="C7" i="5063"/>
  <c r="O6" i="5063"/>
  <c r="B6" i="5063"/>
  <c r="O5" i="5063"/>
  <c r="B5" i="5063"/>
  <c r="O4" i="5063"/>
  <c r="O3" i="5063"/>
  <c r="O2" i="5063"/>
  <c r="H19" i="5069" l="1"/>
  <c r="H35" i="5069"/>
  <c r="H36" i="5069"/>
  <c r="H4" i="5069"/>
  <c r="H15" i="5069"/>
  <c r="H12" i="5069"/>
  <c r="H21" i="5067"/>
  <c r="H13" i="5065"/>
  <c r="H7" i="5065"/>
  <c r="H23" i="5065"/>
  <c r="H45" i="5069"/>
  <c r="H23" i="5069"/>
  <c r="H44" i="5069"/>
  <c r="H17" i="5069"/>
  <c r="H10" i="5069"/>
  <c r="H10" i="5065"/>
  <c r="H14" i="5065"/>
  <c r="H7" i="5069"/>
  <c r="H46" i="5069"/>
  <c r="H18" i="5069"/>
  <c r="C17" i="5069"/>
  <c r="H47" i="5069"/>
  <c r="H16" i="5069"/>
  <c r="H24" i="5069"/>
  <c r="H28" i="5069"/>
  <c r="H31" i="5069"/>
  <c r="H6" i="5069"/>
  <c r="H25" i="5069"/>
  <c r="C18" i="5069"/>
  <c r="H29" i="5069"/>
  <c r="H32" i="5069"/>
  <c r="H40" i="5069"/>
  <c r="H49" i="5069"/>
  <c r="H2" i="5069"/>
  <c r="H37" i="5069"/>
  <c r="H8" i="5069"/>
  <c r="H30" i="5069"/>
  <c r="B23" i="5069"/>
  <c r="H39" i="5069"/>
  <c r="H3" i="5069"/>
  <c r="H26" i="5069"/>
  <c r="H21" i="5069"/>
  <c r="H41" i="5069"/>
  <c r="H51" i="5069"/>
  <c r="H11" i="5069"/>
  <c r="H38" i="5069"/>
  <c r="H48" i="5069"/>
  <c r="H22" i="5069"/>
  <c r="H9" i="5069"/>
  <c r="H14" i="5069"/>
  <c r="C19" i="5069"/>
  <c r="H13" i="5069"/>
  <c r="H33" i="5069"/>
  <c r="H43" i="5069"/>
  <c r="H5" i="5069"/>
  <c r="H27" i="5069"/>
  <c r="H20" i="5069"/>
  <c r="H34" i="5069"/>
  <c r="H42" i="5069"/>
  <c r="H3" i="5067"/>
  <c r="H32" i="5067"/>
  <c r="H31" i="5067"/>
  <c r="H4" i="5067"/>
  <c r="H34" i="5067"/>
  <c r="H16" i="5067"/>
  <c r="H2" i="5067"/>
  <c r="H42" i="5067"/>
  <c r="C17" i="5067"/>
  <c r="H10" i="5067"/>
  <c r="H29" i="5067"/>
  <c r="H50" i="5067"/>
  <c r="H17" i="5067"/>
  <c r="H24" i="5067"/>
  <c r="H11" i="5067"/>
  <c r="H37" i="5067"/>
  <c r="H45" i="5067"/>
  <c r="H5" i="5067"/>
  <c r="H6" i="5067"/>
  <c r="H22" i="5067"/>
  <c r="H28" i="5067"/>
  <c r="C18" i="5067"/>
  <c r="B23" i="5067"/>
  <c r="H33" i="5067"/>
  <c r="H38" i="5067"/>
  <c r="H46" i="5067"/>
  <c r="H47" i="5067"/>
  <c r="H23" i="5067"/>
  <c r="C19" i="5067"/>
  <c r="H26" i="5067"/>
  <c r="H40" i="5067"/>
  <c r="H48" i="5067"/>
  <c r="H39" i="5067"/>
  <c r="H9" i="5067"/>
  <c r="H7" i="5067"/>
  <c r="H12" i="5067"/>
  <c r="H19" i="5067"/>
  <c r="H14" i="5067"/>
  <c r="H13" i="5067"/>
  <c r="H27" i="5067"/>
  <c r="H41" i="5067"/>
  <c r="H49" i="5067"/>
  <c r="H30" i="5067"/>
  <c r="H25" i="5067"/>
  <c r="H35" i="5067"/>
  <c r="H43" i="5067"/>
  <c r="H51" i="5067"/>
  <c r="H8" i="5067"/>
  <c r="H20" i="5067"/>
  <c r="H15" i="5067"/>
  <c r="H36" i="5067"/>
  <c r="H44" i="5067"/>
  <c r="H36" i="5063"/>
  <c r="H24" i="5063"/>
  <c r="H12" i="5063"/>
  <c r="H6" i="5063"/>
  <c r="H10" i="5063"/>
  <c r="H16" i="5063"/>
  <c r="H37" i="5063"/>
  <c r="H26" i="5063"/>
  <c r="H15" i="5063"/>
  <c r="H45" i="5065"/>
  <c r="H17" i="5065"/>
  <c r="H36" i="5065"/>
  <c r="H37" i="5065"/>
  <c r="H28" i="5065"/>
  <c r="H15" i="5065"/>
  <c r="H46" i="5065"/>
  <c r="H47" i="5065"/>
  <c r="H9" i="5065"/>
  <c r="H8" i="5065"/>
  <c r="H32" i="5065"/>
  <c r="H48" i="5065"/>
  <c r="H19" i="5065"/>
  <c r="H2" i="5065"/>
  <c r="H3" i="5065"/>
  <c r="H38" i="5065"/>
  <c r="H21" i="5065"/>
  <c r="H24" i="5065"/>
  <c r="H18" i="5065"/>
  <c r="H49" i="5065"/>
  <c r="H6" i="5065"/>
  <c r="H29" i="5065"/>
  <c r="H33" i="5065"/>
  <c r="H41" i="5065"/>
  <c r="H4" i="5065"/>
  <c r="H11" i="5065"/>
  <c r="H30" i="5065"/>
  <c r="H26" i="5065"/>
  <c r="H42" i="5065"/>
  <c r="H16" i="5065"/>
  <c r="C17" i="5065"/>
  <c r="H39" i="5065"/>
  <c r="B23" i="5065"/>
  <c r="H40" i="5065"/>
  <c r="H20" i="5065"/>
  <c r="C18" i="5065"/>
  <c r="H25" i="5065"/>
  <c r="H50" i="5065"/>
  <c r="H22" i="5065"/>
  <c r="C19" i="5065"/>
  <c r="H12" i="5065"/>
  <c r="H35" i="5065"/>
  <c r="H44" i="5065"/>
  <c r="H5" i="5065"/>
  <c r="H31" i="5065"/>
  <c r="H34" i="5065"/>
  <c r="H27" i="5065"/>
  <c r="H43" i="5065"/>
  <c r="H45" i="5063"/>
  <c r="H47" i="5063"/>
  <c r="H8" i="5063"/>
  <c r="C17" i="5063"/>
  <c r="H30" i="5063"/>
  <c r="H48" i="5063"/>
  <c r="H19" i="5063"/>
  <c r="H40" i="5063"/>
  <c r="H7" i="5063"/>
  <c r="H21" i="5063"/>
  <c r="C18" i="5063"/>
  <c r="H41" i="5063"/>
  <c r="H4" i="5063"/>
  <c r="H11" i="5063"/>
  <c r="H33" i="5063"/>
  <c r="H25" i="5063"/>
  <c r="H42" i="5063"/>
  <c r="H18" i="5063"/>
  <c r="H46" i="5063"/>
  <c r="H2" i="5063"/>
  <c r="H3" i="5063"/>
  <c r="H14" i="5063"/>
  <c r="H9" i="5063"/>
  <c r="H38" i="5063"/>
  <c r="H20" i="5063"/>
  <c r="H28" i="5063"/>
  <c r="H39" i="5063"/>
  <c r="B23" i="5063"/>
  <c r="H17" i="5063"/>
  <c r="H49" i="5063"/>
  <c r="H32" i="5063"/>
  <c r="H29" i="5063"/>
  <c r="H22" i="5063"/>
  <c r="H50" i="5063"/>
  <c r="H23" i="5063"/>
  <c r="C19" i="5063"/>
  <c r="H13" i="5063"/>
  <c r="H35" i="5063"/>
  <c r="H44" i="5063"/>
  <c r="H5" i="5063"/>
  <c r="H34" i="5063"/>
  <c r="H27" i="5063"/>
  <c r="H31" i="5063"/>
  <c r="H43" i="5063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<sst xmlns="http://schemas.openxmlformats.org/spreadsheetml/2006/main" count="2712" uniqueCount="219">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</sst>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全体!$K$2:$K$374</c:f>
              <c:numCache>
                <c:formatCode>General</c:formatCode>
                <c:ptCount val="3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</c:numCache>
            </c:numRef>
          </c:xVal>
          <c:yVal>
            <c:numRef>
              <c:f>全体!$L$2:$L$374</c:f>
              <c:numCache>
                <c:formatCode>\+0.0;\-0.0;\±0</c:formatCode>
                <c:ptCount val="373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0-4B6E-9E0B-6B7C492FBA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-13.440860215053764</c:v>
                </c:pt>
                <c:pt idx="1">
                  <c:v>-13.550135501355014</c:v>
                </c:pt>
                <c:pt idx="2">
                  <c:v>11.494252873563218</c:v>
                </c:pt>
                <c:pt idx="3">
                  <c:v>15.723270440251572</c:v>
                </c:pt>
                <c:pt idx="4">
                  <c:v>-17.182130584192439</c:v>
                </c:pt>
                <c:pt idx="5">
                  <c:v>22.222222222222221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8C-44EE-99C6-DD646E16E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だいち!$L$2:$L$88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E-49D2-B839-A01C3FA0EC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2596.5116279069766</c:v>
                </c:pt>
                <c:pt idx="1">
                  <c:v>2935.294117647059</c:v>
                </c:pt>
                <c:pt idx="2">
                  <c:v>2459.2592592592591</c:v>
                </c:pt>
                <c:pt idx="3">
                  <c:v>2674.3243243243242</c:v>
                </c:pt>
                <c:pt idx="4">
                  <c:v>-86.36363636363636</c:v>
                </c:pt>
                <c:pt idx="5">
                  <c:v>1327.8688524590164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04-4656-AF19-A3EE078D7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りくと!$K$2:$K$93</c:f>
              <c:numCache>
                <c:formatCode>General</c:formatCode>
                <c:ptCount val="9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</c:numCache>
            </c:numRef>
          </c:xVal>
          <c:yVal>
            <c:numRef>
              <c:f>りくと!$L$2:$L$93</c:f>
              <c:numCache>
                <c:formatCode>\+0.0;\-0.0;\±0</c:formatCode>
                <c:ptCount val="92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FD-46B7-BA9F-822954EA0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892.30769230769226</c:v>
                </c:pt>
                <c:pt idx="1">
                  <c:v>-2286.6666666666665</c:v>
                </c:pt>
                <c:pt idx="2">
                  <c:v>-1285.0574712643679</c:v>
                </c:pt>
                <c:pt idx="3">
                  <c:v>816.45569620253161</c:v>
                </c:pt>
                <c:pt idx="4">
                  <c:v>320.83333333333331</c:v>
                </c:pt>
                <c:pt idx="5">
                  <c:v>401.49253731343282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A-4E5C-9A47-396E11CD2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56-4D01-9ECB-E43A490BC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-2886.4864864864867</c:v>
                </c:pt>
                <c:pt idx="1">
                  <c:v>-3205.4054054054054</c:v>
                </c:pt>
                <c:pt idx="2">
                  <c:v>-1117.6470588235295</c:v>
                </c:pt>
                <c:pt idx="3">
                  <c:v>-6886.2068965517237</c:v>
                </c:pt>
                <c:pt idx="4">
                  <c:v>-1003.8461538461538</c:v>
                </c:pt>
                <c:pt idx="5">
                  <c:v>-1616.6666666666667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08-4A8F-AFE9-1B642118C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れんたろう!$L$2:$L$49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1B-4F6E-82C7-93FDBD3DB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144.68085106382978</c:v>
                </c:pt>
                <c:pt idx="1">
                  <c:v>744.68085106382978</c:v>
                </c:pt>
                <c:pt idx="2">
                  <c:v>-93.333333333333329</c:v>
                </c:pt>
                <c:pt idx="3">
                  <c:v>2017.948717948718</c:v>
                </c:pt>
                <c:pt idx="4">
                  <c:v>-1500</c:v>
                </c:pt>
                <c:pt idx="5">
                  <c:v>-217.64705882352942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79-4F42-A5DD-86BBCF8EB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たかの!$K$2:$K$44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</c:numCache>
            </c:numRef>
          </c:xVal>
          <c:yVal>
            <c:numRef>
              <c:f>たかの!$L$2:$L$44</c:f>
              <c:numCache>
                <c:formatCode>\+0.0;\-0.0;\±0</c:formatCode>
                <c:ptCount val="4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1F-4DE7-A2D1-284489786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1157.1428571428571</c:v>
                </c:pt>
                <c:pt idx="1">
                  <c:v>-290.47619047619048</c:v>
                </c:pt>
                <c:pt idx="2">
                  <c:v>505.40540540540542</c:v>
                </c:pt>
                <c:pt idx="3">
                  <c:v>934.28571428571433</c:v>
                </c:pt>
                <c:pt idx="4">
                  <c:v>73.529411764705884</c:v>
                </c:pt>
                <c:pt idx="5">
                  <c:v>-1403.3333333333333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26-478A-963F-4008765F0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ぱぱ!$L$2:$L$37</c:f>
              <c:numCache>
                <c:formatCode>\+0.0;\-0.0;\±0</c:formatCode>
                <c:ptCount val="36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F5-461F-B9B8-CF929DD7BD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-3080</c:v>
                </c:pt>
                <c:pt idx="1">
                  <c:v>1965.7142857142858</c:v>
                </c:pt>
                <c:pt idx="2">
                  <c:v>-884.84848484848487</c:v>
                </c:pt>
                <c:pt idx="3">
                  <c:v>-4461.2903225806449</c:v>
                </c:pt>
                <c:pt idx="4">
                  <c:v>828.57142857142856</c:v>
                </c:pt>
                <c:pt idx="5">
                  <c:v>681.48148148148152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6D-4A5D-90E5-3094BD7B68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1-455B-B9CC-BF66FA844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-425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72-46DC-BCDC-9009FB4A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17-4FA3-96CA-94AB1CD12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2A-49FB-80DF-243FD96A1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07-4944-BF18-052D3FD5E2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8-4EB3-8BF3-8E96D8112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AF-4B02-9277-B87D402780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D-4246-B70A-D0379A1D5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9801495432811862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69932672925050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308880308880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953667953667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48.30148619957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16.47509578544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46236559139784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462365591397844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059202059202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846846846846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858501783590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2916053019145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7367303609341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3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5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0.79426124268909148</v>
      </c>
      <c r="G2" s="159"/>
      <c r="H2" s="158">
        <v>0.85857422432707142</v>
      </c>
      <c r="I2" s="159"/>
      <c r="J2" s="158">
        <v>0.65719322509437306</v>
      </c>
      <c r="K2" s="159"/>
      <c r="L2" s="158">
        <v>0.58346409683835876</v>
      </c>
      <c r="M2" s="159"/>
      <c r="N2" s="158">
        <v>0.340806202658757</v>
      </c>
      <c r="O2" s="159"/>
      <c r="P2" s="158">
        <v>0.60161039986251275</v>
      </c>
      <c r="Q2" s="159"/>
      <c r="R2" s="158">
        <v>-3.2330588980513192E-2</v>
      </c>
      <c r="S2" s="159"/>
      <c r="T2" s="158">
        <v>0.38045774440260094</v>
      </c>
      <c r="U2" s="159"/>
      <c r="V2" s="158">
        <v>0.77491348465569476</v>
      </c>
      <c r="W2" s="159"/>
      <c r="X2" s="158">
        <v>0.94575028036905107</v>
      </c>
      <c r="Y2" s="159"/>
      <c r="Z2" s="158">
        <v>-0.13510712657724133</v>
      </c>
      <c r="AA2" s="159"/>
      <c r="AB2" s="158">
        <v>0.3982007904725906</v>
      </c>
      <c r="AC2" s="159"/>
      <c r="AD2" s="158">
        <v>0.52562494259077075</v>
      </c>
      <c r="AE2" s="159"/>
      <c r="AF2" s="158">
        <v>-4.0855263437076864E-2</v>
      </c>
      <c r="AG2" s="159"/>
      <c r="AH2" s="158">
        <v>0.87414046596165107</v>
      </c>
      <c r="AI2" s="159"/>
    </row>
    <row r="3" spans="1:35" x14ac:dyDescent="0.4">
      <c r="A3" s="74">
        <v>1</v>
      </c>
      <c r="B3" s="75" t="s">
        <v>127</v>
      </c>
      <c r="C3" s="76">
        <v>1610.200000000001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0.38218390804597702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0.1744186046511628</v>
      </c>
      <c r="X3" s="77" t="s">
        <v>127</v>
      </c>
      <c r="Y3" s="80">
        <v>0.33333333333333331</v>
      </c>
      <c r="Z3" s="77" t="s">
        <v>172</v>
      </c>
      <c r="AA3" s="80">
        <v>0.29891304347826086</v>
      </c>
      <c r="AB3" s="77" t="s">
        <v>186</v>
      </c>
      <c r="AC3" s="80">
        <v>0.66666666666666663</v>
      </c>
      <c r="AD3" s="77" t="s">
        <v>127</v>
      </c>
      <c r="AE3" s="80">
        <v>0.54320987654320985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18.7232558139535</v>
      </c>
      <c r="F4" s="85" t="s">
        <v>127</v>
      </c>
      <c r="G4" s="86">
        <v>1.6162790697674418</v>
      </c>
      <c r="H4" s="85" t="s">
        <v>127</v>
      </c>
      <c r="I4" s="87">
        <v>0.56976744186046513</v>
      </c>
      <c r="J4" s="85" t="s">
        <v>202</v>
      </c>
      <c r="K4" s="87">
        <v>0</v>
      </c>
      <c r="L4" s="85" t="s">
        <v>172</v>
      </c>
      <c r="M4" s="88">
        <v>0.36684782608695654</v>
      </c>
      <c r="N4" s="85" t="s">
        <v>172</v>
      </c>
      <c r="O4" s="88">
        <v>0.1358695652173913</v>
      </c>
      <c r="P4" s="85" t="s">
        <v>171</v>
      </c>
      <c r="Q4" s="89">
        <v>9392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171</v>
      </c>
      <c r="W4" s="87">
        <v>0.1276595744680851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0.61363636363636365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42.300000000000004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0.18604651162790697</v>
      </c>
      <c r="L5" s="85" t="s">
        <v>173</v>
      </c>
      <c r="M5" s="88">
        <v>0.30769230769230771</v>
      </c>
      <c r="N5" s="85" t="s">
        <v>171</v>
      </c>
      <c r="O5" s="88">
        <v>0.15577889447236182</v>
      </c>
      <c r="P5" s="85" t="s">
        <v>127</v>
      </c>
      <c r="Q5" s="89">
        <v>9200.7518796992481</v>
      </c>
      <c r="R5" s="85" t="s">
        <v>171</v>
      </c>
      <c r="S5" s="89">
        <v>-7070.9677419354839</v>
      </c>
      <c r="T5" s="85" t="s">
        <v>171</v>
      </c>
      <c r="U5" s="87">
        <v>2.1276595744680851E-2</v>
      </c>
      <c r="V5" s="85" t="s">
        <v>172</v>
      </c>
      <c r="W5" s="87">
        <v>0.11904761904761904</v>
      </c>
      <c r="X5" s="85" t="s">
        <v>128</v>
      </c>
      <c r="Y5" s="88">
        <v>0.28871391076115488</v>
      </c>
      <c r="Z5" s="85" t="s">
        <v>177</v>
      </c>
      <c r="AA5" s="88">
        <v>0.25503355704697989</v>
      </c>
      <c r="AB5" s="85" t="s">
        <v>173</v>
      </c>
      <c r="AC5" s="88">
        <v>0.60563380281690138</v>
      </c>
      <c r="AD5" s="85" t="s">
        <v>186</v>
      </c>
      <c r="AE5" s="88">
        <v>0.46666666666666667</v>
      </c>
      <c r="AF5" s="85" t="s">
        <v>173</v>
      </c>
      <c r="AG5" s="88">
        <v>0.52083333333333337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1.0071428571428573</v>
      </c>
      <c r="F6" s="85" t="s">
        <v>145</v>
      </c>
      <c r="G6" s="86">
        <v>2</v>
      </c>
      <c r="H6" s="85" t="s">
        <v>172</v>
      </c>
      <c r="I6" s="87">
        <v>0.2857142857142857</v>
      </c>
      <c r="J6" s="85" t="s">
        <v>128</v>
      </c>
      <c r="K6" s="87">
        <v>0.32967032967032966</v>
      </c>
      <c r="L6" s="85" t="s">
        <v>145</v>
      </c>
      <c r="M6" s="88">
        <v>0.30308880308880309</v>
      </c>
      <c r="N6" s="85" t="s">
        <v>127</v>
      </c>
      <c r="O6" s="88">
        <v>0.15948275862068967</v>
      </c>
      <c r="P6" s="85" t="s">
        <v>128</v>
      </c>
      <c r="Q6" s="89">
        <v>9094.4444444444453</v>
      </c>
      <c r="R6" s="85" t="s">
        <v>177</v>
      </c>
      <c r="S6" s="89">
        <v>-7093.1034482758623</v>
      </c>
      <c r="T6" s="85" t="s">
        <v>172</v>
      </c>
      <c r="U6" s="87">
        <v>4.7619047619047616E-2</v>
      </c>
      <c r="V6" s="85" t="s">
        <v>145</v>
      </c>
      <c r="W6" s="87">
        <v>9.9462365591397844E-2</v>
      </c>
      <c r="X6" s="85" t="s">
        <v>145</v>
      </c>
      <c r="Y6" s="88">
        <v>0.27059202059202059</v>
      </c>
      <c r="Z6" s="85" t="s">
        <v>173</v>
      </c>
      <c r="AA6" s="88">
        <v>0.25320512820512819</v>
      </c>
      <c r="AB6" s="85" t="s">
        <v>185</v>
      </c>
      <c r="AC6" s="88">
        <v>0.6</v>
      </c>
      <c r="AD6" s="85" t="s">
        <v>172</v>
      </c>
      <c r="AE6" s="88">
        <v>0.41818181818181815</v>
      </c>
      <c r="AF6" s="85" t="s">
        <v>129</v>
      </c>
      <c r="AG6" s="88">
        <v>0.49206349206349204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3.9801495432811862E-14</v>
      </c>
      <c r="D7" s="85" t="s">
        <v>145</v>
      </c>
      <c r="E7" s="97">
        <v>1.0699326729250501E-16</v>
      </c>
      <c r="F7" s="85" t="s">
        <v>128</v>
      </c>
      <c r="G7" s="86">
        <v>2.0659340659340661</v>
      </c>
      <c r="H7" s="85" t="s">
        <v>171</v>
      </c>
      <c r="I7" s="87">
        <v>0.27659574468085107</v>
      </c>
      <c r="J7" s="85" t="s">
        <v>145</v>
      </c>
      <c r="K7" s="87">
        <v>0.33333333333333331</v>
      </c>
      <c r="L7" s="85" t="s">
        <v>128</v>
      </c>
      <c r="M7" s="88">
        <v>0.28346456692913385</v>
      </c>
      <c r="N7" s="85" t="s">
        <v>202</v>
      </c>
      <c r="O7" s="88">
        <v>0.16666666666666666</v>
      </c>
      <c r="P7" s="85" t="s">
        <v>129</v>
      </c>
      <c r="Q7" s="89">
        <v>8457.1428571428569</v>
      </c>
      <c r="R7" s="85" t="s">
        <v>127</v>
      </c>
      <c r="S7" s="89">
        <v>-7783.7837837837842</v>
      </c>
      <c r="T7" s="85" t="s">
        <v>127</v>
      </c>
      <c r="U7" s="87">
        <v>5.8139534883720929E-2</v>
      </c>
      <c r="V7" s="85" t="s">
        <v>128</v>
      </c>
      <c r="W7" s="87">
        <v>7.6923076923076927E-2</v>
      </c>
      <c r="X7" s="85" t="s">
        <v>185</v>
      </c>
      <c r="Y7" s="88">
        <v>0.26315789473684209</v>
      </c>
      <c r="Z7" s="85" t="s">
        <v>127</v>
      </c>
      <c r="AA7" s="88">
        <v>0.23275862068965517</v>
      </c>
      <c r="AB7" s="85" t="s">
        <v>127</v>
      </c>
      <c r="AC7" s="88">
        <v>0.59482758620689657</v>
      </c>
      <c r="AD7" s="85" t="s">
        <v>145</v>
      </c>
      <c r="AE7" s="88">
        <v>0.38291605301914583</v>
      </c>
      <c r="AF7" s="85" t="s">
        <v>145</v>
      </c>
      <c r="AG7" s="88">
        <v>0.43736730360934184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-33.1</v>
      </c>
      <c r="D8" s="85" t="s">
        <v>171</v>
      </c>
      <c r="E8" s="97">
        <v>-0.70425531914893624</v>
      </c>
      <c r="F8" s="85" t="s">
        <v>172</v>
      </c>
      <c r="G8" s="86">
        <v>2.0714285714285716</v>
      </c>
      <c r="H8" s="85" t="s">
        <v>128</v>
      </c>
      <c r="I8" s="87">
        <v>0.26373626373626374</v>
      </c>
      <c r="J8" s="85" t="s">
        <v>173</v>
      </c>
      <c r="K8" s="87">
        <v>0.34285714285714286</v>
      </c>
      <c r="L8" s="85" t="s">
        <v>185</v>
      </c>
      <c r="M8" s="88">
        <v>0.26315789473684209</v>
      </c>
      <c r="N8" s="85" t="s">
        <v>145</v>
      </c>
      <c r="O8" s="88">
        <v>0.16795366795366795</v>
      </c>
      <c r="P8" s="85" t="s">
        <v>145</v>
      </c>
      <c r="Q8" s="89">
        <v>8448.3014861995762</v>
      </c>
      <c r="R8" s="85" t="s">
        <v>128</v>
      </c>
      <c r="S8" s="89">
        <v>-7871.3178294573645</v>
      </c>
      <c r="T8" s="85" t="s">
        <v>145</v>
      </c>
      <c r="U8" s="87">
        <v>9.9462365591397844E-2</v>
      </c>
      <c r="V8" s="85" t="s">
        <v>173</v>
      </c>
      <c r="W8" s="87">
        <v>5.7142857142857141E-2</v>
      </c>
      <c r="X8" s="85" t="s">
        <v>171</v>
      </c>
      <c r="Y8" s="88">
        <v>0.25879396984924624</v>
      </c>
      <c r="Z8" s="85" t="s">
        <v>186</v>
      </c>
      <c r="AA8" s="88">
        <v>0.22058823529411764</v>
      </c>
      <c r="AB8" s="85" t="s">
        <v>172</v>
      </c>
      <c r="AC8" s="88">
        <v>0.59302325581395354</v>
      </c>
      <c r="AD8" s="85" t="s">
        <v>177</v>
      </c>
      <c r="AE8" s="88">
        <v>0.36842105263157893</v>
      </c>
      <c r="AF8" s="85" t="s">
        <v>127</v>
      </c>
      <c r="AG8" s="88">
        <v>0.43233082706766918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186</v>
      </c>
      <c r="C9" s="84">
        <v>-170.5</v>
      </c>
      <c r="D9" s="85" t="s">
        <v>128</v>
      </c>
      <c r="E9" s="97">
        <v>-2.6582417582417581</v>
      </c>
      <c r="F9" s="85" t="s">
        <v>171</v>
      </c>
      <c r="G9" s="86">
        <v>2.0851063829787235</v>
      </c>
      <c r="H9" s="85" t="s">
        <v>177</v>
      </c>
      <c r="I9" s="87">
        <v>0.26315789473684209</v>
      </c>
      <c r="J9" s="85" t="s">
        <v>172</v>
      </c>
      <c r="K9" s="87">
        <v>0.35714285714285715</v>
      </c>
      <c r="L9" s="85" t="s">
        <v>171</v>
      </c>
      <c r="M9" s="88">
        <v>0.25125628140703515</v>
      </c>
      <c r="N9" s="85" t="s">
        <v>128</v>
      </c>
      <c r="O9" s="88">
        <v>0.16929133858267717</v>
      </c>
      <c r="P9" s="85" t="s">
        <v>185</v>
      </c>
      <c r="Q9" s="89">
        <v>7860</v>
      </c>
      <c r="R9" s="85" t="s">
        <v>173</v>
      </c>
      <c r="S9" s="89">
        <v>-7934.4827586206893</v>
      </c>
      <c r="T9" s="85" t="s">
        <v>173</v>
      </c>
      <c r="U9" s="87">
        <v>0.11428571428571428</v>
      </c>
      <c r="V9" s="85" t="s">
        <v>129</v>
      </c>
      <c r="W9" s="87">
        <v>5.4054054054054057E-2</v>
      </c>
      <c r="X9" s="85" t="s">
        <v>129</v>
      </c>
      <c r="Y9" s="88">
        <v>0.24666666666666667</v>
      </c>
      <c r="Z9" s="85" t="s">
        <v>145</v>
      </c>
      <c r="AA9" s="88">
        <v>0.21846846846846846</v>
      </c>
      <c r="AB9" s="85" t="s">
        <v>145</v>
      </c>
      <c r="AC9" s="88">
        <v>0.58858501783590966</v>
      </c>
      <c r="AD9" s="85" t="s">
        <v>171</v>
      </c>
      <c r="AE9" s="88">
        <v>0.35294117647058826</v>
      </c>
      <c r="AF9" s="85" t="s">
        <v>172</v>
      </c>
      <c r="AG9" s="88">
        <v>0.42962962962962964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173</v>
      </c>
      <c r="C10" s="84">
        <v>-224.9</v>
      </c>
      <c r="D10" s="85" t="s">
        <v>173</v>
      </c>
      <c r="E10" s="97">
        <v>-6.4257142857142862</v>
      </c>
      <c r="F10" s="85" t="s">
        <v>173</v>
      </c>
      <c r="G10" s="86">
        <v>2.0857142857142859</v>
      </c>
      <c r="H10" s="85" t="s">
        <v>173</v>
      </c>
      <c r="I10" s="87">
        <v>0.25714285714285712</v>
      </c>
      <c r="J10" s="85" t="s">
        <v>171</v>
      </c>
      <c r="K10" s="87">
        <v>0.36170212765957449</v>
      </c>
      <c r="L10" s="85" t="s">
        <v>186</v>
      </c>
      <c r="M10" s="88">
        <v>0.25</v>
      </c>
      <c r="N10" s="85" t="s">
        <v>173</v>
      </c>
      <c r="O10" s="88">
        <v>0.1858974358974359</v>
      </c>
      <c r="P10" s="85" t="s">
        <v>177</v>
      </c>
      <c r="Q10" s="89">
        <v>7431.4285714285716</v>
      </c>
      <c r="R10" s="85" t="s">
        <v>145</v>
      </c>
      <c r="S10" s="89">
        <v>-8016.4750957854403</v>
      </c>
      <c r="T10" s="85" t="s">
        <v>186</v>
      </c>
      <c r="U10" s="87">
        <v>0.125</v>
      </c>
      <c r="V10" s="85" t="s">
        <v>177</v>
      </c>
      <c r="W10" s="87">
        <v>0</v>
      </c>
      <c r="X10" s="85" t="s">
        <v>172</v>
      </c>
      <c r="Y10" s="88">
        <v>0.23369565217391305</v>
      </c>
      <c r="Z10" s="85" t="s">
        <v>185</v>
      </c>
      <c r="AA10" s="88">
        <v>0.21052631578947367</v>
      </c>
      <c r="AB10" s="85" t="s">
        <v>171</v>
      </c>
      <c r="AC10" s="88">
        <v>0.57281553398058249</v>
      </c>
      <c r="AD10" s="85" t="s">
        <v>173</v>
      </c>
      <c r="AE10" s="88">
        <v>0.34177215189873417</v>
      </c>
      <c r="AF10" s="85" t="s">
        <v>128</v>
      </c>
      <c r="AG10" s="88">
        <v>0.42129629629629628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177</v>
      </c>
      <c r="C11" s="84">
        <v>-235.6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202</v>
      </c>
      <c r="M11" s="88">
        <v>0.25</v>
      </c>
      <c r="N11" s="85" t="s">
        <v>129</v>
      </c>
      <c r="O11" s="88">
        <v>0.19333333333333333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128</v>
      </c>
      <c r="U11" s="87">
        <v>0.13186813186813187</v>
      </c>
      <c r="V11" s="85" t="s">
        <v>185</v>
      </c>
      <c r="W11" s="87">
        <v>0</v>
      </c>
      <c r="X11" s="85" t="s">
        <v>173</v>
      </c>
      <c r="Y11" s="88">
        <v>0.22756410256410256</v>
      </c>
      <c r="Z11" s="85" t="s">
        <v>128</v>
      </c>
      <c r="AA11" s="88">
        <v>0.19553805774278216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128</v>
      </c>
      <c r="C12" s="84">
        <v>-241.9</v>
      </c>
      <c r="D12" s="85" t="s">
        <v>186</v>
      </c>
      <c r="E12" s="97">
        <v>-21.3125</v>
      </c>
      <c r="F12" s="85" t="s">
        <v>186</v>
      </c>
      <c r="G12" s="86">
        <v>2.375</v>
      </c>
      <c r="H12" s="85" t="s">
        <v>202</v>
      </c>
      <c r="I12" s="87">
        <v>0.25</v>
      </c>
      <c r="J12" s="85" t="s">
        <v>129</v>
      </c>
      <c r="K12" s="87">
        <v>0.56756756756756754</v>
      </c>
      <c r="L12" s="85" t="s">
        <v>177</v>
      </c>
      <c r="M12" s="88">
        <v>0.2348993288590604</v>
      </c>
      <c r="N12" s="85" t="s">
        <v>177</v>
      </c>
      <c r="O12" s="88">
        <v>0.19463087248322147</v>
      </c>
      <c r="P12" s="85" t="s">
        <v>173</v>
      </c>
      <c r="Q12" s="89">
        <v>6813.541666666667</v>
      </c>
      <c r="R12" s="85" t="s">
        <v>172</v>
      </c>
      <c r="S12" s="89">
        <v>-8898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0.17085427135678391</v>
      </c>
      <c r="AB12" s="85" t="s">
        <v>177</v>
      </c>
      <c r="AC12" s="88">
        <v>0.51851851851851849</v>
      </c>
      <c r="AD12" s="85" t="s">
        <v>128</v>
      </c>
      <c r="AE12" s="88">
        <v>0.27516778523489932</v>
      </c>
      <c r="AF12" s="85" t="s">
        <v>171</v>
      </c>
      <c r="AG12" s="88">
        <v>0.37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-826.89999999999986</v>
      </c>
      <c r="D13" s="85" t="s">
        <v>129</v>
      </c>
      <c r="E13" s="97">
        <v>-22.348648648648645</v>
      </c>
      <c r="F13" s="85" t="s">
        <v>129</v>
      </c>
      <c r="G13" s="86">
        <v>2.3783783783783785</v>
      </c>
      <c r="H13" s="85" t="s">
        <v>129</v>
      </c>
      <c r="I13" s="87">
        <v>0.1891891891891892</v>
      </c>
      <c r="J13" s="85" t="s">
        <v>186</v>
      </c>
      <c r="K13" s="87">
        <v>0.625</v>
      </c>
      <c r="L13" s="85" t="s">
        <v>129</v>
      </c>
      <c r="M13" s="88">
        <v>0.21</v>
      </c>
      <c r="N13" s="85" t="s">
        <v>186</v>
      </c>
      <c r="O13" s="88">
        <v>0.25</v>
      </c>
      <c r="P13" s="85" t="s">
        <v>172</v>
      </c>
      <c r="Q13" s="89">
        <v>6739.2592592592591</v>
      </c>
      <c r="R13" s="85" t="s">
        <v>129</v>
      </c>
      <c r="S13" s="89">
        <v>-9810.3448275862065</v>
      </c>
      <c r="T13" s="85" t="s">
        <v>129</v>
      </c>
      <c r="U13" s="87">
        <v>0.21621621621621623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0.14666666666666667</v>
      </c>
      <c r="AB13" s="85" t="s">
        <v>129</v>
      </c>
      <c r="AC13" s="88">
        <v>0.51351351351351349</v>
      </c>
      <c r="AD13" s="85" t="s">
        <v>129</v>
      </c>
      <c r="AE13" s="88">
        <v>0.18181818181818182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739C1-2883-4008-BBB6-BB90BA77D1FA}">
  <sheetPr codeName="Sheet4"/>
  <dimension ref="A1:Q37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372</v>
      </c>
      <c r="C2" s="147"/>
      <c r="E2" s="62" t="s">
        <v>67</v>
      </c>
      <c r="F2" s="59" t="s">
        <v>23</v>
      </c>
      <c r="G2" s="46">
        <v>699</v>
      </c>
      <c r="H2" s="132">
        <f>IF(B$17=0,0,G2/B$17)</f>
        <v>0.7420382165605095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-13.440860215053764</v>
      </c>
      <c r="P2" s="118">
        <v>372</v>
      </c>
      <c r="Q2" s="102">
        <v>-5000</v>
      </c>
    </row>
    <row r="3" spans="1:17" x14ac:dyDescent="0.4">
      <c r="A3" s="55" t="s">
        <v>8</v>
      </c>
      <c r="B3" s="148">
        <v>3108</v>
      </c>
      <c r="C3" s="149"/>
      <c r="E3" s="63" t="s">
        <v>73</v>
      </c>
      <c r="F3" s="60" t="s">
        <v>28</v>
      </c>
      <c r="G3" s="47">
        <v>499</v>
      </c>
      <c r="H3" s="133">
        <f>IF(B$17=0,0,G3/B$17)</f>
        <v>0.52972399150743099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-13.550135501355014</v>
      </c>
      <c r="P3" s="119">
        <v>369</v>
      </c>
      <c r="Q3" s="103">
        <v>-5000</v>
      </c>
    </row>
    <row r="4" spans="1:17" x14ac:dyDescent="0.4">
      <c r="A4" s="55" t="s">
        <v>6</v>
      </c>
      <c r="B4" s="150">
        <v>3.9801495432811862E-14</v>
      </c>
      <c r="C4" s="151"/>
      <c r="E4" s="63" t="s">
        <v>65</v>
      </c>
      <c r="F4" s="60" t="s">
        <v>21</v>
      </c>
      <c r="G4" s="47">
        <v>469</v>
      </c>
      <c r="H4" s="133">
        <f>IF(B$17=0,0,G4/B$17)</f>
        <v>0.49787685774946921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11.494252873563218</v>
      </c>
      <c r="P4" s="119">
        <v>348</v>
      </c>
      <c r="Q4" s="103">
        <v>4000</v>
      </c>
    </row>
    <row r="5" spans="1:17" x14ac:dyDescent="0.4">
      <c r="A5" s="55" t="s">
        <v>7</v>
      </c>
      <c r="B5" s="152">
        <f>IF(B$2=0,0,B$4/B$2)</f>
        <v>1.0699326729250501E-16</v>
      </c>
      <c r="C5" s="153"/>
      <c r="E5" s="63" t="s">
        <v>181</v>
      </c>
      <c r="F5" s="60" t="s">
        <v>182</v>
      </c>
      <c r="G5" s="47">
        <v>371</v>
      </c>
      <c r="H5" s="133">
        <f>IF(B$17=0,0,G5/B$17)</f>
        <v>0.39384288747346075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15.723270440251572</v>
      </c>
      <c r="P5" s="119">
        <v>318</v>
      </c>
      <c r="Q5" s="103">
        <v>5000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284</v>
      </c>
      <c r="H6" s="133">
        <f>IF(B$17=0,0,G6/B$17)</f>
        <v>0.30148619957537154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-17.182130584192439</v>
      </c>
      <c r="P6" s="119">
        <v>291</v>
      </c>
      <c r="Q6" s="103">
        <v>-5000</v>
      </c>
    </row>
    <row r="7" spans="1:17" x14ac:dyDescent="0.4">
      <c r="A7" s="55" t="s">
        <v>2</v>
      </c>
      <c r="B7" s="47">
        <v>124</v>
      </c>
      <c r="C7" s="39">
        <f>IF(B$2=0,0,B7/B$2)</f>
        <v>0.33333333333333331</v>
      </c>
      <c r="E7" s="63" t="s">
        <v>68</v>
      </c>
      <c r="F7" s="60" t="s">
        <v>24</v>
      </c>
      <c r="G7" s="47">
        <v>275</v>
      </c>
      <c r="H7" s="133">
        <f>IF(B$17=0,0,G7/B$17)</f>
        <v>0.29193205944798301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22.222222222222221</v>
      </c>
      <c r="P7" s="120">
        <v>270</v>
      </c>
      <c r="Q7" s="104">
        <v>6000</v>
      </c>
    </row>
    <row r="8" spans="1:17" x14ac:dyDescent="0.4">
      <c r="A8" s="55" t="s">
        <v>3</v>
      </c>
      <c r="B8" s="47">
        <v>124</v>
      </c>
      <c r="C8" s="39">
        <f>IF(B$2=0,0,B8/B$2)</f>
        <v>0.33333333333333331</v>
      </c>
      <c r="E8" s="63" t="s">
        <v>70</v>
      </c>
      <c r="F8" s="60" t="s">
        <v>25</v>
      </c>
      <c r="G8" s="47">
        <v>169</v>
      </c>
      <c r="H8" s="133">
        <f>IF(B$17=0,0,G8/B$17)</f>
        <v>0.17940552016985137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124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121</v>
      </c>
      <c r="H9" s="133">
        <f>IF(B$17=0,0,G9/B$17)</f>
        <v>0.12845010615711253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37</v>
      </c>
      <c r="C10" s="40">
        <f>IF(B$2=0,0,B10/B$2)</f>
        <v>9.9462365591397844E-2</v>
      </c>
      <c r="E10" s="63" t="s">
        <v>66</v>
      </c>
      <c r="F10" s="60" t="s">
        <v>22</v>
      </c>
      <c r="G10" s="47">
        <v>120</v>
      </c>
      <c r="H10" s="133">
        <f>IF(B$17=0,0,G10/B$17)</f>
        <v>0.12738853503184713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-1.0120967741935485</v>
      </c>
      <c r="P10" s="118">
        <v>124</v>
      </c>
      <c r="Q10" s="106">
        <v>-125.5</v>
      </c>
    </row>
    <row r="11" spans="1:17" x14ac:dyDescent="0.4">
      <c r="A11" s="56" t="s">
        <v>140</v>
      </c>
      <c r="B11" s="48">
        <v>37</v>
      </c>
      <c r="C11" s="40">
        <f>IF(B$2=0,0,B11/B$2)</f>
        <v>9.9462365591397844E-2</v>
      </c>
      <c r="E11" s="63" t="s">
        <v>71</v>
      </c>
      <c r="F11" s="60" t="s">
        <v>26</v>
      </c>
      <c r="G11" s="47">
        <v>95</v>
      </c>
      <c r="H11" s="133">
        <f>IF(B$17=0,0,G11/B$17)</f>
        <v>0.10084925690021232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-2.8008064516129041</v>
      </c>
      <c r="P11" s="119">
        <v>124</v>
      </c>
      <c r="Q11" s="107">
        <v>-347.30000000000013</v>
      </c>
    </row>
    <row r="12" spans="1:17" x14ac:dyDescent="0.4">
      <c r="A12" s="57" t="s">
        <v>160</v>
      </c>
      <c r="B12" s="49">
        <v>36</v>
      </c>
      <c r="C12" s="42">
        <f>IF(B$2=0,0,B12/B$2)</f>
        <v>9.6774193548387094E-2</v>
      </c>
      <c r="E12" s="63" t="s">
        <v>72</v>
      </c>
      <c r="F12" s="60" t="s">
        <v>27</v>
      </c>
      <c r="G12" s="47">
        <v>57</v>
      </c>
      <c r="H12" s="133">
        <f>IF(B$17=0,0,G12/B$17)</f>
        <v>6.0509554140127389E-2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3.8129032258064508</v>
      </c>
      <c r="P12" s="120">
        <v>124</v>
      </c>
      <c r="Q12" s="108">
        <v>472.7999999999999</v>
      </c>
    </row>
    <row r="13" spans="1:17" x14ac:dyDescent="0.4">
      <c r="A13" s="58" t="s">
        <v>122</v>
      </c>
      <c r="B13" s="50">
        <v>841</v>
      </c>
      <c r="C13" s="44">
        <f>IF(B$3=0,0,B13/B$3)</f>
        <v>0.27059202059202059</v>
      </c>
      <c r="E13" s="63" t="s">
        <v>87</v>
      </c>
      <c r="F13" s="60" t="s">
        <v>42</v>
      </c>
      <c r="G13" s="47">
        <v>55</v>
      </c>
      <c r="H13" s="133">
        <f>IF(B$17=0,0,G13/B$17)</f>
        <v>5.8386411889596604E-2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679</v>
      </c>
      <c r="C14" s="39">
        <f>IF(B$3=0,0,B14/B$3)</f>
        <v>0.21846846846846846</v>
      </c>
      <c r="E14" s="63" t="s">
        <v>84</v>
      </c>
      <c r="F14" s="60" t="s">
        <v>39</v>
      </c>
      <c r="G14" s="47">
        <v>42</v>
      </c>
      <c r="H14" s="133">
        <f>IF(B$17=0,0,G14/B$17)</f>
        <v>4.4585987261146494E-2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495</v>
      </c>
      <c r="C15" s="37">
        <f>IF(B$13=0,0,B15/B$13)</f>
        <v>0.58858501783590966</v>
      </c>
      <c r="E15" s="63" t="s">
        <v>82</v>
      </c>
      <c r="F15" s="60" t="s">
        <v>37</v>
      </c>
      <c r="G15" s="47">
        <v>30</v>
      </c>
      <c r="H15" s="133">
        <f>IF(B$17=0,0,G15/B$17)</f>
        <v>3.1847133757961783E-2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33.522972972972973</v>
      </c>
      <c r="P15" s="118">
        <v>74</v>
      </c>
      <c r="Q15" s="106">
        <v>2480.6999999999998</v>
      </c>
    </row>
    <row r="16" spans="1:17" x14ac:dyDescent="0.4">
      <c r="A16" s="54" t="s">
        <v>125</v>
      </c>
      <c r="B16" s="46">
        <v>260</v>
      </c>
      <c r="C16" s="37">
        <f>IF(B$14=0,0,B16/B$14)</f>
        <v>0.38291605301914583</v>
      </c>
      <c r="E16" s="63" t="s">
        <v>79</v>
      </c>
      <c r="F16" s="60" t="s">
        <v>34</v>
      </c>
      <c r="G16" s="47">
        <v>15</v>
      </c>
      <c r="H16" s="133">
        <f>IF(B$17=0,0,G16/B$17)</f>
        <v>1.5923566878980892E-2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942</v>
      </c>
      <c r="C17" s="37">
        <f>IF(B$3=0,0,B17/B$3)</f>
        <v>0.30308880308880309</v>
      </c>
      <c r="E17" s="63" t="s">
        <v>92</v>
      </c>
      <c r="F17" s="60" t="s">
        <v>47</v>
      </c>
      <c r="G17" s="47">
        <v>15</v>
      </c>
      <c r="H17" s="133">
        <f>IF(B$17=0,0,G17/B$17)</f>
        <v>1.5923566878980892E-2</v>
      </c>
      <c r="I17" s="94">
        <v>3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412</v>
      </c>
      <c r="C18" s="39">
        <f>IF(B$17=0,0,B18/B$17)</f>
        <v>0.43736730360934184</v>
      </c>
      <c r="E18" s="63" t="s">
        <v>180</v>
      </c>
      <c r="F18" s="60" t="s">
        <v>183</v>
      </c>
      <c r="G18" s="47">
        <v>15</v>
      </c>
      <c r="H18" s="133">
        <f>IF(B$17=0,0,G18/B$17)</f>
        <v>1.5923566878980892E-2</v>
      </c>
      <c r="I18" s="94">
        <v>4</v>
      </c>
      <c r="K18" s="38">
        <v>16</v>
      </c>
      <c r="L18" s="99">
        <v>90.899999999999991</v>
      </c>
      <c r="N18" s="115" t="s">
        <v>173</v>
      </c>
      <c r="O18" s="125">
        <f>IF(P18=0,0,Q18/P18)</f>
        <v>9.6385714285714261</v>
      </c>
      <c r="P18" s="119">
        <v>70</v>
      </c>
      <c r="Q18" s="107">
        <v>674.69999999999982</v>
      </c>
    </row>
    <row r="19" spans="1:17" x14ac:dyDescent="0.4">
      <c r="A19" s="55" t="s">
        <v>11</v>
      </c>
      <c r="B19" s="47">
        <v>530</v>
      </c>
      <c r="C19" s="39">
        <f>IF(B$17=0,0,B19/B$17)</f>
        <v>0.56263269639065816</v>
      </c>
      <c r="E19" s="63" t="s">
        <v>80</v>
      </c>
      <c r="F19" s="60" t="s">
        <v>35</v>
      </c>
      <c r="G19" s="47">
        <v>13</v>
      </c>
      <c r="H19" s="133">
        <f>IF(B$17=0,0,G19/B$17)</f>
        <v>1.3800424628450107E-2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3.987362637362637</v>
      </c>
      <c r="P19" s="119">
        <v>182</v>
      </c>
      <c r="Q19" s="107">
        <v>725.69999999999993</v>
      </c>
    </row>
    <row r="20" spans="1:17" x14ac:dyDescent="0.4">
      <c r="A20" s="55" t="s">
        <v>13</v>
      </c>
      <c r="B20" s="47">
        <v>522</v>
      </c>
      <c r="C20" s="39">
        <f>IF(B$3=0,0,B20/B$3)</f>
        <v>0.16795366795366795</v>
      </c>
      <c r="E20" s="63" t="s">
        <v>76</v>
      </c>
      <c r="F20" s="60" t="s">
        <v>31</v>
      </c>
      <c r="G20" s="47">
        <v>7</v>
      </c>
      <c r="H20" s="133">
        <f>IF(B$17=0,0,G20/B$17)</f>
        <v>7.4309978768577496E-3</v>
      </c>
      <c r="I20" s="94">
        <v>5</v>
      </c>
      <c r="K20" s="38">
        <v>18</v>
      </c>
      <c r="L20" s="99">
        <v>-3.5527136788005009E-15</v>
      </c>
      <c r="N20" s="115" t="s">
        <v>171</v>
      </c>
      <c r="O20" s="125">
        <f>IF(P20=0,0,Q20/P20)</f>
        <v>1.0563829787234067</v>
      </c>
      <c r="P20" s="119">
        <v>94</v>
      </c>
      <c r="Q20" s="107">
        <v>99.300000000000239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74</v>
      </c>
      <c r="F21" s="60" t="s">
        <v>29</v>
      </c>
      <c r="G21" s="47">
        <v>6</v>
      </c>
      <c r="H21" s="133">
        <f>IF(B$17=0,0,G21/B$17)</f>
        <v>6.369426751592357E-3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-1.5107142857142868</v>
      </c>
      <c r="P21" s="119">
        <v>84</v>
      </c>
      <c r="Q21" s="107">
        <v>-126.90000000000009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93</v>
      </c>
      <c r="F22" s="60" t="s">
        <v>48</v>
      </c>
      <c r="G22" s="47">
        <v>4</v>
      </c>
      <c r="H22" s="133">
        <f>IF(B$17=0,0,G22/B$17)</f>
        <v>4.246284501061571E-3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8448.3014861995762</v>
      </c>
      <c r="C23" s="41">
        <v>7958300</v>
      </c>
      <c r="E23" s="63" t="s">
        <v>78</v>
      </c>
      <c r="F23" s="60" t="s">
        <v>33</v>
      </c>
      <c r="G23" s="47">
        <v>3</v>
      </c>
      <c r="H23" s="133">
        <f>IF(B$17=0,0,G23/B$17)</f>
        <v>3.1847133757961785E-3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-28.084883720930193</v>
      </c>
      <c r="P23" s="119">
        <v>172</v>
      </c>
      <c r="Q23" s="107">
        <v>-4830.5999999999931</v>
      </c>
    </row>
    <row r="24" spans="1:17" x14ac:dyDescent="0.4">
      <c r="A24" s="57" t="s">
        <v>14</v>
      </c>
      <c r="B24" s="52">
        <f>IF(B$20=0,0,C24/B$20)</f>
        <v>-8016.4750957854403</v>
      </c>
      <c r="C24" s="45">
        <v>-4184600</v>
      </c>
      <c r="E24" s="63" t="s">
        <v>88</v>
      </c>
      <c r="F24" s="60" t="s">
        <v>43</v>
      </c>
      <c r="G24" s="47">
        <v>3</v>
      </c>
      <c r="H24" s="133">
        <f>IF(B$17=0,0,G24/B$17)</f>
        <v>3.1847133757961785E-3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94</v>
      </c>
      <c r="F25" s="60" t="s">
        <v>49</v>
      </c>
      <c r="G25" s="47">
        <v>3</v>
      </c>
      <c r="H25" s="133">
        <f>IF(B$17=0,0,G25/B$17)</f>
        <v>3.1847133757961785E-3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75</v>
      </c>
      <c r="F26" s="60" t="s">
        <v>30</v>
      </c>
      <c r="G26" s="47">
        <v>2</v>
      </c>
      <c r="H26" s="133">
        <f>IF(B$17=0,0,G26/B$17)</f>
        <v>2.1231422505307855E-3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3.2175032175032173E-3</v>
      </c>
      <c r="E27" s="63" t="s">
        <v>89</v>
      </c>
      <c r="F27" s="60" t="s">
        <v>44</v>
      </c>
      <c r="G27" s="47">
        <v>2</v>
      </c>
      <c r="H27" s="133">
        <f>IF(B$17=0,0,G27/B$17)</f>
        <v>2.1231422505307855E-3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1.0615711252653928E-3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1.0615711252653928E-3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1.0615711252653928E-3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1.0615711252653928E-3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33932-3EF3-462B-8381-6B8BAA66233D}">
  <sheetPr codeName="Sheet7"/>
  <dimension ref="A1:Q8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86</v>
      </c>
      <c r="C2" s="147"/>
      <c r="E2" s="62" t="s">
        <v>67</v>
      </c>
      <c r="F2" s="59" t="s">
        <v>23</v>
      </c>
      <c r="G2" s="46">
        <v>197</v>
      </c>
      <c r="H2" s="132">
        <f>IF(B$17=0,0,G2/B$17)</f>
        <v>0.74060150375939848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2596.5116279069766</v>
      </c>
      <c r="P2" s="118">
        <v>86</v>
      </c>
      <c r="Q2" s="102">
        <v>223300</v>
      </c>
    </row>
    <row r="3" spans="1:17" x14ac:dyDescent="0.4">
      <c r="A3" s="55" t="s">
        <v>8</v>
      </c>
      <c r="B3" s="148">
        <v>696</v>
      </c>
      <c r="C3" s="149"/>
      <c r="E3" s="63" t="s">
        <v>73</v>
      </c>
      <c r="F3" s="60" t="s">
        <v>28</v>
      </c>
      <c r="G3" s="47">
        <v>147</v>
      </c>
      <c r="H3" s="133">
        <f>IF(B$17=0,0,G3/B$17)</f>
        <v>0.55263157894736847</v>
      </c>
      <c r="I3" s="94">
        <v>6</v>
      </c>
      <c r="K3" s="38">
        <v>1</v>
      </c>
      <c r="L3" s="99">
        <v>-5.0999999999999996</v>
      </c>
      <c r="N3" s="115" t="s">
        <v>133</v>
      </c>
      <c r="O3" s="122">
        <f t="shared" si="0"/>
        <v>2935.294117647059</v>
      </c>
      <c r="P3" s="119">
        <v>85</v>
      </c>
      <c r="Q3" s="103">
        <v>249500</v>
      </c>
    </row>
    <row r="4" spans="1:17" x14ac:dyDescent="0.4">
      <c r="A4" s="55" t="s">
        <v>6</v>
      </c>
      <c r="B4" s="150">
        <v>1610.200000000001</v>
      </c>
      <c r="C4" s="151"/>
      <c r="E4" s="63" t="s">
        <v>65</v>
      </c>
      <c r="F4" s="60" t="s">
        <v>21</v>
      </c>
      <c r="G4" s="47">
        <v>127</v>
      </c>
      <c r="H4" s="133">
        <f>IF(B$17=0,0,G4/B$17)</f>
        <v>0.47744360902255639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2459.2592592592591</v>
      </c>
      <c r="P4" s="119">
        <v>81</v>
      </c>
      <c r="Q4" s="103">
        <v>199200</v>
      </c>
    </row>
    <row r="5" spans="1:17" x14ac:dyDescent="0.4">
      <c r="A5" s="55" t="s">
        <v>7</v>
      </c>
      <c r="B5" s="152">
        <f>IF(B$2=0,0,B$4/B$2)</f>
        <v>18.7232558139535</v>
      </c>
      <c r="C5" s="153"/>
      <c r="E5" s="63" t="s">
        <v>181</v>
      </c>
      <c r="F5" s="60" t="s">
        <v>182</v>
      </c>
      <c r="G5" s="47">
        <v>110</v>
      </c>
      <c r="H5" s="133">
        <f>IF(B$17=0,0,G5/B$17)</f>
        <v>0.41353383458646614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2674.3243243243242</v>
      </c>
      <c r="P5" s="119">
        <v>74</v>
      </c>
      <c r="Q5" s="103">
        <v>197900</v>
      </c>
    </row>
    <row r="6" spans="1:17" x14ac:dyDescent="0.4">
      <c r="A6" s="55" t="s">
        <v>1</v>
      </c>
      <c r="B6" s="142">
        <f>IF(B$2=0,0,(B$7*1+B$8*2+B$9*3)/B$2)</f>
        <v>1.6162790697674418</v>
      </c>
      <c r="C6" s="143"/>
      <c r="E6" s="63" t="s">
        <v>68</v>
      </c>
      <c r="F6" s="60" t="s">
        <v>24</v>
      </c>
      <c r="G6" s="47">
        <v>83</v>
      </c>
      <c r="H6" s="133">
        <f>IF(B$17=0,0,G6/B$17)</f>
        <v>0.31203007518796994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-86.36363636363636</v>
      </c>
      <c r="P6" s="119">
        <v>66</v>
      </c>
      <c r="Q6" s="103">
        <v>-5700</v>
      </c>
    </row>
    <row r="7" spans="1:17" x14ac:dyDescent="0.4">
      <c r="A7" s="55" t="s">
        <v>2</v>
      </c>
      <c r="B7" s="47">
        <v>49</v>
      </c>
      <c r="C7" s="39">
        <f>IF(B$2=0,0,B7/B$2)</f>
        <v>0.56976744186046513</v>
      </c>
      <c r="E7" s="63" t="s">
        <v>69</v>
      </c>
      <c r="F7" s="60" t="s">
        <v>12</v>
      </c>
      <c r="G7" s="47">
        <v>71</v>
      </c>
      <c r="H7" s="133">
        <f>IF(B$17=0,0,G7/B$17)</f>
        <v>0.26691729323308272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1327.8688524590164</v>
      </c>
      <c r="P7" s="120">
        <v>61</v>
      </c>
      <c r="Q7" s="104">
        <v>81000</v>
      </c>
    </row>
    <row r="8" spans="1:17" x14ac:dyDescent="0.4">
      <c r="A8" s="55" t="s">
        <v>3</v>
      </c>
      <c r="B8" s="47">
        <v>21</v>
      </c>
      <c r="C8" s="39">
        <f>IF(B$2=0,0,B8/B$2)</f>
        <v>0.2441860465116279</v>
      </c>
      <c r="E8" s="63" t="s">
        <v>70</v>
      </c>
      <c r="F8" s="60" t="s">
        <v>25</v>
      </c>
      <c r="G8" s="47">
        <v>47</v>
      </c>
      <c r="H8" s="133">
        <f>IF(B$17=0,0,G8/B$17)</f>
        <v>0.17669172932330826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0.18604651162790697</v>
      </c>
      <c r="E9" s="63" t="s">
        <v>90</v>
      </c>
      <c r="F9" s="60" t="s">
        <v>45</v>
      </c>
      <c r="G9" s="47">
        <v>46</v>
      </c>
      <c r="H9" s="133">
        <f>IF(B$17=0,0,G9/B$17)</f>
        <v>0.17293233082706766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5.8139534883720929E-2</v>
      </c>
      <c r="E10" s="63" t="s">
        <v>66</v>
      </c>
      <c r="F10" s="60" t="s">
        <v>22</v>
      </c>
      <c r="G10" s="47">
        <v>40</v>
      </c>
      <c r="H10" s="133">
        <f>IF(B$17=0,0,G10/B$17)</f>
        <v>0.15037593984962405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23.591999999999999</v>
      </c>
      <c r="P10" s="118">
        <v>25</v>
      </c>
      <c r="Q10" s="106">
        <v>589.79999999999995</v>
      </c>
    </row>
    <row r="11" spans="1:17" x14ac:dyDescent="0.4">
      <c r="A11" s="56" t="s">
        <v>140</v>
      </c>
      <c r="B11" s="48">
        <v>15</v>
      </c>
      <c r="C11" s="40">
        <f>IF(B$2=0,0,B11/B$2)</f>
        <v>0.1744186046511628</v>
      </c>
      <c r="E11" s="63" t="s">
        <v>71</v>
      </c>
      <c r="F11" s="60" t="s">
        <v>26</v>
      </c>
      <c r="G11" s="47">
        <v>22</v>
      </c>
      <c r="H11" s="133">
        <f>IF(B$17=0,0,G11/B$17)</f>
        <v>8.2706766917293228E-2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13.444444444444443</v>
      </c>
      <c r="P11" s="119">
        <v>27</v>
      </c>
      <c r="Q11" s="107">
        <v>362.99999999999994</v>
      </c>
    </row>
    <row r="12" spans="1:17" x14ac:dyDescent="0.4">
      <c r="A12" s="57" t="s">
        <v>160</v>
      </c>
      <c r="B12" s="49">
        <v>17</v>
      </c>
      <c r="C12" s="42">
        <f>IF(B$2=0,0,B12/B$2)</f>
        <v>0.19767441860465115</v>
      </c>
      <c r="E12" s="63" t="s">
        <v>87</v>
      </c>
      <c r="F12" s="60" t="s">
        <v>42</v>
      </c>
      <c r="G12" s="47">
        <v>20</v>
      </c>
      <c r="H12" s="133">
        <f>IF(B$17=0,0,G12/B$17)</f>
        <v>7.5187969924812026E-2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19.335294117647067</v>
      </c>
      <c r="P12" s="120">
        <v>34</v>
      </c>
      <c r="Q12" s="108">
        <v>657.4000000000002</v>
      </c>
    </row>
    <row r="13" spans="1:17" x14ac:dyDescent="0.4">
      <c r="A13" s="58" t="s">
        <v>122</v>
      </c>
      <c r="B13" s="50">
        <v>232</v>
      </c>
      <c r="C13" s="44">
        <f>IF(B$3=0,0,B13/B$3)</f>
        <v>0.33333333333333331</v>
      </c>
      <c r="E13" s="63" t="s">
        <v>72</v>
      </c>
      <c r="F13" s="60" t="s">
        <v>27</v>
      </c>
      <c r="G13" s="47">
        <v>17</v>
      </c>
      <c r="H13" s="133">
        <f>IF(B$17=0,0,G13/B$17)</f>
        <v>6.3909774436090222E-2</v>
      </c>
      <c r="I13" s="94">
        <v>4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162</v>
      </c>
      <c r="C14" s="39">
        <f>IF(B$3=0,0,B14/B$3)</f>
        <v>0.23275862068965517</v>
      </c>
      <c r="E14" s="63" t="s">
        <v>84</v>
      </c>
      <c r="F14" s="60" t="s">
        <v>39</v>
      </c>
      <c r="G14" s="47">
        <v>15</v>
      </c>
      <c r="H14" s="133">
        <f>IF(B$17=0,0,G14/B$17)</f>
        <v>5.6390977443609019E-2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138</v>
      </c>
      <c r="C15" s="37">
        <f>IF(B$13=0,0,B15/B$13)</f>
        <v>0.59482758620689657</v>
      </c>
      <c r="E15" s="63" t="s">
        <v>82</v>
      </c>
      <c r="F15" s="60" t="s">
        <v>37</v>
      </c>
      <c r="G15" s="47">
        <v>10</v>
      </c>
      <c r="H15" s="133">
        <f>IF(B$17=0,0,G15/B$17)</f>
        <v>3.7593984962406013E-2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88</v>
      </c>
      <c r="C16" s="37">
        <f>IF(B$14=0,0,B16/B$14)</f>
        <v>0.54320987654320985</v>
      </c>
      <c r="E16" s="63" t="s">
        <v>180</v>
      </c>
      <c r="F16" s="60" t="s">
        <v>183</v>
      </c>
      <c r="G16" s="47">
        <v>8</v>
      </c>
      <c r="H16" s="133">
        <f>IF(B$17=0,0,G16/B$17)</f>
        <v>3.007518796992481E-2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56.752173913043499</v>
      </c>
      <c r="P16" s="119">
        <v>23</v>
      </c>
      <c r="Q16" s="107">
        <v>1305.3000000000004</v>
      </c>
    </row>
    <row r="17" spans="1:17" x14ac:dyDescent="0.4">
      <c r="A17" s="54" t="s">
        <v>10</v>
      </c>
      <c r="B17" s="46">
        <f>B19+B18</f>
        <v>266</v>
      </c>
      <c r="C17" s="37">
        <f>IF(B$3=0,0,B17/B$3)</f>
        <v>0.38218390804597702</v>
      </c>
      <c r="E17" s="63" t="s">
        <v>79</v>
      </c>
      <c r="F17" s="60" t="s">
        <v>34</v>
      </c>
      <c r="G17" s="47">
        <v>4</v>
      </c>
      <c r="H17" s="133">
        <f>IF(B$17=0,0,G17/B$17)</f>
        <v>1.5037593984962405E-2</v>
      </c>
      <c r="I17" s="94">
        <v>6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115</v>
      </c>
      <c r="C18" s="39">
        <f>IF(B$17=0,0,B18/B$17)</f>
        <v>0.43233082706766918</v>
      </c>
      <c r="E18" s="63" t="s">
        <v>92</v>
      </c>
      <c r="F18" s="60" t="s">
        <v>47</v>
      </c>
      <c r="G18" s="47">
        <v>4</v>
      </c>
      <c r="H18" s="133">
        <f>IF(B$17=0,0,G18/B$17)</f>
        <v>1.5037593984962405E-2</v>
      </c>
      <c r="I18" s="94">
        <v>4</v>
      </c>
      <c r="K18" s="38">
        <v>16</v>
      </c>
      <c r="L18" s="99">
        <v>425.50000000000006</v>
      </c>
      <c r="N18" s="115" t="s">
        <v>173</v>
      </c>
      <c r="O18" s="125">
        <f>IF(P18=0,0,Q18/P18)</f>
        <v>29.17647058823529</v>
      </c>
      <c r="P18" s="119">
        <v>17</v>
      </c>
      <c r="Q18" s="107">
        <v>495.99999999999994</v>
      </c>
    </row>
    <row r="19" spans="1:17" x14ac:dyDescent="0.4">
      <c r="A19" s="55" t="s">
        <v>11</v>
      </c>
      <c r="B19" s="47">
        <v>151</v>
      </c>
      <c r="C19" s="39">
        <f>IF(B$17=0,0,B19/B$17)</f>
        <v>0.56766917293233088</v>
      </c>
      <c r="E19" s="63" t="s">
        <v>80</v>
      </c>
      <c r="F19" s="60" t="s">
        <v>35</v>
      </c>
      <c r="G19" s="47">
        <v>3</v>
      </c>
      <c r="H19" s="133">
        <f>IF(B$17=0,0,G19/B$17)</f>
        <v>1.1278195488721804E-2</v>
      </c>
      <c r="I19" s="94">
        <v>7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111</v>
      </c>
      <c r="C20" s="39">
        <f>IF(B$3=0,0,B20/B$3)</f>
        <v>0.15948275862068967</v>
      </c>
      <c r="E20" s="63" t="s">
        <v>74</v>
      </c>
      <c r="F20" s="60" t="s">
        <v>29</v>
      </c>
      <c r="G20" s="47">
        <v>2</v>
      </c>
      <c r="H20" s="133">
        <f>IF(B$17=0,0,G20/B$17)</f>
        <v>7.5187969924812026E-3</v>
      </c>
      <c r="I20" s="94">
        <v>3</v>
      </c>
      <c r="K20" s="38">
        <v>18</v>
      </c>
      <c r="L20" s="99">
        <v>429.3</v>
      </c>
      <c r="N20" s="115" t="s">
        <v>172</v>
      </c>
      <c r="O20" s="125">
        <f>IF(P20=0,0,Q20/P20)</f>
        <v>27.365217391304352</v>
      </c>
      <c r="P20" s="119">
        <v>23</v>
      </c>
      <c r="Q20" s="107">
        <v>629.40000000000009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3.7593984962406013E-3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3.7593984962406013E-3</v>
      </c>
      <c r="I22" s="94">
        <v>3</v>
      </c>
      <c r="K22" s="38">
        <v>20</v>
      </c>
      <c r="L22" s="99">
        <v>469.6</v>
      </c>
      <c r="N22" s="115" t="s">
        <v>128</v>
      </c>
      <c r="O22" s="125">
        <f>IF(P22=0,0,Q22/P22)</f>
        <v>19.601515151515159</v>
      </c>
      <c r="P22" s="119">
        <v>66</v>
      </c>
      <c r="Q22" s="107">
        <v>1293.7000000000005</v>
      </c>
    </row>
    <row r="23" spans="1:17" x14ac:dyDescent="0.4">
      <c r="A23" s="55" t="s">
        <v>5</v>
      </c>
      <c r="B23" s="51">
        <f>IF(B$17=0,0,C23/B$17)</f>
        <v>9200.7518796992481</v>
      </c>
      <c r="C23" s="41">
        <v>2447400</v>
      </c>
      <c r="E23" s="63" t="s">
        <v>88</v>
      </c>
      <c r="F23" s="60" t="s">
        <v>43</v>
      </c>
      <c r="G23" s="47">
        <v>1</v>
      </c>
      <c r="H23" s="133">
        <f>IF(B$17=0,0,G23/B$17)</f>
        <v>3.7593984962406013E-3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18.848148148148145</v>
      </c>
      <c r="P23" s="119">
        <v>27</v>
      </c>
      <c r="Q23" s="107">
        <v>508.89999999999986</v>
      </c>
    </row>
    <row r="24" spans="1:17" x14ac:dyDescent="0.4">
      <c r="A24" s="57" t="s">
        <v>14</v>
      </c>
      <c r="B24" s="52">
        <f>IF(B$20=0,0,C24/B$20)</f>
        <v>-7783.7837837837842</v>
      </c>
      <c r="C24" s="45">
        <v>-864000</v>
      </c>
      <c r="E24" s="63" t="s">
        <v>91</v>
      </c>
      <c r="F24" s="60" t="s">
        <v>46</v>
      </c>
      <c r="G24" s="47">
        <v>1</v>
      </c>
      <c r="H24" s="133">
        <f>IF(B$17=0,0,G24/B$17)</f>
        <v>3.7593984962406013E-3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3.7593984962406013E-3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3.7593984962406013E-3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3.7593984962406013E-3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B2752-5A41-4AFF-BDD9-E224E07924D2}">
  <sheetPr codeName="Sheet9"/>
  <dimension ref="A1:Q9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91</v>
      </c>
      <c r="C2" s="147"/>
      <c r="E2" s="62" t="s">
        <v>67</v>
      </c>
      <c r="F2" s="59" t="s">
        <v>23</v>
      </c>
      <c r="G2" s="46">
        <v>162</v>
      </c>
      <c r="H2" s="132">
        <f>IF(B$17=0,0,G2/B$17)</f>
        <v>0.75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892.30769230769226</v>
      </c>
      <c r="P2" s="118">
        <v>91</v>
      </c>
      <c r="Q2" s="102">
        <v>81200</v>
      </c>
    </row>
    <row r="3" spans="1:17" x14ac:dyDescent="0.4">
      <c r="A3" s="55" t="s">
        <v>8</v>
      </c>
      <c r="B3" s="148">
        <v>762</v>
      </c>
      <c r="C3" s="149"/>
      <c r="E3" s="63" t="s">
        <v>65</v>
      </c>
      <c r="F3" s="60" t="s">
        <v>21</v>
      </c>
      <c r="G3" s="47">
        <v>127</v>
      </c>
      <c r="H3" s="133">
        <f>IF(B$17=0,0,G3/B$17)</f>
        <v>0.58796296296296291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0"/>
        <v>-2286.6666666666665</v>
      </c>
      <c r="P3" s="119">
        <v>90</v>
      </c>
      <c r="Q3" s="103">
        <v>-205800</v>
      </c>
    </row>
    <row r="4" spans="1:17" x14ac:dyDescent="0.4">
      <c r="A4" s="55" t="s">
        <v>6</v>
      </c>
      <c r="B4" s="150">
        <v>-241.9</v>
      </c>
      <c r="C4" s="151"/>
      <c r="E4" s="63" t="s">
        <v>73</v>
      </c>
      <c r="F4" s="60" t="s">
        <v>28</v>
      </c>
      <c r="G4" s="47">
        <v>102</v>
      </c>
      <c r="H4" s="133">
        <f>IF(B$17=0,0,G4/B$17)</f>
        <v>0.47222222222222221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-1285.0574712643679</v>
      </c>
      <c r="P4" s="119">
        <v>87</v>
      </c>
      <c r="Q4" s="103">
        <v>-111800</v>
      </c>
    </row>
    <row r="5" spans="1:17" x14ac:dyDescent="0.4">
      <c r="A5" s="55" t="s">
        <v>7</v>
      </c>
      <c r="B5" s="152">
        <f>IF(B$2=0,0,B$4/B$2)</f>
        <v>-2.6582417582417581</v>
      </c>
      <c r="C5" s="153"/>
      <c r="E5" s="63" t="s">
        <v>181</v>
      </c>
      <c r="F5" s="60" t="s">
        <v>182</v>
      </c>
      <c r="G5" s="47">
        <v>94</v>
      </c>
      <c r="H5" s="133">
        <f>IF(B$17=0,0,G5/B$17)</f>
        <v>0.43518518518518517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816.45569620253161</v>
      </c>
      <c r="P5" s="119">
        <v>79</v>
      </c>
      <c r="Q5" s="103">
        <v>64500</v>
      </c>
    </row>
    <row r="6" spans="1:17" x14ac:dyDescent="0.4">
      <c r="A6" s="55" t="s">
        <v>1</v>
      </c>
      <c r="B6" s="142">
        <f>IF(B$2=0,0,(B$7*1+B$8*2+B$9*3)/B$2)</f>
        <v>2.0659340659340661</v>
      </c>
      <c r="C6" s="143"/>
      <c r="E6" s="63" t="s">
        <v>68</v>
      </c>
      <c r="F6" s="60" t="s">
        <v>24</v>
      </c>
      <c r="G6" s="47">
        <v>72</v>
      </c>
      <c r="H6" s="133">
        <f>IF(B$17=0,0,G6/B$17)</f>
        <v>0.33333333333333331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320.83333333333331</v>
      </c>
      <c r="P6" s="119">
        <v>72</v>
      </c>
      <c r="Q6" s="103">
        <v>23100</v>
      </c>
    </row>
    <row r="7" spans="1:17" x14ac:dyDescent="0.4">
      <c r="A7" s="55" t="s">
        <v>2</v>
      </c>
      <c r="B7" s="47">
        <v>24</v>
      </c>
      <c r="C7" s="39">
        <f>IF(B$2=0,0,B7/B$2)</f>
        <v>0.26373626373626374</v>
      </c>
      <c r="E7" s="63" t="s">
        <v>69</v>
      </c>
      <c r="F7" s="60" t="s">
        <v>12</v>
      </c>
      <c r="G7" s="47">
        <v>72</v>
      </c>
      <c r="H7" s="133">
        <f>IF(B$17=0,0,G7/B$17)</f>
        <v>0.33333333333333331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401.49253731343282</v>
      </c>
      <c r="P7" s="120">
        <v>67</v>
      </c>
      <c r="Q7" s="104">
        <v>26900</v>
      </c>
    </row>
    <row r="8" spans="1:17" x14ac:dyDescent="0.4">
      <c r="A8" s="55" t="s">
        <v>3</v>
      </c>
      <c r="B8" s="47">
        <v>37</v>
      </c>
      <c r="C8" s="39">
        <f>IF(B$2=0,0,B8/B$2)</f>
        <v>0.40659340659340659</v>
      </c>
      <c r="E8" s="63" t="s">
        <v>70</v>
      </c>
      <c r="F8" s="60" t="s">
        <v>25</v>
      </c>
      <c r="G8" s="47">
        <v>46</v>
      </c>
      <c r="H8" s="133">
        <f>IF(B$17=0,0,G8/B$17)</f>
        <v>0.21296296296296297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0.32967032967032966</v>
      </c>
      <c r="E9" s="63" t="s">
        <v>66</v>
      </c>
      <c r="F9" s="60" t="s">
        <v>22</v>
      </c>
      <c r="G9" s="47">
        <v>37</v>
      </c>
      <c r="H9" s="133">
        <f>IF(B$17=0,0,G9/B$17)</f>
        <v>0.17129629629629631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0.13186813186813187</v>
      </c>
      <c r="E10" s="63" t="s">
        <v>71</v>
      </c>
      <c r="F10" s="60" t="s">
        <v>26</v>
      </c>
      <c r="G10" s="47">
        <v>26</v>
      </c>
      <c r="H10" s="133">
        <f>IF(B$17=0,0,G10/B$17)</f>
        <v>0.12037037037037036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-2.6148936170212775</v>
      </c>
      <c r="P10" s="118">
        <v>47</v>
      </c>
      <c r="Q10" s="106">
        <v>-122.90000000000003</v>
      </c>
    </row>
    <row r="11" spans="1:17" x14ac:dyDescent="0.4">
      <c r="A11" s="56" t="s">
        <v>140</v>
      </c>
      <c r="B11" s="48">
        <v>7</v>
      </c>
      <c r="C11" s="40">
        <f>IF(B$2=0,0,B11/B$2)</f>
        <v>7.6923076923076927E-2</v>
      </c>
      <c r="E11" s="63" t="s">
        <v>90</v>
      </c>
      <c r="F11" s="60" t="s">
        <v>45</v>
      </c>
      <c r="G11" s="47">
        <v>21</v>
      </c>
      <c r="H11" s="133">
        <f>IF(B$17=0,0,G11/B$17)</f>
        <v>9.7222222222222224E-2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-6.9380952380952365</v>
      </c>
      <c r="P11" s="119">
        <v>21</v>
      </c>
      <c r="Q11" s="107">
        <v>-145.69999999999996</v>
      </c>
    </row>
    <row r="12" spans="1:17" x14ac:dyDescent="0.4">
      <c r="A12" s="57" t="s">
        <v>160</v>
      </c>
      <c r="B12" s="49">
        <v>6</v>
      </c>
      <c r="C12" s="42">
        <f>IF(B$2=0,0,B12/B$2)</f>
        <v>6.5934065934065936E-2</v>
      </c>
      <c r="E12" s="63" t="s">
        <v>72</v>
      </c>
      <c r="F12" s="60" t="s">
        <v>27</v>
      </c>
      <c r="G12" s="47">
        <v>12</v>
      </c>
      <c r="H12" s="133">
        <f>IF(B$17=0,0,G12/B$17)</f>
        <v>5.5555555555555552E-2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1.160869565217391</v>
      </c>
      <c r="P12" s="120">
        <v>23</v>
      </c>
      <c r="Q12" s="108">
        <v>26.699999999999996</v>
      </c>
    </row>
    <row r="13" spans="1:17" x14ac:dyDescent="0.4">
      <c r="A13" s="58" t="s">
        <v>122</v>
      </c>
      <c r="B13" s="50">
        <v>220</v>
      </c>
      <c r="C13" s="44">
        <f>IF(B$3=0,0,B13/B$3)</f>
        <v>0.28871391076115488</v>
      </c>
      <c r="E13" s="63" t="s">
        <v>87</v>
      </c>
      <c r="F13" s="60" t="s">
        <v>42</v>
      </c>
      <c r="G13" s="47">
        <v>11</v>
      </c>
      <c r="H13" s="133">
        <f>IF(B$17=0,0,G13/B$17)</f>
        <v>5.0925925925925923E-2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149</v>
      </c>
      <c r="C14" s="39">
        <f>IF(B$3=0,0,B14/B$3)</f>
        <v>0.19553805774278216</v>
      </c>
      <c r="E14" s="63" t="s">
        <v>82</v>
      </c>
      <c r="F14" s="60" t="s">
        <v>37</v>
      </c>
      <c r="G14" s="47">
        <v>8</v>
      </c>
      <c r="H14" s="133">
        <f>IF(B$17=0,0,G14/B$17)</f>
        <v>3.7037037037037035E-2</v>
      </c>
      <c r="I14" s="94">
        <v>4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135</v>
      </c>
      <c r="C15" s="37">
        <f>IF(B$13=0,0,B15/B$13)</f>
        <v>0.61363636363636365</v>
      </c>
      <c r="E15" s="63" t="s">
        <v>84</v>
      </c>
      <c r="F15" s="60" t="s">
        <v>39</v>
      </c>
      <c r="G15" s="47">
        <v>7</v>
      </c>
      <c r="H15" s="133">
        <f>IF(B$17=0,0,G15/B$17)</f>
        <v>3.2407407407407406E-2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41</v>
      </c>
      <c r="C16" s="37">
        <f>IF(B$14=0,0,B16/B$14)</f>
        <v>0.27516778523489932</v>
      </c>
      <c r="E16" s="63" t="s">
        <v>92</v>
      </c>
      <c r="F16" s="60" t="s">
        <v>47</v>
      </c>
      <c r="G16" s="47">
        <v>6</v>
      </c>
      <c r="H16" s="133">
        <f>IF(B$17=0,0,G16/B$17)</f>
        <v>2.7777777777777776E-2</v>
      </c>
      <c r="I16" s="94">
        <v>2</v>
      </c>
      <c r="K16" s="38">
        <v>14</v>
      </c>
      <c r="L16" s="99">
        <v>-25.600000000000009</v>
      </c>
      <c r="N16" s="115" t="s">
        <v>177</v>
      </c>
      <c r="O16" s="125">
        <f>IF(P16=0,0,Q16/P16)</f>
        <v>10.178571428571429</v>
      </c>
      <c r="P16" s="119">
        <v>14</v>
      </c>
      <c r="Q16" s="107">
        <v>142.5</v>
      </c>
    </row>
    <row r="17" spans="1:17" x14ac:dyDescent="0.4">
      <c r="A17" s="54" t="s">
        <v>10</v>
      </c>
      <c r="B17" s="46">
        <f>B19+B18</f>
        <v>216</v>
      </c>
      <c r="C17" s="37">
        <f>IF(B$3=0,0,B17/B$3)</f>
        <v>0.28346456692913385</v>
      </c>
      <c r="E17" s="63" t="s">
        <v>80</v>
      </c>
      <c r="F17" s="60" t="s">
        <v>35</v>
      </c>
      <c r="G17" s="47">
        <v>4</v>
      </c>
      <c r="H17" s="133">
        <f>IF(B$17=0,0,G17/B$17)</f>
        <v>1.8518518518518517E-2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7.4384615384615351</v>
      </c>
      <c r="P17" s="119">
        <v>26</v>
      </c>
      <c r="Q17" s="107">
        <v>193.39999999999992</v>
      </c>
    </row>
    <row r="18" spans="1:17" x14ac:dyDescent="0.4">
      <c r="A18" s="55" t="s">
        <v>12</v>
      </c>
      <c r="B18" s="47">
        <v>91</v>
      </c>
      <c r="C18" s="39">
        <f>IF(B$17=0,0,B18/B$17)</f>
        <v>0.42129629629629628</v>
      </c>
      <c r="E18" s="63" t="s">
        <v>180</v>
      </c>
      <c r="F18" s="60" t="s">
        <v>183</v>
      </c>
      <c r="G18" s="47">
        <v>4</v>
      </c>
      <c r="H18" s="133">
        <f>IF(B$17=0,0,G18/B$17)</f>
        <v>1.8518518518518517E-2</v>
      </c>
      <c r="I18" s="94">
        <v>3</v>
      </c>
      <c r="K18" s="38">
        <v>16</v>
      </c>
      <c r="L18" s="99">
        <v>41.699999999999989</v>
      </c>
      <c r="N18" s="115" t="s">
        <v>171</v>
      </c>
      <c r="O18" s="125">
        <f>IF(P18=0,0,Q18/P18)</f>
        <v>2.2307692307692384</v>
      </c>
      <c r="P18" s="119">
        <v>26</v>
      </c>
      <c r="Q18" s="107">
        <v>58.000000000000199</v>
      </c>
    </row>
    <row r="19" spans="1:17" x14ac:dyDescent="0.4">
      <c r="A19" s="55" t="s">
        <v>11</v>
      </c>
      <c r="B19" s="47">
        <v>125</v>
      </c>
      <c r="C19" s="39">
        <f>IF(B$17=0,0,B19/B$17)</f>
        <v>0.57870370370370372</v>
      </c>
      <c r="E19" s="63" t="s">
        <v>75</v>
      </c>
      <c r="F19" s="60" t="s">
        <v>30</v>
      </c>
      <c r="G19" s="47">
        <v>2</v>
      </c>
      <c r="H19" s="133">
        <f>IF(B$17=0,0,G19/B$17)</f>
        <v>9.2592592592592587E-3</v>
      </c>
      <c r="I19" s="94">
        <v>1</v>
      </c>
      <c r="K19" s="38">
        <v>17</v>
      </c>
      <c r="L19" s="99">
        <v>94.6</v>
      </c>
      <c r="N19" s="115" t="s">
        <v>172</v>
      </c>
      <c r="O19" s="125">
        <f>IF(P19=0,0,Q19/P19)</f>
        <v>2.008</v>
      </c>
      <c r="P19" s="119">
        <v>25</v>
      </c>
      <c r="Q19" s="107">
        <v>50.199999999999996</v>
      </c>
    </row>
    <row r="20" spans="1:17" x14ac:dyDescent="0.4">
      <c r="A20" s="55" t="s">
        <v>13</v>
      </c>
      <c r="B20" s="47">
        <v>129</v>
      </c>
      <c r="C20" s="39">
        <f>IF(B$3=0,0,B20/B$3)</f>
        <v>0.16929133858267717</v>
      </c>
      <c r="E20" s="63" t="s">
        <v>76</v>
      </c>
      <c r="F20" s="60" t="s">
        <v>31</v>
      </c>
      <c r="G20" s="47">
        <v>2</v>
      </c>
      <c r="H20" s="133">
        <f>IF(B$17=0,0,G20/B$17)</f>
        <v>9.2592592592592587E-3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-3.6750000000000007</v>
      </c>
      <c r="P20" s="119">
        <v>20</v>
      </c>
      <c r="Q20" s="107">
        <v>-73.500000000000014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9.2592592592592587E-3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-19.601515151515159</v>
      </c>
      <c r="P21" s="119">
        <v>66</v>
      </c>
      <c r="Q21" s="107">
        <v>-1293.7000000000005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74</v>
      </c>
      <c r="F22" s="60" t="s">
        <v>29</v>
      </c>
      <c r="G22" s="47">
        <v>1</v>
      </c>
      <c r="H22" s="133">
        <f>IF(B$17=0,0,G22/B$17)</f>
        <v>4.6296296296296294E-3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9094.4444444444453</v>
      </c>
      <c r="C23" s="41">
        <v>1964400</v>
      </c>
      <c r="E23" s="63" t="s">
        <v>78</v>
      </c>
      <c r="F23" s="60" t="s">
        <v>33</v>
      </c>
      <c r="G23" s="47">
        <v>1</v>
      </c>
      <c r="H23" s="133">
        <f>IF(B$17=0,0,G23/B$17)</f>
        <v>4.6296296296296294E-3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-7871.3178294573645</v>
      </c>
      <c r="C24" s="45">
        <v>-1015400</v>
      </c>
      <c r="E24" s="63" t="s">
        <v>85</v>
      </c>
      <c r="F24" s="60" t="s">
        <v>40</v>
      </c>
      <c r="G24" s="47">
        <v>1</v>
      </c>
      <c r="H24" s="133">
        <f>IF(B$17=0,0,G24/B$17)</f>
        <v>4.6296296296296294E-3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4.6296296296296294E-3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4.6296296296296294E-3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6.5616797900262466E-3</v>
      </c>
      <c r="E27" s="63" t="s">
        <v>94</v>
      </c>
      <c r="F27" s="60" t="s">
        <v>49</v>
      </c>
      <c r="G27" s="47">
        <v>1</v>
      </c>
      <c r="H27" s="133">
        <f>IF(B$17=0,0,G27/B$17)</f>
        <v>4.6296296296296294E-3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5B4CA-AFB8-4F67-8836-15AC25957726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37</v>
      </c>
      <c r="C2" s="147"/>
      <c r="E2" s="62" t="s">
        <v>67</v>
      </c>
      <c r="F2" s="59" t="s">
        <v>23</v>
      </c>
      <c r="G2" s="46">
        <v>52</v>
      </c>
      <c r="H2" s="132">
        <f>IF(B$17=0,0,G2/B$17)</f>
        <v>0.82539682539682535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-2886.4864864864867</v>
      </c>
      <c r="P2" s="118">
        <v>37</v>
      </c>
      <c r="Q2" s="102">
        <v>-106800</v>
      </c>
    </row>
    <row r="3" spans="1:17" x14ac:dyDescent="0.4">
      <c r="A3" s="55" t="s">
        <v>8</v>
      </c>
      <c r="B3" s="148">
        <v>300</v>
      </c>
      <c r="C3" s="149"/>
      <c r="E3" s="63" t="s">
        <v>65</v>
      </c>
      <c r="F3" s="60" t="s">
        <v>21</v>
      </c>
      <c r="G3" s="47">
        <v>36</v>
      </c>
      <c r="H3" s="133">
        <f>IF(B$17=0,0,G3/B$17)</f>
        <v>0.5714285714285714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-3205.4054054054054</v>
      </c>
      <c r="P3" s="119">
        <v>37</v>
      </c>
      <c r="Q3" s="103">
        <v>-118600</v>
      </c>
    </row>
    <row r="4" spans="1:17" x14ac:dyDescent="0.4">
      <c r="A4" s="55" t="s">
        <v>6</v>
      </c>
      <c r="B4" s="150">
        <v>-826.89999999999986</v>
      </c>
      <c r="C4" s="151"/>
      <c r="E4" s="63" t="s">
        <v>69</v>
      </c>
      <c r="F4" s="60" t="s">
        <v>12</v>
      </c>
      <c r="G4" s="47">
        <v>25</v>
      </c>
      <c r="H4" s="133">
        <f>IF(B$17=0,0,G4/B$17)</f>
        <v>0.3968253968253968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-1117.6470588235295</v>
      </c>
      <c r="P4" s="119">
        <v>34</v>
      </c>
      <c r="Q4" s="103">
        <v>-38000</v>
      </c>
    </row>
    <row r="5" spans="1:17" x14ac:dyDescent="0.4">
      <c r="A5" s="55" t="s">
        <v>7</v>
      </c>
      <c r="B5" s="152">
        <f>IF(B$2=0,0,B$4/B$2)</f>
        <v>-22.348648648648645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0.3968253968253968</v>
      </c>
      <c r="I5" s="94">
        <v>5</v>
      </c>
      <c r="K5" s="38">
        <v>3</v>
      </c>
      <c r="L5" s="99">
        <v>-23.099999999999998</v>
      </c>
      <c r="N5" s="115" t="s">
        <v>135</v>
      </c>
      <c r="O5" s="122">
        <f t="shared" si="0"/>
        <v>-6886.2068965517237</v>
      </c>
      <c r="P5" s="119">
        <v>29</v>
      </c>
      <c r="Q5" s="103">
        <v>-199700</v>
      </c>
    </row>
    <row r="6" spans="1:17" x14ac:dyDescent="0.4">
      <c r="A6" s="55" t="s">
        <v>1</v>
      </c>
      <c r="B6" s="142">
        <f>IF(B$2=0,0,(B$7*1+B$8*2+B$9*3)/B$2)</f>
        <v>2.3783783783783785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0.36507936507936506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-1003.8461538461538</v>
      </c>
      <c r="P6" s="119">
        <v>26</v>
      </c>
      <c r="Q6" s="103">
        <v>-26100</v>
      </c>
    </row>
    <row r="7" spans="1:17" x14ac:dyDescent="0.4">
      <c r="A7" s="55" t="s">
        <v>2</v>
      </c>
      <c r="B7" s="47">
        <v>7</v>
      </c>
      <c r="C7" s="39">
        <f>IF(B$2=0,0,B7/B$2)</f>
        <v>0.1891891891891892</v>
      </c>
      <c r="E7" s="63" t="s">
        <v>73</v>
      </c>
      <c r="F7" s="60" t="s">
        <v>28</v>
      </c>
      <c r="G7" s="47">
        <v>20</v>
      </c>
      <c r="H7" s="133">
        <f>IF(B$17=0,0,G7/B$17)</f>
        <v>0.31746031746031744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-1616.6666666666667</v>
      </c>
      <c r="P7" s="120">
        <v>24</v>
      </c>
      <c r="Q7" s="104">
        <v>-38800</v>
      </c>
    </row>
    <row r="8" spans="1:17" x14ac:dyDescent="0.4">
      <c r="A8" s="55" t="s">
        <v>3</v>
      </c>
      <c r="B8" s="47">
        <v>9</v>
      </c>
      <c r="C8" s="39">
        <f>IF(B$2=0,0,B8/B$2)</f>
        <v>0.24324324324324326</v>
      </c>
      <c r="E8" s="63" t="s">
        <v>70</v>
      </c>
      <c r="F8" s="60" t="s">
        <v>25</v>
      </c>
      <c r="G8" s="47">
        <v>15</v>
      </c>
      <c r="H8" s="133">
        <f>IF(B$17=0,0,G8/B$17)</f>
        <v>0.23809523809523808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0.56756756756756754</v>
      </c>
      <c r="E9" s="63" t="s">
        <v>71</v>
      </c>
      <c r="F9" s="60" t="s">
        <v>26</v>
      </c>
      <c r="G9" s="47">
        <v>13</v>
      </c>
      <c r="H9" s="133">
        <f>IF(B$17=0,0,G9/B$17)</f>
        <v>0.20634920634920634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0.21621621621621623</v>
      </c>
      <c r="E10" s="63" t="s">
        <v>72</v>
      </c>
      <c r="F10" s="60" t="s">
        <v>27</v>
      </c>
      <c r="G10" s="47">
        <v>7</v>
      </c>
      <c r="H10" s="133">
        <f>IF(B$17=0,0,G10/B$17)</f>
        <v>0.1111111111111111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-24.338461538461534</v>
      </c>
      <c r="P10" s="118">
        <v>13</v>
      </c>
      <c r="Q10" s="106">
        <v>-316.39999999999992</v>
      </c>
    </row>
    <row r="11" spans="1:17" x14ac:dyDescent="0.4">
      <c r="A11" s="56" t="s">
        <v>140</v>
      </c>
      <c r="B11" s="48">
        <v>2</v>
      </c>
      <c r="C11" s="40">
        <f>IF(B$2=0,0,B11/B$2)</f>
        <v>5.4054054054054057E-2</v>
      </c>
      <c r="E11" s="63" t="s">
        <v>90</v>
      </c>
      <c r="F11" s="60" t="s">
        <v>45</v>
      </c>
      <c r="G11" s="47">
        <v>6</v>
      </c>
      <c r="H11" s="133">
        <f>IF(B$17=0,0,G11/B$17)</f>
        <v>9.5238095238095233E-2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-20.028571428571432</v>
      </c>
      <c r="P11" s="119">
        <v>14</v>
      </c>
      <c r="Q11" s="107">
        <v>-280.40000000000003</v>
      </c>
    </row>
    <row r="12" spans="1:17" x14ac:dyDescent="0.4">
      <c r="A12" s="57" t="s">
        <v>160</v>
      </c>
      <c r="B12" s="49">
        <v>4</v>
      </c>
      <c r="C12" s="42">
        <f>IF(B$2=0,0,B12/B$2)</f>
        <v>0.10810810810810811</v>
      </c>
      <c r="E12" s="63" t="s">
        <v>66</v>
      </c>
      <c r="F12" s="60" t="s">
        <v>22</v>
      </c>
      <c r="G12" s="47">
        <v>5</v>
      </c>
      <c r="H12" s="133">
        <f>IF(B$17=0,0,G12/B$17)</f>
        <v>7.9365079365079361E-2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74</v>
      </c>
      <c r="C13" s="44">
        <f>IF(B$3=0,0,B13/B$3)</f>
        <v>0.24666666666666667</v>
      </c>
      <c r="E13" s="63" t="s">
        <v>87</v>
      </c>
      <c r="F13" s="60" t="s">
        <v>42</v>
      </c>
      <c r="G13" s="47">
        <v>2</v>
      </c>
      <c r="H13" s="133">
        <f>IF(B$17=0,0,G13/B$17)</f>
        <v>3.1746031746031744E-2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44</v>
      </c>
      <c r="C14" s="39">
        <f>IF(B$3=0,0,B14/B$3)</f>
        <v>0.14666666666666667</v>
      </c>
      <c r="E14" s="63" t="s">
        <v>78</v>
      </c>
      <c r="F14" s="60" t="s">
        <v>33</v>
      </c>
      <c r="G14" s="47">
        <v>1</v>
      </c>
      <c r="H14" s="133">
        <f>IF(B$17=0,0,G14/B$17)</f>
        <v>1.5873015873015872E-2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0.51351351351351349</v>
      </c>
      <c r="E15" s="63" t="s">
        <v>79</v>
      </c>
      <c r="F15" s="60" t="s">
        <v>34</v>
      </c>
      <c r="G15" s="47">
        <v>1</v>
      </c>
      <c r="H15" s="133">
        <f>IF(B$17=0,0,G15/B$17)</f>
        <v>1.5873015873015872E-2</v>
      </c>
      <c r="I15" s="94">
        <v>5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8</v>
      </c>
      <c r="C16" s="37">
        <f>IF(B$14=0,0,B16/B$14)</f>
        <v>0.18181818181818182</v>
      </c>
      <c r="E16" s="63" t="s">
        <v>80</v>
      </c>
      <c r="F16" s="60" t="s">
        <v>35</v>
      </c>
      <c r="G16" s="47">
        <v>1</v>
      </c>
      <c r="H16" s="133">
        <f>IF(B$17=0,0,G16/B$17)</f>
        <v>1.5873015873015872E-2</v>
      </c>
      <c r="I16" s="94">
        <v>4</v>
      </c>
      <c r="K16" s="38">
        <v>14</v>
      </c>
      <c r="L16" s="99">
        <v>-394.6</v>
      </c>
      <c r="N16" s="115" t="s">
        <v>128</v>
      </c>
      <c r="O16" s="125">
        <f>IF(P16=0,0,Q16/P16)</f>
        <v>-7.4384615384615325</v>
      </c>
      <c r="P16" s="119">
        <v>26</v>
      </c>
      <c r="Q16" s="107">
        <v>-193.39999999999984</v>
      </c>
    </row>
    <row r="17" spans="1:17" x14ac:dyDescent="0.4">
      <c r="A17" s="54" t="s">
        <v>10</v>
      </c>
      <c r="B17" s="46">
        <f>B19+B18</f>
        <v>63</v>
      </c>
      <c r="C17" s="37">
        <f>IF(B$3=0,0,B17/B$3)</f>
        <v>0.21</v>
      </c>
      <c r="E17" s="63" t="s">
        <v>82</v>
      </c>
      <c r="F17" s="60" t="s">
        <v>37</v>
      </c>
      <c r="G17" s="47">
        <v>1</v>
      </c>
      <c r="H17" s="133">
        <f>IF(B$17=0,0,G17/B$17)</f>
        <v>1.5873015873015872E-2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-30.733333333333331</v>
      </c>
      <c r="P17" s="119">
        <v>6</v>
      </c>
      <c r="Q17" s="107">
        <v>-184.39999999999998</v>
      </c>
    </row>
    <row r="18" spans="1:17" x14ac:dyDescent="0.4">
      <c r="A18" s="55" t="s">
        <v>12</v>
      </c>
      <c r="B18" s="47">
        <v>31</v>
      </c>
      <c r="C18" s="39">
        <f>IF(B$17=0,0,B18/B$17)</f>
        <v>0.49206349206349204</v>
      </c>
      <c r="E18" s="63" t="s">
        <v>84</v>
      </c>
      <c r="F18" s="60" t="s">
        <v>39</v>
      </c>
      <c r="G18" s="47">
        <v>1</v>
      </c>
      <c r="H18" s="133">
        <f>IF(B$17=0,0,G18/B$17)</f>
        <v>1.5873015873015872E-2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32</v>
      </c>
      <c r="C19" s="39">
        <f>IF(B$17=0,0,B19/B$17)</f>
        <v>0.50793650793650791</v>
      </c>
      <c r="E19" s="63" t="s">
        <v>88</v>
      </c>
      <c r="F19" s="60" t="s">
        <v>43</v>
      </c>
      <c r="G19" s="47">
        <v>1</v>
      </c>
      <c r="H19" s="133">
        <f>IF(B$17=0,0,G19/B$17)</f>
        <v>1.5873015873015872E-2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-56.752173913043507</v>
      </c>
      <c r="P19" s="119">
        <v>23</v>
      </c>
      <c r="Q19" s="107">
        <v>-1305.3000000000006</v>
      </c>
    </row>
    <row r="20" spans="1:17" x14ac:dyDescent="0.4">
      <c r="A20" s="55" t="s">
        <v>13</v>
      </c>
      <c r="B20" s="47">
        <v>58</v>
      </c>
      <c r="C20" s="39">
        <f>IF(B$3=0,0,B20/B$3)</f>
        <v>0.19333333333333333</v>
      </c>
      <c r="E20" s="63" t="s">
        <v>89</v>
      </c>
      <c r="F20" s="60" t="s">
        <v>44</v>
      </c>
      <c r="G20" s="47">
        <v>1</v>
      </c>
      <c r="H20" s="133">
        <f>IF(B$17=0,0,G20/B$17)</f>
        <v>1.5873015873015872E-2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94</v>
      </c>
      <c r="F21" s="60" t="s">
        <v>49</v>
      </c>
      <c r="G21" s="47">
        <v>1</v>
      </c>
      <c r="H21" s="133">
        <f>IF(B$17=0,0,G21/B$17)</f>
        <v>1.5873015873015872E-2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4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8457.1428571428569</v>
      </c>
      <c r="C23" s="41">
        <v>532800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-9810.3448275862065</v>
      </c>
      <c r="C24" s="45">
        <v>-569000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3.3333333333333335E-3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44DB3A-9D3F-40F4-B61F-D57D14C9F854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67</v>
      </c>
      <c r="F2" s="59" t="s">
        <v>23</v>
      </c>
      <c r="G2" s="46">
        <v>74</v>
      </c>
      <c r="H2" s="132">
        <f>IF(B$17=0,0,G2/B$17)</f>
        <v>0.74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144.68085106382978</v>
      </c>
      <c r="P2" s="118">
        <v>47</v>
      </c>
      <c r="Q2" s="102">
        <v>6800</v>
      </c>
    </row>
    <row r="3" spans="1:17" x14ac:dyDescent="0.4">
      <c r="A3" s="55" t="s">
        <v>8</v>
      </c>
      <c r="B3" s="148">
        <v>398</v>
      </c>
      <c r="C3" s="149"/>
      <c r="E3" s="63" t="s">
        <v>65</v>
      </c>
      <c r="F3" s="60" t="s">
        <v>21</v>
      </c>
      <c r="G3" s="47">
        <v>55</v>
      </c>
      <c r="H3" s="133">
        <f>IF(B$17=0,0,G3/B$17)</f>
        <v>0.55000000000000004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744.68085106382978</v>
      </c>
      <c r="P3" s="119">
        <v>47</v>
      </c>
      <c r="Q3" s="103">
        <v>35000</v>
      </c>
    </row>
    <row r="4" spans="1:17" x14ac:dyDescent="0.4">
      <c r="A4" s="55" t="s">
        <v>6</v>
      </c>
      <c r="B4" s="150">
        <v>-33.1</v>
      </c>
      <c r="C4" s="151"/>
      <c r="E4" s="63" t="s">
        <v>73</v>
      </c>
      <c r="F4" s="60" t="s">
        <v>28</v>
      </c>
      <c r="G4" s="47">
        <v>51</v>
      </c>
      <c r="H4" s="133">
        <f>IF(B$17=0,0,G4/B$17)</f>
        <v>0.51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-93.333333333333329</v>
      </c>
      <c r="P4" s="119">
        <v>45</v>
      </c>
      <c r="Q4" s="103">
        <v>-4200</v>
      </c>
    </row>
    <row r="5" spans="1:17" x14ac:dyDescent="0.4">
      <c r="A5" s="55" t="s">
        <v>7</v>
      </c>
      <c r="B5" s="152">
        <f>IF(B$2=0,0,B$4/B$2)</f>
        <v>-0.70425531914893624</v>
      </c>
      <c r="C5" s="153"/>
      <c r="E5" s="63" t="s">
        <v>181</v>
      </c>
      <c r="F5" s="60" t="s">
        <v>182</v>
      </c>
      <c r="G5" s="47">
        <v>35</v>
      </c>
      <c r="H5" s="133">
        <f>IF(B$17=0,0,G5/B$17)</f>
        <v>0.35</v>
      </c>
      <c r="I5" s="94">
        <v>8</v>
      </c>
      <c r="K5" s="38">
        <v>3</v>
      </c>
      <c r="L5" s="99">
        <v>-60.100000000000009</v>
      </c>
      <c r="N5" s="115" t="s">
        <v>135</v>
      </c>
      <c r="O5" s="122">
        <f t="shared" si="0"/>
        <v>2017.948717948718</v>
      </c>
      <c r="P5" s="119">
        <v>39</v>
      </c>
      <c r="Q5" s="103">
        <v>78700</v>
      </c>
    </row>
    <row r="6" spans="1:17" x14ac:dyDescent="0.4">
      <c r="A6" s="55" t="s">
        <v>1</v>
      </c>
      <c r="B6" s="142">
        <f>IF(B$2=0,0,(B$7*1+B$8*2+B$9*3)/B$2)</f>
        <v>2.0851063829787235</v>
      </c>
      <c r="C6" s="143"/>
      <c r="E6" s="63" t="s">
        <v>68</v>
      </c>
      <c r="F6" s="60" t="s">
        <v>24</v>
      </c>
      <c r="G6" s="47">
        <v>31</v>
      </c>
      <c r="H6" s="133">
        <f>IF(B$17=0,0,G6/B$17)</f>
        <v>0.31</v>
      </c>
      <c r="I6" s="94">
        <v>6</v>
      </c>
      <c r="K6" s="38">
        <v>4</v>
      </c>
      <c r="L6" s="99">
        <v>-11.300000000000011</v>
      </c>
      <c r="N6" s="115" t="s">
        <v>136</v>
      </c>
      <c r="O6" s="122">
        <f t="shared" si="0"/>
        <v>-1500</v>
      </c>
      <c r="P6" s="119">
        <v>36</v>
      </c>
      <c r="Q6" s="103">
        <v>-54000</v>
      </c>
    </row>
    <row r="7" spans="1:17" x14ac:dyDescent="0.4">
      <c r="A7" s="55" t="s">
        <v>2</v>
      </c>
      <c r="B7" s="47">
        <v>13</v>
      </c>
      <c r="C7" s="39">
        <f>IF(B$2=0,0,B7/B$2)</f>
        <v>0.27659574468085107</v>
      </c>
      <c r="E7" s="63" t="s">
        <v>69</v>
      </c>
      <c r="F7" s="60" t="s">
        <v>12</v>
      </c>
      <c r="G7" s="47">
        <v>26</v>
      </c>
      <c r="H7" s="133">
        <f>IF(B$17=0,0,G7/B$17)</f>
        <v>0.26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-217.64705882352942</v>
      </c>
      <c r="P7" s="120">
        <v>34</v>
      </c>
      <c r="Q7" s="104">
        <v>-7400</v>
      </c>
    </row>
    <row r="8" spans="1:17" x14ac:dyDescent="0.4">
      <c r="A8" s="55" t="s">
        <v>3</v>
      </c>
      <c r="B8" s="47">
        <v>17</v>
      </c>
      <c r="C8" s="39">
        <f>IF(B$2=0,0,B8/B$2)</f>
        <v>0.36170212765957449</v>
      </c>
      <c r="E8" s="63" t="s">
        <v>70</v>
      </c>
      <c r="F8" s="60" t="s">
        <v>25</v>
      </c>
      <c r="G8" s="47">
        <v>22</v>
      </c>
      <c r="H8" s="133">
        <f>IF(B$17=0,0,G8/B$17)</f>
        <v>0.22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0.36170212765957449</v>
      </c>
      <c r="E9" s="63" t="s">
        <v>90</v>
      </c>
      <c r="F9" s="60" t="s">
        <v>45</v>
      </c>
      <c r="G9" s="47">
        <v>15</v>
      </c>
      <c r="H9" s="133">
        <f>IF(B$17=0,0,G9/B$17)</f>
        <v>0.15</v>
      </c>
      <c r="I9" s="94">
        <v>5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2.1276595744680851E-2</v>
      </c>
      <c r="E10" s="63" t="s">
        <v>66</v>
      </c>
      <c r="F10" s="60" t="s">
        <v>22</v>
      </c>
      <c r="G10" s="47">
        <v>14</v>
      </c>
      <c r="H10" s="133">
        <f>IF(B$17=0,0,G10/B$17)</f>
        <v>0.14000000000000001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9.918181818181818</v>
      </c>
      <c r="P10" s="118">
        <v>11</v>
      </c>
      <c r="Q10" s="106">
        <v>109.1</v>
      </c>
    </row>
    <row r="11" spans="1:17" x14ac:dyDescent="0.4">
      <c r="A11" s="56" t="s">
        <v>140</v>
      </c>
      <c r="B11" s="48">
        <v>6</v>
      </c>
      <c r="C11" s="40">
        <f>IF(B$2=0,0,B11/B$2)</f>
        <v>0.1276595744680851</v>
      </c>
      <c r="E11" s="63" t="s">
        <v>71</v>
      </c>
      <c r="F11" s="60" t="s">
        <v>26</v>
      </c>
      <c r="G11" s="47">
        <v>12</v>
      </c>
      <c r="H11" s="133">
        <f>IF(B$17=0,0,G11/B$17)</f>
        <v>0.12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-5.1499999999999986</v>
      </c>
      <c r="P11" s="119">
        <v>20</v>
      </c>
      <c r="Q11" s="107">
        <v>-102.99999999999997</v>
      </c>
    </row>
    <row r="12" spans="1:17" x14ac:dyDescent="0.4">
      <c r="A12" s="57" t="s">
        <v>160</v>
      </c>
      <c r="B12" s="49">
        <v>4</v>
      </c>
      <c r="C12" s="42">
        <f>IF(B$2=0,0,B12/B$2)</f>
        <v>8.5106382978723402E-2</v>
      </c>
      <c r="E12" s="63" t="s">
        <v>87</v>
      </c>
      <c r="F12" s="60" t="s">
        <v>42</v>
      </c>
      <c r="G12" s="47">
        <v>8</v>
      </c>
      <c r="H12" s="133">
        <f>IF(B$17=0,0,G12/B$17)</f>
        <v>0.08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103</v>
      </c>
      <c r="C13" s="44">
        <f>IF(B$3=0,0,B13/B$3)</f>
        <v>0.25879396984924624</v>
      </c>
      <c r="E13" s="63" t="s">
        <v>72</v>
      </c>
      <c r="F13" s="60" t="s">
        <v>27</v>
      </c>
      <c r="G13" s="47">
        <v>7</v>
      </c>
      <c r="H13" s="133">
        <f>IF(B$17=0,0,G13/B$17)</f>
        <v>7.0000000000000007E-2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68</v>
      </c>
      <c r="C14" s="39">
        <f>IF(B$3=0,0,B14/B$3)</f>
        <v>0.17085427135678391</v>
      </c>
      <c r="E14" s="63" t="s">
        <v>84</v>
      </c>
      <c r="F14" s="60" t="s">
        <v>39</v>
      </c>
      <c r="G14" s="47">
        <v>6</v>
      </c>
      <c r="H14" s="133">
        <f>IF(B$17=0,0,G14/B$17)</f>
        <v>0.06</v>
      </c>
      <c r="I14" s="94">
        <v>2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0.57281553398058249</v>
      </c>
      <c r="E15" s="63" t="s">
        <v>82</v>
      </c>
      <c r="F15" s="60" t="s">
        <v>37</v>
      </c>
      <c r="G15" s="47">
        <v>4</v>
      </c>
      <c r="H15" s="133">
        <f>IF(B$17=0,0,G15/B$17)</f>
        <v>0.04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24</v>
      </c>
      <c r="C16" s="37">
        <f>IF(B$14=0,0,B16/B$14)</f>
        <v>0.35294117647058826</v>
      </c>
      <c r="E16" s="63" t="s">
        <v>79</v>
      </c>
      <c r="F16" s="60" t="s">
        <v>34</v>
      </c>
      <c r="G16" s="47">
        <v>3</v>
      </c>
      <c r="H16" s="133">
        <f>IF(B$17=0,0,G16/B$17)</f>
        <v>0.03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0.25125628140703515</v>
      </c>
      <c r="E17" s="63" t="s">
        <v>76</v>
      </c>
      <c r="F17" s="60" t="s">
        <v>31</v>
      </c>
      <c r="G17" s="47">
        <v>2</v>
      </c>
      <c r="H17" s="133">
        <f>IF(B$17=0,0,G17/B$17)</f>
        <v>0.02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37</v>
      </c>
      <c r="C18" s="39">
        <f>IF(B$17=0,0,B18/B$17)</f>
        <v>0.37</v>
      </c>
      <c r="E18" s="63" t="s">
        <v>93</v>
      </c>
      <c r="F18" s="60" t="s">
        <v>48</v>
      </c>
      <c r="G18" s="47">
        <v>2</v>
      </c>
      <c r="H18" s="133">
        <f>IF(B$17=0,0,G18/B$17)</f>
        <v>0.02</v>
      </c>
      <c r="I18" s="94">
        <v>1</v>
      </c>
      <c r="K18" s="38">
        <v>16</v>
      </c>
      <c r="L18" s="99">
        <v>-50.3</v>
      </c>
      <c r="N18" s="115" t="s">
        <v>172</v>
      </c>
      <c r="O18" s="125">
        <f>IF(P18=0,0,Q18/P18)</f>
        <v>-1.0923076923076933</v>
      </c>
      <c r="P18" s="119">
        <v>13</v>
      </c>
      <c r="Q18" s="107">
        <v>-14.200000000000012</v>
      </c>
    </row>
    <row r="19" spans="1:17" x14ac:dyDescent="0.4">
      <c r="A19" s="55" t="s">
        <v>11</v>
      </c>
      <c r="B19" s="47">
        <v>63</v>
      </c>
      <c r="C19" s="39">
        <f>IF(B$17=0,0,B19/B$17)</f>
        <v>0.63</v>
      </c>
      <c r="E19" s="63" t="s">
        <v>180</v>
      </c>
      <c r="F19" s="60" t="s">
        <v>183</v>
      </c>
      <c r="G19" s="47">
        <v>2</v>
      </c>
      <c r="H19" s="133">
        <f>IF(B$17=0,0,G19/B$17)</f>
        <v>0.02</v>
      </c>
      <c r="I19" s="94">
        <v>2</v>
      </c>
      <c r="K19" s="38">
        <v>17</v>
      </c>
      <c r="L19" s="99">
        <v>-74.3</v>
      </c>
      <c r="N19" s="115" t="s">
        <v>128</v>
      </c>
      <c r="O19" s="125">
        <f>IF(P19=0,0,Q19/P19)</f>
        <v>-2.2307692307692384</v>
      </c>
      <c r="P19" s="119">
        <v>26</v>
      </c>
      <c r="Q19" s="107">
        <v>-58.000000000000199</v>
      </c>
    </row>
    <row r="20" spans="1:17" x14ac:dyDescent="0.4">
      <c r="A20" s="55" t="s">
        <v>13</v>
      </c>
      <c r="B20" s="47">
        <v>62</v>
      </c>
      <c r="C20" s="39">
        <f>IF(B$3=0,0,B20/B$3)</f>
        <v>0.15577889447236182</v>
      </c>
      <c r="E20" s="63" t="s">
        <v>88</v>
      </c>
      <c r="F20" s="60" t="s">
        <v>43</v>
      </c>
      <c r="G20" s="47">
        <v>1</v>
      </c>
      <c r="H20" s="133">
        <f>IF(B$17=0,0,G20/B$17)</f>
        <v>0.01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-18.848148148148145</v>
      </c>
      <c r="P21" s="119">
        <v>27</v>
      </c>
      <c r="Q21" s="107">
        <v>-508.89999999999992</v>
      </c>
    </row>
    <row r="22" spans="1:17" x14ac:dyDescent="0.4">
      <c r="A22" s="55" t="s">
        <v>194</v>
      </c>
      <c r="B22" s="47">
        <v>20</v>
      </c>
      <c r="C22" s="135">
        <v>2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9392</v>
      </c>
      <c r="C23" s="41">
        <v>939200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-7070.9677419354839</v>
      </c>
      <c r="C24" s="45">
        <v>-438400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2.5125628140703518E-3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E883E-A55B-499F-809D-AC5117F13D17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42</v>
      </c>
      <c r="C2" s="147"/>
      <c r="E2" s="62" t="s">
        <v>67</v>
      </c>
      <c r="F2" s="59" t="s">
        <v>23</v>
      </c>
      <c r="G2" s="46">
        <v>96</v>
      </c>
      <c r="H2" s="132">
        <f>IF(B$17=0,0,G2/B$17)</f>
        <v>0.71111111111111114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1157.1428571428571</v>
      </c>
      <c r="P2" s="118">
        <v>42</v>
      </c>
      <c r="Q2" s="102">
        <v>48600</v>
      </c>
    </row>
    <row r="3" spans="1:17" x14ac:dyDescent="0.4">
      <c r="A3" s="55" t="s">
        <v>8</v>
      </c>
      <c r="B3" s="148">
        <v>368</v>
      </c>
      <c r="C3" s="149"/>
      <c r="E3" s="63" t="s">
        <v>73</v>
      </c>
      <c r="F3" s="60" t="s">
        <v>28</v>
      </c>
      <c r="G3" s="47">
        <v>80</v>
      </c>
      <c r="H3" s="133">
        <f>IF(B$17=0,0,G3/B$17)</f>
        <v>0.59259259259259256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-290.47619047619048</v>
      </c>
      <c r="P3" s="119">
        <v>42</v>
      </c>
      <c r="Q3" s="103">
        <v>-12200</v>
      </c>
    </row>
    <row r="4" spans="1:17" x14ac:dyDescent="0.4">
      <c r="A4" s="55" t="s">
        <v>6</v>
      </c>
      <c r="B4" s="150">
        <v>42.300000000000004</v>
      </c>
      <c r="C4" s="151"/>
      <c r="E4" s="63" t="s">
        <v>181</v>
      </c>
      <c r="F4" s="60" t="s">
        <v>182</v>
      </c>
      <c r="G4" s="47">
        <v>52</v>
      </c>
      <c r="H4" s="133">
        <f>IF(B$17=0,0,G4/B$17)</f>
        <v>0.38518518518518519</v>
      </c>
      <c r="I4" s="94">
        <v>7</v>
      </c>
      <c r="K4" s="38">
        <v>2</v>
      </c>
      <c r="L4" s="99">
        <v>-7.7000000000000011</v>
      </c>
      <c r="N4" s="115" t="s">
        <v>134</v>
      </c>
      <c r="O4" s="122">
        <f t="shared" si="0"/>
        <v>505.40540540540542</v>
      </c>
      <c r="P4" s="119">
        <v>37</v>
      </c>
      <c r="Q4" s="103">
        <v>18700</v>
      </c>
    </row>
    <row r="5" spans="1:17" x14ac:dyDescent="0.4">
      <c r="A5" s="55" t="s">
        <v>7</v>
      </c>
      <c r="B5" s="152">
        <f>IF(B$2=0,0,B$4/B$2)</f>
        <v>1.0071428571428573</v>
      </c>
      <c r="C5" s="153"/>
      <c r="E5" s="63" t="s">
        <v>65</v>
      </c>
      <c r="F5" s="60" t="s">
        <v>21</v>
      </c>
      <c r="G5" s="47">
        <v>50</v>
      </c>
      <c r="H5" s="133">
        <f>IF(B$17=0,0,G5/B$17)</f>
        <v>0.37037037037037035</v>
      </c>
      <c r="I5" s="94">
        <v>11</v>
      </c>
      <c r="K5" s="38">
        <v>3</v>
      </c>
      <c r="L5" s="99">
        <v>1.7999999999999989</v>
      </c>
      <c r="N5" s="115" t="s">
        <v>135</v>
      </c>
      <c r="O5" s="122">
        <f t="shared" si="0"/>
        <v>934.28571428571433</v>
      </c>
      <c r="P5" s="119">
        <v>35</v>
      </c>
      <c r="Q5" s="103">
        <v>32700</v>
      </c>
    </row>
    <row r="6" spans="1:17" x14ac:dyDescent="0.4">
      <c r="A6" s="55" t="s">
        <v>1</v>
      </c>
      <c r="B6" s="142">
        <f>IF(B$2=0,0,(B$7*1+B$8*2+B$9*3)/B$2)</f>
        <v>2.0714285714285716</v>
      </c>
      <c r="C6" s="143"/>
      <c r="E6" s="63" t="s">
        <v>69</v>
      </c>
      <c r="F6" s="60" t="s">
        <v>12</v>
      </c>
      <c r="G6" s="47">
        <v>37</v>
      </c>
      <c r="H6" s="133">
        <f>IF(B$17=0,0,G6/B$17)</f>
        <v>0.27407407407407408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73.529411764705884</v>
      </c>
      <c r="P6" s="119">
        <v>34</v>
      </c>
      <c r="Q6" s="103">
        <v>2500</v>
      </c>
    </row>
    <row r="7" spans="1:17" x14ac:dyDescent="0.4">
      <c r="A7" s="55" t="s">
        <v>2</v>
      </c>
      <c r="B7" s="47">
        <v>12</v>
      </c>
      <c r="C7" s="39">
        <f>IF(B$2=0,0,B7/B$2)</f>
        <v>0.2857142857142857</v>
      </c>
      <c r="E7" s="63" t="s">
        <v>68</v>
      </c>
      <c r="F7" s="60" t="s">
        <v>24</v>
      </c>
      <c r="G7" s="47">
        <v>25</v>
      </c>
      <c r="H7" s="133">
        <f>IF(B$17=0,0,G7/B$17)</f>
        <v>0.18518518518518517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-1403.3333333333333</v>
      </c>
      <c r="P7" s="120">
        <v>30</v>
      </c>
      <c r="Q7" s="104">
        <v>-42100</v>
      </c>
    </row>
    <row r="8" spans="1:17" x14ac:dyDescent="0.4">
      <c r="A8" s="55" t="s">
        <v>3</v>
      </c>
      <c r="B8" s="47">
        <v>15</v>
      </c>
      <c r="C8" s="39">
        <f>IF(B$2=0,0,B8/B$2)</f>
        <v>0.35714285714285715</v>
      </c>
      <c r="E8" s="63" t="s">
        <v>70</v>
      </c>
      <c r="F8" s="60" t="s">
        <v>25</v>
      </c>
      <c r="G8" s="47">
        <v>19</v>
      </c>
      <c r="H8" s="133">
        <f>IF(B$17=0,0,G8/B$17)</f>
        <v>0.14074074074074075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0.35714285714285715</v>
      </c>
      <c r="E9" s="63" t="s">
        <v>66</v>
      </c>
      <c r="F9" s="60" t="s">
        <v>22</v>
      </c>
      <c r="G9" s="47">
        <v>13</v>
      </c>
      <c r="H9" s="133">
        <f>IF(B$17=0,0,G9/B$17)</f>
        <v>9.6296296296296297E-2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4.7619047619047616E-2</v>
      </c>
      <c r="E10" s="63" t="s">
        <v>71</v>
      </c>
      <c r="F10" s="60" t="s">
        <v>26</v>
      </c>
      <c r="G10" s="47">
        <v>9</v>
      </c>
      <c r="H10" s="133">
        <f>IF(B$17=0,0,G10/B$17)</f>
        <v>6.6666666666666666E-2</v>
      </c>
      <c r="I10" s="94">
        <v>7</v>
      </c>
      <c r="K10" s="38">
        <v>8</v>
      </c>
      <c r="L10" s="99">
        <v>-29.5</v>
      </c>
      <c r="N10" s="114" t="s">
        <v>164</v>
      </c>
      <c r="O10" s="124">
        <f>IF(P10=0,0,Q10/P10)</f>
        <v>-11.884615384615387</v>
      </c>
      <c r="P10" s="118">
        <v>13</v>
      </c>
      <c r="Q10" s="106">
        <v>-154.50000000000003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0.11904761904761904</v>
      </c>
      <c r="E11" s="63" t="s">
        <v>90</v>
      </c>
      <c r="F11" s="60" t="s">
        <v>45</v>
      </c>
      <c r="G11" s="47">
        <v>9</v>
      </c>
      <c r="H11" s="133">
        <f>IF(B$17=0,0,G11/B$17)</f>
        <v>6.6666666666666666E-2</v>
      </c>
      <c r="I11" s="94">
        <v>11</v>
      </c>
      <c r="K11" s="38">
        <v>9</v>
      </c>
      <c r="L11" s="99">
        <v>-56.5</v>
      </c>
      <c r="N11" s="115" t="s">
        <v>165</v>
      </c>
      <c r="O11" s="125">
        <f>IF(P11=0,0,Q11/P11)</f>
        <v>10.86153846153846</v>
      </c>
      <c r="P11" s="119">
        <v>13</v>
      </c>
      <c r="Q11" s="107">
        <v>141.19999999999999</v>
      </c>
    </row>
    <row r="12" spans="1:17" x14ac:dyDescent="0.4">
      <c r="A12" s="57" t="s">
        <v>160</v>
      </c>
      <c r="B12" s="49">
        <v>2</v>
      </c>
      <c r="C12" s="42">
        <f>IF(B$2=0,0,B12/B$2)</f>
        <v>4.7619047619047616E-2</v>
      </c>
      <c r="E12" s="63" t="s">
        <v>87</v>
      </c>
      <c r="F12" s="60" t="s">
        <v>42</v>
      </c>
      <c r="G12" s="47">
        <v>8</v>
      </c>
      <c r="H12" s="133">
        <f>IF(B$17=0,0,G12/B$17)</f>
        <v>5.9259259259259262E-2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3.4750000000000005</v>
      </c>
      <c r="P12" s="120">
        <v>16</v>
      </c>
      <c r="Q12" s="108">
        <v>55.600000000000009</v>
      </c>
    </row>
    <row r="13" spans="1:17" x14ac:dyDescent="0.4">
      <c r="A13" s="58" t="s">
        <v>122</v>
      </c>
      <c r="B13" s="50">
        <v>86</v>
      </c>
      <c r="C13" s="44">
        <f>IF(B$3=0,0,B13/B$3)</f>
        <v>0.23369565217391305</v>
      </c>
      <c r="E13" s="63" t="s">
        <v>84</v>
      </c>
      <c r="F13" s="60" t="s">
        <v>39</v>
      </c>
      <c r="G13" s="47">
        <v>7</v>
      </c>
      <c r="H13" s="133">
        <f>IF(B$17=0,0,G13/B$17)</f>
        <v>5.185185185185185E-2</v>
      </c>
      <c r="I13" s="94">
        <v>5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110</v>
      </c>
      <c r="C14" s="39">
        <f>IF(B$3=0,0,B14/B$3)</f>
        <v>0.29891304347826086</v>
      </c>
      <c r="E14" s="63" t="s">
        <v>72</v>
      </c>
      <c r="F14" s="60" t="s">
        <v>27</v>
      </c>
      <c r="G14" s="47">
        <v>6</v>
      </c>
      <c r="H14" s="133">
        <f>IF(B$17=0,0,G14/B$17)</f>
        <v>4.4444444444444446E-2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51</v>
      </c>
      <c r="C15" s="37">
        <f>IF(B$13=0,0,B15/B$13)</f>
        <v>0.59302325581395354</v>
      </c>
      <c r="E15" s="63" t="s">
        <v>82</v>
      </c>
      <c r="F15" s="60" t="s">
        <v>37</v>
      </c>
      <c r="G15" s="47">
        <v>5</v>
      </c>
      <c r="H15" s="133">
        <f>IF(B$17=0,0,G15/B$17)</f>
        <v>3.7037037037037035E-2</v>
      </c>
      <c r="I15" s="94">
        <v>4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46</v>
      </c>
      <c r="C16" s="37">
        <f>IF(B$14=0,0,B16/B$14)</f>
        <v>0.41818181818181815</v>
      </c>
      <c r="E16" s="63" t="s">
        <v>79</v>
      </c>
      <c r="F16" s="60" t="s">
        <v>34</v>
      </c>
      <c r="G16" s="47">
        <v>2</v>
      </c>
      <c r="H16" s="133">
        <f>IF(B$17=0,0,G16/B$17)</f>
        <v>1.4814814814814815E-2</v>
      </c>
      <c r="I16" s="94">
        <v>7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135</v>
      </c>
      <c r="C17" s="37">
        <f>IF(B$3=0,0,B17/B$3)</f>
        <v>0.36684782608695654</v>
      </c>
      <c r="E17" s="63" t="s">
        <v>80</v>
      </c>
      <c r="F17" s="60" t="s">
        <v>35</v>
      </c>
      <c r="G17" s="47">
        <v>2</v>
      </c>
      <c r="H17" s="133">
        <f>IF(B$17=0,0,G17/B$17)</f>
        <v>1.4814814814814815E-2</v>
      </c>
      <c r="I17" s="94">
        <v>5</v>
      </c>
      <c r="K17" s="38">
        <v>15</v>
      </c>
      <c r="L17" s="99">
        <v>-80.3</v>
      </c>
      <c r="N17" s="115" t="s">
        <v>173</v>
      </c>
      <c r="O17" s="125">
        <f>IF(P17=0,0,Q17/P17)</f>
        <v>13.91111111111111</v>
      </c>
      <c r="P17" s="119">
        <v>9</v>
      </c>
      <c r="Q17" s="107">
        <v>125.19999999999999</v>
      </c>
    </row>
    <row r="18" spans="1:17" x14ac:dyDescent="0.4">
      <c r="A18" s="55" t="s">
        <v>12</v>
      </c>
      <c r="B18" s="47">
        <v>58</v>
      </c>
      <c r="C18" s="39">
        <f>IF(B$17=0,0,B18/B$17)</f>
        <v>0.42962962962962964</v>
      </c>
      <c r="E18" s="63" t="s">
        <v>92</v>
      </c>
      <c r="F18" s="60" t="s">
        <v>47</v>
      </c>
      <c r="G18" s="47">
        <v>2</v>
      </c>
      <c r="H18" s="133">
        <f>IF(B$17=0,0,G18/B$17)</f>
        <v>1.4814814814814815E-2</v>
      </c>
      <c r="I18" s="94">
        <v>5</v>
      </c>
      <c r="K18" s="38">
        <v>16</v>
      </c>
      <c r="L18" s="99">
        <v>-87.6</v>
      </c>
      <c r="N18" s="115" t="s">
        <v>177</v>
      </c>
      <c r="O18" s="125">
        <f>IF(P18=0,0,Q18/P18)</f>
        <v>13.33333333333333</v>
      </c>
      <c r="P18" s="119">
        <v>3</v>
      </c>
      <c r="Q18" s="107">
        <v>39.999999999999993</v>
      </c>
    </row>
    <row r="19" spans="1:17" x14ac:dyDescent="0.4">
      <c r="A19" s="55" t="s">
        <v>11</v>
      </c>
      <c r="B19" s="47">
        <v>77</v>
      </c>
      <c r="C19" s="39">
        <f>IF(B$17=0,0,B19/B$17)</f>
        <v>0.57037037037037042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1.0923076923076911</v>
      </c>
      <c r="P19" s="119">
        <v>13</v>
      </c>
      <c r="Q19" s="107">
        <v>14.199999999999983</v>
      </c>
    </row>
    <row r="20" spans="1:17" x14ac:dyDescent="0.4">
      <c r="A20" s="55" t="s">
        <v>13</v>
      </c>
      <c r="B20" s="47">
        <v>50</v>
      </c>
      <c r="C20" s="39">
        <f>IF(B$3=0,0,B20/B$3)</f>
        <v>0.1358695652173913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-2.0080000000000009</v>
      </c>
      <c r="P20" s="119">
        <v>25</v>
      </c>
      <c r="Q20" s="107">
        <v>-50.200000000000017</v>
      </c>
    </row>
    <row r="21" spans="1:17" x14ac:dyDescent="0.4">
      <c r="A21" s="55" t="s">
        <v>193</v>
      </c>
      <c r="B21" s="47">
        <v>10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-27.365217391304352</v>
      </c>
      <c r="P21" s="119">
        <v>23</v>
      </c>
      <c r="Q21" s="107">
        <v>-629.40000000000009</v>
      </c>
    </row>
    <row r="22" spans="1:17" x14ac:dyDescent="0.4">
      <c r="A22" s="55" t="s">
        <v>194</v>
      </c>
      <c r="B22" s="47">
        <v>23</v>
      </c>
      <c r="C22" s="135">
        <v>16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6739.2592592592591</v>
      </c>
      <c r="C23" s="41">
        <v>909800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-8898</v>
      </c>
      <c r="C24" s="45">
        <v>-444900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2.717391304347826E-3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90BFA-A749-47E5-930F-2BFB143A9E4B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</v>
      </c>
      <c r="C2" s="147"/>
      <c r="E2" s="62" t="s">
        <v>67</v>
      </c>
      <c r="F2" s="59" t="s">
        <v>23</v>
      </c>
      <c r="G2" s="46">
        <v>72</v>
      </c>
      <c r="H2" s="132">
        <f>IF(B$17=0,0,G2/B$17)</f>
        <v>0.75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-3080</v>
      </c>
      <c r="P2" s="118">
        <v>35</v>
      </c>
      <c r="Q2" s="102">
        <v>-107800</v>
      </c>
    </row>
    <row r="3" spans="1:17" x14ac:dyDescent="0.4">
      <c r="A3" s="55" t="s">
        <v>8</v>
      </c>
      <c r="B3" s="148">
        <v>312</v>
      </c>
      <c r="C3" s="149"/>
      <c r="E3" s="63" t="s">
        <v>73</v>
      </c>
      <c r="F3" s="60" t="s">
        <v>28</v>
      </c>
      <c r="G3" s="47">
        <v>51</v>
      </c>
      <c r="H3" s="133">
        <f>IF(B$17=0,0,G3/B$17)</f>
        <v>0.53125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1965.7142857142858</v>
      </c>
      <c r="P3" s="119">
        <v>35</v>
      </c>
      <c r="Q3" s="103">
        <v>68800</v>
      </c>
    </row>
    <row r="4" spans="1:17" x14ac:dyDescent="0.4">
      <c r="A4" s="55" t="s">
        <v>6</v>
      </c>
      <c r="B4" s="150">
        <v>-224.9</v>
      </c>
      <c r="C4" s="151"/>
      <c r="E4" s="63" t="s">
        <v>65</v>
      </c>
      <c r="F4" s="60" t="s">
        <v>21</v>
      </c>
      <c r="G4" s="47">
        <v>42</v>
      </c>
      <c r="H4" s="133">
        <f>IF(B$17=0,0,G4/B$17)</f>
        <v>0.4375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-884.84848484848487</v>
      </c>
      <c r="P4" s="119">
        <v>33</v>
      </c>
      <c r="Q4" s="103">
        <v>-29200</v>
      </c>
    </row>
    <row r="5" spans="1:17" x14ac:dyDescent="0.4">
      <c r="A5" s="55" t="s">
        <v>7</v>
      </c>
      <c r="B5" s="152">
        <f>IF(B$2=0,0,B$4/B$2)</f>
        <v>-6.4257142857142862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0.38541666666666669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-4461.2903225806449</v>
      </c>
      <c r="P5" s="119">
        <v>31</v>
      </c>
      <c r="Q5" s="103">
        <v>-138300</v>
      </c>
    </row>
    <row r="6" spans="1:17" x14ac:dyDescent="0.4">
      <c r="A6" s="55" t="s">
        <v>1</v>
      </c>
      <c r="B6" s="142">
        <f>IF(B$2=0,0,(B$7*1+B$8*2+B$9*3)/B$2)</f>
        <v>2.0857142857142859</v>
      </c>
      <c r="C6" s="143"/>
      <c r="E6" s="63" t="s">
        <v>181</v>
      </c>
      <c r="F6" s="60" t="s">
        <v>182</v>
      </c>
      <c r="G6" s="47">
        <v>33</v>
      </c>
      <c r="H6" s="133">
        <f>IF(B$17=0,0,G6/B$17)</f>
        <v>0.34375</v>
      </c>
      <c r="I6" s="94">
        <v>9</v>
      </c>
      <c r="K6" s="38">
        <v>4</v>
      </c>
      <c r="L6" s="99">
        <v>-150.6</v>
      </c>
      <c r="N6" s="115" t="s">
        <v>136</v>
      </c>
      <c r="O6" s="122">
        <f t="shared" si="0"/>
        <v>828.57142857142856</v>
      </c>
      <c r="P6" s="119">
        <v>28</v>
      </c>
      <c r="Q6" s="103">
        <v>23200</v>
      </c>
    </row>
    <row r="7" spans="1:17" x14ac:dyDescent="0.4">
      <c r="A7" s="55" t="s">
        <v>2</v>
      </c>
      <c r="B7" s="47">
        <v>9</v>
      </c>
      <c r="C7" s="39">
        <f>IF(B$2=0,0,B7/B$2)</f>
        <v>0.25714285714285712</v>
      </c>
      <c r="E7" s="63" t="s">
        <v>68</v>
      </c>
      <c r="F7" s="60" t="s">
        <v>24</v>
      </c>
      <c r="G7" s="47">
        <v>23</v>
      </c>
      <c r="H7" s="133">
        <f>IF(B$17=0,0,G7/B$17)</f>
        <v>0.23958333333333334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681.48148148148152</v>
      </c>
      <c r="P7" s="120">
        <v>27</v>
      </c>
      <c r="Q7" s="104">
        <v>18400</v>
      </c>
    </row>
    <row r="8" spans="1:17" x14ac:dyDescent="0.4">
      <c r="A8" s="55" t="s">
        <v>3</v>
      </c>
      <c r="B8" s="47">
        <v>14</v>
      </c>
      <c r="C8" s="39">
        <f>IF(B$2=0,0,B8/B$2)</f>
        <v>0.4</v>
      </c>
      <c r="E8" s="63" t="s">
        <v>90</v>
      </c>
      <c r="F8" s="60" t="s">
        <v>45</v>
      </c>
      <c r="G8" s="47">
        <v>12</v>
      </c>
      <c r="H8" s="133">
        <f>IF(B$17=0,0,G8/B$17)</f>
        <v>0.125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0.34285714285714286</v>
      </c>
      <c r="E9" s="63" t="s">
        <v>71</v>
      </c>
      <c r="F9" s="60" t="s">
        <v>26</v>
      </c>
      <c r="G9" s="47">
        <v>11</v>
      </c>
      <c r="H9" s="133">
        <f>IF(B$17=0,0,G9/B$17)</f>
        <v>0.11458333333333333</v>
      </c>
      <c r="I9" s="94">
        <v>4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0.11428571428571428</v>
      </c>
      <c r="E10" s="63" t="s">
        <v>70</v>
      </c>
      <c r="F10" s="60" t="s">
        <v>25</v>
      </c>
      <c r="G10" s="47">
        <v>9</v>
      </c>
      <c r="H10" s="133">
        <f>IF(B$17=0,0,G10/B$17)</f>
        <v>9.375E-2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5.7142857142857141E-2</v>
      </c>
      <c r="E11" s="63" t="s">
        <v>66</v>
      </c>
      <c r="F11" s="60" t="s">
        <v>22</v>
      </c>
      <c r="G11" s="47">
        <v>6</v>
      </c>
      <c r="H11" s="133">
        <f>IF(B$17=0,0,G11/B$17)</f>
        <v>6.25E-2</v>
      </c>
      <c r="I11" s="94">
        <v>9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2.8571428571428571E-2</v>
      </c>
      <c r="E12" s="63" t="s">
        <v>72</v>
      </c>
      <c r="F12" s="60" t="s">
        <v>27</v>
      </c>
      <c r="G12" s="47">
        <v>6</v>
      </c>
      <c r="H12" s="133">
        <f>IF(B$17=0,0,G12/B$17)</f>
        <v>6.25E-2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-4.7699999999999987</v>
      </c>
      <c r="P12" s="120">
        <v>10</v>
      </c>
      <c r="Q12" s="108">
        <v>-47.699999999999989</v>
      </c>
    </row>
    <row r="13" spans="1:17" x14ac:dyDescent="0.4">
      <c r="A13" s="58" t="s">
        <v>122</v>
      </c>
      <c r="B13" s="50">
        <v>71</v>
      </c>
      <c r="C13" s="44">
        <f>IF(B$3=0,0,B13/B$3)</f>
        <v>0.22756410256410256</v>
      </c>
      <c r="E13" s="63" t="s">
        <v>87</v>
      </c>
      <c r="F13" s="60" t="s">
        <v>42</v>
      </c>
      <c r="G13" s="47">
        <v>4</v>
      </c>
      <c r="H13" s="133">
        <f>IF(B$17=0,0,G13/B$17)</f>
        <v>4.1666666666666664E-2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79</v>
      </c>
      <c r="C14" s="39">
        <f>IF(B$3=0,0,B14/B$3)</f>
        <v>0.25320512820512819</v>
      </c>
      <c r="E14" s="63" t="s">
        <v>74</v>
      </c>
      <c r="F14" s="60" t="s">
        <v>29</v>
      </c>
      <c r="G14" s="47">
        <v>2</v>
      </c>
      <c r="H14" s="133">
        <f>IF(B$17=0,0,G14/B$17)</f>
        <v>2.0833333333333332E-2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43</v>
      </c>
      <c r="C15" s="37">
        <f>IF(B$13=0,0,B15/B$13)</f>
        <v>0.60563380281690138</v>
      </c>
      <c r="E15" s="63" t="s">
        <v>79</v>
      </c>
      <c r="F15" s="60" t="s">
        <v>34</v>
      </c>
      <c r="G15" s="47">
        <v>2</v>
      </c>
      <c r="H15" s="133">
        <f>IF(B$17=0,0,G15/B$17)</f>
        <v>2.0833333333333332E-2</v>
      </c>
      <c r="I15" s="94">
        <v>3</v>
      </c>
      <c r="K15" s="38">
        <v>13</v>
      </c>
      <c r="L15" s="99">
        <v>-302.59999999999997</v>
      </c>
      <c r="N15" s="114" t="s">
        <v>129</v>
      </c>
      <c r="O15" s="124">
        <f>IF(P15=0,0,Q15/P15)</f>
        <v>30.733333333333334</v>
      </c>
      <c r="P15" s="118">
        <v>6</v>
      </c>
      <c r="Q15" s="106">
        <v>184.4</v>
      </c>
    </row>
    <row r="16" spans="1:17" x14ac:dyDescent="0.4">
      <c r="A16" s="54" t="s">
        <v>125</v>
      </c>
      <c r="B16" s="46">
        <v>27</v>
      </c>
      <c r="C16" s="37">
        <f>IF(B$14=0,0,B16/B$14)</f>
        <v>0.34177215189873417</v>
      </c>
      <c r="E16" s="63" t="s">
        <v>80</v>
      </c>
      <c r="F16" s="60" t="s">
        <v>35</v>
      </c>
      <c r="G16" s="47">
        <v>2</v>
      </c>
      <c r="H16" s="133">
        <f>IF(B$17=0,0,G16/B$17)</f>
        <v>2.0833333333333332E-2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96</v>
      </c>
      <c r="C17" s="37">
        <f>IF(B$3=0,0,B17/B$3)</f>
        <v>0.30769230769230771</v>
      </c>
      <c r="E17" s="63" t="s">
        <v>84</v>
      </c>
      <c r="F17" s="60" t="s">
        <v>39</v>
      </c>
      <c r="G17" s="47">
        <v>2</v>
      </c>
      <c r="H17" s="133">
        <f>IF(B$17=0,0,G17/B$17)</f>
        <v>2.0833333333333332E-2</v>
      </c>
      <c r="I17" s="94">
        <v>8</v>
      </c>
      <c r="K17" s="38">
        <v>15</v>
      </c>
      <c r="L17" s="99">
        <v>-264.59999999999997</v>
      </c>
      <c r="N17" s="115" t="s">
        <v>171</v>
      </c>
      <c r="O17" s="125">
        <f>IF(P17=0,0,Q17/P17)</f>
        <v>-13.349999999999998</v>
      </c>
      <c r="P17" s="119">
        <v>14</v>
      </c>
      <c r="Q17" s="107">
        <v>-186.89999999999998</v>
      </c>
    </row>
    <row r="18" spans="1:17" x14ac:dyDescent="0.4">
      <c r="A18" s="55" t="s">
        <v>12</v>
      </c>
      <c r="B18" s="47">
        <v>50</v>
      </c>
      <c r="C18" s="39">
        <f>IF(B$17=0,0,B18/B$17)</f>
        <v>0.52083333333333337</v>
      </c>
      <c r="E18" s="63" t="s">
        <v>92</v>
      </c>
      <c r="F18" s="60" t="s">
        <v>47</v>
      </c>
      <c r="G18" s="47">
        <v>1</v>
      </c>
      <c r="H18" s="133">
        <f>IF(B$17=0,0,G18/B$17)</f>
        <v>1.0416666666666666E-2</v>
      </c>
      <c r="I18" s="94">
        <v>6</v>
      </c>
      <c r="K18" s="38">
        <v>16</v>
      </c>
      <c r="L18" s="99">
        <v>-292.79999999999995</v>
      </c>
      <c r="N18" s="115" t="s">
        <v>172</v>
      </c>
      <c r="O18" s="125">
        <f>IF(P18=0,0,Q18/P18)</f>
        <v>-13.91111111111111</v>
      </c>
      <c r="P18" s="119">
        <v>9</v>
      </c>
      <c r="Q18" s="107">
        <v>-125.19999999999999</v>
      </c>
    </row>
    <row r="19" spans="1:17" x14ac:dyDescent="0.4">
      <c r="A19" s="55" t="s">
        <v>11</v>
      </c>
      <c r="B19" s="47">
        <v>46</v>
      </c>
      <c r="C19" s="39">
        <f>IF(B$17=0,0,B19/B$17)</f>
        <v>0.47916666666666669</v>
      </c>
      <c r="E19" s="63" t="s">
        <v>180</v>
      </c>
      <c r="F19" s="60" t="s">
        <v>183</v>
      </c>
      <c r="G19" s="47">
        <v>1</v>
      </c>
      <c r="H19" s="133">
        <f>IF(B$17=0,0,G19/B$17)</f>
        <v>1.0416666666666666E-2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58</v>
      </c>
      <c r="C20" s="39">
        <f>IF(B$3=0,0,B20/B$3)</f>
        <v>0.1858974358974359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-29.176470588235286</v>
      </c>
      <c r="P20" s="119">
        <v>17</v>
      </c>
      <c r="Q20" s="107">
        <v>-495.99999999999989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3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6813.541666666667</v>
      </c>
      <c r="C23" s="41">
        <v>654100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-7934.4827586206893</v>
      </c>
      <c r="C24" s="45">
        <v>-460200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3.205128205128205E-3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12B5E-85F7-49BF-B423-0776D6F5C06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8</v>
      </c>
      <c r="K6" s="38">
        <v>4</v>
      </c>
      <c r="L6" s="99">
        <v>40</v>
      </c>
      <c r="N6" s="115" t="s">
        <v>136</v>
      </c>
      <c r="O6" s="122">
        <f t="shared" si="0"/>
        <v>-425</v>
      </c>
      <c r="P6" s="119">
        <v>16</v>
      </c>
      <c r="Q6" s="103">
        <v>-6800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7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297DC-995F-4325-878C-1349CF2CE39D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78E56-11E4-44AD-9417-768EC5D2737C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3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5AE46-A75A-47E5-B739-232C21E04833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A343E-F39D-430C-AE95-A8D9A30120D9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52428-2B61-4090-9384-6A3C5C7B68D1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F499-0C7A-4238-B62A-850E6531AA3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7F337-4CB9-4664-8205-6EAAE17089B7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EEB08-BF74-4C7F-A24B-07B572385A84}">
  <sheetPr codeName="Sheet18"/>
  <dimension ref="A1:Q3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9DBCD-B593-405C-B486-AEBC53848CA2}">
  <sheetPr codeName="Sheet16"/>
  <dimension ref="A1:Q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A58C8A-CC07-462D-BD53-373EF1ADB15D}">
  <sheetPr codeName="Sheet14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821F8-87E8-4C17-AF79-90306E263C93}">
  <sheetPr codeName="Sheet12"/>
  <dimension ref="A1:Q4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684F9-9A33-4AED-B423-8A30B2C1F8B8}">
  <sheetPr codeName="Sheet10"/>
  <dimension ref="A1:Q9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D4EA-B548-411F-A206-AEE4E6CCA290}">
  <sheetPr codeName="Sheet8"/>
  <dimension ref="A1:Q8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68B55-42C7-447E-BC55-EDE8B71DB009}">
  <sheetPr codeName="Sheet6"/>
  <dimension ref="A1:Q1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2019-05-10T17:40:40Z</dcterms:modified>
</cp:coreProperties>
</file>