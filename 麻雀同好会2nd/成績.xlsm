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6A1079AC-A371-46B1-A8F9-BCD015582D2B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570" r:id="rId6"/>
    <sheet name="だいち" sheetId="4572" r:id="rId7"/>
    <sheet name="りくと" sheetId="4574" r:id="rId8"/>
    <sheet name="ただ" sheetId="4576" r:id="rId9"/>
    <sheet name="れんたろう" sheetId="4578" r:id="rId10"/>
    <sheet name="たかの" sheetId="4580" r:id="rId11"/>
    <sheet name="ぱぱ" sheetId="4582" r:id="rId12"/>
    <sheet name="まっつん" sheetId="4584" r:id="rId13"/>
    <sheet name="あさひ" sheetId="4586" r:id="rId14"/>
    <sheet name="いっしー" sheetId="4588" r:id="rId15"/>
    <sheet name="いっしー2" sheetId="4589" state="hidden" r:id="rId16"/>
    <sheet name="あさひ2" sheetId="4587" state="hidden" r:id="rId17"/>
    <sheet name="まっつん2" sheetId="4585" state="hidden" r:id="rId18"/>
    <sheet name="ぱぱ2" sheetId="4583" state="hidden" r:id="rId19"/>
    <sheet name="たかの2" sheetId="4581" state="hidden" r:id="rId20"/>
    <sheet name="れんたろう2" sheetId="4579" state="hidden" r:id="rId21"/>
    <sheet name="ただ2" sheetId="4577" state="hidden" r:id="rId22"/>
    <sheet name="りくと2" sheetId="4575" state="hidden" r:id="rId23"/>
    <sheet name="だいち2" sheetId="4573" state="hidden" r:id="rId24"/>
    <sheet name="全体2" sheetId="457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  <sheet name="逆転率" sheetId="3529" state="hidden" r:id="rId4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2" i="4572" l="1"/>
  <c r="O16" i="4588"/>
  <c r="O17" i="4588" l="1"/>
  <c r="O15" i="4588"/>
  <c r="O17" i="4578"/>
  <c r="O19" i="4576"/>
  <c r="O17" i="4586" l="1"/>
  <c r="O19" i="4582"/>
  <c r="O15" i="4586"/>
  <c r="O20" i="4588"/>
  <c r="O16" i="4574"/>
  <c r="O15" i="4584"/>
  <c r="O18" i="4570"/>
  <c r="O18" i="4588"/>
  <c r="O19" i="4588"/>
  <c r="C27" i="4588"/>
  <c r="B24" i="4588"/>
  <c r="C20" i="4588"/>
  <c r="B17" i="4588"/>
  <c r="H52" i="4588" s="1"/>
  <c r="C16" i="4588"/>
  <c r="C15" i="4588"/>
  <c r="C14" i="4588"/>
  <c r="C13" i="4588"/>
  <c r="O12" i="4588"/>
  <c r="C12" i="4588"/>
  <c r="O11" i="4588"/>
  <c r="C11" i="4588"/>
  <c r="O10" i="4588"/>
  <c r="C10" i="4588"/>
  <c r="C9" i="4588"/>
  <c r="C8" i="4588"/>
  <c r="O7" i="4588"/>
  <c r="C7" i="4588"/>
  <c r="O6" i="4588"/>
  <c r="B6" i="4588"/>
  <c r="O5" i="4588"/>
  <c r="B5" i="4588"/>
  <c r="O4" i="4588"/>
  <c r="O3" i="4588"/>
  <c r="O2" i="4588"/>
  <c r="O16" i="4586"/>
  <c r="O18" i="4586"/>
  <c r="H45" i="4586"/>
  <c r="H44" i="4586"/>
  <c r="H37" i="4586"/>
  <c r="C27" i="4586"/>
  <c r="B24" i="4586"/>
  <c r="C20" i="4586"/>
  <c r="B17" i="4586"/>
  <c r="H51" i="4586" s="1"/>
  <c r="C16" i="4586"/>
  <c r="H18" i="4586"/>
  <c r="C15" i="4586"/>
  <c r="C14" i="4586"/>
  <c r="C13" i="4586"/>
  <c r="O12" i="4586"/>
  <c r="C12" i="4586"/>
  <c r="O11" i="4586"/>
  <c r="H14" i="4586"/>
  <c r="C11" i="4586"/>
  <c r="O10" i="4586"/>
  <c r="C10" i="4586"/>
  <c r="C9" i="4586"/>
  <c r="C8" i="4586"/>
  <c r="O7" i="4586"/>
  <c r="C7" i="4586"/>
  <c r="O6" i="4586"/>
  <c r="B6" i="4586"/>
  <c r="O5" i="4586"/>
  <c r="B5" i="4586"/>
  <c r="O4" i="4586"/>
  <c r="O3" i="4586"/>
  <c r="O2" i="4586"/>
  <c r="O20" i="4584"/>
  <c r="O19" i="4584"/>
  <c r="O16" i="4572"/>
  <c r="O17" i="4572"/>
  <c r="O22" i="4570"/>
  <c r="H15" i="4588" l="1"/>
  <c r="H3" i="4588"/>
  <c r="H39" i="4588"/>
  <c r="H28" i="4588"/>
  <c r="H42" i="4588"/>
  <c r="H18" i="4588"/>
  <c r="H19" i="4588"/>
  <c r="H12" i="4588"/>
  <c r="H45" i="4588"/>
  <c r="H23" i="4588"/>
  <c r="H2" i="4586"/>
  <c r="H25" i="4586"/>
  <c r="H13" i="4586"/>
  <c r="H5" i="4586"/>
  <c r="B23" i="4586"/>
  <c r="H10" i="4586"/>
  <c r="C18" i="4586"/>
  <c r="C17" i="4586"/>
  <c r="H4" i="4586"/>
  <c r="H6" i="4586"/>
  <c r="H15" i="4586"/>
  <c r="H52" i="4586"/>
  <c r="H12" i="4586"/>
  <c r="H8" i="4586"/>
  <c r="H7" i="4586"/>
  <c r="H29" i="4586"/>
  <c r="H3" i="4586"/>
  <c r="H21" i="4586"/>
  <c r="H17" i="4586"/>
  <c r="C19" i="4586"/>
  <c r="H36" i="4586"/>
  <c r="H30" i="4588"/>
  <c r="H5" i="4588"/>
  <c r="H4" i="4588"/>
  <c r="H16" i="4588"/>
  <c r="H31" i="4588"/>
  <c r="H21" i="4588"/>
  <c r="H2" i="4588"/>
  <c r="C19" i="4588"/>
  <c r="H22" i="4588"/>
  <c r="H8" i="4588"/>
  <c r="H38" i="4588"/>
  <c r="H46" i="4588"/>
  <c r="H47" i="4588"/>
  <c r="H7" i="4588"/>
  <c r="H13" i="4588"/>
  <c r="B23" i="4588"/>
  <c r="H34" i="4588"/>
  <c r="H50" i="4588"/>
  <c r="H10" i="4588"/>
  <c r="C17" i="4588"/>
  <c r="H25" i="4588"/>
  <c r="H37" i="4588"/>
  <c r="H6" i="4588"/>
  <c r="H26" i="4588"/>
  <c r="H32" i="4588"/>
  <c r="H40" i="4588"/>
  <c r="H48" i="4588"/>
  <c r="H9" i="4588"/>
  <c r="H27" i="4588"/>
  <c r="H33" i="4588"/>
  <c r="H41" i="4588"/>
  <c r="H49" i="4588"/>
  <c r="H20" i="4588"/>
  <c r="H35" i="4588"/>
  <c r="H43" i="4588"/>
  <c r="H51" i="4588"/>
  <c r="H11" i="4588"/>
  <c r="H14" i="4588"/>
  <c r="H17" i="4588"/>
  <c r="C18" i="4588"/>
  <c r="H24" i="4588"/>
  <c r="H29" i="4588"/>
  <c r="H36" i="4588"/>
  <c r="H44" i="4588"/>
  <c r="H26" i="4586"/>
  <c r="H30" i="4586"/>
  <c r="H38" i="4586"/>
  <c r="H46" i="4586"/>
  <c r="H22" i="4586"/>
  <c r="H31" i="4586"/>
  <c r="H39" i="4586"/>
  <c r="H47" i="4586"/>
  <c r="H19" i="4586"/>
  <c r="H27" i="4586"/>
  <c r="H32" i="4586"/>
  <c r="H40" i="4586"/>
  <c r="H48" i="4586"/>
  <c r="H23" i="4586"/>
  <c r="H11" i="4586"/>
  <c r="H33" i="4586"/>
  <c r="H49" i="4586"/>
  <c r="H9" i="4586"/>
  <c r="H16" i="4586"/>
  <c r="H24" i="4586"/>
  <c r="H28" i="4586"/>
  <c r="H34" i="4586"/>
  <c r="H42" i="4586"/>
  <c r="H50" i="4586"/>
  <c r="H41" i="4586"/>
  <c r="H20" i="4586"/>
  <c r="H35" i="4586"/>
  <c r="H43" i="4586"/>
  <c r="O16" i="4584" l="1"/>
  <c r="O17" i="4582"/>
  <c r="O20" i="4582"/>
  <c r="O15" i="4574"/>
  <c r="O16" i="4580" l="1"/>
  <c r="O18" i="4578"/>
  <c r="O16" i="4582"/>
  <c r="O18" i="4582"/>
  <c r="O15" i="4580" l="1"/>
  <c r="O15" i="4578"/>
  <c r="O18" i="4576"/>
  <c r="O20" i="4576"/>
  <c r="O18" i="4584"/>
  <c r="O17" i="4584"/>
  <c r="H32" i="4584"/>
  <c r="C27" i="4584"/>
  <c r="B24" i="4584"/>
  <c r="C20" i="4584"/>
  <c r="B17" i="4584"/>
  <c r="H51" i="4584" s="1"/>
  <c r="H21" i="4584"/>
  <c r="C16" i="4584"/>
  <c r="C15" i="4584"/>
  <c r="H19" i="4584"/>
  <c r="C14" i="4584"/>
  <c r="C13" i="4584"/>
  <c r="O12" i="4584"/>
  <c r="C12" i="4584"/>
  <c r="O11" i="4584"/>
  <c r="H17" i="4584"/>
  <c r="C11" i="4584"/>
  <c r="O10" i="4584"/>
  <c r="C10" i="4584"/>
  <c r="C9" i="4584"/>
  <c r="C8" i="4584"/>
  <c r="O7" i="4584"/>
  <c r="C7" i="4584"/>
  <c r="O6" i="4584"/>
  <c r="B6" i="4584"/>
  <c r="O5" i="4584"/>
  <c r="B5" i="4584"/>
  <c r="O4" i="4584"/>
  <c r="O3" i="4584"/>
  <c r="O2" i="4584"/>
  <c r="O16" i="4578"/>
  <c r="O20" i="4574"/>
  <c r="O17" i="4570"/>
  <c r="H2" i="4584" l="1"/>
  <c r="H13" i="4584"/>
  <c r="H18" i="4584"/>
  <c r="H40" i="4584"/>
  <c r="H36" i="4584"/>
  <c r="H9" i="4584"/>
  <c r="H16" i="4584"/>
  <c r="H24" i="4584"/>
  <c r="H39" i="4584"/>
  <c r="H12" i="4584"/>
  <c r="H44" i="4584"/>
  <c r="H47" i="4584"/>
  <c r="C17" i="4584"/>
  <c r="H48" i="4584"/>
  <c r="H30" i="4584"/>
  <c r="H8" i="4584"/>
  <c r="H6" i="4584"/>
  <c r="H3" i="4584"/>
  <c r="C18" i="4584"/>
  <c r="H14" i="4584"/>
  <c r="H52" i="4584"/>
  <c r="H4" i="4584"/>
  <c r="H15" i="4584"/>
  <c r="H23" i="4584"/>
  <c r="B23" i="4584"/>
  <c r="H10" i="4584"/>
  <c r="H37" i="4584"/>
  <c r="H45" i="4584"/>
  <c r="H5" i="4584"/>
  <c r="H20" i="4584"/>
  <c r="C19" i="4584"/>
  <c r="H27" i="4584"/>
  <c r="H31" i="4584"/>
  <c r="H38" i="4584"/>
  <c r="H46" i="4584"/>
  <c r="H25" i="4584"/>
  <c r="H28" i="4584"/>
  <c r="H33" i="4584"/>
  <c r="H41" i="4584"/>
  <c r="H49" i="4584"/>
  <c r="H7" i="4584"/>
  <c r="H11" i="4584"/>
  <c r="H26" i="4584"/>
  <c r="H29" i="4584"/>
  <c r="H34" i="4584"/>
  <c r="H42" i="4584"/>
  <c r="H50" i="4584"/>
  <c r="H22" i="4584"/>
  <c r="H35" i="4584"/>
  <c r="H43" i="4584"/>
  <c r="O16" i="4576" l="1"/>
  <c r="O21" i="4582"/>
  <c r="O15" i="4582"/>
  <c r="C27" i="4582"/>
  <c r="B24" i="4582"/>
  <c r="C20" i="4582"/>
  <c r="B17" i="4582"/>
  <c r="H51" i="4582" s="1"/>
  <c r="C16" i="4582"/>
  <c r="C15" i="4582"/>
  <c r="C14" i="4582"/>
  <c r="C13" i="4582"/>
  <c r="O12" i="4582"/>
  <c r="C12" i="4582"/>
  <c r="O11" i="4582"/>
  <c r="C11" i="4582"/>
  <c r="O10" i="4582"/>
  <c r="C10" i="4582"/>
  <c r="C9" i="4582"/>
  <c r="C8" i="4582"/>
  <c r="O7" i="4582"/>
  <c r="C7" i="4582"/>
  <c r="O6" i="4582"/>
  <c r="B6" i="4582"/>
  <c r="O5" i="4582"/>
  <c r="B5" i="4582"/>
  <c r="O4" i="4582"/>
  <c r="O3" i="4582"/>
  <c r="O2" i="4582"/>
  <c r="O15" i="4572"/>
  <c r="O16" i="4570"/>
  <c r="O19" i="4580"/>
  <c r="O17" i="4574"/>
  <c r="O18" i="4574"/>
  <c r="O21" i="4578"/>
  <c r="O17" i="4580"/>
  <c r="O18" i="4580"/>
  <c r="C27" i="4580"/>
  <c r="B24" i="4580"/>
  <c r="C20" i="4580"/>
  <c r="B17" i="4580"/>
  <c r="H3" i="4580" s="1"/>
  <c r="C16" i="4580"/>
  <c r="C15" i="4580"/>
  <c r="C14" i="4580"/>
  <c r="C13" i="4580"/>
  <c r="O12" i="4580"/>
  <c r="C12" i="4580"/>
  <c r="O11" i="4580"/>
  <c r="C11" i="4580"/>
  <c r="O10" i="4580"/>
  <c r="C10" i="4580"/>
  <c r="C9" i="4580"/>
  <c r="C8" i="4580"/>
  <c r="O7" i="4580"/>
  <c r="C7" i="4580"/>
  <c r="O6" i="4580"/>
  <c r="B6" i="4580"/>
  <c r="O5" i="4580"/>
  <c r="B5" i="4580"/>
  <c r="O4" i="4580"/>
  <c r="O3" i="4580"/>
  <c r="O2" i="4580"/>
  <c r="O20" i="4578"/>
  <c r="O19" i="4578"/>
  <c r="C27" i="4578"/>
  <c r="B24" i="4578"/>
  <c r="C20" i="4578"/>
  <c r="B17" i="4578"/>
  <c r="H5" i="4578" s="1"/>
  <c r="C16" i="4578"/>
  <c r="C15" i="4578"/>
  <c r="C14" i="4578"/>
  <c r="C13" i="4578"/>
  <c r="O12" i="4578"/>
  <c r="C12" i="4578"/>
  <c r="O11" i="4578"/>
  <c r="C11" i="4578"/>
  <c r="O10" i="4578"/>
  <c r="C10" i="4578"/>
  <c r="C9" i="4578"/>
  <c r="C8" i="4578"/>
  <c r="O7" i="4578"/>
  <c r="C7" i="4578"/>
  <c r="O6" i="4578"/>
  <c r="B6" i="4578"/>
  <c r="O5" i="4578"/>
  <c r="B5" i="4578"/>
  <c r="O4" i="4578"/>
  <c r="O3" i="4578"/>
  <c r="H10" i="4578"/>
  <c r="O2" i="4578"/>
  <c r="O20" i="4572"/>
  <c r="O19" i="4572"/>
  <c r="O19" i="4570"/>
  <c r="O20" i="4570"/>
  <c r="H32" i="4582" l="1"/>
  <c r="H2" i="4582"/>
  <c r="H8" i="4582"/>
  <c r="H12" i="4582"/>
  <c r="H36" i="4582"/>
  <c r="H39" i="4582"/>
  <c r="H40" i="4582"/>
  <c r="H5" i="4582"/>
  <c r="H21" i="4582"/>
  <c r="H23" i="4582"/>
  <c r="H11" i="4582"/>
  <c r="H52" i="4582"/>
  <c r="H19" i="4582"/>
  <c r="H16" i="4582"/>
  <c r="H31" i="4582"/>
  <c r="H10" i="4582"/>
  <c r="H27" i="4582"/>
  <c r="H4" i="4582"/>
  <c r="C17" i="4582"/>
  <c r="H47" i="4582"/>
  <c r="H17" i="4582"/>
  <c r="H44" i="4582"/>
  <c r="H15" i="4582"/>
  <c r="H3" i="4582"/>
  <c r="C18" i="4582"/>
  <c r="H29" i="4582"/>
  <c r="H48" i="4582"/>
  <c r="H22" i="4582"/>
  <c r="B23" i="4582"/>
  <c r="H7" i="4582"/>
  <c r="H37" i="4582"/>
  <c r="H45" i="4582"/>
  <c r="H6" i="4582"/>
  <c r="H20" i="4582"/>
  <c r="C19" i="4582"/>
  <c r="H26" i="4582"/>
  <c r="H30" i="4582"/>
  <c r="H38" i="4582"/>
  <c r="H46" i="4582"/>
  <c r="H24" i="4582"/>
  <c r="H14" i="4582"/>
  <c r="H33" i="4582"/>
  <c r="H41" i="4582"/>
  <c r="H49" i="4582"/>
  <c r="H9" i="4582"/>
  <c r="H18" i="4582"/>
  <c r="H25" i="4582"/>
  <c r="H28" i="4582"/>
  <c r="H34" i="4582"/>
  <c r="H42" i="4582"/>
  <c r="H50" i="4582"/>
  <c r="H13" i="4582"/>
  <c r="H35" i="4582"/>
  <c r="H43" i="4582"/>
  <c r="H25" i="4580"/>
  <c r="H17" i="4580"/>
  <c r="H31" i="4580"/>
  <c r="H40" i="4580"/>
  <c r="H15" i="4580"/>
  <c r="H12" i="4580"/>
  <c r="H7" i="4580"/>
  <c r="H20" i="4580"/>
  <c r="H29" i="4580"/>
  <c r="H42" i="4580"/>
  <c r="H44" i="4580"/>
  <c r="H8" i="4580"/>
  <c r="H21" i="4580"/>
  <c r="H30" i="4580"/>
  <c r="H2" i="4578"/>
  <c r="H27" i="4578"/>
  <c r="H22" i="4578"/>
  <c r="H2" i="4580"/>
  <c r="H26" i="4580"/>
  <c r="H32" i="4580"/>
  <c r="H46" i="4580"/>
  <c r="H34" i="4580"/>
  <c r="H18" i="4580"/>
  <c r="H5" i="4580"/>
  <c r="C18" i="4580"/>
  <c r="C17" i="4580"/>
  <c r="H47" i="4580"/>
  <c r="H10" i="4580"/>
  <c r="H27" i="4580"/>
  <c r="H36" i="4580"/>
  <c r="H48" i="4580"/>
  <c r="H16" i="4580"/>
  <c r="H19" i="4580"/>
  <c r="C19" i="4580"/>
  <c r="H28" i="4580"/>
  <c r="H38" i="4580"/>
  <c r="H50" i="4580"/>
  <c r="H6" i="4580"/>
  <c r="H24" i="4580"/>
  <c r="H39" i="4580"/>
  <c r="H52" i="4580"/>
  <c r="H11" i="4580"/>
  <c r="H13" i="4580"/>
  <c r="H33" i="4580"/>
  <c r="H41" i="4580"/>
  <c r="H49" i="4580"/>
  <c r="H22" i="4580"/>
  <c r="H35" i="4580"/>
  <c r="H43" i="4580"/>
  <c r="H51" i="4580"/>
  <c r="H4" i="4580"/>
  <c r="H14" i="4580"/>
  <c r="H23" i="4580"/>
  <c r="B23" i="4580"/>
  <c r="H9" i="4580"/>
  <c r="H37" i="4580"/>
  <c r="H45" i="4580"/>
  <c r="H31" i="4578"/>
  <c r="C19" i="4578"/>
  <c r="H20" i="4578"/>
  <c r="H32" i="4578"/>
  <c r="H39" i="4578"/>
  <c r="C17" i="4578"/>
  <c r="H12" i="4578"/>
  <c r="H38" i="4578"/>
  <c r="H25" i="4578"/>
  <c r="H7" i="4578"/>
  <c r="H3" i="4578"/>
  <c r="H46" i="4578"/>
  <c r="H47" i="4578"/>
  <c r="H16" i="4578"/>
  <c r="H28" i="4578"/>
  <c r="H18" i="4578"/>
  <c r="H40" i="4578"/>
  <c r="H48" i="4578"/>
  <c r="H17" i="4578"/>
  <c r="H14" i="4578"/>
  <c r="H41" i="4578"/>
  <c r="H49" i="4578"/>
  <c r="H33" i="4578"/>
  <c r="H6" i="4578"/>
  <c r="H15" i="4578"/>
  <c r="H26" i="4578"/>
  <c r="H29" i="4578"/>
  <c r="H34" i="4578"/>
  <c r="H42" i="4578"/>
  <c r="H50" i="4578"/>
  <c r="H23" i="4578"/>
  <c r="H35" i="4578"/>
  <c r="H43" i="4578"/>
  <c r="H51" i="4578"/>
  <c r="H9" i="4578"/>
  <c r="H19" i="4578"/>
  <c r="H21" i="4578"/>
  <c r="C18" i="4578"/>
  <c r="H13" i="4578"/>
  <c r="H30" i="4578"/>
  <c r="H36" i="4578"/>
  <c r="H44" i="4578"/>
  <c r="H52" i="4578"/>
  <c r="H4" i="4578"/>
  <c r="H11" i="4578"/>
  <c r="H24" i="4578"/>
  <c r="B23" i="4578"/>
  <c r="H8" i="4578"/>
  <c r="H37" i="4578"/>
  <c r="H45" i="4578"/>
  <c r="O15" i="4576" l="1"/>
  <c r="O17" i="4576"/>
  <c r="C27" i="4576"/>
  <c r="B24" i="4576"/>
  <c r="C20" i="4576"/>
  <c r="B17" i="4576"/>
  <c r="H51" i="4576" s="1"/>
  <c r="C16" i="4576"/>
  <c r="C15" i="4576"/>
  <c r="C14" i="4576"/>
  <c r="C13" i="4576"/>
  <c r="O12" i="4576"/>
  <c r="C12" i="4576"/>
  <c r="O11" i="4576"/>
  <c r="C11" i="4576"/>
  <c r="O10" i="4576"/>
  <c r="C10" i="4576"/>
  <c r="C9" i="4576"/>
  <c r="C8" i="4576"/>
  <c r="O7" i="4576"/>
  <c r="C7" i="4576"/>
  <c r="O6" i="4576"/>
  <c r="B6" i="4576"/>
  <c r="O5" i="4576"/>
  <c r="B5" i="4576"/>
  <c r="O4" i="4576"/>
  <c r="O3" i="4576"/>
  <c r="O2" i="4576"/>
  <c r="O21" i="4574"/>
  <c r="O19" i="4574"/>
  <c r="C27" i="4574"/>
  <c r="B24" i="4574"/>
  <c r="C20" i="4574"/>
  <c r="B17" i="4574"/>
  <c r="H4" i="4574" s="1"/>
  <c r="C16" i="4574"/>
  <c r="C15" i="4574"/>
  <c r="C14" i="4574"/>
  <c r="C13" i="4574"/>
  <c r="O12" i="4574"/>
  <c r="C12" i="4574"/>
  <c r="O11" i="4574"/>
  <c r="C11" i="4574"/>
  <c r="O10" i="4574"/>
  <c r="C10" i="4574"/>
  <c r="C9" i="4574"/>
  <c r="C8" i="4574"/>
  <c r="O7" i="4574"/>
  <c r="C7" i="4574"/>
  <c r="O6" i="4574"/>
  <c r="B6" i="4574"/>
  <c r="O5" i="4574"/>
  <c r="B5" i="4574"/>
  <c r="O4" i="4574"/>
  <c r="O3" i="4574"/>
  <c r="O2" i="4574"/>
  <c r="O23" i="4570"/>
  <c r="O18" i="4572"/>
  <c r="O21" i="4572"/>
  <c r="C27" i="4572"/>
  <c r="B24" i="4572"/>
  <c r="C20" i="4572"/>
  <c r="B17" i="4572"/>
  <c r="H5" i="4572" s="1"/>
  <c r="C16" i="4572"/>
  <c r="C15" i="4572"/>
  <c r="C14" i="4572"/>
  <c r="C13" i="4572"/>
  <c r="O12" i="4572"/>
  <c r="C12" i="4572"/>
  <c r="O11" i="4572"/>
  <c r="C11" i="4572"/>
  <c r="O10" i="4572"/>
  <c r="C10" i="4572"/>
  <c r="C9" i="4572"/>
  <c r="C8" i="4572"/>
  <c r="O7" i="4572"/>
  <c r="C7" i="4572"/>
  <c r="O6" i="4572"/>
  <c r="B6" i="4572"/>
  <c r="O5" i="4572"/>
  <c r="B5" i="4572"/>
  <c r="O4" i="4572"/>
  <c r="O3" i="4572"/>
  <c r="O2" i="4572"/>
  <c r="O15" i="4570"/>
  <c r="O21" i="4570"/>
  <c r="C27" i="4570"/>
  <c r="B24" i="4570"/>
  <c r="C20" i="4570"/>
  <c r="B17" i="4570"/>
  <c r="H52" i="4570" s="1"/>
  <c r="C16" i="4570"/>
  <c r="C15" i="4570"/>
  <c r="C14" i="4570"/>
  <c r="C13" i="4570"/>
  <c r="O12" i="4570"/>
  <c r="C12" i="4570"/>
  <c r="O11" i="4570"/>
  <c r="C11" i="4570"/>
  <c r="O10" i="4570"/>
  <c r="C10" i="4570"/>
  <c r="C9" i="4570"/>
  <c r="C8" i="4570"/>
  <c r="O7" i="4570"/>
  <c r="C7" i="4570"/>
  <c r="O6" i="4570"/>
  <c r="B6" i="4570"/>
  <c r="O5" i="4570"/>
  <c r="B5" i="4570"/>
  <c r="O4" i="4570"/>
  <c r="O3" i="4570"/>
  <c r="O2" i="4570"/>
  <c r="H16" i="4570" l="1"/>
  <c r="H16" i="4572"/>
  <c r="H33" i="4572"/>
  <c r="H21" i="4572"/>
  <c r="H18" i="4572"/>
  <c r="H31" i="4576"/>
  <c r="H2" i="4576"/>
  <c r="H27" i="4576"/>
  <c r="H16" i="4576"/>
  <c r="H14" i="4576"/>
  <c r="H2" i="4572"/>
  <c r="H15" i="4572"/>
  <c r="H30" i="4572"/>
  <c r="H32" i="4576"/>
  <c r="H17" i="4576"/>
  <c r="H40" i="4576"/>
  <c r="H5" i="4576"/>
  <c r="H9" i="4576"/>
  <c r="H39" i="4576"/>
  <c r="H13" i="4576"/>
  <c r="H4" i="4576"/>
  <c r="H47" i="4576"/>
  <c r="C17" i="4576"/>
  <c r="H23" i="4576"/>
  <c r="H6" i="4576"/>
  <c r="H48" i="4576"/>
  <c r="H19" i="4576"/>
  <c r="C18" i="4576"/>
  <c r="H15" i="4576"/>
  <c r="H29" i="4576"/>
  <c r="H36" i="4576"/>
  <c r="H44" i="4576"/>
  <c r="H52" i="4576"/>
  <c r="H3" i="4576"/>
  <c r="H8" i="4576"/>
  <c r="H22" i="4576"/>
  <c r="B23" i="4576"/>
  <c r="H10" i="4576"/>
  <c r="H37" i="4576"/>
  <c r="H45" i="4576"/>
  <c r="H7" i="4576"/>
  <c r="H20" i="4576"/>
  <c r="C19" i="4576"/>
  <c r="H26" i="4576"/>
  <c r="H30" i="4576"/>
  <c r="H38" i="4576"/>
  <c r="H46" i="4576"/>
  <c r="H24" i="4576"/>
  <c r="H12" i="4576"/>
  <c r="H33" i="4576"/>
  <c r="H41" i="4576"/>
  <c r="H49" i="4576"/>
  <c r="H11" i="4576"/>
  <c r="H18" i="4576"/>
  <c r="H25" i="4576"/>
  <c r="H28" i="4576"/>
  <c r="H34" i="4576"/>
  <c r="H42" i="4576"/>
  <c r="H50" i="4576"/>
  <c r="H21" i="4576"/>
  <c r="H35" i="4576"/>
  <c r="H43" i="4576"/>
  <c r="H37" i="4570"/>
  <c r="H2" i="4570"/>
  <c r="H7" i="4570"/>
  <c r="H29" i="4570"/>
  <c r="H21" i="4570"/>
  <c r="H18" i="4570"/>
  <c r="H40" i="4570"/>
  <c r="H18" i="4574"/>
  <c r="H20" i="4574"/>
  <c r="H30" i="4574"/>
  <c r="H14" i="4574"/>
  <c r="H16" i="4574"/>
  <c r="C19" i="4574"/>
  <c r="H7" i="4574"/>
  <c r="H27" i="4574"/>
  <c r="H48" i="4574"/>
  <c r="H5" i="4574"/>
  <c r="C17" i="4574"/>
  <c r="H22" i="4574"/>
  <c r="H10" i="4574"/>
  <c r="H6" i="4574"/>
  <c r="H40" i="4574"/>
  <c r="H41" i="4574"/>
  <c r="H2" i="4574"/>
  <c r="H25" i="4574"/>
  <c r="H29" i="4574"/>
  <c r="H49" i="4574"/>
  <c r="H33" i="4574"/>
  <c r="H39" i="4574"/>
  <c r="H47" i="4574"/>
  <c r="H11" i="4574"/>
  <c r="H34" i="4574"/>
  <c r="H42" i="4574"/>
  <c r="H50" i="4574"/>
  <c r="H8" i="4574"/>
  <c r="H19" i="4574"/>
  <c r="H28" i="4574"/>
  <c r="H31" i="4574"/>
  <c r="H35" i="4574"/>
  <c r="H43" i="4574"/>
  <c r="H51" i="4574"/>
  <c r="H13" i="4574"/>
  <c r="H21" i="4574"/>
  <c r="H36" i="4574"/>
  <c r="H44" i="4574"/>
  <c r="H52" i="4574"/>
  <c r="H17" i="4574"/>
  <c r="H24" i="4574"/>
  <c r="C18" i="4574"/>
  <c r="H15" i="4574"/>
  <c r="H32" i="4574"/>
  <c r="H37" i="4574"/>
  <c r="H45" i="4574"/>
  <c r="H23" i="4574"/>
  <c r="H3" i="4574"/>
  <c r="H9" i="4574"/>
  <c r="H26" i="4574"/>
  <c r="B23" i="4574"/>
  <c r="H12" i="4574"/>
  <c r="H38" i="4574"/>
  <c r="H46" i="4574"/>
  <c r="H22" i="4570"/>
  <c r="H14" i="4570"/>
  <c r="H12" i="4570"/>
  <c r="H4" i="4570"/>
  <c r="H39" i="4572"/>
  <c r="H38" i="4572"/>
  <c r="H28" i="4572"/>
  <c r="H6" i="4572"/>
  <c r="H13" i="4572"/>
  <c r="H40" i="4572"/>
  <c r="H31" i="4572"/>
  <c r="H46" i="4572"/>
  <c r="C17" i="4572"/>
  <c r="H47" i="4572"/>
  <c r="H23" i="4572"/>
  <c r="H10" i="4572"/>
  <c r="H8" i="4572"/>
  <c r="H3" i="4572"/>
  <c r="C19" i="4572"/>
  <c r="H20" i="4572"/>
  <c r="H48" i="4572"/>
  <c r="H17" i="4572"/>
  <c r="H11" i="4572"/>
  <c r="H34" i="4572"/>
  <c r="H41" i="4572"/>
  <c r="H49" i="4572"/>
  <c r="H9" i="4572"/>
  <c r="H24" i="4572"/>
  <c r="H29" i="4572"/>
  <c r="H19" i="4572"/>
  <c r="H35" i="4572"/>
  <c r="H42" i="4572"/>
  <c r="H50" i="4572"/>
  <c r="H26" i="4572"/>
  <c r="H22" i="4572"/>
  <c r="H43" i="4572"/>
  <c r="H51" i="4572"/>
  <c r="H25" i="4572"/>
  <c r="C18" i="4572"/>
  <c r="H14" i="4572"/>
  <c r="H32" i="4572"/>
  <c r="H36" i="4572"/>
  <c r="H44" i="4572"/>
  <c r="H52" i="4572"/>
  <c r="H4" i="4572"/>
  <c r="H12" i="4572"/>
  <c r="H27" i="4572"/>
  <c r="B23" i="4572"/>
  <c r="H7" i="4572"/>
  <c r="H37" i="4572"/>
  <c r="H45" i="4572"/>
  <c r="H41" i="4570"/>
  <c r="H45" i="4570"/>
  <c r="H10" i="4570"/>
  <c r="H49" i="4570"/>
  <c r="H24" i="4570"/>
  <c r="C17" i="4570"/>
  <c r="H48" i="4570"/>
  <c r="H6" i="4570"/>
  <c r="H3" i="4570"/>
  <c r="C18" i="4570"/>
  <c r="H34" i="4570"/>
  <c r="H31" i="4570"/>
  <c r="H17" i="4570"/>
  <c r="H28" i="4570"/>
  <c r="H11" i="4570"/>
  <c r="H30" i="4570"/>
  <c r="B23" i="4570"/>
  <c r="H9" i="4570"/>
  <c r="H38" i="4570"/>
  <c r="H46" i="4570"/>
  <c r="H5" i="4570"/>
  <c r="H23" i="4570"/>
  <c r="C19" i="4570"/>
  <c r="H33" i="4570"/>
  <c r="H26" i="4570"/>
  <c r="H39" i="4570"/>
  <c r="H47" i="4570"/>
  <c r="H15" i="4570"/>
  <c r="H13" i="4570"/>
  <c r="H35" i="4570"/>
  <c r="H42" i="4570"/>
  <c r="H50" i="4570"/>
  <c r="H8" i="4570"/>
  <c r="H19" i="4570"/>
  <c r="H32" i="4570"/>
  <c r="H25" i="4570"/>
  <c r="H36" i="4570"/>
  <c r="H43" i="4570"/>
  <c r="H51" i="4570"/>
  <c r="H20" i="4570"/>
  <c r="H27" i="4570"/>
  <c r="H44" i="457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<sst xmlns="http://schemas.openxmlformats.org/spreadsheetml/2006/main" count="2442" uniqueCount="202">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</sst>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2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82" fontId="0" fillId="0" borderId="35" xfId="0" applyNumberFormat="1" applyBorder="1" applyAlignment="1">
      <alignment horizontal="center" vertical="center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全体!$L$2:$L$128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E2-4D15-A928-4A71A257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-39.682539682539684</c:v>
                </c:pt>
                <c:pt idx="1">
                  <c:v>-16.260162601626018</c:v>
                </c:pt>
                <c:pt idx="2">
                  <c:v>59.82905982905983</c:v>
                </c:pt>
                <c:pt idx="3">
                  <c:v>0</c:v>
                </c:pt>
                <c:pt idx="4">
                  <c:v>-57.142857142857146</c:v>
                </c:pt>
                <c:pt idx="5">
                  <c:v>60.606060606060609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8B-462A-9609-94701A940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だいち!$L$2:$L$29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4-4AEF-9C5F-D9424A82B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3666.6666666666665</c:v>
                </c:pt>
                <c:pt idx="1">
                  <c:v>4157.6923076923076</c:v>
                </c:pt>
                <c:pt idx="2">
                  <c:v>2444</c:v>
                </c:pt>
                <c:pt idx="3">
                  <c:v>4720.833333333333</c:v>
                </c:pt>
                <c:pt idx="4">
                  <c:v>719.04761904761904</c:v>
                </c:pt>
                <c:pt idx="5">
                  <c:v>-265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4-4768-A0C4-B483DCB9D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りくと!$L$2:$L$29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8-47B7-B609-BCD02FDEE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1370.3703703703704</c:v>
                </c:pt>
                <c:pt idx="1">
                  <c:v>-750</c:v>
                </c:pt>
                <c:pt idx="2">
                  <c:v>-615.38461538461536</c:v>
                </c:pt>
                <c:pt idx="3">
                  <c:v>2780.7692307692309</c:v>
                </c:pt>
                <c:pt idx="4">
                  <c:v>2970.8333333333335</c:v>
                </c:pt>
                <c:pt idx="5">
                  <c:v>504.3478260869565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0E-423C-ABCC-5BF4391B8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CA-9468-D66E7EC79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-4961.5384615384619</c:v>
                </c:pt>
                <c:pt idx="1">
                  <c:v>-2661.5384615384614</c:v>
                </c:pt>
                <c:pt idx="2">
                  <c:v>-5163.636363636364</c:v>
                </c:pt>
                <c:pt idx="3">
                  <c:v>-3863.6363636363635</c:v>
                </c:pt>
                <c:pt idx="4">
                  <c:v>-3154.5454545454545</c:v>
                </c:pt>
                <c:pt idx="5">
                  <c:v>-1454.5454545454545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7-41A0-AF21-FAF815E4D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れんたろう!$L$2:$L$23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1-4D0A-A1BC-3FE5D84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600</c:v>
                </c:pt>
                <c:pt idx="1">
                  <c:v>1685.7142857142858</c:v>
                </c:pt>
                <c:pt idx="2">
                  <c:v>510</c:v>
                </c:pt>
                <c:pt idx="3">
                  <c:v>-4121.0526315789475</c:v>
                </c:pt>
                <c:pt idx="4">
                  <c:v>594.11764705882354</c:v>
                </c:pt>
                <c:pt idx="5">
                  <c:v>993.33333333333337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88-4480-AE8E-8EF2FD694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たかの!$L$2:$L$10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58-48FC-B400-79FE94C9B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1237.5</c:v>
                </c:pt>
                <c:pt idx="1">
                  <c:v>1362.5</c:v>
                </c:pt>
                <c:pt idx="2">
                  <c:v>-1257.1428571428571</c:v>
                </c:pt>
                <c:pt idx="3">
                  <c:v>2914.2857142857142</c:v>
                </c:pt>
                <c:pt idx="4">
                  <c:v>-4257.1428571428569</c:v>
                </c:pt>
                <c:pt idx="5">
                  <c:v>-2516.6666666666665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1-4F04-8C83-59455CB91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31-4AD1-9C8E-A67637254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-3433.3333333333335</c:v>
                </c:pt>
                <c:pt idx="1">
                  <c:v>-3808.3333333333335</c:v>
                </c:pt>
                <c:pt idx="2">
                  <c:v>272.72727272727275</c:v>
                </c:pt>
                <c:pt idx="3">
                  <c:v>-6430</c:v>
                </c:pt>
                <c:pt idx="4">
                  <c:v>-3900</c:v>
                </c:pt>
                <c:pt idx="5">
                  <c:v>-787.5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1B-477C-9FEC-3AF5510E5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まっつん!$L$2:$L$13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D-40C1-9E04-638C70645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-7000</c:v>
                </c:pt>
                <c:pt idx="1">
                  <c:v>-4580</c:v>
                </c:pt>
                <c:pt idx="2">
                  <c:v>1440</c:v>
                </c:pt>
                <c:pt idx="3">
                  <c:v>-1660</c:v>
                </c:pt>
                <c:pt idx="4">
                  <c:v>-1266.6666666666667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4-4A23-B776-106A9A722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A8-43FB-A4CB-59672F49A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B49-AAD8-70897575E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B1-460C-901A-3EC3B5064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2550</c:v>
                </c:pt>
                <c:pt idx="1">
                  <c:v>-4375</c:v>
                </c:pt>
                <c:pt idx="2">
                  <c:v>725</c:v>
                </c:pt>
                <c:pt idx="3">
                  <c:v>-5750</c:v>
                </c:pt>
                <c:pt idx="4">
                  <c:v>2050</c:v>
                </c:pt>
                <c:pt idx="5">
                  <c:v>-2650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B-4D51-AD12-A37CEB444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いっしー2!$C$3:$C$7</c:f>
              <c:numCache>
                <c:formatCode>\+0.0;\-0.0;\±0</c:formatCode>
                <c:ptCount val="5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いっしー2!$F$3:$F$7</c:f>
              <c:numCache>
                <c:formatCode>0.0%</c:formatCode>
                <c:ptCount val="5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いっしー2!$G$3:$G$7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いっしー2!$H$3:$H$7</c:f>
              <c:numCache>
                <c:formatCode>0</c:formatCode>
                <c:ptCount val="5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いっしー2!$I$3:$I$7</c:f>
              <c:numCache>
                <c:formatCode>0</c:formatCode>
                <c:ptCount val="5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いっしー2!$J$3:$J$7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いっしー2!$M$3:$M$7</c:f>
              <c:numCache>
                <c:formatCode>0.0%</c:formatCode>
                <c:ptCount val="5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いっしー2!$N$3:$N$7</c:f>
              <c:numCache>
                <c:formatCode>0.0%</c:formatCode>
                <c:ptCount val="5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いっしー2!$O$3:$O$7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いっしー2!$P$3:$P$7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48"/>
      <c r="C1" s="149"/>
      <c r="E1" s="133" t="s">
        <v>173</v>
      </c>
      <c r="F1" s="12" t="s">
        <v>118</v>
      </c>
      <c r="G1" s="26" t="s">
        <v>119</v>
      </c>
      <c r="H1" s="134" t="s">
        <v>120</v>
      </c>
      <c r="I1" s="104" t="s">
        <v>157</v>
      </c>
      <c r="K1" s="2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162</v>
      </c>
    </row>
    <row r="2" spans="1:17" x14ac:dyDescent="0.4">
      <c r="A2" s="21" t="s">
        <v>9</v>
      </c>
      <c r="B2" s="150">
        <v>0</v>
      </c>
      <c r="C2" s="151"/>
      <c r="E2" s="62" t="s">
        <v>66</v>
      </c>
      <c r="F2" s="27" t="s">
        <v>21</v>
      </c>
      <c r="G2" s="14">
        <v>0</v>
      </c>
      <c r="H2" s="136">
        <f>IF(B$17=0,0,G2/B$17)</f>
        <v>0</v>
      </c>
      <c r="I2" s="97"/>
      <c r="K2" s="3">
        <v>0</v>
      </c>
      <c r="L2" s="102">
        <v>0</v>
      </c>
      <c r="N2" s="118" t="s">
        <v>134</v>
      </c>
      <c r="O2" s="125">
        <f t="shared" ref="O2:O7" si="0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52">
        <v>0</v>
      </c>
      <c r="C3" s="153"/>
      <c r="E3" s="63" t="s">
        <v>67</v>
      </c>
      <c r="F3" s="28" t="s">
        <v>22</v>
      </c>
      <c r="G3" s="15">
        <v>0</v>
      </c>
      <c r="H3" s="137">
        <f t="shared" ref="H3:H52" si="1">IF(B$17=0,0,G3/B$17)</f>
        <v>0</v>
      </c>
      <c r="I3" s="98"/>
      <c r="N3" s="119" t="s">
        <v>135</v>
      </c>
      <c r="O3" s="126">
        <f t="shared" si="0"/>
        <v>0</v>
      </c>
      <c r="P3" s="123">
        <v>0</v>
      </c>
      <c r="Q3" s="107">
        <v>0</v>
      </c>
    </row>
    <row r="4" spans="1:17" x14ac:dyDescent="0.4">
      <c r="A4" s="22" t="s">
        <v>6</v>
      </c>
      <c r="B4" s="154">
        <v>0</v>
      </c>
      <c r="C4" s="155"/>
      <c r="E4" s="63" t="s">
        <v>68</v>
      </c>
      <c r="F4" s="28" t="s">
        <v>23</v>
      </c>
      <c r="G4" s="15">
        <v>0</v>
      </c>
      <c r="H4" s="137">
        <f t="shared" si="1"/>
        <v>0</v>
      </c>
      <c r="I4" s="98"/>
      <c r="N4" s="119" t="s">
        <v>136</v>
      </c>
      <c r="O4" s="126">
        <f t="shared" si="0"/>
        <v>0</v>
      </c>
      <c r="P4" s="123">
        <v>0</v>
      </c>
      <c r="Q4" s="107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69</v>
      </c>
      <c r="F5" s="28" t="s">
        <v>24</v>
      </c>
      <c r="G5" s="15">
        <v>0</v>
      </c>
      <c r="H5" s="137">
        <f>IF(B$17=0,0,G5/B$17)</f>
        <v>0</v>
      </c>
      <c r="I5" s="98"/>
      <c r="N5" s="119" t="s">
        <v>137</v>
      </c>
      <c r="O5" s="126">
        <f t="shared" si="0"/>
        <v>0</v>
      </c>
      <c r="P5" s="123">
        <v>0</v>
      </c>
      <c r="Q5" s="107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70</v>
      </c>
      <c r="F6" s="28" t="s">
        <v>12</v>
      </c>
      <c r="G6" s="15">
        <v>0</v>
      </c>
      <c r="H6" s="137">
        <f t="shared" si="1"/>
        <v>0</v>
      </c>
      <c r="I6" s="98"/>
      <c r="N6" s="119" t="s">
        <v>138</v>
      </c>
      <c r="O6" s="126">
        <f t="shared" si="0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7">
        <f t="shared" si="1"/>
        <v>0</v>
      </c>
      <c r="I7" s="98"/>
      <c r="N7" s="120" t="s">
        <v>139</v>
      </c>
      <c r="O7" s="127">
        <f t="shared" si="0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7">
        <f t="shared" si="1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7">
        <f t="shared" si="1"/>
        <v>0</v>
      </c>
      <c r="I9" s="98"/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7">
        <f t="shared" si="1"/>
        <v>0</v>
      </c>
      <c r="I10" s="98"/>
      <c r="N10" s="118" t="s">
        <v>170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7">
        <f t="shared" si="1"/>
        <v>0</v>
      </c>
      <c r="I11" s="98"/>
      <c r="N11" s="119" t="s">
        <v>171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163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7">
        <f t="shared" si="1"/>
        <v>0</v>
      </c>
      <c r="I12" s="98"/>
      <c r="N12" s="120" t="s">
        <v>172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7">
        <f t="shared" si="1"/>
        <v>0</v>
      </c>
      <c r="I13" s="98"/>
      <c r="N13" s="33"/>
      <c r="O13" s="114"/>
      <c r="P13" s="116"/>
      <c r="Q13" s="114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7">
        <f t="shared" si="1"/>
        <v>0</v>
      </c>
      <c r="I14" s="98"/>
      <c r="N14" s="117" t="s">
        <v>158</v>
      </c>
      <c r="O14" s="34" t="s">
        <v>159</v>
      </c>
      <c r="P14" s="121" t="s">
        <v>160</v>
      </c>
      <c r="Q14" s="109" t="s">
        <v>161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7">
        <f t="shared" si="1"/>
        <v>0</v>
      </c>
      <c r="I15" s="98"/>
      <c r="N15" s="118"/>
      <c r="O15" s="128"/>
      <c r="P15" s="122"/>
      <c r="Q15" s="110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7">
        <f t="shared" si="1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7">
        <f t="shared" si="1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7">
        <f t="shared" si="1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7">
        <f t="shared" si="1"/>
        <v>0</v>
      </c>
      <c r="I19" s="98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7">
        <f t="shared" si="1"/>
        <v>0</v>
      </c>
      <c r="I20" s="98"/>
    </row>
    <row r="21" spans="1:9" x14ac:dyDescent="0.4">
      <c r="A21" s="55" t="s">
        <v>199</v>
      </c>
      <c r="B21" s="47">
        <v>0</v>
      </c>
      <c r="C21" s="141">
        <v>0</v>
      </c>
      <c r="E21" s="63" t="s">
        <v>85</v>
      </c>
      <c r="F21" s="28" t="s">
        <v>39</v>
      </c>
      <c r="G21" s="15">
        <v>0</v>
      </c>
      <c r="H21" s="137">
        <f t="shared" si="1"/>
        <v>0</v>
      </c>
      <c r="I21" s="98"/>
    </row>
    <row r="22" spans="1:9" x14ac:dyDescent="0.4">
      <c r="A22" s="22" t="s">
        <v>200</v>
      </c>
      <c r="B22" s="15">
        <v>0</v>
      </c>
      <c r="C22" s="141">
        <f>IF(B$3=0,0,B22/B$3)</f>
        <v>0</v>
      </c>
      <c r="E22" s="63" t="s">
        <v>86</v>
      </c>
      <c r="F22" s="28" t="s">
        <v>40</v>
      </c>
      <c r="G22" s="15">
        <v>0</v>
      </c>
      <c r="H22" s="137">
        <f t="shared" si="1"/>
        <v>0</v>
      </c>
      <c r="I22" s="98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7">
        <f t="shared" si="1"/>
        <v>0</v>
      </c>
      <c r="I23" s="98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7">
        <f t="shared" si="1"/>
        <v>0</v>
      </c>
      <c r="I24" s="98"/>
    </row>
    <row r="25" spans="1:9" x14ac:dyDescent="0.4">
      <c r="A25" s="94" t="s">
        <v>144</v>
      </c>
      <c r="B25" s="144">
        <v>0</v>
      </c>
      <c r="C25" s="145"/>
      <c r="E25" s="63" t="s">
        <v>89</v>
      </c>
      <c r="F25" s="28" t="s">
        <v>43</v>
      </c>
      <c r="G25" s="15">
        <v>0</v>
      </c>
      <c r="H25" s="137">
        <f t="shared" si="1"/>
        <v>0</v>
      </c>
      <c r="I25" s="98"/>
    </row>
    <row r="26" spans="1:9" x14ac:dyDescent="0.4">
      <c r="A26" s="58" t="s">
        <v>155</v>
      </c>
      <c r="B26" s="142">
        <v>0</v>
      </c>
      <c r="C26" s="143"/>
      <c r="E26" s="63" t="s">
        <v>90</v>
      </c>
      <c r="F26" s="28" t="s">
        <v>44</v>
      </c>
      <c r="G26" s="15">
        <v>0</v>
      </c>
      <c r="H26" s="137">
        <f t="shared" si="1"/>
        <v>0</v>
      </c>
      <c r="I26" s="98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7">
        <f t="shared" si="1"/>
        <v>0</v>
      </c>
      <c r="I27" s="98"/>
    </row>
    <row r="28" spans="1:9" x14ac:dyDescent="0.4">
      <c r="E28" s="63" t="s">
        <v>92</v>
      </c>
      <c r="F28" s="28" t="s">
        <v>46</v>
      </c>
      <c r="G28" s="15">
        <v>0</v>
      </c>
      <c r="H28" s="137">
        <f t="shared" si="1"/>
        <v>0</v>
      </c>
      <c r="I28" s="98"/>
    </row>
    <row r="29" spans="1:9" x14ac:dyDescent="0.4">
      <c r="E29" s="63" t="s">
        <v>93</v>
      </c>
      <c r="F29" s="28" t="s">
        <v>47</v>
      </c>
      <c r="G29" s="15">
        <v>0</v>
      </c>
      <c r="H29" s="137">
        <f t="shared" si="1"/>
        <v>0</v>
      </c>
      <c r="I29" s="98"/>
    </row>
    <row r="30" spans="1:9" x14ac:dyDescent="0.4">
      <c r="E30" s="63" t="s">
        <v>94</v>
      </c>
      <c r="F30" s="28" t="s">
        <v>48</v>
      </c>
      <c r="G30" s="15">
        <v>0</v>
      </c>
      <c r="H30" s="137">
        <f t="shared" si="1"/>
        <v>0</v>
      </c>
      <c r="I30" s="98"/>
    </row>
    <row r="31" spans="1:9" x14ac:dyDescent="0.4">
      <c r="E31" s="63" t="s">
        <v>95</v>
      </c>
      <c r="F31" s="28" t="s">
        <v>49</v>
      </c>
      <c r="G31" s="15">
        <v>0</v>
      </c>
      <c r="H31" s="137">
        <f t="shared" si="1"/>
        <v>0</v>
      </c>
      <c r="I31" s="98"/>
    </row>
    <row r="32" spans="1:9" x14ac:dyDescent="0.4">
      <c r="E32" s="63" t="s">
        <v>96</v>
      </c>
      <c r="F32" s="28" t="s">
        <v>50</v>
      </c>
      <c r="G32" s="15">
        <v>0</v>
      </c>
      <c r="H32" s="137">
        <f t="shared" si="1"/>
        <v>0</v>
      </c>
      <c r="I32" s="98"/>
    </row>
    <row r="33" spans="5:9" x14ac:dyDescent="0.4">
      <c r="E33" s="63" t="s">
        <v>97</v>
      </c>
      <c r="F33" s="28" t="s">
        <v>51</v>
      </c>
      <c r="G33" s="15">
        <v>0</v>
      </c>
      <c r="H33" s="137">
        <f t="shared" si="1"/>
        <v>0</v>
      </c>
      <c r="I33" s="98"/>
    </row>
    <row r="34" spans="5:9" x14ac:dyDescent="0.4">
      <c r="E34" s="63" t="s">
        <v>98</v>
      </c>
      <c r="F34" s="28" t="s">
        <v>52</v>
      </c>
      <c r="G34" s="15">
        <v>0</v>
      </c>
      <c r="H34" s="137">
        <f t="shared" si="1"/>
        <v>0</v>
      </c>
      <c r="I34" s="98"/>
    </row>
    <row r="35" spans="5:9" x14ac:dyDescent="0.4">
      <c r="E35" s="63" t="s">
        <v>99</v>
      </c>
      <c r="F35" s="28" t="s">
        <v>53</v>
      </c>
      <c r="G35" s="15">
        <v>0</v>
      </c>
      <c r="H35" s="137">
        <f t="shared" si="1"/>
        <v>0</v>
      </c>
      <c r="I35" s="98"/>
    </row>
    <row r="36" spans="5:9" x14ac:dyDescent="0.4">
      <c r="E36" s="63" t="s">
        <v>100</v>
      </c>
      <c r="F36" s="28" t="s">
        <v>54</v>
      </c>
      <c r="G36" s="15">
        <v>0</v>
      </c>
      <c r="H36" s="137">
        <f t="shared" si="1"/>
        <v>0</v>
      </c>
      <c r="I36" s="98"/>
    </row>
    <row r="37" spans="5:9" x14ac:dyDescent="0.4">
      <c r="E37" s="63" t="s">
        <v>101</v>
      </c>
      <c r="F37" s="28" t="s">
        <v>55</v>
      </c>
      <c r="G37" s="15">
        <v>0</v>
      </c>
      <c r="H37" s="137">
        <f t="shared" si="1"/>
        <v>0</v>
      </c>
      <c r="I37" s="98"/>
    </row>
    <row r="38" spans="5:9" x14ac:dyDescent="0.4">
      <c r="E38" s="63" t="s">
        <v>102</v>
      </c>
      <c r="F38" s="28" t="s">
        <v>56</v>
      </c>
      <c r="G38" s="15">
        <v>0</v>
      </c>
      <c r="H38" s="137">
        <f t="shared" si="1"/>
        <v>0</v>
      </c>
      <c r="I38" s="98"/>
    </row>
    <row r="39" spans="5:9" x14ac:dyDescent="0.4">
      <c r="E39" s="63" t="s">
        <v>103</v>
      </c>
      <c r="F39" s="28" t="s">
        <v>57</v>
      </c>
      <c r="G39" s="15">
        <v>0</v>
      </c>
      <c r="H39" s="137">
        <f t="shared" si="1"/>
        <v>0</v>
      </c>
      <c r="I39" s="98"/>
    </row>
    <row r="40" spans="5:9" x14ac:dyDescent="0.4">
      <c r="E40" s="63" t="s">
        <v>104</v>
      </c>
      <c r="F40" s="28" t="s">
        <v>58</v>
      </c>
      <c r="G40" s="15">
        <v>0</v>
      </c>
      <c r="H40" s="137">
        <f t="shared" si="1"/>
        <v>0</v>
      </c>
      <c r="I40" s="98"/>
    </row>
    <row r="41" spans="5:9" x14ac:dyDescent="0.4">
      <c r="E41" s="63" t="s">
        <v>105</v>
      </c>
      <c r="F41" s="28" t="s">
        <v>59</v>
      </c>
      <c r="G41" s="15">
        <v>0</v>
      </c>
      <c r="H41" s="137">
        <f t="shared" si="1"/>
        <v>0</v>
      </c>
      <c r="I41" s="98"/>
    </row>
    <row r="42" spans="5:9" x14ac:dyDescent="0.4">
      <c r="E42" s="63" t="s">
        <v>106</v>
      </c>
      <c r="F42" s="28" t="s">
        <v>60</v>
      </c>
      <c r="G42" s="15">
        <v>0</v>
      </c>
      <c r="H42" s="137">
        <f t="shared" si="1"/>
        <v>0</v>
      </c>
      <c r="I42" s="98"/>
    </row>
    <row r="43" spans="5:9" x14ac:dyDescent="0.4">
      <c r="E43" s="63" t="s">
        <v>107</v>
      </c>
      <c r="F43" s="28" t="s">
        <v>61</v>
      </c>
      <c r="G43" s="15">
        <v>0</v>
      </c>
      <c r="H43" s="137">
        <f t="shared" si="1"/>
        <v>0</v>
      </c>
      <c r="I43" s="98"/>
    </row>
    <row r="44" spans="5:9" x14ac:dyDescent="0.4">
      <c r="E44" s="63" t="s">
        <v>108</v>
      </c>
      <c r="F44" s="28" t="s">
        <v>115</v>
      </c>
      <c r="G44" s="15">
        <v>0</v>
      </c>
      <c r="H44" s="137">
        <f t="shared" si="1"/>
        <v>0</v>
      </c>
      <c r="I44" s="98"/>
    </row>
    <row r="45" spans="5:9" x14ac:dyDescent="0.4">
      <c r="E45" s="63" t="s">
        <v>109</v>
      </c>
      <c r="F45" s="28" t="s">
        <v>116</v>
      </c>
      <c r="G45" s="15">
        <v>0</v>
      </c>
      <c r="H45" s="137">
        <f t="shared" si="1"/>
        <v>0</v>
      </c>
      <c r="I45" s="98"/>
    </row>
    <row r="46" spans="5:9" x14ac:dyDescent="0.4">
      <c r="E46" s="63" t="s">
        <v>110</v>
      </c>
      <c r="F46" s="28" t="s">
        <v>117</v>
      </c>
      <c r="G46" s="15">
        <v>0</v>
      </c>
      <c r="H46" s="137">
        <f t="shared" si="1"/>
        <v>0</v>
      </c>
      <c r="I46" s="98"/>
    </row>
    <row r="47" spans="5:9" x14ac:dyDescent="0.4">
      <c r="E47" s="63" t="s">
        <v>111</v>
      </c>
      <c r="F47" s="28" t="s">
        <v>62</v>
      </c>
      <c r="G47" s="15">
        <v>0</v>
      </c>
      <c r="H47" s="137">
        <f t="shared" si="1"/>
        <v>0</v>
      </c>
      <c r="I47" s="98"/>
    </row>
    <row r="48" spans="5:9" x14ac:dyDescent="0.4">
      <c r="E48" s="63" t="s">
        <v>112</v>
      </c>
      <c r="F48" s="28" t="s">
        <v>63</v>
      </c>
      <c r="G48" s="15">
        <v>0</v>
      </c>
      <c r="H48" s="137">
        <f t="shared" si="1"/>
        <v>0</v>
      </c>
      <c r="I48" s="98"/>
    </row>
    <row r="49" spans="5:9" x14ac:dyDescent="0.4">
      <c r="E49" s="63" t="s">
        <v>113</v>
      </c>
      <c r="F49" s="28" t="s">
        <v>64</v>
      </c>
      <c r="G49" s="15">
        <v>0</v>
      </c>
      <c r="H49" s="137">
        <f t="shared" si="1"/>
        <v>0</v>
      </c>
      <c r="I49" s="98"/>
    </row>
    <row r="50" spans="5:9" x14ac:dyDescent="0.4">
      <c r="E50" s="63" t="s">
        <v>114</v>
      </c>
      <c r="F50" s="60" t="s">
        <v>65</v>
      </c>
      <c r="G50" s="47">
        <v>0</v>
      </c>
      <c r="H50" s="137">
        <f t="shared" si="1"/>
        <v>0</v>
      </c>
      <c r="I50" s="98"/>
    </row>
    <row r="51" spans="5:9" x14ac:dyDescent="0.4">
      <c r="E51" s="63" t="s">
        <v>186</v>
      </c>
      <c r="F51" s="60" t="s">
        <v>189</v>
      </c>
      <c r="G51" s="47">
        <v>0</v>
      </c>
      <c r="H51" s="137">
        <f t="shared" si="1"/>
        <v>0</v>
      </c>
      <c r="I51" s="98"/>
    </row>
    <row r="52" spans="5:9" x14ac:dyDescent="0.4">
      <c r="E52" s="64" t="s">
        <v>187</v>
      </c>
      <c r="F52" s="61" t="s">
        <v>188</v>
      </c>
      <c r="G52" s="49">
        <v>0</v>
      </c>
      <c r="H52" s="138">
        <f t="shared" si="1"/>
        <v>0</v>
      </c>
      <c r="I52" s="99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1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174</v>
      </c>
      <c r="B2" s="31">
        <v>43555.865243055552</v>
      </c>
      <c r="C2" s="30" t="s">
        <v>132</v>
      </c>
      <c r="D2" s="30" t="s">
        <v>133</v>
      </c>
      <c r="E2" s="30" t="s">
        <v>175</v>
      </c>
    </row>
    <row r="3" spans="1:10" x14ac:dyDescent="0.4">
      <c r="A3" s="30" t="s">
        <v>176</v>
      </c>
      <c r="B3" s="31">
        <v>43557.861886574072</v>
      </c>
      <c r="C3" s="30" t="s">
        <v>132</v>
      </c>
      <c r="D3" s="30" t="s">
        <v>133</v>
      </c>
      <c r="E3" s="30" t="s">
        <v>175</v>
      </c>
      <c r="F3" s="30" t="s">
        <v>180</v>
      </c>
      <c r="G3" s="30" t="s">
        <v>181</v>
      </c>
    </row>
    <row r="4" spans="1:10" x14ac:dyDescent="0.4">
      <c r="A4" s="30" t="s">
        <v>182</v>
      </c>
      <c r="B4" s="31">
        <v>43559.023634259262</v>
      </c>
      <c r="C4" s="30" t="s">
        <v>132</v>
      </c>
      <c r="D4" s="30" t="s">
        <v>133</v>
      </c>
      <c r="E4" s="30" t="s">
        <v>175</v>
      </c>
    </row>
    <row r="5" spans="1:10" x14ac:dyDescent="0.4">
      <c r="A5" s="30" t="s">
        <v>184</v>
      </c>
      <c r="B5" s="31">
        <v>43560.077002314814</v>
      </c>
      <c r="C5" s="30" t="s">
        <v>132</v>
      </c>
      <c r="D5" s="30" t="s">
        <v>133</v>
      </c>
      <c r="E5" s="30" t="s">
        <v>175</v>
      </c>
      <c r="F5" s="30" t="s">
        <v>180</v>
      </c>
    </row>
    <row r="6" spans="1:10" x14ac:dyDescent="0.4">
      <c r="A6" s="30" t="s">
        <v>185</v>
      </c>
      <c r="B6" s="31">
        <v>43561.108229166668</v>
      </c>
      <c r="C6" s="30" t="s">
        <v>132</v>
      </c>
      <c r="D6" s="30" t="s">
        <v>133</v>
      </c>
      <c r="E6" s="30" t="s">
        <v>175</v>
      </c>
      <c r="F6" s="30" t="s">
        <v>180</v>
      </c>
      <c r="G6" s="30" t="s">
        <v>181</v>
      </c>
    </row>
    <row r="7" spans="1:10" x14ac:dyDescent="0.4">
      <c r="A7" s="30" t="s">
        <v>190</v>
      </c>
      <c r="B7" s="31">
        <v>43562.38486111111</v>
      </c>
      <c r="C7" s="30" t="s">
        <v>132</v>
      </c>
      <c r="D7" s="30" t="s">
        <v>133</v>
      </c>
      <c r="E7" s="30" t="s">
        <v>175</v>
      </c>
      <c r="F7" s="30" t="s">
        <v>180</v>
      </c>
      <c r="G7" s="30" t="s">
        <v>181</v>
      </c>
      <c r="H7" s="30" t="s">
        <v>193</v>
      </c>
      <c r="I7" s="30" t="s">
        <v>194</v>
      </c>
      <c r="J7" s="30" t="s">
        <v>195</v>
      </c>
    </row>
    <row r="8" spans="1:10" x14ac:dyDescent="0.4">
      <c r="A8" s="30" t="s">
        <v>196</v>
      </c>
      <c r="B8" s="31">
        <v>43563.064872685187</v>
      </c>
      <c r="C8" s="30" t="s">
        <v>132</v>
      </c>
      <c r="D8" s="30" t="s">
        <v>133</v>
      </c>
      <c r="E8" s="30" t="s">
        <v>175</v>
      </c>
      <c r="F8" s="30" t="s">
        <v>180</v>
      </c>
      <c r="G8" s="30" t="s">
        <v>181</v>
      </c>
      <c r="H8" s="30" t="s">
        <v>193</v>
      </c>
      <c r="I8" s="30" t="s">
        <v>194</v>
      </c>
    </row>
    <row r="9" spans="1:10" x14ac:dyDescent="0.4">
      <c r="A9" s="30" t="s">
        <v>197</v>
      </c>
      <c r="B9" s="31">
        <v>43564.018368055556</v>
      </c>
      <c r="C9" s="30" t="s">
        <v>132</v>
      </c>
      <c r="D9" s="30" t="s">
        <v>133</v>
      </c>
    </row>
    <row r="10" spans="1:10" x14ac:dyDescent="0.4">
      <c r="A10" s="30" t="s">
        <v>198</v>
      </c>
      <c r="B10" s="31">
        <v>43565.03292824074</v>
      </c>
      <c r="C10" s="30" t="s">
        <v>132</v>
      </c>
      <c r="D10" s="30" t="s">
        <v>133</v>
      </c>
      <c r="E10" s="30" t="s">
        <v>175</v>
      </c>
      <c r="F10" s="30" t="s">
        <v>180</v>
      </c>
    </row>
    <row r="11" spans="1:10" x14ac:dyDescent="0.4">
      <c r="A11" s="30" t="s">
        <v>201</v>
      </c>
      <c r="B11" s="31">
        <v>43565.857199074075</v>
      </c>
      <c r="C11" s="30" t="s">
        <v>132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177</v>
      </c>
    </row>
    <row r="6" spans="1:1" x14ac:dyDescent="0.4">
      <c r="A6" t="s">
        <v>178</v>
      </c>
    </row>
    <row r="7" spans="1:1" x14ac:dyDescent="0.4">
      <c r="A7" t="s">
        <v>179</v>
      </c>
    </row>
    <row r="8" spans="1:1" x14ac:dyDescent="0.4">
      <c r="A8" t="s">
        <v>183</v>
      </c>
    </row>
    <row r="9" spans="1:1" x14ac:dyDescent="0.4">
      <c r="A9" t="s">
        <v>191</v>
      </c>
    </row>
    <row r="10" spans="1:1" x14ac:dyDescent="0.4">
      <c r="A10" t="s">
        <v>192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2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167</v>
      </c>
      <c r="K1" s="159"/>
      <c r="L1" s="158" t="s">
        <v>151</v>
      </c>
      <c r="M1" s="159"/>
      <c r="N1" s="158" t="s">
        <v>152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143</v>
      </c>
      <c r="W1" s="159"/>
      <c r="X1" s="158" t="s">
        <v>165</v>
      </c>
      <c r="Y1" s="159"/>
      <c r="Z1" s="158" t="s">
        <v>125</v>
      </c>
      <c r="AA1" s="159"/>
      <c r="AB1" s="158" t="s">
        <v>122</v>
      </c>
      <c r="AC1" s="159"/>
      <c r="AD1" s="158" t="s">
        <v>128</v>
      </c>
      <c r="AE1" s="159"/>
      <c r="AF1" s="158" t="s">
        <v>153</v>
      </c>
      <c r="AG1" s="159"/>
      <c r="AH1" s="158" t="s">
        <v>146</v>
      </c>
      <c r="AI1" s="159"/>
      <c r="AJ1" s="158" t="s">
        <v>154</v>
      </c>
      <c r="AK1" s="159"/>
      <c r="AL1" s="158" t="s">
        <v>156</v>
      </c>
      <c r="AM1" s="159"/>
      <c r="AN1" s="158" t="s">
        <v>168</v>
      </c>
      <c r="AO1" s="159"/>
    </row>
    <row r="2" spans="1:41" x14ac:dyDescent="0.4">
      <c r="A2" s="72" t="s">
        <v>166</v>
      </c>
      <c r="B2" s="160"/>
      <c r="C2" s="161"/>
      <c r="D2" s="160"/>
      <c r="E2" s="161"/>
      <c r="F2" s="162">
        <v>0.9984456582669784</v>
      </c>
      <c r="G2" s="163"/>
      <c r="H2" s="162">
        <v>0.96120319361862294</v>
      </c>
      <c r="I2" s="163"/>
      <c r="J2" s="162">
        <v>0.95781065498259732</v>
      </c>
      <c r="K2" s="163"/>
      <c r="L2" s="162">
        <v>0.84300966067902749</v>
      </c>
      <c r="M2" s="163"/>
      <c r="N2" s="162">
        <v>0.81568526394912011</v>
      </c>
      <c r="O2" s="163"/>
      <c r="P2" s="162">
        <v>0.83226150729144588</v>
      </c>
      <c r="Q2" s="163"/>
      <c r="R2" s="162">
        <v>0.61452492727235264</v>
      </c>
      <c r="S2" s="163"/>
      <c r="T2" s="162">
        <v>0.90121286826000147</v>
      </c>
      <c r="U2" s="163"/>
      <c r="V2" s="162">
        <v>0.93054494477583416</v>
      </c>
      <c r="W2" s="163"/>
      <c r="X2" s="162">
        <v>0.67647022522835987</v>
      </c>
      <c r="Y2" s="163"/>
      <c r="Z2" s="162">
        <v>0.89188621782142352</v>
      </c>
      <c r="AA2" s="163"/>
      <c r="AB2" s="162">
        <v>0.50407721150090445</v>
      </c>
      <c r="AC2" s="163"/>
      <c r="AD2" s="162">
        <v>0.68388855978863305</v>
      </c>
      <c r="AE2" s="163"/>
      <c r="AF2" s="162">
        <v>0.49899167493176744</v>
      </c>
      <c r="AG2" s="163"/>
      <c r="AH2" s="162">
        <v>-0.41610767007915761</v>
      </c>
      <c r="AI2" s="163"/>
      <c r="AJ2" s="162">
        <v>-0.67809699321872452</v>
      </c>
      <c r="AK2" s="163"/>
      <c r="AL2" s="162">
        <v>0.97477271720853143</v>
      </c>
      <c r="AM2" s="163"/>
      <c r="AN2" s="162">
        <v>0.30530426379494502</v>
      </c>
      <c r="AO2" s="163"/>
    </row>
    <row r="3" spans="1:41" x14ac:dyDescent="0.4">
      <c r="A3" s="74">
        <v>1</v>
      </c>
      <c r="B3" s="75" t="s">
        <v>129</v>
      </c>
      <c r="C3" s="76">
        <v>596.30000000000007</v>
      </c>
      <c r="D3" s="77" t="s">
        <v>129</v>
      </c>
      <c r="E3" s="100">
        <v>22.085185185185189</v>
      </c>
      <c r="F3" s="77" t="s">
        <v>191</v>
      </c>
      <c r="G3" s="78">
        <v>1.3333333333333333</v>
      </c>
      <c r="H3" s="77" t="s">
        <v>191</v>
      </c>
      <c r="I3" s="79">
        <v>0.66666666666666663</v>
      </c>
      <c r="J3" s="77" t="s">
        <v>191</v>
      </c>
      <c r="K3" s="79">
        <v>0</v>
      </c>
      <c r="L3" s="77" t="s">
        <v>129</v>
      </c>
      <c r="M3" s="80">
        <v>0.40090090090090091</v>
      </c>
      <c r="N3" s="77" t="s">
        <v>191</v>
      </c>
      <c r="O3" s="80">
        <v>0.10526315789473684</v>
      </c>
      <c r="P3" s="77" t="s">
        <v>130</v>
      </c>
      <c r="Q3" s="81">
        <v>9139.1891891891901</v>
      </c>
      <c r="R3" s="77" t="s">
        <v>191</v>
      </c>
      <c r="S3" s="81">
        <v>-5150</v>
      </c>
      <c r="T3" s="77" t="s">
        <v>130</v>
      </c>
      <c r="U3" s="79">
        <v>0</v>
      </c>
      <c r="V3" s="77" t="s">
        <v>129</v>
      </c>
      <c r="W3" s="79">
        <v>0.18518518518518517</v>
      </c>
      <c r="X3" s="77" t="s">
        <v>129</v>
      </c>
      <c r="Y3" s="79">
        <v>0.18518518518518517</v>
      </c>
      <c r="Z3" s="77" t="s">
        <v>129</v>
      </c>
      <c r="AA3" s="80">
        <v>0.34234234234234234</v>
      </c>
      <c r="AB3" s="77" t="s">
        <v>178</v>
      </c>
      <c r="AC3" s="80">
        <v>0.34426229508196721</v>
      </c>
      <c r="AD3" s="77" t="s">
        <v>192</v>
      </c>
      <c r="AE3" s="80">
        <v>0.7142857142857143</v>
      </c>
      <c r="AF3" s="77" t="s">
        <v>192</v>
      </c>
      <c r="AG3" s="80">
        <v>0.66666666666666663</v>
      </c>
      <c r="AH3" s="77" t="s">
        <v>192</v>
      </c>
      <c r="AI3" s="80">
        <v>0.6</v>
      </c>
      <c r="AJ3" s="77" t="s">
        <v>131</v>
      </c>
      <c r="AK3" s="82">
        <v>7</v>
      </c>
      <c r="AL3" s="77" t="s">
        <v>129</v>
      </c>
      <c r="AM3" s="95">
        <v>105900</v>
      </c>
      <c r="AN3" s="77" t="s">
        <v>147</v>
      </c>
      <c r="AO3" s="83">
        <v>6</v>
      </c>
    </row>
    <row r="4" spans="1:41" x14ac:dyDescent="0.4">
      <c r="A4" s="84">
        <v>2</v>
      </c>
      <c r="B4" s="85" t="s">
        <v>130</v>
      </c>
      <c r="C4" s="86">
        <v>236.69999999999996</v>
      </c>
      <c r="D4" s="87" t="s">
        <v>191</v>
      </c>
      <c r="E4" s="101">
        <v>20.333333333333332</v>
      </c>
      <c r="F4" s="87" t="s">
        <v>129</v>
      </c>
      <c r="G4" s="88">
        <v>1.6296296296296295</v>
      </c>
      <c r="H4" s="87" t="s">
        <v>129</v>
      </c>
      <c r="I4" s="89">
        <v>0.55555555555555558</v>
      </c>
      <c r="J4" s="87" t="s">
        <v>129</v>
      </c>
      <c r="K4" s="89">
        <v>0.18518518518518517</v>
      </c>
      <c r="L4" s="87" t="s">
        <v>130</v>
      </c>
      <c r="M4" s="90">
        <v>0.31223628691983124</v>
      </c>
      <c r="N4" s="87" t="s">
        <v>130</v>
      </c>
      <c r="O4" s="90">
        <v>0.14345991561181434</v>
      </c>
      <c r="P4" s="87" t="s">
        <v>129</v>
      </c>
      <c r="Q4" s="91">
        <v>9133.7078651685388</v>
      </c>
      <c r="R4" s="87" t="s">
        <v>192</v>
      </c>
      <c r="S4" s="91">
        <v>-6700</v>
      </c>
      <c r="T4" s="87" t="s">
        <v>178</v>
      </c>
      <c r="U4" s="89">
        <v>0</v>
      </c>
      <c r="V4" s="87" t="s">
        <v>177</v>
      </c>
      <c r="W4" s="89">
        <v>9.5238095238095233E-2</v>
      </c>
      <c r="X4" s="87" t="s">
        <v>183</v>
      </c>
      <c r="Y4" s="89">
        <v>0.18181818181818182</v>
      </c>
      <c r="Z4" s="87" t="s">
        <v>130</v>
      </c>
      <c r="AA4" s="90">
        <v>0.30801687763713081</v>
      </c>
      <c r="AB4" s="87" t="s">
        <v>129</v>
      </c>
      <c r="AC4" s="90">
        <v>0.27027027027027029</v>
      </c>
      <c r="AD4" s="87" t="s">
        <v>178</v>
      </c>
      <c r="AE4" s="90">
        <v>0.63636363636363635</v>
      </c>
      <c r="AF4" s="87" t="s">
        <v>129</v>
      </c>
      <c r="AG4" s="90">
        <v>0.55000000000000004</v>
      </c>
      <c r="AH4" s="87" t="s">
        <v>179</v>
      </c>
      <c r="AI4" s="90">
        <v>0.53125</v>
      </c>
      <c r="AJ4" s="87" t="s">
        <v>147</v>
      </c>
      <c r="AK4" s="92">
        <v>7</v>
      </c>
      <c r="AL4" s="87" t="s">
        <v>147</v>
      </c>
      <c r="AM4" s="96">
        <v>105900</v>
      </c>
      <c r="AN4" s="87" t="s">
        <v>130</v>
      </c>
      <c r="AO4" s="93">
        <v>4</v>
      </c>
    </row>
    <row r="5" spans="1:41" x14ac:dyDescent="0.4">
      <c r="A5" s="84">
        <v>3</v>
      </c>
      <c r="B5" s="85" t="s">
        <v>191</v>
      </c>
      <c r="C5" s="86">
        <v>61</v>
      </c>
      <c r="D5" s="87" t="s">
        <v>130</v>
      </c>
      <c r="E5" s="101">
        <v>8.7666666666666657</v>
      </c>
      <c r="F5" s="87" t="s">
        <v>130</v>
      </c>
      <c r="G5" s="88">
        <v>1.8518518518518519</v>
      </c>
      <c r="H5" s="87" t="s">
        <v>130</v>
      </c>
      <c r="I5" s="89">
        <v>0.37037037037037035</v>
      </c>
      <c r="J5" s="87" t="s">
        <v>130</v>
      </c>
      <c r="K5" s="89">
        <v>0.22222222222222221</v>
      </c>
      <c r="L5" s="87" t="s">
        <v>147</v>
      </c>
      <c r="M5" s="90">
        <v>0.29907407407407405</v>
      </c>
      <c r="N5" s="87" t="s">
        <v>178</v>
      </c>
      <c r="O5" s="90">
        <v>0.16393442622950818</v>
      </c>
      <c r="P5" s="87" t="s">
        <v>177</v>
      </c>
      <c r="Q5" s="91">
        <v>7983.6734693877552</v>
      </c>
      <c r="R5" s="87" t="s">
        <v>183</v>
      </c>
      <c r="S5" s="91">
        <v>-7141.1764705882351</v>
      </c>
      <c r="T5" s="87" t="s">
        <v>191</v>
      </c>
      <c r="U5" s="89">
        <v>0</v>
      </c>
      <c r="V5" s="87" t="s">
        <v>130</v>
      </c>
      <c r="W5" s="89">
        <v>7.407407407407407E-2</v>
      </c>
      <c r="X5" s="87" t="s">
        <v>130</v>
      </c>
      <c r="Y5" s="89">
        <v>0.14814814814814814</v>
      </c>
      <c r="Z5" s="87" t="s">
        <v>191</v>
      </c>
      <c r="AA5" s="90">
        <v>0.26315789473684209</v>
      </c>
      <c r="AB5" s="87" t="s">
        <v>183</v>
      </c>
      <c r="AC5" s="90">
        <v>0.24691358024691357</v>
      </c>
      <c r="AD5" s="87" t="s">
        <v>130</v>
      </c>
      <c r="AE5" s="90">
        <v>0.63013698630136983</v>
      </c>
      <c r="AF5" s="87" t="s">
        <v>191</v>
      </c>
      <c r="AG5" s="90">
        <v>0.5</v>
      </c>
      <c r="AH5" s="87" t="s">
        <v>131</v>
      </c>
      <c r="AI5" s="90">
        <v>0.40740740740740738</v>
      </c>
      <c r="AJ5" s="87" t="s">
        <v>179</v>
      </c>
      <c r="AK5" s="92">
        <v>6</v>
      </c>
      <c r="AL5" s="87" t="s">
        <v>177</v>
      </c>
      <c r="AM5" s="96">
        <v>91700</v>
      </c>
      <c r="AN5" s="87" t="s">
        <v>177</v>
      </c>
      <c r="AO5" s="93">
        <v>1</v>
      </c>
    </row>
    <row r="6" spans="1:41" x14ac:dyDescent="0.4">
      <c r="A6" s="84">
        <v>4</v>
      </c>
      <c r="B6" s="85" t="s">
        <v>147</v>
      </c>
      <c r="C6" s="86">
        <v>1.4210854715202004E-14</v>
      </c>
      <c r="D6" s="87" t="s">
        <v>147</v>
      </c>
      <c r="E6" s="101">
        <v>1.1278456123176193E-16</v>
      </c>
      <c r="F6" s="87" t="s">
        <v>177</v>
      </c>
      <c r="G6" s="88">
        <v>2</v>
      </c>
      <c r="H6" s="87" t="s">
        <v>177</v>
      </c>
      <c r="I6" s="89">
        <v>0.33333333333333331</v>
      </c>
      <c r="J6" s="87" t="s">
        <v>178</v>
      </c>
      <c r="K6" s="89">
        <v>0.25</v>
      </c>
      <c r="L6" s="87" t="s">
        <v>179</v>
      </c>
      <c r="M6" s="90">
        <v>0.2831858407079646</v>
      </c>
      <c r="N6" s="87" t="s">
        <v>177</v>
      </c>
      <c r="O6" s="90">
        <v>0.16489361702127658</v>
      </c>
      <c r="P6" s="87" t="s">
        <v>147</v>
      </c>
      <c r="Q6" s="91">
        <v>7962.5386996904026</v>
      </c>
      <c r="R6" s="87" t="s">
        <v>178</v>
      </c>
      <c r="S6" s="91">
        <v>-7190</v>
      </c>
      <c r="T6" s="87" t="s">
        <v>192</v>
      </c>
      <c r="U6" s="89">
        <v>0</v>
      </c>
      <c r="V6" s="87" t="s">
        <v>147</v>
      </c>
      <c r="W6" s="89">
        <v>7.1428571428571425E-2</v>
      </c>
      <c r="X6" s="87" t="s">
        <v>147</v>
      </c>
      <c r="Y6" s="89">
        <v>0.1111111111111111</v>
      </c>
      <c r="Z6" s="87" t="s">
        <v>147</v>
      </c>
      <c r="AA6" s="90">
        <v>0.26018518518518519</v>
      </c>
      <c r="AB6" s="87" t="s">
        <v>179</v>
      </c>
      <c r="AC6" s="90">
        <v>0.23008849557522124</v>
      </c>
      <c r="AD6" s="87" t="s">
        <v>191</v>
      </c>
      <c r="AE6" s="90">
        <v>0.6</v>
      </c>
      <c r="AF6" s="87" t="s">
        <v>147</v>
      </c>
      <c r="AG6" s="90">
        <v>0.40434782608695652</v>
      </c>
      <c r="AH6" s="87" t="s">
        <v>129</v>
      </c>
      <c r="AI6" s="90">
        <v>0.4044943820224719</v>
      </c>
      <c r="AJ6" s="87" t="s">
        <v>129</v>
      </c>
      <c r="AK6" s="92">
        <v>5</v>
      </c>
      <c r="AL6" s="87" t="s">
        <v>130</v>
      </c>
      <c r="AM6" s="96">
        <v>88600</v>
      </c>
      <c r="AN6" s="87" t="s">
        <v>179</v>
      </c>
      <c r="AO6" s="93">
        <v>1</v>
      </c>
    </row>
    <row r="7" spans="1:41" x14ac:dyDescent="0.4">
      <c r="A7" s="84">
        <v>5</v>
      </c>
      <c r="B7" s="85" t="s">
        <v>177</v>
      </c>
      <c r="C7" s="86">
        <v>-3.0999999999999917</v>
      </c>
      <c r="D7" s="87" t="s">
        <v>177</v>
      </c>
      <c r="E7" s="101">
        <v>-0.14761904761904723</v>
      </c>
      <c r="F7" s="87" t="s">
        <v>147</v>
      </c>
      <c r="G7" s="88">
        <v>2</v>
      </c>
      <c r="H7" s="87" t="s">
        <v>147</v>
      </c>
      <c r="I7" s="89">
        <v>0.33333333333333331</v>
      </c>
      <c r="J7" s="87" t="s">
        <v>177</v>
      </c>
      <c r="K7" s="89">
        <v>0.33333333333333331</v>
      </c>
      <c r="L7" s="87" t="s">
        <v>178</v>
      </c>
      <c r="M7" s="90">
        <v>0.27868852459016391</v>
      </c>
      <c r="N7" s="87" t="s">
        <v>129</v>
      </c>
      <c r="O7" s="90">
        <v>0.17117117117117117</v>
      </c>
      <c r="P7" s="87" t="s">
        <v>191</v>
      </c>
      <c r="Q7" s="91">
        <v>7860</v>
      </c>
      <c r="R7" s="87" t="s">
        <v>177</v>
      </c>
      <c r="S7" s="91">
        <v>-7629.0322580645161</v>
      </c>
      <c r="T7" s="87" t="s">
        <v>129</v>
      </c>
      <c r="U7" s="89">
        <v>3.7037037037037035E-2</v>
      </c>
      <c r="V7" s="87" t="s">
        <v>131</v>
      </c>
      <c r="W7" s="89">
        <v>0</v>
      </c>
      <c r="X7" s="87" t="s">
        <v>177</v>
      </c>
      <c r="Y7" s="89">
        <v>9.5238095238095233E-2</v>
      </c>
      <c r="Z7" s="87" t="s">
        <v>177</v>
      </c>
      <c r="AA7" s="90">
        <v>0.24468085106382978</v>
      </c>
      <c r="AB7" s="87" t="s">
        <v>147</v>
      </c>
      <c r="AC7" s="90">
        <v>0.21296296296296297</v>
      </c>
      <c r="AD7" s="87" t="s">
        <v>147</v>
      </c>
      <c r="AE7" s="90">
        <v>0.5658362989323843</v>
      </c>
      <c r="AF7" s="87" t="s">
        <v>179</v>
      </c>
      <c r="AG7" s="90">
        <v>0.38461538461538464</v>
      </c>
      <c r="AH7" s="87" t="s">
        <v>147</v>
      </c>
      <c r="AI7" s="90">
        <v>0.39318885448916407</v>
      </c>
      <c r="AJ7" s="87" t="s">
        <v>130</v>
      </c>
      <c r="AK7" s="92">
        <v>5</v>
      </c>
      <c r="AL7" s="87" t="s">
        <v>183</v>
      </c>
      <c r="AM7" s="96">
        <v>65000</v>
      </c>
      <c r="AN7" s="87" t="s">
        <v>129</v>
      </c>
      <c r="AO7" s="93">
        <v>0</v>
      </c>
    </row>
    <row r="8" spans="1:41" x14ac:dyDescent="0.4">
      <c r="A8" s="84">
        <v>6</v>
      </c>
      <c r="B8" s="85" t="s">
        <v>178</v>
      </c>
      <c r="C8" s="86">
        <v>-29.5</v>
      </c>
      <c r="D8" s="87" t="s">
        <v>178</v>
      </c>
      <c r="E8" s="101">
        <v>-3.6875</v>
      </c>
      <c r="F8" s="87" t="s">
        <v>178</v>
      </c>
      <c r="G8" s="88">
        <v>2.125</v>
      </c>
      <c r="H8" s="87" t="s">
        <v>183</v>
      </c>
      <c r="I8" s="89">
        <v>0.27272727272727271</v>
      </c>
      <c r="J8" s="87" t="s">
        <v>147</v>
      </c>
      <c r="K8" s="89">
        <v>0.33333333333333331</v>
      </c>
      <c r="L8" s="87" t="s">
        <v>192</v>
      </c>
      <c r="M8" s="90">
        <v>0.27027027027027029</v>
      </c>
      <c r="N8" s="87" t="s">
        <v>147</v>
      </c>
      <c r="O8" s="90">
        <v>0.17962962962962964</v>
      </c>
      <c r="P8" s="87" t="s">
        <v>131</v>
      </c>
      <c r="Q8" s="91">
        <v>7314.8148148148148</v>
      </c>
      <c r="R8" s="87" t="s">
        <v>129</v>
      </c>
      <c r="S8" s="91">
        <v>-7692.105263157895</v>
      </c>
      <c r="T8" s="87" t="s">
        <v>177</v>
      </c>
      <c r="U8" s="89">
        <v>4.7619047619047616E-2</v>
      </c>
      <c r="V8" s="87" t="s">
        <v>179</v>
      </c>
      <c r="W8" s="89">
        <v>0</v>
      </c>
      <c r="X8" s="87" t="s">
        <v>131</v>
      </c>
      <c r="Y8" s="89">
        <v>7.6923076923076927E-2</v>
      </c>
      <c r="Z8" s="87" t="s">
        <v>131</v>
      </c>
      <c r="AA8" s="90">
        <v>0.22950819672131148</v>
      </c>
      <c r="AB8" s="87" t="s">
        <v>191</v>
      </c>
      <c r="AC8" s="90">
        <v>0.21052631578947367</v>
      </c>
      <c r="AD8" s="87" t="s">
        <v>129</v>
      </c>
      <c r="AE8" s="90">
        <v>0.55263157894736847</v>
      </c>
      <c r="AF8" s="87" t="s">
        <v>177</v>
      </c>
      <c r="AG8" s="90">
        <v>0.35897435897435898</v>
      </c>
      <c r="AH8" s="87" t="s">
        <v>130</v>
      </c>
      <c r="AI8" s="90">
        <v>0.36486486486486486</v>
      </c>
      <c r="AJ8" s="87" t="s">
        <v>183</v>
      </c>
      <c r="AK8" s="92">
        <v>5</v>
      </c>
      <c r="AL8" s="87" t="s">
        <v>191</v>
      </c>
      <c r="AM8" s="96">
        <v>53500</v>
      </c>
      <c r="AN8" s="87" t="s">
        <v>131</v>
      </c>
      <c r="AO8" s="93">
        <v>0</v>
      </c>
    </row>
    <row r="9" spans="1:41" x14ac:dyDescent="0.4">
      <c r="A9" s="84">
        <v>7</v>
      </c>
      <c r="B9" s="85" t="s">
        <v>192</v>
      </c>
      <c r="C9" s="86">
        <v>-49.800000000000004</v>
      </c>
      <c r="D9" s="87" t="s">
        <v>192</v>
      </c>
      <c r="E9" s="101">
        <v>-12.450000000000001</v>
      </c>
      <c r="F9" s="87" t="s">
        <v>192</v>
      </c>
      <c r="G9" s="88">
        <v>2.25</v>
      </c>
      <c r="H9" s="87" t="s">
        <v>192</v>
      </c>
      <c r="I9" s="89">
        <v>0.25</v>
      </c>
      <c r="J9" s="87" t="s">
        <v>179</v>
      </c>
      <c r="K9" s="89">
        <v>0.5</v>
      </c>
      <c r="L9" s="87" t="s">
        <v>191</v>
      </c>
      <c r="M9" s="90">
        <v>0.26315789473684209</v>
      </c>
      <c r="N9" s="87" t="s">
        <v>183</v>
      </c>
      <c r="O9" s="90">
        <v>0.20987654320987653</v>
      </c>
      <c r="P9" s="87" t="s">
        <v>183</v>
      </c>
      <c r="Q9" s="91">
        <v>6480</v>
      </c>
      <c r="R9" s="87" t="s">
        <v>130</v>
      </c>
      <c r="S9" s="91">
        <v>-7776.4705882352937</v>
      </c>
      <c r="T9" s="87" t="s">
        <v>147</v>
      </c>
      <c r="U9" s="89">
        <v>7.1428571428571425E-2</v>
      </c>
      <c r="V9" s="87" t="s">
        <v>183</v>
      </c>
      <c r="W9" s="89">
        <v>0</v>
      </c>
      <c r="X9" s="87" t="s">
        <v>179</v>
      </c>
      <c r="Y9" s="89">
        <v>0</v>
      </c>
      <c r="Z9" s="87" t="s">
        <v>183</v>
      </c>
      <c r="AA9" s="90">
        <v>0.20987654320987653</v>
      </c>
      <c r="AB9" s="87" t="s">
        <v>177</v>
      </c>
      <c r="AC9" s="90">
        <v>0.20744680851063829</v>
      </c>
      <c r="AD9" s="87" t="s">
        <v>183</v>
      </c>
      <c r="AE9" s="90">
        <v>0.52941176470588236</v>
      </c>
      <c r="AF9" s="87" t="s">
        <v>183</v>
      </c>
      <c r="AG9" s="90">
        <v>0.35</v>
      </c>
      <c r="AH9" s="87" t="s">
        <v>178</v>
      </c>
      <c r="AI9" s="90">
        <v>0.35294117647058826</v>
      </c>
      <c r="AJ9" s="87" t="s">
        <v>177</v>
      </c>
      <c r="AK9" s="92">
        <v>4</v>
      </c>
      <c r="AL9" s="87" t="s">
        <v>131</v>
      </c>
      <c r="AM9" s="96">
        <v>52200</v>
      </c>
      <c r="AN9" s="87" t="s">
        <v>183</v>
      </c>
      <c r="AO9" s="93">
        <v>0</v>
      </c>
    </row>
    <row r="10" spans="1:41" x14ac:dyDescent="0.4">
      <c r="A10" s="84">
        <v>8</v>
      </c>
      <c r="B10" s="85" t="s">
        <v>183</v>
      </c>
      <c r="C10" s="86">
        <v>-152.89999999999998</v>
      </c>
      <c r="D10" s="87" t="s">
        <v>183</v>
      </c>
      <c r="E10" s="101">
        <v>-13.899999999999999</v>
      </c>
      <c r="F10" s="87" t="s">
        <v>183</v>
      </c>
      <c r="G10" s="88">
        <v>2.2727272727272729</v>
      </c>
      <c r="H10" s="87" t="s">
        <v>131</v>
      </c>
      <c r="I10" s="89">
        <v>0.15384615384615385</v>
      </c>
      <c r="J10" s="87" t="s">
        <v>192</v>
      </c>
      <c r="K10" s="89">
        <v>0.5</v>
      </c>
      <c r="L10" s="87" t="s">
        <v>177</v>
      </c>
      <c r="M10" s="90">
        <v>0.26063829787234044</v>
      </c>
      <c r="N10" s="87" t="s">
        <v>131</v>
      </c>
      <c r="O10" s="90">
        <v>0.21311475409836064</v>
      </c>
      <c r="P10" s="87" t="s">
        <v>192</v>
      </c>
      <c r="Q10" s="91">
        <v>6070</v>
      </c>
      <c r="R10" s="87" t="s">
        <v>147</v>
      </c>
      <c r="S10" s="91">
        <v>-7977.8350515463917</v>
      </c>
      <c r="T10" s="87" t="s">
        <v>179</v>
      </c>
      <c r="U10" s="89">
        <v>0.16666666666666666</v>
      </c>
      <c r="V10" s="87" t="s">
        <v>178</v>
      </c>
      <c r="W10" s="89">
        <v>0</v>
      </c>
      <c r="X10" s="87" t="s">
        <v>178</v>
      </c>
      <c r="Y10" s="89">
        <v>0</v>
      </c>
      <c r="Z10" s="87" t="s">
        <v>192</v>
      </c>
      <c r="AA10" s="90">
        <v>0.1891891891891892</v>
      </c>
      <c r="AB10" s="87" t="s">
        <v>130</v>
      </c>
      <c r="AC10" s="90">
        <v>0.17721518987341772</v>
      </c>
      <c r="AD10" s="87" t="s">
        <v>177</v>
      </c>
      <c r="AE10" s="90">
        <v>0.52173913043478259</v>
      </c>
      <c r="AF10" s="87" t="s">
        <v>131</v>
      </c>
      <c r="AG10" s="90">
        <v>0.33333333333333331</v>
      </c>
      <c r="AH10" s="87" t="s">
        <v>183</v>
      </c>
      <c r="AI10" s="90">
        <v>0.35</v>
      </c>
      <c r="AJ10" s="87" t="s">
        <v>192</v>
      </c>
      <c r="AK10" s="92">
        <v>4</v>
      </c>
      <c r="AL10" s="87" t="s">
        <v>179</v>
      </c>
      <c r="AM10" s="96">
        <v>50800</v>
      </c>
      <c r="AN10" s="87" t="s">
        <v>178</v>
      </c>
      <c r="AO10" s="93">
        <v>0</v>
      </c>
    </row>
    <row r="11" spans="1:41" x14ac:dyDescent="0.4">
      <c r="A11" s="84">
        <v>9</v>
      </c>
      <c r="B11" s="85" t="s">
        <v>179</v>
      </c>
      <c r="C11" s="86">
        <v>-289.59999999999997</v>
      </c>
      <c r="D11" s="87" t="s">
        <v>179</v>
      </c>
      <c r="E11" s="101">
        <v>-24.133333333333329</v>
      </c>
      <c r="F11" s="87" t="s">
        <v>179</v>
      </c>
      <c r="G11" s="88">
        <v>2.4166666666666665</v>
      </c>
      <c r="H11" s="87" t="s">
        <v>178</v>
      </c>
      <c r="I11" s="89">
        <v>0.125</v>
      </c>
      <c r="J11" s="87" t="s">
        <v>183</v>
      </c>
      <c r="K11" s="89">
        <v>0.54545454545454541</v>
      </c>
      <c r="L11" s="87" t="s">
        <v>183</v>
      </c>
      <c r="M11" s="90">
        <v>0.24691358024691357</v>
      </c>
      <c r="N11" s="87" t="s">
        <v>192</v>
      </c>
      <c r="O11" s="90">
        <v>0.21621621621621623</v>
      </c>
      <c r="P11" s="87" t="s">
        <v>178</v>
      </c>
      <c r="Q11" s="91">
        <v>5858.8235294117649</v>
      </c>
      <c r="R11" s="87" t="s">
        <v>179</v>
      </c>
      <c r="S11" s="91">
        <v>-8521.4285714285706</v>
      </c>
      <c r="T11" s="87" t="s">
        <v>183</v>
      </c>
      <c r="U11" s="89">
        <v>0.18181818181818182</v>
      </c>
      <c r="V11" s="87" t="s">
        <v>191</v>
      </c>
      <c r="W11" s="89">
        <v>0</v>
      </c>
      <c r="X11" s="87" t="s">
        <v>191</v>
      </c>
      <c r="Y11" s="89">
        <v>0</v>
      </c>
      <c r="Z11" s="87" t="s">
        <v>178</v>
      </c>
      <c r="AA11" s="90">
        <v>0.18032786885245902</v>
      </c>
      <c r="AB11" s="87" t="s">
        <v>192</v>
      </c>
      <c r="AC11" s="90">
        <v>0.16216216216216217</v>
      </c>
      <c r="AD11" s="87" t="s">
        <v>131</v>
      </c>
      <c r="AE11" s="90">
        <v>0.5</v>
      </c>
      <c r="AF11" s="87" t="s">
        <v>178</v>
      </c>
      <c r="AG11" s="90">
        <v>0.33333333333333331</v>
      </c>
      <c r="AH11" s="87" t="s">
        <v>177</v>
      </c>
      <c r="AI11" s="90">
        <v>0.32653061224489793</v>
      </c>
      <c r="AJ11" s="87" t="s">
        <v>178</v>
      </c>
      <c r="AK11" s="92">
        <v>3</v>
      </c>
      <c r="AL11" s="87" t="s">
        <v>178</v>
      </c>
      <c r="AM11" s="96">
        <v>48100</v>
      </c>
      <c r="AN11" s="87" t="s">
        <v>191</v>
      </c>
      <c r="AO11" s="93">
        <v>0</v>
      </c>
    </row>
    <row r="12" spans="1:41" x14ac:dyDescent="0.4">
      <c r="A12" s="84">
        <v>10</v>
      </c>
      <c r="B12" s="85" t="s">
        <v>131</v>
      </c>
      <c r="C12" s="86">
        <v>-369.1</v>
      </c>
      <c r="D12" s="87" t="s">
        <v>131</v>
      </c>
      <c r="E12" s="101">
        <v>-28.392307692307693</v>
      </c>
      <c r="F12" s="87" t="s">
        <v>131</v>
      </c>
      <c r="G12" s="88">
        <v>2.4615384615384617</v>
      </c>
      <c r="H12" s="87" t="s">
        <v>179</v>
      </c>
      <c r="I12" s="89">
        <v>8.3333333333333329E-2</v>
      </c>
      <c r="J12" s="87" t="s">
        <v>131</v>
      </c>
      <c r="K12" s="89">
        <v>0.61538461538461542</v>
      </c>
      <c r="L12" s="87" t="s">
        <v>131</v>
      </c>
      <c r="M12" s="90">
        <v>0.22131147540983606</v>
      </c>
      <c r="N12" s="87" t="s">
        <v>179</v>
      </c>
      <c r="O12" s="90">
        <v>0.24778761061946902</v>
      </c>
      <c r="P12" s="87" t="s">
        <v>179</v>
      </c>
      <c r="Q12" s="91">
        <v>5150</v>
      </c>
      <c r="R12" s="87" t="s">
        <v>131</v>
      </c>
      <c r="S12" s="91">
        <v>-9950</v>
      </c>
      <c r="T12" s="87" t="s">
        <v>131</v>
      </c>
      <c r="U12" s="89">
        <v>0.23076923076923078</v>
      </c>
      <c r="V12" s="87" t="s">
        <v>192</v>
      </c>
      <c r="W12" s="89">
        <v>0</v>
      </c>
      <c r="X12" s="87" t="s">
        <v>192</v>
      </c>
      <c r="Y12" s="89">
        <v>0</v>
      </c>
      <c r="Z12" s="87" t="s">
        <v>179</v>
      </c>
      <c r="AA12" s="90">
        <v>0.15929203539823009</v>
      </c>
      <c r="AB12" s="87" t="s">
        <v>131</v>
      </c>
      <c r="AC12" s="90">
        <v>9.8360655737704916E-2</v>
      </c>
      <c r="AD12" s="87" t="s">
        <v>179</v>
      </c>
      <c r="AE12" s="90">
        <v>0.5</v>
      </c>
      <c r="AF12" s="87" t="s">
        <v>130</v>
      </c>
      <c r="AG12" s="90">
        <v>0.2857142857142857</v>
      </c>
      <c r="AH12" s="87" t="s">
        <v>191</v>
      </c>
      <c r="AI12" s="90">
        <v>0.2</v>
      </c>
      <c r="AJ12" s="87" t="s">
        <v>191</v>
      </c>
      <c r="AK12" s="92">
        <v>3</v>
      </c>
      <c r="AL12" s="87" t="s">
        <v>192</v>
      </c>
      <c r="AM12" s="96">
        <v>43600</v>
      </c>
      <c r="AN12" s="87" t="s">
        <v>192</v>
      </c>
      <c r="AO12" s="93">
        <v>0</v>
      </c>
    </row>
  </sheetData>
  <sortState ref="AN3:AO42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D8EC0-1C6E-45DC-866C-BD92996CC3C9}">
  <sheetPr codeName="Sheet4"/>
  <dimension ref="A1:Q12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147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126</v>
      </c>
      <c r="C2" s="151"/>
      <c r="E2" s="62" t="s">
        <v>68</v>
      </c>
      <c r="F2" s="59" t="s">
        <v>23</v>
      </c>
      <c r="G2" s="46">
        <v>225</v>
      </c>
      <c r="H2" s="136">
        <f>IF(B$17=0,0,G2/B$17)</f>
        <v>0.69659442724458209</v>
      </c>
      <c r="I2" s="97">
        <v>5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-39.682539682539684</v>
      </c>
      <c r="P2" s="122">
        <v>126</v>
      </c>
      <c r="Q2" s="106">
        <v>-5000</v>
      </c>
    </row>
    <row r="3" spans="1:17" x14ac:dyDescent="0.4">
      <c r="A3" s="55" t="s">
        <v>8</v>
      </c>
      <c r="B3" s="152">
        <v>1080</v>
      </c>
      <c r="C3" s="153"/>
      <c r="E3" s="63" t="s">
        <v>74</v>
      </c>
      <c r="F3" s="60" t="s">
        <v>28</v>
      </c>
      <c r="G3" s="47">
        <v>177</v>
      </c>
      <c r="H3" s="137">
        <f>IF(B$17=0,0,G3/B$17)</f>
        <v>0.54798761609907121</v>
      </c>
      <c r="I3" s="98">
        <v>7</v>
      </c>
      <c r="K3" s="38">
        <v>1</v>
      </c>
      <c r="L3" s="103">
        <v>-5.0999999999999996</v>
      </c>
      <c r="N3" s="119" t="s">
        <v>135</v>
      </c>
      <c r="O3" s="126">
        <f t="shared" si="0"/>
        <v>-16.260162601626018</v>
      </c>
      <c r="P3" s="123">
        <v>123</v>
      </c>
      <c r="Q3" s="107">
        <v>-2000</v>
      </c>
    </row>
    <row r="4" spans="1:17" x14ac:dyDescent="0.4">
      <c r="A4" s="55" t="s">
        <v>6</v>
      </c>
      <c r="B4" s="154">
        <v>1.4210854715202004E-14</v>
      </c>
      <c r="C4" s="155"/>
      <c r="E4" s="63" t="s">
        <v>66</v>
      </c>
      <c r="F4" s="60" t="s">
        <v>21</v>
      </c>
      <c r="G4" s="47">
        <v>155</v>
      </c>
      <c r="H4" s="137">
        <f>IF(B$17=0,0,G4/B$17)</f>
        <v>0.47987616099071206</v>
      </c>
      <c r="I4" s="98">
        <v>5</v>
      </c>
      <c r="K4" s="38">
        <v>2</v>
      </c>
      <c r="L4" s="103">
        <v>40.4</v>
      </c>
      <c r="N4" s="119" t="s">
        <v>136</v>
      </c>
      <c r="O4" s="126">
        <f t="shared" si="0"/>
        <v>59.82905982905983</v>
      </c>
      <c r="P4" s="123">
        <v>117</v>
      </c>
      <c r="Q4" s="107">
        <v>7000</v>
      </c>
    </row>
    <row r="5" spans="1:17" x14ac:dyDescent="0.4">
      <c r="A5" s="55" t="s">
        <v>7</v>
      </c>
      <c r="B5" s="156">
        <f>IF(B$2=0,0,B$4/B$2)</f>
        <v>1.1278456123176193E-16</v>
      </c>
      <c r="C5" s="157"/>
      <c r="E5" s="63" t="s">
        <v>187</v>
      </c>
      <c r="F5" s="60" t="s">
        <v>188</v>
      </c>
      <c r="G5" s="47">
        <v>118</v>
      </c>
      <c r="H5" s="137">
        <f>IF(B$17=0,0,G5/B$17)</f>
        <v>0.3653250773993808</v>
      </c>
      <c r="I5" s="98">
        <v>5</v>
      </c>
      <c r="K5" s="38">
        <v>3</v>
      </c>
      <c r="L5" s="103">
        <v>0</v>
      </c>
      <c r="N5" s="119" t="s">
        <v>137</v>
      </c>
      <c r="O5" s="126">
        <f t="shared" si="0"/>
        <v>0</v>
      </c>
      <c r="P5" s="123">
        <v>114</v>
      </c>
      <c r="Q5" s="107">
        <v>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70</v>
      </c>
      <c r="F6" s="60" t="s">
        <v>12</v>
      </c>
      <c r="G6" s="47">
        <v>82</v>
      </c>
      <c r="H6" s="137">
        <f>IF(B$17=0,0,G6/B$17)</f>
        <v>0.25386996904024767</v>
      </c>
      <c r="I6" s="98">
        <v>4</v>
      </c>
      <c r="K6" s="38">
        <v>4</v>
      </c>
      <c r="L6" s="103">
        <v>2.2000000000000002</v>
      </c>
      <c r="N6" s="119" t="s">
        <v>138</v>
      </c>
      <c r="O6" s="126">
        <f t="shared" si="0"/>
        <v>-57.142857142857146</v>
      </c>
      <c r="P6" s="123">
        <v>105</v>
      </c>
      <c r="Q6" s="107">
        <v>-6000</v>
      </c>
    </row>
    <row r="7" spans="1:17" x14ac:dyDescent="0.4">
      <c r="A7" s="55" t="s">
        <v>2</v>
      </c>
      <c r="B7" s="47">
        <v>42</v>
      </c>
      <c r="C7" s="39">
        <f>IF(B$2=0,0,B7/B$2)</f>
        <v>0.33333333333333331</v>
      </c>
      <c r="E7" s="63" t="s">
        <v>69</v>
      </c>
      <c r="F7" s="60" t="s">
        <v>24</v>
      </c>
      <c r="G7" s="47">
        <v>80</v>
      </c>
      <c r="H7" s="137">
        <f>IF(B$17=0,0,G7/B$17)</f>
        <v>0.24767801857585139</v>
      </c>
      <c r="I7" s="98">
        <v>5</v>
      </c>
      <c r="K7" s="38">
        <v>5</v>
      </c>
      <c r="L7" s="103">
        <v>-37</v>
      </c>
      <c r="N7" s="120" t="s">
        <v>139</v>
      </c>
      <c r="O7" s="127">
        <f t="shared" si="0"/>
        <v>60.606060606060609</v>
      </c>
      <c r="P7" s="124">
        <v>99</v>
      </c>
      <c r="Q7" s="108">
        <v>6000</v>
      </c>
    </row>
    <row r="8" spans="1:17" x14ac:dyDescent="0.4">
      <c r="A8" s="55" t="s">
        <v>3</v>
      </c>
      <c r="B8" s="47">
        <v>42</v>
      </c>
      <c r="C8" s="39">
        <f>IF(B$2=0,0,B8/B$2)</f>
        <v>0.33333333333333331</v>
      </c>
      <c r="E8" s="63" t="s">
        <v>71</v>
      </c>
      <c r="F8" s="60" t="s">
        <v>25</v>
      </c>
      <c r="G8" s="47">
        <v>60</v>
      </c>
      <c r="H8" s="137">
        <f>IF(B$17=0,0,G8/B$17)</f>
        <v>0.18575851393188855</v>
      </c>
      <c r="I8" s="98">
        <v>7</v>
      </c>
      <c r="K8" s="38">
        <v>6</v>
      </c>
      <c r="L8" s="103">
        <v>0</v>
      </c>
      <c r="N8" s="43"/>
      <c r="O8" s="131"/>
      <c r="P8" s="115"/>
      <c r="Q8" s="113"/>
    </row>
    <row r="9" spans="1:17" x14ac:dyDescent="0.4">
      <c r="A9" s="56" t="s">
        <v>4</v>
      </c>
      <c r="B9" s="48">
        <v>42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52</v>
      </c>
      <c r="H9" s="137">
        <f>IF(B$17=0,0,G9/B$17)</f>
        <v>0.1609907120743034</v>
      </c>
      <c r="I9" s="98">
        <v>5</v>
      </c>
      <c r="K9" s="38">
        <v>7</v>
      </c>
      <c r="L9" s="103">
        <v>73.3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9</v>
      </c>
      <c r="C10" s="40">
        <f>IF(B$2=0,0,B10/B$2)</f>
        <v>7.1428571428571425E-2</v>
      </c>
      <c r="E10" s="63" t="s">
        <v>67</v>
      </c>
      <c r="F10" s="60" t="s">
        <v>22</v>
      </c>
      <c r="G10" s="47">
        <v>34</v>
      </c>
      <c r="H10" s="137">
        <f>IF(B$17=0,0,G10/B$17)</f>
        <v>0.10526315789473684</v>
      </c>
      <c r="I10" s="98">
        <v>6</v>
      </c>
      <c r="K10" s="38">
        <v>8</v>
      </c>
      <c r="L10" s="103">
        <v>19.699999999999996</v>
      </c>
      <c r="N10" s="118" t="s">
        <v>170</v>
      </c>
      <c r="O10" s="128">
        <f>IF(P10=0,0,Q10/P10)</f>
        <v>4.7404761904761905</v>
      </c>
      <c r="P10" s="122">
        <v>42</v>
      </c>
      <c r="Q10" s="110">
        <v>199.1</v>
      </c>
    </row>
    <row r="11" spans="1:17" x14ac:dyDescent="0.4">
      <c r="A11" s="56" t="s">
        <v>142</v>
      </c>
      <c r="B11" s="48">
        <v>9</v>
      </c>
      <c r="C11" s="40">
        <f>IF(B$2=0,0,B11/B$2)</f>
        <v>7.1428571428571425E-2</v>
      </c>
      <c r="E11" s="63" t="s">
        <v>72</v>
      </c>
      <c r="F11" s="60" t="s">
        <v>26</v>
      </c>
      <c r="G11" s="47">
        <v>28</v>
      </c>
      <c r="H11" s="137">
        <f>IF(B$17=0,0,G11/B$17)</f>
        <v>8.6687306501547989E-2</v>
      </c>
      <c r="I11" s="98">
        <v>5</v>
      </c>
      <c r="K11" s="38">
        <v>9</v>
      </c>
      <c r="L11" s="103">
        <v>-3.5527136788005009E-15</v>
      </c>
      <c r="N11" s="119" t="s">
        <v>171</v>
      </c>
      <c r="O11" s="129">
        <f>IF(P11=0,0,Q11/P11)</f>
        <v>-8.5357142857142865</v>
      </c>
      <c r="P11" s="123">
        <v>42</v>
      </c>
      <c r="Q11" s="111">
        <v>-358.5</v>
      </c>
    </row>
    <row r="12" spans="1:17" x14ac:dyDescent="0.4">
      <c r="A12" s="57" t="s">
        <v>163</v>
      </c>
      <c r="B12" s="49">
        <v>14</v>
      </c>
      <c r="C12" s="42">
        <f>IF(B$2=0,0,B12/B$2)</f>
        <v>0.1111111111111111</v>
      </c>
      <c r="E12" s="63" t="s">
        <v>73</v>
      </c>
      <c r="F12" s="60" t="s">
        <v>27</v>
      </c>
      <c r="G12" s="47">
        <v>18</v>
      </c>
      <c r="H12" s="137">
        <f>IF(B$17=0,0,G12/B$17)</f>
        <v>5.5727554179566562E-2</v>
      </c>
      <c r="I12" s="98">
        <v>5</v>
      </c>
      <c r="K12" s="38">
        <v>10</v>
      </c>
      <c r="L12" s="103">
        <v>40.099999999999994</v>
      </c>
      <c r="N12" s="120" t="s">
        <v>172</v>
      </c>
      <c r="O12" s="130">
        <f>IF(P12=0,0,Q12/P12)</f>
        <v>3.795238095238096</v>
      </c>
      <c r="P12" s="124">
        <v>42</v>
      </c>
      <c r="Q12" s="112">
        <v>159.40000000000003</v>
      </c>
    </row>
    <row r="13" spans="1:17" x14ac:dyDescent="0.4">
      <c r="A13" s="58" t="s">
        <v>124</v>
      </c>
      <c r="B13" s="50">
        <v>281</v>
      </c>
      <c r="C13" s="44">
        <f>IF(B$3=0,0,B13/B$3)</f>
        <v>0.26018518518518519</v>
      </c>
      <c r="E13" s="63" t="s">
        <v>89</v>
      </c>
      <c r="F13" s="60" t="s">
        <v>43</v>
      </c>
      <c r="G13" s="47">
        <v>18</v>
      </c>
      <c r="H13" s="137">
        <f>IF(B$17=0,0,G13/B$17)</f>
        <v>5.5727554179566562E-2</v>
      </c>
      <c r="I13" s="98">
        <v>7</v>
      </c>
      <c r="K13" s="38">
        <v>11</v>
      </c>
      <c r="L13" s="103">
        <v>-11.100000000000009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230</v>
      </c>
      <c r="C14" s="39">
        <f>IF(B$3=0,0,B14/B$3)</f>
        <v>0.21296296296296297</v>
      </c>
      <c r="E14" s="63" t="s">
        <v>86</v>
      </c>
      <c r="F14" s="60" t="s">
        <v>40</v>
      </c>
      <c r="G14" s="47">
        <v>15</v>
      </c>
      <c r="H14" s="137">
        <f>IF(B$17=0,0,G14/B$17)</f>
        <v>4.6439628482972138E-2</v>
      </c>
      <c r="I14" s="98">
        <v>5</v>
      </c>
      <c r="K14" s="38">
        <v>12</v>
      </c>
      <c r="L14" s="103">
        <v>-8.8817841970012523E-15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159</v>
      </c>
      <c r="C15" s="37">
        <f>IF(B$13=0,0,B15/B$13)</f>
        <v>0.5658362989323843</v>
      </c>
      <c r="E15" s="63" t="s">
        <v>84</v>
      </c>
      <c r="F15" s="60" t="s">
        <v>38</v>
      </c>
      <c r="G15" s="47">
        <v>8</v>
      </c>
      <c r="H15" s="137">
        <f>IF(B$17=0,0,G15/B$17)</f>
        <v>2.4767801857585141E-2</v>
      </c>
      <c r="I15" s="98">
        <v>4</v>
      </c>
      <c r="K15" s="38">
        <v>13</v>
      </c>
      <c r="L15" s="103">
        <v>-42.100000000000009</v>
      </c>
      <c r="N15" s="118" t="s">
        <v>131</v>
      </c>
      <c r="O15" s="128">
        <f>IF(P15=0,0,Q15/P15)</f>
        <v>42.588461538461537</v>
      </c>
      <c r="P15" s="122">
        <v>26</v>
      </c>
      <c r="Q15" s="110">
        <v>1107.3</v>
      </c>
    </row>
    <row r="16" spans="1:17" x14ac:dyDescent="0.4">
      <c r="A16" s="54" t="s">
        <v>127</v>
      </c>
      <c r="B16" s="46">
        <v>93</v>
      </c>
      <c r="C16" s="37">
        <f>IF(B$14=0,0,B16/B$14)</f>
        <v>0.40434782608695652</v>
      </c>
      <c r="E16" s="63" t="s">
        <v>80</v>
      </c>
      <c r="F16" s="60" t="s">
        <v>34</v>
      </c>
      <c r="G16" s="47">
        <v>6</v>
      </c>
      <c r="H16" s="137">
        <f>IF(B$17=0,0,G16/B$17)</f>
        <v>1.8575851393188854E-2</v>
      </c>
      <c r="I16" s="98">
        <v>4</v>
      </c>
      <c r="K16" s="38">
        <v>14</v>
      </c>
      <c r="L16" s="103">
        <v>18.79999999999999</v>
      </c>
      <c r="N16" s="119" t="s">
        <v>179</v>
      </c>
      <c r="O16" s="129">
        <f>IF(P16=0,0,Q16/P16)</f>
        <v>36.199999999999996</v>
      </c>
      <c r="P16" s="123">
        <v>24</v>
      </c>
      <c r="Q16" s="111">
        <v>868.8</v>
      </c>
    </row>
    <row r="17" spans="1:17" x14ac:dyDescent="0.4">
      <c r="A17" s="54" t="s">
        <v>10</v>
      </c>
      <c r="B17" s="46">
        <f>B19+B18</f>
        <v>323</v>
      </c>
      <c r="C17" s="37">
        <f>IF(B$3=0,0,B17/B$3)</f>
        <v>0.29907407407407405</v>
      </c>
      <c r="E17" s="63" t="s">
        <v>94</v>
      </c>
      <c r="F17" s="60" t="s">
        <v>48</v>
      </c>
      <c r="G17" s="47">
        <v>5</v>
      </c>
      <c r="H17" s="137">
        <f>IF(B$17=0,0,G17/B$17)</f>
        <v>1.5479876160990712E-2</v>
      </c>
      <c r="I17" s="98">
        <v>3</v>
      </c>
      <c r="K17" s="38">
        <v>15</v>
      </c>
      <c r="L17" s="103">
        <v>-1.0658141036401503E-14</v>
      </c>
      <c r="N17" s="119" t="s">
        <v>183</v>
      </c>
      <c r="O17" s="129">
        <f>IF(P17=0,0,Q17/P17)</f>
        <v>20.85</v>
      </c>
      <c r="P17" s="123">
        <v>22</v>
      </c>
      <c r="Q17" s="111">
        <v>458.70000000000005</v>
      </c>
    </row>
    <row r="18" spans="1:17" x14ac:dyDescent="0.4">
      <c r="A18" s="55" t="s">
        <v>12</v>
      </c>
      <c r="B18" s="47">
        <v>127</v>
      </c>
      <c r="C18" s="39">
        <f>IF(B$17=0,0,B18/B$17)</f>
        <v>0.39318885448916407</v>
      </c>
      <c r="E18" s="63" t="s">
        <v>75</v>
      </c>
      <c r="F18" s="60" t="s">
        <v>29</v>
      </c>
      <c r="G18" s="47">
        <v>3</v>
      </c>
      <c r="H18" s="137">
        <f>IF(B$17=0,0,G18/B$17)</f>
        <v>9.2879256965944269E-3</v>
      </c>
      <c r="I18" s="98">
        <v>3</v>
      </c>
      <c r="K18" s="38">
        <v>16</v>
      </c>
      <c r="L18" s="103">
        <v>90.899999999999991</v>
      </c>
      <c r="N18" s="119" t="s">
        <v>192</v>
      </c>
      <c r="O18" s="129">
        <f>IF(P18=0,0,Q18/P18)</f>
        <v>18.675000000000001</v>
      </c>
      <c r="P18" s="123">
        <v>8</v>
      </c>
      <c r="Q18" s="111">
        <v>149.4</v>
      </c>
    </row>
    <row r="19" spans="1:17" x14ac:dyDescent="0.4">
      <c r="A19" s="55" t="s">
        <v>11</v>
      </c>
      <c r="B19" s="47">
        <v>196</v>
      </c>
      <c r="C19" s="39">
        <f>IF(B$17=0,0,B19/B$17)</f>
        <v>0.60681114551083593</v>
      </c>
      <c r="E19" s="63" t="s">
        <v>77</v>
      </c>
      <c r="F19" s="60" t="s">
        <v>31</v>
      </c>
      <c r="G19" s="47">
        <v>3</v>
      </c>
      <c r="H19" s="137">
        <f>IF(B$17=0,0,G19/B$17)</f>
        <v>9.2879256965944269E-3</v>
      </c>
      <c r="I19" s="98">
        <v>4</v>
      </c>
      <c r="K19" s="38">
        <v>17</v>
      </c>
      <c r="L19" s="103">
        <v>8.2999999999999972</v>
      </c>
      <c r="N19" s="119" t="s">
        <v>178</v>
      </c>
      <c r="O19" s="129">
        <f>IF(P19=0,0,Q19/P19)</f>
        <v>5.5312499999999973</v>
      </c>
      <c r="P19" s="123">
        <v>16</v>
      </c>
      <c r="Q19" s="111">
        <v>88.499999999999957</v>
      </c>
    </row>
    <row r="20" spans="1:17" x14ac:dyDescent="0.4">
      <c r="A20" s="55" t="s">
        <v>13</v>
      </c>
      <c r="B20" s="47">
        <v>194</v>
      </c>
      <c r="C20" s="39">
        <f>IF(B$3=0,0,B20/B$3)</f>
        <v>0.17962962962962964</v>
      </c>
      <c r="E20" s="63" t="s">
        <v>81</v>
      </c>
      <c r="F20" s="60" t="s">
        <v>35</v>
      </c>
      <c r="G20" s="47">
        <v>2</v>
      </c>
      <c r="H20" s="137">
        <f>IF(B$17=0,0,G20/B$17)</f>
        <v>6.1919504643962852E-3</v>
      </c>
      <c r="I20" s="98">
        <v>3</v>
      </c>
      <c r="K20" s="38">
        <v>18</v>
      </c>
      <c r="L20" s="103">
        <v>-3.5527136788005009E-15</v>
      </c>
      <c r="N20" s="119" t="s">
        <v>177</v>
      </c>
      <c r="O20" s="129">
        <f>IF(P20=0,0,Q20/P20)</f>
        <v>0.22142857142857203</v>
      </c>
      <c r="P20" s="123">
        <v>42</v>
      </c>
      <c r="Q20" s="111">
        <v>9.3000000000000256</v>
      </c>
    </row>
    <row r="21" spans="1:17" x14ac:dyDescent="0.4">
      <c r="A21" s="55" t="s">
        <v>199</v>
      </c>
      <c r="B21" s="47">
        <v>7</v>
      </c>
      <c r="C21" s="141">
        <v>0</v>
      </c>
      <c r="E21" s="63" t="s">
        <v>95</v>
      </c>
      <c r="F21" s="60" t="s">
        <v>49</v>
      </c>
      <c r="G21" s="47">
        <v>2</v>
      </c>
      <c r="H21" s="137">
        <f>IF(B$17=0,0,G21/B$17)</f>
        <v>6.1919504643962852E-3</v>
      </c>
      <c r="I21" s="98">
        <v>3</v>
      </c>
      <c r="K21" s="38">
        <v>19</v>
      </c>
      <c r="L21" s="103">
        <v>30.999999999999996</v>
      </c>
      <c r="N21" s="119" t="s">
        <v>130</v>
      </c>
      <c r="O21" s="129">
        <f>IF(P21=0,0,Q21/P21)</f>
        <v>-13.15</v>
      </c>
      <c r="P21" s="123">
        <v>54</v>
      </c>
      <c r="Q21" s="111">
        <v>-710.1</v>
      </c>
    </row>
    <row r="22" spans="1:17" x14ac:dyDescent="0.4">
      <c r="A22" s="55" t="s">
        <v>200</v>
      </c>
      <c r="B22" s="47">
        <v>28</v>
      </c>
      <c r="C22" s="141">
        <v>5</v>
      </c>
      <c r="E22" s="63" t="s">
        <v>76</v>
      </c>
      <c r="F22" s="60" t="s">
        <v>30</v>
      </c>
      <c r="G22" s="47">
        <v>1</v>
      </c>
      <c r="H22" s="137">
        <f>IF(B$17=0,0,G22/B$17)</f>
        <v>3.0959752321981426E-3</v>
      </c>
      <c r="I22" s="98">
        <v>2</v>
      </c>
      <c r="K22" s="38">
        <v>20</v>
      </c>
      <c r="L22" s="103">
        <v>0.79999999999999716</v>
      </c>
      <c r="N22" s="119" t="s">
        <v>191</v>
      </c>
      <c r="O22" s="129">
        <f>IF(P22=0,0,Q22/P22)</f>
        <v>-30.5</v>
      </c>
      <c r="P22" s="123">
        <v>6</v>
      </c>
      <c r="Q22" s="111">
        <v>-183</v>
      </c>
    </row>
    <row r="23" spans="1:17" x14ac:dyDescent="0.4">
      <c r="A23" s="55" t="s">
        <v>5</v>
      </c>
      <c r="B23" s="51">
        <f>IF(B$17=0,0,C23/B$17)</f>
        <v>7962.5386996904026</v>
      </c>
      <c r="C23" s="41">
        <v>2571900</v>
      </c>
      <c r="E23" s="63" t="s">
        <v>79</v>
      </c>
      <c r="F23" s="60" t="s">
        <v>33</v>
      </c>
      <c r="G23" s="47">
        <v>1</v>
      </c>
      <c r="H23" s="137">
        <f>IF(B$17=0,0,G23/B$17)</f>
        <v>3.0959752321981426E-3</v>
      </c>
      <c r="I23" s="98">
        <v>2</v>
      </c>
      <c r="K23" s="38">
        <v>21</v>
      </c>
      <c r="L23" s="103">
        <v>-2.886579864025407E-15</v>
      </c>
      <c r="N23" s="119" t="s">
        <v>129</v>
      </c>
      <c r="O23" s="129">
        <f>IF(P23=0,0,Q23/P23)</f>
        <v>-33.127777777777794</v>
      </c>
      <c r="P23" s="123">
        <v>54</v>
      </c>
      <c r="Q23" s="111">
        <v>-1788.9000000000008</v>
      </c>
    </row>
    <row r="24" spans="1:17" x14ac:dyDescent="0.4">
      <c r="A24" s="57" t="s">
        <v>14</v>
      </c>
      <c r="B24" s="52">
        <f>IF(B$20=0,0,C24/B$20)</f>
        <v>-7977.8350515463917</v>
      </c>
      <c r="C24" s="45">
        <v>-1547700</v>
      </c>
      <c r="E24" s="63" t="s">
        <v>88</v>
      </c>
      <c r="F24" s="60" t="s">
        <v>42</v>
      </c>
      <c r="G24" s="47">
        <v>1</v>
      </c>
      <c r="H24" s="137">
        <f>IF(B$17=0,0,G24/B$17)</f>
        <v>3.0959752321981426E-3</v>
      </c>
      <c r="I24" s="98">
        <v>2</v>
      </c>
      <c r="K24" s="38">
        <v>22</v>
      </c>
      <c r="L24" s="103">
        <v>23.699999999999996</v>
      </c>
    </row>
    <row r="25" spans="1:17" x14ac:dyDescent="0.4">
      <c r="A25" s="94" t="s">
        <v>144</v>
      </c>
      <c r="B25" s="144">
        <v>7</v>
      </c>
      <c r="C25" s="145"/>
      <c r="E25" s="63" t="s">
        <v>90</v>
      </c>
      <c r="F25" s="60" t="s">
        <v>44</v>
      </c>
      <c r="G25" s="47">
        <v>1</v>
      </c>
      <c r="H25" s="137">
        <f>IF(B$17=0,0,G25/B$17)</f>
        <v>3.0959752321981426E-3</v>
      </c>
      <c r="I25" s="98">
        <v>2</v>
      </c>
      <c r="K25" s="38">
        <v>23</v>
      </c>
      <c r="L25" s="103">
        <v>26.299999999999997</v>
      </c>
    </row>
    <row r="26" spans="1:17" x14ac:dyDescent="0.4">
      <c r="A26" s="58" t="s">
        <v>155</v>
      </c>
      <c r="B26" s="142">
        <v>105900</v>
      </c>
      <c r="C26" s="143"/>
      <c r="E26" s="63" t="s">
        <v>93</v>
      </c>
      <c r="F26" s="60" t="s">
        <v>47</v>
      </c>
      <c r="G26" s="47">
        <v>1</v>
      </c>
      <c r="H26" s="137">
        <f>IF(B$17=0,0,G26/B$17)</f>
        <v>3.0959752321981426E-3</v>
      </c>
      <c r="I26" s="98">
        <v>2</v>
      </c>
      <c r="K26" s="38">
        <v>24</v>
      </c>
      <c r="L26" s="103">
        <v>-3.5527136788005009E-15</v>
      </c>
    </row>
    <row r="27" spans="1:17" x14ac:dyDescent="0.4">
      <c r="A27" s="57" t="s">
        <v>145</v>
      </c>
      <c r="B27" s="65">
        <v>6</v>
      </c>
      <c r="C27" s="42">
        <f>IF(B$3=0,0,B27/B$3)</f>
        <v>5.5555555555555558E-3</v>
      </c>
      <c r="E27" s="63" t="s">
        <v>98</v>
      </c>
      <c r="F27" s="60" t="s">
        <v>52</v>
      </c>
      <c r="G27" s="47">
        <v>1</v>
      </c>
      <c r="H27" s="137">
        <f>IF(B$17=0,0,G27/B$17)</f>
        <v>3.0959752321981426E-3</v>
      </c>
      <c r="I27" s="98">
        <v>2</v>
      </c>
      <c r="K27" s="38">
        <v>25</v>
      </c>
      <c r="L27" s="103">
        <v>-31.300000000000004</v>
      </c>
    </row>
    <row r="28" spans="1:17" x14ac:dyDescent="0.4">
      <c r="E28" s="63" t="s">
        <v>186</v>
      </c>
      <c r="F28" s="60" t="s">
        <v>189</v>
      </c>
      <c r="G28" s="47">
        <v>1</v>
      </c>
      <c r="H28" s="137">
        <f>IF(B$17=0,0,G28/B$17)</f>
        <v>3.0959752321981426E-3</v>
      </c>
      <c r="I28" s="98">
        <v>2</v>
      </c>
      <c r="K28" s="38">
        <v>26</v>
      </c>
      <c r="L28" s="103">
        <v>1.8999999999999986</v>
      </c>
    </row>
    <row r="29" spans="1:17" x14ac:dyDescent="0.4">
      <c r="E29" s="63" t="s">
        <v>78</v>
      </c>
      <c r="F29" s="60" t="s">
        <v>32</v>
      </c>
      <c r="G29" s="47">
        <v>0</v>
      </c>
      <c r="H29" s="137">
        <f>IF(B$17=0,0,G29/B$17)</f>
        <v>0</v>
      </c>
      <c r="I29" s="98">
        <v>1</v>
      </c>
      <c r="K29" s="38">
        <v>27</v>
      </c>
      <c r="L29" s="103">
        <v>-1.3322676295501878E-15</v>
      </c>
    </row>
    <row r="30" spans="1:17" x14ac:dyDescent="0.4">
      <c r="E30" s="63" t="s">
        <v>82</v>
      </c>
      <c r="F30" s="60" t="s">
        <v>36</v>
      </c>
      <c r="G30" s="47">
        <v>0</v>
      </c>
      <c r="H30" s="137">
        <f>IF(B$17=0,0,G30/B$17)</f>
        <v>0</v>
      </c>
      <c r="I30" s="98">
        <v>1</v>
      </c>
      <c r="K30" s="38">
        <v>28</v>
      </c>
      <c r="L30" s="103">
        <v>-58.3</v>
      </c>
    </row>
    <row r="31" spans="1:17" x14ac:dyDescent="0.4">
      <c r="E31" s="63" t="s">
        <v>83</v>
      </c>
      <c r="F31" s="60" t="s">
        <v>37</v>
      </c>
      <c r="G31" s="47">
        <v>0</v>
      </c>
      <c r="H31" s="137">
        <f>IF(B$17=0,0,G31/B$17)</f>
        <v>0</v>
      </c>
      <c r="I31" s="98">
        <v>1</v>
      </c>
      <c r="K31" s="38">
        <v>29</v>
      </c>
      <c r="L31" s="103">
        <v>-9.5</v>
      </c>
    </row>
    <row r="32" spans="1:17" x14ac:dyDescent="0.4">
      <c r="E32" s="63" t="s">
        <v>85</v>
      </c>
      <c r="F32" s="60" t="s">
        <v>39</v>
      </c>
      <c r="G32" s="47">
        <v>0</v>
      </c>
      <c r="H32" s="137">
        <f>IF(B$17=0,0,G32/B$17)</f>
        <v>0</v>
      </c>
      <c r="I32" s="98">
        <v>1</v>
      </c>
      <c r="K32" s="38">
        <v>30</v>
      </c>
      <c r="L32" s="103">
        <v>0</v>
      </c>
    </row>
    <row r="33" spans="5:12" x14ac:dyDescent="0.4">
      <c r="E33" s="63" t="s">
        <v>87</v>
      </c>
      <c r="F33" s="60" t="s">
        <v>41</v>
      </c>
      <c r="G33" s="47">
        <v>0</v>
      </c>
      <c r="H33" s="137">
        <f>IF(B$17=0,0,G33/B$17)</f>
        <v>0</v>
      </c>
      <c r="I33" s="98">
        <v>1</v>
      </c>
      <c r="K33" s="38">
        <v>31</v>
      </c>
      <c r="L33" s="103">
        <v>29.1</v>
      </c>
    </row>
    <row r="34" spans="5:12" x14ac:dyDescent="0.4">
      <c r="E34" s="63" t="s">
        <v>91</v>
      </c>
      <c r="F34" s="60" t="s">
        <v>45</v>
      </c>
      <c r="G34" s="47">
        <v>0</v>
      </c>
      <c r="H34" s="137">
        <f>IF(B$17=0,0,G34/B$17)</f>
        <v>0</v>
      </c>
      <c r="I34" s="98">
        <v>1</v>
      </c>
      <c r="K34" s="38">
        <v>32</v>
      </c>
      <c r="L34" s="103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7">
        <f>IF(B$17=0,0,G35/B$17)</f>
        <v>0</v>
      </c>
      <c r="I35" s="98">
        <v>1</v>
      </c>
      <c r="K35" s="38">
        <v>33</v>
      </c>
      <c r="L35" s="103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7">
        <f>IF(B$17=0,0,G36/B$17)</f>
        <v>0</v>
      </c>
      <c r="I36" s="98">
        <v>1</v>
      </c>
      <c r="K36" s="38">
        <v>34</v>
      </c>
      <c r="L36" s="103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7">
        <f>IF(B$17=0,0,G37/B$17)</f>
        <v>0</v>
      </c>
      <c r="I37" s="98">
        <v>1</v>
      </c>
      <c r="K37" s="38">
        <v>35</v>
      </c>
      <c r="L37" s="103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7">
        <f>IF(B$17=0,0,G38/B$17)</f>
        <v>0</v>
      </c>
      <c r="I38" s="98">
        <v>1</v>
      </c>
      <c r="K38" s="38">
        <v>36</v>
      </c>
      <c r="L38" s="103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7">
        <f>IF(B$17=0,0,G39/B$17)</f>
        <v>0</v>
      </c>
      <c r="I39" s="98">
        <v>1</v>
      </c>
      <c r="K39" s="38">
        <v>37</v>
      </c>
      <c r="L39" s="103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7">
        <f>IF(B$17=0,0,G40/B$17)</f>
        <v>0</v>
      </c>
      <c r="I40" s="98">
        <v>1</v>
      </c>
      <c r="K40" s="38">
        <v>38</v>
      </c>
      <c r="L40" s="103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7">
        <f>IF(B$17=0,0,G41/B$17)</f>
        <v>0</v>
      </c>
      <c r="I41" s="98">
        <v>1</v>
      </c>
      <c r="K41" s="38">
        <v>39</v>
      </c>
      <c r="L41" s="103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7">
        <f>IF(B$17=0,0,G42/B$17)</f>
        <v>0</v>
      </c>
      <c r="I42" s="98">
        <v>1</v>
      </c>
      <c r="K42" s="38">
        <v>40</v>
      </c>
      <c r="L42" s="103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7">
        <f>IF(B$17=0,0,G43/B$17)</f>
        <v>0</v>
      </c>
      <c r="I43" s="98">
        <v>1</v>
      </c>
      <c r="K43" s="38">
        <v>41</v>
      </c>
      <c r="L43" s="103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7">
        <f>IF(B$17=0,0,G44/B$17)</f>
        <v>0</v>
      </c>
      <c r="I44" s="98">
        <v>1</v>
      </c>
      <c r="K44" s="38">
        <v>42</v>
      </c>
      <c r="L44" s="103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7">
        <f>IF(B$17=0,0,G45/B$17)</f>
        <v>0</v>
      </c>
      <c r="I45" s="98">
        <v>1</v>
      </c>
      <c r="K45" s="38">
        <v>43</v>
      </c>
      <c r="L45" s="103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7">
        <f>IF(B$17=0,0,G46/B$17)</f>
        <v>0</v>
      </c>
      <c r="I46" s="98">
        <v>1</v>
      </c>
      <c r="K46" s="38">
        <v>44</v>
      </c>
      <c r="L46" s="103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7">
        <f>IF(B$17=0,0,G47/B$17)</f>
        <v>0</v>
      </c>
      <c r="I47" s="98">
        <v>1</v>
      </c>
      <c r="K47" s="38">
        <v>45</v>
      </c>
      <c r="L47" s="103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7">
        <f>IF(B$17=0,0,G48/B$17)</f>
        <v>0</v>
      </c>
      <c r="I48" s="98">
        <v>1</v>
      </c>
      <c r="K48" s="38">
        <v>46</v>
      </c>
      <c r="L48" s="103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7">
        <f>IF(B$17=0,0,G49/B$17)</f>
        <v>0</v>
      </c>
      <c r="I49" s="98">
        <v>1</v>
      </c>
      <c r="K49" s="38">
        <v>47</v>
      </c>
      <c r="L49" s="103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7">
        <f>IF(B$17=0,0,G50/B$17)</f>
        <v>0</v>
      </c>
      <c r="I50" s="98">
        <v>1</v>
      </c>
      <c r="K50" s="38">
        <v>48</v>
      </c>
      <c r="L50" s="103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7">
        <f>IF(B$17=0,0,G51/B$17)</f>
        <v>0</v>
      </c>
      <c r="I51" s="98">
        <v>1</v>
      </c>
      <c r="K51" s="38">
        <v>49</v>
      </c>
      <c r="L51" s="103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8">
        <f>IF(B$17=0,0,G52/B$17)</f>
        <v>0</v>
      </c>
      <c r="I52" s="99">
        <v>1</v>
      </c>
      <c r="K52" s="38">
        <v>50</v>
      </c>
      <c r="L52" s="103">
        <v>4.0999999999999943</v>
      </c>
    </row>
    <row r="53" spans="5:12" x14ac:dyDescent="0.4">
      <c r="K53" s="38">
        <v>51</v>
      </c>
      <c r="L53" s="103">
        <v>-5.3290705182007514E-15</v>
      </c>
    </row>
    <row r="54" spans="5:12" x14ac:dyDescent="0.4">
      <c r="K54" s="38">
        <v>52</v>
      </c>
      <c r="L54" s="103">
        <v>27.799999999999997</v>
      </c>
    </row>
    <row r="55" spans="5:12" x14ac:dyDescent="0.4">
      <c r="K55" s="38">
        <v>53</v>
      </c>
      <c r="L55" s="103">
        <v>25.099999999999998</v>
      </c>
    </row>
    <row r="56" spans="5:12" x14ac:dyDescent="0.4">
      <c r="K56" s="38">
        <v>54</v>
      </c>
      <c r="L56" s="103">
        <v>-3.5527136788005009E-15</v>
      </c>
    </row>
    <row r="57" spans="5:12" x14ac:dyDescent="0.4">
      <c r="K57" s="38">
        <v>55</v>
      </c>
      <c r="L57" s="103">
        <v>47.2</v>
      </c>
    </row>
    <row r="58" spans="5:12" x14ac:dyDescent="0.4">
      <c r="K58" s="38">
        <v>56</v>
      </c>
      <c r="L58" s="103">
        <v>-3.5</v>
      </c>
    </row>
    <row r="59" spans="5:12" x14ac:dyDescent="0.4">
      <c r="K59" s="38">
        <v>57</v>
      </c>
      <c r="L59" s="103">
        <v>0</v>
      </c>
    </row>
    <row r="60" spans="5:12" x14ac:dyDescent="0.4">
      <c r="K60" s="38">
        <v>58</v>
      </c>
      <c r="L60" s="103">
        <v>-28.5</v>
      </c>
    </row>
    <row r="61" spans="5:12" x14ac:dyDescent="0.4">
      <c r="K61" s="38">
        <v>59</v>
      </c>
      <c r="L61" s="103">
        <v>-31.9</v>
      </c>
    </row>
    <row r="62" spans="5:12" x14ac:dyDescent="0.4">
      <c r="K62" s="38">
        <v>60</v>
      </c>
      <c r="L62" s="103">
        <v>0</v>
      </c>
    </row>
    <row r="63" spans="5:12" x14ac:dyDescent="0.4">
      <c r="K63" s="38">
        <v>61</v>
      </c>
      <c r="L63" s="103">
        <v>28.9</v>
      </c>
    </row>
    <row r="64" spans="5:12" x14ac:dyDescent="0.4">
      <c r="K64" s="38">
        <v>62</v>
      </c>
      <c r="L64" s="103">
        <v>3.5</v>
      </c>
    </row>
    <row r="65" spans="11:12" x14ac:dyDescent="0.4">
      <c r="K65" s="38">
        <v>63</v>
      </c>
      <c r="L65" s="103">
        <v>0</v>
      </c>
    </row>
    <row r="66" spans="11:12" x14ac:dyDescent="0.4">
      <c r="K66" s="38">
        <v>64</v>
      </c>
      <c r="L66" s="103">
        <v>-15.3</v>
      </c>
    </row>
    <row r="67" spans="11:12" x14ac:dyDescent="0.4">
      <c r="K67" s="38">
        <v>65</v>
      </c>
      <c r="L67" s="103">
        <v>41</v>
      </c>
    </row>
    <row r="68" spans="11:12" x14ac:dyDescent="0.4">
      <c r="K68" s="38">
        <v>66</v>
      </c>
      <c r="L68" s="103">
        <v>0</v>
      </c>
    </row>
    <row r="69" spans="11:12" x14ac:dyDescent="0.4">
      <c r="K69" s="38">
        <v>67</v>
      </c>
      <c r="L69" s="103">
        <v>-15.8</v>
      </c>
    </row>
    <row r="70" spans="11:12" x14ac:dyDescent="0.4">
      <c r="K70" s="38">
        <v>68</v>
      </c>
      <c r="L70" s="103">
        <v>57.8</v>
      </c>
    </row>
    <row r="71" spans="11:12" x14ac:dyDescent="0.4">
      <c r="K71" s="38">
        <v>69</v>
      </c>
      <c r="L71" s="103">
        <v>0</v>
      </c>
    </row>
    <row r="72" spans="11:12" x14ac:dyDescent="0.4">
      <c r="K72" s="38">
        <v>70</v>
      </c>
      <c r="L72" s="103">
        <v>54.6</v>
      </c>
    </row>
    <row r="73" spans="11:12" x14ac:dyDescent="0.4">
      <c r="K73" s="38">
        <v>71</v>
      </c>
      <c r="L73" s="103">
        <v>14.600000000000001</v>
      </c>
    </row>
    <row r="74" spans="11:12" x14ac:dyDescent="0.4">
      <c r="K74" s="38">
        <v>72</v>
      </c>
      <c r="L74" s="103">
        <v>1.7763568394002505E-15</v>
      </c>
    </row>
    <row r="75" spans="11:12" x14ac:dyDescent="0.4">
      <c r="K75" s="38">
        <v>73</v>
      </c>
      <c r="L75" s="103">
        <v>-43.7</v>
      </c>
    </row>
    <row r="76" spans="11:12" x14ac:dyDescent="0.4">
      <c r="K76" s="38">
        <v>74</v>
      </c>
      <c r="L76" s="103">
        <v>6.2999999999999972</v>
      </c>
    </row>
    <row r="77" spans="11:12" x14ac:dyDescent="0.4">
      <c r="K77" s="38">
        <v>75</v>
      </c>
      <c r="L77" s="103">
        <v>-2.6645352591003757E-15</v>
      </c>
    </row>
    <row r="78" spans="11:12" x14ac:dyDescent="0.4">
      <c r="K78" s="38">
        <v>76</v>
      </c>
      <c r="L78" s="103">
        <v>-32.5</v>
      </c>
    </row>
    <row r="79" spans="11:12" x14ac:dyDescent="0.4">
      <c r="K79" s="38">
        <v>77</v>
      </c>
      <c r="L79" s="103">
        <v>-37.1</v>
      </c>
    </row>
    <row r="80" spans="11:12" x14ac:dyDescent="0.4">
      <c r="K80" s="38">
        <v>78</v>
      </c>
      <c r="L80" s="103">
        <v>0</v>
      </c>
    </row>
    <row r="81" spans="11:12" x14ac:dyDescent="0.4">
      <c r="K81" s="38">
        <v>79</v>
      </c>
      <c r="L81" s="103">
        <v>8</v>
      </c>
    </row>
    <row r="82" spans="11:12" x14ac:dyDescent="0.4">
      <c r="K82" s="38">
        <v>80</v>
      </c>
      <c r="L82" s="103">
        <v>-29.299999999999997</v>
      </c>
    </row>
    <row r="83" spans="11:12" x14ac:dyDescent="0.4">
      <c r="K83" s="38">
        <v>81</v>
      </c>
      <c r="L83" s="103">
        <v>3.5527136788005009E-15</v>
      </c>
    </row>
    <row r="84" spans="11:12" x14ac:dyDescent="0.4">
      <c r="K84" s="38">
        <v>82</v>
      </c>
      <c r="L84" s="103">
        <v>-6.9999999999999964</v>
      </c>
    </row>
    <row r="85" spans="11:12" x14ac:dyDescent="0.4">
      <c r="K85" s="38">
        <v>83</v>
      </c>
      <c r="L85" s="103">
        <v>-38.5</v>
      </c>
    </row>
    <row r="86" spans="11:12" x14ac:dyDescent="0.4">
      <c r="K86" s="38">
        <v>84</v>
      </c>
      <c r="L86" s="103">
        <v>0</v>
      </c>
    </row>
    <row r="87" spans="11:12" x14ac:dyDescent="0.4">
      <c r="K87" s="38">
        <v>85</v>
      </c>
      <c r="L87" s="103">
        <v>52.9</v>
      </c>
    </row>
    <row r="88" spans="11:12" x14ac:dyDescent="0.4">
      <c r="K88" s="38">
        <v>86</v>
      </c>
      <c r="L88" s="103">
        <v>-3.1000000000000014</v>
      </c>
    </row>
    <row r="89" spans="11:12" x14ac:dyDescent="0.4">
      <c r="K89" s="38">
        <v>87</v>
      </c>
      <c r="L89" s="103">
        <v>-1.3322676295501878E-15</v>
      </c>
    </row>
    <row r="90" spans="11:12" x14ac:dyDescent="0.4">
      <c r="K90" s="38">
        <v>88</v>
      </c>
      <c r="L90" s="103">
        <v>22.1</v>
      </c>
    </row>
    <row r="91" spans="11:12" x14ac:dyDescent="0.4">
      <c r="K91" s="38">
        <v>89</v>
      </c>
      <c r="L91" s="103">
        <v>24</v>
      </c>
    </row>
    <row r="92" spans="11:12" x14ac:dyDescent="0.4">
      <c r="K92" s="38">
        <v>90</v>
      </c>
      <c r="L92" s="103">
        <v>0</v>
      </c>
    </row>
    <row r="93" spans="11:12" x14ac:dyDescent="0.4">
      <c r="K93" s="38">
        <v>91</v>
      </c>
      <c r="L93" s="103">
        <v>22.1</v>
      </c>
    </row>
    <row r="94" spans="11:12" x14ac:dyDescent="0.4">
      <c r="K94" s="38">
        <v>92</v>
      </c>
      <c r="L94" s="103">
        <v>24</v>
      </c>
    </row>
    <row r="95" spans="11:12" x14ac:dyDescent="0.4">
      <c r="K95" s="38">
        <v>93</v>
      </c>
      <c r="L95" s="103">
        <v>0</v>
      </c>
    </row>
    <row r="96" spans="11:12" x14ac:dyDescent="0.4">
      <c r="K96" s="38">
        <v>94</v>
      </c>
      <c r="L96" s="103">
        <v>25.7</v>
      </c>
    </row>
    <row r="97" spans="11:12" x14ac:dyDescent="0.4">
      <c r="K97" s="38">
        <v>95</v>
      </c>
      <c r="L97" s="103">
        <v>1.8000000000000007</v>
      </c>
    </row>
    <row r="98" spans="11:12" x14ac:dyDescent="0.4">
      <c r="K98" s="38">
        <v>96</v>
      </c>
      <c r="L98" s="103">
        <v>6.6613381477509392E-16</v>
      </c>
    </row>
    <row r="99" spans="11:12" x14ac:dyDescent="0.4">
      <c r="K99" s="38">
        <v>97</v>
      </c>
      <c r="L99" s="103">
        <v>39.6</v>
      </c>
    </row>
    <row r="100" spans="11:12" x14ac:dyDescent="0.4">
      <c r="K100" s="38">
        <v>98</v>
      </c>
      <c r="L100" s="103">
        <v>-64.199999999999989</v>
      </c>
    </row>
    <row r="101" spans="11:12" x14ac:dyDescent="0.4">
      <c r="K101" s="38">
        <v>99</v>
      </c>
      <c r="L101" s="103">
        <v>1.4210854715202004E-14</v>
      </c>
    </row>
    <row r="102" spans="11:12" x14ac:dyDescent="0.4">
      <c r="K102" s="38">
        <v>100</v>
      </c>
      <c r="L102" s="103">
        <v>-74.499999999999986</v>
      </c>
    </row>
    <row r="103" spans="11:12" x14ac:dyDescent="0.4">
      <c r="K103" s="38">
        <v>101</v>
      </c>
      <c r="L103" s="103">
        <v>2.2000000000000171</v>
      </c>
    </row>
    <row r="104" spans="11:12" x14ac:dyDescent="0.4">
      <c r="K104" s="38">
        <v>102</v>
      </c>
      <c r="L104" s="103">
        <v>1.6875389974302379E-14</v>
      </c>
    </row>
    <row r="105" spans="11:12" x14ac:dyDescent="0.4">
      <c r="K105" s="38">
        <v>103</v>
      </c>
      <c r="L105" s="103">
        <v>-31.599999999999984</v>
      </c>
    </row>
    <row r="106" spans="11:12" x14ac:dyDescent="0.4">
      <c r="K106" s="38">
        <v>104</v>
      </c>
      <c r="L106" s="103">
        <v>-35.799999999999983</v>
      </c>
    </row>
    <row r="107" spans="11:12" x14ac:dyDescent="0.4">
      <c r="K107" s="38">
        <v>105</v>
      </c>
      <c r="L107" s="103">
        <v>1.4210854715202004E-14</v>
      </c>
    </row>
    <row r="108" spans="11:12" x14ac:dyDescent="0.4">
      <c r="K108" s="38">
        <v>106</v>
      </c>
      <c r="L108" s="103">
        <v>35.300000000000011</v>
      </c>
    </row>
    <row r="109" spans="11:12" x14ac:dyDescent="0.4">
      <c r="K109" s="38">
        <v>107</v>
      </c>
      <c r="L109" s="103">
        <v>34.000000000000014</v>
      </c>
    </row>
    <row r="110" spans="11:12" x14ac:dyDescent="0.4">
      <c r="K110" s="38">
        <v>108</v>
      </c>
      <c r="L110" s="103">
        <v>1.4210854715202004E-14</v>
      </c>
    </row>
    <row r="111" spans="11:12" x14ac:dyDescent="0.4">
      <c r="K111" s="38">
        <v>109</v>
      </c>
      <c r="L111" s="103">
        <v>6.1000000000000139</v>
      </c>
    </row>
    <row r="112" spans="11:12" x14ac:dyDescent="0.4">
      <c r="K112" s="38">
        <v>110</v>
      </c>
      <c r="L112" s="103">
        <v>57.000000000000014</v>
      </c>
    </row>
    <row r="113" spans="11:12" x14ac:dyDescent="0.4">
      <c r="K113" s="38">
        <v>111</v>
      </c>
      <c r="L113" s="103">
        <v>1.4210854715202004E-14</v>
      </c>
    </row>
    <row r="114" spans="11:12" x14ac:dyDescent="0.4">
      <c r="K114" s="38">
        <v>112</v>
      </c>
      <c r="L114" s="103">
        <v>-5.0999999999999854</v>
      </c>
    </row>
    <row r="115" spans="11:12" x14ac:dyDescent="0.4">
      <c r="K115" s="38">
        <v>113</v>
      </c>
      <c r="L115" s="103">
        <v>31.600000000000016</v>
      </c>
    </row>
    <row r="116" spans="11:12" x14ac:dyDescent="0.4">
      <c r="K116" s="38">
        <v>114</v>
      </c>
      <c r="L116" s="103">
        <v>1.4210854715202004E-14</v>
      </c>
    </row>
    <row r="117" spans="11:12" x14ac:dyDescent="0.4">
      <c r="K117" s="38">
        <v>115</v>
      </c>
      <c r="L117" s="103">
        <v>5.2000000000000144</v>
      </c>
    </row>
    <row r="118" spans="11:12" x14ac:dyDescent="0.4">
      <c r="K118" s="38">
        <v>116</v>
      </c>
      <c r="L118" s="103">
        <v>41.500000000000014</v>
      </c>
    </row>
    <row r="119" spans="11:12" x14ac:dyDescent="0.4">
      <c r="K119" s="38">
        <v>117</v>
      </c>
      <c r="L119" s="103">
        <v>1.4210854715202004E-14</v>
      </c>
    </row>
    <row r="120" spans="11:12" x14ac:dyDescent="0.4">
      <c r="K120" s="38">
        <v>118</v>
      </c>
      <c r="L120" s="103">
        <v>-7.8999999999999861</v>
      </c>
    </row>
    <row r="121" spans="11:12" x14ac:dyDescent="0.4">
      <c r="K121" s="38">
        <v>119</v>
      </c>
      <c r="L121" s="103">
        <v>55.100000000000016</v>
      </c>
    </row>
    <row r="122" spans="11:12" x14ac:dyDescent="0.4">
      <c r="K122" s="38">
        <v>120</v>
      </c>
      <c r="L122" s="103">
        <v>1.4210854715202004E-14</v>
      </c>
    </row>
    <row r="123" spans="11:12" x14ac:dyDescent="0.4">
      <c r="K123" s="38">
        <v>121</v>
      </c>
      <c r="L123" s="103">
        <v>-0.99999999999998579</v>
      </c>
    </row>
    <row r="124" spans="11:12" x14ac:dyDescent="0.4">
      <c r="K124" s="38">
        <v>122</v>
      </c>
      <c r="L124" s="103">
        <v>-30.799999999999986</v>
      </c>
    </row>
    <row r="125" spans="11:12" x14ac:dyDescent="0.4">
      <c r="K125" s="38">
        <v>123</v>
      </c>
      <c r="L125" s="103">
        <v>1.4210854715202004E-14</v>
      </c>
    </row>
    <row r="126" spans="11:12" x14ac:dyDescent="0.4">
      <c r="K126" s="38">
        <v>124</v>
      </c>
      <c r="L126" s="103">
        <v>0.50000000000001421</v>
      </c>
    </row>
    <row r="127" spans="11:12" x14ac:dyDescent="0.4">
      <c r="K127" s="38">
        <v>125</v>
      </c>
      <c r="L127" s="103">
        <v>29.100000000000016</v>
      </c>
    </row>
    <row r="128" spans="11:12" x14ac:dyDescent="0.4">
      <c r="K128" s="38">
        <v>126</v>
      </c>
      <c r="L128" s="103">
        <v>1.4210854715202004E-14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66C0-BE2D-4067-A0BE-03328E96E3A8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27</v>
      </c>
      <c r="C2" s="151"/>
      <c r="E2" s="62" t="s">
        <v>68</v>
      </c>
      <c r="F2" s="59" t="s">
        <v>23</v>
      </c>
      <c r="G2" s="46">
        <v>62</v>
      </c>
      <c r="H2" s="136">
        <f>IF(B$17=0,0,G2/B$17)</f>
        <v>0.6966292134831461</v>
      </c>
      <c r="I2" s="97">
        <v>4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3666.6666666666665</v>
      </c>
      <c r="P2" s="122">
        <v>27</v>
      </c>
      <c r="Q2" s="106">
        <v>99000</v>
      </c>
    </row>
    <row r="3" spans="1:17" x14ac:dyDescent="0.4">
      <c r="A3" s="55" t="s">
        <v>8</v>
      </c>
      <c r="B3" s="152">
        <v>222</v>
      </c>
      <c r="C3" s="153"/>
      <c r="E3" s="63" t="s">
        <v>74</v>
      </c>
      <c r="F3" s="60" t="s">
        <v>28</v>
      </c>
      <c r="G3" s="47">
        <v>59</v>
      </c>
      <c r="H3" s="137">
        <f>IF(B$17=0,0,G3/B$17)</f>
        <v>0.6629213483146067</v>
      </c>
      <c r="I3" s="98">
        <v>3</v>
      </c>
      <c r="K3" s="38">
        <v>1</v>
      </c>
      <c r="L3" s="103">
        <v>-5.0999999999999996</v>
      </c>
      <c r="N3" s="119" t="s">
        <v>135</v>
      </c>
      <c r="O3" s="126">
        <f t="shared" si="0"/>
        <v>4157.6923076923076</v>
      </c>
      <c r="P3" s="123">
        <v>26</v>
      </c>
      <c r="Q3" s="107">
        <v>108100</v>
      </c>
    </row>
    <row r="4" spans="1:17" x14ac:dyDescent="0.4">
      <c r="A4" s="55" t="s">
        <v>6</v>
      </c>
      <c r="B4" s="154">
        <v>596.30000000000007</v>
      </c>
      <c r="C4" s="155"/>
      <c r="E4" s="63" t="s">
        <v>66</v>
      </c>
      <c r="F4" s="60" t="s">
        <v>21</v>
      </c>
      <c r="G4" s="47">
        <v>41</v>
      </c>
      <c r="H4" s="137">
        <f>IF(B$17=0,0,G4/B$17)</f>
        <v>0.4606741573033708</v>
      </c>
      <c r="I4" s="98">
        <v>7</v>
      </c>
      <c r="K4" s="38">
        <v>2</v>
      </c>
      <c r="L4" s="103">
        <v>-2.8999999999999995</v>
      </c>
      <c r="N4" s="119" t="s">
        <v>136</v>
      </c>
      <c r="O4" s="126">
        <f t="shared" si="0"/>
        <v>2444</v>
      </c>
      <c r="P4" s="123">
        <v>25</v>
      </c>
      <c r="Q4" s="107">
        <v>61100</v>
      </c>
    </row>
    <row r="5" spans="1:17" x14ac:dyDescent="0.4">
      <c r="A5" s="55" t="s">
        <v>7</v>
      </c>
      <c r="B5" s="156">
        <f>IF(B$2=0,0,B$4/B$2)</f>
        <v>22.085185185185189</v>
      </c>
      <c r="C5" s="157"/>
      <c r="E5" s="63" t="s">
        <v>187</v>
      </c>
      <c r="F5" s="60" t="s">
        <v>188</v>
      </c>
      <c r="G5" s="47">
        <v>37</v>
      </c>
      <c r="H5" s="137">
        <f>IF(B$17=0,0,G5/B$17)</f>
        <v>0.4157303370786517</v>
      </c>
      <c r="I5" s="98">
        <v>3</v>
      </c>
      <c r="K5" s="38">
        <v>3</v>
      </c>
      <c r="L5" s="103">
        <v>70.399999999999991</v>
      </c>
      <c r="N5" s="119" t="s">
        <v>137</v>
      </c>
      <c r="O5" s="126">
        <f t="shared" si="0"/>
        <v>4720.833333333333</v>
      </c>
      <c r="P5" s="123">
        <v>24</v>
      </c>
      <c r="Q5" s="107">
        <v>113300</v>
      </c>
    </row>
    <row r="6" spans="1:17" x14ac:dyDescent="0.4">
      <c r="A6" s="55" t="s">
        <v>1</v>
      </c>
      <c r="B6" s="146">
        <f>IF(B$2=0,0,(B$7*1+B$8*2+B$9*3)/B$2)</f>
        <v>1.6296296296296295</v>
      </c>
      <c r="C6" s="147"/>
      <c r="E6" s="63" t="s">
        <v>69</v>
      </c>
      <c r="F6" s="60" t="s">
        <v>24</v>
      </c>
      <c r="G6" s="47">
        <v>21</v>
      </c>
      <c r="H6" s="137">
        <f>IF(B$17=0,0,G6/B$17)</f>
        <v>0.23595505617977527</v>
      </c>
      <c r="I6" s="98">
        <v>6</v>
      </c>
      <c r="K6" s="38">
        <v>4</v>
      </c>
      <c r="L6" s="103">
        <v>110.5</v>
      </c>
      <c r="N6" s="119" t="s">
        <v>138</v>
      </c>
      <c r="O6" s="126">
        <f t="shared" si="0"/>
        <v>719.04761904761904</v>
      </c>
      <c r="P6" s="123">
        <v>21</v>
      </c>
      <c r="Q6" s="107">
        <v>15100</v>
      </c>
    </row>
    <row r="7" spans="1:17" x14ac:dyDescent="0.4">
      <c r="A7" s="55" t="s">
        <v>2</v>
      </c>
      <c r="B7" s="47">
        <v>15</v>
      </c>
      <c r="C7" s="39">
        <f>IF(B$2=0,0,B7/B$2)</f>
        <v>0.55555555555555558</v>
      </c>
      <c r="E7" s="63" t="s">
        <v>92</v>
      </c>
      <c r="F7" s="60" t="s">
        <v>46</v>
      </c>
      <c r="G7" s="47">
        <v>20</v>
      </c>
      <c r="H7" s="137">
        <f>IF(B$17=0,0,G7/B$17)</f>
        <v>0.2247191011235955</v>
      </c>
      <c r="I7" s="98">
        <v>3</v>
      </c>
      <c r="K7" s="38">
        <v>5</v>
      </c>
      <c r="L7" s="103">
        <v>201.4</v>
      </c>
      <c r="N7" s="120" t="s">
        <v>139</v>
      </c>
      <c r="O7" s="127">
        <f t="shared" si="0"/>
        <v>-265</v>
      </c>
      <c r="P7" s="124">
        <v>20</v>
      </c>
      <c r="Q7" s="108">
        <v>-5300</v>
      </c>
    </row>
    <row r="8" spans="1:17" x14ac:dyDescent="0.4">
      <c r="A8" s="55" t="s">
        <v>3</v>
      </c>
      <c r="B8" s="47">
        <v>7</v>
      </c>
      <c r="C8" s="39">
        <f>IF(B$2=0,0,B8/B$2)</f>
        <v>0.25925925925925924</v>
      </c>
      <c r="E8" s="63" t="s">
        <v>70</v>
      </c>
      <c r="F8" s="60" t="s">
        <v>12</v>
      </c>
      <c r="G8" s="47">
        <v>18</v>
      </c>
      <c r="H8" s="137">
        <f>IF(B$17=0,0,G8/B$17)</f>
        <v>0.20224719101123595</v>
      </c>
      <c r="I8" s="98">
        <v>6</v>
      </c>
      <c r="K8" s="38">
        <v>6</v>
      </c>
      <c r="L8" s="103">
        <v>232.4</v>
      </c>
      <c r="N8" s="43"/>
      <c r="O8" s="131"/>
      <c r="P8" s="115"/>
      <c r="Q8" s="113"/>
    </row>
    <row r="9" spans="1:17" x14ac:dyDescent="0.4">
      <c r="A9" s="56" t="s">
        <v>4</v>
      </c>
      <c r="B9" s="48">
        <v>5</v>
      </c>
      <c r="C9" s="40">
        <f t="shared" ref="C9" si="1">IF(B$2=0,0,B9/B$2)</f>
        <v>0.18518518518518517</v>
      </c>
      <c r="E9" s="63" t="s">
        <v>71</v>
      </c>
      <c r="F9" s="60" t="s">
        <v>25</v>
      </c>
      <c r="G9" s="47">
        <v>18</v>
      </c>
      <c r="H9" s="137">
        <f>IF(B$17=0,0,G9/B$17)</f>
        <v>0.20224719101123595</v>
      </c>
      <c r="I9" s="98">
        <v>3</v>
      </c>
      <c r="K9" s="38">
        <v>7</v>
      </c>
      <c r="L9" s="103">
        <v>256.10000000000002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1</v>
      </c>
      <c r="C10" s="40">
        <f>IF(B$2=0,0,B10/B$2)</f>
        <v>3.7037037037037035E-2</v>
      </c>
      <c r="E10" s="63" t="s">
        <v>67</v>
      </c>
      <c r="F10" s="60" t="s">
        <v>22</v>
      </c>
      <c r="G10" s="47">
        <v>13</v>
      </c>
      <c r="H10" s="137">
        <f>IF(B$17=0,0,G10/B$17)</f>
        <v>0.14606741573033707</v>
      </c>
      <c r="I10" s="98">
        <v>2</v>
      </c>
      <c r="K10" s="38">
        <v>8</v>
      </c>
      <c r="L10" s="103">
        <v>285.20000000000005</v>
      </c>
      <c r="N10" s="118" t="s">
        <v>170</v>
      </c>
      <c r="O10" s="128">
        <f>IF(P10=0,0,Q10/P10)</f>
        <v>22.922222222222221</v>
      </c>
      <c r="P10" s="122">
        <v>9</v>
      </c>
      <c r="Q10" s="110">
        <v>206.29999999999998</v>
      </c>
    </row>
    <row r="11" spans="1:17" x14ac:dyDescent="0.4">
      <c r="A11" s="56" t="s">
        <v>142</v>
      </c>
      <c r="B11" s="48">
        <v>5</v>
      </c>
      <c r="C11" s="40">
        <f>IF(B$2=0,0,B11/B$2)</f>
        <v>0.18518518518518517</v>
      </c>
      <c r="E11" s="63" t="s">
        <v>89</v>
      </c>
      <c r="F11" s="60" t="s">
        <v>43</v>
      </c>
      <c r="G11" s="47">
        <v>5</v>
      </c>
      <c r="H11" s="137">
        <f>IF(B$17=0,0,G11/B$17)</f>
        <v>5.6179775280898875E-2</v>
      </c>
      <c r="I11" s="98">
        <v>6</v>
      </c>
      <c r="K11" s="38">
        <v>9</v>
      </c>
      <c r="L11" s="103">
        <v>277.90000000000003</v>
      </c>
      <c r="N11" s="119" t="s">
        <v>171</v>
      </c>
      <c r="O11" s="129">
        <f>IF(P11=0,0,Q11/P11)</f>
        <v>11.34</v>
      </c>
      <c r="P11" s="123">
        <v>10</v>
      </c>
      <c r="Q11" s="111">
        <v>113.39999999999999</v>
      </c>
    </row>
    <row r="12" spans="1:17" x14ac:dyDescent="0.4">
      <c r="A12" s="57" t="s">
        <v>163</v>
      </c>
      <c r="B12" s="49">
        <v>5</v>
      </c>
      <c r="C12" s="42">
        <f>IF(B$2=0,0,B12/B$2)</f>
        <v>0.18518518518518517</v>
      </c>
      <c r="E12" s="63" t="s">
        <v>72</v>
      </c>
      <c r="F12" s="60" t="s">
        <v>26</v>
      </c>
      <c r="G12" s="47">
        <v>4</v>
      </c>
      <c r="H12" s="137">
        <f>IF(B$17=0,0,G12/B$17)</f>
        <v>4.49438202247191E-2</v>
      </c>
      <c r="I12" s="98">
        <v>6</v>
      </c>
      <c r="K12" s="38">
        <v>10</v>
      </c>
      <c r="L12" s="103">
        <v>246.20000000000005</v>
      </c>
      <c r="N12" s="120" t="s">
        <v>172</v>
      </c>
      <c r="O12" s="130">
        <f>IF(P12=0,0,Q12/P12)</f>
        <v>34.575000000000003</v>
      </c>
      <c r="P12" s="124">
        <v>8</v>
      </c>
      <c r="Q12" s="112">
        <v>276.60000000000002</v>
      </c>
    </row>
    <row r="13" spans="1:17" x14ac:dyDescent="0.4">
      <c r="A13" s="58" t="s">
        <v>124</v>
      </c>
      <c r="B13" s="50">
        <v>76</v>
      </c>
      <c r="C13" s="44">
        <f>IF(B$3=0,0,B13/B$3)</f>
        <v>0.34234234234234234</v>
      </c>
      <c r="E13" s="63" t="s">
        <v>73</v>
      </c>
      <c r="F13" s="60" t="s">
        <v>27</v>
      </c>
      <c r="G13" s="47">
        <v>4</v>
      </c>
      <c r="H13" s="137">
        <f>IF(B$17=0,0,G13/B$17)</f>
        <v>4.49438202247191E-2</v>
      </c>
      <c r="I13" s="98">
        <v>6</v>
      </c>
      <c r="K13" s="38">
        <v>11</v>
      </c>
      <c r="L13" s="103">
        <v>333.30000000000007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60</v>
      </c>
      <c r="C14" s="39">
        <f>IF(B$3=0,0,B14/B$3)</f>
        <v>0.27027027027027029</v>
      </c>
      <c r="E14" s="63" t="s">
        <v>86</v>
      </c>
      <c r="F14" s="60" t="s">
        <v>40</v>
      </c>
      <c r="G14" s="47">
        <v>4</v>
      </c>
      <c r="H14" s="137">
        <f>IF(B$17=0,0,G14/B$17)</f>
        <v>4.49438202247191E-2</v>
      </c>
      <c r="I14" s="98">
        <v>6</v>
      </c>
      <c r="K14" s="38">
        <v>12</v>
      </c>
      <c r="L14" s="103">
        <v>371.70000000000005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42</v>
      </c>
      <c r="C15" s="37">
        <f>IF(B$13=0,0,B15/B$13)</f>
        <v>0.55263157894736847</v>
      </c>
      <c r="E15" s="63" t="s">
        <v>80</v>
      </c>
      <c r="F15" s="60" t="s">
        <v>34</v>
      </c>
      <c r="G15" s="47">
        <v>3</v>
      </c>
      <c r="H15" s="137">
        <f>IF(B$17=0,0,G15/B$17)</f>
        <v>3.3707865168539325E-2</v>
      </c>
      <c r="I15" s="98">
        <v>2</v>
      </c>
      <c r="K15" s="38">
        <v>13</v>
      </c>
      <c r="L15" s="103">
        <v>418.90000000000003</v>
      </c>
      <c r="N15" s="118" t="s">
        <v>179</v>
      </c>
      <c r="O15" s="128">
        <f>IF(P15=0,0,Q15/P15)</f>
        <v>120</v>
      </c>
      <c r="P15" s="122">
        <v>3</v>
      </c>
      <c r="Q15" s="110">
        <v>360</v>
      </c>
    </row>
    <row r="16" spans="1:17" x14ac:dyDescent="0.4">
      <c r="A16" s="54" t="s">
        <v>127</v>
      </c>
      <c r="B16" s="46">
        <v>33</v>
      </c>
      <c r="C16" s="37">
        <f>IF(B$14=0,0,B16/B$14)</f>
        <v>0.55000000000000004</v>
      </c>
      <c r="E16" s="63" t="s">
        <v>75</v>
      </c>
      <c r="F16" s="60" t="s">
        <v>29</v>
      </c>
      <c r="G16" s="47">
        <v>2</v>
      </c>
      <c r="H16" s="137">
        <f>IF(B$17=0,0,G16/B$17)</f>
        <v>2.247191011235955E-2</v>
      </c>
      <c r="I16" s="98">
        <v>1</v>
      </c>
      <c r="K16" s="38">
        <v>14</v>
      </c>
      <c r="L16" s="103">
        <v>473.50000000000006</v>
      </c>
      <c r="N16" s="119" t="s">
        <v>191</v>
      </c>
      <c r="O16" s="129">
        <f>IF(P16=0,0,Q16/P16)</f>
        <v>69.2</v>
      </c>
      <c r="P16" s="123">
        <v>1</v>
      </c>
      <c r="Q16" s="111">
        <v>69.2</v>
      </c>
    </row>
    <row r="17" spans="1:17" x14ac:dyDescent="0.4">
      <c r="A17" s="54" t="s">
        <v>10</v>
      </c>
      <c r="B17" s="46">
        <f>B19+B18</f>
        <v>89</v>
      </c>
      <c r="C17" s="37">
        <f>IF(B$3=0,0,B17/B$3)</f>
        <v>0.40090090090090091</v>
      </c>
      <c r="E17" s="63" t="s">
        <v>84</v>
      </c>
      <c r="F17" s="60" t="s">
        <v>38</v>
      </c>
      <c r="G17" s="47">
        <v>2</v>
      </c>
      <c r="H17" s="137">
        <f>IF(B$17=0,0,G17/B$17)</f>
        <v>2.247191011235955E-2</v>
      </c>
      <c r="I17" s="98">
        <v>5</v>
      </c>
      <c r="K17" s="38">
        <v>15</v>
      </c>
      <c r="L17" s="103">
        <v>481.50000000000006</v>
      </c>
      <c r="N17" s="119" t="s">
        <v>183</v>
      </c>
      <c r="O17" s="129">
        <f>IF(P17=0,0,Q17/P17)</f>
        <v>61.75</v>
      </c>
      <c r="P17" s="123">
        <v>6</v>
      </c>
      <c r="Q17" s="111">
        <v>370.5</v>
      </c>
    </row>
    <row r="18" spans="1:17" x14ac:dyDescent="0.4">
      <c r="A18" s="55" t="s">
        <v>12</v>
      </c>
      <c r="B18" s="47">
        <v>36</v>
      </c>
      <c r="C18" s="39">
        <f>IF(B$17=0,0,B18/B$17)</f>
        <v>0.4044943820224719</v>
      </c>
      <c r="E18" s="63" t="s">
        <v>79</v>
      </c>
      <c r="F18" s="60" t="s">
        <v>33</v>
      </c>
      <c r="G18" s="47">
        <v>1</v>
      </c>
      <c r="H18" s="137">
        <f>IF(B$17=0,0,G18/B$17)</f>
        <v>1.1235955056179775E-2</v>
      </c>
      <c r="I18" s="98">
        <v>1</v>
      </c>
      <c r="K18" s="38">
        <v>16</v>
      </c>
      <c r="L18" s="103">
        <v>425.50000000000006</v>
      </c>
      <c r="N18" s="119" t="s">
        <v>131</v>
      </c>
      <c r="O18" s="129">
        <f>IF(P18=0,0,Q18/P18)</f>
        <v>51.81111111111111</v>
      </c>
      <c r="P18" s="123">
        <v>9</v>
      </c>
      <c r="Q18" s="111">
        <v>466.3</v>
      </c>
    </row>
    <row r="19" spans="1:17" x14ac:dyDescent="0.4">
      <c r="A19" s="55" t="s">
        <v>11</v>
      </c>
      <c r="B19" s="47">
        <v>53</v>
      </c>
      <c r="C19" s="39">
        <f>IF(B$17=0,0,B19/B$17)</f>
        <v>0.5955056179775281</v>
      </c>
      <c r="E19" s="63" t="s">
        <v>90</v>
      </c>
      <c r="F19" s="60" t="s">
        <v>44</v>
      </c>
      <c r="G19" s="47">
        <v>1</v>
      </c>
      <c r="H19" s="137">
        <f>IF(B$17=0,0,G19/B$17)</f>
        <v>1.1235955056179775E-2</v>
      </c>
      <c r="I19" s="98">
        <v>1</v>
      </c>
      <c r="K19" s="38">
        <v>17</v>
      </c>
      <c r="L19" s="103">
        <v>427.40000000000003</v>
      </c>
      <c r="N19" s="119" t="s">
        <v>177</v>
      </c>
      <c r="O19" s="129">
        <f>IF(P19=0,0,Q19/P19)</f>
        <v>32.072727272727263</v>
      </c>
      <c r="P19" s="123">
        <v>11</v>
      </c>
      <c r="Q19" s="111">
        <v>352.7999999999999</v>
      </c>
    </row>
    <row r="20" spans="1:17" x14ac:dyDescent="0.4">
      <c r="A20" s="55" t="s">
        <v>13</v>
      </c>
      <c r="B20" s="47">
        <v>38</v>
      </c>
      <c r="C20" s="39">
        <f>IF(B$3=0,0,B20/B$3)</f>
        <v>0.17117117117117117</v>
      </c>
      <c r="E20" s="63" t="s">
        <v>93</v>
      </c>
      <c r="F20" s="60" t="s">
        <v>47</v>
      </c>
      <c r="G20" s="47">
        <v>1</v>
      </c>
      <c r="H20" s="137">
        <f>IF(B$17=0,0,G20/B$17)</f>
        <v>1.1235955056179775E-2</v>
      </c>
      <c r="I20" s="98">
        <v>1</v>
      </c>
      <c r="K20" s="38">
        <v>18</v>
      </c>
      <c r="L20" s="103">
        <v>429.3</v>
      </c>
      <c r="N20" s="119" t="s">
        <v>178</v>
      </c>
      <c r="O20" s="129">
        <f>IF(P20=0,0,Q20/P20)</f>
        <v>13.3</v>
      </c>
      <c r="P20" s="123">
        <v>4</v>
      </c>
      <c r="Q20" s="111">
        <v>53.2</v>
      </c>
    </row>
    <row r="21" spans="1:17" x14ac:dyDescent="0.4">
      <c r="A21" s="55" t="s">
        <v>199</v>
      </c>
      <c r="B21" s="47">
        <v>7</v>
      </c>
      <c r="C21" s="141">
        <v>0</v>
      </c>
      <c r="E21" s="63" t="s">
        <v>94</v>
      </c>
      <c r="F21" s="60" t="s">
        <v>48</v>
      </c>
      <c r="G21" s="47">
        <v>1</v>
      </c>
      <c r="H21" s="137">
        <f>IF(B$17=0,0,G21/B$17)</f>
        <v>1.1235955056179775E-2</v>
      </c>
      <c r="I21" s="98">
        <v>4</v>
      </c>
      <c r="K21" s="38">
        <v>19</v>
      </c>
      <c r="L21" s="103">
        <v>405.40000000000003</v>
      </c>
      <c r="N21" s="119" t="s">
        <v>130</v>
      </c>
      <c r="O21" s="129">
        <f>IF(P21=0,0,Q21/P21)</f>
        <v>9.189473684210526</v>
      </c>
      <c r="P21" s="123">
        <v>19</v>
      </c>
      <c r="Q21" s="111">
        <v>174.6</v>
      </c>
    </row>
    <row r="22" spans="1:17" x14ac:dyDescent="0.4">
      <c r="A22" s="55" t="s">
        <v>200</v>
      </c>
      <c r="B22" s="47">
        <v>26</v>
      </c>
      <c r="C22" s="141">
        <v>5</v>
      </c>
      <c r="E22" s="63" t="s">
        <v>98</v>
      </c>
      <c r="F22" s="60" t="s">
        <v>52</v>
      </c>
      <c r="G22" s="47">
        <v>1</v>
      </c>
      <c r="H22" s="137">
        <f>IF(B$17=0,0,G22/B$17)</f>
        <v>1.1235955056179775E-2</v>
      </c>
      <c r="I22" s="98">
        <v>1</v>
      </c>
      <c r="K22" s="38">
        <v>20</v>
      </c>
      <c r="L22" s="103">
        <v>469.6</v>
      </c>
      <c r="N22" s="119" t="s">
        <v>192</v>
      </c>
      <c r="O22" s="129">
        <f>IF(P22=0,0,Q22/P22)</f>
        <v>-57.7</v>
      </c>
      <c r="P22" s="123">
        <v>1</v>
      </c>
      <c r="Q22" s="111">
        <v>-57.7</v>
      </c>
    </row>
    <row r="23" spans="1:17" x14ac:dyDescent="0.4">
      <c r="A23" s="55" t="s">
        <v>5</v>
      </c>
      <c r="B23" s="51">
        <f>IF(B$17=0,0,C23/B$17)</f>
        <v>9133.7078651685388</v>
      </c>
      <c r="C23" s="41">
        <v>812900</v>
      </c>
      <c r="E23" s="63" t="s">
        <v>76</v>
      </c>
      <c r="F23" s="60" t="s">
        <v>30</v>
      </c>
      <c r="G23" s="47">
        <v>0</v>
      </c>
      <c r="H23" s="137">
        <f>IF(B$17=0,0,G23/B$17)</f>
        <v>0</v>
      </c>
      <c r="I23" s="98">
        <v>3</v>
      </c>
      <c r="K23" s="38">
        <v>21</v>
      </c>
      <c r="L23" s="103">
        <v>468.3</v>
      </c>
    </row>
    <row r="24" spans="1:17" x14ac:dyDescent="0.4">
      <c r="A24" s="57" t="s">
        <v>14</v>
      </c>
      <c r="B24" s="52">
        <f>IF(B$20=0,0,C24/B$20)</f>
        <v>-7692.105263157895</v>
      </c>
      <c r="C24" s="45">
        <v>-292300</v>
      </c>
      <c r="E24" s="63" t="s">
        <v>77</v>
      </c>
      <c r="F24" s="60" t="s">
        <v>31</v>
      </c>
      <c r="G24" s="47">
        <v>0</v>
      </c>
      <c r="H24" s="137">
        <f>IF(B$17=0,0,G24/B$17)</f>
        <v>0</v>
      </c>
      <c r="I24" s="98">
        <v>5</v>
      </c>
      <c r="K24" s="38">
        <v>22</v>
      </c>
      <c r="L24" s="103">
        <v>519.20000000000005</v>
      </c>
    </row>
    <row r="25" spans="1:17" x14ac:dyDescent="0.4">
      <c r="A25" s="94" t="s">
        <v>144</v>
      </c>
      <c r="B25" s="144">
        <v>5</v>
      </c>
      <c r="C25" s="145"/>
      <c r="E25" s="63" t="s">
        <v>78</v>
      </c>
      <c r="F25" s="60" t="s">
        <v>32</v>
      </c>
      <c r="G25" s="47">
        <v>0</v>
      </c>
      <c r="H25" s="137">
        <f>IF(B$17=0,0,G25/B$17)</f>
        <v>0</v>
      </c>
      <c r="I25" s="98">
        <v>1</v>
      </c>
      <c r="K25" s="38">
        <v>23</v>
      </c>
      <c r="L25" s="103">
        <v>555.90000000000009</v>
      </c>
    </row>
    <row r="26" spans="1:17" x14ac:dyDescent="0.4">
      <c r="A26" s="58" t="s">
        <v>155</v>
      </c>
      <c r="B26" s="142">
        <v>105900</v>
      </c>
      <c r="C26" s="143"/>
      <c r="E26" s="63" t="s">
        <v>81</v>
      </c>
      <c r="F26" s="60" t="s">
        <v>35</v>
      </c>
      <c r="G26" s="47">
        <v>0</v>
      </c>
      <c r="H26" s="137">
        <f>IF(B$17=0,0,G26/B$17)</f>
        <v>0</v>
      </c>
      <c r="I26" s="98">
        <v>4</v>
      </c>
      <c r="K26" s="38">
        <v>24</v>
      </c>
      <c r="L26" s="103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7">
        <f>IF(B$17=0,0,G27/B$17)</f>
        <v>0</v>
      </c>
      <c r="I27" s="98">
        <v>1</v>
      </c>
      <c r="K27" s="38">
        <v>25</v>
      </c>
      <c r="L27" s="103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7">
        <f>IF(B$17=0,0,G28/B$17)</f>
        <v>0</v>
      </c>
      <c r="I28" s="98">
        <v>1</v>
      </c>
      <c r="K28" s="38">
        <v>26</v>
      </c>
      <c r="L28" s="103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7">
        <f>IF(B$17=0,0,G29/B$17)</f>
        <v>0</v>
      </c>
      <c r="I29" s="98">
        <v>1</v>
      </c>
      <c r="K29" s="38">
        <v>27</v>
      </c>
      <c r="L29" s="103">
        <v>596.30000000000007</v>
      </c>
    </row>
    <row r="30" spans="1:17" x14ac:dyDescent="0.4">
      <c r="E30" s="63" t="s">
        <v>87</v>
      </c>
      <c r="F30" s="60" t="s">
        <v>41</v>
      </c>
      <c r="G30" s="47">
        <v>0</v>
      </c>
      <c r="H30" s="137">
        <f>IF(B$17=0,0,G30/B$17)</f>
        <v>0</v>
      </c>
      <c r="I30" s="98">
        <v>1</v>
      </c>
    </row>
    <row r="31" spans="1:17" x14ac:dyDescent="0.4">
      <c r="E31" s="63" t="s">
        <v>88</v>
      </c>
      <c r="F31" s="60" t="s">
        <v>42</v>
      </c>
      <c r="G31" s="47">
        <v>0</v>
      </c>
      <c r="H31" s="137">
        <f>IF(B$17=0,0,G31/B$17)</f>
        <v>0</v>
      </c>
      <c r="I31" s="98">
        <v>3</v>
      </c>
    </row>
    <row r="32" spans="1:17" x14ac:dyDescent="0.4">
      <c r="E32" s="63" t="s">
        <v>91</v>
      </c>
      <c r="F32" s="60" t="s">
        <v>45</v>
      </c>
      <c r="G32" s="47">
        <v>0</v>
      </c>
      <c r="H32" s="137">
        <f>IF(B$17=0,0,G32/B$17)</f>
        <v>0</v>
      </c>
      <c r="I32" s="98">
        <v>1</v>
      </c>
    </row>
    <row r="33" spans="5:9" x14ac:dyDescent="0.4">
      <c r="E33" s="63" t="s">
        <v>95</v>
      </c>
      <c r="F33" s="60" t="s">
        <v>49</v>
      </c>
      <c r="G33" s="47">
        <v>0</v>
      </c>
      <c r="H33" s="137">
        <f>IF(B$17=0,0,G33/B$17)</f>
        <v>0</v>
      </c>
      <c r="I33" s="98">
        <v>4</v>
      </c>
    </row>
    <row r="34" spans="5:9" x14ac:dyDescent="0.4">
      <c r="E34" s="63" t="s">
        <v>96</v>
      </c>
      <c r="F34" s="60" t="s">
        <v>50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7">
        <f>IF(B$17=0,0,G35/B$17)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1FB2D-9DFB-4E56-AD4A-AEEBD5B8D153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130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27</v>
      </c>
      <c r="C2" s="151"/>
      <c r="E2" s="62" t="s">
        <v>68</v>
      </c>
      <c r="F2" s="59" t="s">
        <v>23</v>
      </c>
      <c r="G2" s="46">
        <v>53</v>
      </c>
      <c r="H2" s="136">
        <f>IF(B$17=0,0,G2/B$17)</f>
        <v>0.71621621621621623</v>
      </c>
      <c r="I2" s="97">
        <v>3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1370.3703703703704</v>
      </c>
      <c r="P2" s="122">
        <v>27</v>
      </c>
      <c r="Q2" s="106">
        <v>37000</v>
      </c>
    </row>
    <row r="3" spans="1:17" x14ac:dyDescent="0.4">
      <c r="A3" s="55" t="s">
        <v>8</v>
      </c>
      <c r="B3" s="152">
        <v>237</v>
      </c>
      <c r="C3" s="153"/>
      <c r="E3" s="63" t="s">
        <v>66</v>
      </c>
      <c r="F3" s="60" t="s">
        <v>21</v>
      </c>
      <c r="G3" s="47">
        <v>45</v>
      </c>
      <c r="H3" s="137">
        <f>IF(B$17=0,0,G3/B$17)</f>
        <v>0.60810810810810811</v>
      </c>
      <c r="I3" s="98">
        <v>1</v>
      </c>
      <c r="K3" s="38">
        <v>1</v>
      </c>
      <c r="L3" s="103">
        <v>45.5</v>
      </c>
      <c r="N3" s="119" t="s">
        <v>135</v>
      </c>
      <c r="O3" s="126">
        <f t="shared" si="0"/>
        <v>-750</v>
      </c>
      <c r="P3" s="123">
        <v>26</v>
      </c>
      <c r="Q3" s="107">
        <v>-19500</v>
      </c>
    </row>
    <row r="4" spans="1:17" x14ac:dyDescent="0.4">
      <c r="A4" s="55" t="s">
        <v>6</v>
      </c>
      <c r="B4" s="154">
        <v>236.69999999999996</v>
      </c>
      <c r="C4" s="155"/>
      <c r="E4" s="63" t="s">
        <v>187</v>
      </c>
      <c r="F4" s="60" t="s">
        <v>188</v>
      </c>
      <c r="G4" s="47">
        <v>32</v>
      </c>
      <c r="H4" s="137">
        <f>IF(B$17=0,0,G4/B$17)</f>
        <v>0.43243243243243246</v>
      </c>
      <c r="I4" s="98">
        <v>2</v>
      </c>
      <c r="K4" s="38">
        <v>2</v>
      </c>
      <c r="L4" s="103">
        <v>6.2999999999999972</v>
      </c>
      <c r="N4" s="119" t="s">
        <v>136</v>
      </c>
      <c r="O4" s="126">
        <f t="shared" si="0"/>
        <v>-615.38461538461536</v>
      </c>
      <c r="P4" s="123">
        <v>26</v>
      </c>
      <c r="Q4" s="107">
        <v>-16000</v>
      </c>
    </row>
    <row r="5" spans="1:17" x14ac:dyDescent="0.4">
      <c r="A5" s="55" t="s">
        <v>7</v>
      </c>
      <c r="B5" s="156">
        <f>IF(B$2=0,0,B$4/B$2)</f>
        <v>8.7666666666666657</v>
      </c>
      <c r="C5" s="157"/>
      <c r="E5" s="63" t="s">
        <v>69</v>
      </c>
      <c r="F5" s="60" t="s">
        <v>24</v>
      </c>
      <c r="G5" s="47">
        <v>31</v>
      </c>
      <c r="H5" s="137">
        <f>IF(B$17=0,0,G5/B$17)</f>
        <v>0.41891891891891891</v>
      </c>
      <c r="I5" s="98">
        <v>1</v>
      </c>
      <c r="K5" s="38">
        <v>3</v>
      </c>
      <c r="L5" s="103">
        <v>-47.300000000000004</v>
      </c>
      <c r="N5" s="119" t="s">
        <v>137</v>
      </c>
      <c r="O5" s="126">
        <f t="shared" si="0"/>
        <v>2780.7692307692309</v>
      </c>
      <c r="P5" s="123">
        <v>26</v>
      </c>
      <c r="Q5" s="107">
        <v>72300</v>
      </c>
    </row>
    <row r="6" spans="1:17" x14ac:dyDescent="0.4">
      <c r="A6" s="55" t="s">
        <v>1</v>
      </c>
      <c r="B6" s="146">
        <f>IF(B$2=0,0,(B$7*1+B$8*2+B$9*3)/B$2)</f>
        <v>1.8518518518518519</v>
      </c>
      <c r="C6" s="147"/>
      <c r="E6" s="63" t="s">
        <v>74</v>
      </c>
      <c r="F6" s="60" t="s">
        <v>28</v>
      </c>
      <c r="G6" s="47">
        <v>31</v>
      </c>
      <c r="H6" s="137">
        <f>IF(B$17=0,0,G6/B$17)</f>
        <v>0.41891891891891891</v>
      </c>
      <c r="I6" s="98">
        <v>9</v>
      </c>
      <c r="K6" s="38">
        <v>4</v>
      </c>
      <c r="L6" s="103">
        <v>13.599999999999994</v>
      </c>
      <c r="N6" s="119" t="s">
        <v>138</v>
      </c>
      <c r="O6" s="126">
        <f t="shared" si="0"/>
        <v>2970.8333333333335</v>
      </c>
      <c r="P6" s="123">
        <v>24</v>
      </c>
      <c r="Q6" s="107">
        <v>71300</v>
      </c>
    </row>
    <row r="7" spans="1:17" x14ac:dyDescent="0.4">
      <c r="A7" s="55" t="s">
        <v>2</v>
      </c>
      <c r="B7" s="47">
        <v>10</v>
      </c>
      <c r="C7" s="39">
        <f>IF(B$2=0,0,B7/B$2)</f>
        <v>0.37037037037037035</v>
      </c>
      <c r="E7" s="63" t="s">
        <v>70</v>
      </c>
      <c r="F7" s="60" t="s">
        <v>12</v>
      </c>
      <c r="G7" s="47">
        <v>23</v>
      </c>
      <c r="H7" s="137">
        <f>IF(B$17=0,0,G7/B$17)</f>
        <v>0.3108108108108108</v>
      </c>
      <c r="I7" s="98">
        <v>3</v>
      </c>
      <c r="K7" s="38">
        <v>5</v>
      </c>
      <c r="L7" s="103">
        <v>-16.600000000000005</v>
      </c>
      <c r="N7" s="120" t="s">
        <v>139</v>
      </c>
      <c r="O7" s="127">
        <f t="shared" si="0"/>
        <v>504.3478260869565</v>
      </c>
      <c r="P7" s="124">
        <v>23</v>
      </c>
      <c r="Q7" s="108">
        <v>11600</v>
      </c>
    </row>
    <row r="8" spans="1:17" x14ac:dyDescent="0.4">
      <c r="A8" s="55" t="s">
        <v>3</v>
      </c>
      <c r="B8" s="47">
        <v>11</v>
      </c>
      <c r="C8" s="39">
        <f>IF(B$2=0,0,B8/B$2)</f>
        <v>0.40740740740740738</v>
      </c>
      <c r="E8" s="63" t="s">
        <v>71</v>
      </c>
      <c r="F8" s="60" t="s">
        <v>25</v>
      </c>
      <c r="G8" s="47">
        <v>17</v>
      </c>
      <c r="H8" s="137">
        <f>IF(B$17=0,0,G8/B$17)</f>
        <v>0.22972972972972974</v>
      </c>
      <c r="I8" s="98">
        <v>1</v>
      </c>
      <c r="K8" s="38">
        <v>6</v>
      </c>
      <c r="L8" s="103">
        <v>-14.000000000000005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0.22222222222222221</v>
      </c>
      <c r="E9" s="63" t="s">
        <v>72</v>
      </c>
      <c r="F9" s="60" t="s">
        <v>26</v>
      </c>
      <c r="G9" s="47">
        <v>10</v>
      </c>
      <c r="H9" s="137">
        <f>IF(B$17=0,0,G9/B$17)</f>
        <v>0.13513513513513514</v>
      </c>
      <c r="I9" s="98">
        <v>2</v>
      </c>
      <c r="K9" s="38">
        <v>7</v>
      </c>
      <c r="L9" s="103">
        <v>-45.300000000000004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9</v>
      </c>
      <c r="H10" s="137">
        <f>IF(B$17=0,0,G10/B$17)</f>
        <v>0.12162162162162163</v>
      </c>
      <c r="I10" s="98">
        <v>4</v>
      </c>
      <c r="K10" s="38">
        <v>8</v>
      </c>
      <c r="L10" s="103">
        <v>-49.6</v>
      </c>
      <c r="N10" s="118" t="s">
        <v>170</v>
      </c>
      <c r="O10" s="128">
        <f>IF(P10=0,0,Q10/P10)</f>
        <v>17.849999999999998</v>
      </c>
      <c r="P10" s="122">
        <v>14</v>
      </c>
      <c r="Q10" s="110">
        <v>249.89999999999995</v>
      </c>
    </row>
    <row r="11" spans="1:17" x14ac:dyDescent="0.4">
      <c r="A11" s="56" t="s">
        <v>142</v>
      </c>
      <c r="B11" s="48">
        <v>2</v>
      </c>
      <c r="C11" s="40">
        <f>IF(B$2=0,0,B11/B$2)</f>
        <v>7.407407407407407E-2</v>
      </c>
      <c r="E11" s="63" t="s">
        <v>89</v>
      </c>
      <c r="F11" s="60" t="s">
        <v>43</v>
      </c>
      <c r="G11" s="47">
        <v>5</v>
      </c>
      <c r="H11" s="137">
        <f>IF(B$17=0,0,G11/B$17)</f>
        <v>6.7567567567567571E-2</v>
      </c>
      <c r="I11" s="98">
        <v>3</v>
      </c>
      <c r="K11" s="38">
        <v>9</v>
      </c>
      <c r="L11" s="103">
        <v>-79.5</v>
      </c>
      <c r="N11" s="119" t="s">
        <v>171</v>
      </c>
      <c r="O11" s="129">
        <f>IF(P11=0,0,Q11/P11)</f>
        <v>-5.4555555555555539</v>
      </c>
      <c r="P11" s="123">
        <v>9</v>
      </c>
      <c r="Q11" s="111">
        <v>-49.099999999999987</v>
      </c>
    </row>
    <row r="12" spans="1:17" x14ac:dyDescent="0.4">
      <c r="A12" s="57" t="s">
        <v>163</v>
      </c>
      <c r="B12" s="49">
        <v>4</v>
      </c>
      <c r="C12" s="42">
        <f>IF(B$2=0,0,B12/B$2)</f>
        <v>0.14814814814814814</v>
      </c>
      <c r="E12" s="63" t="s">
        <v>92</v>
      </c>
      <c r="F12" s="60" t="s">
        <v>46</v>
      </c>
      <c r="G12" s="47">
        <v>5</v>
      </c>
      <c r="H12" s="137">
        <f>IF(B$17=0,0,G12/B$17)</f>
        <v>6.7567567567567571E-2</v>
      </c>
      <c r="I12" s="98">
        <v>10</v>
      </c>
      <c r="K12" s="38">
        <v>10</v>
      </c>
      <c r="L12" s="103">
        <v>-80.900000000000006</v>
      </c>
      <c r="N12" s="120" t="s">
        <v>172</v>
      </c>
      <c r="O12" s="130">
        <f>IF(P12=0,0,Q12/P12)</f>
        <v>8.9750000000000014</v>
      </c>
      <c r="P12" s="124">
        <v>4</v>
      </c>
      <c r="Q12" s="112">
        <v>35.900000000000006</v>
      </c>
    </row>
    <row r="13" spans="1:17" x14ac:dyDescent="0.4">
      <c r="A13" s="58" t="s">
        <v>124</v>
      </c>
      <c r="B13" s="50">
        <v>73</v>
      </c>
      <c r="C13" s="44">
        <f>IF(B$3=0,0,B13/B$3)</f>
        <v>0.30801687763713081</v>
      </c>
      <c r="E13" s="63" t="s">
        <v>84</v>
      </c>
      <c r="F13" s="60" t="s">
        <v>38</v>
      </c>
      <c r="G13" s="47">
        <v>3</v>
      </c>
      <c r="H13" s="137">
        <f>IF(B$17=0,0,G13/B$17)</f>
        <v>4.0540540540540543E-2</v>
      </c>
      <c r="I13" s="98">
        <v>3</v>
      </c>
      <c r="K13" s="38">
        <v>11</v>
      </c>
      <c r="L13" s="103">
        <v>-53.100000000000009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42</v>
      </c>
      <c r="C14" s="39">
        <f>IF(B$3=0,0,B14/B$3)</f>
        <v>0.17721518987341772</v>
      </c>
      <c r="E14" s="63" t="s">
        <v>94</v>
      </c>
      <c r="F14" s="60" t="s">
        <v>48</v>
      </c>
      <c r="G14" s="47">
        <v>3</v>
      </c>
      <c r="H14" s="137">
        <f>IF(B$17=0,0,G14/B$17)</f>
        <v>4.0540540540540543E-2</v>
      </c>
      <c r="I14" s="98">
        <v>2</v>
      </c>
      <c r="K14" s="38">
        <v>12</v>
      </c>
      <c r="L14" s="103">
        <v>-56.500000000000007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46</v>
      </c>
      <c r="C15" s="37">
        <f>IF(B$13=0,0,B15/B$13)</f>
        <v>0.63013698630136983</v>
      </c>
      <c r="E15" s="63" t="s">
        <v>86</v>
      </c>
      <c r="F15" s="60" t="s">
        <v>40</v>
      </c>
      <c r="G15" s="47">
        <v>2</v>
      </c>
      <c r="H15" s="137">
        <f>IF(B$17=0,0,G15/B$17)</f>
        <v>2.7027027027027029E-2</v>
      </c>
      <c r="I15" s="98">
        <v>8</v>
      </c>
      <c r="K15" s="38">
        <v>13</v>
      </c>
      <c r="L15" s="103">
        <v>-81.900000000000006</v>
      </c>
      <c r="N15" s="118" t="s">
        <v>179</v>
      </c>
      <c r="O15" s="128">
        <f>IF(P15=0,0,Q15/P15)</f>
        <v>52.48</v>
      </c>
      <c r="P15" s="122">
        <v>5</v>
      </c>
      <c r="Q15" s="110">
        <v>262.39999999999998</v>
      </c>
    </row>
    <row r="16" spans="1:17" x14ac:dyDescent="0.4">
      <c r="A16" s="54" t="s">
        <v>127</v>
      </c>
      <c r="B16" s="46">
        <v>12</v>
      </c>
      <c r="C16" s="37">
        <f>IF(B$14=0,0,B16/B$14)</f>
        <v>0.2857142857142857</v>
      </c>
      <c r="E16" s="63" t="s">
        <v>73</v>
      </c>
      <c r="F16" s="60" t="s">
        <v>27</v>
      </c>
      <c r="G16" s="47">
        <v>1</v>
      </c>
      <c r="H16" s="137">
        <f>IF(B$17=0,0,G16/B$17)</f>
        <v>1.3513513513513514E-2</v>
      </c>
      <c r="I16" s="98">
        <v>7</v>
      </c>
      <c r="K16" s="38">
        <v>14</v>
      </c>
      <c r="L16" s="103">
        <v>-25.600000000000009</v>
      </c>
      <c r="N16" s="119" t="s">
        <v>192</v>
      </c>
      <c r="O16" s="129">
        <f>IF(P16=0,0,Q16/P16)</f>
        <v>37.400000000000006</v>
      </c>
      <c r="P16" s="123">
        <v>1</v>
      </c>
      <c r="Q16" s="111">
        <v>37.400000000000006</v>
      </c>
    </row>
    <row r="17" spans="1:17" x14ac:dyDescent="0.4">
      <c r="A17" s="54" t="s">
        <v>10</v>
      </c>
      <c r="B17" s="46">
        <f>B19+B18</f>
        <v>74</v>
      </c>
      <c r="C17" s="37">
        <f>IF(B$3=0,0,B17/B$3)</f>
        <v>0.31223628691983124</v>
      </c>
      <c r="E17" s="63" t="s">
        <v>75</v>
      </c>
      <c r="F17" s="60" t="s">
        <v>29</v>
      </c>
      <c r="G17" s="47">
        <v>1</v>
      </c>
      <c r="H17" s="137">
        <f>IF(B$17=0,0,G17/B$17)</f>
        <v>1.3513513513513514E-2</v>
      </c>
      <c r="I17" s="98">
        <v>2</v>
      </c>
      <c r="K17" s="38">
        <v>15</v>
      </c>
      <c r="L17" s="103">
        <v>47.999999999999986</v>
      </c>
      <c r="N17" s="119" t="s">
        <v>177</v>
      </c>
      <c r="O17" s="129">
        <f>IF(P17=0,0,Q17/P17)</f>
        <v>33.520000000000003</v>
      </c>
      <c r="P17" s="123">
        <v>10</v>
      </c>
      <c r="Q17" s="111">
        <v>335.20000000000005</v>
      </c>
    </row>
    <row r="18" spans="1:17" x14ac:dyDescent="0.4">
      <c r="A18" s="55" t="s">
        <v>12</v>
      </c>
      <c r="B18" s="47">
        <v>27</v>
      </c>
      <c r="C18" s="39">
        <f>IF(B$17=0,0,B18/B$17)</f>
        <v>0.36486486486486486</v>
      </c>
      <c r="E18" s="63" t="s">
        <v>76</v>
      </c>
      <c r="F18" s="60" t="s">
        <v>30</v>
      </c>
      <c r="G18" s="47">
        <v>1</v>
      </c>
      <c r="H18" s="137">
        <f>IF(B$17=0,0,G18/B$17)</f>
        <v>1.3513513513513514E-2</v>
      </c>
      <c r="I18" s="98">
        <v>1</v>
      </c>
      <c r="K18" s="38">
        <v>16</v>
      </c>
      <c r="L18" s="103">
        <v>41.699999999999989</v>
      </c>
      <c r="N18" s="119" t="s">
        <v>178</v>
      </c>
      <c r="O18" s="129">
        <f>IF(P18=0,0,Q18/P18)</f>
        <v>32.699999999999996</v>
      </c>
      <c r="P18" s="123">
        <v>3</v>
      </c>
      <c r="Q18" s="111">
        <v>98.1</v>
      </c>
    </row>
    <row r="19" spans="1:17" x14ac:dyDescent="0.4">
      <c r="A19" s="55" t="s">
        <v>11</v>
      </c>
      <c r="B19" s="47">
        <v>47</v>
      </c>
      <c r="C19" s="39">
        <f>IF(B$17=0,0,B19/B$17)</f>
        <v>0.63513513513513509</v>
      </c>
      <c r="E19" s="63" t="s">
        <v>77</v>
      </c>
      <c r="F19" s="60" t="s">
        <v>31</v>
      </c>
      <c r="G19" s="47">
        <v>1</v>
      </c>
      <c r="H19" s="137">
        <f>IF(B$17=0,0,G19/B$17)</f>
        <v>1.3513513513513514E-2</v>
      </c>
      <c r="I19" s="98">
        <v>3</v>
      </c>
      <c r="K19" s="38">
        <v>17</v>
      </c>
      <c r="L19" s="103">
        <v>94.6</v>
      </c>
      <c r="N19" s="119" t="s">
        <v>131</v>
      </c>
      <c r="O19" s="129">
        <f>IF(P19=0,0,Q19/P19)</f>
        <v>9.7624999999999993</v>
      </c>
      <c r="P19" s="123">
        <v>8</v>
      </c>
      <c r="Q19" s="111">
        <v>78.099999999999994</v>
      </c>
    </row>
    <row r="20" spans="1:17" x14ac:dyDescent="0.4">
      <c r="A20" s="55" t="s">
        <v>13</v>
      </c>
      <c r="B20" s="47">
        <v>34</v>
      </c>
      <c r="C20" s="39">
        <f>IF(B$3=0,0,B20/B$3)</f>
        <v>0.14345991561181434</v>
      </c>
      <c r="E20" s="63" t="s">
        <v>80</v>
      </c>
      <c r="F20" s="60" t="s">
        <v>34</v>
      </c>
      <c r="G20" s="47">
        <v>1</v>
      </c>
      <c r="H20" s="137">
        <f>IF(B$17=0,0,G20/B$17)</f>
        <v>1.3513513513513514E-2</v>
      </c>
      <c r="I20" s="98">
        <v>5</v>
      </c>
      <c r="K20" s="38">
        <v>18</v>
      </c>
      <c r="L20" s="103">
        <v>116.69999999999999</v>
      </c>
      <c r="N20" s="119" t="s">
        <v>183</v>
      </c>
      <c r="O20" s="129">
        <f>IF(P20=0,0,Q20/P20)</f>
        <v>9.1875</v>
      </c>
      <c r="P20" s="123">
        <v>8</v>
      </c>
      <c r="Q20" s="111">
        <v>73.5</v>
      </c>
    </row>
    <row r="21" spans="1:17" x14ac:dyDescent="0.4">
      <c r="A21" s="55" t="s">
        <v>199</v>
      </c>
      <c r="B21" s="47">
        <v>5</v>
      </c>
      <c r="C21" s="141">
        <v>0</v>
      </c>
      <c r="E21" s="63" t="s">
        <v>81</v>
      </c>
      <c r="F21" s="60" t="s">
        <v>35</v>
      </c>
      <c r="G21" s="47">
        <v>1</v>
      </c>
      <c r="H21" s="137">
        <f>IF(B$17=0,0,G21/B$17)</f>
        <v>1.3513513513513514E-2</v>
      </c>
      <c r="I21" s="98">
        <v>2</v>
      </c>
      <c r="K21" s="38">
        <v>19</v>
      </c>
      <c r="L21" s="103">
        <v>138.79999999999998</v>
      </c>
      <c r="N21" s="119" t="s">
        <v>129</v>
      </c>
      <c r="O21" s="129">
        <f>IF(P21=0,0,Q21/P21)</f>
        <v>-9.189473684210526</v>
      </c>
      <c r="P21" s="123">
        <v>19</v>
      </c>
      <c r="Q21" s="111">
        <v>-174.6</v>
      </c>
    </row>
    <row r="22" spans="1:17" x14ac:dyDescent="0.4">
      <c r="A22" s="55" t="s">
        <v>200</v>
      </c>
      <c r="B22" s="47">
        <v>24</v>
      </c>
      <c r="C22" s="141">
        <v>3</v>
      </c>
      <c r="E22" s="63" t="s">
        <v>95</v>
      </c>
      <c r="F22" s="60" t="s">
        <v>49</v>
      </c>
      <c r="G22" s="47">
        <v>1</v>
      </c>
      <c r="H22" s="137">
        <f>IF(B$17=0,0,G22/B$17)</f>
        <v>1.3513513513513514E-2</v>
      </c>
      <c r="I22" s="98">
        <v>2</v>
      </c>
      <c r="K22" s="38">
        <v>20</v>
      </c>
      <c r="L22" s="103">
        <v>164.49999999999997</v>
      </c>
    </row>
    <row r="23" spans="1:17" x14ac:dyDescent="0.4">
      <c r="A23" s="55" t="s">
        <v>5</v>
      </c>
      <c r="B23" s="51">
        <f>IF(B$17=0,0,C23/B$17)</f>
        <v>9139.1891891891901</v>
      </c>
      <c r="C23" s="41">
        <v>676300</v>
      </c>
      <c r="E23" s="63" t="s">
        <v>186</v>
      </c>
      <c r="F23" s="60" t="s">
        <v>189</v>
      </c>
      <c r="G23" s="47">
        <v>1</v>
      </c>
      <c r="H23" s="137">
        <f>IF(B$17=0,0,G23/B$17)</f>
        <v>1.3513513513513514E-2</v>
      </c>
      <c r="I23" s="98">
        <v>1</v>
      </c>
      <c r="K23" s="38">
        <v>21</v>
      </c>
      <c r="L23" s="103">
        <v>204.09999999999997</v>
      </c>
    </row>
    <row r="24" spans="1:17" x14ac:dyDescent="0.4">
      <c r="A24" s="57" t="s">
        <v>14</v>
      </c>
      <c r="B24" s="52">
        <f>IF(B$20=0,0,C24/B$20)</f>
        <v>-7776.4705882352937</v>
      </c>
      <c r="C24" s="45">
        <v>-264400</v>
      </c>
      <c r="E24" s="63" t="s">
        <v>78</v>
      </c>
      <c r="F24" s="60" t="s">
        <v>32</v>
      </c>
      <c r="G24" s="47">
        <v>0</v>
      </c>
      <c r="H24" s="137">
        <f>IF(B$17=0,0,G24/B$17)</f>
        <v>0</v>
      </c>
      <c r="I24" s="98">
        <v>1</v>
      </c>
      <c r="K24" s="38">
        <v>22</v>
      </c>
      <c r="L24" s="103">
        <v>239.39999999999998</v>
      </c>
    </row>
    <row r="25" spans="1:17" x14ac:dyDescent="0.4">
      <c r="A25" s="94" t="s">
        <v>144</v>
      </c>
      <c r="B25" s="144">
        <v>5</v>
      </c>
      <c r="C25" s="145"/>
      <c r="E25" s="63" t="s">
        <v>79</v>
      </c>
      <c r="F25" s="60" t="s">
        <v>33</v>
      </c>
      <c r="G25" s="47">
        <v>0</v>
      </c>
      <c r="H25" s="137">
        <f>IF(B$17=0,0,G25/B$17)</f>
        <v>0</v>
      </c>
      <c r="I25" s="98">
        <v>3</v>
      </c>
      <c r="K25" s="38">
        <v>23</v>
      </c>
      <c r="L25" s="103">
        <v>245.49999999999997</v>
      </c>
    </row>
    <row r="26" spans="1:17" x14ac:dyDescent="0.4">
      <c r="A26" s="58" t="s">
        <v>155</v>
      </c>
      <c r="B26" s="142">
        <v>88600</v>
      </c>
      <c r="C26" s="143"/>
      <c r="E26" s="63" t="s">
        <v>82</v>
      </c>
      <c r="F26" s="60" t="s">
        <v>36</v>
      </c>
      <c r="G26" s="47">
        <v>0</v>
      </c>
      <c r="H26" s="137">
        <f>IF(B$17=0,0,G26/B$17)</f>
        <v>0</v>
      </c>
      <c r="I26" s="98">
        <v>1</v>
      </c>
      <c r="K26" s="38">
        <v>24</v>
      </c>
      <c r="L26" s="103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1.6877637130801686E-2</v>
      </c>
      <c r="E27" s="63" t="s">
        <v>83</v>
      </c>
      <c r="F27" s="60" t="s">
        <v>37</v>
      </c>
      <c r="G27" s="47">
        <v>0</v>
      </c>
      <c r="H27" s="137">
        <f>IF(B$17=0,0,G27/B$17)</f>
        <v>0</v>
      </c>
      <c r="I27" s="98">
        <v>1</v>
      </c>
      <c r="K27" s="38">
        <v>25</v>
      </c>
      <c r="L27" s="103">
        <v>245.59999999999997</v>
      </c>
    </row>
    <row r="28" spans="1:17" x14ac:dyDescent="0.4">
      <c r="E28" s="63" t="s">
        <v>85</v>
      </c>
      <c r="F28" s="60" t="s">
        <v>39</v>
      </c>
      <c r="G28" s="47">
        <v>0</v>
      </c>
      <c r="H28" s="137">
        <f>IF(B$17=0,0,G28/B$17)</f>
        <v>0</v>
      </c>
      <c r="I28" s="98">
        <v>1</v>
      </c>
      <c r="K28" s="38">
        <v>26</v>
      </c>
      <c r="L28" s="103">
        <v>237.69999999999996</v>
      </c>
    </row>
    <row r="29" spans="1:17" x14ac:dyDescent="0.4">
      <c r="E29" s="63" t="s">
        <v>87</v>
      </c>
      <c r="F29" s="60" t="s">
        <v>41</v>
      </c>
      <c r="G29" s="47">
        <v>0</v>
      </c>
      <c r="H29" s="137">
        <f>IF(B$17=0,0,G29/B$17)</f>
        <v>0</v>
      </c>
      <c r="I29" s="98">
        <v>1</v>
      </c>
      <c r="K29" s="38">
        <v>27</v>
      </c>
      <c r="L29" s="103">
        <v>236.69999999999996</v>
      </c>
    </row>
    <row r="30" spans="1:17" x14ac:dyDescent="0.4">
      <c r="E30" s="63" t="s">
        <v>88</v>
      </c>
      <c r="F30" s="60" t="s">
        <v>42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90</v>
      </c>
      <c r="F31" s="60" t="s">
        <v>44</v>
      </c>
      <c r="G31" s="47">
        <v>0</v>
      </c>
      <c r="H31" s="137">
        <f>IF(B$17=0,0,G31/B$17)</f>
        <v>0</v>
      </c>
      <c r="I31" s="98">
        <v>3</v>
      </c>
    </row>
    <row r="32" spans="1:17" x14ac:dyDescent="0.4">
      <c r="E32" s="63" t="s">
        <v>91</v>
      </c>
      <c r="F32" s="60" t="s">
        <v>45</v>
      </c>
      <c r="G32" s="47">
        <v>0</v>
      </c>
      <c r="H32" s="137">
        <f>IF(B$17=0,0,G32/B$17)</f>
        <v>0</v>
      </c>
      <c r="I32" s="98">
        <v>1</v>
      </c>
    </row>
    <row r="33" spans="5:9" x14ac:dyDescent="0.4">
      <c r="E33" s="63" t="s">
        <v>93</v>
      </c>
      <c r="F33" s="60" t="s">
        <v>47</v>
      </c>
      <c r="G33" s="47">
        <v>0</v>
      </c>
      <c r="H33" s="137">
        <f>IF(B$17=0,0,G33/B$17)</f>
        <v>0</v>
      </c>
      <c r="I33" s="98">
        <v>3</v>
      </c>
    </row>
    <row r="34" spans="5:9" x14ac:dyDescent="0.4">
      <c r="E34" s="63" t="s">
        <v>96</v>
      </c>
      <c r="F34" s="60" t="s">
        <v>50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7">
        <f>IF(B$17=0,0,G35/B$17)</f>
        <v>0</v>
      </c>
      <c r="I35" s="98">
        <v>1</v>
      </c>
    </row>
    <row r="36" spans="5:9" x14ac:dyDescent="0.4">
      <c r="E36" s="63" t="s">
        <v>98</v>
      </c>
      <c r="F36" s="60" t="s">
        <v>52</v>
      </c>
      <c r="G36" s="47">
        <v>0</v>
      </c>
      <c r="H36" s="137">
        <f>IF(B$17=0,0,G36/B$17)</f>
        <v>0</v>
      </c>
      <c r="I36" s="98">
        <v>3</v>
      </c>
    </row>
    <row r="37" spans="5:9" x14ac:dyDescent="0.4">
      <c r="E37" s="63" t="s">
        <v>99</v>
      </c>
      <c r="F37" s="60" t="s">
        <v>53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100</v>
      </c>
      <c r="F38" s="60" t="s">
        <v>54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101</v>
      </c>
      <c r="F39" s="60" t="s">
        <v>55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102</v>
      </c>
      <c r="F40" s="60" t="s">
        <v>56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103</v>
      </c>
      <c r="F41" s="60" t="s">
        <v>57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104</v>
      </c>
      <c r="F42" s="60" t="s">
        <v>58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105</v>
      </c>
      <c r="F43" s="60" t="s">
        <v>59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106</v>
      </c>
      <c r="F44" s="60" t="s">
        <v>60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107</v>
      </c>
      <c r="F45" s="60" t="s">
        <v>61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109</v>
      </c>
      <c r="F47" s="60" t="s">
        <v>116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110</v>
      </c>
      <c r="F48" s="60" t="s">
        <v>117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8">
        <f>IF(B$17=0,0,G52/B$17)</f>
        <v>0</v>
      </c>
      <c r="I52" s="99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D4A3D-C2A9-4235-A6DE-C431E944920D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131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13</v>
      </c>
      <c r="C2" s="151"/>
      <c r="E2" s="62" t="s">
        <v>68</v>
      </c>
      <c r="F2" s="59" t="s">
        <v>23</v>
      </c>
      <c r="G2" s="46">
        <v>29</v>
      </c>
      <c r="H2" s="136">
        <f>IF(B$17=0,0,G2/B$17)</f>
        <v>1.0740740740740742</v>
      </c>
      <c r="I2" s="97">
        <v>1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-4961.5384615384619</v>
      </c>
      <c r="P2" s="122">
        <v>13</v>
      </c>
      <c r="Q2" s="106">
        <v>-64500</v>
      </c>
    </row>
    <row r="3" spans="1:17" x14ac:dyDescent="0.4">
      <c r="A3" s="55" t="s">
        <v>8</v>
      </c>
      <c r="B3" s="152">
        <v>122</v>
      </c>
      <c r="C3" s="153"/>
      <c r="E3" s="63" t="s">
        <v>66</v>
      </c>
      <c r="F3" s="60" t="s">
        <v>21</v>
      </c>
      <c r="G3" s="47">
        <v>13</v>
      </c>
      <c r="H3" s="137">
        <f>IF(B$17=0,0,G3/B$17)</f>
        <v>0.48148148148148145</v>
      </c>
      <c r="I3" s="98">
        <v>4</v>
      </c>
      <c r="K3" s="38">
        <v>1</v>
      </c>
      <c r="L3" s="103">
        <v>-40.4</v>
      </c>
      <c r="N3" s="119" t="s">
        <v>135</v>
      </c>
      <c r="O3" s="126">
        <f t="shared" si="0"/>
        <v>-2661.5384615384614</v>
      </c>
      <c r="P3" s="123">
        <v>13</v>
      </c>
      <c r="Q3" s="107">
        <v>-34600</v>
      </c>
    </row>
    <row r="4" spans="1:17" x14ac:dyDescent="0.4">
      <c r="A4" s="55" t="s">
        <v>6</v>
      </c>
      <c r="B4" s="154">
        <v>-369.1</v>
      </c>
      <c r="C4" s="155"/>
      <c r="E4" s="63" t="s">
        <v>70</v>
      </c>
      <c r="F4" s="60" t="s">
        <v>12</v>
      </c>
      <c r="G4" s="47">
        <v>9</v>
      </c>
      <c r="H4" s="137">
        <f>IF(B$17=0,0,G4/B$17)</f>
        <v>0.33333333333333331</v>
      </c>
      <c r="I4" s="98">
        <v>2</v>
      </c>
      <c r="K4" s="38">
        <v>2</v>
      </c>
      <c r="L4" s="103">
        <v>-3.3999999999999986</v>
      </c>
      <c r="N4" s="119" t="s">
        <v>136</v>
      </c>
      <c r="O4" s="126">
        <f t="shared" si="0"/>
        <v>-5163.636363636364</v>
      </c>
      <c r="P4" s="123">
        <v>11</v>
      </c>
      <c r="Q4" s="107">
        <v>-56800</v>
      </c>
    </row>
    <row r="5" spans="1:17" x14ac:dyDescent="0.4">
      <c r="A5" s="55" t="s">
        <v>7</v>
      </c>
      <c r="B5" s="156">
        <f>IF(B$2=0,0,B$4/B$2)</f>
        <v>-28.392307692307693</v>
      </c>
      <c r="C5" s="157"/>
      <c r="E5" s="63" t="s">
        <v>69</v>
      </c>
      <c r="F5" s="60" t="s">
        <v>24</v>
      </c>
      <c r="G5" s="47">
        <v>8</v>
      </c>
      <c r="H5" s="137">
        <f>IF(B$17=0,0,G5/B$17)</f>
        <v>0.29629629629629628</v>
      </c>
      <c r="I5" s="98">
        <v>3</v>
      </c>
      <c r="K5" s="38">
        <v>3</v>
      </c>
      <c r="L5" s="103">
        <v>-23.099999999999998</v>
      </c>
      <c r="N5" s="119" t="s">
        <v>137</v>
      </c>
      <c r="O5" s="126">
        <f t="shared" si="0"/>
        <v>-3863.6363636363635</v>
      </c>
      <c r="P5" s="123">
        <v>11</v>
      </c>
      <c r="Q5" s="107">
        <v>-42500</v>
      </c>
    </row>
    <row r="6" spans="1:17" x14ac:dyDescent="0.4">
      <c r="A6" s="55" t="s">
        <v>1</v>
      </c>
      <c r="B6" s="146">
        <f>IF(B$2=0,0,(B$7*1+B$8*2+B$9*3)/B$2)</f>
        <v>2.4615384615384617</v>
      </c>
      <c r="C6" s="147"/>
      <c r="E6" s="63" t="s">
        <v>74</v>
      </c>
      <c r="F6" s="60" t="s">
        <v>28</v>
      </c>
      <c r="G6" s="47">
        <v>8</v>
      </c>
      <c r="H6" s="137">
        <f>IF(B$17=0,0,G6/B$17)</f>
        <v>0.29629629629629628</v>
      </c>
      <c r="I6" s="98">
        <v>10</v>
      </c>
      <c r="K6" s="38">
        <v>4</v>
      </c>
      <c r="L6" s="103">
        <v>-31.4</v>
      </c>
      <c r="N6" s="119" t="s">
        <v>138</v>
      </c>
      <c r="O6" s="126">
        <f t="shared" si="0"/>
        <v>-3154.5454545454545</v>
      </c>
      <c r="P6" s="123">
        <v>11</v>
      </c>
      <c r="Q6" s="107">
        <v>-34700</v>
      </c>
    </row>
    <row r="7" spans="1:17" x14ac:dyDescent="0.4">
      <c r="A7" s="55" t="s">
        <v>2</v>
      </c>
      <c r="B7" s="47">
        <v>2</v>
      </c>
      <c r="C7" s="39">
        <f>IF(B$2=0,0,B7/B$2)</f>
        <v>0.15384615384615385</v>
      </c>
      <c r="E7" s="63" t="s">
        <v>187</v>
      </c>
      <c r="F7" s="60" t="s">
        <v>188</v>
      </c>
      <c r="G7" s="47">
        <v>8</v>
      </c>
      <c r="H7" s="137">
        <f>IF(B$17=0,0,G7/B$17)</f>
        <v>0.29629629629629628</v>
      </c>
      <c r="I7" s="98">
        <v>9</v>
      </c>
      <c r="K7" s="38">
        <v>5</v>
      </c>
      <c r="L7" s="103">
        <v>-32.199999999999996</v>
      </c>
      <c r="N7" s="120" t="s">
        <v>139</v>
      </c>
      <c r="O7" s="127">
        <f t="shared" si="0"/>
        <v>-1454.5454545454545</v>
      </c>
      <c r="P7" s="124">
        <v>11</v>
      </c>
      <c r="Q7" s="108">
        <v>-16000</v>
      </c>
    </row>
    <row r="8" spans="1:17" x14ac:dyDescent="0.4">
      <c r="A8" s="55" t="s">
        <v>3</v>
      </c>
      <c r="B8" s="47">
        <v>3</v>
      </c>
      <c r="C8" s="39">
        <f>IF(B$2=0,0,B8/B$2)</f>
        <v>0.23076923076923078</v>
      </c>
      <c r="E8" s="63" t="s">
        <v>72</v>
      </c>
      <c r="F8" s="60" t="s">
        <v>26</v>
      </c>
      <c r="G8" s="47">
        <v>4</v>
      </c>
      <c r="H8" s="137">
        <f>IF(B$17=0,0,G8/B$17)</f>
        <v>0.14814814814814814</v>
      </c>
      <c r="I8" s="98">
        <v>1</v>
      </c>
      <c r="K8" s="38">
        <v>6</v>
      </c>
      <c r="L8" s="103">
        <v>-58.5</v>
      </c>
      <c r="N8" s="43"/>
      <c r="O8" s="131"/>
      <c r="P8" s="115"/>
      <c r="Q8" s="113"/>
    </row>
    <row r="9" spans="1:17" x14ac:dyDescent="0.4">
      <c r="A9" s="56" t="s">
        <v>4</v>
      </c>
      <c r="B9" s="48">
        <v>8</v>
      </c>
      <c r="C9" s="40">
        <f t="shared" ref="C9" si="1">IF(B$2=0,0,B9/B$2)</f>
        <v>0.61538461538461542</v>
      </c>
      <c r="E9" s="63" t="s">
        <v>73</v>
      </c>
      <c r="F9" s="60" t="s">
        <v>27</v>
      </c>
      <c r="G9" s="47">
        <v>4</v>
      </c>
      <c r="H9" s="137">
        <f>IF(B$17=0,0,G9/B$17)</f>
        <v>0.14814814814814814</v>
      </c>
      <c r="I9" s="98">
        <v>2</v>
      </c>
      <c r="K9" s="38">
        <v>7</v>
      </c>
      <c r="L9" s="103">
        <v>-116.8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3</v>
      </c>
      <c r="C10" s="40">
        <f>IF(B$2=0,0,B10/B$2)</f>
        <v>0.23076923076923078</v>
      </c>
      <c r="E10" s="63" t="s">
        <v>92</v>
      </c>
      <c r="F10" s="60" t="s">
        <v>46</v>
      </c>
      <c r="G10" s="47">
        <v>4</v>
      </c>
      <c r="H10" s="137">
        <f>IF(B$17=0,0,G10/B$17)</f>
        <v>0.14814814814814814</v>
      </c>
      <c r="I10" s="98">
        <v>7</v>
      </c>
      <c r="K10" s="38">
        <v>8</v>
      </c>
      <c r="L10" s="103">
        <v>-79.599999999999994</v>
      </c>
      <c r="N10" s="118" t="s">
        <v>170</v>
      </c>
      <c r="O10" s="128">
        <f>IF(P10=0,0,Q10/P10)</f>
        <v>-30.919999999999998</v>
      </c>
      <c r="P10" s="122">
        <v>5</v>
      </c>
      <c r="Q10" s="110">
        <v>-154.6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71</v>
      </c>
      <c r="F11" s="60" t="s">
        <v>25</v>
      </c>
      <c r="G11" s="47">
        <v>3</v>
      </c>
      <c r="H11" s="137">
        <f>IF(B$17=0,0,G11/B$17)</f>
        <v>0.1111111111111111</v>
      </c>
      <c r="I11" s="98">
        <v>8</v>
      </c>
      <c r="K11" s="38">
        <v>9</v>
      </c>
      <c r="L11" s="103">
        <v>-127.6</v>
      </c>
      <c r="N11" s="119" t="s">
        <v>171</v>
      </c>
      <c r="O11" s="129">
        <f>IF(P11=0,0,Q11/P11)</f>
        <v>-38.975000000000001</v>
      </c>
      <c r="P11" s="123">
        <v>4</v>
      </c>
      <c r="Q11" s="111">
        <v>-155.9</v>
      </c>
    </row>
    <row r="12" spans="1:17" x14ac:dyDescent="0.4">
      <c r="A12" s="57" t="s">
        <v>163</v>
      </c>
      <c r="B12" s="49">
        <v>1</v>
      </c>
      <c r="C12" s="42">
        <f>IF(B$2=0,0,B12/B$2)</f>
        <v>7.6923076923076927E-2</v>
      </c>
      <c r="E12" s="63" t="s">
        <v>89</v>
      </c>
      <c r="F12" s="60" t="s">
        <v>43</v>
      </c>
      <c r="G12" s="47">
        <v>2</v>
      </c>
      <c r="H12" s="137">
        <f>IF(B$17=0,0,G12/B$17)</f>
        <v>7.407407407407407E-2</v>
      </c>
      <c r="I12" s="98">
        <v>2</v>
      </c>
      <c r="K12" s="38">
        <v>10</v>
      </c>
      <c r="L12" s="103">
        <v>-231.39999999999998</v>
      </c>
      <c r="N12" s="120" t="s">
        <v>172</v>
      </c>
      <c r="O12" s="130">
        <f>IF(P12=0,0,Q12/P12)</f>
        <v>-14.649999999999999</v>
      </c>
      <c r="P12" s="124">
        <v>4</v>
      </c>
      <c r="Q12" s="112">
        <v>-58.599999999999994</v>
      </c>
    </row>
    <row r="13" spans="1:17" x14ac:dyDescent="0.4">
      <c r="A13" s="58" t="s">
        <v>124</v>
      </c>
      <c r="B13" s="50">
        <v>28</v>
      </c>
      <c r="C13" s="44">
        <f>IF(B$3=0,0,B13/B$3)</f>
        <v>0.22950819672131148</v>
      </c>
      <c r="E13" s="63" t="s">
        <v>67</v>
      </c>
      <c r="F13" s="60" t="s">
        <v>22</v>
      </c>
      <c r="G13" s="47">
        <v>1</v>
      </c>
      <c r="H13" s="137">
        <f>IF(B$17=0,0,G13/B$17)</f>
        <v>3.7037037037037035E-2</v>
      </c>
      <c r="I13" s="98">
        <v>7</v>
      </c>
      <c r="K13" s="38">
        <v>11</v>
      </c>
      <c r="L13" s="103">
        <v>-305.89999999999998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12</v>
      </c>
      <c r="C14" s="39">
        <f>IF(B$3=0,0,B14/B$3)</f>
        <v>9.8360655737704916E-2</v>
      </c>
      <c r="E14" s="63" t="s">
        <v>80</v>
      </c>
      <c r="F14" s="60" t="s">
        <v>34</v>
      </c>
      <c r="G14" s="47">
        <v>1</v>
      </c>
      <c r="H14" s="137">
        <f>IF(B$17=0,0,G14/B$17)</f>
        <v>3.7037037037037035E-2</v>
      </c>
      <c r="I14" s="98">
        <v>1</v>
      </c>
      <c r="K14" s="38">
        <v>12</v>
      </c>
      <c r="L14" s="103">
        <v>-337.5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14</v>
      </c>
      <c r="C15" s="37">
        <f>IF(B$13=0,0,B15/B$13)</f>
        <v>0.5</v>
      </c>
      <c r="E15" s="63" t="s">
        <v>86</v>
      </c>
      <c r="F15" s="60" t="s">
        <v>40</v>
      </c>
      <c r="G15" s="47">
        <v>1</v>
      </c>
      <c r="H15" s="137">
        <f>IF(B$17=0,0,G15/B$17)</f>
        <v>3.7037037037037035E-2</v>
      </c>
      <c r="I15" s="98">
        <v>7</v>
      </c>
      <c r="K15" s="38">
        <v>13</v>
      </c>
      <c r="L15" s="103">
        <v>-369.1</v>
      </c>
      <c r="N15" s="118" t="s">
        <v>130</v>
      </c>
      <c r="O15" s="128">
        <f>IF(P15=0,0,Q15/P15)</f>
        <v>-9.7625000000000028</v>
      </c>
      <c r="P15" s="122">
        <v>8</v>
      </c>
      <c r="Q15" s="110">
        <v>-78.100000000000023</v>
      </c>
    </row>
    <row r="16" spans="1:17" x14ac:dyDescent="0.4">
      <c r="A16" s="54" t="s">
        <v>127</v>
      </c>
      <c r="B16" s="46">
        <v>4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IF(B$17=0,0,G16/B$17)</f>
        <v>0</v>
      </c>
      <c r="I16" s="98">
        <v>4</v>
      </c>
      <c r="N16" s="119" t="s">
        <v>179</v>
      </c>
      <c r="O16" s="129">
        <f>IF(P16=0,0,Q16/P16)</f>
        <v>-13.166666666666666</v>
      </c>
      <c r="P16" s="123">
        <v>3</v>
      </c>
      <c r="Q16" s="111">
        <v>-39.5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76</v>
      </c>
      <c r="F17" s="60" t="s">
        <v>30</v>
      </c>
      <c r="G17" s="47">
        <v>0</v>
      </c>
      <c r="H17" s="137">
        <f>IF(B$17=0,0,G17/B$17)</f>
        <v>0</v>
      </c>
      <c r="I17" s="98">
        <v>3</v>
      </c>
      <c r="N17" s="119" t="s">
        <v>129</v>
      </c>
      <c r="O17" s="129">
        <f>IF(P17=0,0,Q17/P17)</f>
        <v>-51.81111111111111</v>
      </c>
      <c r="P17" s="123">
        <v>9</v>
      </c>
      <c r="Q17" s="111">
        <v>-466.3</v>
      </c>
    </row>
    <row r="18" spans="1:17" x14ac:dyDescent="0.4">
      <c r="A18" s="55" t="s">
        <v>12</v>
      </c>
      <c r="B18" s="47">
        <v>11</v>
      </c>
      <c r="C18" s="39">
        <f>IF(B$17=0,0,B18/B$17)</f>
        <v>0.40740740740740738</v>
      </c>
      <c r="E18" s="63" t="s">
        <v>77</v>
      </c>
      <c r="F18" s="60" t="s">
        <v>31</v>
      </c>
      <c r="G18" s="47">
        <v>0</v>
      </c>
      <c r="H18" s="137">
        <f>IF(B$17=0,0,G18/B$17)</f>
        <v>0</v>
      </c>
      <c r="I18" s="98">
        <v>5</v>
      </c>
      <c r="N18" s="119" t="s">
        <v>178</v>
      </c>
      <c r="O18" s="129">
        <f>IF(P18=0,0,Q18/P18)</f>
        <v>-67.8</v>
      </c>
      <c r="P18" s="123">
        <v>1</v>
      </c>
      <c r="Q18" s="111">
        <v>-67.8</v>
      </c>
    </row>
    <row r="19" spans="1:17" x14ac:dyDescent="0.4">
      <c r="A19" s="55" t="s">
        <v>11</v>
      </c>
      <c r="B19" s="47">
        <v>16</v>
      </c>
      <c r="C19" s="39">
        <f>IF(B$17=0,0,B19/B$17)</f>
        <v>0.59259259259259256</v>
      </c>
      <c r="E19" s="63" t="s">
        <v>78</v>
      </c>
      <c r="F19" s="60" t="s">
        <v>32</v>
      </c>
      <c r="G19" s="47">
        <v>0</v>
      </c>
      <c r="H19" s="137">
        <f>IF(B$17=0,0,G19/B$17)</f>
        <v>0</v>
      </c>
      <c r="I19" s="98">
        <v>1</v>
      </c>
      <c r="N19" s="119" t="s">
        <v>192</v>
      </c>
      <c r="O19" s="129">
        <f>IF(P19=0,0,Q19/P19)</f>
        <v>-72.3</v>
      </c>
      <c r="P19" s="123">
        <v>1</v>
      </c>
      <c r="Q19" s="111">
        <v>-72.3</v>
      </c>
    </row>
    <row r="20" spans="1:17" x14ac:dyDescent="0.4">
      <c r="A20" s="55" t="s">
        <v>13</v>
      </c>
      <c r="B20" s="47">
        <v>26</v>
      </c>
      <c r="C20" s="39">
        <f>IF(B$3=0,0,B20/B$3)</f>
        <v>0.21311475409836064</v>
      </c>
      <c r="E20" s="63" t="s">
        <v>79</v>
      </c>
      <c r="F20" s="60" t="s">
        <v>33</v>
      </c>
      <c r="G20" s="47">
        <v>0</v>
      </c>
      <c r="H20" s="137">
        <f>IF(B$17=0,0,G20/B$17)</f>
        <v>0</v>
      </c>
      <c r="I20" s="98">
        <v>3</v>
      </c>
      <c r="N20" s="119" t="s">
        <v>177</v>
      </c>
      <c r="O20" s="129">
        <f>IF(P20=0,0,Q20/P20)</f>
        <v>-95.825000000000003</v>
      </c>
      <c r="P20" s="123">
        <v>4</v>
      </c>
      <c r="Q20" s="111">
        <v>-383.3</v>
      </c>
    </row>
    <row r="21" spans="1:17" x14ac:dyDescent="0.4">
      <c r="A21" s="55" t="s">
        <v>199</v>
      </c>
      <c r="B21" s="47">
        <v>4</v>
      </c>
      <c r="C21" s="141">
        <v>0</v>
      </c>
      <c r="E21" s="63" t="s">
        <v>81</v>
      </c>
      <c r="F21" s="60" t="s">
        <v>35</v>
      </c>
      <c r="G21" s="47">
        <v>0</v>
      </c>
      <c r="H21" s="137">
        <f>IF(B$17=0,0,G21/B$17)</f>
        <v>0</v>
      </c>
      <c r="I21" s="98">
        <v>4</v>
      </c>
    </row>
    <row r="22" spans="1:17" x14ac:dyDescent="0.4">
      <c r="A22" s="55" t="s">
        <v>200</v>
      </c>
      <c r="B22" s="47">
        <v>19</v>
      </c>
      <c r="C22" s="141">
        <v>1</v>
      </c>
      <c r="E22" s="63" t="s">
        <v>82</v>
      </c>
      <c r="F22" s="60" t="s">
        <v>36</v>
      </c>
      <c r="G22" s="47">
        <v>0</v>
      </c>
      <c r="H22" s="137">
        <f>IF(B$17=0,0,G22/B$17)</f>
        <v>0</v>
      </c>
      <c r="I22" s="98">
        <v>1</v>
      </c>
    </row>
    <row r="23" spans="1:17" x14ac:dyDescent="0.4">
      <c r="A23" s="55" t="s">
        <v>5</v>
      </c>
      <c r="B23" s="51">
        <f>IF(B$17=0,0,C23/B$17)</f>
        <v>7314.8148148148148</v>
      </c>
      <c r="C23" s="41">
        <v>197500</v>
      </c>
      <c r="E23" s="63" t="s">
        <v>83</v>
      </c>
      <c r="F23" s="60" t="s">
        <v>37</v>
      </c>
      <c r="G23" s="47">
        <v>0</v>
      </c>
      <c r="H23" s="137">
        <f>IF(B$17=0,0,G23/B$17)</f>
        <v>0</v>
      </c>
      <c r="I23" s="98">
        <v>1</v>
      </c>
    </row>
    <row r="24" spans="1:17" x14ac:dyDescent="0.4">
      <c r="A24" s="57" t="s">
        <v>14</v>
      </c>
      <c r="B24" s="52">
        <f>IF(B$20=0,0,C24/B$20)</f>
        <v>-9950</v>
      </c>
      <c r="C24" s="45">
        <v>-258700</v>
      </c>
      <c r="E24" s="63" t="s">
        <v>84</v>
      </c>
      <c r="F24" s="60" t="s">
        <v>38</v>
      </c>
      <c r="G24" s="47">
        <v>0</v>
      </c>
      <c r="H24" s="137">
        <f>IF(B$17=0,0,G24/B$17)</f>
        <v>0</v>
      </c>
      <c r="I24" s="98">
        <v>7</v>
      </c>
    </row>
    <row r="25" spans="1:17" x14ac:dyDescent="0.4">
      <c r="A25" s="94" t="s">
        <v>144</v>
      </c>
      <c r="B25" s="144">
        <v>7</v>
      </c>
      <c r="C25" s="145"/>
      <c r="E25" s="63" t="s">
        <v>85</v>
      </c>
      <c r="F25" s="60" t="s">
        <v>39</v>
      </c>
      <c r="G25" s="47">
        <v>0</v>
      </c>
      <c r="H25" s="137">
        <f>IF(B$17=0,0,G25/B$17)</f>
        <v>0</v>
      </c>
      <c r="I25" s="98">
        <v>1</v>
      </c>
    </row>
    <row r="26" spans="1:17" x14ac:dyDescent="0.4">
      <c r="A26" s="58" t="s">
        <v>155</v>
      </c>
      <c r="B26" s="142">
        <v>52200</v>
      </c>
      <c r="C26" s="143"/>
      <c r="E26" s="63" t="s">
        <v>87</v>
      </c>
      <c r="F26" s="60" t="s">
        <v>41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7">
        <f>IF(B$17=0,0,G27/B$17)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IF(B$17=0,0,G31/B$17)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A56A6-CAC7-46E0-8B3A-B8D768B82A51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21</v>
      </c>
      <c r="C2" s="151"/>
      <c r="E2" s="62" t="s">
        <v>68</v>
      </c>
      <c r="F2" s="59" t="s">
        <v>23</v>
      </c>
      <c r="G2" s="46">
        <v>29</v>
      </c>
      <c r="H2" s="136">
        <f>IF(B$17=0,0,G2/B$17)</f>
        <v>0.59183673469387754</v>
      </c>
      <c r="I2" s="97">
        <v>8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600</v>
      </c>
      <c r="P2" s="122">
        <v>21</v>
      </c>
      <c r="Q2" s="106">
        <v>12600</v>
      </c>
    </row>
    <row r="3" spans="1:17" x14ac:dyDescent="0.4">
      <c r="A3" s="55" t="s">
        <v>8</v>
      </c>
      <c r="B3" s="152">
        <v>188</v>
      </c>
      <c r="C3" s="153"/>
      <c r="E3" s="63" t="s">
        <v>74</v>
      </c>
      <c r="F3" s="60" t="s">
        <v>28</v>
      </c>
      <c r="G3" s="47">
        <v>29</v>
      </c>
      <c r="H3" s="137">
        <f>IF(B$17=0,0,G3/B$17)</f>
        <v>0.59183673469387754</v>
      </c>
      <c r="I3" s="98">
        <v>5</v>
      </c>
      <c r="K3" s="38">
        <v>1</v>
      </c>
      <c r="L3" s="103">
        <v>-51.2</v>
      </c>
      <c r="N3" s="119" t="s">
        <v>135</v>
      </c>
      <c r="O3" s="126">
        <f t="shared" si="0"/>
        <v>1685.7142857142858</v>
      </c>
      <c r="P3" s="123">
        <v>21</v>
      </c>
      <c r="Q3" s="107">
        <v>35400</v>
      </c>
    </row>
    <row r="4" spans="1:17" x14ac:dyDescent="0.4">
      <c r="A4" s="55" t="s">
        <v>6</v>
      </c>
      <c r="B4" s="154">
        <v>-3.0999999999999917</v>
      </c>
      <c r="C4" s="155"/>
      <c r="E4" s="63" t="s">
        <v>66</v>
      </c>
      <c r="F4" s="60" t="s">
        <v>21</v>
      </c>
      <c r="G4" s="47">
        <v>23</v>
      </c>
      <c r="H4" s="137">
        <f>IF(B$17=0,0,G4/B$17)</f>
        <v>0.46938775510204084</v>
      </c>
      <c r="I4" s="98">
        <v>6</v>
      </c>
      <c r="K4" s="38">
        <v>2</v>
      </c>
      <c r="L4" s="103">
        <v>-93.300000000000011</v>
      </c>
      <c r="N4" s="119" t="s">
        <v>136</v>
      </c>
      <c r="O4" s="126">
        <f t="shared" si="0"/>
        <v>510</v>
      </c>
      <c r="P4" s="123">
        <v>20</v>
      </c>
      <c r="Q4" s="107">
        <v>10200</v>
      </c>
    </row>
    <row r="5" spans="1:17" x14ac:dyDescent="0.4">
      <c r="A5" s="55" t="s">
        <v>7</v>
      </c>
      <c r="B5" s="156">
        <f>IF(B$2=0,0,B$4/B$2)</f>
        <v>-0.14761904761904723</v>
      </c>
      <c r="C5" s="157"/>
      <c r="E5" s="63" t="s">
        <v>187</v>
      </c>
      <c r="F5" s="60" t="s">
        <v>188</v>
      </c>
      <c r="G5" s="47">
        <v>15</v>
      </c>
      <c r="H5" s="137">
        <f>IF(B$17=0,0,G5/B$17)</f>
        <v>0.30612244897959184</v>
      </c>
      <c r="I5" s="98">
        <v>6</v>
      </c>
      <c r="K5" s="38">
        <v>3</v>
      </c>
      <c r="L5" s="103">
        <v>-60.100000000000009</v>
      </c>
      <c r="N5" s="119" t="s">
        <v>137</v>
      </c>
      <c r="O5" s="126">
        <f t="shared" si="0"/>
        <v>-4121.0526315789475</v>
      </c>
      <c r="P5" s="123">
        <v>19</v>
      </c>
      <c r="Q5" s="107">
        <v>-78300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71</v>
      </c>
      <c r="F6" s="60" t="s">
        <v>25</v>
      </c>
      <c r="G6" s="47">
        <v>11</v>
      </c>
      <c r="H6" s="137">
        <f>IF(B$17=0,0,G6/B$17)</f>
        <v>0.22448979591836735</v>
      </c>
      <c r="I6" s="98">
        <v>2</v>
      </c>
      <c r="K6" s="38">
        <v>4</v>
      </c>
      <c r="L6" s="103">
        <v>-11.300000000000011</v>
      </c>
      <c r="N6" s="119" t="s">
        <v>138</v>
      </c>
      <c r="O6" s="126">
        <f t="shared" si="0"/>
        <v>594.11764705882354</v>
      </c>
      <c r="P6" s="123">
        <v>17</v>
      </c>
      <c r="Q6" s="107">
        <v>10100</v>
      </c>
    </row>
    <row r="7" spans="1:17" x14ac:dyDescent="0.4">
      <c r="A7" s="55" t="s">
        <v>2</v>
      </c>
      <c r="B7" s="47">
        <v>7</v>
      </c>
      <c r="C7" s="39">
        <f>IF(B$2=0,0,B7/B$2)</f>
        <v>0.33333333333333331</v>
      </c>
      <c r="E7" s="63" t="s">
        <v>70</v>
      </c>
      <c r="F7" s="60" t="s">
        <v>12</v>
      </c>
      <c r="G7" s="47">
        <v>9</v>
      </c>
      <c r="H7" s="137">
        <f>IF(B$17=0,0,G7/B$17)</f>
        <v>0.18367346938775511</v>
      </c>
      <c r="I7" s="98">
        <v>9</v>
      </c>
      <c r="K7" s="38">
        <v>5</v>
      </c>
      <c r="L7" s="103">
        <v>-36.100000000000009</v>
      </c>
      <c r="N7" s="120" t="s">
        <v>139</v>
      </c>
      <c r="O7" s="127">
        <f t="shared" si="0"/>
        <v>993.33333333333337</v>
      </c>
      <c r="P7" s="124">
        <v>15</v>
      </c>
      <c r="Q7" s="108">
        <v>14900</v>
      </c>
    </row>
    <row r="8" spans="1:17" x14ac:dyDescent="0.4">
      <c r="A8" s="55" t="s">
        <v>3</v>
      </c>
      <c r="B8" s="47">
        <v>7</v>
      </c>
      <c r="C8" s="39">
        <f>IF(B$2=0,0,B8/B$2)</f>
        <v>0.33333333333333331</v>
      </c>
      <c r="E8" s="63" t="s">
        <v>92</v>
      </c>
      <c r="F8" s="60" t="s">
        <v>46</v>
      </c>
      <c r="G8" s="47">
        <v>9</v>
      </c>
      <c r="H8" s="137">
        <f>IF(B$17=0,0,G8/B$17)</f>
        <v>0.18367346938775511</v>
      </c>
      <c r="I8" s="98">
        <v>4</v>
      </c>
      <c r="K8" s="38">
        <v>6</v>
      </c>
      <c r="L8" s="103">
        <v>9.0999999999999943</v>
      </c>
      <c r="N8" s="43"/>
      <c r="O8" s="131"/>
      <c r="P8" s="115"/>
      <c r="Q8" s="113"/>
    </row>
    <row r="9" spans="1:17" x14ac:dyDescent="0.4">
      <c r="A9" s="56" t="s">
        <v>4</v>
      </c>
      <c r="B9" s="48">
        <v>7</v>
      </c>
      <c r="C9" s="40">
        <f t="shared" ref="C9" si="1">IF(B$2=0,0,B9/B$2)</f>
        <v>0.33333333333333331</v>
      </c>
      <c r="E9" s="63" t="s">
        <v>69</v>
      </c>
      <c r="F9" s="60" t="s">
        <v>24</v>
      </c>
      <c r="G9" s="47">
        <v>8</v>
      </c>
      <c r="H9" s="137">
        <f>IF(B$17=0,0,G9/B$17)</f>
        <v>0.16326530612244897</v>
      </c>
      <c r="I9" s="98">
        <v>7</v>
      </c>
      <c r="K9" s="38">
        <v>7</v>
      </c>
      <c r="L9" s="103">
        <v>-51.300000000000004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1</v>
      </c>
      <c r="C10" s="40">
        <f>IF(B$2=0,0,B10/B$2)</f>
        <v>4.7619047619047616E-2</v>
      </c>
      <c r="E10" s="63" t="s">
        <v>67</v>
      </c>
      <c r="F10" s="60" t="s">
        <v>22</v>
      </c>
      <c r="G10" s="47">
        <v>6</v>
      </c>
      <c r="H10" s="137">
        <f>IF(B$17=0,0,G10/B$17)</f>
        <v>0.12244897959183673</v>
      </c>
      <c r="I10" s="98">
        <v>3</v>
      </c>
      <c r="K10" s="38">
        <v>8</v>
      </c>
      <c r="L10" s="103">
        <v>-1.7000000000000028</v>
      </c>
      <c r="N10" s="118" t="s">
        <v>170</v>
      </c>
      <c r="O10" s="128">
        <f>IF(P10=0,0,Q10/P10)</f>
        <v>1.2285714285714278</v>
      </c>
      <c r="P10" s="122">
        <v>7</v>
      </c>
      <c r="Q10" s="110">
        <v>8.5999999999999943</v>
      </c>
    </row>
    <row r="11" spans="1:17" x14ac:dyDescent="0.4">
      <c r="A11" s="56" t="s">
        <v>142</v>
      </c>
      <c r="B11" s="48">
        <v>2</v>
      </c>
      <c r="C11" s="40">
        <f>IF(B$2=0,0,B11/B$2)</f>
        <v>9.5238095238095233E-2</v>
      </c>
      <c r="E11" s="63" t="s">
        <v>72</v>
      </c>
      <c r="F11" s="60" t="s">
        <v>26</v>
      </c>
      <c r="G11" s="47">
        <v>6</v>
      </c>
      <c r="H11" s="137">
        <f>IF(B$17=0,0,G11/B$17)</f>
        <v>0.12244897959183673</v>
      </c>
      <c r="I11" s="98">
        <v>4</v>
      </c>
      <c r="K11" s="38">
        <v>9</v>
      </c>
      <c r="L11" s="103">
        <v>-5.8000000000000025</v>
      </c>
      <c r="N11" s="119" t="s">
        <v>171</v>
      </c>
      <c r="O11" s="129">
        <f>IF(P11=0,0,Q11/P11)</f>
        <v>12.55</v>
      </c>
      <c r="P11" s="123">
        <v>4</v>
      </c>
      <c r="Q11" s="111">
        <v>50.2</v>
      </c>
    </row>
    <row r="12" spans="1:17" x14ac:dyDescent="0.4">
      <c r="A12" s="57" t="s">
        <v>163</v>
      </c>
      <c r="B12" s="49">
        <v>2</v>
      </c>
      <c r="C12" s="42">
        <f>IF(B$2=0,0,B12/B$2)</f>
        <v>9.5238095238095233E-2</v>
      </c>
      <c r="E12" s="63" t="s">
        <v>73</v>
      </c>
      <c r="F12" s="60" t="s">
        <v>27</v>
      </c>
      <c r="G12" s="47">
        <v>5</v>
      </c>
      <c r="H12" s="137">
        <f>IF(B$17=0,0,G12/B$17)</f>
        <v>0.10204081632653061</v>
      </c>
      <c r="I12" s="98">
        <v>3</v>
      </c>
      <c r="K12" s="38">
        <v>10</v>
      </c>
      <c r="L12" s="103">
        <v>-56.500000000000007</v>
      </c>
      <c r="N12" s="120" t="s">
        <v>172</v>
      </c>
      <c r="O12" s="130">
        <f>IF(P12=0,0,Q12/P12)</f>
        <v>-6.1899999999999995</v>
      </c>
      <c r="P12" s="124">
        <v>10</v>
      </c>
      <c r="Q12" s="112">
        <v>-61.9</v>
      </c>
    </row>
    <row r="13" spans="1:17" x14ac:dyDescent="0.4">
      <c r="A13" s="58" t="s">
        <v>124</v>
      </c>
      <c r="B13" s="50">
        <v>46</v>
      </c>
      <c r="C13" s="44">
        <f>IF(B$3=0,0,B13/B$3)</f>
        <v>0.24468085106382978</v>
      </c>
      <c r="E13" s="63" t="s">
        <v>86</v>
      </c>
      <c r="F13" s="60" t="s">
        <v>40</v>
      </c>
      <c r="G13" s="47">
        <v>4</v>
      </c>
      <c r="H13" s="137">
        <f>IF(B$17=0,0,G13/B$17)</f>
        <v>8.1632653061224483E-2</v>
      </c>
      <c r="I13" s="98">
        <v>1</v>
      </c>
      <c r="K13" s="38">
        <v>11</v>
      </c>
      <c r="L13" s="103">
        <v>-27.600000000000009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39</v>
      </c>
      <c r="C14" s="39">
        <f>IF(B$3=0,0,B14/B$3)</f>
        <v>0.20744680851063829</v>
      </c>
      <c r="E14" s="63" t="s">
        <v>89</v>
      </c>
      <c r="F14" s="60" t="s">
        <v>43</v>
      </c>
      <c r="G14" s="47">
        <v>3</v>
      </c>
      <c r="H14" s="137">
        <f>IF(B$17=0,0,G14/B$17)</f>
        <v>6.1224489795918366E-2</v>
      </c>
      <c r="I14" s="98">
        <v>4</v>
      </c>
      <c r="K14" s="38">
        <v>12</v>
      </c>
      <c r="L14" s="103">
        <v>-42.900000000000006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24</v>
      </c>
      <c r="C15" s="37">
        <f>IF(B$13=0,0,B15/B$13)</f>
        <v>0.52173913043478259</v>
      </c>
      <c r="E15" s="63" t="s">
        <v>77</v>
      </c>
      <c r="F15" s="60" t="s">
        <v>31</v>
      </c>
      <c r="G15" s="47">
        <v>1</v>
      </c>
      <c r="H15" s="137">
        <f>IF(B$17=0,0,G15/B$17)</f>
        <v>2.0408163265306121E-2</v>
      </c>
      <c r="I15" s="98">
        <v>2</v>
      </c>
      <c r="K15" s="38">
        <v>13</v>
      </c>
      <c r="L15" s="103">
        <v>-58.7</v>
      </c>
      <c r="N15" s="118" t="s">
        <v>131</v>
      </c>
      <c r="O15" s="128">
        <f>IF(P15=0,0,Q15/P15)</f>
        <v>95.825000000000003</v>
      </c>
      <c r="P15" s="122">
        <v>4</v>
      </c>
      <c r="Q15" s="110">
        <v>383.3</v>
      </c>
    </row>
    <row r="16" spans="1:17" x14ac:dyDescent="0.4">
      <c r="A16" s="54" t="s">
        <v>127</v>
      </c>
      <c r="B16" s="46">
        <v>14</v>
      </c>
      <c r="C16" s="37">
        <f>IF(B$14=0,0,B16/B$14)</f>
        <v>0.35897435897435898</v>
      </c>
      <c r="E16" s="63" t="s">
        <v>80</v>
      </c>
      <c r="F16" s="60" t="s">
        <v>34</v>
      </c>
      <c r="G16" s="47">
        <v>1</v>
      </c>
      <c r="H16" s="137">
        <f>IF(B$17=0,0,G16/B$17)</f>
        <v>2.0408163265306121E-2</v>
      </c>
      <c r="I16" s="98">
        <v>3</v>
      </c>
      <c r="K16" s="38">
        <v>14</v>
      </c>
      <c r="L16" s="103">
        <v>-29.400000000000002</v>
      </c>
      <c r="N16" s="119" t="s">
        <v>183</v>
      </c>
      <c r="O16" s="129">
        <f>IF(P16=0,0,Q16/P16)</f>
        <v>35.1</v>
      </c>
      <c r="P16" s="123">
        <v>1</v>
      </c>
      <c r="Q16" s="111">
        <v>35.1</v>
      </c>
    </row>
    <row r="17" spans="1:17" x14ac:dyDescent="0.4">
      <c r="A17" s="54" t="s">
        <v>10</v>
      </c>
      <c r="B17" s="46">
        <f>B19+B18</f>
        <v>49</v>
      </c>
      <c r="C17" s="37">
        <f>IF(B$3=0,0,B17/B$3)</f>
        <v>0.26063829787234044</v>
      </c>
      <c r="E17" s="63" t="s">
        <v>84</v>
      </c>
      <c r="F17" s="60" t="s">
        <v>38</v>
      </c>
      <c r="G17" s="47">
        <v>1</v>
      </c>
      <c r="H17" s="137">
        <f>IF(B$17=0,0,G17/B$17)</f>
        <v>2.0408163265306121E-2</v>
      </c>
      <c r="I17" s="98">
        <v>6</v>
      </c>
      <c r="K17" s="38">
        <v>15</v>
      </c>
      <c r="L17" s="103">
        <v>-26.3</v>
      </c>
      <c r="N17" s="119" t="s">
        <v>192</v>
      </c>
      <c r="O17" s="129">
        <f>IF(P17=0,0,Q17/P17)</f>
        <v>25.400000000000002</v>
      </c>
      <c r="P17" s="123">
        <v>2</v>
      </c>
      <c r="Q17" s="111">
        <v>50.800000000000004</v>
      </c>
    </row>
    <row r="18" spans="1:17" x14ac:dyDescent="0.4">
      <c r="A18" s="55" t="s">
        <v>12</v>
      </c>
      <c r="B18" s="47">
        <v>16</v>
      </c>
      <c r="C18" s="39">
        <f>IF(B$17=0,0,B18/B$17)</f>
        <v>0.32653061224489793</v>
      </c>
      <c r="E18" s="63" t="s">
        <v>95</v>
      </c>
      <c r="F18" s="60" t="s">
        <v>49</v>
      </c>
      <c r="G18" s="47">
        <v>1</v>
      </c>
      <c r="H18" s="137">
        <f>IF(B$17=0,0,G18/B$17)</f>
        <v>2.0408163265306121E-2</v>
      </c>
      <c r="I18" s="98">
        <v>1</v>
      </c>
      <c r="K18" s="38">
        <v>16</v>
      </c>
      <c r="L18" s="103">
        <v>-50.3</v>
      </c>
      <c r="N18" s="119" t="s">
        <v>179</v>
      </c>
      <c r="O18" s="129">
        <f>IF(P18=0,0,Q18/P18)</f>
        <v>24.087499999999999</v>
      </c>
      <c r="P18" s="123">
        <v>8</v>
      </c>
      <c r="Q18" s="111">
        <v>192.7</v>
      </c>
    </row>
    <row r="19" spans="1:17" x14ac:dyDescent="0.4">
      <c r="A19" s="55" t="s">
        <v>11</v>
      </c>
      <c r="B19" s="47">
        <v>33</v>
      </c>
      <c r="C19" s="39">
        <f>IF(B$17=0,0,B19/B$17)</f>
        <v>0.67346938775510201</v>
      </c>
      <c r="E19" s="63" t="s">
        <v>75</v>
      </c>
      <c r="F19" s="60" t="s">
        <v>29</v>
      </c>
      <c r="G19" s="47">
        <v>0</v>
      </c>
      <c r="H19" s="137">
        <f>IF(B$17=0,0,G19/B$17)</f>
        <v>0</v>
      </c>
      <c r="I19" s="98">
        <v>4</v>
      </c>
      <c r="K19" s="38">
        <v>17</v>
      </c>
      <c r="L19" s="103">
        <v>-74.3</v>
      </c>
      <c r="N19" s="119" t="s">
        <v>178</v>
      </c>
      <c r="O19" s="129">
        <f>IF(P19=0,0,Q19/P19)</f>
        <v>2.7999999999999976</v>
      </c>
      <c r="P19" s="123">
        <v>6</v>
      </c>
      <c r="Q19" s="111">
        <v>16.799999999999986</v>
      </c>
    </row>
    <row r="20" spans="1:17" x14ac:dyDescent="0.4">
      <c r="A20" s="55" t="s">
        <v>13</v>
      </c>
      <c r="B20" s="47">
        <v>31</v>
      </c>
      <c r="C20" s="39">
        <f>IF(B$3=0,0,B20/B$3)</f>
        <v>0.16489361702127658</v>
      </c>
      <c r="E20" s="63" t="s">
        <v>76</v>
      </c>
      <c r="F20" s="60" t="s">
        <v>30</v>
      </c>
      <c r="G20" s="47">
        <v>0</v>
      </c>
      <c r="H20" s="137">
        <f>IF(B$17=0,0,G20/B$17)</f>
        <v>0</v>
      </c>
      <c r="I20" s="98">
        <v>3</v>
      </c>
      <c r="K20" s="38">
        <v>18</v>
      </c>
      <c r="L20" s="103">
        <v>-76.099999999999994</v>
      </c>
      <c r="N20" s="119" t="s">
        <v>129</v>
      </c>
      <c r="O20" s="129">
        <f>IF(P20=0,0,Q20/P20)</f>
        <v>-32.072727272727271</v>
      </c>
      <c r="P20" s="123">
        <v>11</v>
      </c>
      <c r="Q20" s="111">
        <v>-352.79999999999995</v>
      </c>
    </row>
    <row r="21" spans="1:17" x14ac:dyDescent="0.4">
      <c r="A21" s="55" t="s">
        <v>199</v>
      </c>
      <c r="B21" s="47">
        <v>4</v>
      </c>
      <c r="C21" s="141">
        <v>0</v>
      </c>
      <c r="E21" s="63" t="s">
        <v>78</v>
      </c>
      <c r="F21" s="60" t="s">
        <v>32</v>
      </c>
      <c r="G21" s="47">
        <v>0</v>
      </c>
      <c r="H21" s="137">
        <f>IF(B$17=0,0,G21/B$17)</f>
        <v>0</v>
      </c>
      <c r="I21" s="98">
        <v>1</v>
      </c>
      <c r="K21" s="38">
        <v>19</v>
      </c>
      <c r="L21" s="103">
        <v>0.60000000000000853</v>
      </c>
      <c r="N21" s="119" t="s">
        <v>130</v>
      </c>
      <c r="O21" s="129">
        <f>IF(P21=0,0,Q21/P21)</f>
        <v>-33.520000000000003</v>
      </c>
      <c r="P21" s="123">
        <v>10</v>
      </c>
      <c r="Q21" s="111">
        <v>-335.20000000000005</v>
      </c>
    </row>
    <row r="22" spans="1:17" x14ac:dyDescent="0.4">
      <c r="A22" s="55" t="s">
        <v>200</v>
      </c>
      <c r="B22" s="47">
        <v>19</v>
      </c>
      <c r="C22" s="141">
        <v>9</v>
      </c>
      <c r="E22" s="63" t="s">
        <v>79</v>
      </c>
      <c r="F22" s="60" t="s">
        <v>33</v>
      </c>
      <c r="G22" s="47">
        <v>0</v>
      </c>
      <c r="H22" s="137">
        <f>IF(B$17=0,0,G22/B$17)</f>
        <v>0</v>
      </c>
      <c r="I22" s="98">
        <v>3</v>
      </c>
      <c r="K22" s="38">
        <v>20</v>
      </c>
      <c r="L22" s="103">
        <v>-3.5999999999999917</v>
      </c>
    </row>
    <row r="23" spans="1:17" x14ac:dyDescent="0.4">
      <c r="A23" s="55" t="s">
        <v>5</v>
      </c>
      <c r="B23" s="51">
        <f>IF(B$17=0,0,C23/B$17)</f>
        <v>7983.6734693877552</v>
      </c>
      <c r="C23" s="41">
        <v>391200</v>
      </c>
      <c r="E23" s="63" t="s">
        <v>81</v>
      </c>
      <c r="F23" s="60" t="s">
        <v>35</v>
      </c>
      <c r="G23" s="47">
        <v>0</v>
      </c>
      <c r="H23" s="137">
        <f>IF(B$17=0,0,G23/B$17)</f>
        <v>0</v>
      </c>
      <c r="I23" s="98">
        <v>4</v>
      </c>
      <c r="K23" s="38">
        <v>21</v>
      </c>
      <c r="L23" s="103">
        <v>-3.0999999999999917</v>
      </c>
    </row>
    <row r="24" spans="1:17" x14ac:dyDescent="0.4">
      <c r="A24" s="57" t="s">
        <v>14</v>
      </c>
      <c r="B24" s="52">
        <f>IF(B$20=0,0,C24/B$20)</f>
        <v>-7629.0322580645161</v>
      </c>
      <c r="C24" s="45">
        <v>-236500</v>
      </c>
      <c r="E24" s="63" t="s">
        <v>82</v>
      </c>
      <c r="F24" s="60" t="s">
        <v>36</v>
      </c>
      <c r="G24" s="47">
        <v>0</v>
      </c>
      <c r="H24" s="137">
        <f>IF(B$17=0,0,G24/B$17)</f>
        <v>0</v>
      </c>
      <c r="I24" s="98">
        <v>1</v>
      </c>
    </row>
    <row r="25" spans="1:17" x14ac:dyDescent="0.4">
      <c r="A25" s="94" t="s">
        <v>144</v>
      </c>
      <c r="B25" s="144">
        <v>4</v>
      </c>
      <c r="C25" s="145"/>
      <c r="E25" s="63" t="s">
        <v>83</v>
      </c>
      <c r="F25" s="60" t="s">
        <v>37</v>
      </c>
      <c r="G25" s="47">
        <v>0</v>
      </c>
      <c r="H25" s="137">
        <f>IF(B$17=0,0,G25/B$17)</f>
        <v>0</v>
      </c>
      <c r="I25" s="98">
        <v>1</v>
      </c>
    </row>
    <row r="26" spans="1:17" x14ac:dyDescent="0.4">
      <c r="A26" s="58" t="s">
        <v>155</v>
      </c>
      <c r="B26" s="142">
        <v>91700</v>
      </c>
      <c r="C26" s="143"/>
      <c r="E26" s="63" t="s">
        <v>85</v>
      </c>
      <c r="F26" s="60" t="s">
        <v>39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1</v>
      </c>
      <c r="C27" s="42">
        <f>IF(B$3=0,0,B27/B$3)</f>
        <v>5.3191489361702126E-3</v>
      </c>
      <c r="E27" s="63" t="s">
        <v>87</v>
      </c>
      <c r="F27" s="60" t="s">
        <v>41</v>
      </c>
      <c r="G27" s="47">
        <v>0</v>
      </c>
      <c r="H27" s="137">
        <f>IF(B$17=0,0,G27/B$17)</f>
        <v>0</v>
      </c>
      <c r="I27" s="98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IF(B$17=0,0,G29/B$17)</f>
        <v>0</v>
      </c>
      <c r="I29" s="98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IF(B$17=0,0,G30/B$17)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IF(B$17=0,0,G31/B$17)</f>
        <v>0</v>
      </c>
      <c r="I31" s="98">
        <v>3</v>
      </c>
    </row>
    <row r="32" spans="1:17" x14ac:dyDescent="0.4">
      <c r="E32" s="63" t="s">
        <v>94</v>
      </c>
      <c r="F32" s="60" t="s">
        <v>48</v>
      </c>
      <c r="G32" s="47">
        <v>0</v>
      </c>
      <c r="H32" s="137">
        <f>IF(B$17=0,0,G32/B$17)</f>
        <v>0</v>
      </c>
      <c r="I32" s="98">
        <v>5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F96B3-8C76-480A-AB04-394E9FFFDEA5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8</v>
      </c>
      <c r="C2" s="151"/>
      <c r="E2" s="62" t="s">
        <v>74</v>
      </c>
      <c r="F2" s="59" t="s">
        <v>28</v>
      </c>
      <c r="G2" s="46">
        <v>12</v>
      </c>
      <c r="H2" s="136">
        <f>IF(B$17=0,0,G2/B$17)</f>
        <v>0.70588235294117652</v>
      </c>
      <c r="I2" s="97">
        <v>2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1237.5</v>
      </c>
      <c r="P2" s="122">
        <v>8</v>
      </c>
      <c r="Q2" s="106">
        <v>9900</v>
      </c>
    </row>
    <row r="3" spans="1:17" x14ac:dyDescent="0.4">
      <c r="A3" s="55" t="s">
        <v>8</v>
      </c>
      <c r="B3" s="152">
        <v>61</v>
      </c>
      <c r="C3" s="153"/>
      <c r="E3" s="63" t="s">
        <v>187</v>
      </c>
      <c r="F3" s="60" t="s">
        <v>188</v>
      </c>
      <c r="G3" s="47">
        <v>8</v>
      </c>
      <c r="H3" s="137">
        <f>IF(B$17=0,0,G3/B$17)</f>
        <v>0.47058823529411764</v>
      </c>
      <c r="I3" s="98">
        <v>1</v>
      </c>
      <c r="K3" s="38">
        <v>1</v>
      </c>
      <c r="L3" s="103">
        <v>11.1</v>
      </c>
      <c r="N3" s="119" t="s">
        <v>135</v>
      </c>
      <c r="O3" s="126">
        <f t="shared" si="0"/>
        <v>1362.5</v>
      </c>
      <c r="P3" s="123">
        <v>8</v>
      </c>
      <c r="Q3" s="107">
        <v>10900</v>
      </c>
    </row>
    <row r="4" spans="1:17" x14ac:dyDescent="0.4">
      <c r="A4" s="55" t="s">
        <v>6</v>
      </c>
      <c r="B4" s="154">
        <v>-29.5</v>
      </c>
      <c r="C4" s="155"/>
      <c r="E4" s="63" t="s">
        <v>66</v>
      </c>
      <c r="F4" s="60" t="s">
        <v>21</v>
      </c>
      <c r="G4" s="47">
        <v>7</v>
      </c>
      <c r="H4" s="137">
        <f>IF(B$17=0,0,G4/B$17)</f>
        <v>0.41176470588235292</v>
      </c>
      <c r="I4" s="98">
        <v>9</v>
      </c>
      <c r="K4" s="38">
        <v>2</v>
      </c>
      <c r="L4" s="103">
        <v>-7.7000000000000011</v>
      </c>
      <c r="N4" s="119" t="s">
        <v>136</v>
      </c>
      <c r="O4" s="126">
        <f t="shared" si="0"/>
        <v>-1257.1428571428571</v>
      </c>
      <c r="P4" s="123">
        <v>7</v>
      </c>
      <c r="Q4" s="107">
        <v>-8800</v>
      </c>
    </row>
    <row r="5" spans="1:17" x14ac:dyDescent="0.4">
      <c r="A5" s="55" t="s">
        <v>7</v>
      </c>
      <c r="B5" s="156">
        <f>IF(B$2=0,0,B$4/B$2)</f>
        <v>-3.6875</v>
      </c>
      <c r="C5" s="157"/>
      <c r="E5" s="63" t="s">
        <v>68</v>
      </c>
      <c r="F5" s="60" t="s">
        <v>23</v>
      </c>
      <c r="G5" s="47">
        <v>7</v>
      </c>
      <c r="H5" s="137">
        <f>IF(B$17=0,0,G5/B$17)</f>
        <v>0.41176470588235292</v>
      </c>
      <c r="I5" s="98">
        <v>10</v>
      </c>
      <c r="K5" s="38">
        <v>3</v>
      </c>
      <c r="L5" s="103">
        <v>1.7999999999999989</v>
      </c>
      <c r="N5" s="119" t="s">
        <v>137</v>
      </c>
      <c r="O5" s="126">
        <f t="shared" si="0"/>
        <v>2914.2857142857142</v>
      </c>
      <c r="P5" s="123">
        <v>7</v>
      </c>
      <c r="Q5" s="107">
        <v>20400</v>
      </c>
    </row>
    <row r="6" spans="1:17" x14ac:dyDescent="0.4">
      <c r="A6" s="55" t="s">
        <v>1</v>
      </c>
      <c r="B6" s="146">
        <f>IF(B$2=0,0,(B$7*1+B$8*2+B$9*3)/B$2)</f>
        <v>2.125</v>
      </c>
      <c r="C6" s="147"/>
      <c r="E6" s="63" t="s">
        <v>69</v>
      </c>
      <c r="F6" s="60" t="s">
        <v>24</v>
      </c>
      <c r="G6" s="47">
        <v>5</v>
      </c>
      <c r="H6" s="137">
        <f>IF(B$17=0,0,G6/B$17)</f>
        <v>0.29411764705882354</v>
      </c>
      <c r="I6" s="98">
        <v>4</v>
      </c>
      <c r="K6" s="38">
        <v>4</v>
      </c>
      <c r="L6" s="103">
        <v>34.9</v>
      </c>
      <c r="N6" s="119" t="s">
        <v>138</v>
      </c>
      <c r="O6" s="126">
        <f t="shared" si="0"/>
        <v>-4257.1428571428569</v>
      </c>
      <c r="P6" s="123">
        <v>7</v>
      </c>
      <c r="Q6" s="107">
        <v>-29800</v>
      </c>
    </row>
    <row r="7" spans="1:17" x14ac:dyDescent="0.4">
      <c r="A7" s="55" t="s">
        <v>2</v>
      </c>
      <c r="B7" s="47">
        <v>1</v>
      </c>
      <c r="C7" s="39">
        <f>IF(B$2=0,0,B7/B$2)</f>
        <v>0.125</v>
      </c>
      <c r="E7" s="63" t="s">
        <v>70</v>
      </c>
      <c r="F7" s="60" t="s">
        <v>12</v>
      </c>
      <c r="G7" s="47">
        <v>3</v>
      </c>
      <c r="H7" s="137">
        <f>IF(B$17=0,0,G7/B$17)</f>
        <v>0.17647058823529413</v>
      </c>
      <c r="I7" s="98">
        <v>10</v>
      </c>
      <c r="K7" s="38">
        <v>5</v>
      </c>
      <c r="L7" s="103">
        <v>29.4</v>
      </c>
      <c r="N7" s="120" t="s">
        <v>139</v>
      </c>
      <c r="O7" s="127">
        <f t="shared" si="0"/>
        <v>-2516.6666666666665</v>
      </c>
      <c r="P7" s="124">
        <v>6</v>
      </c>
      <c r="Q7" s="108">
        <v>-15100</v>
      </c>
    </row>
    <row r="8" spans="1:17" x14ac:dyDescent="0.4">
      <c r="A8" s="55" t="s">
        <v>3</v>
      </c>
      <c r="B8" s="47">
        <v>5</v>
      </c>
      <c r="C8" s="39">
        <f>IF(B$2=0,0,B8/B$2)</f>
        <v>0.625</v>
      </c>
      <c r="E8" s="63" t="s">
        <v>67</v>
      </c>
      <c r="F8" s="60" t="s">
        <v>22</v>
      </c>
      <c r="G8" s="47">
        <v>2</v>
      </c>
      <c r="H8" s="137">
        <f>IF(B$17=0,0,G8/B$17)</f>
        <v>0.11764705882352941</v>
      </c>
      <c r="I8" s="98">
        <v>5</v>
      </c>
      <c r="K8" s="38">
        <v>6</v>
      </c>
      <c r="L8" s="103">
        <v>4.2999999999999972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0.25</v>
      </c>
      <c r="E9" s="63" t="s">
        <v>92</v>
      </c>
      <c r="F9" s="60" t="s">
        <v>46</v>
      </c>
      <c r="G9" s="47">
        <v>2</v>
      </c>
      <c r="H9" s="137">
        <f>IF(B$17=0,0,G9/B$17)</f>
        <v>0.11764705882352941</v>
      </c>
      <c r="I9" s="98">
        <v>8</v>
      </c>
      <c r="K9" s="38">
        <v>7</v>
      </c>
      <c r="L9" s="103">
        <v>7.7999999999999972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25</v>
      </c>
      <c r="G10" s="47">
        <v>1</v>
      </c>
      <c r="H10" s="137">
        <f>IF(B$17=0,0,G10/B$17)</f>
        <v>5.8823529411764705E-2</v>
      </c>
      <c r="I10" s="98">
        <v>10</v>
      </c>
      <c r="K10" s="38">
        <v>8</v>
      </c>
      <c r="L10" s="103">
        <v>-29.5</v>
      </c>
      <c r="N10" s="118" t="s">
        <v>170</v>
      </c>
      <c r="O10" s="128">
        <f>IF(P10=0,0,Q10/P10)</f>
        <v>-37.299999999999997</v>
      </c>
      <c r="P10" s="122">
        <v>1</v>
      </c>
      <c r="Q10" s="110">
        <v>-37.299999999999997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84</v>
      </c>
      <c r="F11" s="60" t="s">
        <v>38</v>
      </c>
      <c r="G11" s="47">
        <v>1</v>
      </c>
      <c r="H11" s="137">
        <f>IF(B$17=0,0,G11/B$17)</f>
        <v>5.8823529411764705E-2</v>
      </c>
      <c r="I11" s="98">
        <v>2</v>
      </c>
      <c r="N11" s="119" t="s">
        <v>171</v>
      </c>
      <c r="O11" s="129">
        <f>IF(P11=0,0,Q11/P11)</f>
        <v>8.0333333333333332</v>
      </c>
      <c r="P11" s="123">
        <v>3</v>
      </c>
      <c r="Q11" s="111">
        <v>24.1</v>
      </c>
    </row>
    <row r="12" spans="1:17" x14ac:dyDescent="0.4">
      <c r="A12" s="57" t="s">
        <v>163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1</v>
      </c>
      <c r="H12" s="137">
        <f>IF(B$17=0,0,G12/B$17)</f>
        <v>5.8823529411764705E-2</v>
      </c>
      <c r="I12" s="98">
        <v>3</v>
      </c>
      <c r="N12" s="120" t="s">
        <v>172</v>
      </c>
      <c r="O12" s="130">
        <f>IF(P12=0,0,Q12/P12)</f>
        <v>-4.0750000000000002</v>
      </c>
      <c r="P12" s="124">
        <v>4</v>
      </c>
      <c r="Q12" s="112">
        <v>-16.3</v>
      </c>
    </row>
    <row r="13" spans="1:17" x14ac:dyDescent="0.4">
      <c r="A13" s="58" t="s">
        <v>124</v>
      </c>
      <c r="B13" s="50">
        <v>11</v>
      </c>
      <c r="C13" s="44">
        <f>IF(B$3=0,0,B13/B$3)</f>
        <v>0.18032786885245902</v>
      </c>
      <c r="E13" s="63" t="s">
        <v>89</v>
      </c>
      <c r="F13" s="60" t="s">
        <v>43</v>
      </c>
      <c r="G13" s="47">
        <v>1</v>
      </c>
      <c r="H13" s="137">
        <f>IF(B$17=0,0,G13/B$17)</f>
        <v>5.8823529411764705E-2</v>
      </c>
      <c r="I13" s="98">
        <v>5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21</v>
      </c>
      <c r="C14" s="39">
        <f>IF(B$3=0,0,B14/B$3)</f>
        <v>0.34426229508196721</v>
      </c>
      <c r="E14" s="63" t="s">
        <v>72</v>
      </c>
      <c r="F14" s="60" t="s">
        <v>26</v>
      </c>
      <c r="G14" s="47">
        <v>0</v>
      </c>
      <c r="H14" s="137">
        <f>IF(B$17=0,0,G14/B$17)</f>
        <v>0</v>
      </c>
      <c r="I14" s="98">
        <v>7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7</v>
      </c>
      <c r="C15" s="37">
        <f>IF(B$13=0,0,B15/B$13)</f>
        <v>0.63636363636363635</v>
      </c>
      <c r="E15" s="63" t="s">
        <v>73</v>
      </c>
      <c r="F15" s="60" t="s">
        <v>27</v>
      </c>
      <c r="G15" s="47">
        <v>0</v>
      </c>
      <c r="H15" s="137">
        <f>IF(B$17=0,0,G15/B$17)</f>
        <v>0</v>
      </c>
      <c r="I15" s="98">
        <v>8</v>
      </c>
      <c r="N15" s="118" t="s">
        <v>131</v>
      </c>
      <c r="O15" s="128">
        <f>IF(P15=0,0,Q15/P15)</f>
        <v>67.8</v>
      </c>
      <c r="P15" s="122">
        <v>1</v>
      </c>
      <c r="Q15" s="110">
        <v>67.8</v>
      </c>
    </row>
    <row r="16" spans="1:17" x14ac:dyDescent="0.4">
      <c r="A16" s="54" t="s">
        <v>127</v>
      </c>
      <c r="B16" s="46">
        <v>7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IF(B$17=0,0,G16/B$17)</f>
        <v>0</v>
      </c>
      <c r="I16" s="98">
        <v>4</v>
      </c>
      <c r="N16" s="119" t="s">
        <v>179</v>
      </c>
      <c r="O16" s="129">
        <f>IF(P16=0,0,Q16/P16)</f>
        <v>5.9</v>
      </c>
      <c r="P16" s="123">
        <v>2</v>
      </c>
      <c r="Q16" s="111">
        <v>11.8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0.27868852459016391</v>
      </c>
      <c r="E17" s="63" t="s">
        <v>76</v>
      </c>
      <c r="F17" s="60" t="s">
        <v>30</v>
      </c>
      <c r="G17" s="47">
        <v>0</v>
      </c>
      <c r="H17" s="137">
        <f>IF(B$17=0,0,G17/B$17)</f>
        <v>0</v>
      </c>
      <c r="I17" s="98">
        <v>3</v>
      </c>
      <c r="N17" s="119" t="s">
        <v>177</v>
      </c>
      <c r="O17" s="129">
        <f>IF(P17=0,0,Q17/P17)</f>
        <v>-2.8000000000000003</v>
      </c>
      <c r="P17" s="123">
        <v>6</v>
      </c>
      <c r="Q17" s="111">
        <v>-16.8</v>
      </c>
    </row>
    <row r="18" spans="1:17" x14ac:dyDescent="0.4">
      <c r="A18" s="55" t="s">
        <v>12</v>
      </c>
      <c r="B18" s="47">
        <v>6</v>
      </c>
      <c r="C18" s="39">
        <f>IF(B$17=0,0,B18/B$17)</f>
        <v>0.35294117647058826</v>
      </c>
      <c r="E18" s="63" t="s">
        <v>77</v>
      </c>
      <c r="F18" s="60" t="s">
        <v>31</v>
      </c>
      <c r="G18" s="47">
        <v>0</v>
      </c>
      <c r="H18" s="137">
        <f>IF(B$17=0,0,G18/B$17)</f>
        <v>0</v>
      </c>
      <c r="I18" s="98">
        <v>5</v>
      </c>
      <c r="N18" s="119" t="s">
        <v>129</v>
      </c>
      <c r="O18" s="129">
        <f>IF(P18=0,0,Q18/P18)</f>
        <v>-13.3</v>
      </c>
      <c r="P18" s="123">
        <v>4</v>
      </c>
      <c r="Q18" s="111">
        <v>-53.2</v>
      </c>
    </row>
    <row r="19" spans="1:17" x14ac:dyDescent="0.4">
      <c r="A19" s="55" t="s">
        <v>11</v>
      </c>
      <c r="B19" s="47">
        <v>11</v>
      </c>
      <c r="C19" s="39">
        <f>IF(B$17=0,0,B19/B$17)</f>
        <v>0.6470588235294118</v>
      </c>
      <c r="E19" s="63" t="s">
        <v>78</v>
      </c>
      <c r="F19" s="60" t="s">
        <v>32</v>
      </c>
      <c r="G19" s="47">
        <v>0</v>
      </c>
      <c r="H19" s="137">
        <f>IF(B$17=0,0,G19/B$17)</f>
        <v>0</v>
      </c>
      <c r="I19" s="98">
        <v>1</v>
      </c>
      <c r="N19" s="119" t="s">
        <v>130</v>
      </c>
      <c r="O19" s="129">
        <f>IF(P19=0,0,Q19/P19)</f>
        <v>-32.700000000000003</v>
      </c>
      <c r="P19" s="123">
        <v>3</v>
      </c>
      <c r="Q19" s="111">
        <v>-98.100000000000009</v>
      </c>
    </row>
    <row r="20" spans="1:17" x14ac:dyDescent="0.4">
      <c r="A20" s="55" t="s">
        <v>13</v>
      </c>
      <c r="B20" s="47">
        <v>10</v>
      </c>
      <c r="C20" s="39">
        <f>IF(B$3=0,0,B20/B$3)</f>
        <v>0.16393442622950818</v>
      </c>
      <c r="E20" s="63" t="s">
        <v>79</v>
      </c>
      <c r="F20" s="60" t="s">
        <v>33</v>
      </c>
      <c r="G20" s="47">
        <v>0</v>
      </c>
      <c r="H20" s="137">
        <f>IF(B$17=0,0,G20/B$17)</f>
        <v>0</v>
      </c>
      <c r="I20" s="98">
        <v>3</v>
      </c>
    </row>
    <row r="21" spans="1:17" x14ac:dyDescent="0.4">
      <c r="A21" s="55" t="s">
        <v>199</v>
      </c>
      <c r="B21" s="47">
        <v>3</v>
      </c>
      <c r="C21" s="141">
        <v>0</v>
      </c>
      <c r="E21" s="63" t="s">
        <v>80</v>
      </c>
      <c r="F21" s="60" t="s">
        <v>34</v>
      </c>
      <c r="G21" s="47">
        <v>0</v>
      </c>
      <c r="H21" s="137">
        <f>IF(B$17=0,0,G21/B$17)</f>
        <v>0</v>
      </c>
      <c r="I21" s="98">
        <v>6</v>
      </c>
    </row>
    <row r="22" spans="1:17" x14ac:dyDescent="0.4">
      <c r="A22" s="55" t="s">
        <v>200</v>
      </c>
      <c r="B22" s="47">
        <v>16</v>
      </c>
      <c r="C22" s="141">
        <v>5</v>
      </c>
      <c r="E22" s="63" t="s">
        <v>81</v>
      </c>
      <c r="F22" s="60" t="s">
        <v>35</v>
      </c>
      <c r="G22" s="47">
        <v>0</v>
      </c>
      <c r="H22" s="137">
        <f>IF(B$17=0,0,G22/B$17)</f>
        <v>0</v>
      </c>
      <c r="I22" s="98">
        <v>4</v>
      </c>
    </row>
    <row r="23" spans="1:17" x14ac:dyDescent="0.4">
      <c r="A23" s="55" t="s">
        <v>5</v>
      </c>
      <c r="B23" s="51">
        <f>IF(B$17=0,0,C23/B$17)</f>
        <v>5858.8235294117649</v>
      </c>
      <c r="C23" s="41">
        <v>99600</v>
      </c>
      <c r="E23" s="63" t="s">
        <v>82</v>
      </c>
      <c r="F23" s="60" t="s">
        <v>36</v>
      </c>
      <c r="G23" s="47">
        <v>0</v>
      </c>
      <c r="H23" s="137">
        <f>IF(B$17=0,0,G23/B$17)</f>
        <v>0</v>
      </c>
      <c r="I23" s="98">
        <v>1</v>
      </c>
    </row>
    <row r="24" spans="1:17" x14ac:dyDescent="0.4">
      <c r="A24" s="57" t="s">
        <v>14</v>
      </c>
      <c r="B24" s="52">
        <f>IF(B$20=0,0,C24/B$20)</f>
        <v>-7190</v>
      </c>
      <c r="C24" s="45">
        <v>-71900</v>
      </c>
      <c r="E24" s="63" t="s">
        <v>83</v>
      </c>
      <c r="F24" s="60" t="s">
        <v>37</v>
      </c>
      <c r="G24" s="47">
        <v>0</v>
      </c>
      <c r="H24" s="137">
        <f>IF(B$17=0,0,G24/B$17)</f>
        <v>0</v>
      </c>
      <c r="I24" s="98">
        <v>1</v>
      </c>
    </row>
    <row r="25" spans="1:17" x14ac:dyDescent="0.4">
      <c r="A25" s="94" t="s">
        <v>144</v>
      </c>
      <c r="B25" s="144">
        <v>3</v>
      </c>
      <c r="C25" s="145"/>
      <c r="E25" s="63" t="s">
        <v>85</v>
      </c>
      <c r="F25" s="60" t="s">
        <v>39</v>
      </c>
      <c r="G25" s="47">
        <v>0</v>
      </c>
      <c r="H25" s="137">
        <f>IF(B$17=0,0,G25/B$17)</f>
        <v>0</v>
      </c>
      <c r="I25" s="98">
        <v>1</v>
      </c>
    </row>
    <row r="26" spans="1:17" x14ac:dyDescent="0.4">
      <c r="A26" s="58" t="s">
        <v>155</v>
      </c>
      <c r="B26" s="142">
        <v>48100</v>
      </c>
      <c r="C26" s="143"/>
      <c r="E26" s="63" t="s">
        <v>87</v>
      </c>
      <c r="F26" s="60" t="s">
        <v>41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7">
        <f>IF(B$17=0,0,G27/B$17)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IF(B$17=0,0,G31/B$17)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34632-7F2B-43D8-BF3F-61D5A3EAD7BD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12</v>
      </c>
      <c r="C2" s="151"/>
      <c r="E2" s="62" t="s">
        <v>68</v>
      </c>
      <c r="F2" s="59" t="s">
        <v>23</v>
      </c>
      <c r="G2" s="46">
        <v>25</v>
      </c>
      <c r="H2" s="136">
        <f>IF(B$17=0,0,G2/B$17)</f>
        <v>0.78125</v>
      </c>
      <c r="I2" s="97">
        <v>2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-3433.3333333333335</v>
      </c>
      <c r="P2" s="122">
        <v>12</v>
      </c>
      <c r="Q2" s="106">
        <v>-41200</v>
      </c>
    </row>
    <row r="3" spans="1:17" x14ac:dyDescent="0.4">
      <c r="A3" s="55" t="s">
        <v>8</v>
      </c>
      <c r="B3" s="152">
        <v>113</v>
      </c>
      <c r="C3" s="153"/>
      <c r="E3" s="63" t="s">
        <v>74</v>
      </c>
      <c r="F3" s="60" t="s">
        <v>28</v>
      </c>
      <c r="G3" s="47">
        <v>15</v>
      </c>
      <c r="H3" s="137">
        <f>IF(B$17=0,0,G3/B$17)</f>
        <v>0.46875</v>
      </c>
      <c r="I3" s="98">
        <v>8</v>
      </c>
      <c r="K3" s="38">
        <v>1</v>
      </c>
      <c r="L3" s="103">
        <v>-82.6</v>
      </c>
      <c r="N3" s="119" t="s">
        <v>135</v>
      </c>
      <c r="O3" s="126">
        <f t="shared" si="0"/>
        <v>-3808.3333333333335</v>
      </c>
      <c r="P3" s="123">
        <v>12</v>
      </c>
      <c r="Q3" s="107">
        <v>-45700</v>
      </c>
    </row>
    <row r="4" spans="1:17" x14ac:dyDescent="0.4">
      <c r="A4" s="55" t="s">
        <v>6</v>
      </c>
      <c r="B4" s="154">
        <v>-289.59999999999997</v>
      </c>
      <c r="C4" s="155"/>
      <c r="E4" s="63" t="s">
        <v>70</v>
      </c>
      <c r="F4" s="60" t="s">
        <v>12</v>
      </c>
      <c r="G4" s="47">
        <v>12</v>
      </c>
      <c r="H4" s="137">
        <f>IF(B$17=0,0,G4/B$17)</f>
        <v>0.375</v>
      </c>
      <c r="I4" s="98">
        <v>1</v>
      </c>
      <c r="K4" s="38">
        <v>2</v>
      </c>
      <c r="L4" s="103">
        <v>-122.3</v>
      </c>
      <c r="N4" s="119" t="s">
        <v>136</v>
      </c>
      <c r="O4" s="126">
        <f t="shared" si="0"/>
        <v>272.72727272727275</v>
      </c>
      <c r="P4" s="123">
        <v>11</v>
      </c>
      <c r="Q4" s="107">
        <v>3000</v>
      </c>
    </row>
    <row r="5" spans="1:17" x14ac:dyDescent="0.4">
      <c r="A5" s="55" t="s">
        <v>7</v>
      </c>
      <c r="B5" s="156">
        <f>IF(B$2=0,0,B$4/B$2)</f>
        <v>-24.133333333333329</v>
      </c>
      <c r="C5" s="157"/>
      <c r="E5" s="63" t="s">
        <v>66</v>
      </c>
      <c r="F5" s="60" t="s">
        <v>21</v>
      </c>
      <c r="G5" s="47">
        <v>9</v>
      </c>
      <c r="H5" s="137">
        <f>IF(B$17=0,0,G5/B$17)</f>
        <v>0.28125</v>
      </c>
      <c r="I5" s="98">
        <v>10</v>
      </c>
      <c r="K5" s="38">
        <v>3</v>
      </c>
      <c r="L5" s="103">
        <v>-149</v>
      </c>
      <c r="N5" s="119" t="s">
        <v>137</v>
      </c>
      <c r="O5" s="126">
        <f t="shared" si="0"/>
        <v>-6430</v>
      </c>
      <c r="P5" s="123">
        <v>10</v>
      </c>
      <c r="Q5" s="107">
        <v>-64300</v>
      </c>
    </row>
    <row r="6" spans="1:17" x14ac:dyDescent="0.4">
      <c r="A6" s="55" t="s">
        <v>1</v>
      </c>
      <c r="B6" s="146">
        <f>IF(B$2=0,0,(B$7*1+B$8*2+B$9*3)/B$2)</f>
        <v>2.4166666666666665</v>
      </c>
      <c r="C6" s="147"/>
      <c r="E6" s="63" t="s">
        <v>187</v>
      </c>
      <c r="F6" s="60" t="s">
        <v>188</v>
      </c>
      <c r="G6" s="47">
        <v>7</v>
      </c>
      <c r="H6" s="137">
        <f>IF(B$17=0,0,G6/B$17)</f>
        <v>0.21875</v>
      </c>
      <c r="I6" s="98">
        <v>10</v>
      </c>
      <c r="K6" s="38">
        <v>4</v>
      </c>
      <c r="L6" s="103">
        <v>-150.6</v>
      </c>
      <c r="N6" s="119" t="s">
        <v>138</v>
      </c>
      <c r="O6" s="126">
        <f t="shared" si="0"/>
        <v>-3900</v>
      </c>
      <c r="P6" s="123">
        <v>9</v>
      </c>
      <c r="Q6" s="107">
        <v>-35100</v>
      </c>
    </row>
    <row r="7" spans="1:17" x14ac:dyDescent="0.4">
      <c r="A7" s="55" t="s">
        <v>2</v>
      </c>
      <c r="B7" s="47">
        <v>1</v>
      </c>
      <c r="C7" s="39">
        <f>IF(B$2=0,0,B7/B$2)</f>
        <v>8.3333333333333329E-2</v>
      </c>
      <c r="E7" s="63" t="s">
        <v>92</v>
      </c>
      <c r="F7" s="60" t="s">
        <v>46</v>
      </c>
      <c r="G7" s="47">
        <v>5</v>
      </c>
      <c r="H7" s="137">
        <f>IF(B$17=0,0,G7/B$17)</f>
        <v>0.15625</v>
      </c>
      <c r="I7" s="98">
        <v>6</v>
      </c>
      <c r="K7" s="38">
        <v>5</v>
      </c>
      <c r="L7" s="103">
        <v>-184.89999999999998</v>
      </c>
      <c r="N7" s="120" t="s">
        <v>139</v>
      </c>
      <c r="O7" s="127">
        <f t="shared" si="0"/>
        <v>-787.5</v>
      </c>
      <c r="P7" s="124">
        <v>8</v>
      </c>
      <c r="Q7" s="108">
        <v>-6300</v>
      </c>
    </row>
    <row r="8" spans="1:17" x14ac:dyDescent="0.4">
      <c r="A8" s="55" t="s">
        <v>3</v>
      </c>
      <c r="B8" s="47">
        <v>5</v>
      </c>
      <c r="C8" s="39">
        <f>IF(B$2=0,0,B8/B$2)</f>
        <v>0.41666666666666669</v>
      </c>
      <c r="E8" s="63" t="s">
        <v>72</v>
      </c>
      <c r="F8" s="60" t="s">
        <v>26</v>
      </c>
      <c r="G8" s="47">
        <v>4</v>
      </c>
      <c r="H8" s="137">
        <f>IF(B$17=0,0,G8/B$17)</f>
        <v>0.125</v>
      </c>
      <c r="I8" s="98">
        <v>3</v>
      </c>
      <c r="K8" s="38">
        <v>6</v>
      </c>
      <c r="L8" s="103">
        <v>-187.59999999999997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71</v>
      </c>
      <c r="F9" s="60" t="s">
        <v>25</v>
      </c>
      <c r="G9" s="47">
        <v>3</v>
      </c>
      <c r="H9" s="137">
        <f>IF(B$17=0,0,G9/B$17)</f>
        <v>9.375E-2</v>
      </c>
      <c r="I9" s="98">
        <v>9</v>
      </c>
      <c r="K9" s="38">
        <v>7</v>
      </c>
      <c r="L9" s="103">
        <v>-216.09999999999997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27</v>
      </c>
      <c r="G10" s="47">
        <v>3</v>
      </c>
      <c r="H10" s="137">
        <f>IF(B$17=0,0,G10/B$17)</f>
        <v>9.375E-2</v>
      </c>
      <c r="I10" s="98">
        <v>4</v>
      </c>
      <c r="K10" s="38">
        <v>8</v>
      </c>
      <c r="L10" s="103">
        <v>-219.59999999999997</v>
      </c>
      <c r="N10" s="118" t="s">
        <v>170</v>
      </c>
      <c r="O10" s="128">
        <f>IF(P10=0,0,Q10/P10)</f>
        <v>-9.8500000000000014</v>
      </c>
      <c r="P10" s="122">
        <v>4</v>
      </c>
      <c r="Q10" s="110">
        <v>-39.400000000000006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2</v>
      </c>
      <c r="H11" s="137">
        <f>IF(B$17=0,0,G11/B$17)</f>
        <v>6.25E-2</v>
      </c>
      <c r="I11" s="98">
        <v>9</v>
      </c>
      <c r="K11" s="38">
        <v>9</v>
      </c>
      <c r="L11" s="103">
        <v>-260.59999999999997</v>
      </c>
      <c r="N11" s="119" t="s">
        <v>171</v>
      </c>
      <c r="O11" s="129">
        <f>IF(P11=0,0,Q11/P11)</f>
        <v>-27.349999999999998</v>
      </c>
      <c r="P11" s="123">
        <v>6</v>
      </c>
      <c r="Q11" s="111">
        <v>-164.1</v>
      </c>
    </row>
    <row r="12" spans="1:17" x14ac:dyDescent="0.4">
      <c r="A12" s="57" t="s">
        <v>163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2</v>
      </c>
      <c r="H12" s="137">
        <f>IF(B$17=0,0,G12/B$17)</f>
        <v>6.25E-2</v>
      </c>
      <c r="I12" s="98">
        <v>2</v>
      </c>
      <c r="K12" s="38">
        <v>10</v>
      </c>
      <c r="L12" s="103">
        <v>-318.39999999999998</v>
      </c>
      <c r="N12" s="120" t="s">
        <v>172</v>
      </c>
      <c r="O12" s="130">
        <f>IF(P12=0,0,Q12/P12)</f>
        <v>-43.05</v>
      </c>
      <c r="P12" s="124">
        <v>2</v>
      </c>
      <c r="Q12" s="112">
        <v>-86.1</v>
      </c>
    </row>
    <row r="13" spans="1:17" x14ac:dyDescent="0.4">
      <c r="A13" s="58" t="s">
        <v>124</v>
      </c>
      <c r="B13" s="50">
        <v>18</v>
      </c>
      <c r="C13" s="44">
        <f>IF(B$3=0,0,B13/B$3)</f>
        <v>0.15929203539823009</v>
      </c>
      <c r="E13" s="63" t="s">
        <v>81</v>
      </c>
      <c r="F13" s="60" t="s">
        <v>35</v>
      </c>
      <c r="G13" s="47">
        <v>1</v>
      </c>
      <c r="H13" s="137">
        <f>IF(B$17=0,0,G13/B$17)</f>
        <v>3.125E-2</v>
      </c>
      <c r="I13" s="98">
        <v>1</v>
      </c>
      <c r="K13" s="38">
        <v>11</v>
      </c>
      <c r="L13" s="103">
        <v>-325.39999999999998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26</v>
      </c>
      <c r="C14" s="39">
        <f>IF(B$3=0,0,B14/B$3)</f>
        <v>0.23008849557522124</v>
      </c>
      <c r="E14" s="63" t="s">
        <v>89</v>
      </c>
      <c r="F14" s="60" t="s">
        <v>43</v>
      </c>
      <c r="G14" s="47">
        <v>1</v>
      </c>
      <c r="H14" s="137">
        <f>IF(B$17=0,0,G14/B$17)</f>
        <v>3.125E-2</v>
      </c>
      <c r="I14" s="98">
        <v>8</v>
      </c>
      <c r="K14" s="38">
        <v>12</v>
      </c>
      <c r="L14" s="103">
        <v>-289.59999999999997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9</v>
      </c>
      <c r="C15" s="37">
        <f>IF(B$13=0,0,B15/B$13)</f>
        <v>0.5</v>
      </c>
      <c r="E15" s="63" t="s">
        <v>67</v>
      </c>
      <c r="F15" s="60" t="s">
        <v>22</v>
      </c>
      <c r="G15" s="47">
        <v>0</v>
      </c>
      <c r="H15" s="137">
        <f>IF(B$17=0,0,G15/B$17)</f>
        <v>0</v>
      </c>
      <c r="I15" s="98">
        <v>8</v>
      </c>
      <c r="N15" s="118" t="s">
        <v>131</v>
      </c>
      <c r="O15" s="128">
        <f>IF(P15=0,0,Q15/P15)</f>
        <v>13.16666666666667</v>
      </c>
      <c r="P15" s="122">
        <v>3</v>
      </c>
      <c r="Q15" s="110">
        <v>39.500000000000007</v>
      </c>
    </row>
    <row r="16" spans="1:17" x14ac:dyDescent="0.4">
      <c r="A16" s="54" t="s">
        <v>127</v>
      </c>
      <c r="B16" s="46">
        <v>10</v>
      </c>
      <c r="C16" s="37">
        <f>IF(B$14=0,0,B16/B$14)</f>
        <v>0.38461538461538464</v>
      </c>
      <c r="E16" s="63" t="s">
        <v>75</v>
      </c>
      <c r="F16" s="60" t="s">
        <v>29</v>
      </c>
      <c r="G16" s="47">
        <v>0</v>
      </c>
      <c r="H16" s="137">
        <f>IF(B$17=0,0,G16/B$17)</f>
        <v>0</v>
      </c>
      <c r="I16" s="98">
        <v>4</v>
      </c>
      <c r="N16" s="119" t="s">
        <v>178</v>
      </c>
      <c r="O16" s="129">
        <f>IF(P16=0,0,Q16/P16)</f>
        <v>-5.9000000000000021</v>
      </c>
      <c r="P16" s="123">
        <v>2</v>
      </c>
      <c r="Q16" s="111">
        <v>-11.800000000000004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0.2831858407079646</v>
      </c>
      <c r="E17" s="63" t="s">
        <v>76</v>
      </c>
      <c r="F17" s="60" t="s">
        <v>30</v>
      </c>
      <c r="G17" s="47">
        <v>0</v>
      </c>
      <c r="H17" s="137">
        <f>IF(B$17=0,0,G17/B$17)</f>
        <v>0</v>
      </c>
      <c r="I17" s="98">
        <v>3</v>
      </c>
      <c r="N17" s="119" t="s">
        <v>183</v>
      </c>
      <c r="O17" s="129">
        <f>IF(P17=0,0,Q17/P17)</f>
        <v>-17.950000000000003</v>
      </c>
      <c r="P17" s="123">
        <v>2</v>
      </c>
      <c r="Q17" s="111">
        <v>-35.900000000000006</v>
      </c>
    </row>
    <row r="18" spans="1:17" x14ac:dyDescent="0.4">
      <c r="A18" s="55" t="s">
        <v>12</v>
      </c>
      <c r="B18" s="47">
        <v>17</v>
      </c>
      <c r="C18" s="39">
        <f>IF(B$17=0,0,B18/B$17)</f>
        <v>0.53125</v>
      </c>
      <c r="E18" s="63" t="s">
        <v>77</v>
      </c>
      <c r="F18" s="60" t="s">
        <v>31</v>
      </c>
      <c r="G18" s="47">
        <v>0</v>
      </c>
      <c r="H18" s="137">
        <f>IF(B$17=0,0,G18/B$17)</f>
        <v>0</v>
      </c>
      <c r="I18" s="98">
        <v>5</v>
      </c>
      <c r="N18" s="119" t="s">
        <v>177</v>
      </c>
      <c r="O18" s="129">
        <f>IF(P18=0,0,Q18/P18)</f>
        <v>-24.087499999999999</v>
      </c>
      <c r="P18" s="123">
        <v>8</v>
      </c>
      <c r="Q18" s="111">
        <v>-192.7</v>
      </c>
    </row>
    <row r="19" spans="1:17" x14ac:dyDescent="0.4">
      <c r="A19" s="55" t="s">
        <v>11</v>
      </c>
      <c r="B19" s="47">
        <v>15</v>
      </c>
      <c r="C19" s="39">
        <f>IF(B$17=0,0,B19/B$17)</f>
        <v>0.46875</v>
      </c>
      <c r="E19" s="63" t="s">
        <v>78</v>
      </c>
      <c r="F19" s="60" t="s">
        <v>32</v>
      </c>
      <c r="G19" s="47">
        <v>0</v>
      </c>
      <c r="H19" s="137">
        <f>IF(B$17=0,0,G19/B$17)</f>
        <v>0</v>
      </c>
      <c r="I19" s="98">
        <v>1</v>
      </c>
      <c r="N19" s="119" t="s">
        <v>191</v>
      </c>
      <c r="O19" s="129">
        <f>IF(P19=0,0,Q19/P19)</f>
        <v>-45.5</v>
      </c>
      <c r="P19" s="123">
        <v>1</v>
      </c>
      <c r="Q19" s="111">
        <v>-45.5</v>
      </c>
    </row>
    <row r="20" spans="1:17" x14ac:dyDescent="0.4">
      <c r="A20" s="55" t="s">
        <v>13</v>
      </c>
      <c r="B20" s="47">
        <v>28</v>
      </c>
      <c r="C20" s="39">
        <f>IF(B$3=0,0,B20/B$3)</f>
        <v>0.24778761061946902</v>
      </c>
      <c r="E20" s="63" t="s">
        <v>79</v>
      </c>
      <c r="F20" s="60" t="s">
        <v>33</v>
      </c>
      <c r="G20" s="47">
        <v>0</v>
      </c>
      <c r="H20" s="137">
        <f>IF(B$17=0,0,G20/B$17)</f>
        <v>0</v>
      </c>
      <c r="I20" s="98">
        <v>3</v>
      </c>
      <c r="N20" s="119" t="s">
        <v>130</v>
      </c>
      <c r="O20" s="129">
        <f>IF(P20=0,0,Q20/P20)</f>
        <v>-52.48</v>
      </c>
      <c r="P20" s="123">
        <v>5</v>
      </c>
      <c r="Q20" s="111">
        <v>-262.39999999999998</v>
      </c>
    </row>
    <row r="21" spans="1:17" x14ac:dyDescent="0.4">
      <c r="A21" s="55" t="s">
        <v>199</v>
      </c>
      <c r="B21" s="47">
        <v>4</v>
      </c>
      <c r="C21" s="141">
        <v>1</v>
      </c>
      <c r="E21" s="63" t="s">
        <v>80</v>
      </c>
      <c r="F21" s="60" t="s">
        <v>34</v>
      </c>
      <c r="G21" s="47">
        <v>0</v>
      </c>
      <c r="H21" s="137">
        <f>IF(B$17=0,0,G21/B$17)</f>
        <v>0</v>
      </c>
      <c r="I21" s="98">
        <v>6</v>
      </c>
      <c r="N21" s="119" t="s">
        <v>129</v>
      </c>
      <c r="O21" s="129">
        <f>IF(P21=0,0,Q21/P21)</f>
        <v>-119.99999999999999</v>
      </c>
      <c r="P21" s="123">
        <v>3</v>
      </c>
      <c r="Q21" s="111">
        <v>-359.99999999999994</v>
      </c>
    </row>
    <row r="22" spans="1:17" x14ac:dyDescent="0.4">
      <c r="A22" s="55" t="s">
        <v>200</v>
      </c>
      <c r="B22" s="47">
        <v>11</v>
      </c>
      <c r="C22" s="141">
        <v>2</v>
      </c>
      <c r="E22" s="63" t="s">
        <v>82</v>
      </c>
      <c r="F22" s="60" t="s">
        <v>36</v>
      </c>
      <c r="G22" s="47">
        <v>0</v>
      </c>
      <c r="H22" s="137">
        <f>IF(B$17=0,0,G22/B$17)</f>
        <v>0</v>
      </c>
      <c r="I22" s="98">
        <v>1</v>
      </c>
    </row>
    <row r="23" spans="1:17" x14ac:dyDescent="0.4">
      <c r="A23" s="55" t="s">
        <v>5</v>
      </c>
      <c r="B23" s="51">
        <f>IF(B$17=0,0,C23/B$17)</f>
        <v>5150</v>
      </c>
      <c r="C23" s="41">
        <v>164800</v>
      </c>
      <c r="E23" s="63" t="s">
        <v>83</v>
      </c>
      <c r="F23" s="60" t="s">
        <v>37</v>
      </c>
      <c r="G23" s="47">
        <v>0</v>
      </c>
      <c r="H23" s="137">
        <f>IF(B$17=0,0,G23/B$17)</f>
        <v>0</v>
      </c>
      <c r="I23" s="98">
        <v>1</v>
      </c>
    </row>
    <row r="24" spans="1:17" x14ac:dyDescent="0.4">
      <c r="A24" s="57" t="s">
        <v>14</v>
      </c>
      <c r="B24" s="52">
        <f>IF(B$20=0,0,C24/B$20)</f>
        <v>-8521.4285714285706</v>
      </c>
      <c r="C24" s="45">
        <v>-238600</v>
      </c>
      <c r="E24" s="63" t="s">
        <v>84</v>
      </c>
      <c r="F24" s="60" t="s">
        <v>38</v>
      </c>
      <c r="G24" s="47">
        <v>0</v>
      </c>
      <c r="H24" s="137">
        <f>IF(B$17=0,0,G24/B$17)</f>
        <v>0</v>
      </c>
      <c r="I24" s="98">
        <v>7</v>
      </c>
    </row>
    <row r="25" spans="1:17" x14ac:dyDescent="0.4">
      <c r="A25" s="94" t="s">
        <v>144</v>
      </c>
      <c r="B25" s="144">
        <v>6</v>
      </c>
      <c r="C25" s="145"/>
      <c r="E25" s="63" t="s">
        <v>85</v>
      </c>
      <c r="F25" s="60" t="s">
        <v>39</v>
      </c>
      <c r="G25" s="47">
        <v>0</v>
      </c>
      <c r="H25" s="137">
        <f>IF(B$17=0,0,G25/B$17)</f>
        <v>0</v>
      </c>
      <c r="I25" s="98">
        <v>1</v>
      </c>
    </row>
    <row r="26" spans="1:17" x14ac:dyDescent="0.4">
      <c r="A26" s="58" t="s">
        <v>155</v>
      </c>
      <c r="B26" s="142">
        <v>50800</v>
      </c>
      <c r="C26" s="143"/>
      <c r="E26" s="63" t="s">
        <v>87</v>
      </c>
      <c r="F26" s="60" t="s">
        <v>41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1</v>
      </c>
      <c r="C27" s="42">
        <f>IF(B$3=0,0,B27/B$3)</f>
        <v>8.8495575221238937E-3</v>
      </c>
      <c r="E27" s="63" t="s">
        <v>88</v>
      </c>
      <c r="F27" s="60" t="s">
        <v>42</v>
      </c>
      <c r="G27" s="47">
        <v>0</v>
      </c>
      <c r="H27" s="137">
        <f>IF(B$17=0,0,G27/B$17)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IF(B$17=0,0,G31/B$17)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29947-6D46-49E2-936A-489B9339AD7C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11</v>
      </c>
      <c r="C2" s="151"/>
      <c r="E2" s="62" t="s">
        <v>68</v>
      </c>
      <c r="F2" s="59" t="s">
        <v>23</v>
      </c>
      <c r="G2" s="46">
        <v>11</v>
      </c>
      <c r="H2" s="136">
        <f>IF(B$17=0,0,G2/B$17)</f>
        <v>0.55000000000000004</v>
      </c>
      <c r="I2" s="97">
        <v>9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-7000</v>
      </c>
      <c r="P2" s="122">
        <v>11</v>
      </c>
      <c r="Q2" s="106">
        <v>-77000</v>
      </c>
    </row>
    <row r="3" spans="1:17" x14ac:dyDescent="0.4">
      <c r="A3" s="55" t="s">
        <v>8</v>
      </c>
      <c r="B3" s="152">
        <v>81</v>
      </c>
      <c r="C3" s="153"/>
      <c r="E3" s="63" t="s">
        <v>74</v>
      </c>
      <c r="F3" s="60" t="s">
        <v>28</v>
      </c>
      <c r="G3" s="47">
        <v>11</v>
      </c>
      <c r="H3" s="137">
        <f>IF(B$17=0,0,G3/B$17)</f>
        <v>0.55000000000000004</v>
      </c>
      <c r="I3" s="98">
        <v>6</v>
      </c>
      <c r="K3" s="38">
        <v>1</v>
      </c>
      <c r="L3" s="103">
        <v>-1.9</v>
      </c>
      <c r="N3" s="119" t="s">
        <v>135</v>
      </c>
      <c r="O3" s="126">
        <f t="shared" si="0"/>
        <v>-4580</v>
      </c>
      <c r="P3" s="123">
        <v>10</v>
      </c>
      <c r="Q3" s="107">
        <v>-45800</v>
      </c>
    </row>
    <row r="4" spans="1:17" x14ac:dyDescent="0.4">
      <c r="A4" s="55" t="s">
        <v>6</v>
      </c>
      <c r="B4" s="154">
        <v>-152.89999999999998</v>
      </c>
      <c r="C4" s="155"/>
      <c r="E4" s="63" t="s">
        <v>66</v>
      </c>
      <c r="F4" s="60" t="s">
        <v>21</v>
      </c>
      <c r="G4" s="47">
        <v>9</v>
      </c>
      <c r="H4" s="137">
        <f>IF(B$17=0,0,G4/B$17)</f>
        <v>0.45</v>
      </c>
      <c r="I4" s="98">
        <v>8</v>
      </c>
      <c r="K4" s="38">
        <v>2</v>
      </c>
      <c r="L4" s="103">
        <v>30</v>
      </c>
      <c r="N4" s="119" t="s">
        <v>136</v>
      </c>
      <c r="O4" s="126">
        <f t="shared" si="0"/>
        <v>1440</v>
      </c>
      <c r="P4" s="123">
        <v>10</v>
      </c>
      <c r="Q4" s="107">
        <v>14400</v>
      </c>
    </row>
    <row r="5" spans="1:17" x14ac:dyDescent="0.4">
      <c r="A5" s="55" t="s">
        <v>7</v>
      </c>
      <c r="B5" s="156">
        <f>IF(B$2=0,0,B$4/B$2)</f>
        <v>-13.899999999999999</v>
      </c>
      <c r="C5" s="157"/>
      <c r="E5" s="63" t="s">
        <v>187</v>
      </c>
      <c r="F5" s="60" t="s">
        <v>188</v>
      </c>
      <c r="G5" s="47">
        <v>6</v>
      </c>
      <c r="H5" s="137">
        <f>IF(B$17=0,0,G5/B$17)</f>
        <v>0.3</v>
      </c>
      <c r="I5" s="98">
        <v>7</v>
      </c>
      <c r="K5" s="38">
        <v>3</v>
      </c>
      <c r="L5" s="103">
        <v>-10</v>
      </c>
      <c r="N5" s="119" t="s">
        <v>137</v>
      </c>
      <c r="O5" s="126">
        <f t="shared" si="0"/>
        <v>-1660</v>
      </c>
      <c r="P5" s="123">
        <v>10</v>
      </c>
      <c r="Q5" s="107">
        <v>-16600</v>
      </c>
    </row>
    <row r="6" spans="1:17" x14ac:dyDescent="0.4">
      <c r="A6" s="55" t="s">
        <v>1</v>
      </c>
      <c r="B6" s="146">
        <f>IF(B$2=0,0,(B$7*1+B$8*2+B$9*3)/B$2)</f>
        <v>2.2727272727272729</v>
      </c>
      <c r="C6" s="147"/>
      <c r="E6" s="63" t="s">
        <v>70</v>
      </c>
      <c r="F6" s="60" t="s">
        <v>12</v>
      </c>
      <c r="G6" s="47">
        <v>5</v>
      </c>
      <c r="H6" s="137">
        <f>IF(B$17=0,0,G6/B$17)</f>
        <v>0.25</v>
      </c>
      <c r="I6" s="98">
        <v>5</v>
      </c>
      <c r="K6" s="38">
        <v>4</v>
      </c>
      <c r="L6" s="103">
        <v>40</v>
      </c>
      <c r="N6" s="119" t="s">
        <v>138</v>
      </c>
      <c r="O6" s="126">
        <f t="shared" si="0"/>
        <v>-1266.6666666666667</v>
      </c>
      <c r="P6" s="123">
        <v>9</v>
      </c>
      <c r="Q6" s="107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0.27272727272727271</v>
      </c>
      <c r="E7" s="63" t="s">
        <v>71</v>
      </c>
      <c r="F7" s="60" t="s">
        <v>25</v>
      </c>
      <c r="G7" s="47">
        <v>4</v>
      </c>
      <c r="H7" s="137">
        <f>IF(B$17=0,0,G7/B$17)</f>
        <v>0.2</v>
      </c>
      <c r="I7" s="98">
        <v>4</v>
      </c>
      <c r="K7" s="38">
        <v>5</v>
      </c>
      <c r="L7" s="103">
        <v>35.4</v>
      </c>
      <c r="N7" s="120" t="s">
        <v>139</v>
      </c>
      <c r="O7" s="127">
        <f t="shared" si="0"/>
        <v>4833.333333333333</v>
      </c>
      <c r="P7" s="124">
        <v>9</v>
      </c>
      <c r="Q7" s="108">
        <v>43500</v>
      </c>
    </row>
    <row r="8" spans="1:17" x14ac:dyDescent="0.4">
      <c r="A8" s="55" t="s">
        <v>3</v>
      </c>
      <c r="B8" s="47">
        <v>2</v>
      </c>
      <c r="C8" s="39">
        <f>IF(B$2=0,0,B8/B$2)</f>
        <v>0.18181818181818182</v>
      </c>
      <c r="E8" s="63" t="s">
        <v>67</v>
      </c>
      <c r="F8" s="60" t="s">
        <v>22</v>
      </c>
      <c r="G8" s="47">
        <v>3</v>
      </c>
      <c r="H8" s="137">
        <f>IF(B$17=0,0,G8/B$17)</f>
        <v>0.15</v>
      </c>
      <c r="I8" s="98">
        <v>1</v>
      </c>
      <c r="K8" s="38">
        <v>6</v>
      </c>
      <c r="L8" s="103">
        <v>3.8999999999999986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0.54545454545454541</v>
      </c>
      <c r="E9" s="63" t="s">
        <v>69</v>
      </c>
      <c r="F9" s="60" t="s">
        <v>24</v>
      </c>
      <c r="G9" s="47">
        <v>3</v>
      </c>
      <c r="H9" s="137">
        <f>IF(B$17=0,0,G9/B$17)</f>
        <v>0.15</v>
      </c>
      <c r="I9" s="98">
        <v>8</v>
      </c>
      <c r="K9" s="38">
        <v>7</v>
      </c>
      <c r="L9" s="103">
        <v>-30.1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2</v>
      </c>
      <c r="C10" s="40">
        <f>IF(B$2=0,0,B10/B$2)</f>
        <v>0.18181818181818182</v>
      </c>
      <c r="E10" s="63" t="s">
        <v>92</v>
      </c>
      <c r="F10" s="60" t="s">
        <v>46</v>
      </c>
      <c r="G10" s="47">
        <v>2</v>
      </c>
      <c r="H10" s="137">
        <f>IF(B$17=0,0,G10/B$17)</f>
        <v>0.1</v>
      </c>
      <c r="I10" s="98">
        <v>9</v>
      </c>
      <c r="K10" s="38">
        <v>8</v>
      </c>
      <c r="L10" s="103">
        <v>-87.1</v>
      </c>
      <c r="N10" s="118" t="s">
        <v>170</v>
      </c>
      <c r="O10" s="128">
        <f>IF(P10=0,0,Q10/P10)</f>
        <v>-1.9</v>
      </c>
      <c r="P10" s="122">
        <v>1</v>
      </c>
      <c r="Q10" s="110">
        <v>-1.9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7">
        <f>IF(B$17=0,0,G11/B$17)</f>
        <v>0.05</v>
      </c>
      <c r="I11" s="98">
        <v>1</v>
      </c>
      <c r="K11" s="38">
        <v>9</v>
      </c>
      <c r="L11" s="103">
        <v>-128.6</v>
      </c>
      <c r="N11" s="119" t="s">
        <v>171</v>
      </c>
      <c r="O11" s="129">
        <f>IF(P11=0,0,Q11/P11)</f>
        <v>-32.799999999999997</v>
      </c>
      <c r="P11" s="123">
        <v>4</v>
      </c>
      <c r="Q11" s="111">
        <v>-131.19999999999999</v>
      </c>
    </row>
    <row r="12" spans="1:17" x14ac:dyDescent="0.4">
      <c r="A12" s="57" t="s">
        <v>163</v>
      </c>
      <c r="B12" s="49">
        <v>2</v>
      </c>
      <c r="C12" s="42">
        <f>IF(B$2=0,0,B12/B$2)</f>
        <v>0.18181818181818182</v>
      </c>
      <c r="E12" s="63" t="s">
        <v>86</v>
      </c>
      <c r="F12" s="60" t="s">
        <v>40</v>
      </c>
      <c r="G12" s="47">
        <v>1</v>
      </c>
      <c r="H12" s="137">
        <f>IF(B$17=0,0,G12/B$17)</f>
        <v>0.05</v>
      </c>
      <c r="I12" s="98">
        <v>4</v>
      </c>
      <c r="K12" s="38">
        <v>10</v>
      </c>
      <c r="L12" s="103">
        <v>-183.7</v>
      </c>
      <c r="N12" s="120" t="s">
        <v>172</v>
      </c>
      <c r="O12" s="130">
        <f>IF(P12=0,0,Q12/P12)</f>
        <v>-3.2999999999999989</v>
      </c>
      <c r="P12" s="124">
        <v>6</v>
      </c>
      <c r="Q12" s="112">
        <v>-19.799999999999994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0.20987654320987653</v>
      </c>
      <c r="E13" s="63" t="s">
        <v>88</v>
      </c>
      <c r="F13" s="60" t="s">
        <v>42</v>
      </c>
      <c r="G13" s="47">
        <v>1</v>
      </c>
      <c r="H13" s="137">
        <f>IF(B$17=0,0,G13/B$17)</f>
        <v>0.05</v>
      </c>
      <c r="I13" s="98">
        <v>1</v>
      </c>
      <c r="K13" s="38">
        <v>11</v>
      </c>
      <c r="L13" s="103">
        <v>-152.89999999999998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20</v>
      </c>
      <c r="C14" s="39">
        <f>IF(B$3=0,0,B14/B$3)</f>
        <v>0.24691358024691357</v>
      </c>
      <c r="E14" s="63" t="s">
        <v>94</v>
      </c>
      <c r="F14" s="60" t="s">
        <v>48</v>
      </c>
      <c r="G14" s="47">
        <v>1</v>
      </c>
      <c r="H14" s="137">
        <f>IF(B$17=0,0,G14/B$17)</f>
        <v>0.05</v>
      </c>
      <c r="I14" s="98">
        <v>1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7">
        <f>IF(B$17=0,0,G15/B$17)</f>
        <v>0</v>
      </c>
      <c r="I15" s="98">
        <v>7</v>
      </c>
      <c r="N15" s="118" t="s">
        <v>192</v>
      </c>
      <c r="O15" s="128">
        <f>IF(P15=0,0,Q15/P15)</f>
        <v>60.800000000000004</v>
      </c>
      <c r="P15" s="122">
        <v>2</v>
      </c>
      <c r="Q15" s="110">
        <v>121.60000000000001</v>
      </c>
    </row>
    <row r="16" spans="1:17" x14ac:dyDescent="0.4">
      <c r="A16" s="54" t="s">
        <v>127</v>
      </c>
      <c r="B16" s="46">
        <v>7</v>
      </c>
      <c r="C16" s="37">
        <f>IF(B$14=0,0,B16/B$14)</f>
        <v>0.35</v>
      </c>
      <c r="E16" s="63" t="s">
        <v>73</v>
      </c>
      <c r="F16" s="60" t="s">
        <v>27</v>
      </c>
      <c r="G16" s="47">
        <v>0</v>
      </c>
      <c r="H16" s="137">
        <f>IF(B$17=0,0,G16/B$17)</f>
        <v>0</v>
      </c>
      <c r="I16" s="98">
        <v>8</v>
      </c>
      <c r="N16" s="119" t="s">
        <v>179</v>
      </c>
      <c r="O16" s="129">
        <f>IF(P16=0,0,Q16/P16)</f>
        <v>17.95</v>
      </c>
      <c r="P16" s="123">
        <v>2</v>
      </c>
      <c r="Q16" s="111">
        <v>35.9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0.24691358024691357</v>
      </c>
      <c r="E17" s="63" t="s">
        <v>75</v>
      </c>
      <c r="F17" s="60" t="s">
        <v>29</v>
      </c>
      <c r="G17" s="47">
        <v>0</v>
      </c>
      <c r="H17" s="137">
        <f>IF(B$17=0,0,G17/B$17)</f>
        <v>0</v>
      </c>
      <c r="I17" s="98">
        <v>4</v>
      </c>
      <c r="N17" s="119" t="s">
        <v>130</v>
      </c>
      <c r="O17" s="129">
        <f>IF(P17=0,0,Q17/P17)</f>
        <v>-9.1875</v>
      </c>
      <c r="P17" s="123">
        <v>8</v>
      </c>
      <c r="Q17" s="111">
        <v>-73.5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30</v>
      </c>
      <c r="G18" s="47">
        <v>0</v>
      </c>
      <c r="H18" s="137">
        <f>IF(B$17=0,0,G18/B$17)</f>
        <v>0</v>
      </c>
      <c r="I18" s="98">
        <v>3</v>
      </c>
      <c r="N18" s="119" t="s">
        <v>177</v>
      </c>
      <c r="O18" s="129">
        <f>IF(P18=0,0,Q18/P18)</f>
        <v>-35.1</v>
      </c>
      <c r="P18" s="123">
        <v>1</v>
      </c>
      <c r="Q18" s="111">
        <v>-35.1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78</v>
      </c>
      <c r="F19" s="60" t="s">
        <v>32</v>
      </c>
      <c r="G19" s="47">
        <v>0</v>
      </c>
      <c r="H19" s="137">
        <f>IF(B$17=0,0,G19/B$17)</f>
        <v>0</v>
      </c>
      <c r="I19" s="98">
        <v>1</v>
      </c>
      <c r="N19" s="119" t="s">
        <v>191</v>
      </c>
      <c r="O19" s="129">
        <f>IF(P19=0,0,Q19/P19)</f>
        <v>-45.699999999999996</v>
      </c>
      <c r="P19" s="123">
        <v>3</v>
      </c>
      <c r="Q19" s="111">
        <v>-137.1</v>
      </c>
    </row>
    <row r="20" spans="1:17" x14ac:dyDescent="0.4">
      <c r="A20" s="55" t="s">
        <v>13</v>
      </c>
      <c r="B20" s="47">
        <v>17</v>
      </c>
      <c r="C20" s="39">
        <f>IF(B$3=0,0,B20/B$3)</f>
        <v>0.20987654320987653</v>
      </c>
      <c r="E20" s="63" t="s">
        <v>79</v>
      </c>
      <c r="F20" s="60" t="s">
        <v>33</v>
      </c>
      <c r="G20" s="47">
        <v>0</v>
      </c>
      <c r="H20" s="137">
        <f>IF(B$17=0,0,G20/B$17)</f>
        <v>0</v>
      </c>
      <c r="I20" s="98">
        <v>3</v>
      </c>
      <c r="N20" s="119" t="s">
        <v>129</v>
      </c>
      <c r="O20" s="129">
        <f>IF(P20=0,0,Q20/P20)</f>
        <v>-61.750000000000007</v>
      </c>
      <c r="P20" s="123">
        <v>6</v>
      </c>
      <c r="Q20" s="111">
        <v>-370.50000000000006</v>
      </c>
    </row>
    <row r="21" spans="1:17" x14ac:dyDescent="0.4">
      <c r="A21" s="55" t="s">
        <v>199</v>
      </c>
      <c r="B21" s="47">
        <v>4</v>
      </c>
      <c r="C21" s="141">
        <v>2</v>
      </c>
      <c r="E21" s="63" t="s">
        <v>80</v>
      </c>
      <c r="F21" s="60" t="s">
        <v>34</v>
      </c>
      <c r="G21" s="47">
        <v>0</v>
      </c>
      <c r="H21" s="137">
        <f>IF(B$17=0,0,G21/B$17)</f>
        <v>0</v>
      </c>
      <c r="I21" s="98">
        <v>6</v>
      </c>
    </row>
    <row r="22" spans="1:17" x14ac:dyDescent="0.4">
      <c r="A22" s="55" t="s">
        <v>200</v>
      </c>
      <c r="B22" s="47">
        <v>16</v>
      </c>
      <c r="C22" s="141">
        <v>4</v>
      </c>
      <c r="E22" s="63" t="s">
        <v>81</v>
      </c>
      <c r="F22" s="60" t="s">
        <v>35</v>
      </c>
      <c r="G22" s="47">
        <v>0</v>
      </c>
      <c r="H22" s="137">
        <f>IF(B$17=0,0,G22/B$17)</f>
        <v>0</v>
      </c>
      <c r="I22" s="98">
        <v>4</v>
      </c>
    </row>
    <row r="23" spans="1:17" x14ac:dyDescent="0.4">
      <c r="A23" s="55" t="s">
        <v>5</v>
      </c>
      <c r="B23" s="51">
        <f>IF(B$17=0,0,C23/B$17)</f>
        <v>6480</v>
      </c>
      <c r="C23" s="41">
        <v>129600</v>
      </c>
      <c r="E23" s="63" t="s">
        <v>82</v>
      </c>
      <c r="F23" s="60" t="s">
        <v>36</v>
      </c>
      <c r="G23" s="47">
        <v>0</v>
      </c>
      <c r="H23" s="137">
        <f>IF(B$17=0,0,G23/B$17)</f>
        <v>0</v>
      </c>
      <c r="I23" s="98">
        <v>1</v>
      </c>
    </row>
    <row r="24" spans="1:17" x14ac:dyDescent="0.4">
      <c r="A24" s="57" t="s">
        <v>14</v>
      </c>
      <c r="B24" s="52">
        <f>IF(B$20=0,0,C24/B$20)</f>
        <v>-7141.1764705882351</v>
      </c>
      <c r="C24" s="45">
        <v>-121400</v>
      </c>
      <c r="E24" s="63" t="s">
        <v>83</v>
      </c>
      <c r="F24" s="60" t="s">
        <v>37</v>
      </c>
      <c r="G24" s="47">
        <v>0</v>
      </c>
      <c r="H24" s="137">
        <f>IF(B$17=0,0,G24/B$17)</f>
        <v>0</v>
      </c>
      <c r="I24" s="98">
        <v>1</v>
      </c>
    </row>
    <row r="25" spans="1:17" x14ac:dyDescent="0.4">
      <c r="A25" s="94" t="s">
        <v>144</v>
      </c>
      <c r="B25" s="144">
        <v>5</v>
      </c>
      <c r="C25" s="145"/>
      <c r="E25" s="63" t="s">
        <v>84</v>
      </c>
      <c r="F25" s="60" t="s">
        <v>38</v>
      </c>
      <c r="G25" s="47">
        <v>0</v>
      </c>
      <c r="H25" s="137">
        <f>IF(B$17=0,0,G25/B$17)</f>
        <v>0</v>
      </c>
      <c r="I25" s="98">
        <v>7</v>
      </c>
    </row>
    <row r="26" spans="1:17" x14ac:dyDescent="0.4">
      <c r="A26" s="58" t="s">
        <v>155</v>
      </c>
      <c r="B26" s="142">
        <v>65000</v>
      </c>
      <c r="C26" s="143"/>
      <c r="E26" s="63" t="s">
        <v>85</v>
      </c>
      <c r="F26" s="60" t="s">
        <v>39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87</v>
      </c>
      <c r="F27" s="60" t="s">
        <v>41</v>
      </c>
      <c r="G27" s="47">
        <v>0</v>
      </c>
      <c r="H27" s="137">
        <f>IF(B$17=0,0,G27/B$17)</f>
        <v>0</v>
      </c>
      <c r="I27" s="98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IF(B$17=0,0,G28/B$17)</f>
        <v>0</v>
      </c>
      <c r="I28" s="98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IF(B$17=0,0,G29/B$17)</f>
        <v>0</v>
      </c>
      <c r="I29" s="98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IF(B$17=0,0,G30/B$17)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IF(B$17=0,0,G31/B$17)</f>
        <v>0</v>
      </c>
      <c r="I31" s="98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62982-683A-4B4E-B9C5-236A779028E6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191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3</v>
      </c>
      <c r="C2" s="151"/>
      <c r="E2" s="62" t="s">
        <v>66</v>
      </c>
      <c r="F2" s="59" t="s">
        <v>21</v>
      </c>
      <c r="G2" s="46">
        <v>3</v>
      </c>
      <c r="H2" s="136">
        <f>IF(B$17=0,0,G2/B$17)</f>
        <v>0.6</v>
      </c>
      <c r="I2" s="97">
        <v>2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3000</v>
      </c>
      <c r="P2" s="122">
        <v>3</v>
      </c>
      <c r="Q2" s="106">
        <v>9000</v>
      </c>
    </row>
    <row r="3" spans="1:17" x14ac:dyDescent="0.4">
      <c r="A3" s="55" t="s">
        <v>8</v>
      </c>
      <c r="B3" s="152">
        <v>19</v>
      </c>
      <c r="C3" s="153"/>
      <c r="E3" s="63" t="s">
        <v>68</v>
      </c>
      <c r="F3" s="60" t="s">
        <v>23</v>
      </c>
      <c r="G3" s="47">
        <v>3</v>
      </c>
      <c r="H3" s="137">
        <f>IF(B$17=0,0,G3/B$17)</f>
        <v>0.6</v>
      </c>
      <c r="I3" s="98">
        <v>6</v>
      </c>
      <c r="K3" s="38">
        <v>1</v>
      </c>
      <c r="L3" s="103">
        <v>-14.6</v>
      </c>
      <c r="N3" s="119" t="s">
        <v>135</v>
      </c>
      <c r="O3" s="126">
        <f t="shared" si="0"/>
        <v>2233.3333333333335</v>
      </c>
      <c r="P3" s="123">
        <v>3</v>
      </c>
      <c r="Q3" s="107">
        <v>6700</v>
      </c>
    </row>
    <row r="4" spans="1:17" x14ac:dyDescent="0.4">
      <c r="A4" s="55" t="s">
        <v>6</v>
      </c>
      <c r="B4" s="154">
        <v>61</v>
      </c>
      <c r="C4" s="155"/>
      <c r="E4" s="63" t="s">
        <v>74</v>
      </c>
      <c r="F4" s="60" t="s">
        <v>28</v>
      </c>
      <c r="G4" s="47">
        <v>3</v>
      </c>
      <c r="H4" s="137">
        <f>IF(B$17=0,0,G4/B$17)</f>
        <v>0.6</v>
      </c>
      <c r="I4" s="98">
        <v>4</v>
      </c>
      <c r="K4" s="38">
        <v>2</v>
      </c>
      <c r="L4" s="103">
        <v>22.5</v>
      </c>
      <c r="N4" s="119" t="s">
        <v>136</v>
      </c>
      <c r="O4" s="126">
        <f t="shared" si="0"/>
        <v>-1000</v>
      </c>
      <c r="P4" s="123">
        <v>3</v>
      </c>
      <c r="Q4" s="107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69</v>
      </c>
      <c r="F5" s="60" t="s">
        <v>24</v>
      </c>
      <c r="G5" s="47">
        <v>2</v>
      </c>
      <c r="H5" s="137">
        <f>IF(B$17=0,0,G5/B$17)</f>
        <v>0.4</v>
      </c>
      <c r="I5" s="98">
        <v>2</v>
      </c>
      <c r="K5" s="38">
        <v>3</v>
      </c>
      <c r="L5" s="103">
        <v>61</v>
      </c>
      <c r="N5" s="119" t="s">
        <v>137</v>
      </c>
      <c r="O5" s="126">
        <f t="shared" si="0"/>
        <v>6233.333333333333</v>
      </c>
      <c r="P5" s="123">
        <v>3</v>
      </c>
      <c r="Q5" s="107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92</v>
      </c>
      <c r="F6" s="60" t="s">
        <v>46</v>
      </c>
      <c r="G6" s="47">
        <v>2</v>
      </c>
      <c r="H6" s="137">
        <f>IF(B$17=0,0,G6/B$17)</f>
        <v>0.4</v>
      </c>
      <c r="I6" s="98">
        <v>1</v>
      </c>
      <c r="N6" s="119" t="s">
        <v>138</v>
      </c>
      <c r="O6" s="126">
        <f t="shared" si="0"/>
        <v>100</v>
      </c>
      <c r="P6" s="123">
        <v>3</v>
      </c>
      <c r="Q6" s="107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187</v>
      </c>
      <c r="F7" s="60" t="s">
        <v>188</v>
      </c>
      <c r="G7" s="47">
        <v>2</v>
      </c>
      <c r="H7" s="137">
        <f>IF(B$17=0,0,G7/B$17)</f>
        <v>0.4</v>
      </c>
      <c r="I7" s="98">
        <v>4</v>
      </c>
      <c r="N7" s="120" t="s">
        <v>139</v>
      </c>
      <c r="O7" s="127">
        <f t="shared" si="0"/>
        <v>-3566.6666666666665</v>
      </c>
      <c r="P7" s="124">
        <v>3</v>
      </c>
      <c r="Q7" s="108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7">
        <f>IF(B$17=0,0,G8/B$17)</f>
        <v>0.2</v>
      </c>
      <c r="I8" s="98">
        <v>7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7">
        <f>IF(B$17=0,0,G9/B$17)</f>
        <v>0.2</v>
      </c>
      <c r="I9" s="98">
        <v>4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7">
        <f>IF(B$17=0,0,G10/B$17)</f>
        <v>0.2</v>
      </c>
      <c r="I10" s="98">
        <v>1</v>
      </c>
      <c r="N10" s="118" t="s">
        <v>170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7">
        <f>IF(B$17=0,0,G11/B$17)</f>
        <v>0.2</v>
      </c>
      <c r="I11" s="98">
        <v>1</v>
      </c>
      <c r="N11" s="119" t="s">
        <v>171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163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7">
        <f>IF(B$17=0,0,G12/B$17)</f>
        <v>0</v>
      </c>
      <c r="I12" s="98">
        <v>8</v>
      </c>
      <c r="N12" s="120" t="s">
        <v>172</v>
      </c>
      <c r="O12" s="130">
        <f>IF(P12=0,0,Q12/P12)</f>
        <v>20.333333333333332</v>
      </c>
      <c r="P12" s="124">
        <v>3</v>
      </c>
      <c r="Q12" s="112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7">
        <f>IF(B$17=0,0,G13/B$17)</f>
        <v>0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7">
        <f>IF(B$17=0,0,G14/B$17)</f>
        <v>0</v>
      </c>
      <c r="I14" s="98">
        <v>4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7">
        <f>IF(B$17=0,0,G15/B$17)</f>
        <v>0</v>
      </c>
      <c r="I15" s="98">
        <v>3</v>
      </c>
      <c r="N15" s="118" t="s">
        <v>192</v>
      </c>
      <c r="O15" s="128">
        <f>IF(P15=0,0,Q15/P15)</f>
        <v>69.599999999999994</v>
      </c>
      <c r="P15" s="122">
        <v>1</v>
      </c>
      <c r="Q15" s="110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7">
        <f>IF(B$17=0,0,G16/B$17)</f>
        <v>0</v>
      </c>
      <c r="I16" s="98">
        <v>5</v>
      </c>
      <c r="N16" s="119" t="s">
        <v>183</v>
      </c>
      <c r="O16" s="129">
        <f>IF(P16=0,0,Q16/P16)</f>
        <v>45.699999999999996</v>
      </c>
      <c r="P16" s="123">
        <v>3</v>
      </c>
      <c r="Q16" s="111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7">
        <f>IF(B$17=0,0,G17/B$17)</f>
        <v>0</v>
      </c>
      <c r="I17" s="98">
        <v>1</v>
      </c>
      <c r="N17" s="119" t="s">
        <v>179</v>
      </c>
      <c r="O17" s="129">
        <f>IF(P17=0,0,Q17/P17)</f>
        <v>45.5</v>
      </c>
      <c r="P17" s="123">
        <v>1</v>
      </c>
      <c r="Q17" s="111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7">
        <f>IF(B$17=0,0,G18/B$17)</f>
        <v>0</v>
      </c>
      <c r="I18" s="98">
        <v>3</v>
      </c>
      <c r="N18" s="119" t="s">
        <v>129</v>
      </c>
      <c r="O18" s="129">
        <f>IF(P18=0,0,Q18/P18)</f>
        <v>-69.2</v>
      </c>
      <c r="P18" s="123">
        <v>1</v>
      </c>
      <c r="Q18" s="111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7">
        <f>IF(B$17=0,0,G19/B$17)</f>
        <v>0</v>
      </c>
      <c r="I19" s="98">
        <v>6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7">
        <f>IF(B$17=0,0,G20/B$17)</f>
        <v>0</v>
      </c>
      <c r="I20" s="98">
        <v>4</v>
      </c>
    </row>
    <row r="21" spans="1:17" x14ac:dyDescent="0.4">
      <c r="A21" s="55" t="s">
        <v>199</v>
      </c>
      <c r="B21" s="47">
        <v>2</v>
      </c>
      <c r="C21" s="141">
        <v>0</v>
      </c>
      <c r="E21" s="63" t="s">
        <v>82</v>
      </c>
      <c r="F21" s="60" t="s">
        <v>36</v>
      </c>
      <c r="G21" s="47">
        <v>0</v>
      </c>
      <c r="H21" s="137">
        <f>IF(B$17=0,0,G21/B$17)</f>
        <v>0</v>
      </c>
      <c r="I21" s="98">
        <v>1</v>
      </c>
    </row>
    <row r="22" spans="1:17" x14ac:dyDescent="0.4">
      <c r="A22" s="55" t="s">
        <v>200</v>
      </c>
      <c r="B22" s="47">
        <v>12</v>
      </c>
      <c r="C22" s="141">
        <v>12</v>
      </c>
      <c r="E22" s="63" t="s">
        <v>83</v>
      </c>
      <c r="F22" s="60" t="s">
        <v>37</v>
      </c>
      <c r="G22" s="47">
        <v>0</v>
      </c>
      <c r="H22" s="137">
        <f>IF(B$17=0,0,G22/B$17)</f>
        <v>0</v>
      </c>
      <c r="I22" s="98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7">
        <f>IF(B$17=0,0,G23/B$17)</f>
        <v>0</v>
      </c>
      <c r="I23" s="98">
        <v>7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7">
        <f>IF(B$17=0,0,G24/B$17)</f>
        <v>0</v>
      </c>
      <c r="I24" s="98">
        <v>1</v>
      </c>
    </row>
    <row r="25" spans="1:17" x14ac:dyDescent="0.4">
      <c r="A25" s="94" t="s">
        <v>144</v>
      </c>
      <c r="B25" s="144">
        <v>3</v>
      </c>
      <c r="C25" s="145"/>
      <c r="E25" s="63" t="s">
        <v>86</v>
      </c>
      <c r="F25" s="60" t="s">
        <v>40</v>
      </c>
      <c r="G25" s="47">
        <v>0</v>
      </c>
      <c r="H25" s="137">
        <f>IF(B$17=0,0,G25/B$17)</f>
        <v>0</v>
      </c>
      <c r="I25" s="98">
        <v>9</v>
      </c>
    </row>
    <row r="26" spans="1:17" x14ac:dyDescent="0.4">
      <c r="A26" s="58" t="s">
        <v>155</v>
      </c>
      <c r="B26" s="142">
        <v>53500</v>
      </c>
      <c r="C26" s="143"/>
      <c r="E26" s="63" t="s">
        <v>87</v>
      </c>
      <c r="F26" s="60" t="s">
        <v>41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7">
        <f>IF(B$17=0,0,G27/B$17)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IF(B$17=0,0,G31/B$17)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6BBEA-01FC-4C61-86FD-990ACC86DB08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192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4</v>
      </c>
      <c r="C2" s="151"/>
      <c r="E2" s="62" t="s">
        <v>74</v>
      </c>
      <c r="F2" s="59" t="s">
        <v>28</v>
      </c>
      <c r="G2" s="46">
        <v>9</v>
      </c>
      <c r="H2" s="136">
        <f>IF(B$17=0,0,G2/B$17)</f>
        <v>0.9</v>
      </c>
      <c r="I2" s="97">
        <v>1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2550</v>
      </c>
      <c r="P2" s="122">
        <v>4</v>
      </c>
      <c r="Q2" s="106">
        <v>10200</v>
      </c>
    </row>
    <row r="3" spans="1:17" x14ac:dyDescent="0.4">
      <c r="A3" s="55" t="s">
        <v>8</v>
      </c>
      <c r="B3" s="152">
        <v>37</v>
      </c>
      <c r="C3" s="153"/>
      <c r="E3" s="63" t="s">
        <v>68</v>
      </c>
      <c r="F3" s="60" t="s">
        <v>23</v>
      </c>
      <c r="G3" s="47">
        <v>6</v>
      </c>
      <c r="H3" s="137">
        <f>IF(B$17=0,0,G3/B$17)</f>
        <v>0.6</v>
      </c>
      <c r="I3" s="98">
        <v>6</v>
      </c>
      <c r="K3" s="38">
        <v>1</v>
      </c>
      <c r="L3" s="103">
        <v>-43.7</v>
      </c>
      <c r="N3" s="119" t="s">
        <v>135</v>
      </c>
      <c r="O3" s="126">
        <f t="shared" si="0"/>
        <v>-4375</v>
      </c>
      <c r="P3" s="123">
        <v>4</v>
      </c>
      <c r="Q3" s="107">
        <v>-17500</v>
      </c>
    </row>
    <row r="4" spans="1:17" x14ac:dyDescent="0.4">
      <c r="A4" s="55" t="s">
        <v>6</v>
      </c>
      <c r="B4" s="154">
        <v>-49.800000000000004</v>
      </c>
      <c r="C4" s="155"/>
      <c r="E4" s="63" t="s">
        <v>66</v>
      </c>
      <c r="F4" s="60" t="s">
        <v>21</v>
      </c>
      <c r="G4" s="47">
        <v>5</v>
      </c>
      <c r="H4" s="137">
        <f>IF(B$17=0,0,G4/B$17)</f>
        <v>0.5</v>
      </c>
      <c r="I4" s="98">
        <v>3</v>
      </c>
      <c r="K4" s="38">
        <v>2</v>
      </c>
      <c r="L4" s="103">
        <v>-76.2</v>
      </c>
      <c r="N4" s="119" t="s">
        <v>136</v>
      </c>
      <c r="O4" s="126">
        <f t="shared" si="0"/>
        <v>725</v>
      </c>
      <c r="P4" s="123">
        <v>4</v>
      </c>
      <c r="Q4" s="107">
        <v>2900</v>
      </c>
    </row>
    <row r="5" spans="1:17" x14ac:dyDescent="0.4">
      <c r="A5" s="55" t="s">
        <v>7</v>
      </c>
      <c r="B5" s="156">
        <f>IF(B$2=0,0,B$4/B$2)</f>
        <v>-12.450000000000001</v>
      </c>
      <c r="C5" s="157"/>
      <c r="E5" s="63" t="s">
        <v>92</v>
      </c>
      <c r="F5" s="60" t="s">
        <v>46</v>
      </c>
      <c r="G5" s="47">
        <v>3</v>
      </c>
      <c r="H5" s="137">
        <f>IF(B$17=0,0,G5/B$17)</f>
        <v>0.3</v>
      </c>
      <c r="I5" s="98">
        <v>2</v>
      </c>
      <c r="K5" s="38">
        <v>3</v>
      </c>
      <c r="L5" s="103">
        <v>-78.400000000000006</v>
      </c>
      <c r="N5" s="119" t="s">
        <v>137</v>
      </c>
      <c r="O5" s="126">
        <f t="shared" si="0"/>
        <v>-5750</v>
      </c>
      <c r="P5" s="123">
        <v>4</v>
      </c>
      <c r="Q5" s="107">
        <v>-23000</v>
      </c>
    </row>
    <row r="6" spans="1:17" x14ac:dyDescent="0.4">
      <c r="A6" s="55" t="s">
        <v>1</v>
      </c>
      <c r="B6" s="146">
        <f>IF(B$2=0,0,(B$7*1+B$8*2+B$9*3)/B$2)</f>
        <v>2.25</v>
      </c>
      <c r="C6" s="147"/>
      <c r="E6" s="63" t="s">
        <v>187</v>
      </c>
      <c r="F6" s="60" t="s">
        <v>188</v>
      </c>
      <c r="G6" s="47">
        <v>3</v>
      </c>
      <c r="H6" s="137">
        <f>IF(B$17=0,0,G6/B$17)</f>
        <v>0.3</v>
      </c>
      <c r="I6" s="98">
        <v>7</v>
      </c>
      <c r="K6" s="38">
        <v>4</v>
      </c>
      <c r="L6" s="103">
        <v>-49.800000000000004</v>
      </c>
      <c r="N6" s="119" t="s">
        <v>138</v>
      </c>
      <c r="O6" s="126">
        <f t="shared" si="0"/>
        <v>2050</v>
      </c>
      <c r="P6" s="123">
        <v>4</v>
      </c>
      <c r="Q6" s="107">
        <v>8200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70</v>
      </c>
      <c r="F7" s="60" t="s">
        <v>12</v>
      </c>
      <c r="G7" s="47">
        <v>2</v>
      </c>
      <c r="H7" s="137">
        <f>IF(B$17=0,0,G7/B$17)</f>
        <v>0.2</v>
      </c>
      <c r="I7" s="98">
        <v>7</v>
      </c>
      <c r="N7" s="120" t="s">
        <v>139</v>
      </c>
      <c r="O7" s="127">
        <f t="shared" si="0"/>
        <v>-2650</v>
      </c>
      <c r="P7" s="124">
        <v>4</v>
      </c>
      <c r="Q7" s="108">
        <v>-10600</v>
      </c>
    </row>
    <row r="8" spans="1:17" x14ac:dyDescent="0.4">
      <c r="A8" s="55" t="s">
        <v>3</v>
      </c>
      <c r="B8" s="47">
        <v>1</v>
      </c>
      <c r="C8" s="39">
        <f>IF(B$2=0,0,B8/B$2)</f>
        <v>0.25</v>
      </c>
      <c r="E8" s="63" t="s">
        <v>71</v>
      </c>
      <c r="F8" s="60" t="s">
        <v>25</v>
      </c>
      <c r="G8" s="47">
        <v>2</v>
      </c>
      <c r="H8" s="137">
        <f>IF(B$17=0,0,G8/B$17)</f>
        <v>0.2</v>
      </c>
      <c r="I8" s="98">
        <v>4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0.5</v>
      </c>
      <c r="E9" s="63" t="s">
        <v>84</v>
      </c>
      <c r="F9" s="60" t="s">
        <v>38</v>
      </c>
      <c r="G9" s="47">
        <v>1</v>
      </c>
      <c r="H9" s="137">
        <f>IF(B$17=0,0,G9/B$17)</f>
        <v>0.1</v>
      </c>
      <c r="I9" s="98">
        <v>1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0</v>
      </c>
      <c r="H10" s="137">
        <f>IF(B$17=0,0,G10/B$17)</f>
        <v>0</v>
      </c>
      <c r="I10" s="98">
        <v>8</v>
      </c>
      <c r="N10" s="118" t="s">
        <v>170</v>
      </c>
      <c r="O10" s="128">
        <f>IF(P10=0,0,Q10/P10)</f>
        <v>-32.5</v>
      </c>
      <c r="P10" s="122">
        <v>1</v>
      </c>
      <c r="Q10" s="110">
        <v>-32.5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0</v>
      </c>
      <c r="H11" s="137">
        <f>IF(B$17=0,0,G11/B$17)</f>
        <v>0</v>
      </c>
      <c r="I11" s="98">
        <v>10</v>
      </c>
      <c r="N11" s="119" t="s">
        <v>171</v>
      </c>
      <c r="O11" s="129">
        <f>IF(P11=0,0,Q11/P11)</f>
        <v>-22.950000000000003</v>
      </c>
      <c r="P11" s="123">
        <v>2</v>
      </c>
      <c r="Q11" s="111">
        <v>-45.900000000000006</v>
      </c>
    </row>
    <row r="12" spans="1:17" x14ac:dyDescent="0.4">
      <c r="A12" s="57" t="s">
        <v>163</v>
      </c>
      <c r="B12" s="49">
        <v>0</v>
      </c>
      <c r="C12" s="42">
        <f>IF(B$2=0,0,B12/B$2)</f>
        <v>0</v>
      </c>
      <c r="E12" s="63" t="s">
        <v>72</v>
      </c>
      <c r="F12" s="60" t="s">
        <v>26</v>
      </c>
      <c r="G12" s="47">
        <v>0</v>
      </c>
      <c r="H12" s="137">
        <f>IF(B$17=0,0,G12/B$17)</f>
        <v>0</v>
      </c>
      <c r="I12" s="98">
        <v>7</v>
      </c>
      <c r="N12" s="120" t="s">
        <v>172</v>
      </c>
      <c r="O12" s="130">
        <f>IF(P12=0,0,Q12/P12)</f>
        <v>28.6</v>
      </c>
      <c r="P12" s="124">
        <v>1</v>
      </c>
      <c r="Q12" s="112">
        <v>28.6</v>
      </c>
    </row>
    <row r="13" spans="1:17" x14ac:dyDescent="0.4">
      <c r="A13" s="58" t="s">
        <v>124</v>
      </c>
      <c r="B13" s="50">
        <v>7</v>
      </c>
      <c r="C13" s="44">
        <f>IF(B$3=0,0,B13/B$3)</f>
        <v>0.1891891891891892</v>
      </c>
      <c r="E13" s="63" t="s">
        <v>73</v>
      </c>
      <c r="F13" s="60" t="s">
        <v>27</v>
      </c>
      <c r="G13" s="47">
        <v>0</v>
      </c>
      <c r="H13" s="137">
        <f>IF(B$17=0,0,G13/B$17)</f>
        <v>0</v>
      </c>
      <c r="I13" s="98">
        <v>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6</v>
      </c>
      <c r="C14" s="39">
        <f>IF(B$3=0,0,B14/B$3)</f>
        <v>0.16216216216216217</v>
      </c>
      <c r="E14" s="63" t="s">
        <v>75</v>
      </c>
      <c r="F14" s="60" t="s">
        <v>29</v>
      </c>
      <c r="G14" s="47">
        <v>0</v>
      </c>
      <c r="H14" s="137">
        <f>IF(B$17=0,0,G14/B$17)</f>
        <v>0</v>
      </c>
      <c r="I14" s="98">
        <v>4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5</v>
      </c>
      <c r="C15" s="37">
        <f>IF(B$13=0,0,B15/B$13)</f>
        <v>0.7142857142857143</v>
      </c>
      <c r="E15" s="63" t="s">
        <v>76</v>
      </c>
      <c r="F15" s="60" t="s">
        <v>30</v>
      </c>
      <c r="G15" s="47">
        <v>0</v>
      </c>
      <c r="H15" s="137">
        <f>IF(B$17=0,0,G15/B$17)</f>
        <v>0</v>
      </c>
      <c r="I15" s="98">
        <v>3</v>
      </c>
      <c r="N15" s="118" t="s">
        <v>131</v>
      </c>
      <c r="O15" s="128">
        <f>IF(P15=0,0,Q15/P15)</f>
        <v>72.3</v>
      </c>
      <c r="P15" s="122">
        <v>1</v>
      </c>
      <c r="Q15" s="110">
        <v>72.3</v>
      </c>
    </row>
    <row r="16" spans="1:17" x14ac:dyDescent="0.4">
      <c r="A16" s="54" t="s">
        <v>127</v>
      </c>
      <c r="B16" s="46">
        <v>4</v>
      </c>
      <c r="C16" s="37">
        <f>IF(B$14=0,0,B16/B$14)</f>
        <v>0.66666666666666663</v>
      </c>
      <c r="E16" s="63" t="s">
        <v>77</v>
      </c>
      <c r="F16" s="60" t="s">
        <v>31</v>
      </c>
      <c r="G16" s="47">
        <v>0</v>
      </c>
      <c r="H16" s="137">
        <f>IF(B$17=0,0,G16/B$17)</f>
        <v>0</v>
      </c>
      <c r="I16" s="98">
        <v>5</v>
      </c>
      <c r="N16" s="119" t="s">
        <v>129</v>
      </c>
      <c r="O16" s="129">
        <f>IF(P16=0,0,Q16/P16)</f>
        <v>57.7</v>
      </c>
      <c r="P16" s="123">
        <v>1</v>
      </c>
      <c r="Q16" s="111">
        <v>57.7</v>
      </c>
    </row>
    <row r="17" spans="1:17" x14ac:dyDescent="0.4">
      <c r="A17" s="54" t="s">
        <v>10</v>
      </c>
      <c r="B17" s="46">
        <f>B19+B18</f>
        <v>10</v>
      </c>
      <c r="C17" s="37">
        <f>IF(B$3=0,0,B17/B$3)</f>
        <v>0.27027027027027029</v>
      </c>
      <c r="E17" s="63" t="s">
        <v>78</v>
      </c>
      <c r="F17" s="60" t="s">
        <v>32</v>
      </c>
      <c r="G17" s="47">
        <v>0</v>
      </c>
      <c r="H17" s="137">
        <f>IF(B$17=0,0,G17/B$17)</f>
        <v>0</v>
      </c>
      <c r="I17" s="98">
        <v>1</v>
      </c>
      <c r="N17" s="119" t="s">
        <v>177</v>
      </c>
      <c r="O17" s="129">
        <f>IF(P17=0,0,Q17/P17)</f>
        <v>-25.400000000000002</v>
      </c>
      <c r="P17" s="123">
        <v>2</v>
      </c>
      <c r="Q17" s="111">
        <v>-50.800000000000004</v>
      </c>
    </row>
    <row r="18" spans="1:17" x14ac:dyDescent="0.4">
      <c r="A18" s="55" t="s">
        <v>12</v>
      </c>
      <c r="B18" s="47">
        <v>6</v>
      </c>
      <c r="C18" s="39">
        <f>IF(B$17=0,0,B18/B$17)</f>
        <v>0.6</v>
      </c>
      <c r="E18" s="63" t="s">
        <v>79</v>
      </c>
      <c r="F18" s="60" t="s">
        <v>33</v>
      </c>
      <c r="G18" s="47">
        <v>0</v>
      </c>
      <c r="H18" s="137">
        <f>IF(B$17=0,0,G18/B$17)</f>
        <v>0</v>
      </c>
      <c r="I18" s="98">
        <v>3</v>
      </c>
      <c r="N18" s="119" t="s">
        <v>130</v>
      </c>
      <c r="O18" s="129">
        <f>IF(P18=0,0,Q18/P18)</f>
        <v>-37.400000000000006</v>
      </c>
      <c r="P18" s="123">
        <v>1</v>
      </c>
      <c r="Q18" s="111">
        <v>-37.400000000000006</v>
      </c>
    </row>
    <row r="19" spans="1:17" x14ac:dyDescent="0.4">
      <c r="A19" s="55" t="s">
        <v>11</v>
      </c>
      <c r="B19" s="47">
        <v>4</v>
      </c>
      <c r="C19" s="39">
        <f>IF(B$17=0,0,B19/B$17)</f>
        <v>0.4</v>
      </c>
      <c r="E19" s="63" t="s">
        <v>80</v>
      </c>
      <c r="F19" s="60" t="s">
        <v>34</v>
      </c>
      <c r="G19" s="47">
        <v>0</v>
      </c>
      <c r="H19" s="137">
        <f>IF(B$17=0,0,G19/B$17)</f>
        <v>0</v>
      </c>
      <c r="I19" s="98">
        <v>6</v>
      </c>
      <c r="N19" s="119" t="s">
        <v>183</v>
      </c>
      <c r="O19" s="129">
        <f>IF(P19=0,0,Q19/P19)</f>
        <v>-60.800000000000004</v>
      </c>
      <c r="P19" s="123">
        <v>2</v>
      </c>
      <c r="Q19" s="111">
        <v>-121.60000000000001</v>
      </c>
    </row>
    <row r="20" spans="1:17" x14ac:dyDescent="0.4">
      <c r="A20" s="55" t="s">
        <v>13</v>
      </c>
      <c r="B20" s="47">
        <v>8</v>
      </c>
      <c r="C20" s="39">
        <f>IF(B$3=0,0,B20/B$3)</f>
        <v>0.21621621621621623</v>
      </c>
      <c r="E20" s="63" t="s">
        <v>81</v>
      </c>
      <c r="F20" s="60" t="s">
        <v>35</v>
      </c>
      <c r="G20" s="47">
        <v>0</v>
      </c>
      <c r="H20" s="137">
        <f>IF(B$17=0,0,G20/B$17)</f>
        <v>0</v>
      </c>
      <c r="I20" s="98">
        <v>4</v>
      </c>
      <c r="N20" s="119" t="s">
        <v>191</v>
      </c>
      <c r="O20" s="129">
        <f>IF(P20=0,0,Q20/P20)</f>
        <v>-69.599999999999994</v>
      </c>
      <c r="P20" s="123">
        <v>1</v>
      </c>
      <c r="Q20" s="111">
        <v>-69.599999999999994</v>
      </c>
    </row>
    <row r="21" spans="1:17" x14ac:dyDescent="0.4">
      <c r="A21" s="55" t="s">
        <v>199</v>
      </c>
      <c r="B21" s="47">
        <v>2</v>
      </c>
      <c r="C21" s="141">
        <v>2</v>
      </c>
      <c r="E21" s="63" t="s">
        <v>82</v>
      </c>
      <c r="F21" s="60" t="s">
        <v>36</v>
      </c>
      <c r="G21" s="47">
        <v>0</v>
      </c>
      <c r="H21" s="137">
        <f>IF(B$17=0,0,G21/B$17)</f>
        <v>0</v>
      </c>
      <c r="I21" s="98">
        <v>1</v>
      </c>
    </row>
    <row r="22" spans="1:17" x14ac:dyDescent="0.4">
      <c r="A22" s="55" t="s">
        <v>200</v>
      </c>
      <c r="B22" s="47">
        <v>10</v>
      </c>
      <c r="C22" s="141">
        <v>3</v>
      </c>
      <c r="E22" s="63" t="s">
        <v>83</v>
      </c>
      <c r="F22" s="60" t="s">
        <v>37</v>
      </c>
      <c r="G22" s="47">
        <v>0</v>
      </c>
      <c r="H22" s="137">
        <f>IF(B$17=0,0,G22/B$17)</f>
        <v>0</v>
      </c>
      <c r="I22" s="98">
        <v>1</v>
      </c>
    </row>
    <row r="23" spans="1:17" x14ac:dyDescent="0.4">
      <c r="A23" s="55" t="s">
        <v>5</v>
      </c>
      <c r="B23" s="51">
        <f>IF(B$17=0,0,C23/B$17)</f>
        <v>6070</v>
      </c>
      <c r="C23" s="41">
        <v>60700</v>
      </c>
      <c r="E23" s="63" t="s">
        <v>85</v>
      </c>
      <c r="F23" s="60" t="s">
        <v>39</v>
      </c>
      <c r="G23" s="47">
        <v>0</v>
      </c>
      <c r="H23" s="137">
        <f>IF(B$17=0,0,G23/B$17)</f>
        <v>0</v>
      </c>
      <c r="I23" s="98">
        <v>1</v>
      </c>
    </row>
    <row r="24" spans="1:17" x14ac:dyDescent="0.4">
      <c r="A24" s="57" t="s">
        <v>14</v>
      </c>
      <c r="B24" s="52">
        <f>IF(B$20=0,0,C24/B$20)</f>
        <v>-6700</v>
      </c>
      <c r="C24" s="45">
        <v>-53600</v>
      </c>
      <c r="E24" s="63" t="s">
        <v>86</v>
      </c>
      <c r="F24" s="60" t="s">
        <v>40</v>
      </c>
      <c r="G24" s="47">
        <v>0</v>
      </c>
      <c r="H24" s="137">
        <f>IF(B$17=0,0,G24/B$17)</f>
        <v>0</v>
      </c>
      <c r="I24" s="98">
        <v>9</v>
      </c>
    </row>
    <row r="25" spans="1:17" x14ac:dyDescent="0.4">
      <c r="A25" s="94" t="s">
        <v>144</v>
      </c>
      <c r="B25" s="144">
        <v>4</v>
      </c>
      <c r="C25" s="145"/>
      <c r="E25" s="63" t="s">
        <v>87</v>
      </c>
      <c r="F25" s="60" t="s">
        <v>41</v>
      </c>
      <c r="G25" s="47">
        <v>0</v>
      </c>
      <c r="H25" s="137">
        <f>IF(B$17=0,0,G25/B$17)</f>
        <v>0</v>
      </c>
      <c r="I25" s="98">
        <v>1</v>
      </c>
    </row>
    <row r="26" spans="1:17" x14ac:dyDescent="0.4">
      <c r="A26" s="58" t="s">
        <v>155</v>
      </c>
      <c r="B26" s="142">
        <v>43600</v>
      </c>
      <c r="C26" s="143"/>
      <c r="E26" s="63" t="s">
        <v>88</v>
      </c>
      <c r="F26" s="60" t="s">
        <v>42</v>
      </c>
      <c r="G26" s="47">
        <v>0</v>
      </c>
      <c r="H26" s="137">
        <f>IF(B$17=0,0,G26/B$17)</f>
        <v>0</v>
      </c>
      <c r="I26" s="98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7">
        <f>IF(B$17=0,0,G27/B$17)</f>
        <v>0</v>
      </c>
      <c r="I27" s="98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IF(B$17=0,0,G31/B$17)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B95C8-0EF0-4694-8509-BC526515DF9F}">
  <sheetPr codeName="Sheet24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192</v>
      </c>
      <c r="B1" s="70" t="s">
        <v>192</v>
      </c>
      <c r="C1" s="70" t="s">
        <v>192</v>
      </c>
      <c r="D1" s="71" t="s">
        <v>192</v>
      </c>
      <c r="E1" s="70" t="s">
        <v>192</v>
      </c>
      <c r="F1" s="70" t="s">
        <v>192</v>
      </c>
      <c r="G1" s="70" t="s">
        <v>192</v>
      </c>
      <c r="H1" s="70" t="s">
        <v>192</v>
      </c>
      <c r="I1" s="70" t="s">
        <v>192</v>
      </c>
      <c r="J1" s="70" t="s">
        <v>192</v>
      </c>
      <c r="K1" s="70" t="s">
        <v>192</v>
      </c>
      <c r="L1" s="70" t="s">
        <v>192</v>
      </c>
      <c r="M1" s="70" t="s">
        <v>192</v>
      </c>
      <c r="N1" s="70" t="s">
        <v>192</v>
      </c>
      <c r="O1" s="70" t="s">
        <v>192</v>
      </c>
      <c r="P1" s="70" t="s">
        <v>192</v>
      </c>
      <c r="Q1" s="70" t="s">
        <v>192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5AB30-FA61-4A71-AFFE-AB85E94502FB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191</v>
      </c>
      <c r="B1" s="70" t="s">
        <v>191</v>
      </c>
      <c r="C1" s="70" t="s">
        <v>191</v>
      </c>
      <c r="D1" s="71" t="s">
        <v>191</v>
      </c>
      <c r="E1" s="70" t="s">
        <v>191</v>
      </c>
      <c r="F1" s="70" t="s">
        <v>191</v>
      </c>
      <c r="G1" s="70" t="s">
        <v>191</v>
      </c>
      <c r="H1" s="70" t="s">
        <v>191</v>
      </c>
      <c r="I1" s="70" t="s">
        <v>191</v>
      </c>
      <c r="J1" s="70" t="s">
        <v>191</v>
      </c>
      <c r="K1" s="70" t="s">
        <v>191</v>
      </c>
      <c r="L1" s="70" t="s">
        <v>191</v>
      </c>
      <c r="M1" s="70" t="s">
        <v>191</v>
      </c>
      <c r="N1" s="70" t="s">
        <v>191</v>
      </c>
      <c r="O1" s="70" t="s">
        <v>191</v>
      </c>
      <c r="P1" s="70" t="s">
        <v>191</v>
      </c>
      <c r="Q1" s="70" t="s">
        <v>191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644F5-848B-466E-A688-1B8DF325F7BA}">
  <sheetPr codeName="Sheet20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0.5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0.33333333333333331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0.25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0.16666666666666666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0.14285714285714285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0.125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0.1111111111111111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0.18181818181818182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12800-FC82-45B0-9AF5-410621CD3CC6}">
  <sheetPr codeName="Sheet18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L12" s="67">
        <v>0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3157E-9952-475F-9E0C-38FC20E94F6B}">
  <sheetPr codeName="Sheet16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8F19E-0677-4A77-AC77-4BDBE3583471}">
  <sheetPr codeName="Sheet14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L15" s="67">
        <v>8.3333333333333329E-2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0.14285714285714285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0.13333333333333333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0.125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0.11764705882352941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0.1111111111111111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0E372-62D5-47E3-8C13-4B7E5D8902A3}">
  <sheetPr codeName="Sheet12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0.5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0.33333333333333331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0.25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0.2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0.16666666666666666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0.14285714285714285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0.125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0.1111111111111111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0.1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9.0909090909090912E-2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8.3333333333333329E-2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7.6923076923076927E-2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067B0-B75B-43E0-858C-3BAF22328C64}">
  <sheetPr codeName="Sheet10"/>
  <dimension ref="A1:Q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1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0.5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0.33333333333333331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0.25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0.16666666666666666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0.14285714285714285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0.125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0.1111111111111111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0.1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9.0909090909090912E-2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8.3333333333333329E-2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7.6923076923076927E-2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L17" s="67">
        <v>7.1428571428571425E-2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5.8823529411764705E-2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0.15789473684210525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0.2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0.19047619047619047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0.18181818181818182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0.17391304347826086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0.16666666666666666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0.16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0.15384615384615385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0.14814814814814814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F665-7378-45C1-BDF9-92ECACAC1857}">
  <sheetPr codeName="Sheet8"/>
  <dimension ref="A1:Q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0.33333333333333331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0.42857142857142855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0.44444444444444442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0.4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0.36363636363636365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0.33333333333333331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0.30769230769230771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0.2857142857142857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0.26666666666666666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0.23529411764705882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0.22222222222222221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0.21052631578947367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0.2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0.19047619047619047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0.22727272727272727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0.21739130434782608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0.20833333333333334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4B885-0B62-4D24-A19B-1857957C61C0}">
  <sheetPr codeName="Sheet6"/>
  <dimension ref="A1:Q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0.22222222222222221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0.16666666666666666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0.13333333333333333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0.16666666666666666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0.19047619047619047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0.20833333333333334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0.18518518518518517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0.21212121212121213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0.19444444444444445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0.17948717948717949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0.16666666666666666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0.15555555555555556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0.14583333333333334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0.13725490196078433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0.12962962962962962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0.12280701754385964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0.13333333333333333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0.12698412698412698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L25" s="67">
        <v>0.12121212121212122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0.11594202898550725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0.1111111111111111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0.10666666666666667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0.10256410256410256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0.1111111111111111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0.10714285714285714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0.10344827586206896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0.1111111111111111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0.11827956989247312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0.125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0.12121212121212122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0.11764705882352941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0.11428571428571428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0.1111111111111111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0.11711711711711711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0.11403508771929824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0.1111111111111111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0.10833333333333334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0.11382113821138211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0.1111111111111111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</vt:vector>
  </HeadingPairs>
  <TitlesOfParts>
    <vt:vector size="4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2019-04-10T11:34:58Z</dcterms:modified>
</cp:coreProperties>
</file>