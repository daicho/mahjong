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D153ED7-D04C-4320-AF81-D36DC935E572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やがさき2" sheetId="5530" state="hidden" r:id="rId19"/>
    <sheet name="かわたつ2" sheetId="5528" state="hidden" r:id="rId20"/>
    <sheet name="ほたに2" sheetId="5526" state="hidden" r:id="rId21"/>
    <sheet name="いっしー2" sheetId="5524" state="hidden" r:id="rId22"/>
    <sheet name="あさひ2" sheetId="5522" state="hidden" r:id="rId23"/>
    <sheet name="まっつん2" sheetId="5520" state="hidden" r:id="rId24"/>
    <sheet name="ぱぱ2" sheetId="5518" state="hidden" r:id="rId25"/>
    <sheet name="たかの2" sheetId="5516" state="hidden" r:id="rId26"/>
    <sheet name="れんたろう2" sheetId="5514" state="hidden" r:id="rId27"/>
    <sheet name="ただ2" sheetId="5512" state="hidden" r:id="rId28"/>
    <sheet name="りくと2" sheetId="5510" state="hidden" r:id="rId29"/>
    <sheet name="だいち2" sheetId="5508" state="hidden" r:id="rId30"/>
    <sheet name="全体2" sheetId="550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517" l="1"/>
  <c r="O15" i="5523"/>
  <c r="O25" i="5507" l="1"/>
  <c r="O15" i="5529"/>
  <c r="O15" i="5511" l="1"/>
  <c r="O15" i="5515"/>
  <c r="O16" i="5505"/>
  <c r="O17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2" i="5529"/>
  <c r="C10" i="5529"/>
  <c r="C9" i="5529"/>
  <c r="H13" i="5529"/>
  <c r="C8" i="5529"/>
  <c r="O7" i="5529"/>
  <c r="C7" i="5529"/>
  <c r="O6" i="5529"/>
  <c r="B6" i="5529"/>
  <c r="O5" i="5529"/>
  <c r="B5" i="5529"/>
  <c r="O4" i="5529"/>
  <c r="H3" i="5529"/>
  <c r="O3" i="5529"/>
  <c r="O2" i="5529"/>
  <c r="H4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2" i="5527"/>
  <c r="C10" i="5527"/>
  <c r="C9" i="5527"/>
  <c r="H10" i="5527"/>
  <c r="C8" i="5527"/>
  <c r="O7" i="5527"/>
  <c r="C7" i="5527"/>
  <c r="O6" i="5527"/>
  <c r="B6" i="5527"/>
  <c r="O5" i="5527"/>
  <c r="B5" i="5527"/>
  <c r="O4" i="5527"/>
  <c r="H2" i="5527"/>
  <c r="O3" i="5527"/>
  <c r="O2" i="5527"/>
  <c r="H3" i="5527"/>
  <c r="O23" i="5513"/>
  <c r="O16" i="5507"/>
  <c r="O25" i="5505"/>
  <c r="C17" i="5529" l="1"/>
  <c r="H23" i="5529"/>
  <c r="H28" i="5529"/>
  <c r="H34" i="5529"/>
  <c r="H50" i="5529"/>
  <c r="H17" i="5529"/>
  <c r="C19" i="5529"/>
  <c r="H9" i="5529"/>
  <c r="H35" i="5529"/>
  <c r="H39" i="5529"/>
  <c r="H43" i="5529"/>
  <c r="H51" i="5529"/>
  <c r="H11" i="5529"/>
  <c r="H6" i="5529"/>
  <c r="H14" i="5529"/>
  <c r="H16" i="5529"/>
  <c r="H20" i="5529"/>
  <c r="H22" i="5529"/>
  <c r="H24" i="5529"/>
  <c r="H26" i="5529"/>
  <c r="H7" i="5529"/>
  <c r="H32" i="5529"/>
  <c r="H36" i="5529"/>
  <c r="H40" i="5529"/>
  <c r="H44" i="5529"/>
  <c r="H48" i="5529"/>
  <c r="H10" i="5529"/>
  <c r="H21" i="5529"/>
  <c r="H25" i="5529"/>
  <c r="H30" i="5529"/>
  <c r="H38" i="5529"/>
  <c r="H42" i="5529"/>
  <c r="H46" i="5529"/>
  <c r="H12" i="5529"/>
  <c r="H19" i="5529"/>
  <c r="H31" i="5529"/>
  <c r="H47" i="5529"/>
  <c r="H5" i="5529"/>
  <c r="H15" i="5529"/>
  <c r="H18" i="5529"/>
  <c r="H8" i="5529"/>
  <c r="C18" i="5529"/>
  <c r="B23" i="5529"/>
  <c r="H27" i="5529"/>
  <c r="H29" i="5529"/>
  <c r="H33" i="5529"/>
  <c r="H37" i="5529"/>
  <c r="H41" i="5529"/>
  <c r="H45" i="5529"/>
  <c r="H49" i="5529"/>
  <c r="H20" i="5527"/>
  <c r="H24" i="5527"/>
  <c r="H30" i="5527"/>
  <c r="H38" i="5527"/>
  <c r="H46" i="5527"/>
  <c r="H31" i="5527"/>
  <c r="H35" i="5527"/>
  <c r="H39" i="5527"/>
  <c r="H43" i="5527"/>
  <c r="H51" i="5527"/>
  <c r="H8" i="5527"/>
  <c r="H5" i="5527"/>
  <c r="H11" i="5527"/>
  <c r="H14" i="5527"/>
  <c r="H19" i="5527"/>
  <c r="H6" i="5527"/>
  <c r="H23" i="5527"/>
  <c r="H25" i="5527"/>
  <c r="H28" i="5527"/>
  <c r="H32" i="5527"/>
  <c r="H36" i="5527"/>
  <c r="H40" i="5527"/>
  <c r="H44" i="5527"/>
  <c r="H48" i="5527"/>
  <c r="H7" i="5527"/>
  <c r="H21" i="5527"/>
  <c r="H27" i="5527"/>
  <c r="H34" i="5527"/>
  <c r="H42" i="5527"/>
  <c r="H50" i="5527"/>
  <c r="H9" i="5527"/>
  <c r="H15" i="5527"/>
  <c r="H17" i="5527"/>
  <c r="C19" i="5527"/>
  <c r="H22" i="5527"/>
  <c r="H47" i="5527"/>
  <c r="H4" i="5527"/>
  <c r="H13" i="5527"/>
  <c r="H16" i="5527"/>
  <c r="H18" i="5527"/>
  <c r="C18" i="5527"/>
  <c r="B23" i="5527"/>
  <c r="H26" i="5527"/>
  <c r="H29" i="5527"/>
  <c r="H33" i="5527"/>
  <c r="H37" i="5527"/>
  <c r="H41" i="5527"/>
  <c r="H45" i="5527"/>
  <c r="H49" i="5527"/>
  <c r="O17" i="5515" l="1"/>
  <c r="O18" i="5523"/>
  <c r="O20" i="5525" l="1"/>
  <c r="O18" i="5525"/>
  <c r="O16" i="5519"/>
  <c r="O20" i="5509"/>
  <c r="O24" i="5507" l="1"/>
  <c r="O17" i="5525"/>
  <c r="O21" i="5517"/>
  <c r="O15" i="5525"/>
  <c r="O16" i="5525" l="1"/>
  <c r="O19" i="5525"/>
  <c r="C27" i="5525"/>
  <c r="B24" i="5525"/>
  <c r="C20" i="5525"/>
  <c r="B17" i="5525"/>
  <c r="H52" i="5525" s="1"/>
  <c r="C16" i="5525"/>
  <c r="C15" i="5525"/>
  <c r="C14" i="5525"/>
  <c r="H19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2" i="5505"/>
  <c r="H15" i="5525" l="1"/>
  <c r="H11" i="5525"/>
  <c r="H2" i="5525"/>
  <c r="H6" i="5525"/>
  <c r="C17" i="5525"/>
  <c r="H4" i="5525"/>
  <c r="H3" i="5525"/>
  <c r="H8" i="5525"/>
  <c r="H21" i="5525"/>
  <c r="H22" i="5525"/>
  <c r="H24" i="5525"/>
  <c r="H26" i="5525"/>
  <c r="H28" i="5525"/>
  <c r="H30" i="5525"/>
  <c r="H34" i="5525"/>
  <c r="H38" i="5525"/>
  <c r="H42" i="5525"/>
  <c r="H46" i="5525"/>
  <c r="H50" i="5525"/>
  <c r="C19" i="5525"/>
  <c r="H14" i="5525"/>
  <c r="H31" i="5525"/>
  <c r="H35" i="5525"/>
  <c r="H39" i="5525"/>
  <c r="H43" i="5525"/>
  <c r="H47" i="5525"/>
  <c r="H51" i="5525"/>
  <c r="H5" i="5525"/>
  <c r="H16" i="5525"/>
  <c r="H18" i="5525"/>
  <c r="H13" i="5525"/>
  <c r="H23" i="5525"/>
  <c r="H25" i="5525"/>
  <c r="H10" i="5525"/>
  <c r="H9" i="5525"/>
  <c r="H32" i="5525"/>
  <c r="H36" i="5525"/>
  <c r="H40" i="5525"/>
  <c r="H44" i="5525"/>
  <c r="H48" i="5525"/>
  <c r="H7" i="5525"/>
  <c r="H17" i="5525"/>
  <c r="H20" i="5525"/>
  <c r="H12" i="5525"/>
  <c r="C18" i="5525"/>
  <c r="B23" i="5525"/>
  <c r="H27" i="5525"/>
  <c r="H29" i="5525"/>
  <c r="H33" i="5525"/>
  <c r="H37" i="5525"/>
  <c r="H41" i="5525"/>
  <c r="H45" i="5525"/>
  <c r="H49" i="5525"/>
  <c r="O20" i="5515" l="1"/>
  <c r="O16" i="5511"/>
  <c r="O21" i="5519"/>
  <c r="O19" i="5519"/>
  <c r="O19" i="5507" l="1"/>
  <c r="O19" i="5523"/>
  <c r="O20" i="5523" l="1"/>
  <c r="O16" i="5523"/>
  <c r="O15" i="5513"/>
  <c r="O20" i="5511"/>
  <c r="O17" i="5521" l="1"/>
  <c r="O22" i="5517"/>
  <c r="O15" i="5521"/>
  <c r="O22" i="5523"/>
  <c r="O15" i="5509"/>
  <c r="O20" i="5519"/>
  <c r="O18" i="5505"/>
  <c r="O21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2" i="5519"/>
  <c r="O23" i="5519"/>
  <c r="O15" i="5507"/>
  <c r="O20" i="5507"/>
  <c r="O26" i="5505"/>
  <c r="H3" i="5523" l="1"/>
  <c r="H2" i="5523"/>
  <c r="H4" i="5523"/>
  <c r="H9" i="5523"/>
  <c r="H13" i="5521"/>
  <c r="H17" i="5521"/>
  <c r="H14" i="5521"/>
  <c r="H5" i="5521"/>
  <c r="C19" i="5521"/>
  <c r="H3" i="5521"/>
  <c r="H2" i="5521"/>
  <c r="H4" i="5521"/>
  <c r="H19" i="5521"/>
  <c r="H9" i="5521"/>
  <c r="H16" i="5521"/>
  <c r="H18" i="5521"/>
  <c r="C17" i="5521"/>
  <c r="H24" i="5521"/>
  <c r="H12" i="5521"/>
  <c r="H8" i="5521"/>
  <c r="H10" i="5521"/>
  <c r="H15" i="5521"/>
  <c r="C18" i="5521"/>
  <c r="C17" i="5523"/>
  <c r="H24" i="5523"/>
  <c r="H31" i="5523"/>
  <c r="H35" i="5523"/>
  <c r="H38" i="5523"/>
  <c r="H46" i="5523"/>
  <c r="H8" i="5523"/>
  <c r="H17" i="5523"/>
  <c r="H21" i="5523"/>
  <c r="C19" i="5523"/>
  <c r="H10" i="5523"/>
  <c r="H32" i="5523"/>
  <c r="H36" i="5523"/>
  <c r="H39" i="5523"/>
  <c r="H43" i="5523"/>
  <c r="H47" i="5523"/>
  <c r="H51" i="5523"/>
  <c r="H23" i="5523"/>
  <c r="H29" i="5523"/>
  <c r="H42" i="5523"/>
  <c r="H14" i="5523"/>
  <c r="H6" i="5523"/>
  <c r="H12" i="5523"/>
  <c r="H16" i="5523"/>
  <c r="H13" i="5523"/>
  <c r="H18" i="5523"/>
  <c r="H25" i="5523"/>
  <c r="H27" i="5523"/>
  <c r="H11" i="5523"/>
  <c r="H33" i="5523"/>
  <c r="H19" i="5523"/>
  <c r="H40" i="5523"/>
  <c r="H44" i="5523"/>
  <c r="H48" i="5523"/>
  <c r="H5" i="5523"/>
  <c r="H26" i="5523"/>
  <c r="H50" i="5523"/>
  <c r="H7" i="5523"/>
  <c r="H15" i="5523"/>
  <c r="H20" i="5523"/>
  <c r="H22" i="5523"/>
  <c r="C18" i="5523"/>
  <c r="B23" i="5523"/>
  <c r="H28" i="5523"/>
  <c r="H30" i="5523"/>
  <c r="H34" i="5523"/>
  <c r="H37" i="5523"/>
  <c r="H41" i="5523"/>
  <c r="H45" i="5523"/>
  <c r="H49" i="5523"/>
  <c r="H21" i="5521"/>
  <c r="H23" i="5521"/>
  <c r="H26" i="5521"/>
  <c r="H28" i="5521"/>
  <c r="H30" i="5521"/>
  <c r="H34" i="5521"/>
  <c r="H38" i="5521"/>
  <c r="H42" i="5521"/>
  <c r="H46" i="5521"/>
  <c r="H50" i="5521"/>
  <c r="H31" i="5521"/>
  <c r="H35" i="5521"/>
  <c r="H39" i="5521"/>
  <c r="H43" i="5521"/>
  <c r="H47" i="5521"/>
  <c r="H51" i="5521"/>
  <c r="H20" i="5521"/>
  <c r="H22" i="5521"/>
  <c r="H25" i="5521"/>
  <c r="H11" i="5521"/>
  <c r="H6" i="5521"/>
  <c r="H32" i="5521"/>
  <c r="H36" i="5521"/>
  <c r="H40" i="5521"/>
  <c r="H44" i="5521"/>
  <c r="H48" i="5521"/>
  <c r="H7" i="5521"/>
  <c r="B23" i="5521"/>
  <c r="H27" i="5521"/>
  <c r="H29" i="5521"/>
  <c r="H33" i="5521"/>
  <c r="H37" i="5521"/>
  <c r="H41" i="5521"/>
  <c r="H45" i="5521"/>
  <c r="H49" i="5521"/>
  <c r="O17" i="5519" l="1"/>
  <c r="O20" i="5517"/>
  <c r="O17" i="5517"/>
  <c r="O17" i="5509"/>
  <c r="O18" i="5515" l="1"/>
  <c r="O17" i="5513"/>
  <c r="O16" i="5517"/>
  <c r="O18" i="5517"/>
  <c r="O16" i="5515" l="1"/>
  <c r="O16" i="5513"/>
  <c r="O21" i="5511"/>
  <c r="O18" i="5511"/>
  <c r="O15" i="5519"/>
  <c r="O18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3" i="5505"/>
  <c r="H15" i="5519" l="1"/>
  <c r="H5" i="5519"/>
  <c r="H27" i="5519"/>
  <c r="H11" i="5519"/>
  <c r="H34" i="5519"/>
  <c r="H22" i="5519"/>
  <c r="H2" i="5519"/>
  <c r="H25" i="5519"/>
  <c r="H32" i="5519"/>
  <c r="H6" i="5519"/>
  <c r="C18" i="5519"/>
  <c r="H31" i="5519"/>
  <c r="H41" i="5519"/>
  <c r="H3" i="5519"/>
  <c r="H12" i="5519"/>
  <c r="H18" i="5519"/>
  <c r="B23" i="5519"/>
  <c r="H24" i="5519"/>
  <c r="H48" i="5519"/>
  <c r="H49" i="5519"/>
  <c r="H16" i="5519"/>
  <c r="H10" i="5519"/>
  <c r="H37" i="5519"/>
  <c r="H44" i="5519"/>
  <c r="H4" i="5519"/>
  <c r="H9" i="5519"/>
  <c r="H7" i="5519"/>
  <c r="H26" i="5519"/>
  <c r="C17" i="5519"/>
  <c r="H13" i="5519"/>
  <c r="H21" i="5519"/>
  <c r="H38" i="5519"/>
  <c r="H45" i="5519"/>
  <c r="H52" i="5519"/>
  <c r="H29" i="5519"/>
  <c r="H30" i="5519"/>
  <c r="H19" i="5519"/>
  <c r="H33" i="5519"/>
  <c r="H17" i="5519"/>
  <c r="H35" i="5519"/>
  <c r="H39" i="5519"/>
  <c r="H42" i="5519"/>
  <c r="H46" i="5519"/>
  <c r="H50" i="5519"/>
  <c r="H8" i="5519"/>
  <c r="H20" i="5519"/>
  <c r="H28" i="5519"/>
  <c r="C19" i="5519"/>
  <c r="H14" i="5519"/>
  <c r="H23" i="5519"/>
  <c r="H36" i="5519"/>
  <c r="H40" i="5519"/>
  <c r="H43" i="5519"/>
  <c r="H47" i="5519"/>
  <c r="O19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9" i="5515"/>
  <c r="O18" i="5509"/>
  <c r="O19" i="5509"/>
  <c r="O19" i="5513"/>
  <c r="O22" i="5515"/>
  <c r="O23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13" i="5515" l="1"/>
  <c r="H5" i="5515"/>
  <c r="H2" i="5515"/>
  <c r="H3" i="5515"/>
  <c r="H6" i="5513"/>
  <c r="C17" i="5517"/>
  <c r="H2" i="5517"/>
  <c r="H3" i="5517"/>
  <c r="H4" i="5517"/>
  <c r="H9" i="5517"/>
  <c r="H25" i="5517"/>
  <c r="H30" i="5517"/>
  <c r="H18" i="5517"/>
  <c r="H35" i="5517"/>
  <c r="H39" i="5517"/>
  <c r="H51" i="5517"/>
  <c r="H10" i="5517"/>
  <c r="H22" i="5517"/>
  <c r="H24" i="5517"/>
  <c r="C19" i="5517"/>
  <c r="H17" i="5517"/>
  <c r="H32" i="5517"/>
  <c r="H36" i="5517"/>
  <c r="H40" i="5517"/>
  <c r="H44" i="5517"/>
  <c r="H48" i="5517"/>
  <c r="H19" i="5517"/>
  <c r="H27" i="5517"/>
  <c r="H47" i="5517"/>
  <c r="H11" i="5517"/>
  <c r="H6" i="5517"/>
  <c r="H12" i="5517"/>
  <c r="H21" i="5517"/>
  <c r="H16" i="5517"/>
  <c r="H26" i="5517"/>
  <c r="H28" i="5517"/>
  <c r="H13" i="5517"/>
  <c r="H8" i="5517"/>
  <c r="H33" i="5517"/>
  <c r="H37" i="5517"/>
  <c r="H41" i="5517"/>
  <c r="H45" i="5517"/>
  <c r="H49" i="5517"/>
  <c r="H5" i="5517"/>
  <c r="H29" i="5517"/>
  <c r="H43" i="5517"/>
  <c r="H7" i="5517"/>
  <c r="H14" i="5517"/>
  <c r="H23" i="5517"/>
  <c r="H15" i="5517"/>
  <c r="C18" i="5517"/>
  <c r="B23" i="5517"/>
  <c r="H20" i="5517"/>
  <c r="H31" i="5517"/>
  <c r="H34" i="5517"/>
  <c r="H38" i="5517"/>
  <c r="H42" i="5517"/>
  <c r="H46" i="5517"/>
  <c r="H50" i="5517"/>
  <c r="C17" i="5515"/>
  <c r="H26" i="5515"/>
  <c r="H30" i="5515"/>
  <c r="H17" i="5515"/>
  <c r="H34" i="5515"/>
  <c r="H38" i="5515"/>
  <c r="H50" i="5515"/>
  <c r="H8" i="5515"/>
  <c r="H21" i="5515"/>
  <c r="H25" i="5515"/>
  <c r="C19" i="5515"/>
  <c r="H12" i="5515"/>
  <c r="H31" i="5515"/>
  <c r="H35" i="5515"/>
  <c r="H39" i="5515"/>
  <c r="H43" i="5515"/>
  <c r="H47" i="5515"/>
  <c r="H51" i="5515"/>
  <c r="H29" i="5515"/>
  <c r="H42" i="5515"/>
  <c r="H9" i="5515"/>
  <c r="H6" i="5515"/>
  <c r="H10" i="5515"/>
  <c r="H20" i="5515"/>
  <c r="H18" i="5515"/>
  <c r="H15" i="5515"/>
  <c r="H28" i="5515"/>
  <c r="H14" i="5515"/>
  <c r="H11" i="5515"/>
  <c r="H32" i="5515"/>
  <c r="H36" i="5515"/>
  <c r="H40" i="5515"/>
  <c r="H44" i="5515"/>
  <c r="H48" i="5515"/>
  <c r="H4" i="5515"/>
  <c r="H27" i="5515"/>
  <c r="H46" i="5515"/>
  <c r="H7" i="5515"/>
  <c r="H19" i="5515"/>
  <c r="H24" i="5515"/>
  <c r="H16" i="5515"/>
  <c r="C18" i="5515"/>
  <c r="B23" i="5515"/>
  <c r="H22" i="5515"/>
  <c r="H23" i="5515"/>
  <c r="H33" i="5515"/>
  <c r="H37" i="5515"/>
  <c r="H41" i="5515"/>
  <c r="H45" i="5515"/>
  <c r="H49" i="5515"/>
  <c r="H27" i="5513"/>
  <c r="H14" i="5513"/>
  <c r="H41" i="5513"/>
  <c r="H45" i="5513"/>
  <c r="H21" i="5513"/>
  <c r="H15" i="5513"/>
  <c r="C18" i="5513"/>
  <c r="H3" i="5513"/>
  <c r="H2" i="5513"/>
  <c r="H11" i="5513"/>
  <c r="H4" i="5513"/>
  <c r="C19" i="5513"/>
  <c r="H22" i="5513"/>
  <c r="H9" i="5513"/>
  <c r="H8" i="5513"/>
  <c r="H20" i="5513"/>
  <c r="H28" i="5513"/>
  <c r="C17" i="5513"/>
  <c r="H16" i="5513"/>
  <c r="H25" i="5513"/>
  <c r="H49" i="5513"/>
  <c r="H10" i="5513"/>
  <c r="H7" i="5513"/>
  <c r="H13" i="5513"/>
  <c r="H26" i="5513"/>
  <c r="H18" i="5513"/>
  <c r="H12" i="5513"/>
  <c r="H37" i="5513"/>
  <c r="H5" i="5513"/>
  <c r="H29" i="5513"/>
  <c r="H30" i="5513"/>
  <c r="H31" i="5513"/>
  <c r="H32" i="5513"/>
  <c r="H17" i="5513"/>
  <c r="H35" i="5513"/>
  <c r="H39" i="5513"/>
  <c r="H43" i="5513"/>
  <c r="H47" i="5513"/>
  <c r="H51" i="5513"/>
  <c r="H23" i="5513"/>
  <c r="H36" i="5513"/>
  <c r="H40" i="5513"/>
  <c r="H44" i="5513"/>
  <c r="H48" i="5513"/>
  <c r="H19" i="5513"/>
  <c r="B23" i="5513"/>
  <c r="H24" i="5513"/>
  <c r="H33" i="5513"/>
  <c r="H34" i="5513"/>
  <c r="H38" i="5513"/>
  <c r="H42" i="5513"/>
  <c r="H46" i="5513"/>
  <c r="H50" i="5513"/>
  <c r="O17" i="5511" l="1"/>
  <c r="O22" i="5511"/>
  <c r="C27" i="5511"/>
  <c r="B24" i="5511"/>
  <c r="C20" i="5511"/>
  <c r="B17" i="5511"/>
  <c r="H51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5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2" i="5509" l="1"/>
  <c r="H18" i="5509"/>
  <c r="H3" i="5509"/>
  <c r="H9" i="5509"/>
  <c r="H22" i="5509"/>
  <c r="H29" i="5509"/>
  <c r="H7" i="5509"/>
  <c r="H12" i="5509"/>
  <c r="H21" i="5509"/>
  <c r="C18" i="5509"/>
  <c r="H6" i="5509"/>
  <c r="H10" i="5509"/>
  <c r="H4" i="5509"/>
  <c r="C19" i="5509"/>
  <c r="H11" i="5507"/>
  <c r="H16" i="5507"/>
  <c r="H28" i="5507"/>
  <c r="H2" i="5511"/>
  <c r="H3" i="5511"/>
  <c r="H20" i="5505"/>
  <c r="H6" i="5507"/>
  <c r="H3" i="5507"/>
  <c r="H4" i="5511"/>
  <c r="H21" i="5511"/>
  <c r="H22" i="5511"/>
  <c r="C17" i="5511"/>
  <c r="B23" i="5511"/>
  <c r="H33" i="5511"/>
  <c r="H41" i="5511"/>
  <c r="H49" i="5511"/>
  <c r="H30" i="5511"/>
  <c r="H19" i="5511"/>
  <c r="H40" i="5511"/>
  <c r="H23" i="5511"/>
  <c r="H11" i="5511"/>
  <c r="H6" i="5511"/>
  <c r="H10" i="5511"/>
  <c r="H17" i="5511"/>
  <c r="H18" i="5511"/>
  <c r="H12" i="5511"/>
  <c r="H36" i="5511"/>
  <c r="H44" i="5511"/>
  <c r="H5" i="5511"/>
  <c r="H9" i="5511"/>
  <c r="C19" i="5511"/>
  <c r="H48" i="5511"/>
  <c r="H8" i="5511"/>
  <c r="H16" i="5511"/>
  <c r="H7" i="5511"/>
  <c r="H26" i="5511"/>
  <c r="H27" i="5511"/>
  <c r="H14" i="5511"/>
  <c r="C18" i="5511"/>
  <c r="H15" i="5511"/>
  <c r="H13" i="5511"/>
  <c r="H32" i="5511"/>
  <c r="H37" i="5511"/>
  <c r="H45" i="5511"/>
  <c r="H52" i="5511"/>
  <c r="H28" i="5511"/>
  <c r="H29" i="5511"/>
  <c r="H31" i="5511"/>
  <c r="H24" i="5511"/>
  <c r="H20" i="5511"/>
  <c r="H34" i="5511"/>
  <c r="H38" i="5511"/>
  <c r="H42" i="5511"/>
  <c r="H46" i="5511"/>
  <c r="H50" i="5511"/>
  <c r="H25" i="5511"/>
  <c r="H35" i="5511"/>
  <c r="H39" i="5511"/>
  <c r="H43" i="5511"/>
  <c r="H47" i="5511"/>
  <c r="H35" i="5509"/>
  <c r="B23" i="5509"/>
  <c r="H42" i="5509"/>
  <c r="H46" i="5509"/>
  <c r="H8" i="5509"/>
  <c r="H20" i="5509"/>
  <c r="H23" i="5509"/>
  <c r="C17" i="5509"/>
  <c r="H14" i="5509"/>
  <c r="H34" i="5509"/>
  <c r="H50" i="5509"/>
  <c r="H33" i="5509"/>
  <c r="H38" i="5509"/>
  <c r="H52" i="5509"/>
  <c r="H30" i="5509"/>
  <c r="H31" i="5509"/>
  <c r="H32" i="5509"/>
  <c r="H25" i="5509"/>
  <c r="H17" i="5509"/>
  <c r="H28" i="5509"/>
  <c r="H39" i="5509"/>
  <c r="H43" i="5509"/>
  <c r="H47" i="5509"/>
  <c r="H51" i="5509"/>
  <c r="H26" i="5509"/>
  <c r="H36" i="5509"/>
  <c r="H40" i="5509"/>
  <c r="H44" i="5509"/>
  <c r="H48" i="5509"/>
  <c r="H19" i="5509"/>
  <c r="H16" i="5509"/>
  <c r="H15" i="5509"/>
  <c r="H24" i="5509"/>
  <c r="H13" i="5509"/>
  <c r="H11" i="5509"/>
  <c r="H27" i="5509"/>
  <c r="H37" i="5509"/>
  <c r="H41" i="5509"/>
  <c r="H45" i="5509"/>
  <c r="H49" i="5509"/>
  <c r="H37" i="5505"/>
  <c r="H41" i="5505"/>
  <c r="H10" i="5505"/>
  <c r="H11" i="5505"/>
  <c r="H6" i="5505"/>
  <c r="H4" i="5505"/>
  <c r="H7" i="5505"/>
  <c r="H3" i="5505"/>
  <c r="H2" i="5505"/>
  <c r="H41" i="5507"/>
  <c r="H42" i="5507"/>
  <c r="H32" i="5507"/>
  <c r="H13" i="5507"/>
  <c r="H49" i="5507"/>
  <c r="H31" i="5507"/>
  <c r="H27" i="5507"/>
  <c r="H2" i="5507"/>
  <c r="H19" i="5507"/>
  <c r="B23" i="5507"/>
  <c r="H25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4" i="5507"/>
  <c r="H38" i="5507"/>
  <c r="H46" i="5507"/>
  <c r="H52" i="5507"/>
  <c r="H33" i="5507"/>
  <c r="H34" i="5507"/>
  <c r="H20" i="5507"/>
  <c r="H29" i="5507"/>
  <c r="H18" i="5507"/>
  <c r="H30" i="5507"/>
  <c r="H39" i="5507"/>
  <c r="H43" i="5507"/>
  <c r="H47" i="5507"/>
  <c r="H51" i="5507"/>
  <c r="H8" i="5507"/>
  <c r="H26" i="5507"/>
  <c r="H23" i="5507"/>
  <c r="C19" i="5507"/>
  <c r="H14" i="5507"/>
  <c r="H22" i="5507"/>
  <c r="H36" i="5507"/>
  <c r="H40" i="5507"/>
  <c r="H44" i="5507"/>
  <c r="H48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7" i="5505"/>
  <c r="H38" i="5505"/>
  <c r="H33" i="5505"/>
  <c r="H46" i="5505"/>
  <c r="H19" i="5505"/>
  <c r="C19" i="5505"/>
  <c r="H26" i="5505"/>
  <c r="H42" i="5505"/>
  <c r="H5" i="5505"/>
  <c r="H29" i="5505"/>
  <c r="H23" i="5505"/>
  <c r="H32" i="5505"/>
  <c r="H48" i="5505"/>
  <c r="H8" i="5505"/>
  <c r="H21" i="5505"/>
  <c r="H28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<sst xmlns="http://schemas.openxmlformats.org/spreadsheetml/2006/main" count="3331" uniqueCount="265">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</sst>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全体!$K$2:$K$716</c:f>
              <c:numCache>
                <c:formatCode>General</c:formatCode>
                <c:ptCount val="7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</c:numCache>
            </c:numRef>
          </c:xVal>
          <c:yVal>
            <c:numRef>
              <c:f>全体!$L$2:$L$716</c:f>
              <c:numCache>
                <c:formatCode>\+0.0;\-0.0;\±0</c:formatCode>
                <c:ptCount val="71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-16.806722689075631</c:v>
                </c:pt>
                <c:pt idx="1">
                  <c:v>-4.2918454935622314</c:v>
                </c:pt>
                <c:pt idx="2">
                  <c:v>9.1743119266055047</c:v>
                </c:pt>
                <c:pt idx="3">
                  <c:v>6.666666666666667</c:v>
                </c:pt>
                <c:pt idx="4">
                  <c:v>-11.111111111111111</c:v>
                </c:pt>
                <c:pt idx="5">
                  <c:v>23.206751054852322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だいち!$L$2:$L$161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1889.9371069182389</c:v>
                </c:pt>
                <c:pt idx="1">
                  <c:v>2013.5483870967741</c:v>
                </c:pt>
                <c:pt idx="2">
                  <c:v>709.52380952380952</c:v>
                </c:pt>
                <c:pt idx="3">
                  <c:v>2214.705882352941</c:v>
                </c:pt>
                <c:pt idx="4">
                  <c:v>505</c:v>
                </c:pt>
                <c:pt idx="5">
                  <c:v>825.242718446602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りくと!$L$2:$L$132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287.69230769230768</c:v>
                </c:pt>
                <c:pt idx="1">
                  <c:v>-2021.4285714285713</c:v>
                </c:pt>
                <c:pt idx="2">
                  <c:v>228.68852459016392</c:v>
                </c:pt>
                <c:pt idx="3">
                  <c:v>15.596330275229358</c:v>
                </c:pt>
                <c:pt idx="4">
                  <c:v>823.71134020618558</c:v>
                </c:pt>
                <c:pt idx="5">
                  <c:v>270.45454545454544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ただ!$L$2:$L$99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-2910.3092783505153</c:v>
                </c:pt>
                <c:pt idx="1">
                  <c:v>-1356.8421052631579</c:v>
                </c:pt>
                <c:pt idx="2">
                  <c:v>-204.49438202247191</c:v>
                </c:pt>
                <c:pt idx="3">
                  <c:v>-4174.6835443037971</c:v>
                </c:pt>
                <c:pt idx="4">
                  <c:v>-608.33333333333337</c:v>
                </c:pt>
                <c:pt idx="5">
                  <c:v>-1085.9375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れんたろう!$L$2:$L$94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-723.91304347826087</c:v>
                </c:pt>
                <c:pt idx="1">
                  <c:v>150</c:v>
                </c:pt>
                <c:pt idx="2">
                  <c:v>1246.9879518072289</c:v>
                </c:pt>
                <c:pt idx="3">
                  <c:v>715.27777777777783</c:v>
                </c:pt>
                <c:pt idx="4">
                  <c:v>-1392.1875</c:v>
                </c:pt>
                <c:pt idx="5">
                  <c:v>-192.98245614035088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たかの!$L$2:$L$85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793.97590361445782</c:v>
                </c:pt>
                <c:pt idx="1">
                  <c:v>-1550.6024096385543</c:v>
                </c:pt>
                <c:pt idx="2">
                  <c:v>-1605.4054054054054</c:v>
                </c:pt>
                <c:pt idx="3">
                  <c:v>1146.4788732394366</c:v>
                </c:pt>
                <c:pt idx="4">
                  <c:v>856.06060606060601</c:v>
                </c:pt>
                <c:pt idx="5">
                  <c:v>-510.34482758620692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まっつん!$L$2:$L$74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1326.3888888888889</c:v>
                </c:pt>
                <c:pt idx="1">
                  <c:v>891.304347826087</c:v>
                </c:pt>
                <c:pt idx="2">
                  <c:v>-395.16129032258067</c:v>
                </c:pt>
                <c:pt idx="3">
                  <c:v>2093.3333333333335</c:v>
                </c:pt>
                <c:pt idx="4">
                  <c:v>-1327.7777777777778</c:v>
                </c:pt>
                <c:pt idx="5">
                  <c:v>440.90909090909093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ほたに!$L$2:$L$11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やがさき2!$C$3:$C$5</c:f>
              <c:numCache>
                <c:formatCode>\+0.0;\-0.0;\±0</c:formatCode>
                <c:ptCount val="3"/>
                <c:pt idx="1">
                  <c:v>-37</c:v>
                </c:pt>
                <c:pt idx="2">
                  <c:v>-12.35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やがさき2!$G$3:$G$5</c:f>
              <c:numCache>
                <c:formatCode>0.0%</c:formatCode>
                <c:ptCount val="3"/>
                <c:pt idx="1">
                  <c:v>0.375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05913978494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やがさき2!$H$3:$H$5</c:f>
              <c:numCache>
                <c:formatCode>0.0%</c:formatCode>
                <c:ptCount val="3"/>
                <c:pt idx="1">
                  <c:v>0.375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67473118279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やがさき2!$I$3:$I$5</c:f>
              <c:numCache>
                <c:formatCode>0</c:formatCode>
                <c:ptCount val="3"/>
                <c:pt idx="1">
                  <c:v>8666.6666666666661</c:v>
                </c:pt>
                <c:pt idx="2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05.44943820224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やがさき2!$J$3:$J$5</c:f>
              <c:numCache>
                <c:formatCode>0</c:formatCode>
                <c:ptCount val="3"/>
                <c:pt idx="1">
                  <c:v>-14000</c:v>
                </c:pt>
                <c:pt idx="2">
                  <c:v>-12425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48.29659318637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44817927170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044817927170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やがさき2!$M$3:$M$5</c:f>
              <c:numCache>
                <c:formatCode>0.0%</c:formatCode>
                <c:ptCount val="3"/>
                <c:pt idx="1">
                  <c:v>0.375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72177419354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やがさき2!$N$3:$N$5</c:f>
              <c:numCache>
                <c:formatCode>0.0%</c:formatCode>
                <c:ptCount val="3"/>
                <c:pt idx="1">
                  <c:v>0.125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850134408602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0157289776164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425463336019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やがさき2!$Q$3:$Q$5</c:f>
              <c:numCache>
                <c:formatCode>0.0%</c:formatCode>
                <c:ptCount val="3"/>
                <c:pt idx="1">
                  <c:v>0.66666666666666663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584269662921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7A12FB-A58F-42AB-ACBC-4CE5BB901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C30D67F-E58F-4F7B-BF6F-6405715F8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790D20-30CB-4044-BC2E-23434E30E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3E2E62-D0D5-46AA-8081-703F133FFA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3392574-47BB-4530-8C1E-75470B726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7E2FC5F-E0DE-4186-B8E4-624B4137B4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9A4C4F-0191-4766-84A9-5146A45FA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CD2893-8C53-40BD-A972-5A94F56D3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24726D-97C1-4F53-A953-8830C962F1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199F2E-19C7-4514-9A37-B9BC88CA2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A105F7-DC66-4106-A76F-273264AE2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07192E-C4C5-4422-B9C2-5C8854B284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B3C3AA-D216-4CDC-B9F9-08FFA43F8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617B01-31FE-47BF-AC34-7CAF4915BF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83AA1DA-A3C0-49F2-91A5-6BEC9FF778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C68654-57DE-44FB-BB46-6129DF2DF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A5A555-9FFE-40B1-A1B8-2CFD848AA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FE08522-CF51-4D89-8A19-25AD7D01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B775D9-A504-4313-9EB6-0E4A41859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39CABF6-9E19-468E-A21C-59444E607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5B2025-D083-45EB-8540-507DD0ACBA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2A5A1A-EE75-451F-9422-45D666ABC7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2C2583-E8D7-451A-9995-0965351E6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50CF19-1238-4753-84C3-A2953423E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266BD3-418B-43F3-8C37-D7432944F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AA6F6F7-D425-45CA-A7D4-80FA0D8DC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43644.048113425924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43644.048113425924</v>
      </c>
      <c r="C64" s="30" t="s">
        <v>130</v>
      </c>
      <c r="D64" s="30" t="s">
        <v>131</v>
      </c>
    </row>
    <row r="65" spans="1:5" x14ac:dyDescent="0.4">
      <c r="A65" s="30" t="s">
        <v>255</v>
      </c>
      <c r="B65" s="31">
        <v>43644.048113425924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43644.048113425924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43644.048113425924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43644.048113425924</v>
      </c>
      <c r="C68" s="30" t="s">
        <v>130</v>
      </c>
      <c r="D68" s="30" t="s">
        <v>131</v>
      </c>
    </row>
    <row r="69" spans="1:5" x14ac:dyDescent="0.4">
      <c r="A69" s="30" t="s">
        <v>259</v>
      </c>
      <c r="B69" s="31">
        <v>43644.048113425924</v>
      </c>
      <c r="C69" s="30" t="s">
        <v>130</v>
      </c>
    </row>
    <row r="70" spans="1:5" x14ac:dyDescent="0.4">
      <c r="A70" s="30" t="s">
        <v>260</v>
      </c>
      <c r="B70" s="31">
        <v>43644.048113425924</v>
      </c>
      <c r="C70" s="30" t="s">
        <v>130</v>
      </c>
      <c r="D70" s="30" t="s">
        <v>131</v>
      </c>
      <c r="E70" s="30" t="s">
        <v>169</v>
      </c>
    </row>
    <row r="71" spans="1:5" x14ac:dyDescent="0.4">
      <c r="A71" s="30" t="s">
        <v>261</v>
      </c>
      <c r="B71" s="31">
        <v>43644.048113425924</v>
      </c>
      <c r="C71" s="30" t="s">
        <v>130</v>
      </c>
      <c r="D71" s="30" t="s">
        <v>131</v>
      </c>
    </row>
    <row r="72" spans="1:5" x14ac:dyDescent="0.4">
      <c r="A72" s="30" t="s">
        <v>262</v>
      </c>
      <c r="B72" s="31">
        <v>43644.048113425924</v>
      </c>
      <c r="C72" s="30" t="s">
        <v>130</v>
      </c>
      <c r="D72" s="30" t="s">
        <v>131</v>
      </c>
    </row>
    <row r="73" spans="1:5" x14ac:dyDescent="0.4">
      <c r="A73" s="30" t="s">
        <v>263</v>
      </c>
      <c r="B73" s="31">
        <v>43644.048113425924</v>
      </c>
      <c r="C73" s="30" t="s">
        <v>130</v>
      </c>
    </row>
    <row r="74" spans="1:5" x14ac:dyDescent="0.4">
      <c r="A74" s="30" t="s">
        <v>264</v>
      </c>
      <c r="B74" s="31">
        <v>43644.048113425924</v>
      </c>
      <c r="C74" s="30" t="s">
        <v>130</v>
      </c>
      <c r="D74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714</v>
      </c>
    </row>
    <row r="2" spans="1:2" x14ac:dyDescent="0.4">
      <c r="A2" t="s">
        <v>127</v>
      </c>
      <c r="B2">
        <v>159</v>
      </c>
    </row>
    <row r="3" spans="1:2" x14ac:dyDescent="0.4">
      <c r="A3" t="s">
        <v>128</v>
      </c>
      <c r="B3">
        <v>130</v>
      </c>
    </row>
    <row r="4" spans="1:2" x14ac:dyDescent="0.4">
      <c r="A4" t="s">
        <v>129</v>
      </c>
      <c r="B4">
        <v>97</v>
      </c>
    </row>
    <row r="5" spans="1:2" x14ac:dyDescent="0.4">
      <c r="A5" t="s">
        <v>171</v>
      </c>
      <c r="B5">
        <v>92</v>
      </c>
    </row>
    <row r="6" spans="1:2" x14ac:dyDescent="0.4">
      <c r="A6" t="s">
        <v>172</v>
      </c>
      <c r="B6">
        <v>83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72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0.97586762592312581</v>
      </c>
      <c r="G2" s="159"/>
      <c r="H2" s="158">
        <v>0.68455908501256291</v>
      </c>
      <c r="I2" s="159"/>
      <c r="J2" s="158">
        <v>0.89291452112557024</v>
      </c>
      <c r="K2" s="159"/>
      <c r="L2" s="158">
        <v>0.69435726294355082</v>
      </c>
      <c r="M2" s="159"/>
      <c r="N2" s="158">
        <v>0.60967188334403666</v>
      </c>
      <c r="O2" s="159"/>
      <c r="P2" s="158">
        <v>0.34092127527400684</v>
      </c>
      <c r="Q2" s="159"/>
      <c r="R2" s="158">
        <v>0.53135429059770878</v>
      </c>
      <c r="S2" s="159"/>
      <c r="T2" s="158">
        <v>0.60738800663982662</v>
      </c>
      <c r="U2" s="159"/>
      <c r="V2" s="158">
        <v>0.81790916423348214</v>
      </c>
      <c r="W2" s="159"/>
      <c r="X2" s="158">
        <v>0.52703938505910819</v>
      </c>
      <c r="Y2" s="159"/>
      <c r="Z2" s="158">
        <v>4.2632568033440531E-2</v>
      </c>
      <c r="AA2" s="159"/>
      <c r="AB2" s="158">
        <v>0.21814711896791489</v>
      </c>
      <c r="AC2" s="159"/>
      <c r="AD2" s="158">
        <v>0.68989621904330489</v>
      </c>
      <c r="AE2" s="159"/>
      <c r="AF2" s="158">
        <v>-0.4199482827020401</v>
      </c>
      <c r="AG2" s="159"/>
      <c r="AH2" s="158">
        <v>0.72920707031961773</v>
      </c>
      <c r="AI2" s="159"/>
    </row>
    <row r="3" spans="1:35" x14ac:dyDescent="0.4">
      <c r="A3" s="74">
        <v>1</v>
      </c>
      <c r="B3" s="75" t="s">
        <v>127</v>
      </c>
      <c r="C3" s="76">
        <v>1932.7000000000005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172</v>
      </c>
      <c r="M3" s="80">
        <v>0.34696755994358253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127</v>
      </c>
      <c r="W3" s="79">
        <v>0.1761006289308176</v>
      </c>
      <c r="X3" s="77" t="s">
        <v>127</v>
      </c>
      <c r="Y3" s="80">
        <v>0.31240428790199082</v>
      </c>
      <c r="Z3" s="77" t="s">
        <v>172</v>
      </c>
      <c r="AA3" s="80">
        <v>0.29478138222849082</v>
      </c>
      <c r="AB3" s="77" t="s">
        <v>223</v>
      </c>
      <c r="AC3" s="80">
        <v>1</v>
      </c>
      <c r="AD3" s="77" t="s">
        <v>127</v>
      </c>
      <c r="AE3" s="80">
        <v>0.5161290322580645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304.60000000000002</v>
      </c>
      <c r="D4" s="85" t="s">
        <v>222</v>
      </c>
      <c r="E4" s="97">
        <v>13.3</v>
      </c>
      <c r="F4" s="85" t="s">
        <v>127</v>
      </c>
      <c r="G4" s="86">
        <v>1.7610062893081762</v>
      </c>
      <c r="H4" s="85" t="s">
        <v>127</v>
      </c>
      <c r="I4" s="87">
        <v>0.4779874213836478</v>
      </c>
      <c r="J4" s="85" t="s">
        <v>222</v>
      </c>
      <c r="K4" s="87">
        <v>0</v>
      </c>
      <c r="L4" s="85" t="s">
        <v>127</v>
      </c>
      <c r="M4" s="88">
        <v>0.34150076569678406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200</v>
      </c>
      <c r="U4" s="87">
        <v>0</v>
      </c>
      <c r="V4" s="85" t="s">
        <v>177</v>
      </c>
      <c r="W4" s="87">
        <v>0.1388888888888889</v>
      </c>
      <c r="X4" s="85" t="s">
        <v>128</v>
      </c>
      <c r="Y4" s="88">
        <v>0.30083565459610029</v>
      </c>
      <c r="Z4" s="85" t="s">
        <v>200</v>
      </c>
      <c r="AA4" s="88">
        <v>0.29411764705882354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12.155345911949688</v>
      </c>
      <c r="F5" s="85" t="s">
        <v>200</v>
      </c>
      <c r="G5" s="86">
        <v>1.8888888888888888</v>
      </c>
      <c r="H5" s="85" t="s">
        <v>177</v>
      </c>
      <c r="I5" s="87">
        <v>0.3888888888888889</v>
      </c>
      <c r="J5" s="85" t="s">
        <v>200</v>
      </c>
      <c r="K5" s="87">
        <v>0.1111111111111111</v>
      </c>
      <c r="L5" s="85" t="s">
        <v>200</v>
      </c>
      <c r="M5" s="88">
        <v>0.3411764705882353</v>
      </c>
      <c r="N5" s="85" t="s">
        <v>172</v>
      </c>
      <c r="O5" s="88">
        <v>0.1382228490832158</v>
      </c>
      <c r="P5" s="85" t="s">
        <v>171</v>
      </c>
      <c r="Q5" s="89">
        <v>9812.0370370370365</v>
      </c>
      <c r="R5" s="85" t="s">
        <v>177</v>
      </c>
      <c r="S5" s="89">
        <v>-7112.5</v>
      </c>
      <c r="T5" s="85" t="s">
        <v>222</v>
      </c>
      <c r="U5" s="87">
        <v>0</v>
      </c>
      <c r="V5" s="85" t="s">
        <v>171</v>
      </c>
      <c r="W5" s="87">
        <v>0.13043478260869565</v>
      </c>
      <c r="X5" s="85" t="s">
        <v>177</v>
      </c>
      <c r="Y5" s="88">
        <v>0.29131175468483816</v>
      </c>
      <c r="Z5" s="85" t="s">
        <v>173</v>
      </c>
      <c r="AA5" s="88">
        <v>0.25301204819277107</v>
      </c>
      <c r="AB5" s="85" t="s">
        <v>184</v>
      </c>
      <c r="AC5" s="88">
        <v>0.63888888888888884</v>
      </c>
      <c r="AD5" s="85" t="s">
        <v>200</v>
      </c>
      <c r="AE5" s="88">
        <v>0.48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18.099999999999994</v>
      </c>
      <c r="D6" s="85" t="s">
        <v>177</v>
      </c>
      <c r="E6" s="97">
        <v>4.2305555555555561</v>
      </c>
      <c r="F6" s="85" t="s">
        <v>177</v>
      </c>
      <c r="G6" s="86">
        <v>1.9027777777777777</v>
      </c>
      <c r="H6" s="85" t="s">
        <v>184</v>
      </c>
      <c r="I6" s="87">
        <v>0.3888888888888889</v>
      </c>
      <c r="J6" s="85" t="s">
        <v>127</v>
      </c>
      <c r="K6" s="87">
        <v>0.2389937106918239</v>
      </c>
      <c r="L6" s="85" t="s">
        <v>145</v>
      </c>
      <c r="M6" s="88">
        <v>0.29905913978494625</v>
      </c>
      <c r="N6" s="85" t="s">
        <v>177</v>
      </c>
      <c r="O6" s="88">
        <v>0.14991482112436116</v>
      </c>
      <c r="P6" s="85" t="s">
        <v>127</v>
      </c>
      <c r="Q6" s="89">
        <v>9309.192825112108</v>
      </c>
      <c r="R6" s="85" t="s">
        <v>128</v>
      </c>
      <c r="S6" s="89">
        <v>-7647.8494623655915</v>
      </c>
      <c r="T6" s="85" t="s">
        <v>223</v>
      </c>
      <c r="U6" s="87">
        <v>0</v>
      </c>
      <c r="V6" s="85" t="s">
        <v>145</v>
      </c>
      <c r="W6" s="87">
        <v>0.12044817927170869</v>
      </c>
      <c r="X6" s="85" t="s">
        <v>171</v>
      </c>
      <c r="Y6" s="88">
        <v>0.28998699609882966</v>
      </c>
      <c r="Z6" s="85" t="s">
        <v>223</v>
      </c>
      <c r="AA6" s="88">
        <v>0.23529411764705882</v>
      </c>
      <c r="AB6" s="85" t="s">
        <v>177</v>
      </c>
      <c r="AC6" s="88">
        <v>0.63742690058479534</v>
      </c>
      <c r="AD6" s="85" t="s">
        <v>172</v>
      </c>
      <c r="AE6" s="88">
        <v>0.42583732057416268</v>
      </c>
      <c r="AF6" s="85" t="s">
        <v>222</v>
      </c>
      <c r="AG6" s="88">
        <v>0.5</v>
      </c>
      <c r="AH6" s="85" t="s">
        <v>177</v>
      </c>
      <c r="AI6" s="92">
        <v>103000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2.0111111111111106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177</v>
      </c>
      <c r="K7" s="87">
        <v>0.29166666666666669</v>
      </c>
      <c r="L7" s="85" t="s">
        <v>177</v>
      </c>
      <c r="M7" s="88">
        <v>0.29471890971039183</v>
      </c>
      <c r="N7" s="85" t="s">
        <v>127</v>
      </c>
      <c r="O7" s="88">
        <v>0.15620214395099541</v>
      </c>
      <c r="P7" s="85" t="s">
        <v>128</v>
      </c>
      <c r="Q7" s="89">
        <v>9268.7074829931971</v>
      </c>
      <c r="R7" s="85" t="s">
        <v>127</v>
      </c>
      <c r="S7" s="89">
        <v>-8229.4117647058829</v>
      </c>
      <c r="T7" s="85" t="s">
        <v>172</v>
      </c>
      <c r="U7" s="87">
        <v>4.8192771084337352E-2</v>
      </c>
      <c r="V7" s="85" t="s">
        <v>172</v>
      </c>
      <c r="W7" s="87">
        <v>0.10843373493975904</v>
      </c>
      <c r="X7" s="85" t="s">
        <v>145</v>
      </c>
      <c r="Y7" s="88">
        <v>0.27772177419354838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184</v>
      </c>
      <c r="AE7" s="88">
        <v>0.42424242424242425</v>
      </c>
      <c r="AF7" s="85" t="s">
        <v>184</v>
      </c>
      <c r="AG7" s="88">
        <v>0.47619047619047616</v>
      </c>
      <c r="AH7" s="85" t="s">
        <v>172</v>
      </c>
      <c r="AI7" s="92">
        <v>97500</v>
      </c>
    </row>
    <row r="8" spans="1:35" x14ac:dyDescent="0.4">
      <c r="A8" s="82">
        <v>6</v>
      </c>
      <c r="B8" s="83" t="s">
        <v>145</v>
      </c>
      <c r="C8" s="84">
        <v>0</v>
      </c>
      <c r="D8" s="85" t="s">
        <v>145</v>
      </c>
      <c r="E8" s="97">
        <v>0</v>
      </c>
      <c r="F8" s="85" t="s">
        <v>222</v>
      </c>
      <c r="G8" s="86">
        <v>2</v>
      </c>
      <c r="H8" s="85" t="s">
        <v>171</v>
      </c>
      <c r="I8" s="87">
        <v>0.29347826086956524</v>
      </c>
      <c r="J8" s="85" t="s">
        <v>172</v>
      </c>
      <c r="K8" s="87">
        <v>0.30120481927710846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8984.9710982658962</v>
      </c>
      <c r="R8" s="85" t="s">
        <v>145</v>
      </c>
      <c r="S8" s="89">
        <v>-8248.2965931863728</v>
      </c>
      <c r="T8" s="85" t="s">
        <v>127</v>
      </c>
      <c r="U8" s="87">
        <v>9.4339622641509441E-2</v>
      </c>
      <c r="V8" s="85" t="s">
        <v>129</v>
      </c>
      <c r="W8" s="87">
        <v>0.10309278350515463</v>
      </c>
      <c r="X8" s="85" t="s">
        <v>129</v>
      </c>
      <c r="Y8" s="88">
        <v>0.27103960396039606</v>
      </c>
      <c r="Z8" s="85" t="s">
        <v>127</v>
      </c>
      <c r="AA8" s="88">
        <v>0.21362940275650844</v>
      </c>
      <c r="AB8" s="85" t="s">
        <v>173</v>
      </c>
      <c r="AC8" s="88">
        <v>0.59782608695652173</v>
      </c>
      <c r="AD8" s="85" t="s">
        <v>171</v>
      </c>
      <c r="AE8" s="88">
        <v>0.40816326530612246</v>
      </c>
      <c r="AF8" s="85" t="s">
        <v>177</v>
      </c>
      <c r="AG8" s="88">
        <v>0.44508670520231214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223</v>
      </c>
      <c r="C9" s="84">
        <v>-24.7</v>
      </c>
      <c r="D9" s="85" t="s">
        <v>171</v>
      </c>
      <c r="E9" s="97">
        <v>-0.75217391304347803</v>
      </c>
      <c r="F9" s="85" t="s">
        <v>172</v>
      </c>
      <c r="G9" s="86">
        <v>2.0481927710843375</v>
      </c>
      <c r="H9" s="85" t="s">
        <v>173</v>
      </c>
      <c r="I9" s="87">
        <v>0.29166666666666669</v>
      </c>
      <c r="J9" s="85" t="s">
        <v>145</v>
      </c>
      <c r="K9" s="87">
        <v>0.33333333333333331</v>
      </c>
      <c r="L9" s="85" t="s">
        <v>173</v>
      </c>
      <c r="M9" s="88">
        <v>0.29397590361445786</v>
      </c>
      <c r="N9" s="85" t="s">
        <v>145</v>
      </c>
      <c r="O9" s="88">
        <v>0.16767473118279569</v>
      </c>
      <c r="P9" s="85" t="s">
        <v>129</v>
      </c>
      <c r="Q9" s="89">
        <v>8715</v>
      </c>
      <c r="R9" s="85" t="s">
        <v>173</v>
      </c>
      <c r="S9" s="89">
        <v>-8290.9090909090901</v>
      </c>
      <c r="T9" s="85" t="s">
        <v>171</v>
      </c>
      <c r="U9" s="87">
        <v>0.10869565217391304</v>
      </c>
      <c r="V9" s="85" t="s">
        <v>128</v>
      </c>
      <c r="W9" s="87">
        <v>0.1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0.59567901234567899</v>
      </c>
      <c r="AD9" s="85" t="s">
        <v>145</v>
      </c>
      <c r="AE9" s="88">
        <v>0.39242546333601935</v>
      </c>
      <c r="AF9" s="85" t="s">
        <v>145</v>
      </c>
      <c r="AG9" s="88">
        <v>0.43258426966292135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171</v>
      </c>
      <c r="C10" s="84">
        <v>-69.199999999999974</v>
      </c>
      <c r="D10" s="85" t="s">
        <v>172</v>
      </c>
      <c r="E10" s="97">
        <v>-1.219277108433735</v>
      </c>
      <c r="F10" s="85" t="s">
        <v>171</v>
      </c>
      <c r="G10" s="86">
        <v>2.0543478260869565</v>
      </c>
      <c r="H10" s="85" t="s">
        <v>128</v>
      </c>
      <c r="I10" s="87">
        <v>0.26923076923076922</v>
      </c>
      <c r="J10" s="85" t="s">
        <v>128</v>
      </c>
      <c r="K10" s="87">
        <v>0.34615384615384615</v>
      </c>
      <c r="L10" s="85" t="s">
        <v>184</v>
      </c>
      <c r="M10" s="88">
        <v>0.2857142857142857</v>
      </c>
      <c r="N10" s="85" t="s">
        <v>128</v>
      </c>
      <c r="O10" s="88">
        <v>0.17270194986072424</v>
      </c>
      <c r="P10" s="85" t="s">
        <v>145</v>
      </c>
      <c r="Q10" s="89">
        <v>8705.4494382022476</v>
      </c>
      <c r="R10" s="85" t="s">
        <v>184</v>
      </c>
      <c r="S10" s="89">
        <v>-8376.4705882352937</v>
      </c>
      <c r="T10" s="85" t="s">
        <v>145</v>
      </c>
      <c r="U10" s="87">
        <v>0.12044817927170869</v>
      </c>
      <c r="V10" s="85" t="s">
        <v>173</v>
      </c>
      <c r="W10" s="87">
        <v>6.25E-2</v>
      </c>
      <c r="X10" s="85" t="s">
        <v>184</v>
      </c>
      <c r="Y10" s="88">
        <v>0.24489795918367346</v>
      </c>
      <c r="Z10" s="85" t="s">
        <v>145</v>
      </c>
      <c r="AA10" s="88">
        <v>0.2085013440860215</v>
      </c>
      <c r="AB10" s="85" t="s">
        <v>145</v>
      </c>
      <c r="AC10" s="88">
        <v>0.58015728977616454</v>
      </c>
      <c r="AD10" s="85" t="s">
        <v>177</v>
      </c>
      <c r="AE10" s="88">
        <v>0.33944954128440369</v>
      </c>
      <c r="AF10" s="85" t="s">
        <v>129</v>
      </c>
      <c r="AG10" s="88">
        <v>0.43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-101.20000000000002</v>
      </c>
      <c r="D11" s="85" t="s">
        <v>128</v>
      </c>
      <c r="E11" s="97">
        <v>-2.4692307692307693</v>
      </c>
      <c r="F11" s="85" t="s">
        <v>128</v>
      </c>
      <c r="G11" s="86">
        <v>2.0769230769230771</v>
      </c>
      <c r="H11" s="85" t="s">
        <v>129</v>
      </c>
      <c r="I11" s="87">
        <v>0.26804123711340205</v>
      </c>
      <c r="J11" s="85" t="s">
        <v>171</v>
      </c>
      <c r="K11" s="87">
        <v>0.34782608695652173</v>
      </c>
      <c r="L11" s="85" t="s">
        <v>171</v>
      </c>
      <c r="M11" s="88">
        <v>0.28088426527958388</v>
      </c>
      <c r="N11" s="85" t="s">
        <v>171</v>
      </c>
      <c r="O11" s="88">
        <v>0.17685305591677503</v>
      </c>
      <c r="P11" s="85" t="s">
        <v>184</v>
      </c>
      <c r="Q11" s="89">
        <v>8642.8571428571431</v>
      </c>
      <c r="R11" s="85" t="s">
        <v>172</v>
      </c>
      <c r="S11" s="89">
        <v>-8542.8571428571431</v>
      </c>
      <c r="T11" s="85" t="s">
        <v>128</v>
      </c>
      <c r="U11" s="87">
        <v>0.13076923076923078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0.19115734720416125</v>
      </c>
      <c r="AB11" s="85" t="s">
        <v>127</v>
      </c>
      <c r="AC11" s="88">
        <v>0.5759803921568627</v>
      </c>
      <c r="AD11" s="85" t="s">
        <v>173</v>
      </c>
      <c r="AE11" s="88">
        <v>0.33333333333333331</v>
      </c>
      <c r="AF11" s="85" t="s">
        <v>128</v>
      </c>
      <c r="AG11" s="88">
        <v>0.42857142857142855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-126.5</v>
      </c>
      <c r="D12" s="85" t="s">
        <v>184</v>
      </c>
      <c r="E12" s="97">
        <v>-7.0277777777777777</v>
      </c>
      <c r="F12" s="85" t="s">
        <v>173</v>
      </c>
      <c r="G12" s="86">
        <v>2.1041666666666665</v>
      </c>
      <c r="H12" s="85" t="s">
        <v>172</v>
      </c>
      <c r="I12" s="87">
        <v>0.25301204819277107</v>
      </c>
      <c r="J12" s="85" t="s">
        <v>173</v>
      </c>
      <c r="K12" s="87">
        <v>0.39583333333333331</v>
      </c>
      <c r="L12" s="85" t="s">
        <v>128</v>
      </c>
      <c r="M12" s="88">
        <v>0.27298050139275765</v>
      </c>
      <c r="N12" s="85" t="s">
        <v>173</v>
      </c>
      <c r="O12" s="88">
        <v>0.1855421686746988</v>
      </c>
      <c r="P12" s="85" t="s">
        <v>183</v>
      </c>
      <c r="Q12" s="89">
        <v>7860</v>
      </c>
      <c r="R12" s="85" t="s">
        <v>171</v>
      </c>
      <c r="S12" s="89">
        <v>-8544.1176470588234</v>
      </c>
      <c r="T12" s="85" t="s">
        <v>177</v>
      </c>
      <c r="U12" s="87">
        <v>0.1388888888888889</v>
      </c>
      <c r="V12" s="85" t="s">
        <v>183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0.18568994889267462</v>
      </c>
      <c r="AB12" s="85" t="s">
        <v>171</v>
      </c>
      <c r="AC12" s="88">
        <v>0.5605381165919282</v>
      </c>
      <c r="AD12" s="85" t="s">
        <v>128</v>
      </c>
      <c r="AE12" s="88">
        <v>0.29629629629629628</v>
      </c>
      <c r="AF12" s="85" t="s">
        <v>127</v>
      </c>
      <c r="AG12" s="88">
        <v>0.41928251121076232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-321</v>
      </c>
      <c r="D13" s="85" t="s">
        <v>173</v>
      </c>
      <c r="E13" s="97">
        <v>-8.0770833333333325</v>
      </c>
      <c r="F13" s="85" t="s">
        <v>184</v>
      </c>
      <c r="G13" s="86">
        <v>2.1111111111111112</v>
      </c>
      <c r="H13" s="85" t="s">
        <v>200</v>
      </c>
      <c r="I13" s="87">
        <v>0.22222222222222221</v>
      </c>
      <c r="J13" s="85" t="s">
        <v>129</v>
      </c>
      <c r="K13" s="87">
        <v>0.4845360824742268</v>
      </c>
      <c r="L13" s="85" t="s">
        <v>183</v>
      </c>
      <c r="M13" s="88">
        <v>0.26315789473684209</v>
      </c>
      <c r="N13" s="85" t="s">
        <v>129</v>
      </c>
      <c r="O13" s="88">
        <v>0.1905940594059406</v>
      </c>
      <c r="P13" s="85" t="s">
        <v>173</v>
      </c>
      <c r="Q13" s="89">
        <v>6954.0983606557375</v>
      </c>
      <c r="R13" s="85" t="s">
        <v>129</v>
      </c>
      <c r="S13" s="89">
        <v>-9226.6233766233763</v>
      </c>
      <c r="T13" s="85" t="s">
        <v>173</v>
      </c>
      <c r="U13" s="87">
        <v>0.14583333333333334</v>
      </c>
      <c r="V13" s="85" t="s">
        <v>200</v>
      </c>
      <c r="W13" s="87">
        <v>0</v>
      </c>
      <c r="X13" s="85" t="s">
        <v>173</v>
      </c>
      <c r="Y13" s="88">
        <v>0.22168674698795179</v>
      </c>
      <c r="Z13" s="85" t="s">
        <v>128</v>
      </c>
      <c r="AA13" s="88">
        <v>0.17548746518105848</v>
      </c>
      <c r="AB13" s="85" t="s">
        <v>172</v>
      </c>
      <c r="AC13" s="88">
        <v>0.55704697986577179</v>
      </c>
      <c r="AD13" s="85" t="s">
        <v>129</v>
      </c>
      <c r="AE13" s="88">
        <v>0.27205882352941174</v>
      </c>
      <c r="AF13" s="85" t="s">
        <v>171</v>
      </c>
      <c r="AG13" s="88">
        <v>0.41203703703703703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-387.7</v>
      </c>
      <c r="D14" s="85" t="s">
        <v>223</v>
      </c>
      <c r="E14" s="97">
        <v>-12.35</v>
      </c>
      <c r="F14" s="85" t="s">
        <v>129</v>
      </c>
      <c r="G14" s="86">
        <v>2.2164948453608249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0.24752475247524752</v>
      </c>
      <c r="N14" s="85" t="s">
        <v>184</v>
      </c>
      <c r="O14" s="88">
        <v>0.23129251700680273</v>
      </c>
      <c r="P14" s="85" t="s">
        <v>172</v>
      </c>
      <c r="Q14" s="89">
        <v>6806.9105691056911</v>
      </c>
      <c r="R14" s="85" t="s">
        <v>222</v>
      </c>
      <c r="S14" s="89">
        <v>-12000</v>
      </c>
      <c r="T14" s="85" t="s">
        <v>129</v>
      </c>
      <c r="U14" s="87">
        <v>0.19587628865979381</v>
      </c>
      <c r="V14" s="85" t="s">
        <v>222</v>
      </c>
      <c r="W14" s="87">
        <v>0</v>
      </c>
      <c r="X14" s="85" t="s">
        <v>172</v>
      </c>
      <c r="Y14" s="88">
        <v>0.21015514809590974</v>
      </c>
      <c r="Z14" s="85" t="s">
        <v>129</v>
      </c>
      <c r="AA14" s="88">
        <v>0.16831683168316833</v>
      </c>
      <c r="AB14" s="85" t="s">
        <v>129</v>
      </c>
      <c r="AC14" s="88">
        <v>0.52511415525114158</v>
      </c>
      <c r="AD14" s="85" t="s">
        <v>223</v>
      </c>
      <c r="AE14" s="88">
        <v>0.25</v>
      </c>
      <c r="AF14" s="85" t="s">
        <v>172</v>
      </c>
      <c r="AG14" s="88">
        <v>0.41056910569105692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-1299.4000000000001</v>
      </c>
      <c r="D15" s="85" t="s">
        <v>129</v>
      </c>
      <c r="E15" s="97">
        <v>-13.395876288659794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200</v>
      </c>
      <c r="Q15" s="89">
        <v>6765.5172413793107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714</v>
      </c>
      <c r="C2" s="151"/>
      <c r="E2" s="62" t="s">
        <v>67</v>
      </c>
      <c r="F2" s="59" t="s">
        <v>23</v>
      </c>
      <c r="G2" s="46">
        <v>1295</v>
      </c>
      <c r="H2" s="132">
        <f>IF(B$17=0,0,G2/B$17)</f>
        <v>0.72752808988764039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-16.806722689075631</v>
      </c>
      <c r="P2" s="118">
        <v>714</v>
      </c>
      <c r="Q2" s="102">
        <v>-12000</v>
      </c>
    </row>
    <row r="3" spans="1:17" x14ac:dyDescent="0.4">
      <c r="A3" s="55" t="s">
        <v>8</v>
      </c>
      <c r="B3" s="152">
        <v>5952</v>
      </c>
      <c r="C3" s="153"/>
      <c r="E3" s="63" t="s">
        <v>65</v>
      </c>
      <c r="F3" s="60" t="s">
        <v>21</v>
      </c>
      <c r="G3" s="47">
        <v>913</v>
      </c>
      <c r="H3" s="133">
        <f>IF(B$17=0,0,G3/B$17)</f>
        <v>0.51292134831460678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-4.2918454935622314</v>
      </c>
      <c r="P3" s="119">
        <v>699</v>
      </c>
      <c r="Q3" s="103">
        <v>-3000</v>
      </c>
    </row>
    <row r="4" spans="1:17" x14ac:dyDescent="0.4">
      <c r="A4" s="55" t="s">
        <v>6</v>
      </c>
      <c r="B4" s="154">
        <v>0</v>
      </c>
      <c r="C4" s="155"/>
      <c r="E4" s="63" t="s">
        <v>73</v>
      </c>
      <c r="F4" s="60" t="s">
        <v>28</v>
      </c>
      <c r="G4" s="47">
        <v>905</v>
      </c>
      <c r="H4" s="133">
        <f>IF(B$17=0,0,G4/B$17)</f>
        <v>0.5084269662921348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9.1743119266055047</v>
      </c>
      <c r="P4" s="119">
        <v>654</v>
      </c>
      <c r="Q4" s="103">
        <v>6000</v>
      </c>
    </row>
    <row r="5" spans="1:17" x14ac:dyDescent="0.4">
      <c r="A5" s="55" t="s">
        <v>7</v>
      </c>
      <c r="B5" s="156">
        <f>IF(B$2=0,0,B$4/B$2)</f>
        <v>0</v>
      </c>
      <c r="C5" s="157"/>
      <c r="E5" s="63" t="s">
        <v>245</v>
      </c>
      <c r="F5" s="60" t="s">
        <v>246</v>
      </c>
      <c r="G5" s="47">
        <v>725</v>
      </c>
      <c r="H5" s="133">
        <f>IF(B$17=0,0,G5/B$17)</f>
        <v>0.40730337078651685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6.666666666666667</v>
      </c>
      <c r="P5" s="119">
        <v>600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553</v>
      </c>
      <c r="H6" s="133">
        <f>IF(B$17=0,0,G6/B$17)</f>
        <v>0.31067415730337078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-11.111111111111111</v>
      </c>
      <c r="P6" s="119">
        <v>540</v>
      </c>
      <c r="Q6" s="103">
        <v>-6000</v>
      </c>
    </row>
    <row r="7" spans="1:17" x14ac:dyDescent="0.4">
      <c r="A7" s="55" t="s">
        <v>2</v>
      </c>
      <c r="B7" s="47">
        <v>238</v>
      </c>
      <c r="C7" s="39">
        <f>IF(B$2=0,0,B7/B$2)</f>
        <v>0.33333333333333331</v>
      </c>
      <c r="E7" s="63" t="s">
        <v>68</v>
      </c>
      <c r="F7" s="60" t="s">
        <v>24</v>
      </c>
      <c r="G7" s="47">
        <v>547</v>
      </c>
      <c r="H7" s="133">
        <f>IF(B$17=0,0,G7/B$17)</f>
        <v>0.30730337078651687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23.206751054852322</v>
      </c>
      <c r="P7" s="120">
        <v>474</v>
      </c>
      <c r="Q7" s="104">
        <v>11000</v>
      </c>
    </row>
    <row r="8" spans="1:17" x14ac:dyDescent="0.4">
      <c r="A8" s="55" t="s">
        <v>3</v>
      </c>
      <c r="B8" s="47">
        <v>238</v>
      </c>
      <c r="C8" s="39">
        <f>IF(B$2=0,0,B8/B$2)</f>
        <v>0.33333333333333331</v>
      </c>
      <c r="E8" s="63" t="s">
        <v>70</v>
      </c>
      <c r="F8" s="60" t="s">
        <v>25</v>
      </c>
      <c r="G8" s="47">
        <v>314</v>
      </c>
      <c r="H8" s="133">
        <f>IF(B$17=0,0,G8/B$17)</f>
        <v>0.17640449438202246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238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224</v>
      </c>
      <c r="H9" s="133">
        <f>IF(B$17=0,0,G9/B$17)</f>
        <v>0.12584269662921349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86</v>
      </c>
      <c r="C10" s="40">
        <f>IF(B$2=0,0,B10/B$2)</f>
        <v>0.12044817927170869</v>
      </c>
      <c r="E10" s="63" t="s">
        <v>66</v>
      </c>
      <c r="F10" s="60" t="s">
        <v>22</v>
      </c>
      <c r="G10" s="47">
        <v>209</v>
      </c>
      <c r="H10" s="133">
        <f>IF(B$17=0,0,G10/B$17)</f>
        <v>0.11741573033707865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-2.8483193277310908</v>
      </c>
      <c r="P10" s="118">
        <v>238</v>
      </c>
      <c r="Q10" s="106">
        <v>-677.89999999999964</v>
      </c>
    </row>
    <row r="11" spans="1:17" x14ac:dyDescent="0.4">
      <c r="A11" s="56" t="s">
        <v>140</v>
      </c>
      <c r="B11" s="48">
        <v>86</v>
      </c>
      <c r="C11" s="40">
        <f>IF(B$2=0,0,B11/B$2)</f>
        <v>0.12044817927170869</v>
      </c>
      <c r="E11" s="63" t="s">
        <v>71</v>
      </c>
      <c r="F11" s="60" t="s">
        <v>26</v>
      </c>
      <c r="G11" s="47">
        <v>180</v>
      </c>
      <c r="H11" s="133">
        <f>IF(B$17=0,0,G11/B$17)</f>
        <v>0.10112359550561797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0.87226890756302533</v>
      </c>
      <c r="P11" s="119">
        <v>238</v>
      </c>
      <c r="Q11" s="107">
        <v>207.60000000000002</v>
      </c>
    </row>
    <row r="12" spans="1:17" x14ac:dyDescent="0.4">
      <c r="A12" s="57" t="s">
        <v>160</v>
      </c>
      <c r="B12" s="49">
        <v>59</v>
      </c>
      <c r="C12" s="42">
        <f>IF(B$2=0,0,B12/B$2)</f>
        <v>8.2633053221288513E-2</v>
      </c>
      <c r="E12" s="63" t="s">
        <v>72</v>
      </c>
      <c r="F12" s="60" t="s">
        <v>27</v>
      </c>
      <c r="G12" s="47">
        <v>123</v>
      </c>
      <c r="H12" s="133">
        <f>IF(B$17=0,0,G12/B$17)</f>
        <v>6.9101123595505617E-2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1.9760504201680671</v>
      </c>
      <c r="P12" s="120">
        <v>238</v>
      </c>
      <c r="Q12" s="108">
        <v>470.29999999999995</v>
      </c>
    </row>
    <row r="13" spans="1:17" x14ac:dyDescent="0.4">
      <c r="A13" s="58" t="s">
        <v>122</v>
      </c>
      <c r="B13" s="50">
        <v>1653</v>
      </c>
      <c r="C13" s="44">
        <f>IF(B$3=0,0,B13/B$3)</f>
        <v>0.27772177419354838</v>
      </c>
      <c r="E13" s="63" t="s">
        <v>87</v>
      </c>
      <c r="F13" s="60" t="s">
        <v>42</v>
      </c>
      <c r="G13" s="47">
        <v>102</v>
      </c>
      <c r="H13" s="133">
        <f>IF(B$17=0,0,G13/B$17)</f>
        <v>5.7303370786516851E-2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1241</v>
      </c>
      <c r="C14" s="39">
        <f>IF(B$3=0,0,B14/B$3)</f>
        <v>0.2085013440860215</v>
      </c>
      <c r="E14" s="63" t="s">
        <v>84</v>
      </c>
      <c r="F14" s="60" t="s">
        <v>39</v>
      </c>
      <c r="G14" s="47">
        <v>86</v>
      </c>
      <c r="H14" s="133">
        <f>IF(B$17=0,0,G14/B$17)</f>
        <v>4.8314606741573035E-2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959</v>
      </c>
      <c r="C15" s="37">
        <f>IF(B$13=0,0,B15/B$13)</f>
        <v>0.58015728977616454</v>
      </c>
      <c r="E15" s="63" t="s">
        <v>79</v>
      </c>
      <c r="F15" s="60" t="s">
        <v>34</v>
      </c>
      <c r="G15" s="47">
        <v>51</v>
      </c>
      <c r="H15" s="133">
        <f>IF(B$17=0,0,G15/B$17)</f>
        <v>2.8651685393258425E-2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20.093814432989717</v>
      </c>
      <c r="P15" s="118">
        <v>194</v>
      </c>
      <c r="Q15" s="106">
        <v>3898.2000000000053</v>
      </c>
    </row>
    <row r="16" spans="1:17" x14ac:dyDescent="0.4">
      <c r="A16" s="54" t="s">
        <v>125</v>
      </c>
      <c r="B16" s="46">
        <v>487</v>
      </c>
      <c r="C16" s="37">
        <f>IF(B$14=0,0,B16/B$14)</f>
        <v>0.39242546333601935</v>
      </c>
      <c r="E16" s="63" t="s">
        <v>82</v>
      </c>
      <c r="F16" s="60" t="s">
        <v>37</v>
      </c>
      <c r="G16" s="47">
        <v>50</v>
      </c>
      <c r="H16" s="133">
        <f>IF(B$17=0,0,G16/B$17)</f>
        <v>2.8089887640449437E-2</v>
      </c>
      <c r="I16" s="94">
        <v>5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1780</v>
      </c>
      <c r="C17" s="37">
        <f>IF(B$3=0,0,B17/B$3)</f>
        <v>0.29905913978494625</v>
      </c>
      <c r="E17" s="63" t="s">
        <v>92</v>
      </c>
      <c r="F17" s="60" t="s">
        <v>47</v>
      </c>
      <c r="G17" s="47">
        <v>35</v>
      </c>
      <c r="H17" s="133">
        <f>IF(B$17=0,0,G17/B$17)</f>
        <v>1.9662921348314606E-2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12.115624999999996</v>
      </c>
      <c r="P17" s="119">
        <v>96</v>
      </c>
      <c r="Q17" s="107">
        <v>1163.0999999999997</v>
      </c>
    </row>
    <row r="18" spans="1:17" x14ac:dyDescent="0.4">
      <c r="A18" s="55" t="s">
        <v>12</v>
      </c>
      <c r="B18" s="47">
        <v>770</v>
      </c>
      <c r="C18" s="39">
        <f>IF(B$17=0,0,B18/B$17)</f>
        <v>0.43258426966292135</v>
      </c>
      <c r="E18" s="63" t="s">
        <v>80</v>
      </c>
      <c r="F18" s="60" t="s">
        <v>35</v>
      </c>
      <c r="G18" s="47">
        <v>29</v>
      </c>
      <c r="H18" s="133">
        <f>IF(B$17=0,0,G18/B$17)</f>
        <v>1.6292134831460674E-2</v>
      </c>
      <c r="I18" s="94">
        <v>7</v>
      </c>
      <c r="K18" s="38">
        <v>16</v>
      </c>
      <c r="L18" s="99">
        <v>90.899999999999991</v>
      </c>
      <c r="N18" s="115" t="s">
        <v>184</v>
      </c>
      <c r="O18" s="125">
        <f>IF(P18=0,0,Q18/P18)</f>
        <v>10.541666666666666</v>
      </c>
      <c r="P18" s="119">
        <v>36</v>
      </c>
      <c r="Q18" s="107">
        <v>379.5</v>
      </c>
    </row>
    <row r="19" spans="1:17" x14ac:dyDescent="0.4">
      <c r="A19" s="55" t="s">
        <v>11</v>
      </c>
      <c r="B19" s="47">
        <v>1010</v>
      </c>
      <c r="C19" s="39">
        <f>IF(B$17=0,0,B19/B$17)</f>
        <v>0.56741573033707871</v>
      </c>
      <c r="E19" s="63" t="s">
        <v>180</v>
      </c>
      <c r="F19" s="60" t="s">
        <v>181</v>
      </c>
      <c r="G19" s="47">
        <v>27</v>
      </c>
      <c r="H19" s="133">
        <f>IF(B$17=0,0,G19/B$17)</f>
        <v>1.5168539325842697E-2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3.703846153846154</v>
      </c>
      <c r="P19" s="119">
        <v>260</v>
      </c>
      <c r="Q19" s="107">
        <v>963</v>
      </c>
    </row>
    <row r="20" spans="1:17" x14ac:dyDescent="0.4">
      <c r="A20" s="55" t="s">
        <v>13</v>
      </c>
      <c r="B20" s="47">
        <v>998</v>
      </c>
      <c r="C20" s="39">
        <f>IF(B$3=0,0,B20/B$3)</f>
        <v>0.16767473118279569</v>
      </c>
      <c r="E20" s="63" t="s">
        <v>74</v>
      </c>
      <c r="F20" s="60" t="s">
        <v>29</v>
      </c>
      <c r="G20" s="47">
        <v>12</v>
      </c>
      <c r="H20" s="133">
        <f>IF(B$17=0,0,G20/B$17)</f>
        <v>6.7415730337078653E-3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1.8289156626506018</v>
      </c>
      <c r="P20" s="119">
        <v>166</v>
      </c>
      <c r="Q20" s="107">
        <v>303.59999999999991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12</v>
      </c>
      <c r="H21" s="133">
        <f>IF(B$17=0,0,G21/B$17)</f>
        <v>6.7415730337078653E-3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1.1282608695652201</v>
      </c>
      <c r="P21" s="119">
        <v>184</v>
      </c>
      <c r="Q21" s="107">
        <v>207.60000000000048</v>
      </c>
    </row>
    <row r="22" spans="1:17" x14ac:dyDescent="0.4">
      <c r="A22" s="55" t="s">
        <v>192</v>
      </c>
      <c r="B22" s="47">
        <v>31</v>
      </c>
      <c r="C22" s="135">
        <v>10</v>
      </c>
      <c r="E22" s="63" t="s">
        <v>75</v>
      </c>
      <c r="F22" s="60" t="s">
        <v>30</v>
      </c>
      <c r="G22" s="47">
        <v>8</v>
      </c>
      <c r="H22" s="133">
        <f>IF(B$17=0,0,G22/B$17)</f>
        <v>4.4943820224719105E-3</v>
      </c>
      <c r="I22" s="94">
        <v>5</v>
      </c>
      <c r="K22" s="38">
        <v>20</v>
      </c>
      <c r="L22" s="99">
        <v>0.79999999999999716</v>
      </c>
      <c r="N22" s="115" t="s">
        <v>200</v>
      </c>
      <c r="O22" s="125">
        <f>IF(P22=0,0,Q22/P22)</f>
        <v>-3.0166666666666679</v>
      </c>
      <c r="P22" s="119">
        <v>18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8705.4494382022476</v>
      </c>
      <c r="C23" s="41">
        <v>15495700</v>
      </c>
      <c r="E23" s="63" t="s">
        <v>93</v>
      </c>
      <c r="F23" s="60" t="s">
        <v>48</v>
      </c>
      <c r="G23" s="47">
        <v>8</v>
      </c>
      <c r="H23" s="133">
        <f>IF(B$17=0,0,G23/B$17)</f>
        <v>4.4943820224719105E-3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-6.3458333333333341</v>
      </c>
      <c r="P23" s="119">
        <v>144</v>
      </c>
      <c r="Q23" s="107">
        <v>-913.80000000000007</v>
      </c>
    </row>
    <row r="24" spans="1:17" x14ac:dyDescent="0.4">
      <c r="A24" s="57" t="s">
        <v>14</v>
      </c>
      <c r="B24" s="52">
        <f>IF(B$20=0,0,C24/B$20)</f>
        <v>-8248.2965931863728</v>
      </c>
      <c r="C24" s="45">
        <v>-8231800</v>
      </c>
      <c r="E24" s="63" t="s">
        <v>86</v>
      </c>
      <c r="F24" s="60" t="s">
        <v>41</v>
      </c>
      <c r="G24" s="47">
        <v>7</v>
      </c>
      <c r="H24" s="133">
        <f>IF(B$17=0,0,G24/B$17)</f>
        <v>3.9325842696629216E-3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-18.233018867924507</v>
      </c>
      <c r="P24" s="119">
        <v>318</v>
      </c>
      <c r="Q24" s="107">
        <v>-5798.0999999999931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7</v>
      </c>
      <c r="H25" s="133">
        <f>IF(B$17=0,0,G25/B$17)</f>
        <v>3.9325842696629216E-3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6</v>
      </c>
      <c r="H26" s="133">
        <f>IF(B$17=0,0,G26/B$17)</f>
        <v>3.3707865168539327E-3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2.3521505376344087E-3</v>
      </c>
      <c r="E27" s="63" t="s">
        <v>91</v>
      </c>
      <c r="F27" s="60" t="s">
        <v>46</v>
      </c>
      <c r="G27" s="47">
        <v>5</v>
      </c>
      <c r="H27" s="133">
        <f>IF(B$17=0,0,G27/B$17)</f>
        <v>2.8089887640449437E-3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2.2471910112359553E-3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2.2471910112359553E-3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1.6853932584269663E-3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1.1235955056179776E-3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5.6179775280898881E-4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5.6179775280898881E-4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159</v>
      </c>
      <c r="C2" s="151"/>
      <c r="E2" s="62" t="s">
        <v>67</v>
      </c>
      <c r="F2" s="59" t="s">
        <v>23</v>
      </c>
      <c r="G2" s="46">
        <v>320</v>
      </c>
      <c r="H2" s="132">
        <f>IF(B$17=0,0,G2/B$17)</f>
        <v>0.71748878923766812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1889.9371069182389</v>
      </c>
      <c r="P2" s="118">
        <v>159</v>
      </c>
      <c r="Q2" s="102">
        <v>300500</v>
      </c>
    </row>
    <row r="3" spans="1:17" x14ac:dyDescent="0.4">
      <c r="A3" s="55" t="s">
        <v>8</v>
      </c>
      <c r="B3" s="152">
        <v>1306</v>
      </c>
      <c r="C3" s="153"/>
      <c r="E3" s="63" t="s">
        <v>73</v>
      </c>
      <c r="F3" s="60" t="s">
        <v>28</v>
      </c>
      <c r="G3" s="47">
        <v>250</v>
      </c>
      <c r="H3" s="133">
        <f>IF(B$17=0,0,G3/B$17)</f>
        <v>0.5605381165919282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2013.5483870967741</v>
      </c>
      <c r="P3" s="119">
        <v>155</v>
      </c>
      <c r="Q3" s="103">
        <v>312100</v>
      </c>
    </row>
    <row r="4" spans="1:17" x14ac:dyDescent="0.4">
      <c r="A4" s="55" t="s">
        <v>6</v>
      </c>
      <c r="B4" s="154">
        <v>1932.7000000000005</v>
      </c>
      <c r="C4" s="155"/>
      <c r="E4" s="63" t="s">
        <v>65</v>
      </c>
      <c r="F4" s="60" t="s">
        <v>21</v>
      </c>
      <c r="G4" s="47">
        <v>214</v>
      </c>
      <c r="H4" s="133">
        <f>IF(B$17=0,0,G4/B$17)</f>
        <v>0.47982062780269058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709.52380952380952</v>
      </c>
      <c r="P4" s="119">
        <v>147</v>
      </c>
      <c r="Q4" s="103">
        <v>104300</v>
      </c>
    </row>
    <row r="5" spans="1:17" x14ac:dyDescent="0.4">
      <c r="A5" s="55" t="s">
        <v>7</v>
      </c>
      <c r="B5" s="156">
        <f>IF(B$2=0,0,B$4/B$2)</f>
        <v>12.155345911949688</v>
      </c>
      <c r="C5" s="157"/>
      <c r="E5" s="63" t="s">
        <v>245</v>
      </c>
      <c r="F5" s="60" t="s">
        <v>246</v>
      </c>
      <c r="G5" s="47">
        <v>185</v>
      </c>
      <c r="H5" s="133">
        <f>IF(B$17=0,0,G5/B$17)</f>
        <v>0.41479820627802688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2214.705882352941</v>
      </c>
      <c r="P5" s="119">
        <v>136</v>
      </c>
      <c r="Q5" s="103">
        <v>301200</v>
      </c>
    </row>
    <row r="6" spans="1:17" x14ac:dyDescent="0.4">
      <c r="A6" s="55" t="s">
        <v>1</v>
      </c>
      <c r="B6" s="146">
        <f>IF(B$2=0,0,(B$7*1+B$8*2+B$9*3)/B$2)</f>
        <v>1.7610062893081762</v>
      </c>
      <c r="C6" s="147"/>
      <c r="E6" s="63" t="s">
        <v>68</v>
      </c>
      <c r="F6" s="60" t="s">
        <v>24</v>
      </c>
      <c r="G6" s="47">
        <v>128</v>
      </c>
      <c r="H6" s="133">
        <f>IF(B$17=0,0,G6/B$17)</f>
        <v>0.28699551569506726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505</v>
      </c>
      <c r="P6" s="119">
        <v>120</v>
      </c>
      <c r="Q6" s="103">
        <v>60600</v>
      </c>
    </row>
    <row r="7" spans="1:17" x14ac:dyDescent="0.4">
      <c r="A7" s="55" t="s">
        <v>2</v>
      </c>
      <c r="B7" s="47">
        <v>76</v>
      </c>
      <c r="C7" s="39">
        <f>IF(B$2=0,0,B7/B$2)</f>
        <v>0.4779874213836478</v>
      </c>
      <c r="E7" s="63" t="s">
        <v>69</v>
      </c>
      <c r="F7" s="60" t="s">
        <v>12</v>
      </c>
      <c r="G7" s="47">
        <v>121</v>
      </c>
      <c r="H7" s="133">
        <f>IF(B$17=0,0,G7/B$17)</f>
        <v>0.27130044843049328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825.242718446602</v>
      </c>
      <c r="P7" s="120">
        <v>103</v>
      </c>
      <c r="Q7" s="104">
        <v>85000</v>
      </c>
    </row>
    <row r="8" spans="1:17" x14ac:dyDescent="0.4">
      <c r="A8" s="55" t="s">
        <v>3</v>
      </c>
      <c r="B8" s="47">
        <v>45</v>
      </c>
      <c r="C8" s="39">
        <f>IF(B$2=0,0,B8/B$2)</f>
        <v>0.28301886792452829</v>
      </c>
      <c r="E8" s="63" t="s">
        <v>70</v>
      </c>
      <c r="F8" s="60" t="s">
        <v>25</v>
      </c>
      <c r="G8" s="47">
        <v>73</v>
      </c>
      <c r="H8" s="133">
        <f>IF(B$17=0,0,G8/B$17)</f>
        <v>0.16367713004484305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ref="C9" si="1">IF(B$2=0,0,B9/B$2)</f>
        <v>0.2389937106918239</v>
      </c>
      <c r="E9" s="63" t="s">
        <v>90</v>
      </c>
      <c r="F9" s="60" t="s">
        <v>45</v>
      </c>
      <c r="G9" s="47">
        <v>70</v>
      </c>
      <c r="H9" s="133">
        <f>IF(B$17=0,0,G9/B$17)</f>
        <v>0.15695067264573992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9.4339622641509441E-2</v>
      </c>
      <c r="E10" s="63" t="s">
        <v>66</v>
      </c>
      <c r="F10" s="60" t="s">
        <v>22</v>
      </c>
      <c r="G10" s="47">
        <v>55</v>
      </c>
      <c r="H10" s="133">
        <f>IF(B$17=0,0,G10/B$17)</f>
        <v>0.12331838565022421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15.124000000000001</v>
      </c>
      <c r="P10" s="118">
        <v>50</v>
      </c>
      <c r="Q10" s="106">
        <v>756.2</v>
      </c>
    </row>
    <row r="11" spans="1:17" x14ac:dyDescent="0.4">
      <c r="A11" s="56" t="s">
        <v>140</v>
      </c>
      <c r="B11" s="48">
        <v>28</v>
      </c>
      <c r="C11" s="40">
        <f>IF(B$2=0,0,B11/B$2)</f>
        <v>0.1761006289308176</v>
      </c>
      <c r="E11" s="63" t="s">
        <v>71</v>
      </c>
      <c r="F11" s="60" t="s">
        <v>26</v>
      </c>
      <c r="G11" s="47">
        <v>39</v>
      </c>
      <c r="H11" s="133">
        <f>IF(B$17=0,0,G11/B$17)</f>
        <v>8.744394618834081E-2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22</v>
      </c>
      <c r="C12" s="42">
        <f>IF(B$2=0,0,B12/B$2)</f>
        <v>0.13836477987421383</v>
      </c>
      <c r="E12" s="63" t="s">
        <v>87</v>
      </c>
      <c r="F12" s="60" t="s">
        <v>42</v>
      </c>
      <c r="G12" s="47">
        <v>33</v>
      </c>
      <c r="H12" s="133">
        <f>IF(B$17=0,0,G12/B$17)</f>
        <v>7.3991031390134535E-2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11.766666666666669</v>
      </c>
      <c r="P12" s="120">
        <v>60</v>
      </c>
      <c r="Q12" s="108">
        <v>706.00000000000011</v>
      </c>
    </row>
    <row r="13" spans="1:17" x14ac:dyDescent="0.4">
      <c r="A13" s="58" t="s">
        <v>122</v>
      </c>
      <c r="B13" s="50">
        <v>408</v>
      </c>
      <c r="C13" s="44">
        <f>IF(B$3=0,0,B13/B$3)</f>
        <v>0.31240428790199082</v>
      </c>
      <c r="E13" s="63" t="s">
        <v>72</v>
      </c>
      <c r="F13" s="60" t="s">
        <v>27</v>
      </c>
      <c r="G13" s="47">
        <v>31</v>
      </c>
      <c r="H13" s="133">
        <f>IF(B$17=0,0,G13/B$17)</f>
        <v>6.9506726457399109E-2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279</v>
      </c>
      <c r="C14" s="39">
        <f>IF(B$3=0,0,B14/B$3)</f>
        <v>0.21362940275650844</v>
      </c>
      <c r="E14" s="63" t="s">
        <v>84</v>
      </c>
      <c r="F14" s="60" t="s">
        <v>39</v>
      </c>
      <c r="G14" s="47">
        <v>25</v>
      </c>
      <c r="H14" s="133">
        <f>IF(B$17=0,0,G14/B$17)</f>
        <v>5.6053811659192827E-2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235</v>
      </c>
      <c r="C15" s="37">
        <f>IF(B$13=0,0,B15/B$13)</f>
        <v>0.5759803921568627</v>
      </c>
      <c r="E15" s="63" t="s">
        <v>180</v>
      </c>
      <c r="F15" s="60" t="s">
        <v>181</v>
      </c>
      <c r="G15" s="47">
        <v>16</v>
      </c>
      <c r="H15" s="133">
        <f>IF(B$17=0,0,G15/B$17)</f>
        <v>3.5874439461883408E-2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144</v>
      </c>
      <c r="C16" s="37">
        <f>IF(B$14=0,0,B16/B$14)</f>
        <v>0.5161290322580645</v>
      </c>
      <c r="E16" s="63" t="s">
        <v>79</v>
      </c>
      <c r="F16" s="60" t="s">
        <v>34</v>
      </c>
      <c r="G16" s="47">
        <v>12</v>
      </c>
      <c r="H16" s="133">
        <f>IF(B$17=0,0,G16/B$17)</f>
        <v>2.6905829596412557E-2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446</v>
      </c>
      <c r="C17" s="37">
        <f>IF(B$3=0,0,B17/B$3)</f>
        <v>0.34150076569678406</v>
      </c>
      <c r="E17" s="63" t="s">
        <v>82</v>
      </c>
      <c r="F17" s="60" t="s">
        <v>37</v>
      </c>
      <c r="G17" s="47">
        <v>12</v>
      </c>
      <c r="H17" s="133">
        <f>IF(B$17=0,0,G17/B$17)</f>
        <v>2.6905829596412557E-2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28.908474576271193</v>
      </c>
      <c r="P17" s="119">
        <v>59</v>
      </c>
      <c r="Q17" s="107">
        <v>1705.6000000000004</v>
      </c>
    </row>
    <row r="18" spans="1:17" x14ac:dyDescent="0.4">
      <c r="A18" s="55" t="s">
        <v>12</v>
      </c>
      <c r="B18" s="47">
        <v>187</v>
      </c>
      <c r="C18" s="39">
        <f>IF(B$17=0,0,B18/B$17)</f>
        <v>0.41928251121076232</v>
      </c>
      <c r="E18" s="63" t="s">
        <v>92</v>
      </c>
      <c r="F18" s="60" t="s">
        <v>47</v>
      </c>
      <c r="G18" s="47">
        <v>10</v>
      </c>
      <c r="H18" s="133">
        <f>IF(B$17=0,0,G18/B$17)</f>
        <v>2.2421524663677129E-2</v>
      </c>
      <c r="I18" s="94">
        <v>3</v>
      </c>
      <c r="K18" s="38">
        <v>16</v>
      </c>
      <c r="L18" s="99">
        <v>425.50000000000006</v>
      </c>
      <c r="N18" s="115" t="s">
        <v>172</v>
      </c>
      <c r="O18" s="125">
        <f>IF(P18=0,0,Q18/P18)</f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259</v>
      </c>
      <c r="C19" s="39">
        <f>IF(B$17=0,0,B19/B$17)</f>
        <v>0.58071748878923768</v>
      </c>
      <c r="E19" s="63" t="s">
        <v>80</v>
      </c>
      <c r="F19" s="60" t="s">
        <v>35</v>
      </c>
      <c r="G19" s="47">
        <v>5</v>
      </c>
      <c r="H19" s="133">
        <f>IF(B$17=0,0,G19/B$17)</f>
        <v>1.1210762331838564E-2</v>
      </c>
      <c r="I19" s="94">
        <v>9</v>
      </c>
      <c r="K19" s="38">
        <v>17</v>
      </c>
      <c r="L19" s="99">
        <v>427.40000000000003</v>
      </c>
      <c r="N19" s="115" t="s">
        <v>184</v>
      </c>
      <c r="O19" s="125">
        <f>IF(P19=0,0,Q19/P19)</f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204</v>
      </c>
      <c r="C20" s="39">
        <f>IF(B$3=0,0,B20/B$3)</f>
        <v>0.15620214395099541</v>
      </c>
      <c r="E20" s="63" t="s">
        <v>86</v>
      </c>
      <c r="F20" s="60" t="s">
        <v>41</v>
      </c>
      <c r="G20" s="47">
        <v>4</v>
      </c>
      <c r="H20" s="133">
        <f>IF(B$17=0,0,G20/B$17)</f>
        <v>8.9686098654708519E-3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18.861290322580651</v>
      </c>
      <c r="P20" s="119">
        <v>31</v>
      </c>
      <c r="Q20" s="107">
        <v>584.70000000000016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6.7264573991031393E-3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18.236363636363635</v>
      </c>
      <c r="P21" s="119">
        <v>88</v>
      </c>
      <c r="Q21" s="107">
        <v>1604.8</v>
      </c>
    </row>
    <row r="22" spans="1:17" x14ac:dyDescent="0.4">
      <c r="A22" s="55" t="s">
        <v>192</v>
      </c>
      <c r="B22" s="47">
        <v>39</v>
      </c>
      <c r="C22" s="135">
        <v>13</v>
      </c>
      <c r="E22" s="63" t="s">
        <v>93</v>
      </c>
      <c r="F22" s="60" t="s">
        <v>48</v>
      </c>
      <c r="G22" s="47">
        <v>3</v>
      </c>
      <c r="H22" s="133">
        <f>IF(B$17=0,0,G22/B$17)</f>
        <v>6.7264573991031393E-3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9309.192825112108</v>
      </c>
      <c r="C23" s="41">
        <v>4151900</v>
      </c>
      <c r="E23" s="63" t="s">
        <v>78</v>
      </c>
      <c r="F23" s="60" t="s">
        <v>33</v>
      </c>
      <c r="G23" s="47">
        <v>2</v>
      </c>
      <c r="H23" s="133">
        <f>IF(B$17=0,0,G23/B$17)</f>
        <v>4.4843049327354259E-3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-8229.4117647058829</v>
      </c>
      <c r="C24" s="45">
        <v>-1678800</v>
      </c>
      <c r="E24" s="63" t="s">
        <v>91</v>
      </c>
      <c r="F24" s="60" t="s">
        <v>46</v>
      </c>
      <c r="G24" s="47">
        <v>2</v>
      </c>
      <c r="H24" s="133">
        <f>IF(B$17=0,0,G24/B$17)</f>
        <v>4.4843049327354259E-3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94</v>
      </c>
      <c r="F25" s="60" t="s">
        <v>49</v>
      </c>
      <c r="G25" s="47">
        <v>2</v>
      </c>
      <c r="H25" s="133">
        <f>IF(B$17=0,0,G25/B$17)</f>
        <v>4.4843049327354259E-3</v>
      </c>
      <c r="I25" s="94">
        <v>4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2.242152466367713E-3</v>
      </c>
      <c r="I26" s="94">
        <v>8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7.6569678407350692E-4</v>
      </c>
      <c r="E27" s="63" t="s">
        <v>85</v>
      </c>
      <c r="F27" s="60" t="s">
        <v>40</v>
      </c>
      <c r="G27" s="47">
        <v>1</v>
      </c>
      <c r="H27" s="133">
        <f>IF(B$17=0,0,G27/B$17)</f>
        <v>2.242152466367713E-3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2.242152466367713E-3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89</v>
      </c>
      <c r="F29" s="60" t="s">
        <v>44</v>
      </c>
      <c r="G29" s="47">
        <v>1</v>
      </c>
      <c r="H29" s="133">
        <f>IF(B$17=0,0,G29/B$17)</f>
        <v>2.242152466367713E-3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2.242152466367713E-3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130</v>
      </c>
      <c r="C2" s="151"/>
      <c r="E2" s="62" t="s">
        <v>67</v>
      </c>
      <c r="F2" s="59" t="s">
        <v>23</v>
      </c>
      <c r="G2" s="46">
        <v>222</v>
      </c>
      <c r="H2" s="132">
        <f>IF(B$17=0,0,G2/B$17)</f>
        <v>0.75510204081632648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287.69230769230768</v>
      </c>
      <c r="P2" s="118">
        <v>130</v>
      </c>
      <c r="Q2" s="102">
        <v>37400</v>
      </c>
    </row>
    <row r="3" spans="1:17" x14ac:dyDescent="0.4">
      <c r="A3" s="55" t="s">
        <v>8</v>
      </c>
      <c r="B3" s="152">
        <v>1077</v>
      </c>
      <c r="C3" s="153"/>
      <c r="E3" s="63" t="s">
        <v>65</v>
      </c>
      <c r="F3" s="60" t="s">
        <v>21</v>
      </c>
      <c r="G3" s="47">
        <v>184</v>
      </c>
      <c r="H3" s="133">
        <f>IF(B$17=0,0,G3/B$17)</f>
        <v>0.62585034013605445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-2021.4285714285713</v>
      </c>
      <c r="P3" s="119">
        <v>126</v>
      </c>
      <c r="Q3" s="103">
        <v>-254700</v>
      </c>
    </row>
    <row r="4" spans="1:17" x14ac:dyDescent="0.4">
      <c r="A4" s="55" t="s">
        <v>6</v>
      </c>
      <c r="B4" s="154">
        <v>-321</v>
      </c>
      <c r="C4" s="155"/>
      <c r="E4" s="63" t="s">
        <v>73</v>
      </c>
      <c r="F4" s="60" t="s">
        <v>28</v>
      </c>
      <c r="G4" s="47">
        <v>134</v>
      </c>
      <c r="H4" s="133">
        <f>IF(B$17=0,0,G4/B$17)</f>
        <v>0.45578231292517007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228.68852459016392</v>
      </c>
      <c r="P4" s="119">
        <v>122</v>
      </c>
      <c r="Q4" s="103">
        <v>27900</v>
      </c>
    </row>
    <row r="5" spans="1:17" x14ac:dyDescent="0.4">
      <c r="A5" s="55" t="s">
        <v>7</v>
      </c>
      <c r="B5" s="156">
        <f>IF(B$2=0,0,B$4/B$2)</f>
        <v>-2.4692307692307693</v>
      </c>
      <c r="C5" s="157"/>
      <c r="E5" s="63" t="s">
        <v>245</v>
      </c>
      <c r="F5" s="60" t="s">
        <v>246</v>
      </c>
      <c r="G5" s="47">
        <v>124</v>
      </c>
      <c r="H5" s="133">
        <f>IF(B$17=0,0,G5/B$17)</f>
        <v>0.42176870748299322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15.596330275229358</v>
      </c>
      <c r="P5" s="119">
        <v>109</v>
      </c>
      <c r="Q5" s="103">
        <v>1700</v>
      </c>
    </row>
    <row r="6" spans="1:17" x14ac:dyDescent="0.4">
      <c r="A6" s="55" t="s">
        <v>1</v>
      </c>
      <c r="B6" s="146">
        <f>IF(B$2=0,0,(B$7*1+B$8*2+B$9*3)/B$2)</f>
        <v>2.0769230769230771</v>
      </c>
      <c r="C6" s="147"/>
      <c r="E6" s="63" t="s">
        <v>68</v>
      </c>
      <c r="F6" s="60" t="s">
        <v>24</v>
      </c>
      <c r="G6" s="47">
        <v>120</v>
      </c>
      <c r="H6" s="133">
        <f>IF(B$17=0,0,G6/B$17)</f>
        <v>0.40816326530612246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0"/>
        <v>823.71134020618558</v>
      </c>
      <c r="P6" s="119">
        <v>97</v>
      </c>
      <c r="Q6" s="103">
        <v>79900</v>
      </c>
    </row>
    <row r="7" spans="1:17" x14ac:dyDescent="0.4">
      <c r="A7" s="55" t="s">
        <v>2</v>
      </c>
      <c r="B7" s="47">
        <v>35</v>
      </c>
      <c r="C7" s="39">
        <f>IF(B$2=0,0,B7/B$2)</f>
        <v>0.26923076923076922</v>
      </c>
      <c r="E7" s="63" t="s">
        <v>69</v>
      </c>
      <c r="F7" s="60" t="s">
        <v>12</v>
      </c>
      <c r="G7" s="47">
        <v>102</v>
      </c>
      <c r="H7" s="133">
        <f>IF(B$17=0,0,G7/B$17)</f>
        <v>0.34693877551020408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270.45454545454544</v>
      </c>
      <c r="P7" s="120">
        <v>88</v>
      </c>
      <c r="Q7" s="104">
        <v>23800</v>
      </c>
    </row>
    <row r="8" spans="1:17" x14ac:dyDescent="0.4">
      <c r="A8" s="55" t="s">
        <v>3</v>
      </c>
      <c r="B8" s="47">
        <v>50</v>
      </c>
      <c r="C8" s="39">
        <f>IF(B$2=0,0,B8/B$2)</f>
        <v>0.38461538461538464</v>
      </c>
      <c r="E8" s="63" t="s">
        <v>70</v>
      </c>
      <c r="F8" s="60" t="s">
        <v>25</v>
      </c>
      <c r="G8" s="47">
        <v>67</v>
      </c>
      <c r="H8" s="133">
        <f>IF(B$17=0,0,G8/B$17)</f>
        <v>0.22789115646258504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0.34615384615384615</v>
      </c>
      <c r="E9" s="63" t="s">
        <v>66</v>
      </c>
      <c r="F9" s="60" t="s">
        <v>22</v>
      </c>
      <c r="G9" s="47">
        <v>47</v>
      </c>
      <c r="H9" s="133">
        <f>IF(B$17=0,0,G9/B$17)</f>
        <v>0.1598639455782313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0.13076923076923078</v>
      </c>
      <c r="E10" s="63" t="s">
        <v>71</v>
      </c>
      <c r="F10" s="60" t="s">
        <v>26</v>
      </c>
      <c r="G10" s="47">
        <v>37</v>
      </c>
      <c r="H10" s="133">
        <f>IF(B$17=0,0,G10/B$17)</f>
        <v>0.12585034013605442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-7.4203125000000005</v>
      </c>
      <c r="P10" s="118">
        <v>64</v>
      </c>
      <c r="Q10" s="106">
        <v>-474.90000000000003</v>
      </c>
    </row>
    <row r="11" spans="1:17" x14ac:dyDescent="0.4">
      <c r="A11" s="56" t="s">
        <v>140</v>
      </c>
      <c r="B11" s="48">
        <v>13</v>
      </c>
      <c r="C11" s="40">
        <f>IF(B$2=0,0,B11/B$2)</f>
        <v>0.1</v>
      </c>
      <c r="E11" s="63" t="s">
        <v>90</v>
      </c>
      <c r="F11" s="60" t="s">
        <v>45</v>
      </c>
      <c r="G11" s="47">
        <v>32</v>
      </c>
      <c r="H11" s="133">
        <f>IF(B$17=0,0,G11/B$17)</f>
        <v>0.10884353741496598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-0.63235294117646967</v>
      </c>
      <c r="P11" s="119">
        <v>34</v>
      </c>
      <c r="Q11" s="107">
        <v>-21.499999999999968</v>
      </c>
    </row>
    <row r="12" spans="1:17" x14ac:dyDescent="0.4">
      <c r="A12" s="57" t="s">
        <v>160</v>
      </c>
      <c r="B12" s="49">
        <v>9</v>
      </c>
      <c r="C12" s="42">
        <f>IF(B$2=0,0,B12/B$2)</f>
        <v>6.9230769230769235E-2</v>
      </c>
      <c r="E12" s="63" t="s">
        <v>72</v>
      </c>
      <c r="F12" s="60" t="s">
        <v>27</v>
      </c>
      <c r="G12" s="47">
        <v>17</v>
      </c>
      <c r="H12" s="133">
        <f>IF(B$17=0,0,G12/B$17)</f>
        <v>5.7823129251700682E-2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324</v>
      </c>
      <c r="C13" s="44">
        <f>IF(B$3=0,0,B13/B$3)</f>
        <v>0.30083565459610029</v>
      </c>
      <c r="E13" s="63" t="s">
        <v>87</v>
      </c>
      <c r="F13" s="60" t="s">
        <v>42</v>
      </c>
      <c r="G13" s="47">
        <v>15</v>
      </c>
      <c r="H13" s="133">
        <f>IF(B$17=0,0,G13/B$17)</f>
        <v>5.1020408163265307E-2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189</v>
      </c>
      <c r="C14" s="39">
        <f>IF(B$3=0,0,B14/B$3)</f>
        <v>0.17548746518105848</v>
      </c>
      <c r="E14" s="63" t="s">
        <v>84</v>
      </c>
      <c r="F14" s="60" t="s">
        <v>39</v>
      </c>
      <c r="G14" s="47">
        <v>10</v>
      </c>
      <c r="H14" s="133">
        <f>IF(B$17=0,0,G14/B$17)</f>
        <v>3.4013605442176874E-2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193</v>
      </c>
      <c r="C15" s="37">
        <f>IF(B$13=0,0,B15/B$13)</f>
        <v>0.59567901234567899</v>
      </c>
      <c r="E15" s="63" t="s">
        <v>82</v>
      </c>
      <c r="F15" s="60" t="s">
        <v>37</v>
      </c>
      <c r="G15" s="47">
        <v>8</v>
      </c>
      <c r="H15" s="133">
        <f>IF(B$17=0,0,G15/B$17)</f>
        <v>2.7210884353741496E-2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56</v>
      </c>
      <c r="C16" s="37">
        <f>IF(B$14=0,0,B16/B$14)</f>
        <v>0.29629629629629628</v>
      </c>
      <c r="E16" s="63" t="s">
        <v>80</v>
      </c>
      <c r="F16" s="60" t="s">
        <v>35</v>
      </c>
      <c r="G16" s="47">
        <v>7</v>
      </c>
      <c r="H16" s="133">
        <f>IF(B$17=0,0,G16/B$17)</f>
        <v>2.3809523809523808E-2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294</v>
      </c>
      <c r="C17" s="37">
        <f>IF(B$3=0,0,B17/B$3)</f>
        <v>0.27298050139275765</v>
      </c>
      <c r="E17" s="63" t="s">
        <v>92</v>
      </c>
      <c r="F17" s="60" t="s">
        <v>47</v>
      </c>
      <c r="G17" s="47">
        <v>6</v>
      </c>
      <c r="H17" s="133">
        <f>IF(B$17=0,0,G17/B$17)</f>
        <v>2.0408163265306121E-2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>IF(P17=0,0,Q17/P17)</f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126</v>
      </c>
      <c r="C18" s="39">
        <f>IF(B$17=0,0,B18/B$17)</f>
        <v>0.42857142857142855</v>
      </c>
      <c r="E18" s="63" t="s">
        <v>79</v>
      </c>
      <c r="F18" s="60" t="s">
        <v>34</v>
      </c>
      <c r="G18" s="47">
        <v>5</v>
      </c>
      <c r="H18" s="133">
        <f>IF(B$17=0,0,G18/B$17)</f>
        <v>1.7006802721088437E-2</v>
      </c>
      <c r="I18" s="94">
        <v>9</v>
      </c>
      <c r="K18" s="38">
        <v>16</v>
      </c>
      <c r="L18" s="99">
        <v>41.699999999999989</v>
      </c>
      <c r="N18" s="115" t="s">
        <v>171</v>
      </c>
      <c r="O18" s="125">
        <f>IF(P18=0,0,Q18/P18)</f>
        <v>1.1611111111111161</v>
      </c>
      <c r="P18" s="119">
        <v>36</v>
      </c>
      <c r="Q18" s="107">
        <v>41.800000000000182</v>
      </c>
    </row>
    <row r="19" spans="1:17" x14ac:dyDescent="0.4">
      <c r="A19" s="55" t="s">
        <v>11</v>
      </c>
      <c r="B19" s="47">
        <v>168</v>
      </c>
      <c r="C19" s="39">
        <f>IF(B$17=0,0,B19/B$17)</f>
        <v>0.5714285714285714</v>
      </c>
      <c r="E19" s="63" t="s">
        <v>180</v>
      </c>
      <c r="F19" s="60" t="s">
        <v>181</v>
      </c>
      <c r="G19" s="47">
        <v>5</v>
      </c>
      <c r="H19" s="133">
        <f>IF(B$17=0,0,G19/B$17)</f>
        <v>1.7006802721088437E-2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>IF(P19=0,0,Q19/P19)</f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186</v>
      </c>
      <c r="C20" s="39">
        <f>IF(B$3=0,0,B20/B$3)</f>
        <v>0.17270194986072424</v>
      </c>
      <c r="E20" s="63" t="s">
        <v>76</v>
      </c>
      <c r="F20" s="60" t="s">
        <v>31</v>
      </c>
      <c r="G20" s="47">
        <v>3</v>
      </c>
      <c r="H20" s="133">
        <f>IF(B$17=0,0,G20/B$17)</f>
        <v>1.020408163265306E-2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74</v>
      </c>
      <c r="F21" s="60" t="s">
        <v>29</v>
      </c>
      <c r="G21" s="47">
        <v>2</v>
      </c>
      <c r="H21" s="133">
        <f>IF(B$17=0,0,G21/B$17)</f>
        <v>6.8027210884353739E-3</v>
      </c>
      <c r="I21" s="94">
        <v>4</v>
      </c>
      <c r="K21" s="38">
        <v>19</v>
      </c>
      <c r="L21" s="99">
        <v>138.79999999999998</v>
      </c>
      <c r="N21" s="115" t="s">
        <v>177</v>
      </c>
      <c r="O21" s="125">
        <f>IF(P21=0,0,Q21/P21)</f>
        <v>-8.5074074074074097</v>
      </c>
      <c r="P21" s="119">
        <v>27</v>
      </c>
      <c r="Q21" s="107">
        <v>-229.70000000000005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75</v>
      </c>
      <c r="F22" s="60" t="s">
        <v>30</v>
      </c>
      <c r="G22" s="47">
        <v>2</v>
      </c>
      <c r="H22" s="133">
        <f>IF(B$17=0,0,G22/B$17)</f>
        <v>6.8027210884353739E-3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-18.236363636363635</v>
      </c>
      <c r="P22" s="119">
        <v>88</v>
      </c>
      <c r="Q22" s="107">
        <v>-1604.8</v>
      </c>
    </row>
    <row r="23" spans="1:17" x14ac:dyDescent="0.4">
      <c r="A23" s="55" t="s">
        <v>5</v>
      </c>
      <c r="B23" s="51">
        <f>IF(B$17=0,0,C23/B$17)</f>
        <v>9268.7074829931971</v>
      </c>
      <c r="C23" s="41">
        <v>2725000</v>
      </c>
      <c r="E23" s="63" t="s">
        <v>78</v>
      </c>
      <c r="F23" s="60" t="s">
        <v>33</v>
      </c>
      <c r="G23" s="47">
        <v>1</v>
      </c>
      <c r="H23" s="133">
        <f>IF(B$17=0,0,G23/B$17)</f>
        <v>3.4013605442176869E-3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-7647.8494623655915</v>
      </c>
      <c r="C24" s="45">
        <v>-1422500</v>
      </c>
      <c r="E24" s="63" t="s">
        <v>85</v>
      </c>
      <c r="F24" s="60" t="s">
        <v>40</v>
      </c>
      <c r="G24" s="47">
        <v>1</v>
      </c>
      <c r="H24" s="133">
        <f>IF(B$17=0,0,G24/B$17)</f>
        <v>3.4013605442176869E-3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3.4013605442176869E-3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3.4013605442176869E-3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4.642525533890436E-3</v>
      </c>
      <c r="E27" s="63" t="s">
        <v>94</v>
      </c>
      <c r="F27" s="60" t="s">
        <v>49</v>
      </c>
      <c r="G27" s="47">
        <v>1</v>
      </c>
      <c r="H27" s="133">
        <f>IF(B$17=0,0,G27/B$17)</f>
        <v>3.4013605442176869E-3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3.4013605442176869E-3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67</v>
      </c>
      <c r="F2" s="59" t="s">
        <v>23</v>
      </c>
      <c r="G2" s="46">
        <v>168</v>
      </c>
      <c r="H2" s="132">
        <f>IF(B$17=0,0,G2/B$17)</f>
        <v>0.84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-2910.3092783505153</v>
      </c>
      <c r="P2" s="118">
        <v>97</v>
      </c>
      <c r="Q2" s="102">
        <v>-282300</v>
      </c>
    </row>
    <row r="3" spans="1:17" x14ac:dyDescent="0.4">
      <c r="A3" s="55" t="s">
        <v>8</v>
      </c>
      <c r="B3" s="152">
        <v>808</v>
      </c>
      <c r="C3" s="153"/>
      <c r="E3" s="63" t="s">
        <v>65</v>
      </c>
      <c r="F3" s="60" t="s">
        <v>21</v>
      </c>
      <c r="G3" s="47">
        <v>112</v>
      </c>
      <c r="H3" s="133">
        <f>IF(B$17=0,0,G3/B$17)</f>
        <v>0.56000000000000005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-1356.8421052631579</v>
      </c>
      <c r="P3" s="119">
        <v>95</v>
      </c>
      <c r="Q3" s="103">
        <v>-128900</v>
      </c>
    </row>
    <row r="4" spans="1:17" x14ac:dyDescent="0.4">
      <c r="A4" s="55" t="s">
        <v>6</v>
      </c>
      <c r="B4" s="154">
        <v>-1299.4000000000001</v>
      </c>
      <c r="C4" s="155"/>
      <c r="E4" s="63" t="s">
        <v>73</v>
      </c>
      <c r="F4" s="60" t="s">
        <v>28</v>
      </c>
      <c r="G4" s="47">
        <v>77</v>
      </c>
      <c r="H4" s="133">
        <f>IF(B$17=0,0,G4/B$17)</f>
        <v>0.38500000000000001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-204.49438202247191</v>
      </c>
      <c r="P4" s="119">
        <v>89</v>
      </c>
      <c r="Q4" s="103">
        <v>-18200</v>
      </c>
    </row>
    <row r="5" spans="1:17" x14ac:dyDescent="0.4">
      <c r="A5" s="55" t="s">
        <v>7</v>
      </c>
      <c r="B5" s="156">
        <f>IF(B$2=0,0,B$4/B$2)</f>
        <v>-13.395876288659794</v>
      </c>
      <c r="C5" s="157"/>
      <c r="E5" s="63" t="s">
        <v>245</v>
      </c>
      <c r="F5" s="60" t="s">
        <v>246</v>
      </c>
      <c r="G5" s="47">
        <v>75</v>
      </c>
      <c r="H5" s="133">
        <f>IF(B$17=0,0,G5/B$17)</f>
        <v>0.375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0"/>
        <v>-4174.6835443037971</v>
      </c>
      <c r="P5" s="119">
        <v>79</v>
      </c>
      <c r="Q5" s="103">
        <v>-329800</v>
      </c>
    </row>
    <row r="6" spans="1:17" x14ac:dyDescent="0.4">
      <c r="A6" s="55" t="s">
        <v>1</v>
      </c>
      <c r="B6" s="146">
        <f>IF(B$2=0,0,(B$7*1+B$8*2+B$9*3)/B$2)</f>
        <v>2.2164948453608249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0.36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-608.33333333333337</v>
      </c>
      <c r="P6" s="119">
        <v>72</v>
      </c>
      <c r="Q6" s="103">
        <v>-43800</v>
      </c>
    </row>
    <row r="7" spans="1:17" x14ac:dyDescent="0.4">
      <c r="A7" s="55" t="s">
        <v>2</v>
      </c>
      <c r="B7" s="47">
        <v>26</v>
      </c>
      <c r="C7" s="39">
        <f>IF(B$2=0,0,B7/B$2)</f>
        <v>0.26804123711340205</v>
      </c>
      <c r="E7" s="63" t="s">
        <v>68</v>
      </c>
      <c r="F7" s="60" t="s">
        <v>24</v>
      </c>
      <c r="G7" s="47">
        <v>64</v>
      </c>
      <c r="H7" s="133">
        <f>IF(B$17=0,0,G7/B$17)</f>
        <v>0.32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-1085.9375</v>
      </c>
      <c r="P7" s="120">
        <v>64</v>
      </c>
      <c r="Q7" s="104">
        <v>-69500</v>
      </c>
    </row>
    <row r="8" spans="1:17" x14ac:dyDescent="0.4">
      <c r="A8" s="55" t="s">
        <v>3</v>
      </c>
      <c r="B8" s="47">
        <v>24</v>
      </c>
      <c r="C8" s="39">
        <f>IF(B$2=0,0,B8/B$2)</f>
        <v>0.24742268041237114</v>
      </c>
      <c r="E8" s="63" t="s">
        <v>70</v>
      </c>
      <c r="F8" s="60" t="s">
        <v>25</v>
      </c>
      <c r="G8" s="47">
        <v>39</v>
      </c>
      <c r="H8" s="133">
        <f>IF(B$17=0,0,G8/B$17)</f>
        <v>0.19500000000000001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0.4845360824742268</v>
      </c>
      <c r="E9" s="63" t="s">
        <v>71</v>
      </c>
      <c r="F9" s="60" t="s">
        <v>26</v>
      </c>
      <c r="G9" s="47">
        <v>32</v>
      </c>
      <c r="H9" s="133">
        <f>IF(B$17=0,0,G9/B$17)</f>
        <v>0.16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0.19587628865979381</v>
      </c>
      <c r="E10" s="63" t="s">
        <v>72</v>
      </c>
      <c r="F10" s="60" t="s">
        <v>27</v>
      </c>
      <c r="G10" s="47">
        <v>21</v>
      </c>
      <c r="H10" s="133">
        <f>IF(B$17=0,0,G10/B$17)</f>
        <v>0.105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-19.121428571428567</v>
      </c>
      <c r="P10" s="118">
        <v>28</v>
      </c>
      <c r="Q10" s="106">
        <v>-535.39999999999986</v>
      </c>
    </row>
    <row r="11" spans="1:17" x14ac:dyDescent="0.4">
      <c r="A11" s="56" t="s">
        <v>140</v>
      </c>
      <c r="B11" s="48">
        <v>10</v>
      </c>
      <c r="C11" s="40">
        <f>IF(B$2=0,0,B11/B$2)</f>
        <v>0.10309278350515463</v>
      </c>
      <c r="E11" s="63" t="s">
        <v>66</v>
      </c>
      <c r="F11" s="60" t="s">
        <v>22</v>
      </c>
      <c r="G11" s="47">
        <v>19</v>
      </c>
      <c r="H11" s="133">
        <f>IF(B$17=0,0,G11/B$17)</f>
        <v>9.5000000000000001E-2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-9.3210526315789508</v>
      </c>
      <c r="P11" s="119">
        <v>38</v>
      </c>
      <c r="Q11" s="107">
        <v>-354.20000000000016</v>
      </c>
    </row>
    <row r="12" spans="1:17" x14ac:dyDescent="0.4">
      <c r="A12" s="57" t="s">
        <v>160</v>
      </c>
      <c r="B12" s="49">
        <v>7</v>
      </c>
      <c r="C12" s="42">
        <f>IF(B$2=0,0,B12/B$2)</f>
        <v>7.2164948453608241E-2</v>
      </c>
      <c r="E12" s="63" t="s">
        <v>90</v>
      </c>
      <c r="F12" s="60" t="s">
        <v>45</v>
      </c>
      <c r="G12" s="47">
        <v>18</v>
      </c>
      <c r="H12" s="133">
        <f>IF(B$17=0,0,G12/B$17)</f>
        <v>0.09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-13.219354838709673</v>
      </c>
      <c r="P12" s="120">
        <v>31</v>
      </c>
      <c r="Q12" s="108">
        <v>-409.7999999999999</v>
      </c>
    </row>
    <row r="13" spans="1:17" x14ac:dyDescent="0.4">
      <c r="A13" s="58" t="s">
        <v>122</v>
      </c>
      <c r="B13" s="50">
        <v>219</v>
      </c>
      <c r="C13" s="44">
        <f>IF(B$3=0,0,B13/B$3)</f>
        <v>0.27103960396039606</v>
      </c>
      <c r="E13" s="63" t="s">
        <v>87</v>
      </c>
      <c r="F13" s="60" t="s">
        <v>42</v>
      </c>
      <c r="G13" s="47">
        <v>10</v>
      </c>
      <c r="H13" s="133">
        <f>IF(B$17=0,0,G13/B$17)</f>
        <v>0.05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136</v>
      </c>
      <c r="C14" s="39">
        <f>IF(B$3=0,0,B14/B$3)</f>
        <v>0.16831683168316833</v>
      </c>
      <c r="E14" s="63" t="s">
        <v>79</v>
      </c>
      <c r="F14" s="60" t="s">
        <v>34</v>
      </c>
      <c r="G14" s="47">
        <v>9</v>
      </c>
      <c r="H14" s="133">
        <f>IF(B$17=0,0,G14/B$17)</f>
        <v>4.4999999999999998E-2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115</v>
      </c>
      <c r="C15" s="37">
        <f>IF(B$13=0,0,B15/B$13)</f>
        <v>0.52511415525114158</v>
      </c>
      <c r="E15" s="63" t="s">
        <v>84</v>
      </c>
      <c r="F15" s="60" t="s">
        <v>39</v>
      </c>
      <c r="G15" s="47">
        <v>7</v>
      </c>
      <c r="H15" s="133">
        <f>IF(B$17=0,0,G15/B$17)</f>
        <v>3.5000000000000003E-2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37</v>
      </c>
      <c r="C16" s="37">
        <f>IF(B$14=0,0,B16/B$14)</f>
        <v>0.27205882352941174</v>
      </c>
      <c r="E16" s="63" t="s">
        <v>82</v>
      </c>
      <c r="F16" s="60" t="s">
        <v>37</v>
      </c>
      <c r="G16" s="47">
        <v>5</v>
      </c>
      <c r="H16" s="133">
        <f>IF(B$17=0,0,G16/B$17)</f>
        <v>2.5000000000000001E-2</v>
      </c>
      <c r="I16" s="94">
        <v>8</v>
      </c>
      <c r="K16" s="38">
        <v>14</v>
      </c>
      <c r="L16" s="99">
        <v>-394.6</v>
      </c>
      <c r="N16" s="115" t="s">
        <v>177</v>
      </c>
      <c r="O16" s="125">
        <f>IF(P16=0,0,Q16/P16)</f>
        <v>-6.9208333333333316</v>
      </c>
      <c r="P16" s="119">
        <v>24</v>
      </c>
      <c r="Q16" s="107">
        <v>-166.09999999999997</v>
      </c>
    </row>
    <row r="17" spans="1:17" x14ac:dyDescent="0.4">
      <c r="A17" s="54" t="s">
        <v>10</v>
      </c>
      <c r="B17" s="46">
        <f>B19+B18</f>
        <v>200</v>
      </c>
      <c r="C17" s="37">
        <f>IF(B$3=0,0,B17/B$3)</f>
        <v>0.24752475247524752</v>
      </c>
      <c r="E17" s="63" t="s">
        <v>75</v>
      </c>
      <c r="F17" s="60" t="s">
        <v>30</v>
      </c>
      <c r="G17" s="47">
        <v>3</v>
      </c>
      <c r="H17" s="133">
        <f>IF(B$17=0,0,G17/B$17)</f>
        <v>1.4999999999999999E-2</v>
      </c>
      <c r="I17" s="94">
        <v>2</v>
      </c>
      <c r="K17" s="38">
        <v>15</v>
      </c>
      <c r="L17" s="99">
        <v>-424.5</v>
      </c>
      <c r="N17" s="115" t="s">
        <v>128</v>
      </c>
      <c r="O17" s="125">
        <f>IF(P17=0,0,Q17/P17)</f>
        <v>-13.619047619047617</v>
      </c>
      <c r="P17" s="119">
        <v>42</v>
      </c>
      <c r="Q17" s="107">
        <v>-571.99999999999989</v>
      </c>
    </row>
    <row r="18" spans="1:17" x14ac:dyDescent="0.4">
      <c r="A18" s="55" t="s">
        <v>12</v>
      </c>
      <c r="B18" s="47">
        <v>86</v>
      </c>
      <c r="C18" s="39">
        <f>IF(B$17=0,0,B18/B$17)</f>
        <v>0.43</v>
      </c>
      <c r="E18" s="63" t="s">
        <v>80</v>
      </c>
      <c r="F18" s="60" t="s">
        <v>35</v>
      </c>
      <c r="G18" s="47">
        <v>2</v>
      </c>
      <c r="H18" s="133">
        <f>IF(B$17=0,0,G18/B$17)</f>
        <v>0.01</v>
      </c>
      <c r="I18" s="94">
        <v>10</v>
      </c>
      <c r="K18" s="38">
        <v>16</v>
      </c>
      <c r="L18" s="99">
        <v>-472</v>
      </c>
      <c r="N18" s="115" t="s">
        <v>171</v>
      </c>
      <c r="O18" s="125">
        <f>IF(P18=0,0,Q18/P18)</f>
        <v>-20.956666666666663</v>
      </c>
      <c r="P18" s="119">
        <v>30</v>
      </c>
      <c r="Q18" s="107">
        <v>-628.69999999999993</v>
      </c>
    </row>
    <row r="19" spans="1:17" x14ac:dyDescent="0.4">
      <c r="A19" s="55" t="s">
        <v>11</v>
      </c>
      <c r="B19" s="47">
        <v>114</v>
      </c>
      <c r="C19" s="39">
        <f>IF(B$17=0,0,B19/B$17)</f>
        <v>0.56999999999999995</v>
      </c>
      <c r="E19" s="63" t="s">
        <v>88</v>
      </c>
      <c r="F19" s="60" t="s">
        <v>43</v>
      </c>
      <c r="G19" s="47">
        <v>2</v>
      </c>
      <c r="H19" s="133">
        <f>IF(B$17=0,0,G19/B$17)</f>
        <v>0.01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154</v>
      </c>
      <c r="C20" s="39">
        <f>IF(B$3=0,0,B20/B$3)</f>
        <v>0.1905940594059406</v>
      </c>
      <c r="E20" s="63" t="s">
        <v>92</v>
      </c>
      <c r="F20" s="60" t="s">
        <v>47</v>
      </c>
      <c r="G20" s="47">
        <v>2</v>
      </c>
      <c r="H20" s="133">
        <f>IF(B$17=0,0,G20/B$17)</f>
        <v>0.01</v>
      </c>
      <c r="I20" s="94">
        <v>8</v>
      </c>
      <c r="K20" s="38">
        <v>18</v>
      </c>
      <c r="L20" s="99">
        <v>-537.19999999999993</v>
      </c>
      <c r="N20" s="115" t="s">
        <v>184</v>
      </c>
      <c r="O20" s="125">
        <f>IF(P20=0,0,Q20/P20)</f>
        <v>-24.44</v>
      </c>
      <c r="P20" s="119">
        <v>5</v>
      </c>
      <c r="Q20" s="107">
        <v>-122.2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94</v>
      </c>
      <c r="F21" s="60" t="s">
        <v>49</v>
      </c>
      <c r="G21" s="47">
        <v>2</v>
      </c>
      <c r="H21" s="133">
        <f>IF(B$17=0,0,G21/B$17)</f>
        <v>0.01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-27.262499999999999</v>
      </c>
      <c r="P21" s="119">
        <v>24</v>
      </c>
      <c r="Q21" s="107">
        <v>-654.29999999999995</v>
      </c>
    </row>
    <row r="22" spans="1:17" x14ac:dyDescent="0.4">
      <c r="A22" s="55" t="s">
        <v>192</v>
      </c>
      <c r="B22" s="47">
        <v>31</v>
      </c>
      <c r="C22" s="135">
        <v>10</v>
      </c>
      <c r="E22" s="63" t="s">
        <v>76</v>
      </c>
      <c r="F22" s="60" t="s">
        <v>31</v>
      </c>
      <c r="G22" s="47">
        <v>1</v>
      </c>
      <c r="H22" s="133">
        <f>IF(B$17=0,0,G22/B$17)</f>
        <v>5.0000000000000001E-3</v>
      </c>
      <c r="I22" s="94">
        <v>6</v>
      </c>
      <c r="K22" s="38">
        <v>20</v>
      </c>
      <c r="L22" s="99">
        <v>-632.99999999999989</v>
      </c>
      <c r="N22" s="115" t="s">
        <v>127</v>
      </c>
      <c r="O22" s="125">
        <f>IF(P22=0,0,Q22/P22)</f>
        <v>-28.908474576271196</v>
      </c>
      <c r="P22" s="119">
        <v>59</v>
      </c>
      <c r="Q22" s="107">
        <v>-1705.6000000000006</v>
      </c>
    </row>
    <row r="23" spans="1:17" x14ac:dyDescent="0.4">
      <c r="A23" s="55" t="s">
        <v>5</v>
      </c>
      <c r="B23" s="51">
        <f>IF(B$17=0,0,C23/B$17)</f>
        <v>8715</v>
      </c>
      <c r="C23" s="41">
        <v>1743000</v>
      </c>
      <c r="E23" s="63" t="s">
        <v>78</v>
      </c>
      <c r="F23" s="60" t="s">
        <v>33</v>
      </c>
      <c r="G23" s="47">
        <v>1</v>
      </c>
      <c r="H23" s="133">
        <f>IF(B$17=0,0,G23/B$17)</f>
        <v>5.0000000000000001E-3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-9226.6233766233763</v>
      </c>
      <c r="C24" s="45">
        <v>-1420900</v>
      </c>
      <c r="E24" s="63" t="s">
        <v>89</v>
      </c>
      <c r="F24" s="60" t="s">
        <v>44</v>
      </c>
      <c r="G24" s="47">
        <v>1</v>
      </c>
      <c r="H24" s="133">
        <f>IF(B$17=0,0,G24/B$17)</f>
        <v>5.0000000000000001E-3</v>
      </c>
      <c r="I24" s="94">
        <v>1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5.0000000000000001E-3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1.2376237623762376E-3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92</v>
      </c>
      <c r="C2" s="151"/>
      <c r="E2" s="62" t="s">
        <v>67</v>
      </c>
      <c r="F2" s="59" t="s">
        <v>23</v>
      </c>
      <c r="G2" s="46">
        <v>176</v>
      </c>
      <c r="H2" s="132">
        <f>IF(B$17=0,0,G2/B$17)</f>
        <v>0.81481481481481477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-723.91304347826087</v>
      </c>
      <c r="P2" s="118">
        <v>92</v>
      </c>
      <c r="Q2" s="102">
        <v>-66600</v>
      </c>
    </row>
    <row r="3" spans="1:17" x14ac:dyDescent="0.4">
      <c r="A3" s="55" t="s">
        <v>8</v>
      </c>
      <c r="B3" s="152">
        <v>769</v>
      </c>
      <c r="C3" s="153"/>
      <c r="E3" s="63" t="s">
        <v>65</v>
      </c>
      <c r="F3" s="60" t="s">
        <v>21</v>
      </c>
      <c r="G3" s="47">
        <v>117</v>
      </c>
      <c r="H3" s="133">
        <f>IF(B$17=0,0,G3/B$17)</f>
        <v>0.54166666666666663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150</v>
      </c>
      <c r="P3" s="119">
        <v>90</v>
      </c>
      <c r="Q3" s="103">
        <v>13500</v>
      </c>
    </row>
    <row r="4" spans="1:17" x14ac:dyDescent="0.4">
      <c r="A4" s="55" t="s">
        <v>6</v>
      </c>
      <c r="B4" s="154">
        <v>-69.199999999999974</v>
      </c>
      <c r="C4" s="155"/>
      <c r="E4" s="63" t="s">
        <v>73</v>
      </c>
      <c r="F4" s="60" t="s">
        <v>28</v>
      </c>
      <c r="G4" s="47">
        <v>113</v>
      </c>
      <c r="H4" s="133">
        <f>IF(B$17=0,0,G4/B$17)</f>
        <v>0.52314814814814814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1246.9879518072289</v>
      </c>
      <c r="P4" s="119">
        <v>83</v>
      </c>
      <c r="Q4" s="103">
        <v>103500</v>
      </c>
    </row>
    <row r="5" spans="1:17" x14ac:dyDescent="0.4">
      <c r="A5" s="55" t="s">
        <v>7</v>
      </c>
      <c r="B5" s="156">
        <f>IF(B$2=0,0,B$4/B$2)</f>
        <v>-0.75217391304347803</v>
      </c>
      <c r="C5" s="157"/>
      <c r="E5" s="63" t="s">
        <v>245</v>
      </c>
      <c r="F5" s="60" t="s">
        <v>246</v>
      </c>
      <c r="G5" s="47">
        <v>82</v>
      </c>
      <c r="H5" s="133">
        <f>IF(B$17=0,0,G5/B$17)</f>
        <v>0.37962962962962965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715.27777777777783</v>
      </c>
      <c r="P5" s="119">
        <v>72</v>
      </c>
      <c r="Q5" s="103">
        <v>51500</v>
      </c>
    </row>
    <row r="6" spans="1:17" x14ac:dyDescent="0.4">
      <c r="A6" s="55" t="s">
        <v>1</v>
      </c>
      <c r="B6" s="146">
        <f>IF(B$2=0,0,(B$7*1+B$8*2+B$9*3)/B$2)</f>
        <v>2.0543478260869565</v>
      </c>
      <c r="C6" s="147"/>
      <c r="E6" s="63" t="s">
        <v>68</v>
      </c>
      <c r="F6" s="60" t="s">
        <v>24</v>
      </c>
      <c r="G6" s="47">
        <v>70</v>
      </c>
      <c r="H6" s="133">
        <f>IF(B$17=0,0,G6/B$17)</f>
        <v>0.32407407407407407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-1392.1875</v>
      </c>
      <c r="P6" s="119">
        <v>64</v>
      </c>
      <c r="Q6" s="103">
        <v>-89100</v>
      </c>
    </row>
    <row r="7" spans="1:17" x14ac:dyDescent="0.4">
      <c r="A7" s="55" t="s">
        <v>2</v>
      </c>
      <c r="B7" s="47">
        <v>27</v>
      </c>
      <c r="C7" s="39">
        <f>IF(B$2=0,0,B7/B$2)</f>
        <v>0.29347826086956524</v>
      </c>
      <c r="E7" s="63" t="s">
        <v>69</v>
      </c>
      <c r="F7" s="60" t="s">
        <v>12</v>
      </c>
      <c r="G7" s="47">
        <v>64</v>
      </c>
      <c r="H7" s="133">
        <f>IF(B$17=0,0,G7/B$17)</f>
        <v>0.29629629629629628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-192.98245614035088</v>
      </c>
      <c r="P7" s="120">
        <v>57</v>
      </c>
      <c r="Q7" s="104">
        <v>-11000</v>
      </c>
    </row>
    <row r="8" spans="1:17" x14ac:dyDescent="0.4">
      <c r="A8" s="55" t="s">
        <v>3</v>
      </c>
      <c r="B8" s="47">
        <v>33</v>
      </c>
      <c r="C8" s="39">
        <f>IF(B$2=0,0,B8/B$2)</f>
        <v>0.35869565217391303</v>
      </c>
      <c r="E8" s="63" t="s">
        <v>70</v>
      </c>
      <c r="F8" s="60" t="s">
        <v>25</v>
      </c>
      <c r="G8" s="47">
        <v>43</v>
      </c>
      <c r="H8" s="133">
        <f>IF(B$17=0,0,G8/B$17)</f>
        <v>0.19907407407407407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0.34782608695652173</v>
      </c>
      <c r="E9" s="63" t="s">
        <v>90</v>
      </c>
      <c r="F9" s="60" t="s">
        <v>45</v>
      </c>
      <c r="G9" s="47">
        <v>37</v>
      </c>
      <c r="H9" s="133">
        <f>IF(B$17=0,0,G9/B$17)</f>
        <v>0.17129629629629631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0.10869565217391304</v>
      </c>
      <c r="E10" s="63" t="s">
        <v>66</v>
      </c>
      <c r="F10" s="60" t="s">
        <v>22</v>
      </c>
      <c r="G10" s="47">
        <v>28</v>
      </c>
      <c r="H10" s="133">
        <f>IF(B$17=0,0,G10/B$17)</f>
        <v>0.12962962962962962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3.4166666666666665</v>
      </c>
      <c r="P10" s="118">
        <v>24</v>
      </c>
      <c r="Q10" s="106">
        <v>82</v>
      </c>
    </row>
    <row r="11" spans="1:17" x14ac:dyDescent="0.4">
      <c r="A11" s="56" t="s">
        <v>140</v>
      </c>
      <c r="B11" s="48">
        <v>12</v>
      </c>
      <c r="C11" s="40">
        <f>IF(B$2=0,0,B11/B$2)</f>
        <v>0.13043478260869565</v>
      </c>
      <c r="E11" s="63" t="s">
        <v>71</v>
      </c>
      <c r="F11" s="60" t="s">
        <v>26</v>
      </c>
      <c r="G11" s="47">
        <v>23</v>
      </c>
      <c r="H11" s="133">
        <f>IF(B$17=0,0,G11/B$17)</f>
        <v>0.10648148148148148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-2.465714285714284</v>
      </c>
      <c r="P11" s="119">
        <v>35</v>
      </c>
      <c r="Q11" s="107">
        <v>-86.29999999999994</v>
      </c>
    </row>
    <row r="12" spans="1:17" x14ac:dyDescent="0.4">
      <c r="A12" s="57" t="s">
        <v>160</v>
      </c>
      <c r="B12" s="49">
        <v>6</v>
      </c>
      <c r="C12" s="42">
        <f>IF(B$2=0,0,B12/B$2)</f>
        <v>6.5217391304347824E-2</v>
      </c>
      <c r="E12" s="63" t="s">
        <v>87</v>
      </c>
      <c r="F12" s="60" t="s">
        <v>42</v>
      </c>
      <c r="G12" s="47">
        <v>16</v>
      </c>
      <c r="H12" s="133">
        <f>IF(B$17=0,0,G12/B$17)</f>
        <v>7.407407407407407E-2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-1.9666666666666668</v>
      </c>
      <c r="P12" s="120">
        <v>33</v>
      </c>
      <c r="Q12" s="108">
        <v>-64.900000000000006</v>
      </c>
    </row>
    <row r="13" spans="1:17" x14ac:dyDescent="0.4">
      <c r="A13" s="58" t="s">
        <v>122</v>
      </c>
      <c r="B13" s="50">
        <v>223</v>
      </c>
      <c r="C13" s="44">
        <f>IF(B$3=0,0,B13/B$3)</f>
        <v>0.28998699609882966</v>
      </c>
      <c r="E13" s="63" t="s">
        <v>72</v>
      </c>
      <c r="F13" s="60" t="s">
        <v>27</v>
      </c>
      <c r="G13" s="47">
        <v>14</v>
      </c>
      <c r="H13" s="133">
        <f>IF(B$17=0,0,G13/B$17)</f>
        <v>6.4814814814814811E-2</v>
      </c>
      <c r="I13" s="94">
        <v>7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147</v>
      </c>
      <c r="C14" s="39">
        <f>IF(B$3=0,0,B14/B$3)</f>
        <v>0.19115734720416125</v>
      </c>
      <c r="E14" s="63" t="s">
        <v>84</v>
      </c>
      <c r="F14" s="60" t="s">
        <v>39</v>
      </c>
      <c r="G14" s="47">
        <v>11</v>
      </c>
      <c r="H14" s="133">
        <f>IF(B$17=0,0,G14/B$17)</f>
        <v>5.0925925925925923E-2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125</v>
      </c>
      <c r="C15" s="37">
        <f>IF(B$13=0,0,B15/B$13)</f>
        <v>0.5605381165919282</v>
      </c>
      <c r="E15" s="63" t="s">
        <v>79</v>
      </c>
      <c r="F15" s="60" t="s">
        <v>34</v>
      </c>
      <c r="G15" s="47">
        <v>9</v>
      </c>
      <c r="H15" s="133">
        <f>IF(B$17=0,0,G15/B$17)</f>
        <v>4.1666666666666664E-2</v>
      </c>
      <c r="I15" s="94">
        <v>4</v>
      </c>
      <c r="K15" s="38">
        <v>13</v>
      </c>
      <c r="L15" s="99">
        <v>-58.7</v>
      </c>
      <c r="N15" s="114" t="s">
        <v>184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60</v>
      </c>
      <c r="C16" s="37">
        <f>IF(B$14=0,0,B16/B$14)</f>
        <v>0.40816326530612246</v>
      </c>
      <c r="E16" s="63" t="s">
        <v>82</v>
      </c>
      <c r="F16" s="60" t="s">
        <v>37</v>
      </c>
      <c r="G16" s="47">
        <v>8</v>
      </c>
      <c r="H16" s="133">
        <f>IF(B$17=0,0,G16/B$17)</f>
        <v>3.7037037037037035E-2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>IF(P16=0,0,Q16/P16)</f>
        <v>20.95666666666666</v>
      </c>
      <c r="P16" s="119">
        <v>30</v>
      </c>
      <c r="Q16" s="107">
        <v>628.69999999999982</v>
      </c>
    </row>
    <row r="17" spans="1:17" x14ac:dyDescent="0.4">
      <c r="A17" s="54" t="s">
        <v>10</v>
      </c>
      <c r="B17" s="46">
        <f>B19+B18</f>
        <v>216</v>
      </c>
      <c r="C17" s="37">
        <f>IF(B$3=0,0,B17/B$3)</f>
        <v>0.28088426527958388</v>
      </c>
      <c r="E17" s="63" t="s">
        <v>92</v>
      </c>
      <c r="F17" s="60" t="s">
        <v>47</v>
      </c>
      <c r="G17" s="47">
        <v>6</v>
      </c>
      <c r="H17" s="133">
        <f>IF(B$17=0,0,G17/B$17)</f>
        <v>2.7777777777777776E-2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89</v>
      </c>
      <c r="C18" s="39">
        <f>IF(B$17=0,0,B18/B$17)</f>
        <v>0.41203703703703703</v>
      </c>
      <c r="E18" s="63" t="s">
        <v>80</v>
      </c>
      <c r="F18" s="60" t="s">
        <v>35</v>
      </c>
      <c r="G18" s="47">
        <v>4</v>
      </c>
      <c r="H18" s="133">
        <f>IF(B$17=0,0,G18/B$17)</f>
        <v>1.8518518518518517E-2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127</v>
      </c>
      <c r="C19" s="39">
        <f>IF(B$17=0,0,B19/B$17)</f>
        <v>0.58796296296296291</v>
      </c>
      <c r="E19" s="63" t="s">
        <v>180</v>
      </c>
      <c r="F19" s="60" t="s">
        <v>181</v>
      </c>
      <c r="G19" s="47">
        <v>4</v>
      </c>
      <c r="H19" s="133">
        <f>IF(B$17=0,0,G19/B$17)</f>
        <v>1.8518518518518517E-2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-1.1611111111111159</v>
      </c>
      <c r="P19" s="119">
        <v>36</v>
      </c>
      <c r="Q19" s="107">
        <v>-41.800000000000168</v>
      </c>
    </row>
    <row r="20" spans="1:17" x14ac:dyDescent="0.4">
      <c r="A20" s="55" t="s">
        <v>13</v>
      </c>
      <c r="B20" s="47">
        <v>136</v>
      </c>
      <c r="C20" s="39">
        <f>IF(B$3=0,0,B20/B$3)</f>
        <v>0.17685305591677503</v>
      </c>
      <c r="E20" s="63" t="s">
        <v>76</v>
      </c>
      <c r="F20" s="60" t="s">
        <v>31</v>
      </c>
      <c r="G20" s="47">
        <v>3</v>
      </c>
      <c r="H20" s="133">
        <f>IF(B$17=0,0,G20/B$17)</f>
        <v>1.3888888888888888E-2</v>
      </c>
      <c r="I20" s="94">
        <v>2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2</v>
      </c>
      <c r="H21" s="133">
        <f>IF(B$17=0,0,G21/B$17)</f>
        <v>9.2592592592592587E-3</v>
      </c>
      <c r="I21" s="94">
        <v>3</v>
      </c>
      <c r="K21" s="38">
        <v>19</v>
      </c>
      <c r="L21" s="99">
        <v>0.60000000000000853</v>
      </c>
      <c r="N21" s="115" t="s">
        <v>200</v>
      </c>
      <c r="O21" s="125">
        <f>IF(P21=0,0,Q21/P21)</f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9.2592592592592587E-3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9812.0370370370365</v>
      </c>
      <c r="C23" s="41">
        <v>2119400</v>
      </c>
      <c r="E23" s="63" t="s">
        <v>93</v>
      </c>
      <c r="F23" s="60" t="s">
        <v>48</v>
      </c>
      <c r="G23" s="47">
        <v>2</v>
      </c>
      <c r="H23" s="133">
        <f>IF(B$17=0,0,G23/B$17)</f>
        <v>9.2592592592592587E-3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-8544.1176470588234</v>
      </c>
      <c r="C24" s="45">
        <v>-1162000</v>
      </c>
      <c r="E24" s="63" t="s">
        <v>88</v>
      </c>
      <c r="F24" s="60" t="s">
        <v>43</v>
      </c>
      <c r="G24" s="47">
        <v>1</v>
      </c>
      <c r="H24" s="133">
        <f>IF(B$17=0,0,G24/B$17)</f>
        <v>4.6296296296296294E-3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>IF(B$17=0,0,G25/B$17)</f>
        <v>4.6296296296296294E-3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7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1.3003901170351106E-3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83</v>
      </c>
      <c r="C2" s="151"/>
      <c r="E2" s="62" t="s">
        <v>67</v>
      </c>
      <c r="F2" s="59" t="s">
        <v>23</v>
      </c>
      <c r="G2" s="46">
        <v>163</v>
      </c>
      <c r="H2" s="132">
        <f>IF(B$17=0,0,G2/B$17)</f>
        <v>0.66260162601626016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793.97590361445782</v>
      </c>
      <c r="P2" s="118">
        <v>83</v>
      </c>
      <c r="Q2" s="102">
        <v>65900</v>
      </c>
    </row>
    <row r="3" spans="1:17" x14ac:dyDescent="0.4">
      <c r="A3" s="55" t="s">
        <v>8</v>
      </c>
      <c r="B3" s="152">
        <v>709</v>
      </c>
      <c r="C3" s="153"/>
      <c r="E3" s="63" t="s">
        <v>73</v>
      </c>
      <c r="F3" s="60" t="s">
        <v>28</v>
      </c>
      <c r="G3" s="47">
        <v>143</v>
      </c>
      <c r="H3" s="133">
        <f>IF(B$17=0,0,G3/B$17)</f>
        <v>0.58130081300813008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-1550.6024096385543</v>
      </c>
      <c r="P3" s="119">
        <v>83</v>
      </c>
      <c r="Q3" s="103">
        <v>-128700</v>
      </c>
    </row>
    <row r="4" spans="1:17" x14ac:dyDescent="0.4">
      <c r="A4" s="55" t="s">
        <v>6</v>
      </c>
      <c r="B4" s="154">
        <v>-101.20000000000002</v>
      </c>
      <c r="C4" s="155"/>
      <c r="E4" s="63" t="s">
        <v>245</v>
      </c>
      <c r="F4" s="60" t="s">
        <v>246</v>
      </c>
      <c r="G4" s="47">
        <v>107</v>
      </c>
      <c r="H4" s="133">
        <f>IF(B$17=0,0,G4/B$17)</f>
        <v>0.43495934959349591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-1605.4054054054054</v>
      </c>
      <c r="P4" s="119">
        <v>74</v>
      </c>
      <c r="Q4" s="103">
        <v>-118800</v>
      </c>
    </row>
    <row r="5" spans="1:17" x14ac:dyDescent="0.4">
      <c r="A5" s="55" t="s">
        <v>7</v>
      </c>
      <c r="B5" s="156">
        <f>IF(B$2=0,0,B$4/B$2)</f>
        <v>-1.219277108433735</v>
      </c>
      <c r="C5" s="157"/>
      <c r="E5" s="63" t="s">
        <v>65</v>
      </c>
      <c r="F5" s="60" t="s">
        <v>21</v>
      </c>
      <c r="G5" s="47">
        <v>83</v>
      </c>
      <c r="H5" s="133">
        <f>IF(B$17=0,0,G5/B$17)</f>
        <v>0.33739837398373984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1146.4788732394366</v>
      </c>
      <c r="P5" s="119">
        <v>71</v>
      </c>
      <c r="Q5" s="103">
        <v>81400</v>
      </c>
    </row>
    <row r="6" spans="1:17" x14ac:dyDescent="0.4">
      <c r="A6" s="55" t="s">
        <v>1</v>
      </c>
      <c r="B6" s="146">
        <f>IF(B$2=0,0,(B$7*1+B$8*2+B$9*3)/B$2)</f>
        <v>2.0481927710843375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0.25609756097560976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856.06060606060601</v>
      </c>
      <c r="P6" s="119">
        <v>66</v>
      </c>
      <c r="Q6" s="103">
        <v>56500</v>
      </c>
    </row>
    <row r="7" spans="1:17" x14ac:dyDescent="0.4">
      <c r="A7" s="55" t="s">
        <v>2</v>
      </c>
      <c r="B7" s="47">
        <v>21</v>
      </c>
      <c r="C7" s="39">
        <f>IF(B$2=0,0,B7/B$2)</f>
        <v>0.25301204819277107</v>
      </c>
      <c r="E7" s="63" t="s">
        <v>68</v>
      </c>
      <c r="F7" s="60" t="s">
        <v>24</v>
      </c>
      <c r="G7" s="47">
        <v>43</v>
      </c>
      <c r="H7" s="133">
        <f>IF(B$17=0,0,G7/B$17)</f>
        <v>0.17479674796747968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-510.34482758620692</v>
      </c>
      <c r="P7" s="120">
        <v>58</v>
      </c>
      <c r="Q7" s="104">
        <v>-29600</v>
      </c>
    </row>
    <row r="8" spans="1:17" x14ac:dyDescent="0.4">
      <c r="A8" s="55" t="s">
        <v>3</v>
      </c>
      <c r="B8" s="47">
        <v>37</v>
      </c>
      <c r="C8" s="39">
        <f>IF(B$2=0,0,B8/B$2)</f>
        <v>0.44578313253012047</v>
      </c>
      <c r="E8" s="63" t="s">
        <v>70</v>
      </c>
      <c r="F8" s="60" t="s">
        <v>25</v>
      </c>
      <c r="G8" s="47">
        <v>36</v>
      </c>
      <c r="H8" s="133">
        <f>IF(B$17=0,0,G8/B$17)</f>
        <v>0.14634146341463414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ref="C9" si="1">IF(B$2=0,0,B9/B$2)</f>
        <v>0.30120481927710846</v>
      </c>
      <c r="E9" s="63" t="s">
        <v>66</v>
      </c>
      <c r="F9" s="60" t="s">
        <v>22</v>
      </c>
      <c r="G9" s="47">
        <v>26</v>
      </c>
      <c r="H9" s="133">
        <f>IF(B$17=0,0,G9/B$17)</f>
        <v>0.10569105691056911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4.8192771084337352E-2</v>
      </c>
      <c r="E10" s="63" t="s">
        <v>72</v>
      </c>
      <c r="F10" s="60" t="s">
        <v>27</v>
      </c>
      <c r="G10" s="47">
        <v>20</v>
      </c>
      <c r="H10" s="133">
        <f>IF(B$17=0,0,G10/B$17)</f>
        <v>8.1300813008130079E-2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-7.708000000000002</v>
      </c>
      <c r="P10" s="118">
        <v>25</v>
      </c>
      <c r="Q10" s="106">
        <v>-192.70000000000005</v>
      </c>
    </row>
    <row r="11" spans="1:17" x14ac:dyDescent="0.4">
      <c r="A11" s="56" t="s">
        <v>140</v>
      </c>
      <c r="B11" s="48">
        <v>9</v>
      </c>
      <c r="C11" s="40">
        <f>IF(B$2=0,0,B11/B$2)</f>
        <v>0.10843373493975904</v>
      </c>
      <c r="E11" s="63" t="s">
        <v>90</v>
      </c>
      <c r="F11" s="60" t="s">
        <v>45</v>
      </c>
      <c r="G11" s="47">
        <v>19</v>
      </c>
      <c r="H11" s="133">
        <f>IF(B$17=0,0,G11/B$17)</f>
        <v>7.7235772357723581E-2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6</v>
      </c>
      <c r="C12" s="42">
        <f>IF(B$2=0,0,B12/B$2)</f>
        <v>7.2289156626506021E-2</v>
      </c>
      <c r="E12" s="63" t="s">
        <v>84</v>
      </c>
      <c r="F12" s="60" t="s">
        <v>39</v>
      </c>
      <c r="G12" s="47">
        <v>17</v>
      </c>
      <c r="H12" s="133">
        <f>IF(B$17=0,0,G12/B$17)</f>
        <v>6.910569105691057E-2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0.39374999999999993</v>
      </c>
      <c r="P12" s="120">
        <v>32</v>
      </c>
      <c r="Q12" s="108">
        <v>12.599999999999998</v>
      </c>
    </row>
    <row r="13" spans="1:17" x14ac:dyDescent="0.4">
      <c r="A13" s="58" t="s">
        <v>122</v>
      </c>
      <c r="B13" s="50">
        <v>149</v>
      </c>
      <c r="C13" s="44">
        <f>IF(B$3=0,0,B13/B$3)</f>
        <v>0.21015514809590974</v>
      </c>
      <c r="E13" s="63" t="s">
        <v>71</v>
      </c>
      <c r="F13" s="60" t="s">
        <v>26</v>
      </c>
      <c r="G13" s="47">
        <v>16</v>
      </c>
      <c r="H13" s="133">
        <f>IF(B$17=0,0,G13/B$17)</f>
        <v>6.5040650406504072E-2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209</v>
      </c>
      <c r="C14" s="39">
        <f>IF(B$3=0,0,B14/B$3)</f>
        <v>0.29478138222849082</v>
      </c>
      <c r="E14" s="63" t="s">
        <v>87</v>
      </c>
      <c r="F14" s="60" t="s">
        <v>42</v>
      </c>
      <c r="G14" s="47">
        <v>10</v>
      </c>
      <c r="H14" s="133">
        <f>IF(B$17=0,0,G14/B$17)</f>
        <v>4.065040650406504E-2</v>
      </c>
      <c r="I14" s="94">
        <v>10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83</v>
      </c>
      <c r="C15" s="37">
        <f>IF(B$13=0,0,B15/B$13)</f>
        <v>0.55704697986577179</v>
      </c>
      <c r="E15" s="63" t="s">
        <v>82</v>
      </c>
      <c r="F15" s="60" t="s">
        <v>37</v>
      </c>
      <c r="G15" s="47">
        <v>9</v>
      </c>
      <c r="H15" s="133">
        <f>IF(B$17=0,0,G15/B$17)</f>
        <v>3.6585365853658534E-2</v>
      </c>
      <c r="I15" s="94">
        <v>3</v>
      </c>
      <c r="K15" s="38">
        <v>13</v>
      </c>
      <c r="L15" s="99">
        <v>-3</v>
      </c>
      <c r="N15" s="114" t="s">
        <v>223</v>
      </c>
      <c r="O15" s="124">
        <f>IF(P15=0,0,Q15/P15)</f>
        <v>30.3</v>
      </c>
      <c r="P15" s="118">
        <v>1</v>
      </c>
      <c r="Q15" s="106">
        <v>30.3</v>
      </c>
    </row>
    <row r="16" spans="1:17" x14ac:dyDescent="0.4">
      <c r="A16" s="54" t="s">
        <v>125</v>
      </c>
      <c r="B16" s="46">
        <v>89</v>
      </c>
      <c r="C16" s="37">
        <f>IF(B$14=0,0,B16/B$14)</f>
        <v>0.42583732057416268</v>
      </c>
      <c r="E16" s="63" t="s">
        <v>79</v>
      </c>
      <c r="F16" s="60" t="s">
        <v>34</v>
      </c>
      <c r="G16" s="47">
        <v>4</v>
      </c>
      <c r="H16" s="133">
        <f>IF(B$17=0,0,G16/B$17)</f>
        <v>1.6260162601626018E-2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>IF(P16=0,0,Q16/P16)</f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246</v>
      </c>
      <c r="C17" s="37">
        <f>IF(B$3=0,0,B17/B$3)</f>
        <v>0.34696755994358253</v>
      </c>
      <c r="E17" s="63" t="s">
        <v>92</v>
      </c>
      <c r="F17" s="60" t="s">
        <v>47</v>
      </c>
      <c r="G17" s="47">
        <v>4</v>
      </c>
      <c r="H17" s="133">
        <f>IF(B$17=0,0,G17/B$17)</f>
        <v>1.6260162601626018E-2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101</v>
      </c>
      <c r="C18" s="39">
        <f>IF(B$17=0,0,B18/B$17)</f>
        <v>0.41056910569105692</v>
      </c>
      <c r="E18" s="63" t="s">
        <v>80</v>
      </c>
      <c r="F18" s="60" t="s">
        <v>35</v>
      </c>
      <c r="G18" s="47">
        <v>3</v>
      </c>
      <c r="H18" s="133">
        <f>IF(B$17=0,0,G18/B$17)</f>
        <v>1.2195121951219513E-2</v>
      </c>
      <c r="I18" s="94">
        <v>8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145</v>
      </c>
      <c r="C19" s="39">
        <f>IF(B$17=0,0,B19/B$17)</f>
        <v>0.58943089430894313</v>
      </c>
      <c r="E19" s="63" t="s">
        <v>74</v>
      </c>
      <c r="F19" s="60" t="s">
        <v>29</v>
      </c>
      <c r="G19" s="47">
        <v>1</v>
      </c>
      <c r="H19" s="133">
        <f>IF(B$17=0,0,G19/B$17)</f>
        <v>4.0650406504065045E-3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98</v>
      </c>
      <c r="C20" s="39">
        <f>IF(B$3=0,0,B20/B$3)</f>
        <v>0.1382228490832158</v>
      </c>
      <c r="E20" s="63" t="s">
        <v>75</v>
      </c>
      <c r="F20" s="60" t="s">
        <v>30</v>
      </c>
      <c r="G20" s="47">
        <v>1</v>
      </c>
      <c r="H20" s="133">
        <f>IF(B$17=0,0,G20/B$17)</f>
        <v>4.0650406504065045E-3</v>
      </c>
      <c r="I20" s="94">
        <v>6</v>
      </c>
      <c r="K20" s="38">
        <v>18</v>
      </c>
      <c r="L20" s="99">
        <v>-28.199999999999996</v>
      </c>
      <c r="N20" s="115" t="s">
        <v>177</v>
      </c>
      <c r="O20" s="125">
        <f>IF(P20=0,0,Q20/P20)</f>
        <v>-2.436363636363637</v>
      </c>
      <c r="P20" s="119">
        <v>22</v>
      </c>
      <c r="Q20" s="107">
        <v>-53.600000000000009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4.0650406504065045E-3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>IF(P21=0,0,Q21/P21)</f>
        <v>-2.7400000000000033</v>
      </c>
      <c r="P21" s="119">
        <v>5</v>
      </c>
      <c r="Q21" s="107">
        <v>-13.700000000000017</v>
      </c>
    </row>
    <row r="22" spans="1:17" x14ac:dyDescent="0.4">
      <c r="A22" s="55" t="s">
        <v>192</v>
      </c>
      <c r="B22" s="47">
        <v>23</v>
      </c>
      <c r="C22" s="135">
        <v>11</v>
      </c>
      <c r="E22" s="63" t="s">
        <v>88</v>
      </c>
      <c r="F22" s="60" t="s">
        <v>43</v>
      </c>
      <c r="G22" s="47">
        <v>1</v>
      </c>
      <c r="H22" s="133">
        <f>IF(B$17=0,0,G22/B$17)</f>
        <v>4.0650406504065045E-3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6806.9105691056911</v>
      </c>
      <c r="C23" s="41">
        <v>1674500</v>
      </c>
      <c r="E23" s="63" t="s">
        <v>91</v>
      </c>
      <c r="F23" s="60" t="s">
        <v>46</v>
      </c>
      <c r="G23" s="47">
        <v>1</v>
      </c>
      <c r="H23" s="133">
        <f>IF(B$17=0,0,G23/B$17)</f>
        <v>4.0650406504065045E-3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-23.717391304347821</v>
      </c>
      <c r="P23" s="119">
        <v>46</v>
      </c>
      <c r="Q23" s="107">
        <v>-1090.9999999999998</v>
      </c>
    </row>
    <row r="24" spans="1:17" x14ac:dyDescent="0.4">
      <c r="A24" s="57" t="s">
        <v>14</v>
      </c>
      <c r="B24" s="52">
        <f>IF(B$20=0,0,C24/B$20)</f>
        <v>-8542.8571428571431</v>
      </c>
      <c r="C24" s="45">
        <v>-837200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1.4104372355430183E-3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48</v>
      </c>
      <c r="C2" s="151"/>
      <c r="E2" s="62" t="s">
        <v>67</v>
      </c>
      <c r="F2" s="59" t="s">
        <v>23</v>
      </c>
      <c r="G2" s="46">
        <v>81</v>
      </c>
      <c r="H2" s="132">
        <f>IF(B$17=0,0,G2/B$17)</f>
        <v>0.66393442622950816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2">
        <v>415</v>
      </c>
      <c r="C3" s="153"/>
      <c r="E3" s="63" t="s">
        <v>73</v>
      </c>
      <c r="F3" s="60" t="s">
        <v>28</v>
      </c>
      <c r="G3" s="47">
        <v>64</v>
      </c>
      <c r="H3" s="133">
        <f>IF(B$17=0,0,G3/B$17)</f>
        <v>0.52459016393442626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4">
        <v>-387.7</v>
      </c>
      <c r="C4" s="155"/>
      <c r="E4" s="63" t="s">
        <v>65</v>
      </c>
      <c r="F4" s="60" t="s">
        <v>21</v>
      </c>
      <c r="G4" s="47">
        <v>52</v>
      </c>
      <c r="H4" s="133">
        <f>IF(B$17=0,0,G4/B$17)</f>
        <v>0.42622950819672129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6">
        <f>IF(B$2=0,0,B$4/B$2)</f>
        <v>-8.0770833333333325</v>
      </c>
      <c r="C5" s="157"/>
      <c r="E5" s="63" t="s">
        <v>245</v>
      </c>
      <c r="F5" s="60" t="s">
        <v>246</v>
      </c>
      <c r="G5" s="47">
        <v>48</v>
      </c>
      <c r="H5" s="133">
        <f>IF(B$17=0,0,G5/B$17)</f>
        <v>0.39344262295081966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2.1041666666666665</v>
      </c>
      <c r="C6" s="147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68</v>
      </c>
      <c r="F7" s="60" t="s">
        <v>24</v>
      </c>
      <c r="G7" s="47">
        <v>29</v>
      </c>
      <c r="H7" s="133">
        <f>IF(B$17=0,0,G7/B$17)</f>
        <v>0.23770491803278687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90</v>
      </c>
      <c r="F8" s="60" t="s">
        <v>45</v>
      </c>
      <c r="G8" s="47">
        <v>15</v>
      </c>
      <c r="H8" s="133">
        <f>IF(B$17=0,0,G8/B$17)</f>
        <v>0.12295081967213115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71</v>
      </c>
      <c r="F9" s="60" t="s">
        <v>26</v>
      </c>
      <c r="G9" s="47">
        <v>14</v>
      </c>
      <c r="H9" s="133">
        <f>IF(B$17=0,0,G9/B$17)</f>
        <v>0.11475409836065574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70</v>
      </c>
      <c r="F10" s="60" t="s">
        <v>25</v>
      </c>
      <c r="G10" s="47">
        <v>13</v>
      </c>
      <c r="H10" s="133">
        <f>IF(B$17=0,0,G10/B$17)</f>
        <v>0.10655737704918032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66</v>
      </c>
      <c r="F11" s="60" t="s">
        <v>22</v>
      </c>
      <c r="G11" s="47">
        <v>10</v>
      </c>
      <c r="H11" s="133">
        <f>IF(B$17=0,0,G11/B$17)</f>
        <v>8.1967213114754092E-2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72</v>
      </c>
      <c r="F12" s="60" t="s">
        <v>27</v>
      </c>
      <c r="G12" s="47">
        <v>6</v>
      </c>
      <c r="H12" s="133">
        <f>IF(B$17=0,0,G12/B$17)</f>
        <v>4.9180327868852458E-2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87</v>
      </c>
      <c r="F13" s="60" t="s">
        <v>42</v>
      </c>
      <c r="G13" s="47">
        <v>5</v>
      </c>
      <c r="H13" s="133">
        <f>IF(B$17=0,0,G13/B$17)</f>
        <v>4.0983606557377046E-2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74</v>
      </c>
      <c r="F14" s="60" t="s">
        <v>29</v>
      </c>
      <c r="G14" s="47">
        <v>3</v>
      </c>
      <c r="H14" s="133">
        <f>IF(B$17=0,0,G14/B$17)</f>
        <v>2.4590163934426229E-2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79</v>
      </c>
      <c r="F15" s="60" t="s">
        <v>34</v>
      </c>
      <c r="G15" s="47">
        <v>3</v>
      </c>
      <c r="H15" s="133">
        <f>IF(B$17=0,0,G15/B$17)</f>
        <v>2.4590163934426229E-2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1.6393442622950821E-2</v>
      </c>
      <c r="I16" s="94">
        <v>6</v>
      </c>
      <c r="K16" s="38">
        <v>14</v>
      </c>
      <c r="L16" s="99">
        <v>-269.99999999999994</v>
      </c>
      <c r="N16" s="115" t="s">
        <v>172</v>
      </c>
      <c r="O16" s="125">
        <f>IF(P16=0,0,Q16/P16)</f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84</v>
      </c>
      <c r="F17" s="60" t="s">
        <v>39</v>
      </c>
      <c r="G17" s="47">
        <v>2</v>
      </c>
      <c r="H17" s="133">
        <f>IF(B$17=0,0,G17/B$17)</f>
        <v>1.6393442622950821E-2</v>
      </c>
      <c r="I17" s="94">
        <v>11</v>
      </c>
      <c r="K17" s="38">
        <v>15</v>
      </c>
      <c r="L17" s="99">
        <v>-264.59999999999997</v>
      </c>
      <c r="N17" s="115" t="s">
        <v>128</v>
      </c>
      <c r="O17" s="125">
        <f>IF(P17=0,0,Q17/P17)</f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92</v>
      </c>
      <c r="F18" s="60" t="s">
        <v>47</v>
      </c>
      <c r="G18" s="47">
        <v>2</v>
      </c>
      <c r="H18" s="133">
        <f>IF(B$17=0,0,G18/B$17)</f>
        <v>1.6393442622950821E-2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180</v>
      </c>
      <c r="F19" s="60" t="s">
        <v>181</v>
      </c>
      <c r="G19" s="47">
        <v>2</v>
      </c>
      <c r="H19" s="133">
        <f>IF(B$17=0,0,G19/B$17)</f>
        <v>1.6393442622950821E-2</v>
      </c>
      <c r="I19" s="94">
        <v>4</v>
      </c>
      <c r="K19" s="38">
        <v>17</v>
      </c>
      <c r="L19" s="99">
        <v>-248.89999999999995</v>
      </c>
      <c r="N19" s="115" t="s">
        <v>127</v>
      </c>
      <c r="O19" s="125">
        <f>IF(P19=0,0,Q19/P19)</f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88</v>
      </c>
      <c r="F20" s="60" t="s">
        <v>43</v>
      </c>
      <c r="G20" s="47">
        <v>1</v>
      </c>
      <c r="H20" s="133">
        <f>IF(B$17=0,0,G20/B$17)</f>
        <v>8.1967213114754103E-3</v>
      </c>
      <c r="I20" s="94">
        <v>2</v>
      </c>
      <c r="K20" s="38">
        <v>18</v>
      </c>
      <c r="L20" s="99">
        <v>-218.99999999999994</v>
      </c>
      <c r="N20" s="115" t="s">
        <v>177</v>
      </c>
      <c r="O20" s="125">
        <f>IF(P20=0,0,Q20/P20)</f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9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  <c r="N23" s="115" t="s">
        <v>184</v>
      </c>
      <c r="O23" s="125">
        <f>IF(P23=0,0,Q23/P23)</f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72</v>
      </c>
      <c r="C2" s="151"/>
      <c r="E2" s="62" t="s">
        <v>65</v>
      </c>
      <c r="F2" s="59" t="s">
        <v>21</v>
      </c>
      <c r="G2" s="46">
        <v>108</v>
      </c>
      <c r="H2" s="132">
        <f>IF(B$17=0,0,G2/B$17)</f>
        <v>0.62427745664739887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1326.3888888888889</v>
      </c>
      <c r="P2" s="118">
        <v>72</v>
      </c>
      <c r="Q2" s="102">
        <v>95500</v>
      </c>
    </row>
    <row r="3" spans="1:17" x14ac:dyDescent="0.4">
      <c r="A3" s="55" t="s">
        <v>8</v>
      </c>
      <c r="B3" s="152">
        <v>587</v>
      </c>
      <c r="C3" s="153"/>
      <c r="E3" s="63" t="s">
        <v>67</v>
      </c>
      <c r="F3" s="60" t="s">
        <v>23</v>
      </c>
      <c r="G3" s="47">
        <v>100</v>
      </c>
      <c r="H3" s="133">
        <f>IF(B$17=0,0,G3/B$17)</f>
        <v>0.5780346820809249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891.304347826087</v>
      </c>
      <c r="P3" s="119">
        <v>69</v>
      </c>
      <c r="Q3" s="103">
        <v>61500</v>
      </c>
    </row>
    <row r="4" spans="1:17" x14ac:dyDescent="0.4">
      <c r="A4" s="55" t="s">
        <v>6</v>
      </c>
      <c r="B4" s="154">
        <v>304.60000000000002</v>
      </c>
      <c r="C4" s="155"/>
      <c r="E4" s="63" t="s">
        <v>245</v>
      </c>
      <c r="F4" s="60" t="s">
        <v>246</v>
      </c>
      <c r="G4" s="47">
        <v>76</v>
      </c>
      <c r="H4" s="133">
        <f>IF(B$17=0,0,G4/B$17)</f>
        <v>0.43930635838150289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-395.16129032258067</v>
      </c>
      <c r="P4" s="119">
        <v>62</v>
      </c>
      <c r="Q4" s="103">
        <v>-24500</v>
      </c>
    </row>
    <row r="5" spans="1:17" x14ac:dyDescent="0.4">
      <c r="A5" s="55" t="s">
        <v>7</v>
      </c>
      <c r="B5" s="156">
        <f>IF(B$2=0,0,B$4/B$2)</f>
        <v>4.2305555555555561</v>
      </c>
      <c r="C5" s="157"/>
      <c r="E5" s="63" t="s">
        <v>73</v>
      </c>
      <c r="F5" s="60" t="s">
        <v>28</v>
      </c>
      <c r="G5" s="47">
        <v>74</v>
      </c>
      <c r="H5" s="133">
        <f>IF(B$17=0,0,G5/B$17)</f>
        <v>0.4277456647398844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2093.3333333333335</v>
      </c>
      <c r="P5" s="119">
        <v>60</v>
      </c>
      <c r="Q5" s="103">
        <v>125600</v>
      </c>
    </row>
    <row r="6" spans="1:17" x14ac:dyDescent="0.4">
      <c r="A6" s="55" t="s">
        <v>1</v>
      </c>
      <c r="B6" s="146">
        <f>IF(B$2=0,0,(B$7*1+B$8*2+B$9*3)/B$2)</f>
        <v>1.9027777777777777</v>
      </c>
      <c r="C6" s="147"/>
      <c r="E6" s="63" t="s">
        <v>68</v>
      </c>
      <c r="F6" s="60" t="s">
        <v>24</v>
      </c>
      <c r="G6" s="47">
        <v>67</v>
      </c>
      <c r="H6" s="133">
        <f>IF(B$17=0,0,G6/B$17)</f>
        <v>0.38728323699421963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0"/>
        <v>-1327.7777777777778</v>
      </c>
      <c r="P6" s="119">
        <v>54</v>
      </c>
      <c r="Q6" s="103">
        <v>-71700</v>
      </c>
    </row>
    <row r="7" spans="1:17" x14ac:dyDescent="0.4">
      <c r="A7" s="55" t="s">
        <v>2</v>
      </c>
      <c r="B7" s="47">
        <v>28</v>
      </c>
      <c r="C7" s="39">
        <f>IF(B$2=0,0,B7/B$2)</f>
        <v>0.3888888888888889</v>
      </c>
      <c r="E7" s="63" t="s">
        <v>69</v>
      </c>
      <c r="F7" s="60" t="s">
        <v>12</v>
      </c>
      <c r="G7" s="47">
        <v>55</v>
      </c>
      <c r="H7" s="133">
        <f>IF(B$17=0,0,G7/B$17)</f>
        <v>0.31791907514450868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440.90909090909093</v>
      </c>
      <c r="P7" s="120">
        <v>44</v>
      </c>
      <c r="Q7" s="104">
        <v>19400</v>
      </c>
    </row>
    <row r="8" spans="1:17" x14ac:dyDescent="0.4">
      <c r="A8" s="55" t="s">
        <v>3</v>
      </c>
      <c r="B8" s="47">
        <v>23</v>
      </c>
      <c r="C8" s="39">
        <f>IF(B$2=0,0,B8/B$2)</f>
        <v>0.31944444444444442</v>
      </c>
      <c r="E8" s="63" t="s">
        <v>70</v>
      </c>
      <c r="F8" s="60" t="s">
        <v>25</v>
      </c>
      <c r="G8" s="47">
        <v>29</v>
      </c>
      <c r="H8" s="133">
        <f>IF(B$17=0,0,G8/B$17)</f>
        <v>0.16763005780346821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0.29166666666666669</v>
      </c>
      <c r="E9" s="63" t="s">
        <v>66</v>
      </c>
      <c r="F9" s="60" t="s">
        <v>22</v>
      </c>
      <c r="G9" s="47">
        <v>21</v>
      </c>
      <c r="H9" s="133">
        <f>IF(B$17=0,0,G9/B$17)</f>
        <v>0.12138728323699421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0.1388888888888889</v>
      </c>
      <c r="E10" s="63" t="s">
        <v>90</v>
      </c>
      <c r="F10" s="60" t="s">
        <v>45</v>
      </c>
      <c r="G10" s="47">
        <v>20</v>
      </c>
      <c r="H10" s="133">
        <f>IF(B$17=0,0,G10/B$17)</f>
        <v>0.11560693641618497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1.8043478260869559</v>
      </c>
      <c r="P10" s="118">
        <v>23</v>
      </c>
      <c r="Q10" s="106">
        <v>41.499999999999986</v>
      </c>
    </row>
    <row r="11" spans="1:17" x14ac:dyDescent="0.4">
      <c r="A11" s="56" t="s">
        <v>140</v>
      </c>
      <c r="B11" s="48">
        <v>10</v>
      </c>
      <c r="C11" s="40">
        <f>IF(B$2=0,0,B11/B$2)</f>
        <v>0.1388888888888889</v>
      </c>
      <c r="E11" s="63" t="s">
        <v>71</v>
      </c>
      <c r="F11" s="60" t="s">
        <v>26</v>
      </c>
      <c r="G11" s="47">
        <v>12</v>
      </c>
      <c r="H11" s="133">
        <f>IF(B$17=0,0,G11/B$17)</f>
        <v>6.9364161849710976E-2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10.184615384615386</v>
      </c>
      <c r="P11" s="119">
        <v>26</v>
      </c>
      <c r="Q11" s="107">
        <v>264.8</v>
      </c>
    </row>
    <row r="12" spans="1:17" x14ac:dyDescent="0.4">
      <c r="A12" s="57" t="s">
        <v>160</v>
      </c>
      <c r="B12" s="49">
        <v>5</v>
      </c>
      <c r="C12" s="42">
        <f>IF(B$2=0,0,B12/B$2)</f>
        <v>6.9444444444444448E-2</v>
      </c>
      <c r="E12" s="63" t="s">
        <v>72</v>
      </c>
      <c r="F12" s="60" t="s">
        <v>27</v>
      </c>
      <c r="G12" s="47">
        <v>10</v>
      </c>
      <c r="H12" s="133">
        <f>IF(B$17=0,0,G12/B$17)</f>
        <v>5.7803468208092484E-2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-7.3913043478261303E-2</v>
      </c>
      <c r="P12" s="120">
        <v>23</v>
      </c>
      <c r="Q12" s="108">
        <v>-1.7000000000000099</v>
      </c>
    </row>
    <row r="13" spans="1:17" x14ac:dyDescent="0.4">
      <c r="A13" s="58" t="s">
        <v>122</v>
      </c>
      <c r="B13" s="50">
        <v>171</v>
      </c>
      <c r="C13" s="44">
        <f>IF(B$3=0,0,B13/B$3)</f>
        <v>0.29131175468483816</v>
      </c>
      <c r="E13" s="63" t="s">
        <v>87</v>
      </c>
      <c r="F13" s="60" t="s">
        <v>42</v>
      </c>
      <c r="G13" s="47">
        <v>9</v>
      </c>
      <c r="H13" s="133">
        <f>IF(B$17=0,0,G13/B$17)</f>
        <v>5.2023121387283239E-2</v>
      </c>
      <c r="I13" s="94">
        <v>6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0.18568994889267462</v>
      </c>
      <c r="E14" s="63" t="s">
        <v>84</v>
      </c>
      <c r="F14" s="60" t="s">
        <v>39</v>
      </c>
      <c r="G14" s="47">
        <v>7</v>
      </c>
      <c r="H14" s="133">
        <f>IF(B$17=0,0,G14/B$17)</f>
        <v>4.046242774566474E-2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0.63742690058479534</v>
      </c>
      <c r="E15" s="63" t="s">
        <v>79</v>
      </c>
      <c r="F15" s="60" t="s">
        <v>34</v>
      </c>
      <c r="G15" s="47">
        <v>6</v>
      </c>
      <c r="H15" s="133">
        <f>IF(B$17=0,0,G15/B$17)</f>
        <v>3.4682080924855488E-2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44.647368421052633</v>
      </c>
      <c r="P15" s="118">
        <v>19</v>
      </c>
      <c r="Q15" s="106">
        <v>848.30000000000007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82</v>
      </c>
      <c r="F16" s="60" t="s">
        <v>37</v>
      </c>
      <c r="G16" s="47">
        <v>6</v>
      </c>
      <c r="H16" s="133">
        <f>IF(B$17=0,0,G16/B$17)</f>
        <v>3.4682080924855488E-2</v>
      </c>
      <c r="I16" s="94">
        <v>4</v>
      </c>
      <c r="K16" s="38">
        <v>14</v>
      </c>
      <c r="L16" s="99">
        <v>-178.49999999999997</v>
      </c>
      <c r="N16" s="115" t="s">
        <v>200</v>
      </c>
      <c r="O16" s="125">
        <f>IF(P16=0,0,Q16/P16)</f>
        <v>32.625</v>
      </c>
      <c r="P16" s="119">
        <v>4</v>
      </c>
      <c r="Q16" s="107">
        <v>130.5</v>
      </c>
    </row>
    <row r="17" spans="1:17" x14ac:dyDescent="0.4">
      <c r="A17" s="54" t="s">
        <v>10</v>
      </c>
      <c r="B17" s="46">
        <f>B19+B18</f>
        <v>173</v>
      </c>
      <c r="C17" s="37">
        <f>IF(B$3=0,0,B17/B$3)</f>
        <v>0.29471890971039183</v>
      </c>
      <c r="E17" s="63" t="s">
        <v>92</v>
      </c>
      <c r="F17" s="60" t="s">
        <v>47</v>
      </c>
      <c r="G17" s="47">
        <v>5</v>
      </c>
      <c r="H17" s="133">
        <f>IF(B$17=0,0,G17/B$17)</f>
        <v>2.8901734104046242E-2</v>
      </c>
      <c r="I17" s="94">
        <v>1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77</v>
      </c>
      <c r="C18" s="39">
        <f>IF(B$17=0,0,B18/B$17)</f>
        <v>0.44508670520231214</v>
      </c>
      <c r="E18" s="63" t="s">
        <v>80</v>
      </c>
      <c r="F18" s="60" t="s">
        <v>35</v>
      </c>
      <c r="G18" s="47">
        <v>3</v>
      </c>
      <c r="H18" s="133">
        <f>IF(B$17=0,0,G18/B$17)</f>
        <v>1.7341040462427744E-2</v>
      </c>
      <c r="I18" s="94">
        <v>5</v>
      </c>
      <c r="K18" s="38">
        <v>16</v>
      </c>
      <c r="L18" s="99">
        <v>-153.29999999999998</v>
      </c>
      <c r="N18" s="115" t="s">
        <v>128</v>
      </c>
      <c r="O18" s="125">
        <f>IF(P18=0,0,Q18/P18)</f>
        <v>8.5074074074074097</v>
      </c>
      <c r="P18" s="119">
        <v>27</v>
      </c>
      <c r="Q18" s="107">
        <v>229.70000000000005</v>
      </c>
    </row>
    <row r="19" spans="1:17" x14ac:dyDescent="0.4">
      <c r="A19" s="55" t="s">
        <v>11</v>
      </c>
      <c r="B19" s="47">
        <v>96</v>
      </c>
      <c r="C19" s="39">
        <f>IF(B$17=0,0,B19/B$17)</f>
        <v>0.55491329479768781</v>
      </c>
      <c r="E19" s="63" t="s">
        <v>86</v>
      </c>
      <c r="F19" s="60" t="s">
        <v>41</v>
      </c>
      <c r="G19" s="47">
        <v>3</v>
      </c>
      <c r="H19" s="133">
        <f>IF(B$17=0,0,G19/B$17)</f>
        <v>1.7341040462427744E-2</v>
      </c>
      <c r="I19" s="94">
        <v>1</v>
      </c>
      <c r="K19" s="38">
        <v>17</v>
      </c>
      <c r="L19" s="99">
        <v>-161.19999999999999</v>
      </c>
      <c r="N19" s="115" t="s">
        <v>129</v>
      </c>
      <c r="O19" s="125">
        <f>IF(P19=0,0,Q19/P19)</f>
        <v>6.9208333333333334</v>
      </c>
      <c r="P19" s="119">
        <v>24</v>
      </c>
      <c r="Q19" s="107">
        <v>166.1</v>
      </c>
    </row>
    <row r="20" spans="1:17" x14ac:dyDescent="0.4">
      <c r="A20" s="55" t="s">
        <v>13</v>
      </c>
      <c r="B20" s="47">
        <v>88</v>
      </c>
      <c r="C20" s="39">
        <f>IF(B$3=0,0,B20/B$3)</f>
        <v>0.14991482112436116</v>
      </c>
      <c r="E20" s="63" t="s">
        <v>76</v>
      </c>
      <c r="F20" s="60" t="s">
        <v>31</v>
      </c>
      <c r="G20" s="47">
        <v>2</v>
      </c>
      <c r="H20" s="133">
        <f>IF(B$17=0,0,G20/B$17)</f>
        <v>1.1560693641618497E-2</v>
      </c>
      <c r="I20" s="94">
        <v>3</v>
      </c>
      <c r="K20" s="38">
        <v>18</v>
      </c>
      <c r="L20" s="99">
        <v>-159</v>
      </c>
      <c r="N20" s="115" t="s">
        <v>184</v>
      </c>
      <c r="O20" s="125">
        <f>IF(P20=0,0,Q20/P20)</f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91</v>
      </c>
      <c r="F21" s="60" t="s">
        <v>46</v>
      </c>
      <c r="G21" s="47">
        <v>2</v>
      </c>
      <c r="H21" s="133">
        <f>IF(B$17=0,0,G21/B$17)</f>
        <v>1.1560693641618497E-2</v>
      </c>
      <c r="I21" s="94">
        <v>1</v>
      </c>
      <c r="K21" s="38">
        <v>19</v>
      </c>
      <c r="L21" s="99">
        <v>-235.6</v>
      </c>
      <c r="N21" s="115" t="s">
        <v>172</v>
      </c>
      <c r="O21" s="125">
        <f>IF(P21=0,0,Q21/P21)</f>
        <v>2.4363636363636338</v>
      </c>
      <c r="P21" s="119">
        <v>22</v>
      </c>
      <c r="Q21" s="107">
        <v>53.599999999999945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75</v>
      </c>
      <c r="F22" s="60" t="s">
        <v>30</v>
      </c>
      <c r="G22" s="47">
        <v>1</v>
      </c>
      <c r="H22" s="133">
        <f>IF(B$17=0,0,G22/B$17)</f>
        <v>5.7803468208092483E-3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-18.861290322580651</v>
      </c>
      <c r="P22" s="119">
        <v>31</v>
      </c>
      <c r="Q22" s="107">
        <v>-584.70000000000016</v>
      </c>
    </row>
    <row r="23" spans="1:17" x14ac:dyDescent="0.4">
      <c r="A23" s="55" t="s">
        <v>5</v>
      </c>
      <c r="B23" s="51">
        <f>IF(B$17=0,0,C23/B$17)</f>
        <v>8984.9710982658962</v>
      </c>
      <c r="C23" s="41">
        <v>1554400</v>
      </c>
      <c r="E23" s="63" t="s">
        <v>93</v>
      </c>
      <c r="F23" s="60" t="s">
        <v>48</v>
      </c>
      <c r="G23" s="47">
        <v>1</v>
      </c>
      <c r="H23" s="133">
        <f>IF(B$17=0,0,G23/B$17)</f>
        <v>5.7803468208092483E-3</v>
      </c>
      <c r="I23" s="94">
        <v>3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-7112.5</v>
      </c>
      <c r="C24" s="45">
        <v>-625900</v>
      </c>
      <c r="E24" s="63" t="s">
        <v>94</v>
      </c>
      <c r="F24" s="60" t="s">
        <v>49</v>
      </c>
      <c r="G24" s="47">
        <v>1</v>
      </c>
      <c r="H24" s="133">
        <f>IF(B$17=0,0,G24/B$17)</f>
        <v>5.7803468208092483E-3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5.7803468208092483E-3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5.1107325383304937E-3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245</v>
      </c>
      <c r="F7" s="60" t="s">
        <v>246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67</v>
      </c>
      <c r="F2" s="59" t="s">
        <v>23</v>
      </c>
      <c r="G2" s="46">
        <v>39</v>
      </c>
      <c r="H2" s="132">
        <f>IF(B$17=0,0,G2/B$17)</f>
        <v>0.9285714285714286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73</v>
      </c>
      <c r="F3" s="60" t="s">
        <v>28</v>
      </c>
      <c r="G3" s="47">
        <v>23</v>
      </c>
      <c r="H3" s="133">
        <f>IF(B$17=0,0,G3/B$17)</f>
        <v>0.54761904761904767</v>
      </c>
      <c r="I3" s="94">
        <v>6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-126.5</v>
      </c>
      <c r="C4" s="155"/>
      <c r="E4" s="63" t="s">
        <v>65</v>
      </c>
      <c r="F4" s="60" t="s">
        <v>21</v>
      </c>
      <c r="G4" s="47">
        <v>22</v>
      </c>
      <c r="H4" s="133">
        <f>IF(B$17=0,0,G4/B$17)</f>
        <v>0.52380952380952384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-7.0277777777777777</v>
      </c>
      <c r="C5" s="157"/>
      <c r="E5" s="63" t="s">
        <v>245</v>
      </c>
      <c r="F5" s="60" t="s">
        <v>246</v>
      </c>
      <c r="G5" s="47">
        <v>15</v>
      </c>
      <c r="H5" s="133">
        <f>IF(B$17=0,0,G5/B$17)</f>
        <v>0.35714285714285715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68</v>
      </c>
      <c r="F7" s="60" t="s">
        <v>24</v>
      </c>
      <c r="G7" s="47">
        <v>11</v>
      </c>
      <c r="H7" s="133">
        <f>IF(B$17=0,0,G7/B$17)</f>
        <v>0.26190476190476192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70</v>
      </c>
      <c r="F8" s="60" t="s">
        <v>25</v>
      </c>
      <c r="G8" s="47">
        <v>8</v>
      </c>
      <c r="H8" s="133">
        <f>IF(B$17=0,0,G8/B$17)</f>
        <v>0.19047619047619047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7</v>
      </c>
      <c r="H9" s="133">
        <f>IF(B$17=0,0,G9/B$17)</f>
        <v>0.16666666666666666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84</v>
      </c>
      <c r="F10" s="60" t="s">
        <v>39</v>
      </c>
      <c r="G10" s="47">
        <v>5</v>
      </c>
      <c r="H10" s="133">
        <f>IF(B$17=0,0,G10/B$17)</f>
        <v>0.11904761904761904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90</v>
      </c>
      <c r="F11" s="60" t="s">
        <v>45</v>
      </c>
      <c r="G11" s="47">
        <v>5</v>
      </c>
      <c r="H11" s="133">
        <f>IF(B$17=0,0,G11/B$17)</f>
        <v>0.11904761904761904</v>
      </c>
      <c r="I11" s="94">
        <v>8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72</v>
      </c>
      <c r="F12" s="60" t="s">
        <v>27</v>
      </c>
      <c r="G12" s="47">
        <v>3</v>
      </c>
      <c r="H12" s="133">
        <f>IF(B$17=0,0,G12/B$17)</f>
        <v>7.1428571428571425E-2</v>
      </c>
      <c r="I12" s="94">
        <v>4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80</v>
      </c>
      <c r="F13" s="60" t="s">
        <v>35</v>
      </c>
      <c r="G13" s="47">
        <v>2</v>
      </c>
      <c r="H13" s="133">
        <f>IF(B$17=0,0,G13/B$17)</f>
        <v>4.7619047619047616E-2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66</v>
      </c>
      <c r="F14" s="60" t="s">
        <v>22</v>
      </c>
      <c r="G14" s="47">
        <v>1</v>
      </c>
      <c r="H14" s="133">
        <f>IF(B$17=0,0,G14/B$17)</f>
        <v>2.3809523809523808E-2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74</v>
      </c>
      <c r="F15" s="60" t="s">
        <v>29</v>
      </c>
      <c r="G15" s="47">
        <v>1</v>
      </c>
      <c r="H15" s="133">
        <f>IF(B$17=0,0,G15/B$17)</f>
        <v>2.3809523809523808E-2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75</v>
      </c>
      <c r="F16" s="60" t="s">
        <v>30</v>
      </c>
      <c r="G16" s="47">
        <v>1</v>
      </c>
      <c r="H16" s="133">
        <f>IF(B$17=0,0,G16/B$17)</f>
        <v>2.3809523809523808E-2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76</v>
      </c>
      <c r="F17" s="60" t="s">
        <v>31</v>
      </c>
      <c r="G17" s="47">
        <v>1</v>
      </c>
      <c r="H17" s="133">
        <f>IF(B$17=0,0,G17/B$17)</f>
        <v>2.3809523809523808E-2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82</v>
      </c>
      <c r="F18" s="60" t="s">
        <v>37</v>
      </c>
      <c r="G18" s="47">
        <v>1</v>
      </c>
      <c r="H18" s="133">
        <f>IF(B$17=0,0,G18/B$17)</f>
        <v>2.3809523809523808E-2</v>
      </c>
      <c r="I18" s="94">
        <v>9</v>
      </c>
      <c r="K18" s="38">
        <v>16</v>
      </c>
      <c r="L18" s="99">
        <v>-139.79999999999998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98</v>
      </c>
      <c r="F19" s="60" t="s">
        <v>53</v>
      </c>
      <c r="G19" s="47">
        <v>1</v>
      </c>
      <c r="H19" s="133">
        <f>IF(B$17=0,0,G19/B$17)</f>
        <v>2.3809523809523808E-2</v>
      </c>
      <c r="I19" s="94">
        <v>1</v>
      </c>
      <c r="K19" s="38">
        <v>17</v>
      </c>
      <c r="L19" s="99">
        <v>-203.5</v>
      </c>
      <c r="N19" s="115" t="s">
        <v>127</v>
      </c>
      <c r="O19" s="125">
        <f>IF(P19=0,0,Q19/P19)</f>
        <v>-22.991666666666671</v>
      </c>
      <c r="P19" s="119">
        <v>12</v>
      </c>
      <c r="Q19" s="107">
        <v>-275.90000000000003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N21" s="115" t="s">
        <v>128</v>
      </c>
      <c r="O21" s="125">
        <f>IF(P21=0,0,Q21/P21)</f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73</v>
      </c>
      <c r="F2" s="59" t="s">
        <v>28</v>
      </c>
      <c r="G2" s="46">
        <v>19</v>
      </c>
      <c r="H2" s="132">
        <f>IF(B$17=0,0,G2/B$17)</f>
        <v>0.65517241379310343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67</v>
      </c>
      <c r="F3" s="60" t="s">
        <v>23</v>
      </c>
      <c r="G3" s="47">
        <v>16</v>
      </c>
      <c r="H3" s="133">
        <f>IF(B$17=0,0,G3/B$17)</f>
        <v>0.55172413793103448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65</v>
      </c>
      <c r="F4" s="60" t="s">
        <v>21</v>
      </c>
      <c r="G4" s="47">
        <v>14</v>
      </c>
      <c r="H4" s="133">
        <f>IF(B$17=0,0,G4/B$17)</f>
        <v>0.48275862068965519</v>
      </c>
      <c r="I4" s="94">
        <v>10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2.0111111111111106</v>
      </c>
      <c r="C5" s="157"/>
      <c r="E5" s="63" t="s">
        <v>69</v>
      </c>
      <c r="F5" s="60" t="s">
        <v>12</v>
      </c>
      <c r="G5" s="47">
        <v>11</v>
      </c>
      <c r="H5" s="133">
        <f>IF(B$17=0,0,G5/B$17)</f>
        <v>0.37931034482758619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1.8888888888888888</v>
      </c>
      <c r="C6" s="147"/>
      <c r="E6" s="63" t="s">
        <v>68</v>
      </c>
      <c r="F6" s="60" t="s">
        <v>24</v>
      </c>
      <c r="G6" s="47">
        <v>9</v>
      </c>
      <c r="H6" s="133">
        <f>IF(B$17=0,0,G6/B$17)</f>
        <v>0.31034482758620691</v>
      </c>
      <c r="I6" s="94">
        <v>8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2</v>
      </c>
      <c r="C7" s="39">
        <f>IF(B$2=0,0,B7/B$2)</f>
        <v>0.22222222222222221</v>
      </c>
      <c r="E7" s="63" t="s">
        <v>245</v>
      </c>
      <c r="F7" s="60" t="s">
        <v>246</v>
      </c>
      <c r="G7" s="47">
        <v>9</v>
      </c>
      <c r="H7" s="133">
        <f>IF(B$17=0,0,G7/B$17)</f>
        <v>0.31034482758620691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0.66666666666666663</v>
      </c>
      <c r="E8" s="63" t="s">
        <v>70</v>
      </c>
      <c r="F8" s="60" t="s">
        <v>25</v>
      </c>
      <c r="G8" s="47">
        <v>5</v>
      </c>
      <c r="H8" s="133">
        <f>IF(B$17=0,0,G8/B$17)</f>
        <v>0.17241379310344829</v>
      </c>
      <c r="I8" s="94">
        <v>7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0.1111111111111111</v>
      </c>
      <c r="E9" s="63" t="s">
        <v>90</v>
      </c>
      <c r="F9" s="60" t="s">
        <v>45</v>
      </c>
      <c r="G9" s="47">
        <v>4</v>
      </c>
      <c r="H9" s="133">
        <f>IF(B$17=0,0,G9/B$17)</f>
        <v>0.13793103448275862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87</v>
      </c>
      <c r="F10" s="60" t="s">
        <v>42</v>
      </c>
      <c r="G10" s="47">
        <v>3</v>
      </c>
      <c r="H10" s="133">
        <f>IF(B$17=0,0,G10/B$17)</f>
        <v>0.10344827586206896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3.4333333333333322</v>
      </c>
      <c r="P10" s="118">
        <v>3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2</v>
      </c>
      <c r="H11" s="133">
        <f>IF(B$17=0,0,G11/B$17)</f>
        <v>6.8965517241379309E-2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79</v>
      </c>
      <c r="F12" s="60" t="s">
        <v>34</v>
      </c>
      <c r="G12" s="47">
        <v>2</v>
      </c>
      <c r="H12" s="133">
        <f>IF(B$17=0,0,G12/B$17)</f>
        <v>6.8965517241379309E-2</v>
      </c>
      <c r="I12" s="94">
        <v>2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80</v>
      </c>
      <c r="F13" s="60" t="s">
        <v>35</v>
      </c>
      <c r="G13" s="47">
        <v>1</v>
      </c>
      <c r="H13" s="133">
        <f>IF(B$17=0,0,G13/B$17)</f>
        <v>3.4482758620689655E-2</v>
      </c>
      <c r="I13" s="94">
        <v>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84</v>
      </c>
      <c r="F14" s="60" t="s">
        <v>39</v>
      </c>
      <c r="G14" s="47">
        <v>1</v>
      </c>
      <c r="H14" s="133">
        <f>IF(B$17=0,0,G14/B$17)</f>
        <v>3.4482758620689655E-2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71</v>
      </c>
      <c r="F15" s="60" t="s">
        <v>26</v>
      </c>
      <c r="G15" s="47">
        <v>0</v>
      </c>
      <c r="H15" s="133">
        <f>IF(B$17=0,0,G15/B$17)</f>
        <v>0</v>
      </c>
      <c r="I15" s="94">
        <v>10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11</v>
      </c>
      <c r="N16" s="115" t="s">
        <v>171</v>
      </c>
      <c r="O16" s="125">
        <f>IF(P16=0,0,Q16/P16)</f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8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7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9</v>
      </c>
      <c r="N19" s="115" t="s">
        <v>172</v>
      </c>
      <c r="O19" s="125">
        <f>IF(P19=0,0,Q19/P19)</f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>IF(P20=0,0,Q20/P20)</f>
        <v>-32.625</v>
      </c>
      <c r="P20" s="119">
        <v>4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54800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9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245</v>
      </c>
      <c r="F7" s="60" t="s">
        <v>246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73</v>
      </c>
      <c r="F2" s="59" t="s">
        <v>28</v>
      </c>
      <c r="G2" s="46">
        <v>5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67</v>
      </c>
      <c r="F3" s="60" t="s">
        <v>23</v>
      </c>
      <c r="G3" s="47">
        <v>4</v>
      </c>
      <c r="H3" s="133">
        <f>IF(B$17=0,0,G3/B$17)</f>
        <v>0.8</v>
      </c>
      <c r="I3" s="94">
        <v>5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65</v>
      </c>
      <c r="F4" s="60" t="s">
        <v>21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2</v>
      </c>
      <c r="H7" s="133">
        <f>IF(B$17=0,0,G7/B$17)</f>
        <v>0.4</v>
      </c>
      <c r="I7" s="94">
        <v>1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79</v>
      </c>
      <c r="F8" s="60" t="s">
        <v>34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245</v>
      </c>
      <c r="F10" s="60" t="s">
        <v>246</v>
      </c>
      <c r="G10" s="47">
        <v>1</v>
      </c>
      <c r="H10" s="133">
        <f>IF(B$17=0,0,G10/B$17)</f>
        <v>0.2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7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9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42">
        <v>47300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7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8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2019-06-27T16:11:31Z</dcterms:modified>
</cp:coreProperties>
</file>