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EDFE22A-F400-49EA-8960-27169970C06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65" r:id="rId6"/>
    <sheet name="だいち" sheetId="5267" r:id="rId7"/>
    <sheet name="りくと" sheetId="5269" r:id="rId8"/>
    <sheet name="ただ" sheetId="5271" r:id="rId9"/>
    <sheet name="れんたろう" sheetId="5273" r:id="rId10"/>
    <sheet name="たかの" sheetId="5275" r:id="rId11"/>
    <sheet name="ぱぱ" sheetId="5277" r:id="rId12"/>
    <sheet name="まっつん" sheetId="5279" r:id="rId13"/>
    <sheet name="あさひ" sheetId="5281" r:id="rId14"/>
    <sheet name="いっしー" sheetId="5283" r:id="rId15"/>
    <sheet name="ほたに" sheetId="5285" r:id="rId16"/>
    <sheet name="かわたつ" sheetId="5287" r:id="rId17"/>
    <sheet name="やがさき" sheetId="5289" r:id="rId18"/>
    <sheet name="やがさき2" sheetId="5290" state="hidden" r:id="rId19"/>
    <sheet name="かわたつ2" sheetId="5288" state="hidden" r:id="rId20"/>
    <sheet name="ほたに2" sheetId="5286" state="hidden" r:id="rId21"/>
    <sheet name="いっしー2" sheetId="5284" state="hidden" r:id="rId22"/>
    <sheet name="あさひ2" sheetId="5282" state="hidden" r:id="rId23"/>
    <sheet name="まっつん2" sheetId="5280" state="hidden" r:id="rId24"/>
    <sheet name="ぱぱ2" sheetId="5278" state="hidden" r:id="rId25"/>
    <sheet name="たかの2" sheetId="5276" state="hidden" r:id="rId26"/>
    <sheet name="れんたろう2" sheetId="5274" state="hidden" r:id="rId27"/>
    <sheet name="ただ2" sheetId="5272" state="hidden" r:id="rId28"/>
    <sheet name="りくと2" sheetId="5270" state="hidden" r:id="rId29"/>
    <sheet name="だいち2" sheetId="5268" state="hidden" r:id="rId30"/>
    <sheet name="全体2" sheetId="526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71" l="1"/>
  <c r="O16" i="5275"/>
  <c r="O15" i="5265"/>
  <c r="O16" i="5289"/>
  <c r="O15" i="5289"/>
  <c r="C27" i="5289"/>
  <c r="B24" i="5289"/>
  <c r="C20" i="5289"/>
  <c r="B17" i="5289"/>
  <c r="H49" i="5289" s="1"/>
  <c r="C16" i="5289"/>
  <c r="C15" i="5289"/>
  <c r="H14" i="5289"/>
  <c r="C14" i="5289"/>
  <c r="C13" i="5289"/>
  <c r="O12" i="5289"/>
  <c r="C12" i="5289"/>
  <c r="O11" i="5289"/>
  <c r="C11" i="5289"/>
  <c r="O10" i="5289"/>
  <c r="C10" i="5289"/>
  <c r="C9" i="5289"/>
  <c r="H8" i="5289"/>
  <c r="C8" i="5289"/>
  <c r="O7" i="5289"/>
  <c r="C7" i="5289"/>
  <c r="O6" i="5289"/>
  <c r="B6" i="5289"/>
  <c r="O5" i="5289"/>
  <c r="B5" i="5289"/>
  <c r="O4" i="5289"/>
  <c r="O3" i="5289"/>
  <c r="O2" i="5289"/>
  <c r="O15" i="5287"/>
  <c r="O16" i="5287"/>
  <c r="H42" i="5287"/>
  <c r="H39" i="5287"/>
  <c r="H31" i="5287"/>
  <c r="H30" i="5287"/>
  <c r="C27" i="5287"/>
  <c r="B24" i="5287"/>
  <c r="H21" i="5287"/>
  <c r="C20" i="5287"/>
  <c r="C18" i="5287"/>
  <c r="H17" i="5287"/>
  <c r="B17" i="5287"/>
  <c r="H49" i="5287" s="1"/>
  <c r="H16" i="5287"/>
  <c r="C16" i="5287"/>
  <c r="C15" i="5287"/>
  <c r="H14" i="5287"/>
  <c r="C14" i="5287"/>
  <c r="C13" i="5287"/>
  <c r="O12" i="5287"/>
  <c r="H12" i="5287"/>
  <c r="C12" i="5287"/>
  <c r="O11" i="5287"/>
  <c r="H11" i="5287"/>
  <c r="C11" i="5287"/>
  <c r="O10" i="5287"/>
  <c r="H10" i="5287"/>
  <c r="C10" i="5287"/>
  <c r="H9" i="5287"/>
  <c r="C9" i="5287"/>
  <c r="H8" i="5287"/>
  <c r="C8" i="5287"/>
  <c r="O7" i="5287"/>
  <c r="C7" i="5287"/>
  <c r="O6" i="5287"/>
  <c r="H6" i="5287"/>
  <c r="B6" i="5287"/>
  <c r="O5" i="5287"/>
  <c r="H5" i="5287"/>
  <c r="B5" i="5287"/>
  <c r="O4" i="5287"/>
  <c r="H4" i="5287"/>
  <c r="O3" i="5287"/>
  <c r="H3" i="5287"/>
  <c r="O2" i="5287"/>
  <c r="H2" i="5287"/>
  <c r="O23" i="5273"/>
  <c r="O18" i="5267"/>
  <c r="O25" i="5265"/>
  <c r="H11" i="5289" l="1"/>
  <c r="H5" i="5289"/>
  <c r="H4" i="5289"/>
  <c r="H2" i="5289"/>
  <c r="H10" i="5289"/>
  <c r="H16" i="5289"/>
  <c r="C18" i="5289"/>
  <c r="H31" i="5289"/>
  <c r="H42" i="5289"/>
  <c r="H19" i="5289"/>
  <c r="H24" i="5289"/>
  <c r="H34" i="5289"/>
  <c r="H46" i="5289"/>
  <c r="H7" i="5289"/>
  <c r="H13" i="5289"/>
  <c r="C17" i="5289"/>
  <c r="H38" i="5289"/>
  <c r="H47" i="5289"/>
  <c r="H15" i="5289"/>
  <c r="H3" i="5289"/>
  <c r="H6" i="5289"/>
  <c r="H9" i="5289"/>
  <c r="H12" i="5289"/>
  <c r="H17" i="5289"/>
  <c r="H21" i="5289"/>
  <c r="H30" i="5289"/>
  <c r="H39" i="5289"/>
  <c r="H50" i="5289"/>
  <c r="C19" i="5289"/>
  <c r="H22" i="5289"/>
  <c r="H27" i="5289"/>
  <c r="H35" i="5289"/>
  <c r="H43" i="5289"/>
  <c r="H51" i="5289"/>
  <c r="B23" i="5289"/>
  <c r="H25" i="5289"/>
  <c r="H28" i="5289"/>
  <c r="H32" i="5289"/>
  <c r="H36" i="5289"/>
  <c r="H40" i="5289"/>
  <c r="H44" i="5289"/>
  <c r="H48" i="5289"/>
  <c r="H18" i="5289"/>
  <c r="H20" i="5289"/>
  <c r="H23" i="5289"/>
  <c r="H26" i="5289"/>
  <c r="H29" i="5289"/>
  <c r="H33" i="5289"/>
  <c r="H37" i="5289"/>
  <c r="H41" i="5289"/>
  <c r="H45" i="5289"/>
  <c r="H19" i="5287"/>
  <c r="H34" i="5287"/>
  <c r="H46" i="5287"/>
  <c r="H24" i="5287"/>
  <c r="H7" i="5287"/>
  <c r="H13" i="5287"/>
  <c r="H15" i="5287"/>
  <c r="C17" i="5287"/>
  <c r="H38" i="5287"/>
  <c r="H47" i="5287"/>
  <c r="H50" i="5287"/>
  <c r="C19" i="5287"/>
  <c r="H22" i="5287"/>
  <c r="H27" i="5287"/>
  <c r="H35" i="5287"/>
  <c r="H43" i="5287"/>
  <c r="H51" i="5287"/>
  <c r="B23" i="5287"/>
  <c r="H25" i="5287"/>
  <c r="H28" i="5287"/>
  <c r="H32" i="5287"/>
  <c r="H36" i="5287"/>
  <c r="H40" i="5287"/>
  <c r="H44" i="5287"/>
  <c r="H48" i="5287"/>
  <c r="H18" i="5287"/>
  <c r="H20" i="5287"/>
  <c r="H23" i="5287"/>
  <c r="H26" i="5287"/>
  <c r="H29" i="5287"/>
  <c r="H33" i="5287"/>
  <c r="H37" i="5287"/>
  <c r="H41" i="5287"/>
  <c r="H45" i="5287"/>
  <c r="O18" i="5275" l="1"/>
  <c r="O18" i="5283"/>
  <c r="O20" i="5285" l="1"/>
  <c r="O18" i="5285"/>
  <c r="O15" i="5279"/>
  <c r="O20" i="5269"/>
  <c r="O24" i="5267" l="1"/>
  <c r="O16" i="5285"/>
  <c r="O21" i="5277"/>
  <c r="O15" i="5285"/>
  <c r="O17" i="5285" l="1"/>
  <c r="O19" i="5285"/>
  <c r="C27" i="5285"/>
  <c r="B24" i="5285"/>
  <c r="C20" i="5285"/>
  <c r="B17" i="5285"/>
  <c r="H48" i="5285" s="1"/>
  <c r="C16" i="5285"/>
  <c r="C15" i="5285"/>
  <c r="C14" i="5285"/>
  <c r="C13" i="5285"/>
  <c r="O12" i="5285"/>
  <c r="C12" i="5285"/>
  <c r="O11" i="5285"/>
  <c r="C11" i="5285"/>
  <c r="O10" i="5285"/>
  <c r="C10" i="5285"/>
  <c r="C9" i="5285"/>
  <c r="H8" i="5285"/>
  <c r="C8" i="5285"/>
  <c r="O7" i="5285"/>
  <c r="C7" i="5285"/>
  <c r="O6" i="5285"/>
  <c r="B6" i="5285"/>
  <c r="O5" i="5285"/>
  <c r="B5" i="5285"/>
  <c r="O4" i="5285"/>
  <c r="O3" i="5285"/>
  <c r="O2" i="5285"/>
  <c r="O21" i="5273"/>
  <c r="O19" i="5275"/>
  <c r="O19" i="5265"/>
  <c r="H2" i="5285" l="1"/>
  <c r="C17" i="5285"/>
  <c r="H4" i="5285"/>
  <c r="H10" i="5285"/>
  <c r="H18" i="5285"/>
  <c r="H20" i="5285"/>
  <c r="H23" i="5285"/>
  <c r="H26" i="5285"/>
  <c r="H29" i="5285"/>
  <c r="H33" i="5285"/>
  <c r="H37" i="5285"/>
  <c r="H41" i="5285"/>
  <c r="H45" i="5285"/>
  <c r="H49" i="5285"/>
  <c r="H7" i="5285"/>
  <c r="H13" i="5285"/>
  <c r="H15" i="5285"/>
  <c r="C19" i="5285"/>
  <c r="H21" i="5285"/>
  <c r="H30" i="5285"/>
  <c r="H34" i="5285"/>
  <c r="H38" i="5285"/>
  <c r="H42" i="5285"/>
  <c r="H46" i="5285"/>
  <c r="H50" i="5285"/>
  <c r="H3" i="5285"/>
  <c r="H6" i="5285"/>
  <c r="H9" i="5285"/>
  <c r="H12" i="5285"/>
  <c r="H17" i="5285"/>
  <c r="H19" i="5285"/>
  <c r="H22" i="5285"/>
  <c r="H24" i="5285"/>
  <c r="H27" i="5285"/>
  <c r="H31" i="5285"/>
  <c r="H35" i="5285"/>
  <c r="H39" i="5285"/>
  <c r="H43" i="5285"/>
  <c r="H47" i="5285"/>
  <c r="H51" i="5285"/>
  <c r="H5" i="5285"/>
  <c r="H11" i="5285"/>
  <c r="H14" i="5285"/>
  <c r="H16" i="5285"/>
  <c r="C18" i="5285"/>
  <c r="B23" i="5285"/>
  <c r="H25" i="5285"/>
  <c r="H28" i="5285"/>
  <c r="H32" i="5285"/>
  <c r="H36" i="5285"/>
  <c r="H40" i="5285"/>
  <c r="H44" i="5285"/>
  <c r="O17" i="5275" l="1"/>
  <c r="O16" i="5271"/>
  <c r="O21" i="5279"/>
  <c r="O20" i="5279"/>
  <c r="O22" i="5267" l="1"/>
  <c r="O16" i="5283"/>
  <c r="O20" i="5283" l="1"/>
  <c r="O15" i="5283"/>
  <c r="O15" i="5273"/>
  <c r="O22" i="5271"/>
  <c r="O17" i="5281" l="1"/>
  <c r="O22" i="5277"/>
  <c r="O15" i="5281"/>
  <c r="O21" i="5283"/>
  <c r="O15" i="5269"/>
  <c r="O18" i="5279"/>
  <c r="O17" i="5265"/>
  <c r="O19" i="5283"/>
  <c r="O17" i="5283"/>
  <c r="C27" i="5283"/>
  <c r="B24" i="5283"/>
  <c r="C20" i="5283"/>
  <c r="B17" i="5283"/>
  <c r="H50" i="5283" s="1"/>
  <c r="C16" i="5283"/>
  <c r="C15" i="5283"/>
  <c r="C14" i="5283"/>
  <c r="C13" i="5283"/>
  <c r="O12" i="5283"/>
  <c r="C12" i="5283"/>
  <c r="O11" i="5283"/>
  <c r="C11" i="5283"/>
  <c r="O10" i="5283"/>
  <c r="C10" i="5283"/>
  <c r="C9" i="5283"/>
  <c r="C8" i="5283"/>
  <c r="O7" i="5283"/>
  <c r="C7" i="5283"/>
  <c r="O6" i="5283"/>
  <c r="B6" i="5283"/>
  <c r="O5" i="5283"/>
  <c r="B5" i="5283"/>
  <c r="O4" i="5283"/>
  <c r="O3" i="5283"/>
  <c r="O2" i="5283"/>
  <c r="O16" i="5281"/>
  <c r="O18" i="5281"/>
  <c r="C27" i="5281"/>
  <c r="B24" i="5281"/>
  <c r="C20" i="5281"/>
  <c r="B17" i="5281"/>
  <c r="H48" i="5281" s="1"/>
  <c r="C16" i="5281"/>
  <c r="C15" i="5281"/>
  <c r="C14" i="5281"/>
  <c r="C13" i="5281"/>
  <c r="O12" i="5281"/>
  <c r="C12" i="5281"/>
  <c r="O11" i="5281"/>
  <c r="C11" i="5281"/>
  <c r="O10" i="5281"/>
  <c r="C10" i="5281"/>
  <c r="C9" i="5281"/>
  <c r="C8" i="5281"/>
  <c r="O7" i="5281"/>
  <c r="C7" i="5281"/>
  <c r="O6" i="5281"/>
  <c r="B6" i="5281"/>
  <c r="O5" i="5281"/>
  <c r="B5" i="5281"/>
  <c r="O4" i="5281"/>
  <c r="O3" i="5281"/>
  <c r="O2" i="5281"/>
  <c r="O22" i="5279"/>
  <c r="O23" i="5279"/>
  <c r="O15" i="5267"/>
  <c r="O17" i="5267"/>
  <c r="O26" i="5265"/>
  <c r="H10" i="5281" l="1"/>
  <c r="H4" i="5281"/>
  <c r="H2" i="5281"/>
  <c r="H8" i="5281"/>
  <c r="C17" i="5281"/>
  <c r="H2" i="5283"/>
  <c r="H4" i="5283"/>
  <c r="H9" i="5283"/>
  <c r="H6" i="5283"/>
  <c r="C17" i="5283"/>
  <c r="H3" i="5283"/>
  <c r="H8" i="5283"/>
  <c r="H10" i="5283"/>
  <c r="H12" i="5283"/>
  <c r="H17" i="5283"/>
  <c r="H19" i="5283"/>
  <c r="H22" i="5283"/>
  <c r="H24" i="5283"/>
  <c r="H27" i="5283"/>
  <c r="H31" i="5283"/>
  <c r="H35" i="5283"/>
  <c r="H39" i="5283"/>
  <c r="H43" i="5283"/>
  <c r="H47" i="5283"/>
  <c r="H51" i="5283"/>
  <c r="H5" i="5283"/>
  <c r="H11" i="5283"/>
  <c r="H14" i="5283"/>
  <c r="H16" i="5283"/>
  <c r="C18" i="5283"/>
  <c r="B23" i="5283"/>
  <c r="H25" i="5283"/>
  <c r="H28" i="5283"/>
  <c r="H32" i="5283"/>
  <c r="H36" i="5283"/>
  <c r="H40" i="5283"/>
  <c r="H44" i="5283"/>
  <c r="H48" i="5283"/>
  <c r="H18" i="5283"/>
  <c r="H20" i="5283"/>
  <c r="H23" i="5283"/>
  <c r="H26" i="5283"/>
  <c r="H29" i="5283"/>
  <c r="H33" i="5283"/>
  <c r="H37" i="5283"/>
  <c r="H41" i="5283"/>
  <c r="H45" i="5283"/>
  <c r="H49" i="5283"/>
  <c r="H7" i="5283"/>
  <c r="H13" i="5283"/>
  <c r="H15" i="5283"/>
  <c r="C19" i="5283"/>
  <c r="H21" i="5283"/>
  <c r="H30" i="5283"/>
  <c r="H34" i="5283"/>
  <c r="H38" i="5283"/>
  <c r="H42" i="5283"/>
  <c r="H46" i="5283"/>
  <c r="H18" i="5281"/>
  <c r="H20" i="5281"/>
  <c r="H23" i="5281"/>
  <c r="H26" i="5281"/>
  <c r="H29" i="5281"/>
  <c r="H33" i="5281"/>
  <c r="H37" i="5281"/>
  <c r="H41" i="5281"/>
  <c r="H45" i="5281"/>
  <c r="H49" i="5281"/>
  <c r="H7" i="5281"/>
  <c r="H13" i="5281"/>
  <c r="H15" i="5281"/>
  <c r="C19" i="5281"/>
  <c r="H21" i="5281"/>
  <c r="H30" i="5281"/>
  <c r="H34" i="5281"/>
  <c r="H38" i="5281"/>
  <c r="H42" i="5281"/>
  <c r="H46" i="5281"/>
  <c r="H50" i="5281"/>
  <c r="H3" i="5281"/>
  <c r="H6" i="5281"/>
  <c r="H9" i="5281"/>
  <c r="H12" i="5281"/>
  <c r="H17" i="5281"/>
  <c r="H19" i="5281"/>
  <c r="H22" i="5281"/>
  <c r="H24" i="5281"/>
  <c r="H27" i="5281"/>
  <c r="H31" i="5281"/>
  <c r="H35" i="5281"/>
  <c r="H39" i="5281"/>
  <c r="H43" i="5281"/>
  <c r="H47" i="5281"/>
  <c r="H51" i="5281"/>
  <c r="H5" i="5281"/>
  <c r="H11" i="5281"/>
  <c r="H14" i="5281"/>
  <c r="H16" i="5281"/>
  <c r="C18" i="5281"/>
  <c r="B23" i="5281"/>
  <c r="H25" i="5281"/>
  <c r="H28" i="5281"/>
  <c r="H32" i="5281"/>
  <c r="H36" i="5281"/>
  <c r="H40" i="5281"/>
  <c r="H44" i="5281"/>
  <c r="O16" i="5279" l="1"/>
  <c r="O20" i="5277"/>
  <c r="O16" i="5277"/>
  <c r="O17" i="5269"/>
  <c r="O20" i="5275" l="1"/>
  <c r="O17" i="5273"/>
  <c r="O17" i="5277"/>
  <c r="O18" i="5277"/>
  <c r="O15" i="5275" l="1"/>
  <c r="O16" i="5273"/>
  <c r="O21" i="5271"/>
  <c r="O18" i="5271"/>
  <c r="O17" i="5279"/>
  <c r="O19" i="5279"/>
  <c r="C27" i="5279"/>
  <c r="B24" i="5279"/>
  <c r="C20" i="5279"/>
  <c r="B17" i="5279"/>
  <c r="H5" i="5279" s="1"/>
  <c r="C16" i="5279"/>
  <c r="C15" i="5279"/>
  <c r="C14" i="5279"/>
  <c r="C13" i="5279"/>
  <c r="O12" i="5279"/>
  <c r="C12" i="5279"/>
  <c r="O11" i="5279"/>
  <c r="C11" i="5279"/>
  <c r="O10" i="5279"/>
  <c r="C10" i="5279"/>
  <c r="C9" i="5279"/>
  <c r="C8" i="5279"/>
  <c r="O7" i="5279"/>
  <c r="C7" i="5279"/>
  <c r="O6" i="5279"/>
  <c r="B6" i="5279"/>
  <c r="O5" i="5279"/>
  <c r="B5" i="5279"/>
  <c r="O4" i="5279"/>
  <c r="O3" i="5279"/>
  <c r="O2" i="5279"/>
  <c r="O22" i="5273"/>
  <c r="O21" i="5269"/>
  <c r="O21" i="5265"/>
  <c r="H4" i="5279" l="1"/>
  <c r="H3" i="5279"/>
  <c r="H2" i="5279"/>
  <c r="H11" i="5279"/>
  <c r="H12" i="5279"/>
  <c r="H8" i="5279"/>
  <c r="H26" i="5279"/>
  <c r="C18" i="5279"/>
  <c r="H21" i="5279"/>
  <c r="C17" i="5279"/>
  <c r="H10" i="5279"/>
  <c r="H7" i="5279"/>
  <c r="H14" i="5279"/>
  <c r="H20" i="5279"/>
  <c r="H6" i="5279"/>
  <c r="H25" i="5279"/>
  <c r="H22" i="5279"/>
  <c r="H16" i="5279"/>
  <c r="C19" i="5279"/>
  <c r="B23" i="5279"/>
  <c r="H30" i="5279"/>
  <c r="H32" i="5279"/>
  <c r="H34" i="5279"/>
  <c r="H38" i="5279"/>
  <c r="H41" i="5279"/>
  <c r="H45" i="5279"/>
  <c r="H49" i="5279"/>
  <c r="H27" i="5279"/>
  <c r="H28" i="5279"/>
  <c r="H18" i="5279"/>
  <c r="H31" i="5279"/>
  <c r="H13" i="5279"/>
  <c r="H35" i="5279"/>
  <c r="H39" i="5279"/>
  <c r="H42" i="5279"/>
  <c r="H46" i="5279"/>
  <c r="H50" i="5279"/>
  <c r="H23" i="5279"/>
  <c r="H36" i="5279"/>
  <c r="H40" i="5279"/>
  <c r="H43" i="5279"/>
  <c r="H47" i="5279"/>
  <c r="H51" i="5279"/>
  <c r="H17" i="5279"/>
  <c r="H15" i="5279"/>
  <c r="H29" i="5279"/>
  <c r="H19" i="5279"/>
  <c r="H9" i="5279"/>
  <c r="H33" i="5279"/>
  <c r="H37" i="5279"/>
  <c r="H24" i="5279"/>
  <c r="H44" i="5279"/>
  <c r="H48" i="5279"/>
  <c r="O19" i="5271" l="1"/>
  <c r="O19" i="5277"/>
  <c r="O15" i="5277"/>
  <c r="C27" i="5277"/>
  <c r="B24" i="5277"/>
  <c r="C20" i="5277"/>
  <c r="B17" i="5277"/>
  <c r="H51" i="5277" s="1"/>
  <c r="C16" i="5277"/>
  <c r="C15" i="5277"/>
  <c r="C14" i="5277"/>
  <c r="C13" i="5277"/>
  <c r="O12" i="5277"/>
  <c r="C12" i="5277"/>
  <c r="O11" i="5277"/>
  <c r="C11" i="5277"/>
  <c r="O10" i="5277"/>
  <c r="C10" i="5277"/>
  <c r="C9" i="5277"/>
  <c r="C8" i="5277"/>
  <c r="O7" i="5277"/>
  <c r="C7" i="5277"/>
  <c r="O6" i="5277"/>
  <c r="B6" i="5277"/>
  <c r="O5" i="5277"/>
  <c r="B5" i="5277"/>
  <c r="O4" i="5277"/>
  <c r="O3" i="5277"/>
  <c r="O2" i="5277"/>
  <c r="O20" i="5267"/>
  <c r="O18" i="5265"/>
  <c r="O21" i="5275"/>
  <c r="O18" i="5269"/>
  <c r="O19" i="5269"/>
  <c r="O20" i="5273"/>
  <c r="O22" i="5275"/>
  <c r="O23" i="5275"/>
  <c r="C27" i="5275"/>
  <c r="B24" i="5275"/>
  <c r="C20" i="5275"/>
  <c r="B17" i="5275"/>
  <c r="H4" i="5275" s="1"/>
  <c r="C16" i="5275"/>
  <c r="C15" i="5275"/>
  <c r="C14" i="5275"/>
  <c r="C13" i="5275"/>
  <c r="O12" i="5275"/>
  <c r="C12" i="5275"/>
  <c r="O11" i="5275"/>
  <c r="C11" i="5275"/>
  <c r="O10" i="5275"/>
  <c r="C10" i="5275"/>
  <c r="C9" i="5275"/>
  <c r="C8" i="5275"/>
  <c r="O7" i="5275"/>
  <c r="C7" i="5275"/>
  <c r="O6" i="5275"/>
  <c r="B6" i="5275"/>
  <c r="O5" i="5275"/>
  <c r="B5" i="5275"/>
  <c r="O4" i="5275"/>
  <c r="O3" i="5275"/>
  <c r="O2" i="5275"/>
  <c r="O19" i="5273"/>
  <c r="O18" i="5273"/>
  <c r="C27" i="5273"/>
  <c r="B24" i="5273"/>
  <c r="C20" i="5273"/>
  <c r="B17" i="5273"/>
  <c r="H49" i="5273" s="1"/>
  <c r="C16" i="5273"/>
  <c r="C15" i="5273"/>
  <c r="C14" i="5273"/>
  <c r="C13" i="5273"/>
  <c r="O12" i="5273"/>
  <c r="C12" i="5273"/>
  <c r="O11" i="5273"/>
  <c r="C11" i="5273"/>
  <c r="O10" i="5273"/>
  <c r="C10" i="5273"/>
  <c r="C9" i="5273"/>
  <c r="C8" i="5273"/>
  <c r="O7" i="5273"/>
  <c r="C7" i="5273"/>
  <c r="O6" i="5273"/>
  <c r="B6" i="5273"/>
  <c r="O5" i="5273"/>
  <c r="B5" i="5273"/>
  <c r="O4" i="5273"/>
  <c r="O3" i="5273"/>
  <c r="O2" i="5273"/>
  <c r="O19" i="5267"/>
  <c r="O23" i="5267"/>
  <c r="O22" i="5265"/>
  <c r="O23" i="5265"/>
  <c r="H12" i="5275" l="1"/>
  <c r="C17" i="5277"/>
  <c r="H14" i="5277"/>
  <c r="H11" i="5277"/>
  <c r="H5" i="5277"/>
  <c r="H8" i="5277"/>
  <c r="H4" i="5277"/>
  <c r="H7" i="5277"/>
  <c r="H2" i="5277"/>
  <c r="H10" i="5277"/>
  <c r="H16" i="5277"/>
  <c r="H5" i="5275"/>
  <c r="H2" i="5275"/>
  <c r="H3" i="5275"/>
  <c r="H4" i="5273"/>
  <c r="H2" i="5273"/>
  <c r="H8" i="5273"/>
  <c r="C18" i="5277"/>
  <c r="B23" i="5277"/>
  <c r="H25" i="5277"/>
  <c r="H28" i="5277"/>
  <c r="H32" i="5277"/>
  <c r="H36" i="5277"/>
  <c r="H40" i="5277"/>
  <c r="H44" i="5277"/>
  <c r="H48" i="5277"/>
  <c r="H18" i="5277"/>
  <c r="H20" i="5277"/>
  <c r="H23" i="5277"/>
  <c r="H26" i="5277"/>
  <c r="H29" i="5277"/>
  <c r="H33" i="5277"/>
  <c r="H37" i="5277"/>
  <c r="H41" i="5277"/>
  <c r="H45" i="5277"/>
  <c r="H49" i="5277"/>
  <c r="H13" i="5277"/>
  <c r="H15" i="5277"/>
  <c r="C19" i="5277"/>
  <c r="H21" i="5277"/>
  <c r="H30" i="5277"/>
  <c r="H34" i="5277"/>
  <c r="H38" i="5277"/>
  <c r="H42" i="5277"/>
  <c r="H46" i="5277"/>
  <c r="H50" i="5277"/>
  <c r="H3" i="5277"/>
  <c r="H6" i="5277"/>
  <c r="H9" i="5277"/>
  <c r="H12" i="5277"/>
  <c r="H17" i="5277"/>
  <c r="H19" i="5277"/>
  <c r="H22" i="5277"/>
  <c r="H24" i="5277"/>
  <c r="H27" i="5277"/>
  <c r="H31" i="5277"/>
  <c r="H35" i="5277"/>
  <c r="H39" i="5277"/>
  <c r="H43" i="5277"/>
  <c r="H47" i="5277"/>
  <c r="H20" i="5275"/>
  <c r="H37" i="5275"/>
  <c r="C17" i="5275"/>
  <c r="H41" i="5275"/>
  <c r="H24" i="5275"/>
  <c r="C18" i="5275"/>
  <c r="H30" i="5275"/>
  <c r="H45" i="5275"/>
  <c r="H8" i="5275"/>
  <c r="H19" i="5275"/>
  <c r="H13" i="5275"/>
  <c r="H9" i="5275"/>
  <c r="H6" i="5275"/>
  <c r="H10" i="5275"/>
  <c r="H22" i="5275"/>
  <c r="B23" i="5275"/>
  <c r="H7" i="5275"/>
  <c r="H21" i="5275"/>
  <c r="H23" i="5275"/>
  <c r="H16" i="5275"/>
  <c r="C19" i="5275"/>
  <c r="H33" i="5275"/>
  <c r="H49" i="5275"/>
  <c r="H25" i="5275"/>
  <c r="H26" i="5275"/>
  <c r="H28" i="5275"/>
  <c r="H29" i="5275"/>
  <c r="H18" i="5275"/>
  <c r="H34" i="5275"/>
  <c r="H38" i="5275"/>
  <c r="H42" i="5275"/>
  <c r="H46" i="5275"/>
  <c r="H50" i="5275"/>
  <c r="H31" i="5275"/>
  <c r="H35" i="5275"/>
  <c r="H39" i="5275"/>
  <c r="H43" i="5275"/>
  <c r="H47" i="5275"/>
  <c r="H51" i="5275"/>
  <c r="H17" i="5275"/>
  <c r="H15" i="5275"/>
  <c r="H27" i="5275"/>
  <c r="H14" i="5275"/>
  <c r="H11" i="5275"/>
  <c r="H32" i="5275"/>
  <c r="H36" i="5275"/>
  <c r="H40" i="5275"/>
  <c r="H44" i="5275"/>
  <c r="H48" i="5275"/>
  <c r="H10" i="5273"/>
  <c r="H40" i="5273"/>
  <c r="C17" i="5273"/>
  <c r="H19" i="5273"/>
  <c r="B23" i="5273"/>
  <c r="H31" i="5273"/>
  <c r="H36" i="5273"/>
  <c r="H42" i="5273"/>
  <c r="H47" i="5273"/>
  <c r="C19" i="5273"/>
  <c r="H25" i="5273"/>
  <c r="H51" i="5273"/>
  <c r="H7" i="5273"/>
  <c r="H13" i="5273"/>
  <c r="H15" i="5273"/>
  <c r="H3" i="5273"/>
  <c r="H6" i="5273"/>
  <c r="H9" i="5273"/>
  <c r="H12" i="5273"/>
  <c r="H17" i="5273"/>
  <c r="H27" i="5273"/>
  <c r="H32" i="5273"/>
  <c r="H38" i="5273"/>
  <c r="H43" i="5273"/>
  <c r="H48" i="5273"/>
  <c r="H22" i="5273"/>
  <c r="H30" i="5273"/>
  <c r="H35" i="5273"/>
  <c r="H46" i="5273"/>
  <c r="H5" i="5273"/>
  <c r="H11" i="5273"/>
  <c r="H14" i="5273"/>
  <c r="H16" i="5273"/>
  <c r="C18" i="5273"/>
  <c r="H21" i="5273"/>
  <c r="H24" i="5273"/>
  <c r="H28" i="5273"/>
  <c r="H34" i="5273"/>
  <c r="H39" i="5273"/>
  <c r="H44" i="5273"/>
  <c r="H50" i="5273"/>
  <c r="H18" i="5273"/>
  <c r="H20" i="5273"/>
  <c r="H23" i="5273"/>
  <c r="H26" i="5273"/>
  <c r="H29" i="5273"/>
  <c r="H33" i="5273"/>
  <c r="H37" i="5273"/>
  <c r="H41" i="5273"/>
  <c r="H45" i="5273"/>
  <c r="O17" i="5271" l="1"/>
  <c r="O20" i="5271"/>
  <c r="C27" i="5271"/>
  <c r="B24" i="5271"/>
  <c r="C20" i="5271"/>
  <c r="B17" i="5271"/>
  <c r="H49" i="5271" s="1"/>
  <c r="C16" i="5271"/>
  <c r="C15" i="5271"/>
  <c r="C14" i="5271"/>
  <c r="C13" i="5271"/>
  <c r="O12" i="5271"/>
  <c r="C12" i="5271"/>
  <c r="O11" i="5271"/>
  <c r="C11" i="5271"/>
  <c r="O10" i="5271"/>
  <c r="C10" i="5271"/>
  <c r="C9" i="5271"/>
  <c r="C8" i="5271"/>
  <c r="O7" i="5271"/>
  <c r="C7" i="5271"/>
  <c r="O6" i="5271"/>
  <c r="B6" i="5271"/>
  <c r="O5" i="5271"/>
  <c r="B5" i="5271"/>
  <c r="O4" i="5271"/>
  <c r="O3" i="5271"/>
  <c r="O2" i="5271"/>
  <c r="O22" i="5269"/>
  <c r="O16" i="5269"/>
  <c r="C27" i="5269"/>
  <c r="B24" i="5269"/>
  <c r="C20" i="5269"/>
  <c r="B17" i="5269"/>
  <c r="H49" i="5269" s="1"/>
  <c r="C16" i="5269"/>
  <c r="C15" i="5269"/>
  <c r="C14" i="5269"/>
  <c r="C13" i="5269"/>
  <c r="O12" i="5269"/>
  <c r="C12" i="5269"/>
  <c r="O11" i="5269"/>
  <c r="C11" i="5269"/>
  <c r="O10" i="5269"/>
  <c r="C10" i="5269"/>
  <c r="C9" i="5269"/>
  <c r="C8" i="5269"/>
  <c r="O7" i="5269"/>
  <c r="C7" i="5269"/>
  <c r="O6" i="5269"/>
  <c r="B6" i="5269"/>
  <c r="O5" i="5269"/>
  <c r="B5" i="5269"/>
  <c r="O4" i="5269"/>
  <c r="O3" i="5269"/>
  <c r="O2" i="5269"/>
  <c r="O24" i="5265"/>
  <c r="O16" i="5267"/>
  <c r="O21" i="5267"/>
  <c r="C27" i="5267"/>
  <c r="B24" i="5267"/>
  <c r="C20" i="5267"/>
  <c r="B17" i="5267"/>
  <c r="H51" i="5267" s="1"/>
  <c r="C16" i="5267"/>
  <c r="C15" i="5267"/>
  <c r="C14" i="5267"/>
  <c r="C13" i="5267"/>
  <c r="O12" i="5267"/>
  <c r="C12" i="5267"/>
  <c r="O11" i="5267"/>
  <c r="C11" i="5267"/>
  <c r="O10" i="5267"/>
  <c r="C10" i="5267"/>
  <c r="C9" i="5267"/>
  <c r="C8" i="5267"/>
  <c r="O7" i="5267"/>
  <c r="C7" i="5267"/>
  <c r="O6" i="5267"/>
  <c r="B6" i="5267"/>
  <c r="O5" i="5267"/>
  <c r="B5" i="5267"/>
  <c r="O4" i="5267"/>
  <c r="O3" i="5267"/>
  <c r="O2" i="5267"/>
  <c r="O16" i="5265"/>
  <c r="O20" i="5265"/>
  <c r="C27" i="5265"/>
  <c r="B24" i="5265"/>
  <c r="C20" i="5265"/>
  <c r="B17" i="5265"/>
  <c r="H50" i="5265" s="1"/>
  <c r="C16" i="5265"/>
  <c r="C15" i="5265"/>
  <c r="C14" i="5265"/>
  <c r="C13" i="5265"/>
  <c r="O12" i="5265"/>
  <c r="C12" i="5265"/>
  <c r="O11" i="5265"/>
  <c r="C11" i="5265"/>
  <c r="O10" i="5265"/>
  <c r="C10" i="5265"/>
  <c r="C9" i="5265"/>
  <c r="C8" i="5265"/>
  <c r="O7" i="5265"/>
  <c r="C7" i="5265"/>
  <c r="O6" i="5265"/>
  <c r="B6" i="5265"/>
  <c r="O5" i="5265"/>
  <c r="B5" i="5265"/>
  <c r="O4" i="5265"/>
  <c r="O3" i="5265"/>
  <c r="O2" i="5265"/>
  <c r="H8" i="5271" l="1"/>
  <c r="H2" i="5271"/>
  <c r="H10" i="5269"/>
  <c r="H8" i="5269"/>
  <c r="H4" i="5271"/>
  <c r="H10" i="5271"/>
  <c r="H11" i="5267"/>
  <c r="H30" i="5267"/>
  <c r="C18" i="5267"/>
  <c r="H20" i="5267"/>
  <c r="H6" i="5267"/>
  <c r="H2" i="5267"/>
  <c r="H4" i="5267"/>
  <c r="H3" i="5267"/>
  <c r="H17" i="5267"/>
  <c r="H19" i="5271"/>
  <c r="H24" i="5271"/>
  <c r="H34" i="5271"/>
  <c r="H46" i="5271"/>
  <c r="H7" i="5271"/>
  <c r="H13" i="5271"/>
  <c r="H15" i="5271"/>
  <c r="C17" i="5271"/>
  <c r="H38" i="5271"/>
  <c r="H47" i="5271"/>
  <c r="H3" i="5271"/>
  <c r="H6" i="5271"/>
  <c r="H17" i="5271"/>
  <c r="H30" i="5271"/>
  <c r="H39" i="5271"/>
  <c r="H9" i="5271"/>
  <c r="H12" i="5271"/>
  <c r="H21" i="5271"/>
  <c r="H5" i="5271"/>
  <c r="H11" i="5271"/>
  <c r="H14" i="5271"/>
  <c r="H16" i="5271"/>
  <c r="C18" i="5271"/>
  <c r="H31" i="5271"/>
  <c r="H42" i="5271"/>
  <c r="H30" i="5269"/>
  <c r="H5" i="5269"/>
  <c r="H9" i="5269"/>
  <c r="H12" i="5269"/>
  <c r="C18" i="5269"/>
  <c r="H4" i="5269"/>
  <c r="H2" i="5269"/>
  <c r="H16" i="5269"/>
  <c r="H11" i="5265"/>
  <c r="H50" i="5271"/>
  <c r="C19" i="5271"/>
  <c r="H22" i="5271"/>
  <c r="H27" i="5271"/>
  <c r="H35" i="5271"/>
  <c r="H43" i="5271"/>
  <c r="H51" i="5271"/>
  <c r="B23" i="5271"/>
  <c r="H25" i="5271"/>
  <c r="H28" i="5271"/>
  <c r="H32" i="5271"/>
  <c r="H36" i="5271"/>
  <c r="H40" i="5271"/>
  <c r="H44" i="5271"/>
  <c r="H48" i="5271"/>
  <c r="H18" i="5271"/>
  <c r="H20" i="5271"/>
  <c r="H23" i="5271"/>
  <c r="H26" i="5271"/>
  <c r="H29" i="5271"/>
  <c r="H33" i="5271"/>
  <c r="H37" i="5271"/>
  <c r="H41" i="5271"/>
  <c r="H45" i="5271"/>
  <c r="H14" i="5269"/>
  <c r="H21" i="5269"/>
  <c r="H31" i="5269"/>
  <c r="H3" i="5269"/>
  <c r="H6" i="5269"/>
  <c r="H11" i="5269"/>
  <c r="H17" i="5269"/>
  <c r="H39" i="5269"/>
  <c r="H42" i="5269"/>
  <c r="H19" i="5269"/>
  <c r="H24" i="5269"/>
  <c r="H34" i="5269"/>
  <c r="H46" i="5269"/>
  <c r="H7" i="5269"/>
  <c r="H13" i="5269"/>
  <c r="H15" i="5269"/>
  <c r="C17" i="5269"/>
  <c r="H38" i="5269"/>
  <c r="H47" i="5269"/>
  <c r="H50" i="5269"/>
  <c r="C19" i="5269"/>
  <c r="H22" i="5269"/>
  <c r="H27" i="5269"/>
  <c r="H35" i="5269"/>
  <c r="H43" i="5269"/>
  <c r="H51" i="5269"/>
  <c r="B23" i="5269"/>
  <c r="H25" i="5269"/>
  <c r="H28" i="5269"/>
  <c r="H32" i="5269"/>
  <c r="H36" i="5269"/>
  <c r="H40" i="5269"/>
  <c r="H44" i="5269"/>
  <c r="H48" i="5269"/>
  <c r="H18" i="5269"/>
  <c r="H20" i="5269"/>
  <c r="H23" i="5269"/>
  <c r="H26" i="5269"/>
  <c r="H29" i="5269"/>
  <c r="H33" i="5269"/>
  <c r="H37" i="5269"/>
  <c r="H41" i="5269"/>
  <c r="H45" i="5269"/>
  <c r="H3" i="5265"/>
  <c r="C17" i="5265"/>
  <c r="H2" i="5265"/>
  <c r="H4" i="5265"/>
  <c r="B23" i="5267"/>
  <c r="H9" i="5267"/>
  <c r="H36" i="5267"/>
  <c r="H44" i="5267"/>
  <c r="H38" i="5267"/>
  <c r="C17" i="5267"/>
  <c r="H13" i="5267"/>
  <c r="H40" i="5267"/>
  <c r="H49" i="5267"/>
  <c r="H15" i="5267"/>
  <c r="H25" i="5267"/>
  <c r="H45" i="5267"/>
  <c r="H8" i="5267"/>
  <c r="H21" i="5267"/>
  <c r="H22" i="5267"/>
  <c r="H27" i="5267"/>
  <c r="H10" i="5267"/>
  <c r="H7" i="5267"/>
  <c r="H12" i="5267"/>
  <c r="H29" i="5267"/>
  <c r="H18" i="5267"/>
  <c r="H14" i="5267"/>
  <c r="H35" i="5267"/>
  <c r="H41" i="5267"/>
  <c r="H50" i="5267"/>
  <c r="H46" i="5267"/>
  <c r="H16" i="5267"/>
  <c r="C19" i="5267"/>
  <c r="H33" i="5267"/>
  <c r="H24" i="5267"/>
  <c r="H26" i="5267"/>
  <c r="H37" i="5267"/>
  <c r="H42" i="5267"/>
  <c r="H48" i="5267"/>
  <c r="H5" i="5267"/>
  <c r="H31" i="5267"/>
  <c r="H32" i="5267"/>
  <c r="H23" i="5267"/>
  <c r="H34" i="5267"/>
  <c r="H19" i="5267"/>
  <c r="H28" i="5267"/>
  <c r="H39" i="5267"/>
  <c r="H43" i="5267"/>
  <c r="H47" i="5267"/>
  <c r="H34" i="5265"/>
  <c r="H35" i="5265"/>
  <c r="H28" i="5265"/>
  <c r="H29" i="5265"/>
  <c r="H17" i="5265"/>
  <c r="H30" i="5265"/>
  <c r="H40" i="5265"/>
  <c r="H43" i="5265"/>
  <c r="H47" i="5265"/>
  <c r="H51" i="5265"/>
  <c r="H8" i="5265"/>
  <c r="H20" i="5265"/>
  <c r="H26" i="5265"/>
  <c r="C19" i="5265"/>
  <c r="H14" i="5265"/>
  <c r="H23" i="5265"/>
  <c r="H37" i="5265"/>
  <c r="H41" i="5265"/>
  <c r="H44" i="5265"/>
  <c r="H48" i="5265"/>
  <c r="H19" i="5265"/>
  <c r="H10" i="5265"/>
  <c r="H6" i="5265"/>
  <c r="H12" i="5265"/>
  <c r="H22" i="5265"/>
  <c r="H18" i="5265"/>
  <c r="H15" i="5265"/>
  <c r="H27" i="5265"/>
  <c r="H13" i="5265"/>
  <c r="H9" i="5265"/>
  <c r="H24" i="5265"/>
  <c r="H38" i="5265"/>
  <c r="H33" i="5265"/>
  <c r="H45" i="5265"/>
  <c r="H49" i="5265"/>
  <c r="H5" i="5265"/>
  <c r="H7" i="5265"/>
  <c r="H21" i="5265"/>
  <c r="H31" i="5265"/>
  <c r="H16" i="5265"/>
  <c r="C18" i="5265"/>
  <c r="B23" i="5265"/>
  <c r="H25" i="5265"/>
  <c r="H32" i="5265"/>
  <c r="H36" i="5265"/>
  <c r="H39" i="5265"/>
  <c r="H42" i="5265"/>
  <c r="H46" i="526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<sst xmlns="http://schemas.openxmlformats.org/spreadsheetml/2006/main" count="3205" uniqueCount="235">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</sst>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全体!$K$2:$K$518</c:f>
              <c:numCache>
                <c:formatCode>General</c:formatCode>
                <c:ptCount val="5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</c:numCache>
            </c:numRef>
          </c:xVal>
          <c:yVal>
            <c:numRef>
              <c:f>全体!$L$2:$L$518</c:f>
              <c:numCache>
                <c:formatCode>\+0.0;\-0.0;\±0</c:formatCode>
                <c:ptCount val="51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3-47A4-81E0-C4FA62293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-15.503875968992247</c:v>
                </c:pt>
                <c:pt idx="1">
                  <c:v>-7.9365079365079367</c:v>
                </c:pt>
                <c:pt idx="2">
                  <c:v>12.5</c:v>
                </c:pt>
                <c:pt idx="3">
                  <c:v>6.9444444444444446</c:v>
                </c:pt>
                <c:pt idx="4">
                  <c:v>-12.919896640826874</c:v>
                </c:pt>
                <c:pt idx="5">
                  <c:v>22.792022792022792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B-41AD-B3C2-3FE6B915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だいち!$L$2:$L$117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A26-A4AC-9C8D38571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1871.304347826087</c:v>
                </c:pt>
                <c:pt idx="1">
                  <c:v>1432.1428571428571</c:v>
                </c:pt>
                <c:pt idx="2">
                  <c:v>1550.4672897196263</c:v>
                </c:pt>
                <c:pt idx="3">
                  <c:v>2114.4329896907216</c:v>
                </c:pt>
                <c:pt idx="4">
                  <c:v>707.05882352941171</c:v>
                </c:pt>
                <c:pt idx="5">
                  <c:v>317.33333333333331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0-4EAD-8885-5F0EEA83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DA-420D-8935-CDF3A26F2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7-4C51-930E-DF6CC9BB8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ただ!$L$2:$L$63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3-4540-A5F5-B90EB183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-2593.4426229508199</c:v>
                </c:pt>
                <c:pt idx="1">
                  <c:v>-1111.8644067796611</c:v>
                </c:pt>
                <c:pt idx="2">
                  <c:v>-1116.3636363636363</c:v>
                </c:pt>
                <c:pt idx="3">
                  <c:v>-5212.7659574468089</c:v>
                </c:pt>
                <c:pt idx="4">
                  <c:v>-956.09756097560978</c:v>
                </c:pt>
                <c:pt idx="5">
                  <c:v>-1786.8421052631579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A-4701-9361-FA1A32D6E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6-460E-B2AA-6A258CDF5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-795.6521739130435</c:v>
                </c:pt>
                <c:pt idx="1">
                  <c:v>854.41176470588232</c:v>
                </c:pt>
                <c:pt idx="2">
                  <c:v>1390.7692307692307</c:v>
                </c:pt>
                <c:pt idx="3">
                  <c:v>2243.6363636363635</c:v>
                </c:pt>
                <c:pt idx="4">
                  <c:v>-1202.0408163265306</c:v>
                </c:pt>
                <c:pt idx="5">
                  <c:v>802.22222222222217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F-4476-99D0-551506E6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たかの!$L$2:$L$57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4-4D9C-968C-A8AD8806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443.63636363636363</c:v>
                </c:pt>
                <c:pt idx="1">
                  <c:v>363.63636363636363</c:v>
                </c:pt>
                <c:pt idx="2">
                  <c:v>-778</c:v>
                </c:pt>
                <c:pt idx="3">
                  <c:v>357.44680851063828</c:v>
                </c:pt>
                <c:pt idx="4">
                  <c:v>552.17391304347825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F-4320-8445-5242A3A22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0-47F3-83E7-5DDEA4ED4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9-4908-A7B1-57DE9720E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C-4C17-90FD-994C9C863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894.73684210526312</c:v>
                </c:pt>
                <c:pt idx="1">
                  <c:v>138.88888888888889</c:v>
                </c:pt>
                <c:pt idx="2">
                  <c:v>-1514.7058823529412</c:v>
                </c:pt>
                <c:pt idx="3">
                  <c:v>1724.2424242424242</c:v>
                </c:pt>
                <c:pt idx="4">
                  <c:v>-1727.5862068965516</c:v>
                </c:pt>
                <c:pt idx="5">
                  <c:v>212.5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0-4A21-8236-2D26FAE6C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856-827E-69D0637B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C-4856-BD8B-6B453B9E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2-4AF6-A722-714EECFAB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4-4816-88C2-C294B20DF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C-4C0A-9C07-EE5E5BF3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E-4EB5-82B3-24713C4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F-436B-8D08-B800F8BB9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4-46C5-80F4-E339C1B71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3E7-82E6-A1F1210F6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C-4EAF-889F-5FE88386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まっつん2!$B$3:$B$41</c:f>
              <c:numCache>
                <c:formatCode>\+0.0;\-0.0;\±0</c:formatCode>
                <c:ptCount val="3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まっつん2!$C$3:$C$41</c:f>
              <c:numCache>
                <c:formatCode>\+0.0;\-0.0;\±0</c:formatCode>
                <c:ptCount val="39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77020805736628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まっつん2!$D$3:$D$41</c:f>
              <c:numCache>
                <c:formatCode>0.00\ "位"</c:formatCode>
                <c:ptCount val="39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まっつん2!$E$3:$E$41</c:f>
              <c:numCache>
                <c:formatCode>0.0%</c:formatCode>
                <c:ptCount val="3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まっつん2!$F$3:$F$41</c:f>
              <c:numCache>
                <c:formatCode>0.0%</c:formatCode>
                <c:ptCount val="3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まっつん2!$G$3:$G$41</c:f>
              <c:numCache>
                <c:formatCode>0.0%</c:formatCode>
                <c:ptCount val="39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02313208420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まっつん2!$H$3:$H$41</c:f>
              <c:numCache>
                <c:formatCode>0.0%</c:formatCode>
                <c:ptCount val="39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857043719639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まっつん2!$I$3:$I$41</c:f>
              <c:numCache>
                <c:formatCode>0</c:formatCode>
                <c:ptCount val="39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8.30377794911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まっつん2!$J$3:$J$41</c:f>
              <c:numCache>
                <c:formatCode>0</c:formatCode>
                <c:ptCount val="39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19.52580195258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まっつん2!$K$3:$K$41</c:f>
              <c:numCache>
                <c:formatCode>0.0%</c:formatCode>
                <c:ptCount val="3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341085271317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まっつん2!$L$3:$L$41</c:f>
              <c:numCache>
                <c:formatCode>0.0%</c:formatCode>
                <c:ptCount val="3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341085271317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まっつん2!$M$3:$M$41</c:f>
              <c:numCache>
                <c:formatCode>0.0%</c:formatCode>
                <c:ptCount val="39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5734443673374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まっつん2!$N$3:$N$41</c:f>
              <c:numCache>
                <c:formatCode>0.0%</c:formatCode>
                <c:ptCount val="39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501966227157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まっつん2!$O$3:$O$41</c:f>
              <c:numCache>
                <c:formatCode>0.0%</c:formatCode>
                <c:ptCount val="39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248322147650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まっつん2!$P$3:$P$41</c:f>
              <c:numCache>
                <c:formatCode>0.0%</c:formatCode>
                <c:ptCount val="39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109890109890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まっつん2!$Q$3:$Q$41</c:f>
              <c:numCache>
                <c:formatCode>0.0%</c:formatCode>
                <c:ptCount val="39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017733230532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43606.438171296293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43607.976412037038</v>
      </c>
      <c r="C46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516</v>
      </c>
    </row>
    <row r="2" spans="1:2" x14ac:dyDescent="0.4">
      <c r="A2" t="s">
        <v>127</v>
      </c>
      <c r="B2">
        <v>115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61</v>
      </c>
    </row>
    <row r="5" spans="1:2" x14ac:dyDescent="0.4">
      <c r="A5" t="s">
        <v>171</v>
      </c>
      <c r="B5">
        <v>69</v>
      </c>
    </row>
    <row r="6" spans="1:2" x14ac:dyDescent="0.4">
      <c r="A6" t="s">
        <v>172</v>
      </c>
      <c r="B6">
        <v>55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38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0.49258258145972605</v>
      </c>
      <c r="G2" s="155"/>
      <c r="H2" s="154">
        <v>0.1234339808278383</v>
      </c>
      <c r="I2" s="155"/>
      <c r="J2" s="154">
        <v>0.66629354457766177</v>
      </c>
      <c r="K2" s="155"/>
      <c r="L2" s="154">
        <v>0.25952523195821969</v>
      </c>
      <c r="M2" s="155"/>
      <c r="N2" s="154">
        <v>0.48819403100990516</v>
      </c>
      <c r="O2" s="155"/>
      <c r="P2" s="154">
        <v>0.4645738806602569</v>
      </c>
      <c r="Q2" s="155"/>
      <c r="R2" s="154">
        <v>-2.7898237006729429E-2</v>
      </c>
      <c r="S2" s="155"/>
      <c r="T2" s="154">
        <v>0.2029513036556031</v>
      </c>
      <c r="U2" s="155"/>
      <c r="V2" s="154">
        <v>0.72584504850274212</v>
      </c>
      <c r="W2" s="155"/>
      <c r="X2" s="154">
        <v>0.86682072185483383</v>
      </c>
      <c r="Y2" s="155"/>
      <c r="Z2" s="154">
        <v>-0.13104545179638802</v>
      </c>
      <c r="AA2" s="155"/>
      <c r="AB2" s="154">
        <v>-0.34792213826096757</v>
      </c>
      <c r="AC2" s="155"/>
      <c r="AD2" s="154">
        <v>2.9657144467683746E-2</v>
      </c>
      <c r="AE2" s="155"/>
      <c r="AF2" s="154">
        <v>-0.49835690418318307</v>
      </c>
      <c r="AG2" s="155"/>
      <c r="AH2" s="154">
        <v>0.71684972944214498</v>
      </c>
      <c r="AI2" s="155"/>
    </row>
    <row r="3" spans="1:35" x14ac:dyDescent="0.4">
      <c r="A3" s="74">
        <v>1</v>
      </c>
      <c r="B3" s="75" t="s">
        <v>127</v>
      </c>
      <c r="C3" s="76">
        <v>1435.5000000000009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0.18260869565217391</v>
      </c>
      <c r="X3" s="77" t="s">
        <v>225</v>
      </c>
      <c r="Y3" s="80">
        <v>0.375</v>
      </c>
      <c r="Z3" s="77" t="s">
        <v>172</v>
      </c>
      <c r="AA3" s="80">
        <v>0.29545454545454547</v>
      </c>
      <c r="AB3" s="77" t="s">
        <v>225</v>
      </c>
      <c r="AC3" s="80">
        <v>1</v>
      </c>
      <c r="AD3" s="77" t="s">
        <v>127</v>
      </c>
      <c r="AE3" s="80">
        <v>0.51470588235294112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106.19999999999999</v>
      </c>
      <c r="D4" s="85" t="s">
        <v>224</v>
      </c>
      <c r="E4" s="97">
        <v>13.3</v>
      </c>
      <c r="F4" s="85" t="s">
        <v>127</v>
      </c>
      <c r="G4" s="86">
        <v>1.7391304347826086</v>
      </c>
      <c r="H4" s="85" t="s">
        <v>127</v>
      </c>
      <c r="I4" s="87">
        <v>0.4956521739130435</v>
      </c>
      <c r="J4" s="85" t="s">
        <v>224</v>
      </c>
      <c r="K4" s="87">
        <v>0</v>
      </c>
      <c r="L4" s="85" t="s">
        <v>172</v>
      </c>
      <c r="M4" s="88">
        <v>0.36776859504132231</v>
      </c>
      <c r="N4" s="85" t="s">
        <v>185</v>
      </c>
      <c r="O4" s="88">
        <v>0.10526315789473684</v>
      </c>
      <c r="P4" s="85" t="s">
        <v>171</v>
      </c>
      <c r="Q4" s="89">
        <v>9756.707317073171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0.13043478260869565</v>
      </c>
      <c r="X4" s="85" t="s">
        <v>127</v>
      </c>
      <c r="Y4" s="88">
        <v>0.32867883995703545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12.482608695652182</v>
      </c>
      <c r="F5" s="85" t="s">
        <v>177</v>
      </c>
      <c r="G5" s="86">
        <v>1.9736842105263157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0.35230934479054782</v>
      </c>
      <c r="N5" s="85" t="s">
        <v>172</v>
      </c>
      <c r="O5" s="88">
        <v>0.13016528925619836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0.11475409836065574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0.67123287671232879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34.699999999999989</v>
      </c>
      <c r="D6" s="85" t="s">
        <v>171</v>
      </c>
      <c r="E6" s="97">
        <v>1.5391304347826085</v>
      </c>
      <c r="F6" s="85" t="s">
        <v>145</v>
      </c>
      <c r="G6" s="86">
        <v>2</v>
      </c>
      <c r="H6" s="85" t="s">
        <v>177</v>
      </c>
      <c r="I6" s="87">
        <v>0.39473684210526316</v>
      </c>
      <c r="J6" s="85" t="s">
        <v>127</v>
      </c>
      <c r="K6" s="87">
        <v>0.23478260869565218</v>
      </c>
      <c r="L6" s="85" t="s">
        <v>202</v>
      </c>
      <c r="M6" s="88">
        <v>0.30434782608695654</v>
      </c>
      <c r="N6" s="85" t="s">
        <v>127</v>
      </c>
      <c r="O6" s="88">
        <v>0.15037593984962405</v>
      </c>
      <c r="P6" s="85" t="s">
        <v>129</v>
      </c>
      <c r="Q6" s="89">
        <v>9149.1228070175439</v>
      </c>
      <c r="R6" s="85" t="s">
        <v>173</v>
      </c>
      <c r="S6" s="89">
        <v>-7625.373134328358</v>
      </c>
      <c r="T6" s="85" t="s">
        <v>225</v>
      </c>
      <c r="U6" s="87">
        <v>0</v>
      </c>
      <c r="V6" s="85" t="s">
        <v>145</v>
      </c>
      <c r="W6" s="87">
        <v>0.11434108527131782</v>
      </c>
      <c r="X6" s="85" t="s">
        <v>171</v>
      </c>
      <c r="Y6" s="88">
        <v>0.27796610169491526</v>
      </c>
      <c r="Z6" s="85" t="s">
        <v>127</v>
      </c>
      <c r="AA6" s="88">
        <v>0.21911922663802363</v>
      </c>
      <c r="AB6" s="85" t="s">
        <v>186</v>
      </c>
      <c r="AC6" s="88">
        <v>0.625</v>
      </c>
      <c r="AD6" s="85" t="s">
        <v>172</v>
      </c>
      <c r="AE6" s="88">
        <v>0.44055944055944057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0.63090909090909075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0.30909090909090908</v>
      </c>
      <c r="L7" s="85" t="s">
        <v>145</v>
      </c>
      <c r="M7" s="88">
        <v>0.30002313208420078</v>
      </c>
      <c r="N7" s="85" t="s">
        <v>171</v>
      </c>
      <c r="O7" s="88">
        <v>0.16271186440677965</v>
      </c>
      <c r="P7" s="85" t="s">
        <v>127</v>
      </c>
      <c r="Q7" s="89">
        <v>9069.8170731707323</v>
      </c>
      <c r="R7" s="85" t="s">
        <v>177</v>
      </c>
      <c r="S7" s="89">
        <v>-7664.1509433962265</v>
      </c>
      <c r="T7" s="85" t="s">
        <v>171</v>
      </c>
      <c r="U7" s="87">
        <v>4.3478260869565216E-2</v>
      </c>
      <c r="V7" s="85" t="s">
        <v>172</v>
      </c>
      <c r="W7" s="87">
        <v>0.10909090909090909</v>
      </c>
      <c r="X7" s="85" t="s">
        <v>145</v>
      </c>
      <c r="Y7" s="88">
        <v>0.27573444367337496</v>
      </c>
      <c r="Z7" s="85" t="s">
        <v>177</v>
      </c>
      <c r="AA7" s="88">
        <v>0.21316614420062696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7.1054273576010019E-15</v>
      </c>
      <c r="D8" s="85" t="s">
        <v>145</v>
      </c>
      <c r="E8" s="97">
        <v>1.3770208057366282E-17</v>
      </c>
      <c r="F8" s="85" t="s">
        <v>224</v>
      </c>
      <c r="G8" s="86">
        <v>2</v>
      </c>
      <c r="H8" s="85" t="s">
        <v>171</v>
      </c>
      <c r="I8" s="87">
        <v>0.28985507246376813</v>
      </c>
      <c r="J8" s="85" t="s">
        <v>145</v>
      </c>
      <c r="K8" s="87">
        <v>0.33333333333333331</v>
      </c>
      <c r="L8" s="85" t="s">
        <v>173</v>
      </c>
      <c r="M8" s="88">
        <v>0.29682997118155618</v>
      </c>
      <c r="N8" s="85" t="s">
        <v>145</v>
      </c>
      <c r="O8" s="88">
        <v>0.16585704371963914</v>
      </c>
      <c r="P8" s="85" t="s">
        <v>177</v>
      </c>
      <c r="Q8" s="89">
        <v>8673.1182795698933</v>
      </c>
      <c r="R8" s="85" t="s">
        <v>186</v>
      </c>
      <c r="S8" s="89">
        <v>-7700</v>
      </c>
      <c r="T8" s="85" t="s">
        <v>172</v>
      </c>
      <c r="U8" s="87">
        <v>5.4545454545454543E-2</v>
      </c>
      <c r="V8" s="85" t="s">
        <v>128</v>
      </c>
      <c r="W8" s="87">
        <v>9.6491228070175433E-2</v>
      </c>
      <c r="X8" s="85" t="s">
        <v>129</v>
      </c>
      <c r="Y8" s="88">
        <v>0.26506024096385544</v>
      </c>
      <c r="Z8" s="85" t="s">
        <v>185</v>
      </c>
      <c r="AA8" s="88">
        <v>0.21052631578947367</v>
      </c>
      <c r="AB8" s="85" t="s">
        <v>185</v>
      </c>
      <c r="AC8" s="88">
        <v>0.6</v>
      </c>
      <c r="AD8" s="85" t="s">
        <v>171</v>
      </c>
      <c r="AE8" s="88">
        <v>0.4</v>
      </c>
      <c r="AF8" s="85" t="s">
        <v>129</v>
      </c>
      <c r="AG8" s="88">
        <v>0.49122807017543857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177</v>
      </c>
      <c r="C9" s="84">
        <v>-18.79999999999999</v>
      </c>
      <c r="D9" s="85" t="s">
        <v>177</v>
      </c>
      <c r="E9" s="97">
        <v>-0.49473684210526292</v>
      </c>
      <c r="F9" s="85" t="s">
        <v>172</v>
      </c>
      <c r="G9" s="86">
        <v>2.0363636363636362</v>
      </c>
      <c r="H9" s="85" t="s">
        <v>173</v>
      </c>
      <c r="I9" s="87">
        <v>0.27500000000000002</v>
      </c>
      <c r="J9" s="85" t="s">
        <v>128</v>
      </c>
      <c r="K9" s="87">
        <v>0.34210526315789475</v>
      </c>
      <c r="L9" s="85" t="s">
        <v>177</v>
      </c>
      <c r="M9" s="88">
        <v>0.29153605015673983</v>
      </c>
      <c r="N9" s="85" t="s">
        <v>177</v>
      </c>
      <c r="O9" s="88">
        <v>0.16614420062695925</v>
      </c>
      <c r="P9" s="85" t="s">
        <v>225</v>
      </c>
      <c r="Q9" s="89">
        <v>8666.6666666666661</v>
      </c>
      <c r="R9" s="85" t="s">
        <v>171</v>
      </c>
      <c r="S9" s="89">
        <v>-7819.791666666667</v>
      </c>
      <c r="T9" s="85" t="s">
        <v>127</v>
      </c>
      <c r="U9" s="87">
        <v>0.11304347826086956</v>
      </c>
      <c r="V9" s="85" t="s">
        <v>177</v>
      </c>
      <c r="W9" s="87">
        <v>7.8947368421052627E-2</v>
      </c>
      <c r="X9" s="85" t="s">
        <v>185</v>
      </c>
      <c r="Y9" s="88">
        <v>0.26315789473684209</v>
      </c>
      <c r="Z9" s="85" t="s">
        <v>145</v>
      </c>
      <c r="AA9" s="88">
        <v>0.21050196622715706</v>
      </c>
      <c r="AB9" s="85" t="s">
        <v>172</v>
      </c>
      <c r="AC9" s="88">
        <v>0.59047619047619049</v>
      </c>
      <c r="AD9" s="85" t="s">
        <v>145</v>
      </c>
      <c r="AE9" s="88">
        <v>0.39010989010989011</v>
      </c>
      <c r="AF9" s="85" t="s">
        <v>145</v>
      </c>
      <c r="AG9" s="88">
        <v>0.44101773323053201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2.0579710144927534</v>
      </c>
      <c r="H10" s="85" t="s">
        <v>172</v>
      </c>
      <c r="I10" s="87">
        <v>0.27272727272727271</v>
      </c>
      <c r="J10" s="85" t="s">
        <v>171</v>
      </c>
      <c r="K10" s="87">
        <v>0.34782608695652173</v>
      </c>
      <c r="L10" s="85" t="s">
        <v>171</v>
      </c>
      <c r="M10" s="88">
        <v>0.27796610169491526</v>
      </c>
      <c r="N10" s="85" t="s">
        <v>128</v>
      </c>
      <c r="O10" s="88">
        <v>0.17003188097768332</v>
      </c>
      <c r="P10" s="85" t="s">
        <v>145</v>
      </c>
      <c r="Q10" s="89">
        <v>8598.3037779491133</v>
      </c>
      <c r="R10" s="85" t="s">
        <v>145</v>
      </c>
      <c r="S10" s="89">
        <v>-8219.5258019525809</v>
      </c>
      <c r="T10" s="85" t="s">
        <v>145</v>
      </c>
      <c r="U10" s="87">
        <v>0.11434108527131782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128</v>
      </c>
      <c r="AC10" s="88">
        <v>0.5892857142857143</v>
      </c>
      <c r="AD10" s="85" t="s">
        <v>177</v>
      </c>
      <c r="AE10" s="88">
        <v>0.36764705882352944</v>
      </c>
      <c r="AF10" s="85" t="s">
        <v>171</v>
      </c>
      <c r="AG10" s="88">
        <v>0.43292682926829268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128</v>
      </c>
      <c r="I11" s="87">
        <v>0.27192982456140352</v>
      </c>
      <c r="J11" s="85" t="s">
        <v>173</v>
      </c>
      <c r="K11" s="87">
        <v>0.35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-8390</v>
      </c>
      <c r="T11" s="85" t="s">
        <v>128</v>
      </c>
      <c r="U11" s="87">
        <v>0.12280701754385964</v>
      </c>
      <c r="V11" s="85" t="s">
        <v>186</v>
      </c>
      <c r="W11" s="87">
        <v>0</v>
      </c>
      <c r="X11" s="85" t="s">
        <v>186</v>
      </c>
      <c r="Y11" s="88">
        <v>0.23076923076923078</v>
      </c>
      <c r="Z11" s="85" t="s">
        <v>171</v>
      </c>
      <c r="AA11" s="88">
        <v>0.1864406779661017</v>
      </c>
      <c r="AB11" s="85" t="s">
        <v>145</v>
      </c>
      <c r="AC11" s="88">
        <v>0.58724832214765099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173</v>
      </c>
      <c r="G12" s="86">
        <v>2.0750000000000002</v>
      </c>
      <c r="H12" s="85" t="s">
        <v>129</v>
      </c>
      <c r="I12" s="87">
        <v>0.24590163934426229</v>
      </c>
      <c r="J12" s="85" t="s">
        <v>177</v>
      </c>
      <c r="K12" s="87">
        <v>0.36842105263157893</v>
      </c>
      <c r="L12" s="85" t="s">
        <v>186</v>
      </c>
      <c r="M12" s="88">
        <v>0.26923076923076922</v>
      </c>
      <c r="N12" s="85" t="s">
        <v>129</v>
      </c>
      <c r="O12" s="88">
        <v>0.19277108433734941</v>
      </c>
      <c r="P12" s="85" t="s">
        <v>186</v>
      </c>
      <c r="Q12" s="89">
        <v>7700</v>
      </c>
      <c r="R12" s="85" t="s">
        <v>172</v>
      </c>
      <c r="S12" s="89">
        <v>-9374.6031746031749</v>
      </c>
      <c r="T12" s="85" t="s">
        <v>173</v>
      </c>
      <c r="U12" s="87">
        <v>0.125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128</v>
      </c>
      <c r="AA12" s="88">
        <v>0.18172157279489903</v>
      </c>
      <c r="AB12" s="85" t="s">
        <v>171</v>
      </c>
      <c r="AC12" s="88">
        <v>0.58536585365853655</v>
      </c>
      <c r="AD12" s="85" t="s">
        <v>128</v>
      </c>
      <c r="AE12" s="88">
        <v>0.2982456140350877</v>
      </c>
      <c r="AF12" s="85" t="s">
        <v>172</v>
      </c>
      <c r="AG12" s="88">
        <v>0.42134831460674155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0.47540983606557374</v>
      </c>
      <c r="L13" s="85" t="s">
        <v>185</v>
      </c>
      <c r="M13" s="88">
        <v>0.26315789473684209</v>
      </c>
      <c r="N13" s="85" t="s">
        <v>173</v>
      </c>
      <c r="O13" s="88">
        <v>0.1930835734870317</v>
      </c>
      <c r="P13" s="85" t="s">
        <v>202</v>
      </c>
      <c r="Q13" s="89">
        <v>7438.0952380952385</v>
      </c>
      <c r="R13" s="85" t="s">
        <v>129</v>
      </c>
      <c r="S13" s="89">
        <v>-9593.75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173</v>
      </c>
      <c r="Y13" s="88">
        <v>0.23054755043227665</v>
      </c>
      <c r="Z13" s="85" t="s">
        <v>129</v>
      </c>
      <c r="AA13" s="88">
        <v>0.16265060240963855</v>
      </c>
      <c r="AB13" s="85" t="s">
        <v>127</v>
      </c>
      <c r="AC13" s="88">
        <v>0.5816993464052288</v>
      </c>
      <c r="AD13" s="85" t="s">
        <v>129</v>
      </c>
      <c r="AE13" s="88">
        <v>0.23456790123456789</v>
      </c>
      <c r="AF13" s="85" t="s">
        <v>127</v>
      </c>
      <c r="AG13" s="88">
        <v>0.42073170731707316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-279.89999999999998</v>
      </c>
      <c r="D14" s="85" t="s">
        <v>129</v>
      </c>
      <c r="E14" s="97">
        <v>-15.150819672131142</v>
      </c>
      <c r="F14" s="85" t="s">
        <v>129</v>
      </c>
      <c r="G14" s="86">
        <v>2.2295081967213113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0.2289156626506024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0.18421052631578946</v>
      </c>
      <c r="V14" s="85" t="s">
        <v>224</v>
      </c>
      <c r="W14" s="87">
        <v>0</v>
      </c>
      <c r="X14" s="85" t="s">
        <v>177</v>
      </c>
      <c r="Y14" s="88">
        <v>0.22884012539184953</v>
      </c>
      <c r="Z14" s="85" t="s">
        <v>225</v>
      </c>
      <c r="AA14" s="88">
        <v>0.125</v>
      </c>
      <c r="AB14" s="85" t="s">
        <v>129</v>
      </c>
      <c r="AC14" s="88">
        <v>0.51515151515151514</v>
      </c>
      <c r="AD14" s="85" t="s">
        <v>224</v>
      </c>
      <c r="AE14" s="88">
        <v>0</v>
      </c>
      <c r="AF14" s="85" t="s">
        <v>177</v>
      </c>
      <c r="AG14" s="88">
        <v>0.41935483870967744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-924.1999999999997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6504.4943820224717</v>
      </c>
      <c r="R15" s="85" t="s">
        <v>225</v>
      </c>
      <c r="S15" s="89">
        <v>-14000</v>
      </c>
      <c r="T15" s="85" t="s">
        <v>129</v>
      </c>
      <c r="U15" s="87">
        <v>0.19672131147540983</v>
      </c>
      <c r="V15" s="85" t="s">
        <v>225</v>
      </c>
      <c r="W15" s="87">
        <v>0</v>
      </c>
      <c r="X15" s="85" t="s">
        <v>172</v>
      </c>
      <c r="Y15" s="88">
        <v>0.21694214876033058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AA192-EF1F-494F-A9AB-FDC5411916BC}">
  <sheetPr codeName="Sheet4"/>
  <dimension ref="A1:Q51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516</v>
      </c>
      <c r="C2" s="147"/>
      <c r="E2" s="62" t="s">
        <v>67</v>
      </c>
      <c r="F2" s="59" t="s">
        <v>23</v>
      </c>
      <c r="G2" s="46">
        <v>958</v>
      </c>
      <c r="H2" s="132">
        <f>IF(B$17=0,0,G2/B$17)</f>
        <v>0.73862760215882806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-15.503875968992247</v>
      </c>
      <c r="P2" s="118">
        <v>516</v>
      </c>
      <c r="Q2" s="102">
        <v>-8000</v>
      </c>
    </row>
    <row r="3" spans="1:17" x14ac:dyDescent="0.4">
      <c r="A3" s="55" t="s">
        <v>8</v>
      </c>
      <c r="B3" s="148">
        <v>4323</v>
      </c>
      <c r="C3" s="149"/>
      <c r="E3" s="63" t="s">
        <v>65</v>
      </c>
      <c r="F3" s="60" t="s">
        <v>21</v>
      </c>
      <c r="G3" s="47">
        <v>671</v>
      </c>
      <c r="H3" s="133">
        <f>IF(B$17=0,0,G3/B$17)</f>
        <v>0.51734772552043173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-7.9365079365079367</v>
      </c>
      <c r="P3" s="119">
        <v>504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666</v>
      </c>
      <c r="H4" s="133">
        <f>IF(B$17=0,0,G4/B$17)</f>
        <v>0.51349267540478027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12.5</v>
      </c>
      <c r="P4" s="119">
        <v>480</v>
      </c>
      <c r="Q4" s="103">
        <v>6000</v>
      </c>
    </row>
    <row r="5" spans="1:17" x14ac:dyDescent="0.4">
      <c r="A5" s="55" t="s">
        <v>7</v>
      </c>
      <c r="B5" s="152">
        <f>IF(B$2=0,0,B$4/B$2)</f>
        <v>1.3770208057366282E-17</v>
      </c>
      <c r="C5" s="153"/>
      <c r="E5" s="63" t="s">
        <v>181</v>
      </c>
      <c r="F5" s="60" t="s">
        <v>182</v>
      </c>
      <c r="G5" s="47">
        <v>521</v>
      </c>
      <c r="H5" s="133">
        <f>IF(B$17=0,0,G5/B$17)</f>
        <v>0.40169622205088668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6.9444444444444446</v>
      </c>
      <c r="P5" s="119">
        <v>432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410</v>
      </c>
      <c r="H6" s="133">
        <f>IF(B$17=0,0,G6/B$17)</f>
        <v>0.31611410948342328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-12.919896640826874</v>
      </c>
      <c r="P6" s="119">
        <v>387</v>
      </c>
      <c r="Q6" s="103">
        <v>-5000</v>
      </c>
    </row>
    <row r="7" spans="1:17" x14ac:dyDescent="0.4">
      <c r="A7" s="55" t="s">
        <v>2</v>
      </c>
      <c r="B7" s="47">
        <v>172</v>
      </c>
      <c r="C7" s="39">
        <f>IF(B$2=0,0,B7/B$2)</f>
        <v>0.33333333333333331</v>
      </c>
      <c r="E7" s="63" t="s">
        <v>68</v>
      </c>
      <c r="F7" s="60" t="s">
        <v>24</v>
      </c>
      <c r="G7" s="47">
        <v>394</v>
      </c>
      <c r="H7" s="133">
        <f>IF(B$17=0,0,G7/B$17)</f>
        <v>0.3037779491133385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22.792022792022792</v>
      </c>
      <c r="P7" s="120">
        <v>351</v>
      </c>
      <c r="Q7" s="104">
        <v>8000</v>
      </c>
    </row>
    <row r="8" spans="1:17" x14ac:dyDescent="0.4">
      <c r="A8" s="55" t="s">
        <v>3</v>
      </c>
      <c r="B8" s="47">
        <v>172</v>
      </c>
      <c r="C8" s="39">
        <f>IF(B$2=0,0,B8/B$2)</f>
        <v>0.33333333333333331</v>
      </c>
      <c r="E8" s="63" t="s">
        <v>70</v>
      </c>
      <c r="F8" s="60" t="s">
        <v>25</v>
      </c>
      <c r="G8" s="47">
        <v>234</v>
      </c>
      <c r="H8" s="133">
        <f>IF(B$17=0,0,G8/B$17)</f>
        <v>0.18041634541249035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158</v>
      </c>
      <c r="H9" s="133">
        <f>IF(B$17=0,0,G9/B$17)</f>
        <v>0.1218195836545875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59</v>
      </c>
      <c r="C10" s="40">
        <f>IF(B$2=0,0,B10/B$2)</f>
        <v>0.11434108527131782</v>
      </c>
      <c r="E10" s="63" t="s">
        <v>66</v>
      </c>
      <c r="F10" s="60" t="s">
        <v>22</v>
      </c>
      <c r="G10" s="47">
        <v>156</v>
      </c>
      <c r="H10" s="133">
        <f>IF(B$17=0,0,G10/B$17)</f>
        <v>0.12027756360832691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-1.2912790697674421</v>
      </c>
      <c r="P10" s="118">
        <v>172</v>
      </c>
      <c r="Q10" s="106">
        <v>-222.10000000000005</v>
      </c>
    </row>
    <row r="11" spans="1:17" x14ac:dyDescent="0.4">
      <c r="A11" s="56" t="s">
        <v>140</v>
      </c>
      <c r="B11" s="48">
        <v>59</v>
      </c>
      <c r="C11" s="40">
        <f>IF(B$2=0,0,B11/B$2)</f>
        <v>0.11434108527131782</v>
      </c>
      <c r="E11" s="63" t="s">
        <v>71</v>
      </c>
      <c r="F11" s="60" t="s">
        <v>26</v>
      </c>
      <c r="G11" s="47">
        <v>136</v>
      </c>
      <c r="H11" s="133">
        <f>IF(B$17=0,0,G11/B$17)</f>
        <v>0.10485736314572089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-1.5738372093023258</v>
      </c>
      <c r="P11" s="119">
        <v>172</v>
      </c>
      <c r="Q11" s="107">
        <v>-270.70000000000005</v>
      </c>
    </row>
    <row r="12" spans="1:17" x14ac:dyDescent="0.4">
      <c r="A12" s="57" t="s">
        <v>160</v>
      </c>
      <c r="B12" s="49">
        <v>44</v>
      </c>
      <c r="C12" s="42">
        <f>IF(B$2=0,0,B12/B$2)</f>
        <v>8.5271317829457363E-2</v>
      </c>
      <c r="E12" s="63" t="s">
        <v>72</v>
      </c>
      <c r="F12" s="60" t="s">
        <v>27</v>
      </c>
      <c r="G12" s="47">
        <v>84</v>
      </c>
      <c r="H12" s="133">
        <f>IF(B$17=0,0,G12/B$17)</f>
        <v>6.4764841942945253E-2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2.8651162790697677</v>
      </c>
      <c r="P12" s="120">
        <v>172</v>
      </c>
      <c r="Q12" s="108">
        <v>492.80000000000007</v>
      </c>
    </row>
    <row r="13" spans="1:17" x14ac:dyDescent="0.4">
      <c r="A13" s="58" t="s">
        <v>122</v>
      </c>
      <c r="B13" s="50">
        <v>1192</v>
      </c>
      <c r="C13" s="44">
        <f>IF(B$3=0,0,B13/B$3)</f>
        <v>0.27573444367337496</v>
      </c>
      <c r="E13" s="63" t="s">
        <v>87</v>
      </c>
      <c r="F13" s="60" t="s">
        <v>42</v>
      </c>
      <c r="G13" s="47">
        <v>76</v>
      </c>
      <c r="H13" s="133">
        <f>IF(B$17=0,0,G13/B$17)</f>
        <v>5.8596761757902856E-2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910</v>
      </c>
      <c r="C14" s="39">
        <f>IF(B$3=0,0,B14/B$3)</f>
        <v>0.21050196622715706</v>
      </c>
      <c r="E14" s="63" t="s">
        <v>84</v>
      </c>
      <c r="F14" s="60" t="s">
        <v>39</v>
      </c>
      <c r="G14" s="47">
        <v>59</v>
      </c>
      <c r="H14" s="133">
        <f>IF(B$17=0,0,G14/B$17)</f>
        <v>4.5489591364687741E-2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700</v>
      </c>
      <c r="C15" s="37">
        <f>IF(B$13=0,0,B15/B$13)</f>
        <v>0.58724832214765099</v>
      </c>
      <c r="E15" s="63" t="s">
        <v>82</v>
      </c>
      <c r="F15" s="60" t="s">
        <v>37</v>
      </c>
      <c r="G15" s="47">
        <v>37</v>
      </c>
      <c r="H15" s="133">
        <f>IF(B$17=0,0,G15/B$17)</f>
        <v>2.8527370855821126E-2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355</v>
      </c>
      <c r="C16" s="37">
        <f>IF(B$14=0,0,B16/B$14)</f>
        <v>0.39010989010989011</v>
      </c>
      <c r="E16" s="63" t="s">
        <v>79</v>
      </c>
      <c r="F16" s="60" t="s">
        <v>34</v>
      </c>
      <c r="G16" s="47">
        <v>31</v>
      </c>
      <c r="H16" s="133">
        <f>IF(B$17=0,0,G16/B$17)</f>
        <v>2.3901310717039322E-2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22.726229508196738</v>
      </c>
      <c r="P16" s="119">
        <v>122</v>
      </c>
      <c r="Q16" s="107">
        <v>2772.6000000000022</v>
      </c>
    </row>
    <row r="17" spans="1:17" x14ac:dyDescent="0.4">
      <c r="A17" s="54" t="s">
        <v>10</v>
      </c>
      <c r="B17" s="46">
        <f>B19+B18</f>
        <v>1297</v>
      </c>
      <c r="C17" s="37">
        <f>IF(B$3=0,0,B17/B$3)</f>
        <v>0.30002313208420078</v>
      </c>
      <c r="E17" s="63" t="s">
        <v>92</v>
      </c>
      <c r="F17" s="60" t="s">
        <v>47</v>
      </c>
      <c r="G17" s="47">
        <v>22</v>
      </c>
      <c r="H17" s="133">
        <f>IF(B$17=0,0,G17/B$17)</f>
        <v>1.6962220508866616E-2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572</v>
      </c>
      <c r="C18" s="39">
        <f>IF(B$17=0,0,B18/B$17)</f>
        <v>0.44101773323053201</v>
      </c>
      <c r="E18" s="63" t="s">
        <v>80</v>
      </c>
      <c r="F18" s="60" t="s">
        <v>35</v>
      </c>
      <c r="G18" s="47">
        <v>21</v>
      </c>
      <c r="H18" s="133">
        <f>IF(B$17=0,0,G18/B$17)</f>
        <v>1.6191210485736313E-2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725</v>
      </c>
      <c r="C19" s="39">
        <f>IF(B$17=0,0,B19/B$17)</f>
        <v>0.55898226676946805</v>
      </c>
      <c r="E19" s="63" t="s">
        <v>180</v>
      </c>
      <c r="F19" s="60" t="s">
        <v>183</v>
      </c>
      <c r="G19" s="47">
        <v>18</v>
      </c>
      <c r="H19" s="133">
        <f>IF(B$17=0,0,G19/B$17)</f>
        <v>1.3878180416345412E-2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717</v>
      </c>
      <c r="C20" s="39">
        <f>IF(B$3=0,0,B20/B$3)</f>
        <v>0.16585704371963914</v>
      </c>
      <c r="E20" s="63" t="s">
        <v>76</v>
      </c>
      <c r="F20" s="60" t="s">
        <v>31</v>
      </c>
      <c r="G20" s="47">
        <v>9</v>
      </c>
      <c r="H20" s="133">
        <f>IF(B$17=0,0,G20/B$17)</f>
        <v>6.9390902081727058E-3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6.1680801850424053E-3</v>
      </c>
      <c r="I21" s="94">
        <v>4</v>
      </c>
      <c r="K21" s="38">
        <v>19</v>
      </c>
      <c r="L21" s="99">
        <v>30.999999999999996</v>
      </c>
      <c r="N21" s="115" t="s">
        <v>177</v>
      </c>
      <c r="O21" s="125">
        <f>IF(P21=0,0,Q21/P21)</f>
        <v>0.74210526315789271</v>
      </c>
      <c r="P21" s="119">
        <v>76</v>
      </c>
      <c r="Q21" s="107">
        <v>56.399999999999842</v>
      </c>
    </row>
    <row r="22" spans="1:17" x14ac:dyDescent="0.4">
      <c r="A22" s="55" t="s">
        <v>194</v>
      </c>
      <c r="B22" s="47">
        <v>31</v>
      </c>
      <c r="C22" s="135">
        <v>13</v>
      </c>
      <c r="E22" s="63" t="s">
        <v>75</v>
      </c>
      <c r="F22" s="60" t="s">
        <v>30</v>
      </c>
      <c r="G22" s="47">
        <v>5</v>
      </c>
      <c r="H22" s="133">
        <f>IF(B$17=0,0,G22/B$17)</f>
        <v>3.8550501156515036E-3</v>
      </c>
      <c r="I22" s="94">
        <v>4</v>
      </c>
      <c r="K22" s="38">
        <v>20</v>
      </c>
      <c r="L22" s="99">
        <v>0.79999999999999716</v>
      </c>
      <c r="N22" s="115" t="s">
        <v>172</v>
      </c>
      <c r="O22" s="125">
        <f>IF(P22=0,0,Q22/P22)</f>
        <v>-0.94636363636363807</v>
      </c>
      <c r="P22" s="119">
        <v>110</v>
      </c>
      <c r="Q22" s="107">
        <v>-104.10000000000019</v>
      </c>
    </row>
    <row r="23" spans="1:17" x14ac:dyDescent="0.4">
      <c r="A23" s="55" t="s">
        <v>5</v>
      </c>
      <c r="B23" s="51">
        <f>IF(B$17=0,0,C23/B$17)</f>
        <v>8598.3037779491133</v>
      </c>
      <c r="C23" s="41">
        <v>11152000</v>
      </c>
      <c r="E23" s="63" t="s">
        <v>93</v>
      </c>
      <c r="F23" s="60" t="s">
        <v>48</v>
      </c>
      <c r="G23" s="47">
        <v>5</v>
      </c>
      <c r="H23" s="133">
        <f>IF(B$17=0,0,G23/B$17)</f>
        <v>3.8550501156515036E-3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-2.3086956521739106</v>
      </c>
      <c r="P23" s="119">
        <v>138</v>
      </c>
      <c r="Q23" s="107">
        <v>-318.59999999999968</v>
      </c>
    </row>
    <row r="24" spans="1:17" x14ac:dyDescent="0.4">
      <c r="A24" s="57" t="s">
        <v>14</v>
      </c>
      <c r="B24" s="52">
        <f>IF(B$20=0,0,C24/B$20)</f>
        <v>-8219.5258019525809</v>
      </c>
      <c r="C24" s="45">
        <v>-5893400</v>
      </c>
      <c r="E24" s="63" t="s">
        <v>94</v>
      </c>
      <c r="F24" s="60" t="s">
        <v>49</v>
      </c>
      <c r="G24" s="47">
        <v>5</v>
      </c>
      <c r="H24" s="133">
        <f>IF(B$17=0,0,G24/B$17)</f>
        <v>3.8550501156515036E-3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-18.723913043478237</v>
      </c>
      <c r="P24" s="119">
        <v>230</v>
      </c>
      <c r="Q24" s="107">
        <v>-4306.4999999999945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3.0840400925212026E-3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2.3130300693909021E-3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3.0071709461022438E-3</v>
      </c>
      <c r="E27" s="63" t="s">
        <v>85</v>
      </c>
      <c r="F27" s="60" t="s">
        <v>40</v>
      </c>
      <c r="G27" s="47">
        <v>3</v>
      </c>
      <c r="H27" s="133">
        <f>IF(B$17=0,0,G27/B$17)</f>
        <v>2.3130300693909021E-3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2.3130300693909021E-3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1.5420200462606013E-3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1.5420200462606013E-3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7.7101002313030066E-4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7.7101002313030066E-4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7.7101002313030066E-4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1B88-A249-445E-849F-C27EF0E704A9}">
  <sheetPr codeName="Sheet7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67</v>
      </c>
      <c r="F2" s="59" t="s">
        <v>23</v>
      </c>
      <c r="G2" s="46">
        <v>242</v>
      </c>
      <c r="H2" s="132">
        <f>IF(B$17=0,0,G2/B$17)</f>
        <v>0.73780487804878048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1871.304347826087</v>
      </c>
      <c r="P2" s="118">
        <v>115</v>
      </c>
      <c r="Q2" s="102">
        <v>215200</v>
      </c>
    </row>
    <row r="3" spans="1:17" x14ac:dyDescent="0.4">
      <c r="A3" s="55" t="s">
        <v>8</v>
      </c>
      <c r="B3" s="148">
        <v>931</v>
      </c>
      <c r="C3" s="149"/>
      <c r="E3" s="63" t="s">
        <v>73</v>
      </c>
      <c r="F3" s="60" t="s">
        <v>28</v>
      </c>
      <c r="G3" s="47">
        <v>182</v>
      </c>
      <c r="H3" s="133">
        <f>IF(B$17=0,0,G3/B$17)</f>
        <v>0.55487804878048785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1432.1428571428571</v>
      </c>
      <c r="P3" s="119">
        <v>112</v>
      </c>
      <c r="Q3" s="103">
        <v>160400</v>
      </c>
    </row>
    <row r="4" spans="1:17" x14ac:dyDescent="0.4">
      <c r="A4" s="55" t="s">
        <v>6</v>
      </c>
      <c r="B4" s="150">
        <v>1435.5000000000009</v>
      </c>
      <c r="C4" s="151"/>
      <c r="E4" s="63" t="s">
        <v>65</v>
      </c>
      <c r="F4" s="60" t="s">
        <v>21</v>
      </c>
      <c r="G4" s="47">
        <v>166</v>
      </c>
      <c r="H4" s="133">
        <f>IF(B$17=0,0,G4/B$17)</f>
        <v>0.50609756097560976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1550.4672897196263</v>
      </c>
      <c r="P4" s="119">
        <v>107</v>
      </c>
      <c r="Q4" s="103">
        <v>165900</v>
      </c>
    </row>
    <row r="5" spans="1:17" x14ac:dyDescent="0.4">
      <c r="A5" s="55" t="s">
        <v>7</v>
      </c>
      <c r="B5" s="152">
        <f>IF(B$2=0,0,B$4/B$2)</f>
        <v>12.482608695652182</v>
      </c>
      <c r="C5" s="153"/>
      <c r="E5" s="63" t="s">
        <v>181</v>
      </c>
      <c r="F5" s="60" t="s">
        <v>182</v>
      </c>
      <c r="G5" s="47">
        <v>136</v>
      </c>
      <c r="H5" s="133">
        <f>IF(B$17=0,0,G5/B$17)</f>
        <v>0.41463414634146339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2114.4329896907216</v>
      </c>
      <c r="P5" s="119">
        <v>97</v>
      </c>
      <c r="Q5" s="103">
        <v>205100</v>
      </c>
    </row>
    <row r="6" spans="1:17" x14ac:dyDescent="0.4">
      <c r="A6" s="55" t="s">
        <v>1</v>
      </c>
      <c r="B6" s="142">
        <f>IF(B$2=0,0,(B$7*1+B$8*2+B$9*3)/B$2)</f>
        <v>1.7391304347826086</v>
      </c>
      <c r="C6" s="143"/>
      <c r="E6" s="63" t="s">
        <v>68</v>
      </c>
      <c r="F6" s="60" t="s">
        <v>24</v>
      </c>
      <c r="G6" s="47">
        <v>98</v>
      </c>
      <c r="H6" s="133">
        <f>IF(B$17=0,0,G6/B$17)</f>
        <v>0.29878048780487804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707.05882352941171</v>
      </c>
      <c r="P6" s="119">
        <v>85</v>
      </c>
      <c r="Q6" s="103">
        <v>60100</v>
      </c>
    </row>
    <row r="7" spans="1:17" x14ac:dyDescent="0.4">
      <c r="A7" s="55" t="s">
        <v>2</v>
      </c>
      <c r="B7" s="47">
        <v>57</v>
      </c>
      <c r="C7" s="39">
        <f>IF(B$2=0,0,B7/B$2)</f>
        <v>0.4956521739130435</v>
      </c>
      <c r="E7" s="63" t="s">
        <v>69</v>
      </c>
      <c r="F7" s="60" t="s">
        <v>12</v>
      </c>
      <c r="G7" s="47">
        <v>88</v>
      </c>
      <c r="H7" s="133">
        <f>IF(B$17=0,0,G7/B$17)</f>
        <v>0.26829268292682928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317.33333333333331</v>
      </c>
      <c r="P7" s="120">
        <v>75</v>
      </c>
      <c r="Q7" s="104">
        <v>23800</v>
      </c>
    </row>
    <row r="8" spans="1:17" x14ac:dyDescent="0.4">
      <c r="A8" s="55" t="s">
        <v>3</v>
      </c>
      <c r="B8" s="47">
        <v>31</v>
      </c>
      <c r="C8" s="39">
        <f>IF(B$2=0,0,B8/B$2)</f>
        <v>0.26956521739130435</v>
      </c>
      <c r="E8" s="63" t="s">
        <v>70</v>
      </c>
      <c r="F8" s="60" t="s">
        <v>25</v>
      </c>
      <c r="G8" s="47">
        <v>59</v>
      </c>
      <c r="H8" s="133">
        <f>IF(B$17=0,0,G8/B$17)</f>
        <v>0.1798780487804878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0.23478260869565218</v>
      </c>
      <c r="E9" s="63" t="s">
        <v>90</v>
      </c>
      <c r="F9" s="60" t="s">
        <v>45</v>
      </c>
      <c r="G9" s="47">
        <v>51</v>
      </c>
      <c r="H9" s="133">
        <f>IF(B$17=0,0,G9/B$17)</f>
        <v>0.15548780487804878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0.11304347826086956</v>
      </c>
      <c r="E10" s="63" t="s">
        <v>66</v>
      </c>
      <c r="F10" s="60" t="s">
        <v>22</v>
      </c>
      <c r="G10" s="47">
        <v>49</v>
      </c>
      <c r="H10" s="133">
        <f>IF(B$17=0,0,G10/B$17)</f>
        <v>0.14939024390243902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0.18260869565217391</v>
      </c>
      <c r="E11" s="63" t="s">
        <v>71</v>
      </c>
      <c r="F11" s="60" t="s">
        <v>26</v>
      </c>
      <c r="G11" s="47">
        <v>33</v>
      </c>
      <c r="H11" s="133">
        <f>IF(B$17=0,0,G11/B$17)</f>
        <v>0.10060975609756098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7.7756756756756769</v>
      </c>
      <c r="P11" s="119">
        <v>37</v>
      </c>
      <c r="Q11" s="107">
        <v>287.70000000000005</v>
      </c>
    </row>
    <row r="12" spans="1:17" x14ac:dyDescent="0.4">
      <c r="A12" s="57" t="s">
        <v>160</v>
      </c>
      <c r="B12" s="49">
        <v>18</v>
      </c>
      <c r="C12" s="42">
        <f>IF(B$2=0,0,B12/B$2)</f>
        <v>0.15652173913043479</v>
      </c>
      <c r="E12" s="63" t="s">
        <v>72</v>
      </c>
      <c r="F12" s="60" t="s">
        <v>27</v>
      </c>
      <c r="G12" s="47">
        <v>23</v>
      </c>
      <c r="H12" s="133">
        <f>IF(B$17=0,0,G12/B$17)</f>
        <v>7.0121951219512202E-2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306</v>
      </c>
      <c r="C13" s="44">
        <f>IF(B$3=0,0,B13/B$3)</f>
        <v>0.32867883995703545</v>
      </c>
      <c r="E13" s="63" t="s">
        <v>87</v>
      </c>
      <c r="F13" s="60" t="s">
        <v>42</v>
      </c>
      <c r="G13" s="47">
        <v>23</v>
      </c>
      <c r="H13" s="133">
        <f>IF(B$17=0,0,G13/B$17)</f>
        <v>7.0121951219512202E-2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204</v>
      </c>
      <c r="C14" s="39">
        <f>IF(B$3=0,0,B14/B$3)</f>
        <v>0.21911922663802363</v>
      </c>
      <c r="E14" s="63" t="s">
        <v>84</v>
      </c>
      <c r="F14" s="60" t="s">
        <v>39</v>
      </c>
      <c r="G14" s="47">
        <v>17</v>
      </c>
      <c r="H14" s="133">
        <f>IF(B$17=0,0,G14/B$17)</f>
        <v>5.1829268292682924E-2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178</v>
      </c>
      <c r="C15" s="37">
        <f>IF(B$13=0,0,B15/B$13)</f>
        <v>0.5816993464052288</v>
      </c>
      <c r="E15" s="63" t="s">
        <v>82</v>
      </c>
      <c r="F15" s="60" t="s">
        <v>37</v>
      </c>
      <c r="G15" s="47">
        <v>11</v>
      </c>
      <c r="H15" s="133">
        <f>IF(B$17=0,0,G15/B$17)</f>
        <v>3.3536585365853661E-2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105</v>
      </c>
      <c r="C16" s="37">
        <f>IF(B$14=0,0,B16/B$14)</f>
        <v>0.51470588235294112</v>
      </c>
      <c r="E16" s="63" t="s">
        <v>180</v>
      </c>
      <c r="F16" s="60" t="s">
        <v>183</v>
      </c>
      <c r="G16" s="47">
        <v>10</v>
      </c>
      <c r="H16" s="133">
        <f>IF(B$17=0,0,G16/B$17)</f>
        <v>3.048780487804878E-2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33.517142857142858</v>
      </c>
      <c r="P16" s="119">
        <v>35</v>
      </c>
      <c r="Q16" s="107">
        <v>1173.1000000000001</v>
      </c>
    </row>
    <row r="17" spans="1:17" x14ac:dyDescent="0.4">
      <c r="A17" s="54" t="s">
        <v>10</v>
      </c>
      <c r="B17" s="46">
        <f>B19+B18</f>
        <v>328</v>
      </c>
      <c r="C17" s="37">
        <f>IF(B$3=0,0,B17/B$3)</f>
        <v>0.35230934479054782</v>
      </c>
      <c r="E17" s="63" t="s">
        <v>79</v>
      </c>
      <c r="F17" s="60" t="s">
        <v>34</v>
      </c>
      <c r="G17" s="47">
        <v>7</v>
      </c>
      <c r="H17" s="133">
        <f>IF(B$17=0,0,G17/B$17)</f>
        <v>2.1341463414634148E-2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32.806666666666665</v>
      </c>
      <c r="P17" s="119">
        <v>15</v>
      </c>
      <c r="Q17" s="107">
        <v>492.1</v>
      </c>
    </row>
    <row r="18" spans="1:17" x14ac:dyDescent="0.4">
      <c r="A18" s="55" t="s">
        <v>12</v>
      </c>
      <c r="B18" s="47">
        <v>138</v>
      </c>
      <c r="C18" s="39">
        <f>IF(B$17=0,0,B18/B$17)</f>
        <v>0.42073170731707316</v>
      </c>
      <c r="E18" s="63" t="s">
        <v>80</v>
      </c>
      <c r="F18" s="60" t="s">
        <v>35</v>
      </c>
      <c r="G18" s="47">
        <v>4</v>
      </c>
      <c r="H18" s="133">
        <f>IF(B$17=0,0,G18/B$17)</f>
        <v>1.2195121951219513E-2</v>
      </c>
      <c r="I18" s="94">
        <v>7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190</v>
      </c>
      <c r="C19" s="39">
        <f>IF(B$17=0,0,B19/B$17)</f>
        <v>0.57926829268292679</v>
      </c>
      <c r="E19" s="63" t="s">
        <v>92</v>
      </c>
      <c r="F19" s="60" t="s">
        <v>47</v>
      </c>
      <c r="G19" s="47">
        <v>4</v>
      </c>
      <c r="H19" s="133">
        <f>IF(B$17=0,0,G19/B$17)</f>
        <v>1.2195121951219513E-2</v>
      </c>
      <c r="I19" s="94">
        <v>5</v>
      </c>
      <c r="K19" s="38">
        <v>17</v>
      </c>
      <c r="L19" s="99">
        <v>427.40000000000003</v>
      </c>
      <c r="N19" s="115" t="s">
        <v>172</v>
      </c>
      <c r="O19" s="125">
        <f>IF(P19=0,0,Q19/P19)</f>
        <v>24.660000000000004</v>
      </c>
      <c r="P19" s="119">
        <v>30</v>
      </c>
      <c r="Q19" s="107">
        <v>739.80000000000007</v>
      </c>
    </row>
    <row r="20" spans="1:17" x14ac:dyDescent="0.4">
      <c r="A20" s="55" t="s">
        <v>13</v>
      </c>
      <c r="B20" s="47">
        <v>140</v>
      </c>
      <c r="C20" s="39">
        <f>IF(B$3=0,0,B20/B$3)</f>
        <v>0.15037593984962405</v>
      </c>
      <c r="E20" s="63" t="s">
        <v>74</v>
      </c>
      <c r="F20" s="60" t="s">
        <v>29</v>
      </c>
      <c r="G20" s="47">
        <v>2</v>
      </c>
      <c r="H20" s="133">
        <f>IF(B$17=0,0,G20/B$17)</f>
        <v>6.0975609756097563E-3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6</v>
      </c>
      <c r="E21" s="63" t="s">
        <v>76</v>
      </c>
      <c r="F21" s="60" t="s">
        <v>31</v>
      </c>
      <c r="G21" s="47">
        <v>1</v>
      </c>
      <c r="H21" s="133">
        <f>IF(B$17=0,0,G21/B$17)</f>
        <v>3.0487804878048782E-3</v>
      </c>
      <c r="I21" s="94">
        <v>7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14</v>
      </c>
      <c r="E22" s="63" t="s">
        <v>78</v>
      </c>
      <c r="F22" s="60" t="s">
        <v>33</v>
      </c>
      <c r="G22" s="47">
        <v>1</v>
      </c>
      <c r="H22" s="133">
        <f>IF(B$17=0,0,G22/B$17)</f>
        <v>3.0487804878048782E-3</v>
      </c>
      <c r="I22" s="94">
        <v>3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9069.8170731707323</v>
      </c>
      <c r="C23" s="41">
        <v>2974900</v>
      </c>
      <c r="E23" s="63" t="s">
        <v>86</v>
      </c>
      <c r="F23" s="60" t="s">
        <v>41</v>
      </c>
      <c r="G23" s="47">
        <v>1</v>
      </c>
      <c r="H23" s="133">
        <f>IF(B$17=0,0,G23/B$17)</f>
        <v>3.0487804878048782E-3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-1.1200000000000032</v>
      </c>
      <c r="P23" s="119">
        <v>40</v>
      </c>
      <c r="Q23" s="107">
        <v>-44.800000000000125</v>
      </c>
    </row>
    <row r="24" spans="1:17" x14ac:dyDescent="0.4">
      <c r="A24" s="57" t="s">
        <v>14</v>
      </c>
      <c r="B24" s="52">
        <f>IF(B$20=0,0,C24/B$20)</f>
        <v>-8390</v>
      </c>
      <c r="C24" s="45">
        <v>-1174600</v>
      </c>
      <c r="E24" s="63" t="s">
        <v>88</v>
      </c>
      <c r="F24" s="60" t="s">
        <v>43</v>
      </c>
      <c r="G24" s="47">
        <v>1</v>
      </c>
      <c r="H24" s="133">
        <f>IF(B$17=0,0,G24/B$17)</f>
        <v>3.0487804878048782E-3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3.0487804878048782E-3</v>
      </c>
      <c r="I25" s="94">
        <v>1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3.0487804878048782E-3</v>
      </c>
      <c r="I26" s="94">
        <v>5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1.0741138560687433E-3</v>
      </c>
      <c r="E27" s="63" t="s">
        <v>94</v>
      </c>
      <c r="F27" s="60" t="s">
        <v>49</v>
      </c>
      <c r="G27" s="47">
        <v>1</v>
      </c>
      <c r="H27" s="133">
        <f>IF(B$17=0,0,G27/B$17)</f>
        <v>3.0487804878048782E-3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3.0487804878048782E-3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229C-86BC-409E-B52A-E3FFDF9F9A2C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5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 t="shared" si="2"/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4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4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E2:I11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C3F7-AD8A-49EF-930C-3B88A1E3B7DD}">
  <sheetPr codeName="Sheet11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61</v>
      </c>
      <c r="C2" s="147"/>
      <c r="E2" s="62" t="s">
        <v>65</v>
      </c>
      <c r="F2" s="59" t="s">
        <v>21</v>
      </c>
      <c r="G2" s="46">
        <v>65</v>
      </c>
      <c r="H2" s="132">
        <f>IF(B$17=0,0,G2/B$17)</f>
        <v>0.57017543859649122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-2593.4426229508199</v>
      </c>
      <c r="P2" s="118">
        <v>61</v>
      </c>
      <c r="Q2" s="102">
        <v>-158200</v>
      </c>
    </row>
    <row r="3" spans="1:17" x14ac:dyDescent="0.4">
      <c r="A3" s="55" t="s">
        <v>8</v>
      </c>
      <c r="B3" s="148">
        <v>498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7.0175438596491224E-2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-1111.8644067796611</v>
      </c>
      <c r="P3" s="119">
        <v>59</v>
      </c>
      <c r="Q3" s="103">
        <v>-65600</v>
      </c>
    </row>
    <row r="4" spans="1:17" x14ac:dyDescent="0.4">
      <c r="A4" s="55" t="s">
        <v>6</v>
      </c>
      <c r="B4" s="150">
        <v>-924.1999999999997</v>
      </c>
      <c r="C4" s="151"/>
      <c r="E4" s="63" t="s">
        <v>67</v>
      </c>
      <c r="F4" s="60" t="s">
        <v>23</v>
      </c>
      <c r="G4" s="47">
        <v>103</v>
      </c>
      <c r="H4" s="133">
        <f>IF(B$17=0,0,G4/B$17)</f>
        <v>0.90350877192982459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-1116.3636363636363</v>
      </c>
      <c r="P4" s="119">
        <v>55</v>
      </c>
      <c r="Q4" s="103">
        <v>-61400</v>
      </c>
    </row>
    <row r="5" spans="1:17" x14ac:dyDescent="0.4">
      <c r="A5" s="55" t="s">
        <v>7</v>
      </c>
      <c r="B5" s="152">
        <f>IF(B$2=0,0,B$4/B$2)</f>
        <v>-15.150819672131142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0.35964912280701755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-5212.7659574468089</v>
      </c>
      <c r="P5" s="119">
        <v>47</v>
      </c>
      <c r="Q5" s="103">
        <v>-245000</v>
      </c>
    </row>
    <row r="6" spans="1:17" x14ac:dyDescent="0.4">
      <c r="A6" s="55" t="s">
        <v>1</v>
      </c>
      <c r="B6" s="142">
        <f>IF(B$2=0,0,(B$7*1+B$8*2+B$9*3)/B$2)</f>
        <v>2.2295081967213113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0.42105263157894735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-956.09756097560978</v>
      </c>
      <c r="P6" s="119">
        <v>41</v>
      </c>
      <c r="Q6" s="103">
        <v>-39200</v>
      </c>
    </row>
    <row r="7" spans="1:17" x14ac:dyDescent="0.4">
      <c r="A7" s="55" t="s">
        <v>2</v>
      </c>
      <c r="B7" s="47">
        <v>15</v>
      </c>
      <c r="C7" s="39">
        <f>IF(B$2=0,0,B7/B$2)</f>
        <v>0.24590163934426229</v>
      </c>
      <c r="E7" s="63" t="s">
        <v>70</v>
      </c>
      <c r="F7" s="60" t="s">
        <v>25</v>
      </c>
      <c r="G7" s="47">
        <v>25</v>
      </c>
      <c r="H7" s="133">
        <f>IF(B$17=0,0,G7/B$17)</f>
        <v>0.21929824561403508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-1786.8421052631579</v>
      </c>
      <c r="P7" s="120">
        <v>38</v>
      </c>
      <c r="Q7" s="104">
        <v>-67900</v>
      </c>
    </row>
    <row r="8" spans="1:17" x14ac:dyDescent="0.4">
      <c r="A8" s="55" t="s">
        <v>3</v>
      </c>
      <c r="B8" s="47">
        <v>17</v>
      </c>
      <c r="C8" s="39">
        <f>IF(B$2=0,0,B8/B$2)</f>
        <v>0.27868852459016391</v>
      </c>
      <c r="E8" s="63" t="s">
        <v>71</v>
      </c>
      <c r="F8" s="60" t="s">
        <v>26</v>
      </c>
      <c r="G8" s="47">
        <v>18</v>
      </c>
      <c r="H8" s="133">
        <f>IF(B$17=0,0,G8/B$17)</f>
        <v>0.15789473684210525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0.47540983606557374</v>
      </c>
      <c r="E9" s="63" t="s">
        <v>72</v>
      </c>
      <c r="F9" s="60" t="s">
        <v>27</v>
      </c>
      <c r="G9" s="47">
        <v>12</v>
      </c>
      <c r="H9" s="133">
        <f>IF(B$17=0,0,G9/B$17)</f>
        <v>0.10526315789473684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0.19672131147540983</v>
      </c>
      <c r="E10" s="63" t="s">
        <v>73</v>
      </c>
      <c r="F10" s="60" t="s">
        <v>28</v>
      </c>
      <c r="G10" s="47">
        <v>40</v>
      </c>
      <c r="H10" s="133">
        <f>IF(B$17=0,0,G10/B$17)</f>
        <v>0.35087719298245612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0.11475409836065574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8.1967213114754092E-2</v>
      </c>
      <c r="E12" s="63" t="s">
        <v>75</v>
      </c>
      <c r="F12" s="60" t="s">
        <v>30</v>
      </c>
      <c r="G12" s="47">
        <v>2</v>
      </c>
      <c r="H12" s="133">
        <f>IF(B$17=0,0,G12/B$17)</f>
        <v>1.7543859649122806E-2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132</v>
      </c>
      <c r="C13" s="44">
        <f>IF(B$3=0,0,B13/B$3)</f>
        <v>0.26506024096385544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0.16265060240963855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0.51515151515151514</v>
      </c>
      <c r="E15" s="63" t="s">
        <v>78</v>
      </c>
      <c r="F15" s="60" t="s">
        <v>33</v>
      </c>
      <c r="G15" s="47">
        <v>1</v>
      </c>
      <c r="H15" s="133">
        <f>IF(B$17=0,0,G15/B$17)</f>
        <v>8.771929824561403E-3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0.23456790123456789</v>
      </c>
      <c r="E16" s="63" t="s">
        <v>79</v>
      </c>
      <c r="F16" s="60" t="s">
        <v>34</v>
      </c>
      <c r="G16" s="47">
        <v>4</v>
      </c>
      <c r="H16" s="133">
        <f>IF(B$17=0,0,G16/B$17)</f>
        <v>3.5087719298245612E-2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 t="shared" si="2"/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0.2289156626506024</v>
      </c>
      <c r="E17" s="63" t="s">
        <v>80</v>
      </c>
      <c r="F17" s="60" t="s">
        <v>35</v>
      </c>
      <c r="G17" s="47">
        <v>1</v>
      </c>
      <c r="H17" s="133">
        <f>IF(B$17=0,0,G17/B$17)</f>
        <v>8.771929824561403E-3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56</v>
      </c>
      <c r="C18" s="39">
        <f>IF(B$17=0,0,B18/B$17)</f>
        <v>0.49122807017543857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-21.305555555555557</v>
      </c>
      <c r="P18" s="119">
        <v>18</v>
      </c>
      <c r="Q18" s="107">
        <v>-383.5</v>
      </c>
    </row>
    <row r="19" spans="1:17" x14ac:dyDescent="0.4">
      <c r="A19" s="55" t="s">
        <v>11</v>
      </c>
      <c r="B19" s="47">
        <v>58</v>
      </c>
      <c r="C19" s="39">
        <f>IF(B$17=0,0,B19/B$17)</f>
        <v>0.50877192982456143</v>
      </c>
      <c r="E19" s="63" t="s">
        <v>82</v>
      </c>
      <c r="F19" s="60" t="s">
        <v>37</v>
      </c>
      <c r="G19" s="47">
        <v>2</v>
      </c>
      <c r="H19" s="133">
        <f>IF(B$17=0,0,G19/B$17)</f>
        <v>1.7543859649122806E-2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96</v>
      </c>
      <c r="C20" s="39">
        <f>IF(B$3=0,0,B20/B$3)</f>
        <v>0.19277108433734941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-33.517142857142865</v>
      </c>
      <c r="P20" s="119">
        <v>35</v>
      </c>
      <c r="Q20" s="107">
        <v>-1173.1000000000004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4.3859649122807015E-2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 t="shared" si="2"/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-632.99999999999989</v>
      </c>
      <c r="N22" s="115" t="s">
        <v>186</v>
      </c>
      <c r="O22" s="125">
        <f t="shared" si="2"/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9149.1228070175439</v>
      </c>
      <c r="C23" s="41">
        <v>1043000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-9593.75</v>
      </c>
      <c r="C24" s="45">
        <v>-921000</v>
      </c>
      <c r="E24" s="63" t="s">
        <v>87</v>
      </c>
      <c r="F24" s="60" t="s">
        <v>42</v>
      </c>
      <c r="G24" s="47">
        <v>9</v>
      </c>
      <c r="H24" s="133">
        <f>IF(B$17=0,0,G24/B$17)</f>
        <v>7.8947368421052627E-2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8.771929824561403E-3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2.008032128514056E-3</v>
      </c>
      <c r="E27" s="63" t="s">
        <v>90</v>
      </c>
      <c r="F27" s="60" t="s">
        <v>45</v>
      </c>
      <c r="G27" s="47">
        <v>10</v>
      </c>
      <c r="H27" s="133">
        <f>IF(B$17=0,0,G27/B$17)</f>
        <v>8.771929824561403E-2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8.771929824561403E-3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1.7543859649122806E-2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43</v>
      </c>
      <c r="H51" s="134">
        <f>IF(B$17=0,0,G51/B$17)</f>
        <v>0.37719298245614036</v>
      </c>
      <c r="I51" s="95">
        <v>7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</sheetData>
  <sortState ref="E2:I6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72FD8-B0FD-4E76-AFE1-ED177855761E}">
  <sheetPr codeName="Sheet13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65</v>
      </c>
      <c r="F2" s="59" t="s">
        <v>21</v>
      </c>
      <c r="G2" s="46">
        <v>91</v>
      </c>
      <c r="H2" s="132">
        <f>IF(B$17=0,0,G2/B$17)</f>
        <v>0.55487804878048785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-795.6521739130435</v>
      </c>
      <c r="P2" s="118">
        <v>69</v>
      </c>
      <c r="Q2" s="102">
        <v>-54900</v>
      </c>
    </row>
    <row r="3" spans="1:17" x14ac:dyDescent="0.4">
      <c r="A3" s="55" t="s">
        <v>8</v>
      </c>
      <c r="B3" s="148">
        <v>590</v>
      </c>
      <c r="C3" s="149"/>
      <c r="E3" s="63" t="s">
        <v>66</v>
      </c>
      <c r="F3" s="60" t="s">
        <v>22</v>
      </c>
      <c r="G3" s="47">
        <v>22</v>
      </c>
      <c r="H3" s="133">
        <f>IF(B$17=0,0,G3/B$17)</f>
        <v>0.13414634146341464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854.41176470588232</v>
      </c>
      <c r="P3" s="119">
        <v>68</v>
      </c>
      <c r="Q3" s="103">
        <v>58100</v>
      </c>
    </row>
    <row r="4" spans="1:17" x14ac:dyDescent="0.4">
      <c r="A4" s="55" t="s">
        <v>6</v>
      </c>
      <c r="B4" s="150">
        <v>106.19999999999999</v>
      </c>
      <c r="C4" s="151"/>
      <c r="E4" s="63" t="s">
        <v>67</v>
      </c>
      <c r="F4" s="60" t="s">
        <v>23</v>
      </c>
      <c r="G4" s="47">
        <v>135</v>
      </c>
      <c r="H4" s="133">
        <f>IF(B$17=0,0,G4/B$17)</f>
        <v>0.82317073170731703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1390.7692307692307</v>
      </c>
      <c r="P4" s="119">
        <v>65</v>
      </c>
      <c r="Q4" s="103">
        <v>90400</v>
      </c>
    </row>
    <row r="5" spans="1:17" x14ac:dyDescent="0.4">
      <c r="A5" s="55" t="s">
        <v>7</v>
      </c>
      <c r="B5" s="152">
        <f>IF(B$2=0,0,B$4/B$2)</f>
        <v>1.5391304347826085</v>
      </c>
      <c r="C5" s="153"/>
      <c r="E5" s="63" t="s">
        <v>68</v>
      </c>
      <c r="F5" s="60" t="s">
        <v>24</v>
      </c>
      <c r="G5" s="47">
        <v>52</v>
      </c>
      <c r="H5" s="133">
        <f>IF(B$17=0,0,G5/B$17)</f>
        <v>0.31707317073170732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2243.6363636363635</v>
      </c>
      <c r="P5" s="119">
        <v>55</v>
      </c>
      <c r="Q5" s="103">
        <v>123400</v>
      </c>
    </row>
    <row r="6" spans="1:17" x14ac:dyDescent="0.4">
      <c r="A6" s="55" t="s">
        <v>1</v>
      </c>
      <c r="B6" s="142">
        <f>IF(B$2=0,0,(B$7*1+B$8*2+B$9*3)/B$2)</f>
        <v>2.0579710144927534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0.31097560975609756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-1202.0408163265306</v>
      </c>
      <c r="P6" s="119">
        <v>49</v>
      </c>
      <c r="Q6" s="103">
        <v>-58900</v>
      </c>
    </row>
    <row r="7" spans="1:17" x14ac:dyDescent="0.4">
      <c r="A7" s="55" t="s">
        <v>2</v>
      </c>
      <c r="B7" s="47">
        <v>20</v>
      </c>
      <c r="C7" s="39">
        <f>IF(B$2=0,0,B7/B$2)</f>
        <v>0.28985507246376813</v>
      </c>
      <c r="E7" s="63" t="s">
        <v>70</v>
      </c>
      <c r="F7" s="60" t="s">
        <v>25</v>
      </c>
      <c r="G7" s="47">
        <v>34</v>
      </c>
      <c r="H7" s="133">
        <f>IF(B$17=0,0,G7/B$17)</f>
        <v>0.2073170731707317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802.22222222222217</v>
      </c>
      <c r="P7" s="120">
        <v>45</v>
      </c>
      <c r="Q7" s="104">
        <v>36100</v>
      </c>
    </row>
    <row r="8" spans="1:17" x14ac:dyDescent="0.4">
      <c r="A8" s="55" t="s">
        <v>3</v>
      </c>
      <c r="B8" s="47">
        <v>25</v>
      </c>
      <c r="C8" s="39">
        <f>IF(B$2=0,0,B8/B$2)</f>
        <v>0.36231884057971014</v>
      </c>
      <c r="E8" s="63" t="s">
        <v>71</v>
      </c>
      <c r="F8" s="60" t="s">
        <v>26</v>
      </c>
      <c r="G8" s="47">
        <v>20</v>
      </c>
      <c r="H8" s="133">
        <f>IF(B$17=0,0,G8/B$17)</f>
        <v>0.12195121951219512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11</v>
      </c>
      <c r="H9" s="133">
        <f>IF(B$17=0,0,G9/B$17)</f>
        <v>6.7073170731707321E-2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73</v>
      </c>
      <c r="F10" s="60" t="s">
        <v>28</v>
      </c>
      <c r="G10" s="47">
        <v>81</v>
      </c>
      <c r="H10" s="133">
        <f>IF(B$17=0,0,G10/B$17)</f>
        <v>0.49390243902439024</v>
      </c>
      <c r="I10" s="94">
        <v>9</v>
      </c>
      <c r="K10" s="38">
        <v>8</v>
      </c>
      <c r="L10" s="99">
        <v>-1.7000000000000028</v>
      </c>
      <c r="N10" s="114" t="s">
        <v>164</v>
      </c>
      <c r="O10" s="124">
        <f>IF(P10=0,0,Q10/P10)</f>
        <v>7.625</v>
      </c>
      <c r="P10" s="118">
        <v>16</v>
      </c>
      <c r="Q10" s="106">
        <v>122</v>
      </c>
    </row>
    <row r="11" spans="1:17" x14ac:dyDescent="0.4">
      <c r="A11" s="56" t="s">
        <v>140</v>
      </c>
      <c r="B11" s="48">
        <v>9</v>
      </c>
      <c r="C11" s="40">
        <f>IF(B$2=0,0,B11/B$2)</f>
        <v>0.13043478260869565</v>
      </c>
      <c r="E11" s="63" t="s">
        <v>74</v>
      </c>
      <c r="F11" s="60" t="s">
        <v>29</v>
      </c>
      <c r="G11" s="47">
        <v>1</v>
      </c>
      <c r="H11" s="133">
        <f>IF(B$17=0,0,G11/B$17)</f>
        <v>6.0975609756097563E-3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4.569230769230769</v>
      </c>
      <c r="P12" s="120">
        <v>26</v>
      </c>
      <c r="Q12" s="108">
        <v>118.8</v>
      </c>
    </row>
    <row r="13" spans="1:17" x14ac:dyDescent="0.4">
      <c r="A13" s="58" t="s">
        <v>122</v>
      </c>
      <c r="B13" s="50">
        <v>164</v>
      </c>
      <c r="C13" s="44">
        <f>IF(B$3=0,0,B13/B$3)</f>
        <v>0.27796610169491526</v>
      </c>
      <c r="E13" s="63" t="s">
        <v>76</v>
      </c>
      <c r="F13" s="60" t="s">
        <v>31</v>
      </c>
      <c r="G13" s="47">
        <v>3</v>
      </c>
      <c r="H13" s="133">
        <f>IF(B$17=0,0,G13/B$17)</f>
        <v>1.8292682926829267E-2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0.1864406779661017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0.58536585365853655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44</v>
      </c>
      <c r="C16" s="37">
        <f>IF(B$14=0,0,B16/B$14)</f>
        <v>0.4</v>
      </c>
      <c r="E16" s="63" t="s">
        <v>79</v>
      </c>
      <c r="F16" s="60" t="s">
        <v>34</v>
      </c>
      <c r="G16" s="47">
        <v>7</v>
      </c>
      <c r="H16" s="133">
        <f>IF(B$17=0,0,G16/B$17)</f>
        <v>4.2682926829268296E-2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21.305555555555554</v>
      </c>
      <c r="P16" s="119">
        <v>18</v>
      </c>
      <c r="Q16" s="107">
        <v>383.49999999999994</v>
      </c>
    </row>
    <row r="17" spans="1:17" x14ac:dyDescent="0.4">
      <c r="A17" s="54" t="s">
        <v>10</v>
      </c>
      <c r="B17" s="46">
        <f>B19+B18</f>
        <v>164</v>
      </c>
      <c r="C17" s="37">
        <f>IF(B$3=0,0,B17/B$3)</f>
        <v>0.27796610169491526</v>
      </c>
      <c r="E17" s="63" t="s">
        <v>80</v>
      </c>
      <c r="F17" s="60" t="s">
        <v>35</v>
      </c>
      <c r="G17" s="47">
        <v>3</v>
      </c>
      <c r="H17" s="133">
        <f>IF(B$17=0,0,G17/B$17)</f>
        <v>1.8292682926829267E-2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71</v>
      </c>
      <c r="C18" s="39">
        <f>IF(B$17=0,0,B18/B$17)</f>
        <v>0.43292682926829268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2.5357142857142851</v>
      </c>
      <c r="P18" s="119">
        <v>14</v>
      </c>
      <c r="Q18" s="107">
        <v>35.499999999999993</v>
      </c>
    </row>
    <row r="19" spans="1:17" x14ac:dyDescent="0.4">
      <c r="A19" s="55" t="s">
        <v>11</v>
      </c>
      <c r="B19" s="47">
        <v>93</v>
      </c>
      <c r="C19" s="39">
        <f>IF(B$17=0,0,B19/B$17)</f>
        <v>0.56707317073170727</v>
      </c>
      <c r="E19" s="63" t="s">
        <v>82</v>
      </c>
      <c r="F19" s="60" t="s">
        <v>37</v>
      </c>
      <c r="G19" s="47">
        <v>6</v>
      </c>
      <c r="H19" s="133">
        <f>IF(B$17=0,0,G19/B$17)</f>
        <v>3.6585365853658534E-2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 t="shared" si="2"/>
        <v>1.1200000000000052</v>
      </c>
      <c r="P19" s="119">
        <v>40</v>
      </c>
      <c r="Q19" s="107">
        <v>44.80000000000021</v>
      </c>
    </row>
    <row r="20" spans="1:17" x14ac:dyDescent="0.4">
      <c r="A20" s="55" t="s">
        <v>13</v>
      </c>
      <c r="B20" s="47">
        <v>96</v>
      </c>
      <c r="C20" s="39">
        <f>IF(B$3=0,0,B20/B$3)</f>
        <v>0.16271186440677965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2"/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4.2682926829268296E-2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1.2195121951219513E-2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-26.43</v>
      </c>
      <c r="P22" s="119">
        <v>10</v>
      </c>
      <c r="Q22" s="107">
        <v>-264.3</v>
      </c>
    </row>
    <row r="23" spans="1:17" x14ac:dyDescent="0.4">
      <c r="A23" s="55" t="s">
        <v>5</v>
      </c>
      <c r="B23" s="51">
        <f>IF(B$17=0,0,C23/B$17)</f>
        <v>9756.707317073171</v>
      </c>
      <c r="C23" s="41">
        <v>1600100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-7819.791666666667</v>
      </c>
      <c r="C24" s="45">
        <v>-750700</v>
      </c>
      <c r="E24" s="63" t="s">
        <v>87</v>
      </c>
      <c r="F24" s="60" t="s">
        <v>42</v>
      </c>
      <c r="G24" s="47">
        <v>13</v>
      </c>
      <c r="H24" s="133">
        <f>IF(B$17=0,0,G24/B$17)</f>
        <v>7.926829268292683E-2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6.0975609756097563E-3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1.6949152542372881E-3</v>
      </c>
      <c r="E27" s="63" t="s">
        <v>90</v>
      </c>
      <c r="F27" s="60" t="s">
        <v>45</v>
      </c>
      <c r="G27" s="47">
        <v>24</v>
      </c>
      <c r="H27" s="133">
        <f>IF(B$17=0,0,G27/B$17)</f>
        <v>0.14634146341463414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1.8292682926829267E-2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1.2195121951219513E-2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6.0975609756097563E-3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1.2195121951219513E-2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61</v>
      </c>
      <c r="H51" s="134">
        <f>IF(B$17=0,0,G51/B$17)</f>
        <v>0.37195121951219512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</sheetData>
  <sortState ref="E2:I7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659D-4151-451A-AF0C-731FBD3E29FA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55</v>
      </c>
      <c r="C2" s="147"/>
      <c r="E2" s="62" t="s">
        <v>67</v>
      </c>
      <c r="F2" s="59" t="s">
        <v>23</v>
      </c>
      <c r="G2" s="46">
        <v>119</v>
      </c>
      <c r="H2" s="132">
        <f>IF(B$17=0,0,G2/B$17)</f>
        <v>0.6685393258426966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443.63636363636363</v>
      </c>
      <c r="P2" s="118">
        <v>55</v>
      </c>
      <c r="Q2" s="102">
        <v>24400</v>
      </c>
    </row>
    <row r="3" spans="1:17" x14ac:dyDescent="0.4">
      <c r="A3" s="55" t="s">
        <v>8</v>
      </c>
      <c r="B3" s="148">
        <v>484</v>
      </c>
      <c r="C3" s="149"/>
      <c r="E3" s="63" t="s">
        <v>73</v>
      </c>
      <c r="F3" s="60" t="s">
        <v>28</v>
      </c>
      <c r="G3" s="47">
        <v>104</v>
      </c>
      <c r="H3" s="133">
        <f>IF(B$17=0,0,G3/B$17)</f>
        <v>0.5842696629213483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363.63636363636363</v>
      </c>
      <c r="P3" s="119">
        <v>55</v>
      </c>
      <c r="Q3" s="103">
        <v>20000</v>
      </c>
    </row>
    <row r="4" spans="1:17" x14ac:dyDescent="0.4">
      <c r="A4" s="55" t="s">
        <v>6</v>
      </c>
      <c r="B4" s="150">
        <v>34.699999999999989</v>
      </c>
      <c r="C4" s="151"/>
      <c r="E4" s="63" t="s">
        <v>181</v>
      </c>
      <c r="F4" s="60" t="s">
        <v>182</v>
      </c>
      <c r="G4" s="47">
        <v>76</v>
      </c>
      <c r="H4" s="133">
        <f>IF(B$17=0,0,G4/B$17)</f>
        <v>0.42696629213483145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-778</v>
      </c>
      <c r="P4" s="119">
        <v>50</v>
      </c>
      <c r="Q4" s="103">
        <v>-38900</v>
      </c>
    </row>
    <row r="5" spans="1:17" x14ac:dyDescent="0.4">
      <c r="A5" s="55" t="s">
        <v>7</v>
      </c>
      <c r="B5" s="152">
        <f>IF(B$2=0,0,B$4/B$2)</f>
        <v>0.63090909090909075</v>
      </c>
      <c r="C5" s="153"/>
      <c r="E5" s="63" t="s">
        <v>65</v>
      </c>
      <c r="F5" s="60" t="s">
        <v>21</v>
      </c>
      <c r="G5" s="47">
        <v>62</v>
      </c>
      <c r="H5" s="133">
        <f>IF(B$17=0,0,G5/B$17)</f>
        <v>0.34831460674157305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357.44680851063828</v>
      </c>
      <c r="P5" s="119">
        <v>47</v>
      </c>
      <c r="Q5" s="103">
        <v>16800</v>
      </c>
    </row>
    <row r="6" spans="1:17" x14ac:dyDescent="0.4">
      <c r="A6" s="55" t="s">
        <v>1</v>
      </c>
      <c r="B6" s="142">
        <f>IF(B$2=0,0,(B$7*1+B$8*2+B$9*3)/B$2)</f>
        <v>2.0363636363636362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0.2696629213483146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552.17391304347825</v>
      </c>
      <c r="P6" s="119">
        <v>46</v>
      </c>
      <c r="Q6" s="103">
        <v>25400</v>
      </c>
    </row>
    <row r="7" spans="1:17" x14ac:dyDescent="0.4">
      <c r="A7" s="55" t="s">
        <v>2</v>
      </c>
      <c r="B7" s="47">
        <v>15</v>
      </c>
      <c r="C7" s="39">
        <f>IF(B$2=0,0,B7/B$2)</f>
        <v>0.27272727272727271</v>
      </c>
      <c r="E7" s="63" t="s">
        <v>68</v>
      </c>
      <c r="F7" s="60" t="s">
        <v>24</v>
      </c>
      <c r="G7" s="47">
        <v>31</v>
      </c>
      <c r="H7" s="133">
        <f>IF(B$17=0,0,G7/B$17)</f>
        <v>0.17415730337078653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23</v>
      </c>
      <c r="C8" s="39">
        <f>IF(B$2=0,0,B8/B$2)</f>
        <v>0.41818181818181815</v>
      </c>
      <c r="E8" s="63" t="s">
        <v>70</v>
      </c>
      <c r="F8" s="60" t="s">
        <v>25</v>
      </c>
      <c r="G8" s="47">
        <v>25</v>
      </c>
      <c r="H8" s="133">
        <f>IF(B$17=0,0,G8/B$17)</f>
        <v>0.1404494382022472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0.30909090909090908</v>
      </c>
      <c r="E9" s="63" t="s">
        <v>66</v>
      </c>
      <c r="F9" s="60" t="s">
        <v>22</v>
      </c>
      <c r="G9" s="47">
        <v>19</v>
      </c>
      <c r="H9" s="133">
        <f>IF(B$17=0,0,G9/B$17)</f>
        <v>0.10674157303370786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5.4545454545454543E-2</v>
      </c>
      <c r="E10" s="63" t="s">
        <v>72</v>
      </c>
      <c r="F10" s="60" t="s">
        <v>27</v>
      </c>
      <c r="G10" s="47">
        <v>13</v>
      </c>
      <c r="H10" s="133">
        <f>IF(B$17=0,0,G10/B$17)</f>
        <v>7.3033707865168537E-2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0.10909090909090909</v>
      </c>
      <c r="E11" s="63" t="s">
        <v>90</v>
      </c>
      <c r="F11" s="60" t="s">
        <v>45</v>
      </c>
      <c r="G11" s="47">
        <v>12</v>
      </c>
      <c r="H11" s="133">
        <f>IF(B$17=0,0,G11/B$17)</f>
        <v>6.741573033707865E-2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3.6363636363636362E-2</v>
      </c>
      <c r="E12" s="63" t="s">
        <v>71</v>
      </c>
      <c r="F12" s="60" t="s">
        <v>26</v>
      </c>
      <c r="G12" s="47">
        <v>10</v>
      </c>
      <c r="H12" s="133">
        <f>IF(B$17=0,0,G12/B$17)</f>
        <v>5.6179775280898875E-2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0.21694214876033058</v>
      </c>
      <c r="E13" s="63" t="s">
        <v>84</v>
      </c>
      <c r="F13" s="60" t="s">
        <v>39</v>
      </c>
      <c r="G13" s="47">
        <v>9</v>
      </c>
      <c r="H13" s="133">
        <f>IF(B$17=0,0,G13/B$17)</f>
        <v>5.0561797752808987E-2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143</v>
      </c>
      <c r="C14" s="39">
        <f>IF(B$3=0,0,B14/B$3)</f>
        <v>0.29545454545454547</v>
      </c>
      <c r="E14" s="63" t="s">
        <v>87</v>
      </c>
      <c r="F14" s="60" t="s">
        <v>42</v>
      </c>
      <c r="G14" s="47">
        <v>8</v>
      </c>
      <c r="H14" s="133">
        <f>IF(B$17=0,0,G14/B$17)</f>
        <v>4.49438202247191E-2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82</v>
      </c>
      <c r="F15" s="60" t="s">
        <v>37</v>
      </c>
      <c r="G15" s="47">
        <v>5</v>
      </c>
      <c r="H15" s="133">
        <f>IF(B$17=0,0,G15/B$17)</f>
        <v>2.8089887640449437E-2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63</v>
      </c>
      <c r="C16" s="37">
        <f>IF(B$14=0,0,B16/B$14)</f>
        <v>0.44055944055944057</v>
      </c>
      <c r="E16" s="63" t="s">
        <v>79</v>
      </c>
      <c r="F16" s="60" t="s">
        <v>34</v>
      </c>
      <c r="G16" s="47">
        <v>2</v>
      </c>
      <c r="H16" s="133">
        <f>IF(B$17=0,0,G16/B$17)</f>
        <v>1.1235955056179775E-2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178</v>
      </c>
      <c r="C17" s="37">
        <f>IF(B$3=0,0,B17/B$3)</f>
        <v>0.36776859504132231</v>
      </c>
      <c r="E17" s="63" t="s">
        <v>80</v>
      </c>
      <c r="F17" s="60" t="s">
        <v>35</v>
      </c>
      <c r="G17" s="47">
        <v>2</v>
      </c>
      <c r="H17" s="133">
        <f>IF(B$17=0,0,G17/B$17)</f>
        <v>1.1235955056179775E-2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>IF(P17=0,0,Q17/P17)</f>
        <v>22.142857142857142</v>
      </c>
      <c r="P17" s="119">
        <v>7</v>
      </c>
      <c r="Q17" s="107">
        <v>155</v>
      </c>
    </row>
    <row r="18" spans="1:17" x14ac:dyDescent="0.4">
      <c r="A18" s="55" t="s">
        <v>12</v>
      </c>
      <c r="B18" s="47">
        <v>75</v>
      </c>
      <c r="C18" s="39">
        <f>IF(B$17=0,0,B18/B$17)</f>
        <v>0.42134831460674155</v>
      </c>
      <c r="E18" s="63" t="s">
        <v>92</v>
      </c>
      <c r="F18" s="60" t="s">
        <v>47</v>
      </c>
      <c r="G18" s="47">
        <v>2</v>
      </c>
      <c r="H18" s="133">
        <f>IF(B$17=0,0,G18/B$17)</f>
        <v>1.1235955056179775E-2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103</v>
      </c>
      <c r="C19" s="39">
        <f>IF(B$17=0,0,B19/B$17)</f>
        <v>0.5786516853932584</v>
      </c>
      <c r="E19" s="63" t="s">
        <v>76</v>
      </c>
      <c r="F19" s="60" t="s">
        <v>31</v>
      </c>
      <c r="G19" s="47">
        <v>1</v>
      </c>
      <c r="H19" s="133">
        <f>IF(B$17=0,0,G19/B$17)</f>
        <v>5.6179775280898875E-3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0.13016528925619836</v>
      </c>
      <c r="E20" s="63" t="s">
        <v>88</v>
      </c>
      <c r="F20" s="60" t="s">
        <v>43</v>
      </c>
      <c r="G20" s="47">
        <v>1</v>
      </c>
      <c r="H20" s="133">
        <f>IF(B$17=0,0,G20/B$17)</f>
        <v>5.6179775280898875E-3</v>
      </c>
      <c r="I20" s="94">
        <v>3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19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6504.4943820224717</v>
      </c>
      <c r="C23" s="41">
        <v>1157800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-24.660000000000004</v>
      </c>
      <c r="P23" s="119">
        <v>30</v>
      </c>
      <c r="Q23" s="107">
        <v>-739.80000000000007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2.0661157024793389E-3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09FB-22CD-472F-9D42-8F15D3E41B1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FABF9-7CE8-42A4-AD4B-8F84ECF5496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0.5376344086021505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894.73684210526312</v>
      </c>
      <c r="P2" s="118">
        <v>38</v>
      </c>
      <c r="Q2" s="102">
        <v>34000</v>
      </c>
    </row>
    <row r="3" spans="1:17" x14ac:dyDescent="0.4">
      <c r="A3" s="55" t="s">
        <v>8</v>
      </c>
      <c r="B3" s="148">
        <v>319</v>
      </c>
      <c r="C3" s="149"/>
      <c r="E3" s="63" t="s">
        <v>67</v>
      </c>
      <c r="F3" s="60" t="s">
        <v>23</v>
      </c>
      <c r="G3" s="47">
        <v>50</v>
      </c>
      <c r="H3" s="133">
        <f>IF(B$17=0,0,G3/B$17)</f>
        <v>0.5376344086021505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138.88888888888889</v>
      </c>
      <c r="P3" s="119">
        <v>36</v>
      </c>
      <c r="Q3" s="103">
        <v>5000</v>
      </c>
    </row>
    <row r="4" spans="1:17" x14ac:dyDescent="0.4">
      <c r="A4" s="55" t="s">
        <v>6</v>
      </c>
      <c r="B4" s="150">
        <v>-18.79999999999999</v>
      </c>
      <c r="C4" s="151"/>
      <c r="E4" s="63" t="s">
        <v>73</v>
      </c>
      <c r="F4" s="60" t="s">
        <v>28</v>
      </c>
      <c r="G4" s="47">
        <v>50</v>
      </c>
      <c r="H4" s="133">
        <f>IF(B$17=0,0,G4/B$17)</f>
        <v>0.5376344086021505</v>
      </c>
      <c r="I4" s="94">
        <v>6</v>
      </c>
      <c r="K4" s="38">
        <v>2</v>
      </c>
      <c r="L4" s="99">
        <v>30</v>
      </c>
      <c r="N4" s="115" t="s">
        <v>134</v>
      </c>
      <c r="O4" s="122">
        <f t="shared" si="0"/>
        <v>-1514.7058823529412</v>
      </c>
      <c r="P4" s="119">
        <v>34</v>
      </c>
      <c r="Q4" s="103">
        <v>-51500</v>
      </c>
    </row>
    <row r="5" spans="1:17" x14ac:dyDescent="0.4">
      <c r="A5" s="55" t="s">
        <v>7</v>
      </c>
      <c r="B5" s="152">
        <f>IF(B$2=0,0,B$4/B$2)</f>
        <v>-0.49473684210526292</v>
      </c>
      <c r="C5" s="153"/>
      <c r="E5" s="63" t="s">
        <v>181</v>
      </c>
      <c r="F5" s="60" t="s">
        <v>182</v>
      </c>
      <c r="G5" s="47">
        <v>34</v>
      </c>
      <c r="H5" s="133">
        <f>IF(B$17=0,0,G5/B$17)</f>
        <v>0.36559139784946237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1724.2424242424242</v>
      </c>
      <c r="P5" s="119">
        <v>33</v>
      </c>
      <c r="Q5" s="103">
        <v>56900</v>
      </c>
    </row>
    <row r="6" spans="1:17" x14ac:dyDescent="0.4">
      <c r="A6" s="55" t="s">
        <v>1</v>
      </c>
      <c r="B6" s="142">
        <f>IF(B$2=0,0,(B$7*1+B$8*2+B$9*3)/B$2)</f>
        <v>1.9736842105263157</v>
      </c>
      <c r="C6" s="143"/>
      <c r="E6" s="63" t="s">
        <v>68</v>
      </c>
      <c r="F6" s="60" t="s">
        <v>24</v>
      </c>
      <c r="G6" s="47">
        <v>32</v>
      </c>
      <c r="H6" s="133">
        <f>IF(B$17=0,0,G6/B$17)</f>
        <v>0.34408602150537637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-1727.5862068965516</v>
      </c>
      <c r="P6" s="119">
        <v>29</v>
      </c>
      <c r="Q6" s="103">
        <v>-50100</v>
      </c>
    </row>
    <row r="7" spans="1:17" x14ac:dyDescent="0.4">
      <c r="A7" s="55" t="s">
        <v>2</v>
      </c>
      <c r="B7" s="47">
        <v>15</v>
      </c>
      <c r="C7" s="39">
        <f>IF(B$2=0,0,B7/B$2)</f>
        <v>0.39473684210526316</v>
      </c>
      <c r="E7" s="63" t="s">
        <v>69</v>
      </c>
      <c r="F7" s="60" t="s">
        <v>12</v>
      </c>
      <c r="G7" s="47">
        <v>26</v>
      </c>
      <c r="H7" s="133">
        <f>IF(B$17=0,0,G7/B$17)</f>
        <v>0.27956989247311825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212.5</v>
      </c>
      <c r="P7" s="120">
        <v>24</v>
      </c>
      <c r="Q7" s="104">
        <v>5100</v>
      </c>
    </row>
    <row r="8" spans="1:17" x14ac:dyDescent="0.4">
      <c r="A8" s="55" t="s">
        <v>3</v>
      </c>
      <c r="B8" s="47">
        <v>9</v>
      </c>
      <c r="C8" s="39">
        <f>IF(B$2=0,0,B8/B$2)</f>
        <v>0.23684210526315788</v>
      </c>
      <c r="E8" s="63" t="s">
        <v>70</v>
      </c>
      <c r="F8" s="60" t="s">
        <v>25</v>
      </c>
      <c r="G8" s="47">
        <v>12</v>
      </c>
      <c r="H8" s="133">
        <f>IF(B$17=0,0,G8/B$17)</f>
        <v>0.12903225806451613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0.36842105263157893</v>
      </c>
      <c r="E9" s="63" t="s">
        <v>90</v>
      </c>
      <c r="F9" s="60" t="s">
        <v>45</v>
      </c>
      <c r="G9" s="47">
        <v>12</v>
      </c>
      <c r="H9" s="133">
        <f>IF(B$17=0,0,G9/B$17)</f>
        <v>0.12903225806451613</v>
      </c>
      <c r="I9" s="94">
        <v>7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0.18421052631578946</v>
      </c>
      <c r="E10" s="63" t="s">
        <v>66</v>
      </c>
      <c r="F10" s="60" t="s">
        <v>22</v>
      </c>
      <c r="G10" s="47">
        <v>7</v>
      </c>
      <c r="H10" s="133">
        <f>IF(B$17=0,0,G10/B$17)</f>
        <v>7.5268817204301078E-2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3</v>
      </c>
      <c r="C11" s="40">
        <f>IF(B$2=0,0,B11/B$2)</f>
        <v>7.8947368421052627E-2</v>
      </c>
      <c r="E11" s="63" t="s">
        <v>71</v>
      </c>
      <c r="F11" s="60" t="s">
        <v>26</v>
      </c>
      <c r="G11" s="47">
        <v>7</v>
      </c>
      <c r="H11" s="133">
        <f>IF(B$17=0,0,G11/B$17)</f>
        <v>7.5268817204301078E-2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-3.3214285714285716</v>
      </c>
      <c r="P11" s="119">
        <v>14</v>
      </c>
      <c r="Q11" s="107">
        <v>-46.5</v>
      </c>
    </row>
    <row r="12" spans="1:17" x14ac:dyDescent="0.4">
      <c r="A12" s="57" t="s">
        <v>160</v>
      </c>
      <c r="B12" s="49">
        <v>4</v>
      </c>
      <c r="C12" s="42">
        <f>IF(B$2=0,0,B12/B$2)</f>
        <v>0.10526315789473684</v>
      </c>
      <c r="E12" s="63" t="s">
        <v>84</v>
      </c>
      <c r="F12" s="60" t="s">
        <v>39</v>
      </c>
      <c r="G12" s="47">
        <v>5</v>
      </c>
      <c r="H12" s="133">
        <f>IF(B$17=0,0,G12/B$17)</f>
        <v>5.3763440860215055E-2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73</v>
      </c>
      <c r="C13" s="44">
        <f>IF(B$3=0,0,B13/B$3)</f>
        <v>0.22884012539184953</v>
      </c>
      <c r="E13" s="63" t="s">
        <v>92</v>
      </c>
      <c r="F13" s="60" t="s">
        <v>47</v>
      </c>
      <c r="G13" s="47">
        <v>5</v>
      </c>
      <c r="H13" s="133">
        <f>IF(B$17=0,0,G13/B$17)</f>
        <v>5.3763440860215055E-2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0.21316614420062696</v>
      </c>
      <c r="E14" s="63" t="s">
        <v>72</v>
      </c>
      <c r="F14" s="60" t="s">
        <v>27</v>
      </c>
      <c r="G14" s="47">
        <v>3</v>
      </c>
      <c r="H14" s="133">
        <f>IF(B$17=0,0,G14/B$17)</f>
        <v>3.2258064516129031E-2</v>
      </c>
      <c r="I14" s="94">
        <v>10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49</v>
      </c>
      <c r="C15" s="37">
        <f>IF(B$13=0,0,B15/B$13)</f>
        <v>0.67123287671232879</v>
      </c>
      <c r="E15" s="63" t="s">
        <v>82</v>
      </c>
      <c r="F15" s="60" t="s">
        <v>37</v>
      </c>
      <c r="G15" s="47">
        <v>3</v>
      </c>
      <c r="H15" s="133">
        <f>IF(B$17=0,0,G15/B$17)</f>
        <v>3.2258064516129031E-2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0.36764705882352944</v>
      </c>
      <c r="E16" s="63" t="s">
        <v>79</v>
      </c>
      <c r="F16" s="60" t="s">
        <v>34</v>
      </c>
      <c r="G16" s="47">
        <v>2</v>
      </c>
      <c r="H16" s="133">
        <f>IF(B$17=0,0,G16/B$17)</f>
        <v>2.1505376344086023E-2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93</v>
      </c>
      <c r="C17" s="37">
        <f>IF(B$3=0,0,B17/B$3)</f>
        <v>0.29153605015673983</v>
      </c>
      <c r="E17" s="63" t="s">
        <v>80</v>
      </c>
      <c r="F17" s="60" t="s">
        <v>35</v>
      </c>
      <c r="G17" s="47">
        <v>2</v>
      </c>
      <c r="H17" s="133">
        <f>IF(B$17=0,0,G17/B$17)</f>
        <v>2.1505376344086023E-2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>IF(P17=0,0,Q17/P17)</f>
        <v>26.430000000000007</v>
      </c>
      <c r="P17" s="119">
        <v>10</v>
      </c>
      <c r="Q17" s="107">
        <v>264.30000000000007</v>
      </c>
    </row>
    <row r="18" spans="1:17" x14ac:dyDescent="0.4">
      <c r="A18" s="55" t="s">
        <v>12</v>
      </c>
      <c r="B18" s="47">
        <v>39</v>
      </c>
      <c r="C18" s="39">
        <f>IF(B$17=0,0,B18/B$17)</f>
        <v>0.41935483870967744</v>
      </c>
      <c r="E18" s="63" t="s">
        <v>86</v>
      </c>
      <c r="F18" s="60" t="s">
        <v>41</v>
      </c>
      <c r="G18" s="47">
        <v>2</v>
      </c>
      <c r="H18" s="133">
        <f>IF(B$17=0,0,G18/B$17)</f>
        <v>2.1505376344086023E-2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54</v>
      </c>
      <c r="C19" s="39">
        <f>IF(B$17=0,0,B19/B$17)</f>
        <v>0.58064516129032262</v>
      </c>
      <c r="E19" s="63" t="s">
        <v>87</v>
      </c>
      <c r="F19" s="60" t="s">
        <v>42</v>
      </c>
      <c r="G19" s="47">
        <v>2</v>
      </c>
      <c r="H19" s="133">
        <f>IF(B$17=0,0,G19/B$17)</f>
        <v>2.1505376344086023E-2</v>
      </c>
      <c r="I19" s="94">
        <v>10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53</v>
      </c>
      <c r="C20" s="39">
        <f>IF(B$3=0,0,B20/B$3)</f>
        <v>0.16614420062695925</v>
      </c>
      <c r="E20" s="63" t="s">
        <v>75</v>
      </c>
      <c r="F20" s="60" t="s">
        <v>30</v>
      </c>
      <c r="G20" s="47">
        <v>1</v>
      </c>
      <c r="H20" s="133">
        <f>IF(B$17=0,0,G20/B$17)</f>
        <v>1.0752688172043012E-2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1.0752688172043012E-2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-22.142857142857146</v>
      </c>
      <c r="P21" s="119">
        <v>7</v>
      </c>
      <c r="Q21" s="107">
        <v>-155.00000000000003</v>
      </c>
    </row>
    <row r="22" spans="1:17" x14ac:dyDescent="0.4">
      <c r="A22" s="55" t="s">
        <v>194</v>
      </c>
      <c r="B22" s="47">
        <v>21</v>
      </c>
      <c r="C22" s="135">
        <v>3</v>
      </c>
      <c r="E22" s="63" t="s">
        <v>77</v>
      </c>
      <c r="F22" s="60" t="s">
        <v>32</v>
      </c>
      <c r="G22" s="47">
        <v>1</v>
      </c>
      <c r="H22" s="133">
        <f>IF(B$17=0,0,G22/B$17)</f>
        <v>1.0752688172043012E-2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-32.806666666666665</v>
      </c>
      <c r="P22" s="119">
        <v>15</v>
      </c>
      <c r="Q22" s="107">
        <v>-492.1</v>
      </c>
    </row>
    <row r="23" spans="1:17" x14ac:dyDescent="0.4">
      <c r="A23" s="55" t="s">
        <v>5</v>
      </c>
      <c r="B23" s="51">
        <f>IF(B$17=0,0,C23/B$17)</f>
        <v>8673.1182795698933</v>
      </c>
      <c r="C23" s="41">
        <v>806600</v>
      </c>
      <c r="E23" s="63" t="s">
        <v>93</v>
      </c>
      <c r="F23" s="60" t="s">
        <v>48</v>
      </c>
      <c r="G23" s="47">
        <v>1</v>
      </c>
      <c r="H23" s="133">
        <f>IF(B$17=0,0,G23/B$17)</f>
        <v>1.0752688172043012E-2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-7664.1509433962265</v>
      </c>
      <c r="C24" s="45">
        <v>-406200</v>
      </c>
      <c r="E24" s="63" t="s">
        <v>102</v>
      </c>
      <c r="F24" s="60" t="s">
        <v>57</v>
      </c>
      <c r="G24" s="47">
        <v>1</v>
      </c>
      <c r="H24" s="133">
        <f>IF(B$17=0,0,G24/B$17)</f>
        <v>1.0752688172043012E-2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6.269592476489028E-3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-27.099999999999994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7.2000000000000028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-49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BC1CF-0374-4EA0-9338-6F6985027CB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AD5-0CF3-48D9-8179-FAA40D486303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5181-6F0D-4772-A943-BD81E806EA5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DF5B-1485-41D0-8A6D-A075B331B9B5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8A78-DE13-4EDF-9C05-676A3B3D144C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05B2-547A-44B8-BFED-C5334432F938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250D-152D-43AD-9A20-4C9DF01799C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7E9B-5EDC-4A48-8206-3D8BB3D3165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1E4B-7B85-4330-BD0A-3AFB3F260948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3A1E-FC69-4889-B8D1-93BA76053CB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00E52-8993-4717-ABCE-37673FBC07C5}">
  <sheetPr codeName="Sheet20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DB2F-8DA1-44C3-BB6E-5A5DDAFDF703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B4280-FC21-4F99-B84D-8ACED24C0D9C}">
  <sheetPr codeName="Sheet16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F8895-0D0D-49A7-87C0-BCD8E2ACE6F2}">
  <sheetPr codeName="Sheet14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0072-237D-4E86-B80B-763E2CFA96AF}">
  <sheetPr codeName="Sheet12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3F9B-B361-4A60-80F9-FDEC77C4AA21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3CA8-89C2-4E57-A89F-3D812FC46049}">
  <sheetPr codeName="Sheet8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769F-778D-4520-9B40-DB3180FE2761}">
  <sheetPr codeName="Sheet6"/>
  <dimension ref="A1:Q1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2019-05-22T14:27:15Z</dcterms:modified>
</cp:coreProperties>
</file>