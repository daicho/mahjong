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21D5B6C6-A62E-4C0A-A01F-B2DC8DE2B25B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3" i="5465" l="1"/>
  <c r="O15" i="5471"/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8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1" i="5463" l="1"/>
  <c r="O17" i="5459"/>
  <c r="O21" i="5467"/>
  <c r="O18" i="5467"/>
  <c r="O18" i="5455" l="1"/>
  <c r="O19" i="5471"/>
  <c r="O20" i="5471" l="1"/>
  <c r="O16" i="5471"/>
  <c r="O15" i="5461"/>
  <c r="O20" i="5459"/>
  <c r="O17" i="5469" l="1"/>
  <c r="O22" i="5465"/>
  <c r="O15" i="5469"/>
  <c r="O22" i="5471"/>
  <c r="O15" i="5457"/>
  <c r="O20" i="5467"/>
  <c r="O18" i="5453"/>
  <c r="O21" i="5471"/>
  <c r="O17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20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4" i="5471"/>
  <c r="H17" i="5471"/>
  <c r="C17" i="5471"/>
  <c r="H10" i="5471"/>
  <c r="H2" i="5471"/>
  <c r="H9" i="5471"/>
  <c r="H3" i="5471"/>
  <c r="H14" i="5471"/>
  <c r="C18" i="5471"/>
  <c r="H8" i="5471"/>
  <c r="H21" i="5471"/>
  <c r="H6" i="5471"/>
  <c r="H12" i="5471"/>
  <c r="H16" i="5471"/>
  <c r="H7" i="5471"/>
  <c r="H15" i="5471"/>
  <c r="H20" i="5471"/>
  <c r="H22" i="5471"/>
  <c r="C19" i="5471"/>
  <c r="H23" i="5471"/>
  <c r="H24" i="5471"/>
  <c r="H26" i="5471"/>
  <c r="H29" i="5471"/>
  <c r="H31" i="5471"/>
  <c r="H35" i="5471"/>
  <c r="H38" i="5471"/>
  <c r="H42" i="5471"/>
  <c r="H46" i="5471"/>
  <c r="H50" i="5471"/>
  <c r="H32" i="5471"/>
  <c r="H36" i="5471"/>
  <c r="H39" i="5471"/>
  <c r="H43" i="5471"/>
  <c r="H47" i="5471"/>
  <c r="H51" i="5471"/>
  <c r="H13" i="5471"/>
  <c r="H18" i="5471"/>
  <c r="H25" i="5471"/>
  <c r="H27" i="5471"/>
  <c r="H11" i="5471"/>
  <c r="H33" i="5471"/>
  <c r="H19" i="5471"/>
  <c r="H40" i="5471"/>
  <c r="H44" i="5471"/>
  <c r="H48" i="5471"/>
  <c r="H5" i="5471"/>
  <c r="B23" i="5471"/>
  <c r="H28" i="5471"/>
  <c r="H30" i="5471"/>
  <c r="H34" i="5471"/>
  <c r="H37" i="5471"/>
  <c r="H41" i="5471"/>
  <c r="H45" i="5471"/>
  <c r="H49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17" i="5467" l="1"/>
  <c r="O20" i="5465"/>
  <c r="O16" i="5465"/>
  <c r="O17" i="5457"/>
  <c r="O18" i="5463" l="1"/>
  <c r="O17" i="5461"/>
  <c r="O17" i="5465"/>
  <c r="O18" i="5465"/>
  <c r="O15" i="5463" l="1"/>
  <c r="O16" i="5461"/>
  <c r="O22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2" i="5467"/>
  <c r="H28" i="5467"/>
  <c r="C19" i="5467"/>
  <c r="H14" i="5467"/>
  <c r="H23" i="5467"/>
  <c r="H36" i="5467"/>
  <c r="H40" i="5467"/>
  <c r="H43" i="5467"/>
  <c r="H47" i="5467"/>
  <c r="H51" i="5467"/>
  <c r="H9" i="5467"/>
  <c r="H7" i="5467"/>
  <c r="H12" i="5467"/>
  <c r="H21" i="5467"/>
  <c r="H19" i="5467"/>
  <c r="H17" i="5467"/>
  <c r="H31" i="5467"/>
  <c r="H13" i="5467"/>
  <c r="H10" i="5467"/>
  <c r="H24" i="5467"/>
  <c r="H37" i="5467"/>
  <c r="H25" i="5467"/>
  <c r="H44" i="5467"/>
  <c r="H48" i="5467"/>
  <c r="H4" i="5467"/>
  <c r="H6" i="5467"/>
  <c r="H26" i="5467"/>
  <c r="H27" i="5467"/>
  <c r="H15" i="5467"/>
  <c r="C18" i="5467"/>
  <c r="B23" i="5467"/>
  <c r="H32" i="5467"/>
  <c r="H20" i="5467"/>
  <c r="H34" i="5467"/>
  <c r="H38" i="5467"/>
  <c r="H41" i="5467"/>
  <c r="H45" i="5467"/>
  <c r="H49" i="5467"/>
  <c r="O19" i="5459" l="1"/>
  <c r="O19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19" i="5455"/>
  <c r="O17" i="5453"/>
  <c r="O19" i="5463"/>
  <c r="O18" i="5457"/>
  <c r="O19" i="5457"/>
  <c r="O19" i="5461"/>
  <c r="O22" i="5463"/>
  <c r="O23" i="5463"/>
  <c r="C27" i="5463"/>
  <c r="B24" i="5463"/>
  <c r="C20" i="5463"/>
  <c r="B17" i="5463"/>
  <c r="H50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21" i="5455"/>
  <c r="O23" i="5455"/>
  <c r="O20" i="5453"/>
  <c r="O21" i="5453"/>
  <c r="C17" i="5465" l="1"/>
  <c r="H2" i="5465"/>
  <c r="H3" i="5465"/>
  <c r="H4" i="5465"/>
  <c r="H8" i="5465"/>
  <c r="H4" i="5463"/>
  <c r="H2" i="5463"/>
  <c r="H4" i="5461"/>
  <c r="H2" i="5461"/>
  <c r="H30" i="5465"/>
  <c r="H43" i="5465"/>
  <c r="H22" i="5465"/>
  <c r="H24" i="5465"/>
  <c r="C19" i="5465"/>
  <c r="H17" i="5465"/>
  <c r="H32" i="5465"/>
  <c r="H36" i="5465"/>
  <c r="H40" i="5465"/>
  <c r="H44" i="5465"/>
  <c r="H48" i="5465"/>
  <c r="H19" i="5465"/>
  <c r="H27" i="5465"/>
  <c r="H35" i="5465"/>
  <c r="H51" i="5465"/>
  <c r="H11" i="5465"/>
  <c r="H6" i="5465"/>
  <c r="H12" i="5465"/>
  <c r="H21" i="5465"/>
  <c r="H16" i="5465"/>
  <c r="H26" i="5465"/>
  <c r="H28" i="5465"/>
  <c r="H13" i="5465"/>
  <c r="H9" i="5465"/>
  <c r="H33" i="5465"/>
  <c r="H37" i="5465"/>
  <c r="H41" i="5465"/>
  <c r="H45" i="5465"/>
  <c r="H49" i="5465"/>
  <c r="H5" i="5465"/>
  <c r="H25" i="5465"/>
  <c r="H29" i="5465"/>
  <c r="H18" i="5465"/>
  <c r="H39" i="5465"/>
  <c r="H47" i="5465"/>
  <c r="H10" i="5465"/>
  <c r="H7" i="5465"/>
  <c r="H14" i="5465"/>
  <c r="H23" i="5465"/>
  <c r="H15" i="5465"/>
  <c r="C18" i="5465"/>
  <c r="B23" i="5465"/>
  <c r="H20" i="5465"/>
  <c r="H31" i="5465"/>
  <c r="H34" i="5465"/>
  <c r="H38" i="5465"/>
  <c r="H42" i="5465"/>
  <c r="H46" i="5465"/>
  <c r="H50" i="5465"/>
  <c r="H22" i="5463"/>
  <c r="C17" i="5463"/>
  <c r="H39" i="5463"/>
  <c r="H31" i="5463"/>
  <c r="H25" i="5463"/>
  <c r="H9" i="5463"/>
  <c r="H12" i="5463"/>
  <c r="H14" i="5463"/>
  <c r="H3" i="5463"/>
  <c r="H6" i="5463"/>
  <c r="H11" i="5463"/>
  <c r="H17" i="5463"/>
  <c r="H47" i="5463"/>
  <c r="H5" i="5463"/>
  <c r="H8" i="5463"/>
  <c r="H10" i="5463"/>
  <c r="H10" i="5461"/>
  <c r="H16" i="5463"/>
  <c r="C18" i="5463"/>
  <c r="B23" i="5463"/>
  <c r="H32" i="5463"/>
  <c r="H40" i="5463"/>
  <c r="H48" i="5463"/>
  <c r="H19" i="5463"/>
  <c r="H27" i="5463"/>
  <c r="H35" i="5463"/>
  <c r="H43" i="5463"/>
  <c r="H51" i="5463"/>
  <c r="H24" i="5463"/>
  <c r="H28" i="5463"/>
  <c r="H36" i="5463"/>
  <c r="H44" i="5463"/>
  <c r="H52" i="5463"/>
  <c r="H18" i="5463"/>
  <c r="H20" i="5463"/>
  <c r="H23" i="5463"/>
  <c r="H26" i="5463"/>
  <c r="H29" i="5463"/>
  <c r="H33" i="5463"/>
  <c r="H37" i="5463"/>
  <c r="H41" i="5463"/>
  <c r="H45" i="5463"/>
  <c r="H49" i="5463"/>
  <c r="H7" i="5463"/>
  <c r="H13" i="5463"/>
  <c r="H15" i="5463"/>
  <c r="C19" i="5463"/>
  <c r="H21" i="5463"/>
  <c r="H30" i="5463"/>
  <c r="H34" i="5463"/>
  <c r="H38" i="5463"/>
  <c r="H42" i="5463"/>
  <c r="H46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1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2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8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6" i="5457" l="1"/>
  <c r="H4" i="5457"/>
  <c r="H21" i="5457"/>
  <c r="H2" i="5457"/>
  <c r="H12" i="5459"/>
  <c r="H6" i="5459"/>
  <c r="H44" i="5459"/>
  <c r="H11" i="5459"/>
  <c r="H5" i="5459"/>
  <c r="H30" i="5459"/>
  <c r="H9" i="5459"/>
  <c r="C17" i="5459"/>
  <c r="H23" i="5455"/>
  <c r="H13" i="5455"/>
  <c r="H38" i="5455"/>
  <c r="H4" i="5455"/>
  <c r="H2" i="5455"/>
  <c r="H7" i="5455"/>
  <c r="H30" i="5455"/>
  <c r="B23" i="5455"/>
  <c r="H10" i="5455"/>
  <c r="H40" i="5459"/>
  <c r="H17" i="5459"/>
  <c r="H22" i="5459"/>
  <c r="H19" i="5459"/>
  <c r="H48" i="5459"/>
  <c r="H3" i="5459"/>
  <c r="H2" i="5459"/>
  <c r="H10" i="5459"/>
  <c r="H16" i="5459"/>
  <c r="H13" i="5459"/>
  <c r="H36" i="5459"/>
  <c r="H4" i="5459"/>
  <c r="H28" i="5459"/>
  <c r="H29" i="5459"/>
  <c r="H31" i="5459"/>
  <c r="H23" i="5459"/>
  <c r="H24" i="5459"/>
  <c r="H34" i="5459"/>
  <c r="H38" i="5459"/>
  <c r="H42" i="5459"/>
  <c r="H46" i="5459"/>
  <c r="H50" i="5459"/>
  <c r="H8" i="5459"/>
  <c r="H20" i="5459"/>
  <c r="H21" i="5459"/>
  <c r="C19" i="5459"/>
  <c r="H15" i="5459"/>
  <c r="H25" i="5459"/>
  <c r="H35" i="5459"/>
  <c r="H39" i="5459"/>
  <c r="H43" i="5459"/>
  <c r="H47" i="5459"/>
  <c r="H51" i="5459"/>
  <c r="H7" i="5459"/>
  <c r="H26" i="5459"/>
  <c r="H27" i="5459"/>
  <c r="H14" i="5459"/>
  <c r="C18" i="5459"/>
  <c r="B23" i="5459"/>
  <c r="H18" i="5459"/>
  <c r="H32" i="5459"/>
  <c r="H33" i="5459"/>
  <c r="H37" i="5459"/>
  <c r="H41" i="5459"/>
  <c r="H45" i="5459"/>
  <c r="H49" i="5459"/>
  <c r="H8" i="5457"/>
  <c r="C18" i="5457"/>
  <c r="H14" i="5457"/>
  <c r="H5" i="5457"/>
  <c r="H11" i="5457"/>
  <c r="H39" i="5457"/>
  <c r="H22" i="5457"/>
  <c r="H27" i="5457"/>
  <c r="H15" i="5457"/>
  <c r="H47" i="5457"/>
  <c r="H10" i="5457"/>
  <c r="C19" i="5457"/>
  <c r="H43" i="5457"/>
  <c r="H7" i="5457"/>
  <c r="H13" i="5457"/>
  <c r="C17" i="5457"/>
  <c r="H19" i="5457"/>
  <c r="H31" i="5457"/>
  <c r="H3" i="5457"/>
  <c r="H6" i="5457"/>
  <c r="H9" i="5457"/>
  <c r="H12" i="5457"/>
  <c r="H17" i="5457"/>
  <c r="H24" i="5457"/>
  <c r="H35" i="5457"/>
  <c r="H51" i="5457"/>
  <c r="H18" i="5457"/>
  <c r="H20" i="5457"/>
  <c r="H23" i="5457"/>
  <c r="H26" i="5457"/>
  <c r="H29" i="5457"/>
  <c r="H33" i="5457"/>
  <c r="H37" i="5457"/>
  <c r="H41" i="5457"/>
  <c r="H45" i="5457"/>
  <c r="H49" i="5457"/>
  <c r="H30" i="5457"/>
  <c r="H34" i="5457"/>
  <c r="H38" i="5457"/>
  <c r="H42" i="5457"/>
  <c r="H46" i="5457"/>
  <c r="H50" i="5457"/>
  <c r="B23" i="5457"/>
  <c r="H25" i="5457"/>
  <c r="H28" i="5457"/>
  <c r="H32" i="5457"/>
  <c r="H36" i="5457"/>
  <c r="H40" i="5457"/>
  <c r="H44" i="5457"/>
  <c r="H48" i="5457"/>
  <c r="H2" i="5453"/>
  <c r="H3" i="5453"/>
  <c r="H4" i="5453"/>
  <c r="H37" i="5453"/>
  <c r="H11" i="5453"/>
  <c r="H33" i="5453"/>
  <c r="H12" i="5453"/>
  <c r="H15" i="5453"/>
  <c r="H25" i="5453"/>
  <c r="H7" i="5453"/>
  <c r="H22" i="5453"/>
  <c r="C18" i="5453"/>
  <c r="H46" i="5455"/>
  <c r="H6" i="5455"/>
  <c r="H11" i="5455"/>
  <c r="H3" i="5455"/>
  <c r="C18" i="5455"/>
  <c r="H52" i="5455"/>
  <c r="H21" i="5455"/>
  <c r="H31" i="5455"/>
  <c r="H16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7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9" i="5453"/>
  <c r="B23" i="5453"/>
  <c r="H26" i="5453"/>
  <c r="H49" i="5453"/>
  <c r="H50" i="5453"/>
  <c r="H16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3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4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<sst xmlns="http://schemas.openxmlformats.org/spreadsheetml/2006/main" count="3315" uniqueCount="259">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</sst>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全体!$K$2:$K$686</c:f>
              <c:numCache>
                <c:formatCode>General</c:formatCode>
                <c:ptCount val="6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</c:numCache>
            </c:numRef>
          </c:xVal>
          <c:yVal>
            <c:numRef>
              <c:f>全体!$L$2:$L$686</c:f>
              <c:numCache>
                <c:formatCode>\+0.0;\-0.0;\±0</c:formatCode>
                <c:ptCount val="68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  <c:pt idx="664">
                  <c:v>-58.700000000000017</c:v>
                </c:pt>
                <c:pt idx="665">
                  <c:v>-41.100000000000016</c:v>
                </c:pt>
                <c:pt idx="666">
                  <c:v>-1.0000000000000142</c:v>
                </c:pt>
                <c:pt idx="667">
                  <c:v>-2.9000000000000141</c:v>
                </c:pt>
                <c:pt idx="668">
                  <c:v>31.79999999999999</c:v>
                </c:pt>
                <c:pt idx="669">
                  <c:v>-1.0000000000000071</c:v>
                </c:pt>
                <c:pt idx="670">
                  <c:v>10.599999999999993</c:v>
                </c:pt>
                <c:pt idx="671">
                  <c:v>-44.800000000000004</c:v>
                </c:pt>
                <c:pt idx="672">
                  <c:v>-1.0000000000000071</c:v>
                </c:pt>
                <c:pt idx="673">
                  <c:v>-2.0000000000000071</c:v>
                </c:pt>
                <c:pt idx="674">
                  <c:v>-60.000000000000007</c:v>
                </c:pt>
                <c:pt idx="675">
                  <c:v>-1.0000000000000071</c:v>
                </c:pt>
                <c:pt idx="676">
                  <c:v>-2.3000000000000069</c:v>
                </c:pt>
                <c:pt idx="677">
                  <c:v>33.699999999999996</c:v>
                </c:pt>
                <c:pt idx="678">
                  <c:v>-1.0000000000000071</c:v>
                </c:pt>
                <c:pt idx="679">
                  <c:v>-8.4000000000000075</c:v>
                </c:pt>
                <c:pt idx="680">
                  <c:v>-72.100000000000009</c:v>
                </c:pt>
                <c:pt idx="681">
                  <c:v>-1.0000000000000142</c:v>
                </c:pt>
                <c:pt idx="682">
                  <c:v>75.999999999999986</c:v>
                </c:pt>
                <c:pt idx="683">
                  <c:v>-6.0000000000000142</c:v>
                </c:pt>
                <c:pt idx="684">
                  <c:v>-1.0000000000000142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-16.152716593245227</c:v>
                </c:pt>
                <c:pt idx="1">
                  <c:v>-6.0060060060060056</c:v>
                </c:pt>
                <c:pt idx="2">
                  <c:v>9.615384615384615</c:v>
                </c:pt>
                <c:pt idx="3">
                  <c:v>7.0546737213403876</c:v>
                </c:pt>
                <c:pt idx="4">
                  <c:v>-11.764705882352942</c:v>
                </c:pt>
                <c:pt idx="5">
                  <c:v>22.075055187637968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だいち!$K$2:$K$156</c:f>
              <c:numCache>
                <c:formatCode>General</c:formatCode>
                <c:ptCount val="1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</c:numCache>
            </c:numRef>
          </c:xVal>
          <c:yVal>
            <c:numRef>
              <c:f>だいち!$L$2:$L$156</c:f>
              <c:numCache>
                <c:formatCode>\+0.0;\-0.0;\±0</c:formatCode>
                <c:ptCount val="15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  <c:pt idx="150">
                  <c:v>1744.7000000000007</c:v>
                </c:pt>
                <c:pt idx="151">
                  <c:v>1788.5000000000007</c:v>
                </c:pt>
                <c:pt idx="152">
                  <c:v>1847.5000000000007</c:v>
                </c:pt>
                <c:pt idx="153">
                  <c:v>1812.8000000000006</c:v>
                </c:pt>
                <c:pt idx="154">
                  <c:v>1805.4000000000005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2143.7908496732025</c:v>
                </c:pt>
                <c:pt idx="1">
                  <c:v>1461.0738255033557</c:v>
                </c:pt>
                <c:pt idx="2">
                  <c:v>700.70422535211264</c:v>
                </c:pt>
                <c:pt idx="3">
                  <c:v>2350</c:v>
                </c:pt>
                <c:pt idx="4">
                  <c:v>187.82608695652175</c:v>
                </c:pt>
                <c:pt idx="5">
                  <c:v>879.79797979797979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りくと!$L$2:$L$128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144.44444444444446</c:v>
                </c:pt>
                <c:pt idx="1">
                  <c:v>-2159.8360655737706</c:v>
                </c:pt>
                <c:pt idx="2">
                  <c:v>378.81355932203388</c:v>
                </c:pt>
                <c:pt idx="3">
                  <c:v>-2.8846153846153846</c:v>
                </c:pt>
                <c:pt idx="4">
                  <c:v>187.09677419354838</c:v>
                </c:pt>
                <c:pt idx="5">
                  <c:v>330.23255813953489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ただ!$L$2:$L$93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-3180.2197802197802</c:v>
                </c:pt>
                <c:pt idx="1">
                  <c:v>-1131.4606741573034</c:v>
                </c:pt>
                <c:pt idx="2">
                  <c:v>-72.61904761904762</c:v>
                </c:pt>
                <c:pt idx="3">
                  <c:v>-4318.9189189189192</c:v>
                </c:pt>
                <c:pt idx="4">
                  <c:v>-552.2388059701492</c:v>
                </c:pt>
                <c:pt idx="5">
                  <c:v>-1223.3333333333333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-675.28089887640454</c:v>
                </c:pt>
                <c:pt idx="1">
                  <c:v>281.60919540229884</c:v>
                </c:pt>
                <c:pt idx="2">
                  <c:v>1300</c:v>
                </c:pt>
                <c:pt idx="3">
                  <c:v>862.31884057971013</c:v>
                </c:pt>
                <c:pt idx="4">
                  <c:v>-473.77049180327867</c:v>
                </c:pt>
                <c:pt idx="5">
                  <c:v>-285.71428571428572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630.76923076923072</c:v>
                </c:pt>
                <c:pt idx="1">
                  <c:v>-897.43589743589746</c:v>
                </c:pt>
                <c:pt idx="2">
                  <c:v>-1478.5714285714287</c:v>
                </c:pt>
                <c:pt idx="3">
                  <c:v>740.90909090909088</c:v>
                </c:pt>
                <c:pt idx="4">
                  <c:v>900</c:v>
                </c:pt>
                <c:pt idx="5">
                  <c:v>-372.22222222222223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ぱぱ!$L$2:$L$48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-2791.304347826087</c:v>
                </c:pt>
                <c:pt idx="1">
                  <c:v>2121.7391304347825</c:v>
                </c:pt>
                <c:pt idx="2">
                  <c:v>-865.11627906976742</c:v>
                </c:pt>
                <c:pt idx="3">
                  <c:v>-3805</c:v>
                </c:pt>
                <c:pt idx="4">
                  <c:v>-205.55555555555554</c:v>
                </c:pt>
                <c:pt idx="5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  <c:pt idx="63">
                  <c:v>345.6</c:v>
                </c:pt>
                <c:pt idx="64">
                  <c:v>287.60000000000002</c:v>
                </c:pt>
                <c:pt idx="65">
                  <c:v>323.60000000000002</c:v>
                </c:pt>
                <c:pt idx="66">
                  <c:v>328.6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1484.6153846153845</c:v>
                </c:pt>
                <c:pt idx="1">
                  <c:v>1085.483870967742</c:v>
                </c:pt>
                <c:pt idx="2">
                  <c:v>-752.72727272727275</c:v>
                </c:pt>
                <c:pt idx="3">
                  <c:v>2473.5849056603774</c:v>
                </c:pt>
                <c:pt idx="4">
                  <c:v>-1159.5744680851064</c:v>
                </c:pt>
                <c:pt idx="5">
                  <c:v>276.92307692307691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-1016.6666666666666</c:v>
                </c:pt>
                <c:pt idx="1">
                  <c:v>-1044.4444444444443</c:v>
                </c:pt>
                <c:pt idx="2">
                  <c:v>152.94117647058823</c:v>
                </c:pt>
                <c:pt idx="3">
                  <c:v>-4237.5</c:v>
                </c:pt>
                <c:pt idx="4">
                  <c:v>-243.75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いっしー2!$B$3:$B$21</c:f>
              <c:numCache>
                <c:formatCode>\+0.0;\-0.0;\±0</c:formatCode>
                <c:ptCount val="1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  <c:pt idx="16">
                  <c:v>-140.79999999999998</c:v>
                </c:pt>
                <c:pt idx="17">
                  <c:v>-204.5</c:v>
                </c:pt>
                <c:pt idx="18">
                  <c:v>-127.5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いっしー2!$C$3:$C$21</c:f>
              <c:numCache>
                <c:formatCode>\+0.0;\-0.0;\±0</c:formatCode>
                <c:ptCount val="19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  <c:pt idx="8">
                  <c:v>-21.3125</c:v>
                </c:pt>
                <c:pt idx="9">
                  <c:v>-25.344444444444445</c:v>
                </c:pt>
                <c:pt idx="10">
                  <c:v>-19.75</c:v>
                </c:pt>
                <c:pt idx="11">
                  <c:v>-14.654545454545454</c:v>
                </c:pt>
                <c:pt idx="12">
                  <c:v>-9.7166666666666668</c:v>
                </c:pt>
                <c:pt idx="13">
                  <c:v>-11.138461538461538</c:v>
                </c:pt>
                <c:pt idx="14">
                  <c:v>-9.9071428571428566</c:v>
                </c:pt>
                <c:pt idx="15">
                  <c:v>-5.6933333333333325</c:v>
                </c:pt>
                <c:pt idx="16">
                  <c:v>-8.7999999999999989</c:v>
                </c:pt>
                <c:pt idx="17">
                  <c:v>-12.029411764705882</c:v>
                </c:pt>
                <c:pt idx="18">
                  <c:v>-7.083333333333333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61988304093588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いっしー2!$D$3:$D$21</c:f>
              <c:numCache>
                <c:formatCode>0.00\ "位"</c:formatCode>
                <c:ptCount val="19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  <c:pt idx="8">
                  <c:v>2.375</c:v>
                </c:pt>
                <c:pt idx="9">
                  <c:v>2.4444444444444446</c:v>
                </c:pt>
                <c:pt idx="10">
                  <c:v>2.2999999999999998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2.1764705882352939</c:v>
                </c:pt>
                <c:pt idx="18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614035087719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いっしー2!$E$3:$E$21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257309941520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いっしー2!$F$3:$F$21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71345029239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いっしー2!$G$3:$G$21</c:f>
              <c:numCache>
                <c:formatCode>0.0%</c:formatCode>
                <c:ptCount val="19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  <c:pt idx="8">
                  <c:v>0.25</c:v>
                </c:pt>
                <c:pt idx="9">
                  <c:v>0.23076923076923078</c:v>
                </c:pt>
                <c:pt idx="10">
                  <c:v>0.23529411764705882</c:v>
                </c:pt>
                <c:pt idx="11">
                  <c:v>0.25531914893617019</c:v>
                </c:pt>
                <c:pt idx="12">
                  <c:v>0.26923076923076922</c:v>
                </c:pt>
                <c:pt idx="13">
                  <c:v>0.2767857142857143</c:v>
                </c:pt>
                <c:pt idx="14">
                  <c:v>0.28813559322033899</c:v>
                </c:pt>
                <c:pt idx="15">
                  <c:v>0.2857142857142857</c:v>
                </c:pt>
                <c:pt idx="16">
                  <c:v>0.27611940298507465</c:v>
                </c:pt>
                <c:pt idx="17">
                  <c:v>0.26241134751773049</c:v>
                </c:pt>
                <c:pt idx="18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0743874493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いっしー2!$H$3:$H$21</c:f>
              <c:numCache>
                <c:formatCode>0.0%</c:formatCode>
                <c:ptCount val="19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  <c:pt idx="8">
                  <c:v>0.25</c:v>
                </c:pt>
                <c:pt idx="9">
                  <c:v>0.26923076923076922</c:v>
                </c:pt>
                <c:pt idx="10">
                  <c:v>0.27058823529411763</c:v>
                </c:pt>
                <c:pt idx="11">
                  <c:v>0.25531914893617019</c:v>
                </c:pt>
                <c:pt idx="12">
                  <c:v>0.23076923076923078</c:v>
                </c:pt>
                <c:pt idx="13">
                  <c:v>0.23214285714285715</c:v>
                </c:pt>
                <c:pt idx="14">
                  <c:v>0.22033898305084745</c:v>
                </c:pt>
                <c:pt idx="15">
                  <c:v>0.21428571428571427</c:v>
                </c:pt>
                <c:pt idx="16">
                  <c:v>0.22388059701492538</c:v>
                </c:pt>
                <c:pt idx="17">
                  <c:v>0.23404255319148937</c:v>
                </c:pt>
                <c:pt idx="18">
                  <c:v>0.23129251700680273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1244491450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いっしー2!$I$3:$I$21</c:f>
              <c:numCache>
                <c:formatCode>0</c:formatCode>
                <c:ptCount val="19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  <c:pt idx="8">
                  <c:v>7364.7058823529414</c:v>
                </c:pt>
                <c:pt idx="9">
                  <c:v>7072.2222222222226</c:v>
                </c:pt>
                <c:pt idx="10">
                  <c:v>7365</c:v>
                </c:pt>
                <c:pt idx="11">
                  <c:v>7358.333333333333</c:v>
                </c:pt>
                <c:pt idx="12">
                  <c:v>7700</c:v>
                </c:pt>
                <c:pt idx="13">
                  <c:v>7577.4193548387093</c:v>
                </c:pt>
                <c:pt idx="14">
                  <c:v>7494.1176470588234</c:v>
                </c:pt>
                <c:pt idx="15">
                  <c:v>8300</c:v>
                </c:pt>
                <c:pt idx="16">
                  <c:v>8135.135135135135</c:v>
                </c:pt>
                <c:pt idx="17">
                  <c:v>8135.135135135135</c:v>
                </c:pt>
                <c:pt idx="18">
                  <c:v>8642.8571428571431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52.42030696576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いっしー2!$J$3:$J$21</c:f>
              <c:numCache>
                <c:formatCode>0</c:formatCode>
                <c:ptCount val="19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  <c:pt idx="8">
                  <c:v>-8323.5294117647063</c:v>
                </c:pt>
                <c:pt idx="9">
                  <c:v>-8233.3333333333339</c:v>
                </c:pt>
                <c:pt idx="10">
                  <c:v>-7686.95652173913</c:v>
                </c:pt>
                <c:pt idx="11">
                  <c:v>-7700</c:v>
                </c:pt>
                <c:pt idx="12">
                  <c:v>-7700</c:v>
                </c:pt>
                <c:pt idx="13">
                  <c:v>-8107.6923076923076</c:v>
                </c:pt>
                <c:pt idx="14">
                  <c:v>-8107.6923076923076</c:v>
                </c:pt>
                <c:pt idx="15">
                  <c:v>-8092.5925925925922</c:v>
                </c:pt>
                <c:pt idx="16">
                  <c:v>-8053.333333333333</c:v>
                </c:pt>
                <c:pt idx="17">
                  <c:v>-8387.878787878788</c:v>
                </c:pt>
                <c:pt idx="18">
                  <c:v>-8376.4705882352937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10.81932773109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いっしー2!$K$3:$K$21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883040935672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いっしー2!$L$3:$L$21</c:f>
              <c:numCache>
                <c:formatCode>0.0%</c:formatCode>
                <c:ptCount val="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5.5555555555555552E-2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883040935672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いっしー2!$M$3:$M$21</c:f>
              <c:numCache>
                <c:formatCode>0.0%</c:formatCode>
                <c:ptCount val="19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  <c:pt idx="8">
                  <c:v>0.17647058823529413</c:v>
                </c:pt>
                <c:pt idx="9">
                  <c:v>0.20512820512820512</c:v>
                </c:pt>
                <c:pt idx="10">
                  <c:v>0.21176470588235294</c:v>
                </c:pt>
                <c:pt idx="11">
                  <c:v>0.21276595744680851</c:v>
                </c:pt>
                <c:pt idx="12">
                  <c:v>0.23076923076923078</c:v>
                </c:pt>
                <c:pt idx="13">
                  <c:v>0.22321428571428573</c:v>
                </c:pt>
                <c:pt idx="14">
                  <c:v>0.23728813559322035</c:v>
                </c:pt>
                <c:pt idx="15">
                  <c:v>0.23015873015873015</c:v>
                </c:pt>
                <c:pt idx="16">
                  <c:v>0.23880597014925373</c:v>
                </c:pt>
                <c:pt idx="17">
                  <c:v>0.23404255319148937</c:v>
                </c:pt>
                <c:pt idx="18">
                  <c:v>0.24489795918367346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0274986779481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いっしー2!$N$3:$N$21</c:f>
              <c:numCache>
                <c:formatCode>0.0%</c:formatCode>
                <c:ptCount val="19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  <c:pt idx="8">
                  <c:v>0.22058823529411764</c:v>
                </c:pt>
                <c:pt idx="9">
                  <c:v>0.20512820512820512</c:v>
                </c:pt>
                <c:pt idx="10">
                  <c:v>0.2</c:v>
                </c:pt>
                <c:pt idx="11">
                  <c:v>0.21276595744680851</c:v>
                </c:pt>
                <c:pt idx="12">
                  <c:v>0.19230769230769232</c:v>
                </c:pt>
                <c:pt idx="13">
                  <c:v>0.21428571428571427</c:v>
                </c:pt>
                <c:pt idx="14">
                  <c:v>0.21186440677966101</c:v>
                </c:pt>
                <c:pt idx="15">
                  <c:v>0.21428571428571427</c:v>
                </c:pt>
                <c:pt idx="16">
                  <c:v>0.20895522388059701</c:v>
                </c:pt>
                <c:pt idx="17">
                  <c:v>0.21985815602836881</c:v>
                </c:pt>
                <c:pt idx="18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76890534108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いっしー2!$O$3:$O$21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  <c:pt idx="8">
                  <c:v>0.66666666666666663</c:v>
                </c:pt>
                <c:pt idx="9">
                  <c:v>0.5625</c:v>
                </c:pt>
                <c:pt idx="10">
                  <c:v>0.55555555555555558</c:v>
                </c:pt>
                <c:pt idx="11">
                  <c:v>0.6</c:v>
                </c:pt>
                <c:pt idx="12">
                  <c:v>0.625</c:v>
                </c:pt>
                <c:pt idx="13">
                  <c:v>0.64</c:v>
                </c:pt>
                <c:pt idx="14">
                  <c:v>0.6785714285714286</c:v>
                </c:pt>
                <c:pt idx="15">
                  <c:v>0.68965517241379315</c:v>
                </c:pt>
                <c:pt idx="16">
                  <c:v>0.625</c:v>
                </c:pt>
                <c:pt idx="17">
                  <c:v>0.60606060606060608</c:v>
                </c:pt>
                <c:pt idx="18">
                  <c:v>0.63888888888888884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35849056603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いっしー2!$P$3:$P$21</c:f>
              <c:numCache>
                <c:formatCode>0.0%</c:formatCode>
                <c:ptCount val="19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0.46666666666666667</c:v>
                </c:pt>
                <c:pt idx="9">
                  <c:v>0.4375</c:v>
                </c:pt>
                <c:pt idx="10">
                  <c:v>0.47058823529411764</c:v>
                </c:pt>
                <c:pt idx="11">
                  <c:v>0.45</c:v>
                </c:pt>
                <c:pt idx="12">
                  <c:v>0.45</c:v>
                </c:pt>
                <c:pt idx="13">
                  <c:v>0.45833333333333331</c:v>
                </c:pt>
                <c:pt idx="14">
                  <c:v>0.44</c:v>
                </c:pt>
                <c:pt idx="15">
                  <c:v>0.44444444444444442</c:v>
                </c:pt>
                <c:pt idx="16">
                  <c:v>0.42857142857142855</c:v>
                </c:pt>
                <c:pt idx="17">
                  <c:v>0.38709677419354838</c:v>
                </c:pt>
                <c:pt idx="18">
                  <c:v>0.42424242424242425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30434782608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いっしー2!$Q$1:$Q$2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いっしー2!$A$3:$A$21</c:f>
              <c:numCache>
                <c:formatCode>0\ "回"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いっしー2!$Q$3:$Q$21</c:f>
              <c:numCache>
                <c:formatCode>0.0%</c:formatCode>
                <c:ptCount val="19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  <c:pt idx="8">
                  <c:v>0.52941176470588236</c:v>
                </c:pt>
                <c:pt idx="9">
                  <c:v>0.55555555555555558</c:v>
                </c:pt>
                <c:pt idx="10">
                  <c:v>0.55000000000000004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0.5161290322580645</c:v>
                </c:pt>
                <c:pt idx="14">
                  <c:v>0.52941176470588236</c:v>
                </c:pt>
                <c:pt idx="15">
                  <c:v>0.5</c:v>
                </c:pt>
                <c:pt idx="16">
                  <c:v>0.51351351351351349</c:v>
                </c:pt>
                <c:pt idx="17">
                  <c:v>0.51351351351351349</c:v>
                </c:pt>
                <c:pt idx="18">
                  <c:v>0.47619047619047616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52302243211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8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43629.04078703704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5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5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5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684</v>
      </c>
    </row>
    <row r="2" spans="1:2" x14ac:dyDescent="0.4">
      <c r="A2" t="s">
        <v>127</v>
      </c>
      <c r="B2">
        <v>154</v>
      </c>
    </row>
    <row r="3" spans="1:2" x14ac:dyDescent="0.4">
      <c r="A3" t="s">
        <v>128</v>
      </c>
      <c r="B3">
        <v>126</v>
      </c>
    </row>
    <row r="4" spans="1:2" x14ac:dyDescent="0.4">
      <c r="A4" t="s">
        <v>129</v>
      </c>
      <c r="B4">
        <v>91</v>
      </c>
    </row>
    <row r="5" spans="1:2" x14ac:dyDescent="0.4">
      <c r="A5" t="s">
        <v>171</v>
      </c>
      <c r="B5">
        <v>89</v>
      </c>
    </row>
    <row r="6" spans="1:2" x14ac:dyDescent="0.4">
      <c r="A6" t="s">
        <v>172</v>
      </c>
      <c r="B6">
        <v>78</v>
      </c>
    </row>
    <row r="7" spans="1:2" x14ac:dyDescent="0.4">
      <c r="A7" t="s">
        <v>173</v>
      </c>
      <c r="B7">
        <v>46</v>
      </c>
    </row>
    <row r="8" spans="1:2" x14ac:dyDescent="0.4">
      <c r="A8" t="s">
        <v>177</v>
      </c>
      <c r="B8">
        <v>66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18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0.91986668426374418</v>
      </c>
      <c r="G2" s="159"/>
      <c r="H2" s="158">
        <v>0.69573021884797992</v>
      </c>
      <c r="I2" s="159"/>
      <c r="J2" s="158">
        <v>0.75350648244155516</v>
      </c>
      <c r="K2" s="159"/>
      <c r="L2" s="158">
        <v>0.7508842644156194</v>
      </c>
      <c r="M2" s="159"/>
      <c r="N2" s="158">
        <v>0.63524292925175474</v>
      </c>
      <c r="O2" s="159"/>
      <c r="P2" s="158">
        <v>0.14044245574562184</v>
      </c>
      <c r="Q2" s="159"/>
      <c r="R2" s="158">
        <v>0.45463765182084243</v>
      </c>
      <c r="S2" s="159"/>
      <c r="T2" s="158">
        <v>0.50954484070227146</v>
      </c>
      <c r="U2" s="159"/>
      <c r="V2" s="158">
        <v>0.42913776319347119</v>
      </c>
      <c r="W2" s="159"/>
      <c r="X2" s="158">
        <v>0.38310839321933593</v>
      </c>
      <c r="Y2" s="159"/>
      <c r="Z2" s="158">
        <v>0.15042312866611754</v>
      </c>
      <c r="AA2" s="159"/>
      <c r="AB2" s="158">
        <v>0.32539668787709797</v>
      </c>
      <c r="AC2" s="159"/>
      <c r="AD2" s="158">
        <v>0.74285878710736519</v>
      </c>
      <c r="AE2" s="159"/>
      <c r="AF2" s="158">
        <v>-0.11066537923748877</v>
      </c>
      <c r="AG2" s="159"/>
      <c r="AH2" s="158">
        <v>0.23939599539919112</v>
      </c>
      <c r="AI2" s="159"/>
    </row>
    <row r="3" spans="1:35" x14ac:dyDescent="0.4">
      <c r="A3" s="74">
        <v>1</v>
      </c>
      <c r="B3" s="75" t="s">
        <v>127</v>
      </c>
      <c r="C3" s="76">
        <v>1805.4000000000005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0.34397446129289705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0.17532467532467533</v>
      </c>
      <c r="X3" s="77" t="s">
        <v>127</v>
      </c>
      <c r="Y3" s="80">
        <v>0.31364724660814047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0.51851851851851849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328.6</v>
      </c>
      <c r="D4" s="85" t="s">
        <v>222</v>
      </c>
      <c r="E4" s="97">
        <v>13.3</v>
      </c>
      <c r="F4" s="85" t="s">
        <v>127</v>
      </c>
      <c r="G4" s="86">
        <v>1.7532467532467533</v>
      </c>
      <c r="H4" s="85" t="s">
        <v>127</v>
      </c>
      <c r="I4" s="87">
        <v>0.48051948051948051</v>
      </c>
      <c r="J4" s="85" t="s">
        <v>222</v>
      </c>
      <c r="K4" s="87">
        <v>0</v>
      </c>
      <c r="L4" s="85" t="s">
        <v>172</v>
      </c>
      <c r="M4" s="88">
        <v>0.34384384384384387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0.13636363636363635</v>
      </c>
      <c r="X4" s="85" t="s">
        <v>128</v>
      </c>
      <c r="Y4" s="88">
        <v>0.29942418426103645</v>
      </c>
      <c r="Z4" s="85" t="s">
        <v>172</v>
      </c>
      <c r="AA4" s="88">
        <v>0.29129129129129128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11.723376623376627</v>
      </c>
      <c r="F5" s="85" t="s">
        <v>200</v>
      </c>
      <c r="G5" s="86">
        <v>1.8</v>
      </c>
      <c r="H5" s="85" t="s">
        <v>177</v>
      </c>
      <c r="I5" s="87">
        <v>0.40909090909090912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0.13813813813813813</v>
      </c>
      <c r="P5" s="85" t="s">
        <v>171</v>
      </c>
      <c r="Q5" s="89">
        <v>9831.2796208530799</v>
      </c>
      <c r="R5" s="85" t="s">
        <v>177</v>
      </c>
      <c r="S5" s="89">
        <v>-7539.2405063291135</v>
      </c>
      <c r="T5" s="85" t="s">
        <v>222</v>
      </c>
      <c r="U5" s="87">
        <v>0</v>
      </c>
      <c r="V5" s="85" t="s">
        <v>171</v>
      </c>
      <c r="W5" s="87">
        <v>0.1348314606741573</v>
      </c>
      <c r="X5" s="85" t="s">
        <v>177</v>
      </c>
      <c r="Y5" s="88">
        <v>0.29523809523809524</v>
      </c>
      <c r="Z5" s="85" t="s">
        <v>173</v>
      </c>
      <c r="AA5" s="88">
        <v>0.25569620253164554</v>
      </c>
      <c r="AB5" s="85" t="s">
        <v>177</v>
      </c>
      <c r="AC5" s="88">
        <v>0.64516129032258063</v>
      </c>
      <c r="AD5" s="85" t="s">
        <v>200</v>
      </c>
      <c r="AE5" s="88">
        <v>0.48</v>
      </c>
      <c r="AF5" s="85" t="s">
        <v>173</v>
      </c>
      <c r="AG5" s="88">
        <v>0.50862068965517238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32.000000000000028</v>
      </c>
      <c r="D6" s="85" t="s">
        <v>177</v>
      </c>
      <c r="E6" s="97">
        <v>4.9787878787878794</v>
      </c>
      <c r="F6" s="85" t="s">
        <v>177</v>
      </c>
      <c r="G6" s="86">
        <v>1.8636363636363635</v>
      </c>
      <c r="H6" s="85" t="s">
        <v>184</v>
      </c>
      <c r="I6" s="87">
        <v>0.3888888888888889</v>
      </c>
      <c r="J6" s="85" t="s">
        <v>127</v>
      </c>
      <c r="K6" s="87">
        <v>0.23376623376623376</v>
      </c>
      <c r="L6" s="85" t="s">
        <v>177</v>
      </c>
      <c r="M6" s="88">
        <v>0.30285714285714288</v>
      </c>
      <c r="N6" s="85" t="s">
        <v>177</v>
      </c>
      <c r="O6" s="88">
        <v>0.15047619047619049</v>
      </c>
      <c r="P6" s="85" t="s">
        <v>128</v>
      </c>
      <c r="Q6" s="89">
        <v>9241.7857142857138</v>
      </c>
      <c r="R6" s="85" t="s">
        <v>128</v>
      </c>
      <c r="S6" s="89">
        <v>-7806.7415730337079</v>
      </c>
      <c r="T6" s="85" t="s">
        <v>223</v>
      </c>
      <c r="U6" s="87">
        <v>0</v>
      </c>
      <c r="V6" s="85" t="s">
        <v>145</v>
      </c>
      <c r="W6" s="87">
        <v>0.11988304093567251</v>
      </c>
      <c r="X6" s="85" t="s">
        <v>171</v>
      </c>
      <c r="Y6" s="88">
        <v>0.29166666666666669</v>
      </c>
      <c r="Z6" s="85" t="s">
        <v>223</v>
      </c>
      <c r="AA6" s="88">
        <v>0.23529411764705882</v>
      </c>
      <c r="AB6" s="85" t="s">
        <v>184</v>
      </c>
      <c r="AC6" s="88">
        <v>0.63888888888888884</v>
      </c>
      <c r="AD6" s="85" t="s">
        <v>184</v>
      </c>
      <c r="AE6" s="88">
        <v>0.42424242424242425</v>
      </c>
      <c r="AF6" s="85" t="s">
        <v>222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1.9956140350877194</v>
      </c>
      <c r="H7" s="85" t="s">
        <v>145</v>
      </c>
      <c r="I7" s="87">
        <v>0.33625730994152048</v>
      </c>
      <c r="J7" s="85" t="s">
        <v>177</v>
      </c>
      <c r="K7" s="87">
        <v>0.27272727272727271</v>
      </c>
      <c r="L7" s="85" t="s">
        <v>145</v>
      </c>
      <c r="M7" s="88">
        <v>0.29860743874493212</v>
      </c>
      <c r="N7" s="85" t="s">
        <v>127</v>
      </c>
      <c r="O7" s="88">
        <v>0.15722266560255388</v>
      </c>
      <c r="P7" s="85" t="s">
        <v>127</v>
      </c>
      <c r="Q7" s="89">
        <v>9078.8863109048725</v>
      </c>
      <c r="R7" s="85" t="s">
        <v>127</v>
      </c>
      <c r="S7" s="89">
        <v>-8230.9644670050766</v>
      </c>
      <c r="T7" s="85" t="s">
        <v>172</v>
      </c>
      <c r="U7" s="87">
        <v>5.128205128205128E-2</v>
      </c>
      <c r="V7" s="85" t="s">
        <v>172</v>
      </c>
      <c r="W7" s="87">
        <v>0.11538461538461539</v>
      </c>
      <c r="X7" s="85" t="s">
        <v>129</v>
      </c>
      <c r="Y7" s="88">
        <v>0.28031290743155152</v>
      </c>
      <c r="Z7" s="85" t="s">
        <v>184</v>
      </c>
      <c r="AA7" s="88">
        <v>0.22448979591836735</v>
      </c>
      <c r="AB7" s="85" t="s">
        <v>183</v>
      </c>
      <c r="AC7" s="88">
        <v>0.6</v>
      </c>
      <c r="AD7" s="85" t="s">
        <v>172</v>
      </c>
      <c r="AE7" s="88">
        <v>0.42268041237113402</v>
      </c>
      <c r="AF7" s="85" t="s">
        <v>184</v>
      </c>
      <c r="AG7" s="88">
        <v>0.47619047619047616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0.35955056179775313</v>
      </c>
      <c r="F8" s="85" t="s">
        <v>222</v>
      </c>
      <c r="G8" s="86">
        <v>2</v>
      </c>
      <c r="H8" s="85" t="s">
        <v>171</v>
      </c>
      <c r="I8" s="87">
        <v>0.30337078651685395</v>
      </c>
      <c r="J8" s="85" t="s">
        <v>172</v>
      </c>
      <c r="K8" s="87">
        <v>0.30769230769230771</v>
      </c>
      <c r="L8" s="85" t="s">
        <v>223</v>
      </c>
      <c r="M8" s="88">
        <v>0.29411764705882354</v>
      </c>
      <c r="N8" s="85" t="s">
        <v>200</v>
      </c>
      <c r="O8" s="88">
        <v>0.16470588235294117</v>
      </c>
      <c r="P8" s="85" t="s">
        <v>177</v>
      </c>
      <c r="Q8" s="89">
        <v>8937.1069182389929</v>
      </c>
      <c r="R8" s="85" t="s">
        <v>173</v>
      </c>
      <c r="S8" s="89">
        <v>-8300</v>
      </c>
      <c r="T8" s="85" t="s">
        <v>127</v>
      </c>
      <c r="U8" s="87">
        <v>9.7402597402597407E-2</v>
      </c>
      <c r="V8" s="85" t="s">
        <v>129</v>
      </c>
      <c r="W8" s="87">
        <v>0.10989010989010989</v>
      </c>
      <c r="X8" s="85" t="s">
        <v>145</v>
      </c>
      <c r="Y8" s="88">
        <v>0.28027498677948176</v>
      </c>
      <c r="Z8" s="85" t="s">
        <v>127</v>
      </c>
      <c r="AA8" s="88">
        <v>0.2154828411811652</v>
      </c>
      <c r="AB8" s="85" t="s">
        <v>173</v>
      </c>
      <c r="AC8" s="88">
        <v>0.5842696629213483</v>
      </c>
      <c r="AD8" s="85" t="s">
        <v>171</v>
      </c>
      <c r="AE8" s="88">
        <v>0.41428571428571431</v>
      </c>
      <c r="AF8" s="85" t="s">
        <v>177</v>
      </c>
      <c r="AG8" s="88">
        <v>0.44654088050314467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-1.0000000000000142</v>
      </c>
      <c r="D9" s="85" t="s">
        <v>145</v>
      </c>
      <c r="E9" s="97">
        <v>-1.461988304093588E-3</v>
      </c>
      <c r="F9" s="85" t="s">
        <v>172</v>
      </c>
      <c r="G9" s="86">
        <v>2.0384615384615383</v>
      </c>
      <c r="H9" s="85" t="s">
        <v>200</v>
      </c>
      <c r="I9" s="87">
        <v>0.3</v>
      </c>
      <c r="J9" s="85" t="s">
        <v>145</v>
      </c>
      <c r="K9" s="87">
        <v>0.33187134502923976</v>
      </c>
      <c r="L9" s="85" t="s">
        <v>173</v>
      </c>
      <c r="M9" s="88">
        <v>0.29367088607594938</v>
      </c>
      <c r="N9" s="85" t="s">
        <v>145</v>
      </c>
      <c r="O9" s="88">
        <v>0.16781244491450731</v>
      </c>
      <c r="P9" s="85" t="s">
        <v>129</v>
      </c>
      <c r="Q9" s="89">
        <v>8782.7027027027034</v>
      </c>
      <c r="R9" s="85" t="s">
        <v>145</v>
      </c>
      <c r="S9" s="89">
        <v>-8310.8193277310929</v>
      </c>
      <c r="T9" s="85" t="s">
        <v>171</v>
      </c>
      <c r="U9" s="87">
        <v>0.10112359550561797</v>
      </c>
      <c r="V9" s="85" t="s">
        <v>128</v>
      </c>
      <c r="W9" s="87">
        <v>8.7301587301587297E-2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0.58333333333333337</v>
      </c>
      <c r="AD9" s="85" t="s">
        <v>145</v>
      </c>
      <c r="AE9" s="88">
        <v>0.39130434782608697</v>
      </c>
      <c r="AF9" s="85" t="s">
        <v>145</v>
      </c>
      <c r="AG9" s="88">
        <v>0.43152302243211332</v>
      </c>
      <c r="AH9" s="85" t="s">
        <v>184</v>
      </c>
      <c r="AI9" s="92">
        <v>92000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-0.49487179487179506</v>
      </c>
      <c r="F10" s="85" t="s">
        <v>171</v>
      </c>
      <c r="G10" s="86">
        <v>2.0449438202247192</v>
      </c>
      <c r="H10" s="85" t="s">
        <v>173</v>
      </c>
      <c r="I10" s="87">
        <v>0.28260869565217389</v>
      </c>
      <c r="J10" s="85" t="s">
        <v>171</v>
      </c>
      <c r="K10" s="87">
        <v>0.34831460674157305</v>
      </c>
      <c r="L10" s="85" t="s">
        <v>184</v>
      </c>
      <c r="M10" s="88">
        <v>0.2857142857142857</v>
      </c>
      <c r="N10" s="85" t="s">
        <v>128</v>
      </c>
      <c r="O10" s="88">
        <v>0.17082533589251439</v>
      </c>
      <c r="P10" s="85" t="s">
        <v>145</v>
      </c>
      <c r="Q10" s="89">
        <v>8652.4203069657615</v>
      </c>
      <c r="R10" s="85" t="s">
        <v>184</v>
      </c>
      <c r="S10" s="89">
        <v>-8376.4705882352937</v>
      </c>
      <c r="T10" s="85" t="s">
        <v>145</v>
      </c>
      <c r="U10" s="87">
        <v>0.11988304093567251</v>
      </c>
      <c r="V10" s="85" t="s">
        <v>173</v>
      </c>
      <c r="W10" s="87">
        <v>6.5217391304347824E-2</v>
      </c>
      <c r="X10" s="85" t="s">
        <v>184</v>
      </c>
      <c r="Y10" s="88">
        <v>0.24489795918367346</v>
      </c>
      <c r="Z10" s="85" t="s">
        <v>145</v>
      </c>
      <c r="AA10" s="88">
        <v>0.20676890534108938</v>
      </c>
      <c r="AB10" s="85" t="s">
        <v>145</v>
      </c>
      <c r="AC10" s="88">
        <v>0.57735849056603772</v>
      </c>
      <c r="AD10" s="85" t="s">
        <v>177</v>
      </c>
      <c r="AE10" s="88">
        <v>0.35483870967741937</v>
      </c>
      <c r="AF10" s="85" t="s">
        <v>129</v>
      </c>
      <c r="AG10" s="88">
        <v>0.42702702702702705</v>
      </c>
      <c r="AH10" s="85" t="s">
        <v>171</v>
      </c>
      <c r="AI10" s="92">
        <v>91700</v>
      </c>
    </row>
    <row r="11" spans="1:35" x14ac:dyDescent="0.4">
      <c r="A11" s="82">
        <v>9</v>
      </c>
      <c r="B11" s="83" t="s">
        <v>172</v>
      </c>
      <c r="C11" s="84">
        <v>-38.600000000000016</v>
      </c>
      <c r="D11" s="85" t="s">
        <v>128</v>
      </c>
      <c r="E11" s="97">
        <v>-3.4769841269841271</v>
      </c>
      <c r="F11" s="85" t="s">
        <v>128</v>
      </c>
      <c r="G11" s="86">
        <v>2.0952380952380953</v>
      </c>
      <c r="H11" s="85" t="s">
        <v>172</v>
      </c>
      <c r="I11" s="87">
        <v>0.26923076923076922</v>
      </c>
      <c r="J11" s="85" t="s">
        <v>128</v>
      </c>
      <c r="K11" s="87">
        <v>0.35714285714285715</v>
      </c>
      <c r="L11" s="85" t="s">
        <v>171</v>
      </c>
      <c r="M11" s="88">
        <v>0.28360215053763443</v>
      </c>
      <c r="N11" s="85" t="s">
        <v>171</v>
      </c>
      <c r="O11" s="88">
        <v>0.17473118279569894</v>
      </c>
      <c r="P11" s="85" t="s">
        <v>184</v>
      </c>
      <c r="Q11" s="89">
        <v>8642.8571428571431</v>
      </c>
      <c r="R11" s="85" t="s">
        <v>171</v>
      </c>
      <c r="S11" s="89">
        <v>-8504.6153846153848</v>
      </c>
      <c r="T11" s="85" t="s">
        <v>173</v>
      </c>
      <c r="U11" s="87">
        <v>0.13043478260869565</v>
      </c>
      <c r="V11" s="85" t="s">
        <v>184</v>
      </c>
      <c r="W11" s="87">
        <v>5.5555555555555552E-2</v>
      </c>
      <c r="X11" s="85" t="s">
        <v>200</v>
      </c>
      <c r="Y11" s="88">
        <v>0.23529411764705882</v>
      </c>
      <c r="Z11" s="85" t="s">
        <v>171</v>
      </c>
      <c r="AA11" s="88">
        <v>0.18817204301075269</v>
      </c>
      <c r="AB11" s="85" t="s">
        <v>127</v>
      </c>
      <c r="AC11" s="88">
        <v>0.5750636132315522</v>
      </c>
      <c r="AD11" s="85" t="s">
        <v>173</v>
      </c>
      <c r="AE11" s="88">
        <v>0.32673267326732675</v>
      </c>
      <c r="AF11" s="85" t="s">
        <v>128</v>
      </c>
      <c r="AG11" s="88">
        <v>0.42499999999999999</v>
      </c>
      <c r="AH11" s="85" t="s">
        <v>173</v>
      </c>
      <c r="AI11" s="92">
        <v>85900</v>
      </c>
    </row>
    <row r="12" spans="1:35" x14ac:dyDescent="0.4">
      <c r="A12" s="82">
        <v>10</v>
      </c>
      <c r="B12" s="83" t="s">
        <v>184</v>
      </c>
      <c r="C12" s="84">
        <v>-127.5</v>
      </c>
      <c r="D12" s="85" t="s">
        <v>184</v>
      </c>
      <c r="E12" s="97">
        <v>-7.083333333333333</v>
      </c>
      <c r="F12" s="85" t="s">
        <v>173</v>
      </c>
      <c r="G12" s="86">
        <v>2.1086956521739131</v>
      </c>
      <c r="H12" s="85" t="s">
        <v>128</v>
      </c>
      <c r="I12" s="87">
        <v>0.26190476190476192</v>
      </c>
      <c r="J12" s="85" t="s">
        <v>173</v>
      </c>
      <c r="K12" s="87">
        <v>0.39130434782608697</v>
      </c>
      <c r="L12" s="85" t="s">
        <v>128</v>
      </c>
      <c r="M12" s="88">
        <v>0.2687140115163148</v>
      </c>
      <c r="N12" s="85" t="s">
        <v>173</v>
      </c>
      <c r="O12" s="88">
        <v>0.189873417721519</v>
      </c>
      <c r="P12" s="85" t="s">
        <v>183</v>
      </c>
      <c r="Q12" s="89">
        <v>7860</v>
      </c>
      <c r="R12" s="85" t="s">
        <v>172</v>
      </c>
      <c r="S12" s="89">
        <v>-8579.347826086956</v>
      </c>
      <c r="T12" s="85" t="s">
        <v>128</v>
      </c>
      <c r="U12" s="87">
        <v>0.13492063492063491</v>
      </c>
      <c r="V12" s="85" t="s">
        <v>200</v>
      </c>
      <c r="W12" s="87">
        <v>0</v>
      </c>
      <c r="X12" s="85" t="s">
        <v>222</v>
      </c>
      <c r="Y12" s="88">
        <v>0.23076923076923078</v>
      </c>
      <c r="Z12" s="85" t="s">
        <v>177</v>
      </c>
      <c r="AA12" s="88">
        <v>0.17714285714285713</v>
      </c>
      <c r="AB12" s="85" t="s">
        <v>172</v>
      </c>
      <c r="AC12" s="88">
        <v>0.56338028169014087</v>
      </c>
      <c r="AD12" s="85" t="s">
        <v>128</v>
      </c>
      <c r="AE12" s="88">
        <v>0.28804347826086957</v>
      </c>
      <c r="AF12" s="85" t="s">
        <v>172</v>
      </c>
      <c r="AG12" s="88">
        <v>0.42358078602620086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-377.4</v>
      </c>
      <c r="D13" s="85" t="s">
        <v>173</v>
      </c>
      <c r="E13" s="97">
        <v>-8.2043478260869556</v>
      </c>
      <c r="F13" s="85" t="s">
        <v>184</v>
      </c>
      <c r="G13" s="86">
        <v>2.1111111111111112</v>
      </c>
      <c r="H13" s="85" t="s">
        <v>129</v>
      </c>
      <c r="I13" s="87">
        <v>0.25274725274725274</v>
      </c>
      <c r="J13" s="85" t="s">
        <v>129</v>
      </c>
      <c r="K13" s="87">
        <v>0.48351648351648352</v>
      </c>
      <c r="L13" s="85" t="s">
        <v>183</v>
      </c>
      <c r="M13" s="88">
        <v>0.26315789473684209</v>
      </c>
      <c r="N13" s="85" t="s">
        <v>129</v>
      </c>
      <c r="O13" s="88">
        <v>0.19035202086049544</v>
      </c>
      <c r="P13" s="85" t="s">
        <v>173</v>
      </c>
      <c r="Q13" s="89">
        <v>6945.6896551724139</v>
      </c>
      <c r="R13" s="85" t="s">
        <v>129</v>
      </c>
      <c r="S13" s="89">
        <v>-9189.7260273972606</v>
      </c>
      <c r="T13" s="85" t="s">
        <v>177</v>
      </c>
      <c r="U13" s="87">
        <v>0.15151515151515152</v>
      </c>
      <c r="V13" s="85" t="s">
        <v>183</v>
      </c>
      <c r="W13" s="87">
        <v>0</v>
      </c>
      <c r="X13" s="85" t="s">
        <v>173</v>
      </c>
      <c r="Y13" s="88">
        <v>0.22531645569620254</v>
      </c>
      <c r="Z13" s="85" t="s">
        <v>128</v>
      </c>
      <c r="AA13" s="88">
        <v>0.1765834932821497</v>
      </c>
      <c r="AB13" s="85" t="s">
        <v>171</v>
      </c>
      <c r="AC13" s="88">
        <v>0.56221198156682028</v>
      </c>
      <c r="AD13" s="85" t="s">
        <v>129</v>
      </c>
      <c r="AE13" s="88">
        <v>0.25</v>
      </c>
      <c r="AF13" s="85" t="s">
        <v>171</v>
      </c>
      <c r="AG13" s="88">
        <v>0.41232227488151657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-438.1</v>
      </c>
      <c r="D14" s="85" t="s">
        <v>223</v>
      </c>
      <c r="E14" s="97">
        <v>-12.35</v>
      </c>
      <c r="F14" s="85" t="s">
        <v>129</v>
      </c>
      <c r="G14" s="86">
        <v>2.2307692307692308</v>
      </c>
      <c r="H14" s="85" t="s">
        <v>222</v>
      </c>
      <c r="I14" s="87">
        <v>0</v>
      </c>
      <c r="J14" s="85" t="s">
        <v>184</v>
      </c>
      <c r="K14" s="87">
        <v>0.5</v>
      </c>
      <c r="L14" s="85" t="s">
        <v>129</v>
      </c>
      <c r="M14" s="88">
        <v>0.24119947848761408</v>
      </c>
      <c r="N14" s="85" t="s">
        <v>184</v>
      </c>
      <c r="O14" s="88">
        <v>0.23129251700680273</v>
      </c>
      <c r="P14" s="85" t="s">
        <v>172</v>
      </c>
      <c r="Q14" s="89">
        <v>6775.1091703056773</v>
      </c>
      <c r="R14" s="85" t="s">
        <v>222</v>
      </c>
      <c r="S14" s="89">
        <v>-12000</v>
      </c>
      <c r="T14" s="85" t="s">
        <v>129</v>
      </c>
      <c r="U14" s="87">
        <v>0.18681318681318682</v>
      </c>
      <c r="V14" s="85" t="s">
        <v>222</v>
      </c>
      <c r="W14" s="87">
        <v>0</v>
      </c>
      <c r="X14" s="85" t="s">
        <v>172</v>
      </c>
      <c r="Y14" s="88">
        <v>0.21321321321321321</v>
      </c>
      <c r="Z14" s="85" t="s">
        <v>129</v>
      </c>
      <c r="AA14" s="88">
        <v>0.16166883963494133</v>
      </c>
      <c r="AB14" s="85" t="s">
        <v>129</v>
      </c>
      <c r="AC14" s="88">
        <v>0.52093023255813953</v>
      </c>
      <c r="AD14" s="85" t="s">
        <v>223</v>
      </c>
      <c r="AE14" s="88">
        <v>0.25</v>
      </c>
      <c r="AF14" s="85" t="s">
        <v>127</v>
      </c>
      <c r="AG14" s="88">
        <v>0.41067285382830626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-1253.1000000000001</v>
      </c>
      <c r="D15" s="85" t="s">
        <v>129</v>
      </c>
      <c r="E15" s="97">
        <v>-13.770329670329671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200</v>
      </c>
      <c r="Q15" s="89">
        <v>6765.5172413793107</v>
      </c>
      <c r="R15" s="85" t="s">
        <v>223</v>
      </c>
      <c r="S15" s="89">
        <v>-12425</v>
      </c>
      <c r="T15" s="85" t="s">
        <v>184</v>
      </c>
      <c r="U15" s="87">
        <v>0.22222222222222221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684</v>
      </c>
      <c r="C2" s="151"/>
      <c r="E2" s="62" t="s">
        <v>67</v>
      </c>
      <c r="F2" s="59" t="s">
        <v>23</v>
      </c>
      <c r="G2" s="46">
        <v>1236</v>
      </c>
      <c r="H2" s="132">
        <f>IF(B$17=0,0,G2/B$17)</f>
        <v>0.72963400236127507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-16.152716593245227</v>
      </c>
      <c r="P2" s="118">
        <v>681</v>
      </c>
      <c r="Q2" s="102">
        <v>-11000</v>
      </c>
    </row>
    <row r="3" spans="1:17" x14ac:dyDescent="0.4">
      <c r="A3" s="55" t="s">
        <v>8</v>
      </c>
      <c r="B3" s="152">
        <v>5673</v>
      </c>
      <c r="C3" s="153"/>
      <c r="E3" s="63" t="s">
        <v>65</v>
      </c>
      <c r="F3" s="60" t="s">
        <v>21</v>
      </c>
      <c r="G3" s="47">
        <v>876</v>
      </c>
      <c r="H3" s="133">
        <f>IF(B$17=0,0,G3/B$17)</f>
        <v>0.51711924439197166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-6.0060060060060056</v>
      </c>
      <c r="P3" s="119">
        <v>666</v>
      </c>
      <c r="Q3" s="103">
        <v>-4000</v>
      </c>
    </row>
    <row r="4" spans="1:17" x14ac:dyDescent="0.4">
      <c r="A4" s="55" t="s">
        <v>6</v>
      </c>
      <c r="B4" s="154">
        <v>-1.0000000000000142</v>
      </c>
      <c r="C4" s="155"/>
      <c r="E4" s="63" t="s">
        <v>73</v>
      </c>
      <c r="F4" s="60" t="s">
        <v>28</v>
      </c>
      <c r="G4" s="47">
        <v>854</v>
      </c>
      <c r="H4" s="133">
        <f>IF(B$17=0,0,G4/B$17)</f>
        <v>0.50413223140495866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9.615384615384615</v>
      </c>
      <c r="P4" s="119">
        <v>624</v>
      </c>
      <c r="Q4" s="103">
        <v>6000</v>
      </c>
    </row>
    <row r="5" spans="1:17" x14ac:dyDescent="0.4">
      <c r="A5" s="55" t="s">
        <v>7</v>
      </c>
      <c r="B5" s="156">
        <f>IF(B$2=0,0,B$4/B$2)</f>
        <v>-1.461988304093588E-3</v>
      </c>
      <c r="C5" s="157"/>
      <c r="E5" s="63" t="s">
        <v>245</v>
      </c>
      <c r="F5" s="60" t="s">
        <v>246</v>
      </c>
      <c r="G5" s="47">
        <v>694</v>
      </c>
      <c r="H5" s="133">
        <f>IF(B$17=0,0,G5/B$17)</f>
        <v>0.40968122786304606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7.0546737213403876</v>
      </c>
      <c r="P5" s="119">
        <v>567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1.9956140350877194</v>
      </c>
      <c r="C6" s="147"/>
      <c r="E6" s="63" t="s">
        <v>69</v>
      </c>
      <c r="F6" s="60" t="s">
        <v>12</v>
      </c>
      <c r="G6" s="47">
        <v>529</v>
      </c>
      <c r="H6" s="133">
        <f>IF(B$17=0,0,G6/B$17)</f>
        <v>0.31227863046044863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-11.764705882352942</v>
      </c>
      <c r="P6" s="119">
        <v>510</v>
      </c>
      <c r="Q6" s="103">
        <v>-6000</v>
      </c>
    </row>
    <row r="7" spans="1:17" x14ac:dyDescent="0.4">
      <c r="A7" s="55" t="s">
        <v>2</v>
      </c>
      <c r="B7" s="47">
        <v>230</v>
      </c>
      <c r="C7" s="39">
        <f>IF(B$2=0,0,B7/B$2)</f>
        <v>0.33625730994152048</v>
      </c>
      <c r="E7" s="63" t="s">
        <v>68</v>
      </c>
      <c r="F7" s="60" t="s">
        <v>24</v>
      </c>
      <c r="G7" s="47">
        <v>516</v>
      </c>
      <c r="H7" s="133">
        <f>IF(B$17=0,0,G7/B$17)</f>
        <v>0.30460448642266824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22.075055187637968</v>
      </c>
      <c r="P7" s="120">
        <v>453</v>
      </c>
      <c r="Q7" s="104">
        <v>10000</v>
      </c>
    </row>
    <row r="8" spans="1:17" x14ac:dyDescent="0.4">
      <c r="A8" s="55" t="s">
        <v>3</v>
      </c>
      <c r="B8" s="47">
        <v>227</v>
      </c>
      <c r="C8" s="39">
        <f>IF(B$2=0,0,B8/B$2)</f>
        <v>0.33187134502923976</v>
      </c>
      <c r="E8" s="63" t="s">
        <v>70</v>
      </c>
      <c r="F8" s="60" t="s">
        <v>25</v>
      </c>
      <c r="G8" s="47">
        <v>298</v>
      </c>
      <c r="H8" s="133">
        <f>IF(B$17=0,0,G8/B$17)</f>
        <v>0.17591499409681227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227</v>
      </c>
      <c r="C9" s="40">
        <f t="shared" ref="C9" si="1">IF(B$2=0,0,B9/B$2)</f>
        <v>0.33187134502923976</v>
      </c>
      <c r="E9" s="63" t="s">
        <v>90</v>
      </c>
      <c r="F9" s="60" t="s">
        <v>45</v>
      </c>
      <c r="G9" s="47">
        <v>211</v>
      </c>
      <c r="H9" s="133">
        <f>IF(B$17=0,0,G9/B$17)</f>
        <v>0.12455726092089728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82</v>
      </c>
      <c r="C10" s="40">
        <f>IF(B$2=0,0,B10/B$2)</f>
        <v>0.11988304093567251</v>
      </c>
      <c r="E10" s="63" t="s">
        <v>66</v>
      </c>
      <c r="F10" s="60" t="s">
        <v>22</v>
      </c>
      <c r="G10" s="47">
        <v>202</v>
      </c>
      <c r="H10" s="133">
        <f>IF(B$17=0,0,G10/B$17)</f>
        <v>0.1192443919716647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-2.212719298245613</v>
      </c>
      <c r="P10" s="118">
        <v>228</v>
      </c>
      <c r="Q10" s="106">
        <v>-504.49999999999977</v>
      </c>
    </row>
    <row r="11" spans="1:17" x14ac:dyDescent="0.4">
      <c r="A11" s="56" t="s">
        <v>140</v>
      </c>
      <c r="B11" s="48">
        <v>82</v>
      </c>
      <c r="C11" s="40">
        <f>IF(B$2=0,0,B11/B$2)</f>
        <v>0.11988304093567251</v>
      </c>
      <c r="E11" s="63" t="s">
        <v>71</v>
      </c>
      <c r="F11" s="60" t="s">
        <v>26</v>
      </c>
      <c r="G11" s="47">
        <v>169</v>
      </c>
      <c r="H11" s="133">
        <f>IF(B$17=0,0,G11/B$17)</f>
        <v>9.9763872491145225E-2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0.6947368421052631</v>
      </c>
      <c r="P11" s="119">
        <v>228</v>
      </c>
      <c r="Q11" s="107">
        <v>158.39999999999998</v>
      </c>
    </row>
    <row r="12" spans="1:17" x14ac:dyDescent="0.4">
      <c r="A12" s="57" t="s">
        <v>160</v>
      </c>
      <c r="B12" s="49">
        <v>57</v>
      </c>
      <c r="C12" s="42">
        <f>IF(B$2=0,0,B12/B$2)</f>
        <v>8.3333333333333329E-2</v>
      </c>
      <c r="E12" s="63" t="s">
        <v>72</v>
      </c>
      <c r="F12" s="60" t="s">
        <v>27</v>
      </c>
      <c r="G12" s="47">
        <v>118</v>
      </c>
      <c r="H12" s="133">
        <f>IF(B$17=0,0,G12/B$17)</f>
        <v>6.9657615112160565E-2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1.5135964912280699</v>
      </c>
      <c r="P12" s="120">
        <v>228</v>
      </c>
      <c r="Q12" s="108">
        <v>345.09999999999997</v>
      </c>
    </row>
    <row r="13" spans="1:17" x14ac:dyDescent="0.4">
      <c r="A13" s="58" t="s">
        <v>122</v>
      </c>
      <c r="B13" s="50">
        <v>1590</v>
      </c>
      <c r="C13" s="44">
        <f>IF(B$3=0,0,B13/B$3)</f>
        <v>0.28027498677948176</v>
      </c>
      <c r="E13" s="63" t="s">
        <v>87</v>
      </c>
      <c r="F13" s="60" t="s">
        <v>42</v>
      </c>
      <c r="G13" s="47">
        <v>97</v>
      </c>
      <c r="H13" s="133">
        <f>IF(B$17=0,0,G13/B$17)</f>
        <v>5.7260920897284531E-2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1173</v>
      </c>
      <c r="C14" s="39">
        <f>IF(B$3=0,0,B14/B$3)</f>
        <v>0.20676890534108938</v>
      </c>
      <c r="E14" s="63" t="s">
        <v>84</v>
      </c>
      <c r="F14" s="60" t="s">
        <v>39</v>
      </c>
      <c r="G14" s="47">
        <v>84</v>
      </c>
      <c r="H14" s="133">
        <f>IF(B$17=0,0,G14/B$17)</f>
        <v>4.9586776859504134E-2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918</v>
      </c>
      <c r="C15" s="37">
        <f>IF(B$13=0,0,B15/B$13)</f>
        <v>0.57735849056603772</v>
      </c>
      <c r="E15" s="63" t="s">
        <v>79</v>
      </c>
      <c r="F15" s="60" t="s">
        <v>34</v>
      </c>
      <c r="G15" s="47">
        <v>46</v>
      </c>
      <c r="H15" s="133">
        <f>IF(B$17=0,0,G15/B$17)</f>
        <v>2.7154663518299881E-2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20.650000000000027</v>
      </c>
      <c r="P15" s="118">
        <v>182</v>
      </c>
      <c r="Q15" s="106">
        <v>3758.3000000000047</v>
      </c>
    </row>
    <row r="16" spans="1:17" x14ac:dyDescent="0.4">
      <c r="A16" s="54" t="s">
        <v>125</v>
      </c>
      <c r="B16" s="46">
        <v>459</v>
      </c>
      <c r="C16" s="37">
        <f>IF(B$14=0,0,B16/B$14)</f>
        <v>0.39130434782608697</v>
      </c>
      <c r="E16" s="63" t="s">
        <v>82</v>
      </c>
      <c r="F16" s="60" t="s">
        <v>37</v>
      </c>
      <c r="G16" s="47">
        <v>46</v>
      </c>
      <c r="H16" s="133">
        <f>IF(B$17=0,0,G16/B$17)</f>
        <v>2.7154663518299881E-2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1694</v>
      </c>
      <c r="C17" s="37">
        <f>IF(B$3=0,0,B17/B$3)</f>
        <v>0.29860743874493212</v>
      </c>
      <c r="E17" s="63" t="s">
        <v>92</v>
      </c>
      <c r="F17" s="60" t="s">
        <v>47</v>
      </c>
      <c r="G17" s="47">
        <v>33</v>
      </c>
      <c r="H17" s="133">
        <f>IF(B$17=0,0,G17/B$17)</f>
        <v>1.948051948051948E-2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12.306521739130433</v>
      </c>
      <c r="P17" s="119">
        <v>92</v>
      </c>
      <c r="Q17" s="107">
        <v>1132.1999999999998</v>
      </c>
    </row>
    <row r="18" spans="1:17" x14ac:dyDescent="0.4">
      <c r="A18" s="55" t="s">
        <v>12</v>
      </c>
      <c r="B18" s="47">
        <v>731</v>
      </c>
      <c r="C18" s="39">
        <f>IF(B$17=0,0,B18/B$17)</f>
        <v>0.43152302243211332</v>
      </c>
      <c r="E18" s="63" t="s">
        <v>180</v>
      </c>
      <c r="F18" s="60" t="s">
        <v>181</v>
      </c>
      <c r="G18" s="47">
        <v>26</v>
      </c>
      <c r="H18" s="133">
        <f>IF(B$17=0,0,G18/B$17)</f>
        <v>1.5348288075560802E-2</v>
      </c>
      <c r="I18" s="94">
        <v>5</v>
      </c>
      <c r="K18" s="38">
        <v>16</v>
      </c>
      <c r="L18" s="99">
        <v>90.899999999999991</v>
      </c>
      <c r="N18" s="115" t="s">
        <v>184</v>
      </c>
      <c r="O18" s="125">
        <f>IF(P18=0,0,Q18/P18)</f>
        <v>10.597222222222221</v>
      </c>
      <c r="P18" s="119">
        <v>36</v>
      </c>
      <c r="Q18" s="107">
        <v>381.5</v>
      </c>
    </row>
    <row r="19" spans="1:17" x14ac:dyDescent="0.4">
      <c r="A19" s="55" t="s">
        <v>11</v>
      </c>
      <c r="B19" s="47">
        <v>963</v>
      </c>
      <c r="C19" s="39">
        <f>IF(B$17=0,0,B19/B$17)</f>
        <v>0.56847697756788662</v>
      </c>
      <c r="E19" s="63" t="s">
        <v>80</v>
      </c>
      <c r="F19" s="60" t="s">
        <v>35</v>
      </c>
      <c r="G19" s="47">
        <v>25</v>
      </c>
      <c r="H19" s="133">
        <f>IF(B$17=0,0,G19/B$17)</f>
        <v>1.475796930342385E-2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5.2154761904761893</v>
      </c>
      <c r="P19" s="119">
        <v>252</v>
      </c>
      <c r="Q19" s="107">
        <v>1314.2999999999997</v>
      </c>
    </row>
    <row r="20" spans="1:17" x14ac:dyDescent="0.4">
      <c r="A20" s="55" t="s">
        <v>13</v>
      </c>
      <c r="B20" s="47">
        <v>952</v>
      </c>
      <c r="C20" s="39">
        <f>IF(B$3=0,0,B20/B$3)</f>
        <v>0.16781244491450731</v>
      </c>
      <c r="E20" s="63" t="s">
        <v>74</v>
      </c>
      <c r="F20" s="60" t="s">
        <v>29</v>
      </c>
      <c r="G20" s="47">
        <v>11</v>
      </c>
      <c r="H20" s="133">
        <f>IF(B$17=0,0,G20/B$17)</f>
        <v>6.4935064935064939E-3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0.74230769230769167</v>
      </c>
      <c r="P20" s="119">
        <v>156</v>
      </c>
      <c r="Q20" s="107">
        <v>115.7999999999999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10</v>
      </c>
      <c r="H21" s="133">
        <f>IF(B$17=0,0,G21/B$17)</f>
        <v>5.9031877213695395E-3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-0.53932584269662653</v>
      </c>
      <c r="P21" s="119">
        <v>178</v>
      </c>
      <c r="Q21" s="107">
        <v>-95.999999999999531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75</v>
      </c>
      <c r="F22" s="60" t="s">
        <v>30</v>
      </c>
      <c r="G22" s="47">
        <v>7</v>
      </c>
      <c r="H22" s="133">
        <f>IF(B$17=0,0,G22/B$17)</f>
        <v>4.1322314049586778E-3</v>
      </c>
      <c r="I22" s="94">
        <v>6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8652.4203069657615</v>
      </c>
      <c r="C23" s="41">
        <v>14657200</v>
      </c>
      <c r="E23" s="63" t="s">
        <v>86</v>
      </c>
      <c r="F23" s="60" t="s">
        <v>41</v>
      </c>
      <c r="G23" s="47">
        <v>7</v>
      </c>
      <c r="H23" s="133">
        <f>IF(B$17=0,0,G23/B$17)</f>
        <v>4.1322314049586778E-3</v>
      </c>
      <c r="I23" s="94">
        <v>3</v>
      </c>
      <c r="K23" s="38">
        <v>21</v>
      </c>
      <c r="L23" s="99">
        <v>-2.886579864025407E-15</v>
      </c>
      <c r="N23" s="115" t="s">
        <v>177</v>
      </c>
      <c r="O23" s="125">
        <f>IF(P23=0,0,Q23/P23)</f>
        <v>-7.4681818181818178</v>
      </c>
      <c r="P23" s="119">
        <v>132</v>
      </c>
      <c r="Q23" s="107">
        <v>-985.8</v>
      </c>
    </row>
    <row r="24" spans="1:17" x14ac:dyDescent="0.4">
      <c r="A24" s="57" t="s">
        <v>14</v>
      </c>
      <c r="B24" s="52">
        <f>IF(B$20=0,0,C24/B$20)</f>
        <v>-8310.8193277310929</v>
      </c>
      <c r="C24" s="45">
        <v>-7911900</v>
      </c>
      <c r="E24" s="63" t="s">
        <v>93</v>
      </c>
      <c r="F24" s="60" t="s">
        <v>48</v>
      </c>
      <c r="G24" s="47">
        <v>7</v>
      </c>
      <c r="H24" s="133">
        <f>IF(B$17=0,0,G24/B$17)</f>
        <v>4.1322314049586778E-3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-17.588311688311666</v>
      </c>
      <c r="P24" s="119">
        <v>308</v>
      </c>
      <c r="Q24" s="107">
        <v>-5417.1999999999935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3.5419126328217238E-3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3.5419126328217238E-3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2.4678300722721664E-3</v>
      </c>
      <c r="E27" s="63" t="s">
        <v>91</v>
      </c>
      <c r="F27" s="60" t="s">
        <v>46</v>
      </c>
      <c r="G27" s="47">
        <v>5</v>
      </c>
      <c r="H27" s="133">
        <f>IF(B$17=0,0,G27/B$17)</f>
        <v>2.9515938606847697E-3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2.3612750885478157E-3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2.3612750885478157E-3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1.1806375442739079E-3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1.1806375442739079E-3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5.9031877213695393E-4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5.9031877213695393E-4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  <row r="666" spans="11:12" x14ac:dyDescent="0.4">
      <c r="K666" s="38">
        <v>664</v>
      </c>
      <c r="L666" s="99">
        <v>-58.700000000000017</v>
      </c>
    </row>
    <row r="667" spans="11:12" x14ac:dyDescent="0.4">
      <c r="K667" s="38">
        <v>665</v>
      </c>
      <c r="L667" s="99">
        <v>-41.100000000000016</v>
      </c>
    </row>
    <row r="668" spans="11:12" x14ac:dyDescent="0.4">
      <c r="K668" s="38">
        <v>666</v>
      </c>
      <c r="L668" s="99">
        <v>-1.0000000000000142</v>
      </c>
    </row>
    <row r="669" spans="11:12" x14ac:dyDescent="0.4">
      <c r="K669" s="38">
        <v>667</v>
      </c>
      <c r="L669" s="99">
        <v>-2.9000000000000141</v>
      </c>
    </row>
    <row r="670" spans="11:12" x14ac:dyDescent="0.4">
      <c r="K670" s="38">
        <v>668</v>
      </c>
      <c r="L670" s="99">
        <v>31.79999999999999</v>
      </c>
    </row>
    <row r="671" spans="11:12" x14ac:dyDescent="0.4">
      <c r="K671" s="38">
        <v>669</v>
      </c>
      <c r="L671" s="99">
        <v>-1.0000000000000071</v>
      </c>
    </row>
    <row r="672" spans="11:12" x14ac:dyDescent="0.4">
      <c r="K672" s="38">
        <v>670</v>
      </c>
      <c r="L672" s="99">
        <v>10.599999999999993</v>
      </c>
    </row>
    <row r="673" spans="11:12" x14ac:dyDescent="0.4">
      <c r="K673" s="38">
        <v>671</v>
      </c>
      <c r="L673" s="99">
        <v>-44.800000000000004</v>
      </c>
    </row>
    <row r="674" spans="11:12" x14ac:dyDescent="0.4">
      <c r="K674" s="38">
        <v>672</v>
      </c>
      <c r="L674" s="99">
        <v>-1.0000000000000071</v>
      </c>
    </row>
    <row r="675" spans="11:12" x14ac:dyDescent="0.4">
      <c r="K675" s="38">
        <v>673</v>
      </c>
      <c r="L675" s="99">
        <v>-2.0000000000000071</v>
      </c>
    </row>
    <row r="676" spans="11:12" x14ac:dyDescent="0.4">
      <c r="K676" s="38">
        <v>674</v>
      </c>
      <c r="L676" s="99">
        <v>-60.000000000000007</v>
      </c>
    </row>
    <row r="677" spans="11:12" x14ac:dyDescent="0.4">
      <c r="K677" s="38">
        <v>675</v>
      </c>
      <c r="L677" s="99">
        <v>-1.0000000000000071</v>
      </c>
    </row>
    <row r="678" spans="11:12" x14ac:dyDescent="0.4">
      <c r="K678" s="38">
        <v>676</v>
      </c>
      <c r="L678" s="99">
        <v>-2.3000000000000069</v>
      </c>
    </row>
    <row r="679" spans="11:12" x14ac:dyDescent="0.4">
      <c r="K679" s="38">
        <v>677</v>
      </c>
      <c r="L679" s="99">
        <v>33.699999999999996</v>
      </c>
    </row>
    <row r="680" spans="11:12" x14ac:dyDescent="0.4">
      <c r="K680" s="38">
        <v>678</v>
      </c>
      <c r="L680" s="99">
        <v>-1.0000000000000071</v>
      </c>
    </row>
    <row r="681" spans="11:12" x14ac:dyDescent="0.4">
      <c r="K681" s="38">
        <v>679</v>
      </c>
      <c r="L681" s="99">
        <v>-8.4000000000000075</v>
      </c>
    </row>
    <row r="682" spans="11:12" x14ac:dyDescent="0.4">
      <c r="K682" s="38">
        <v>680</v>
      </c>
      <c r="L682" s="99">
        <v>-72.100000000000009</v>
      </c>
    </row>
    <row r="683" spans="11:12" x14ac:dyDescent="0.4">
      <c r="K683" s="38">
        <v>681</v>
      </c>
      <c r="L683" s="99">
        <v>-1.0000000000000142</v>
      </c>
    </row>
    <row r="684" spans="11:12" x14ac:dyDescent="0.4">
      <c r="K684" s="38">
        <v>682</v>
      </c>
      <c r="L684" s="99">
        <v>75.999999999999986</v>
      </c>
    </row>
    <row r="685" spans="11:12" x14ac:dyDescent="0.4">
      <c r="K685" s="38">
        <v>683</v>
      </c>
      <c r="L685" s="99">
        <v>-6.0000000000000142</v>
      </c>
    </row>
    <row r="686" spans="11:12" x14ac:dyDescent="0.4">
      <c r="K686" s="38">
        <v>684</v>
      </c>
      <c r="L686" s="99">
        <v>-1.0000000000000142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154</v>
      </c>
      <c r="C2" s="151"/>
      <c r="E2" s="62" t="s">
        <v>67</v>
      </c>
      <c r="F2" s="59" t="s">
        <v>23</v>
      </c>
      <c r="G2" s="46">
        <v>306</v>
      </c>
      <c r="H2" s="132">
        <f>IF(B$17=0,0,G2/B$17)</f>
        <v>0.70997679814385151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2143.7908496732025</v>
      </c>
      <c r="P2" s="118">
        <v>153</v>
      </c>
      <c r="Q2" s="102">
        <v>328000</v>
      </c>
    </row>
    <row r="3" spans="1:17" x14ac:dyDescent="0.4">
      <c r="A3" s="55" t="s">
        <v>8</v>
      </c>
      <c r="B3" s="152">
        <v>1253</v>
      </c>
      <c r="C3" s="153"/>
      <c r="E3" s="63" t="s">
        <v>73</v>
      </c>
      <c r="F3" s="60" t="s">
        <v>28</v>
      </c>
      <c r="G3" s="47">
        <v>245</v>
      </c>
      <c r="H3" s="133">
        <f>IF(B$17=0,0,G3/B$17)</f>
        <v>0.56844547563805103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1461.0738255033557</v>
      </c>
      <c r="P3" s="119">
        <v>149</v>
      </c>
      <c r="Q3" s="103">
        <v>217700</v>
      </c>
    </row>
    <row r="4" spans="1:17" x14ac:dyDescent="0.4">
      <c r="A4" s="55" t="s">
        <v>6</v>
      </c>
      <c r="B4" s="154">
        <v>1805.4000000000005</v>
      </c>
      <c r="C4" s="155"/>
      <c r="E4" s="63" t="s">
        <v>65</v>
      </c>
      <c r="F4" s="60" t="s">
        <v>21</v>
      </c>
      <c r="G4" s="47">
        <v>207</v>
      </c>
      <c r="H4" s="133">
        <f>IF(B$17=0,0,G4/B$17)</f>
        <v>0.48027842227378192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700.70422535211264</v>
      </c>
      <c r="P4" s="119">
        <v>142</v>
      </c>
      <c r="Q4" s="103">
        <v>99500</v>
      </c>
    </row>
    <row r="5" spans="1:17" x14ac:dyDescent="0.4">
      <c r="A5" s="55" t="s">
        <v>7</v>
      </c>
      <c r="B5" s="156">
        <f>IF(B$2=0,0,B$4/B$2)</f>
        <v>11.723376623376627</v>
      </c>
      <c r="C5" s="157"/>
      <c r="E5" s="63" t="s">
        <v>245</v>
      </c>
      <c r="F5" s="60" t="s">
        <v>246</v>
      </c>
      <c r="G5" s="47">
        <v>180</v>
      </c>
      <c r="H5" s="133">
        <f>IF(B$17=0,0,G5/B$17)</f>
        <v>0.41763341067285381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2350</v>
      </c>
      <c r="P5" s="119">
        <v>130</v>
      </c>
      <c r="Q5" s="103">
        <v>305500</v>
      </c>
    </row>
    <row r="6" spans="1:17" x14ac:dyDescent="0.4">
      <c r="A6" s="55" t="s">
        <v>1</v>
      </c>
      <c r="B6" s="146">
        <f>IF(B$2=0,0,(B$7*1+B$8*2+B$9*3)/B$2)</f>
        <v>1.7532467532467533</v>
      </c>
      <c r="C6" s="147"/>
      <c r="E6" s="63" t="s">
        <v>68</v>
      </c>
      <c r="F6" s="60" t="s">
        <v>24</v>
      </c>
      <c r="G6" s="47">
        <v>121</v>
      </c>
      <c r="H6" s="133">
        <f>IF(B$17=0,0,G6/B$17)</f>
        <v>0.28074245939675174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187.82608695652175</v>
      </c>
      <c r="P6" s="119">
        <v>115</v>
      </c>
      <c r="Q6" s="103">
        <v>21600</v>
      </c>
    </row>
    <row r="7" spans="1:17" x14ac:dyDescent="0.4">
      <c r="A7" s="55" t="s">
        <v>2</v>
      </c>
      <c r="B7" s="47">
        <v>74</v>
      </c>
      <c r="C7" s="39">
        <f>IF(B$2=0,0,B7/B$2)</f>
        <v>0.48051948051948051</v>
      </c>
      <c r="E7" s="63" t="s">
        <v>69</v>
      </c>
      <c r="F7" s="60" t="s">
        <v>12</v>
      </c>
      <c r="G7" s="47">
        <v>116</v>
      </c>
      <c r="H7" s="133">
        <f>IF(B$17=0,0,G7/B$17)</f>
        <v>0.26914153132250579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879.79797979797979</v>
      </c>
      <c r="P7" s="120">
        <v>99</v>
      </c>
      <c r="Q7" s="104">
        <v>87100</v>
      </c>
    </row>
    <row r="8" spans="1:17" x14ac:dyDescent="0.4">
      <c r="A8" s="55" t="s">
        <v>3</v>
      </c>
      <c r="B8" s="47">
        <v>44</v>
      </c>
      <c r="C8" s="39">
        <f>IF(B$2=0,0,B8/B$2)</f>
        <v>0.2857142857142857</v>
      </c>
      <c r="E8" s="63" t="s">
        <v>70</v>
      </c>
      <c r="F8" s="60" t="s">
        <v>25</v>
      </c>
      <c r="G8" s="47">
        <v>70</v>
      </c>
      <c r="H8" s="133">
        <f>IF(B$17=0,0,G8/B$17)</f>
        <v>0.16241299303944315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0.23376623376623376</v>
      </c>
      <c r="E9" s="63" t="s">
        <v>90</v>
      </c>
      <c r="F9" s="60" t="s">
        <v>45</v>
      </c>
      <c r="G9" s="47">
        <v>68</v>
      </c>
      <c r="H9" s="133">
        <f>IF(B$17=0,0,G9/B$17)</f>
        <v>0.15777262180974477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9.7402597402597407E-2</v>
      </c>
      <c r="E10" s="63" t="s">
        <v>66</v>
      </c>
      <c r="F10" s="60" t="s">
        <v>22</v>
      </c>
      <c r="G10" s="47">
        <v>53</v>
      </c>
      <c r="H10" s="133">
        <f>IF(B$17=0,0,G10/B$17)</f>
        <v>0.12296983758700696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13.275</v>
      </c>
      <c r="P10" s="118">
        <v>48</v>
      </c>
      <c r="Q10" s="106">
        <v>637.20000000000005</v>
      </c>
    </row>
    <row r="11" spans="1:17" x14ac:dyDescent="0.4">
      <c r="A11" s="56" t="s">
        <v>140</v>
      </c>
      <c r="B11" s="48">
        <v>27</v>
      </c>
      <c r="C11" s="40">
        <f>IF(B$2=0,0,B11/B$2)</f>
        <v>0.17532467532467533</v>
      </c>
      <c r="E11" s="63" t="s">
        <v>71</v>
      </c>
      <c r="F11" s="60" t="s">
        <v>26</v>
      </c>
      <c r="G11" s="47">
        <v>37</v>
      </c>
      <c r="H11" s="133">
        <f>IF(B$17=0,0,G11/B$17)</f>
        <v>8.584686774941995E-2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10.271111111111111</v>
      </c>
      <c r="P11" s="119">
        <v>45</v>
      </c>
      <c r="Q11" s="107">
        <v>462.2</v>
      </c>
    </row>
    <row r="12" spans="1:17" x14ac:dyDescent="0.4">
      <c r="A12" s="57" t="s">
        <v>160</v>
      </c>
      <c r="B12" s="49">
        <v>21</v>
      </c>
      <c r="C12" s="42">
        <f>IF(B$2=0,0,B12/B$2)</f>
        <v>0.13636363636363635</v>
      </c>
      <c r="E12" s="63" t="s">
        <v>87</v>
      </c>
      <c r="F12" s="60" t="s">
        <v>42</v>
      </c>
      <c r="G12" s="47">
        <v>32</v>
      </c>
      <c r="H12" s="133">
        <f>IF(B$17=0,0,G12/B$17)</f>
        <v>7.4245939675174011E-2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11.57377049180328</v>
      </c>
      <c r="P12" s="120">
        <v>61</v>
      </c>
      <c r="Q12" s="108">
        <v>706.00000000000011</v>
      </c>
    </row>
    <row r="13" spans="1:17" x14ac:dyDescent="0.4">
      <c r="A13" s="58" t="s">
        <v>122</v>
      </c>
      <c r="B13" s="50">
        <v>393</v>
      </c>
      <c r="C13" s="44">
        <f>IF(B$3=0,0,B13/B$3)</f>
        <v>0.31364724660814047</v>
      </c>
      <c r="E13" s="63" t="s">
        <v>72</v>
      </c>
      <c r="F13" s="60" t="s">
        <v>27</v>
      </c>
      <c r="G13" s="47">
        <v>30</v>
      </c>
      <c r="H13" s="133">
        <f>IF(B$17=0,0,G13/B$17)</f>
        <v>6.9605568445475635E-2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270</v>
      </c>
      <c r="C14" s="39">
        <f>IF(B$3=0,0,B14/B$3)</f>
        <v>0.2154828411811652</v>
      </c>
      <c r="E14" s="63" t="s">
        <v>84</v>
      </c>
      <c r="F14" s="60" t="s">
        <v>39</v>
      </c>
      <c r="G14" s="47">
        <v>25</v>
      </c>
      <c r="H14" s="133">
        <f>IF(B$17=0,0,G14/B$17)</f>
        <v>5.8004640371229696E-2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226</v>
      </c>
      <c r="C15" s="37">
        <f>IF(B$13=0,0,B15/B$13)</f>
        <v>0.5750636132315522</v>
      </c>
      <c r="E15" s="63" t="s">
        <v>180</v>
      </c>
      <c r="F15" s="60" t="s">
        <v>181</v>
      </c>
      <c r="G15" s="47">
        <v>15</v>
      </c>
      <c r="H15" s="133">
        <f>IF(B$17=0,0,G15/B$17)</f>
        <v>3.4802784222737818E-2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140</v>
      </c>
      <c r="C16" s="37">
        <f>IF(B$14=0,0,B16/B$14)</f>
        <v>0.51851851851851849</v>
      </c>
      <c r="E16" s="63" t="s">
        <v>79</v>
      </c>
      <c r="F16" s="60" t="s">
        <v>34</v>
      </c>
      <c r="G16" s="47">
        <v>12</v>
      </c>
      <c r="H16" s="133">
        <f>IF(B$17=0,0,G16/B$17)</f>
        <v>2.7842227378190254E-2</v>
      </c>
      <c r="I16" s="94">
        <v>6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431</v>
      </c>
      <c r="C17" s="37">
        <f>IF(B$3=0,0,B17/B$3)</f>
        <v>0.34397446129289705</v>
      </c>
      <c r="E17" s="63" t="s">
        <v>82</v>
      </c>
      <c r="F17" s="60" t="s">
        <v>37</v>
      </c>
      <c r="G17" s="47">
        <v>12</v>
      </c>
      <c r="H17" s="133">
        <f>IF(B$17=0,0,G17/B$17)</f>
        <v>2.7842227378190254E-2</v>
      </c>
      <c r="I17" s="94">
        <v>5</v>
      </c>
      <c r="K17" s="38">
        <v>15</v>
      </c>
      <c r="L17" s="99">
        <v>481.50000000000006</v>
      </c>
      <c r="N17" s="115" t="s">
        <v>129</v>
      </c>
      <c r="O17" s="125">
        <f>IF(P17=0,0,Q17/P17)</f>
        <v>25.871929824561409</v>
      </c>
      <c r="P17" s="119">
        <v>57</v>
      </c>
      <c r="Q17" s="107">
        <v>1474.7000000000003</v>
      </c>
    </row>
    <row r="18" spans="1:17" x14ac:dyDescent="0.4">
      <c r="A18" s="55" t="s">
        <v>12</v>
      </c>
      <c r="B18" s="47">
        <v>177</v>
      </c>
      <c r="C18" s="39">
        <f>IF(B$17=0,0,B18/B$17)</f>
        <v>0.41067285382830626</v>
      </c>
      <c r="E18" s="63" t="s">
        <v>92</v>
      </c>
      <c r="F18" s="60" t="s">
        <v>47</v>
      </c>
      <c r="G18" s="47">
        <v>9</v>
      </c>
      <c r="H18" s="133">
        <f>IF(B$17=0,0,G18/B$17)</f>
        <v>2.0881670533642691E-2</v>
      </c>
      <c r="I18" s="94">
        <v>4</v>
      </c>
      <c r="K18" s="38">
        <v>16</v>
      </c>
      <c r="L18" s="99">
        <v>425.50000000000006</v>
      </c>
      <c r="N18" s="115" t="s">
        <v>184</v>
      </c>
      <c r="O18" s="125">
        <f>IF(P18=0,0,Q18/P18)</f>
        <v>23.074999999999992</v>
      </c>
      <c r="P18" s="119">
        <v>12</v>
      </c>
      <c r="Q18" s="107">
        <v>276.89999999999992</v>
      </c>
    </row>
    <row r="19" spans="1:17" x14ac:dyDescent="0.4">
      <c r="A19" s="55" t="s">
        <v>11</v>
      </c>
      <c r="B19" s="47">
        <v>254</v>
      </c>
      <c r="C19" s="39">
        <f>IF(B$17=0,0,B19/B$17)</f>
        <v>0.58932714617169368</v>
      </c>
      <c r="E19" s="63" t="s">
        <v>80</v>
      </c>
      <c r="F19" s="60" t="s">
        <v>35</v>
      </c>
      <c r="G19" s="47">
        <v>5</v>
      </c>
      <c r="H19" s="133">
        <f>IF(B$17=0,0,G19/B$17)</f>
        <v>1.1600928074245939E-2</v>
      </c>
      <c r="I19" s="94">
        <v>9</v>
      </c>
      <c r="K19" s="38">
        <v>17</v>
      </c>
      <c r="L19" s="99">
        <v>427.40000000000003</v>
      </c>
      <c r="N19" s="115" t="s">
        <v>173</v>
      </c>
      <c r="O19" s="125">
        <f>IF(P19=0,0,Q19/P19)</f>
        <v>21.768181818181816</v>
      </c>
      <c r="P19" s="119">
        <v>22</v>
      </c>
      <c r="Q19" s="107">
        <v>478.9</v>
      </c>
    </row>
    <row r="20" spans="1:17" x14ac:dyDescent="0.4">
      <c r="A20" s="55" t="s">
        <v>13</v>
      </c>
      <c r="B20" s="47">
        <v>197</v>
      </c>
      <c r="C20" s="39">
        <f>IF(B$3=0,0,B20/B$3)</f>
        <v>0.15722266560255388</v>
      </c>
      <c r="E20" s="63" t="s">
        <v>86</v>
      </c>
      <c r="F20" s="60" t="s">
        <v>41</v>
      </c>
      <c r="G20" s="47">
        <v>4</v>
      </c>
      <c r="H20" s="133">
        <f>IF(B$17=0,0,G20/B$17)</f>
        <v>9.2807424593967514E-3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21.61379310344828</v>
      </c>
      <c r="P20" s="119">
        <v>29</v>
      </c>
      <c r="Q20" s="107">
        <v>626.80000000000018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6.9605568445475635E-3</v>
      </c>
      <c r="I21" s="94">
        <v>5</v>
      </c>
      <c r="K21" s="38">
        <v>19</v>
      </c>
      <c r="L21" s="99">
        <v>405.40000000000003</v>
      </c>
      <c r="N21" s="115" t="s">
        <v>172</v>
      </c>
      <c r="O21" s="125">
        <f>IF(P21=0,0,Q21/P21)</f>
        <v>21.160465116279067</v>
      </c>
      <c r="P21" s="119">
        <v>43</v>
      </c>
      <c r="Q21" s="107">
        <v>909.89999999999986</v>
      </c>
    </row>
    <row r="22" spans="1:17" x14ac:dyDescent="0.4">
      <c r="A22" s="55" t="s">
        <v>192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2</v>
      </c>
      <c r="H22" s="133">
        <f>IF(B$17=0,0,G22/B$17)</f>
        <v>4.6403712296983757E-3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18.795402298850576</v>
      </c>
      <c r="P22" s="119">
        <v>87</v>
      </c>
      <c r="Q22" s="107">
        <v>1635.2</v>
      </c>
    </row>
    <row r="23" spans="1:17" x14ac:dyDescent="0.4">
      <c r="A23" s="55" t="s">
        <v>5</v>
      </c>
      <c r="B23" s="51">
        <f>IF(B$17=0,0,C23/B$17)</f>
        <v>9078.8863109048725</v>
      </c>
      <c r="C23" s="41">
        <v>3913000</v>
      </c>
      <c r="E23" s="63" t="s">
        <v>91</v>
      </c>
      <c r="F23" s="60" t="s">
        <v>46</v>
      </c>
      <c r="G23" s="47">
        <v>2</v>
      </c>
      <c r="H23" s="133">
        <f>IF(B$17=0,0,G23/B$17)</f>
        <v>4.6403712296983757E-3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-8230.9644670050766</v>
      </c>
      <c r="C24" s="45">
        <v>-1621500</v>
      </c>
      <c r="E24" s="63" t="s">
        <v>93</v>
      </c>
      <c r="F24" s="60" t="s">
        <v>48</v>
      </c>
      <c r="G24" s="47">
        <v>2</v>
      </c>
      <c r="H24" s="133">
        <f>IF(B$17=0,0,G24/B$17)</f>
        <v>4.6403712296983757E-3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2.3201856148491878E-3</v>
      </c>
      <c r="I25" s="94">
        <v>8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2.3201856148491878E-3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7.9808459696727857E-4</v>
      </c>
      <c r="E27" s="63" t="s">
        <v>88</v>
      </c>
      <c r="F27" s="60" t="s">
        <v>43</v>
      </c>
      <c r="G27" s="47">
        <v>1</v>
      </c>
      <c r="H27" s="133">
        <f>IF(B$17=0,0,G27/B$17)</f>
        <v>2.3201856148491878E-3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2.3201856148491878E-3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2.3201856148491878E-3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  <row r="152" spans="11:12" x14ac:dyDescent="0.4">
      <c r="K152" s="38">
        <v>150</v>
      </c>
      <c r="L152" s="99">
        <v>1744.7000000000007</v>
      </c>
    </row>
    <row r="153" spans="11:12" x14ac:dyDescent="0.4">
      <c r="K153" s="38">
        <v>151</v>
      </c>
      <c r="L153" s="99">
        <v>1788.5000000000007</v>
      </c>
    </row>
    <row r="154" spans="11:12" x14ac:dyDescent="0.4">
      <c r="K154" s="38">
        <v>152</v>
      </c>
      <c r="L154" s="99">
        <v>1847.5000000000007</v>
      </c>
    </row>
    <row r="155" spans="11:12" x14ac:dyDescent="0.4">
      <c r="K155" s="38">
        <v>153</v>
      </c>
      <c r="L155" s="99">
        <v>1812.8000000000006</v>
      </c>
    </row>
    <row r="156" spans="11:12" x14ac:dyDescent="0.4">
      <c r="K156" s="38">
        <v>154</v>
      </c>
      <c r="L156" s="99">
        <v>1805.4000000000005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126</v>
      </c>
      <c r="C2" s="151"/>
      <c r="E2" s="62" t="s">
        <v>65</v>
      </c>
      <c r="F2" s="59" t="s">
        <v>21</v>
      </c>
      <c r="G2" s="46">
        <v>173</v>
      </c>
      <c r="H2" s="132">
        <f>IF(B$17=0,0,G2/B$17)</f>
        <v>0.61785714285714288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144.44444444444446</v>
      </c>
      <c r="P2" s="118">
        <v>126</v>
      </c>
      <c r="Q2" s="102">
        <v>18200</v>
      </c>
    </row>
    <row r="3" spans="1:17" x14ac:dyDescent="0.4">
      <c r="A3" s="55" t="s">
        <v>8</v>
      </c>
      <c r="B3" s="152">
        <v>1042</v>
      </c>
      <c r="C3" s="153"/>
      <c r="E3" s="63" t="s">
        <v>66</v>
      </c>
      <c r="F3" s="60" t="s">
        <v>22</v>
      </c>
      <c r="G3" s="47">
        <v>46</v>
      </c>
      <c r="H3" s="133">
        <f>IF(B$17=0,0,G3/B$17)</f>
        <v>0.16428571428571428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-2159.8360655737706</v>
      </c>
      <c r="P3" s="119">
        <v>122</v>
      </c>
      <c r="Q3" s="103">
        <v>-263500</v>
      </c>
    </row>
    <row r="4" spans="1:17" x14ac:dyDescent="0.4">
      <c r="A4" s="55" t="s">
        <v>6</v>
      </c>
      <c r="B4" s="154">
        <v>-438.1</v>
      </c>
      <c r="C4" s="155"/>
      <c r="E4" s="63" t="s">
        <v>67</v>
      </c>
      <c r="F4" s="60" t="s">
        <v>23</v>
      </c>
      <c r="G4" s="47">
        <v>215</v>
      </c>
      <c r="H4" s="133">
        <f>IF(B$17=0,0,G4/B$17)</f>
        <v>0.7678571428571429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378.81355932203388</v>
      </c>
      <c r="P4" s="119">
        <v>118</v>
      </c>
      <c r="Q4" s="103">
        <v>44700</v>
      </c>
    </row>
    <row r="5" spans="1:17" x14ac:dyDescent="0.4">
      <c r="A5" s="55" t="s">
        <v>7</v>
      </c>
      <c r="B5" s="156">
        <f>IF(B$2=0,0,B$4/B$2)</f>
        <v>-3.4769841269841271</v>
      </c>
      <c r="C5" s="157"/>
      <c r="E5" s="63" t="s">
        <v>68</v>
      </c>
      <c r="F5" s="60" t="s">
        <v>24</v>
      </c>
      <c r="G5" s="47">
        <v>107</v>
      </c>
      <c r="H5" s="133">
        <f>IF(B$17=0,0,G5/B$17)</f>
        <v>0.38214285714285712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-2.8846153846153846</v>
      </c>
      <c r="P5" s="119">
        <v>104</v>
      </c>
      <c r="Q5" s="103">
        <v>-300</v>
      </c>
    </row>
    <row r="6" spans="1:17" x14ac:dyDescent="0.4">
      <c r="A6" s="55" t="s">
        <v>1</v>
      </c>
      <c r="B6" s="146">
        <f>IF(B$2=0,0,(B$7*1+B$8*2+B$9*3)/B$2)</f>
        <v>2.0952380952380953</v>
      </c>
      <c r="C6" s="147"/>
      <c r="E6" s="63" t="s">
        <v>69</v>
      </c>
      <c r="F6" s="60" t="s">
        <v>12</v>
      </c>
      <c r="G6" s="47">
        <v>96</v>
      </c>
      <c r="H6" s="133">
        <f>IF(B$17=0,0,G6/B$17)</f>
        <v>0.34285714285714286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187.09677419354838</v>
      </c>
      <c r="P6" s="119">
        <v>93</v>
      </c>
      <c r="Q6" s="103">
        <v>17400</v>
      </c>
    </row>
    <row r="7" spans="1:17" x14ac:dyDescent="0.4">
      <c r="A7" s="55" t="s">
        <v>2</v>
      </c>
      <c r="B7" s="47">
        <v>33</v>
      </c>
      <c r="C7" s="39">
        <f>IF(B$2=0,0,B7/B$2)</f>
        <v>0.26190476190476192</v>
      </c>
      <c r="E7" s="63" t="s">
        <v>70</v>
      </c>
      <c r="F7" s="60" t="s">
        <v>25</v>
      </c>
      <c r="G7" s="47">
        <v>62</v>
      </c>
      <c r="H7" s="133">
        <f>IF(B$17=0,0,G7/B$17)</f>
        <v>0.22142857142857142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330.23255813953489</v>
      </c>
      <c r="P7" s="120">
        <v>86</v>
      </c>
      <c r="Q7" s="104">
        <v>28400</v>
      </c>
    </row>
    <row r="8" spans="1:17" x14ac:dyDescent="0.4">
      <c r="A8" s="55" t="s">
        <v>3</v>
      </c>
      <c r="B8" s="47">
        <v>48</v>
      </c>
      <c r="C8" s="39">
        <f>IF(B$2=0,0,B8/B$2)</f>
        <v>0.38095238095238093</v>
      </c>
      <c r="E8" s="63" t="s">
        <v>71</v>
      </c>
      <c r="F8" s="60" t="s">
        <v>26</v>
      </c>
      <c r="G8" s="47">
        <v>34</v>
      </c>
      <c r="H8" s="133">
        <f>IF(B$17=0,0,G8/B$17)</f>
        <v>0.12142857142857143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45</v>
      </c>
      <c r="C9" s="40">
        <f t="shared" ref="C9" si="1">IF(B$2=0,0,B9/B$2)</f>
        <v>0.35714285714285715</v>
      </c>
      <c r="E9" s="63" t="s">
        <v>72</v>
      </c>
      <c r="F9" s="60" t="s">
        <v>27</v>
      </c>
      <c r="G9" s="47">
        <v>17</v>
      </c>
      <c r="H9" s="133">
        <f>IF(B$17=0,0,G9/B$17)</f>
        <v>6.0714285714285714E-2</v>
      </c>
      <c r="I9" s="94">
        <v>7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0.13492063492063491</v>
      </c>
      <c r="E10" s="63" t="s">
        <v>73</v>
      </c>
      <c r="F10" s="60" t="s">
        <v>28</v>
      </c>
      <c r="G10" s="47">
        <v>127</v>
      </c>
      <c r="H10" s="133">
        <f>IF(B$17=0,0,G10/B$17)</f>
        <v>0.45357142857142857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-7.3666666666666671</v>
      </c>
      <c r="P10" s="118">
        <v>63</v>
      </c>
      <c r="Q10" s="106">
        <v>-464.1</v>
      </c>
    </row>
    <row r="11" spans="1:17" x14ac:dyDescent="0.4">
      <c r="A11" s="56" t="s">
        <v>140</v>
      </c>
      <c r="B11" s="48">
        <v>11</v>
      </c>
      <c r="C11" s="40">
        <f>IF(B$2=0,0,B11/B$2)</f>
        <v>8.7301587301587297E-2</v>
      </c>
      <c r="E11" s="63" t="s">
        <v>74</v>
      </c>
      <c r="F11" s="60" t="s">
        <v>29</v>
      </c>
      <c r="G11" s="47">
        <v>2</v>
      </c>
      <c r="H11" s="133">
        <f>IF(B$17=0,0,G11/B$17)</f>
        <v>7.1428571428571426E-3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-3.2624999999999988</v>
      </c>
      <c r="P11" s="119">
        <v>32</v>
      </c>
      <c r="Q11" s="107">
        <v>-104.39999999999996</v>
      </c>
    </row>
    <row r="12" spans="1:17" x14ac:dyDescent="0.4">
      <c r="A12" s="57" t="s">
        <v>160</v>
      </c>
      <c r="B12" s="49">
        <v>8</v>
      </c>
      <c r="C12" s="42">
        <f>IF(B$2=0,0,B12/B$2)</f>
        <v>6.3492063492063489E-2</v>
      </c>
      <c r="E12" s="63" t="s">
        <v>75</v>
      </c>
      <c r="F12" s="60" t="s">
        <v>30</v>
      </c>
      <c r="G12" s="47">
        <v>2</v>
      </c>
      <c r="H12" s="133">
        <f>IF(B$17=0,0,G12/B$17)</f>
        <v>7.1428571428571426E-3</v>
      </c>
      <c r="I12" s="94">
        <v>2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312</v>
      </c>
      <c r="C13" s="44">
        <f>IF(B$3=0,0,B13/B$3)</f>
        <v>0.29942418426103645</v>
      </c>
      <c r="E13" s="63" t="s">
        <v>76</v>
      </c>
      <c r="F13" s="60" t="s">
        <v>31</v>
      </c>
      <c r="G13" s="47">
        <v>2</v>
      </c>
      <c r="H13" s="133">
        <f>IF(B$17=0,0,G13/B$17)</f>
        <v>7.1428571428571426E-3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184</v>
      </c>
      <c r="C14" s="39">
        <f>IF(B$3=0,0,B14/B$3)</f>
        <v>0.1765834932821497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182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1</v>
      </c>
      <c r="H15" s="133">
        <f>IF(B$17=0,0,G15/B$17)</f>
        <v>3.5714285714285713E-3</v>
      </c>
      <c r="I15" s="94">
        <v>3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28.642857142857146</v>
      </c>
      <c r="P15" s="118">
        <v>7</v>
      </c>
      <c r="Q15" s="106">
        <v>200.50000000000003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0.28804347826086957</v>
      </c>
      <c r="E16" s="63" t="s">
        <v>79</v>
      </c>
      <c r="F16" s="60" t="s">
        <v>34</v>
      </c>
      <c r="G16" s="47">
        <v>5</v>
      </c>
      <c r="H16" s="133">
        <f>IF(B$17=0,0,G16/B$17)</f>
        <v>1.7857142857142856E-2</v>
      </c>
      <c r="I16" s="94">
        <v>8</v>
      </c>
      <c r="K16" s="38">
        <v>14</v>
      </c>
      <c r="L16" s="99">
        <v>-25.600000000000009</v>
      </c>
      <c r="N16" s="115" t="s">
        <v>129</v>
      </c>
      <c r="O16" s="125">
        <f t="shared" si="2"/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280</v>
      </c>
      <c r="C17" s="37">
        <f>IF(B$3=0,0,B17/B$3)</f>
        <v>0.2687140115163148</v>
      </c>
      <c r="E17" s="63" t="s">
        <v>80</v>
      </c>
      <c r="F17" s="60" t="s">
        <v>35</v>
      </c>
      <c r="G17" s="47">
        <v>6</v>
      </c>
      <c r="H17" s="133">
        <f>IF(B$17=0,0,G17/B$17)</f>
        <v>2.1428571428571429E-2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5.672727272727272</v>
      </c>
      <c r="P17" s="119">
        <v>22</v>
      </c>
      <c r="Q17" s="107">
        <v>124.79999999999998</v>
      </c>
    </row>
    <row r="18" spans="1:17" x14ac:dyDescent="0.4">
      <c r="A18" s="55" t="s">
        <v>12</v>
      </c>
      <c r="B18" s="47">
        <v>119</v>
      </c>
      <c r="C18" s="39">
        <f>IF(B$17=0,0,B18/B$17)</f>
        <v>0.42499999999999999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-2.3171428571428518</v>
      </c>
      <c r="P18" s="119">
        <v>35</v>
      </c>
      <c r="Q18" s="107">
        <v>-81.09999999999981</v>
      </c>
    </row>
    <row r="19" spans="1:17" x14ac:dyDescent="0.4">
      <c r="A19" s="55" t="s">
        <v>11</v>
      </c>
      <c r="B19" s="47">
        <v>161</v>
      </c>
      <c r="C19" s="39">
        <f>IF(B$17=0,0,B19/B$17)</f>
        <v>0.57499999999999996</v>
      </c>
      <c r="E19" s="63" t="s">
        <v>82</v>
      </c>
      <c r="F19" s="60" t="s">
        <v>37</v>
      </c>
      <c r="G19" s="47">
        <v>8</v>
      </c>
      <c r="H19" s="133">
        <f>IF(B$17=0,0,G19/B$17)</f>
        <v>2.8571428571428571E-2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178</v>
      </c>
      <c r="C20" s="39">
        <f>IF(B$3=0,0,B20/B$3)</f>
        <v>0.17082533589251439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3.5714285714285712E-2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-11.464</v>
      </c>
      <c r="P21" s="119">
        <v>25</v>
      </c>
      <c r="Q21" s="107">
        <v>-286.60000000000002</v>
      </c>
    </row>
    <row r="22" spans="1:17" x14ac:dyDescent="0.4">
      <c r="A22" s="55" t="s">
        <v>192</v>
      </c>
      <c r="B22" s="47">
        <v>24</v>
      </c>
      <c r="C22" s="135">
        <v>15</v>
      </c>
      <c r="E22" s="63" t="s">
        <v>85</v>
      </c>
      <c r="F22" s="60" t="s">
        <v>40</v>
      </c>
      <c r="G22" s="47">
        <v>1</v>
      </c>
      <c r="H22" s="133">
        <f>IF(B$17=0,0,G22/B$17)</f>
        <v>3.5714285714285713E-3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-18.795402298850576</v>
      </c>
      <c r="P22" s="119">
        <v>87</v>
      </c>
      <c r="Q22" s="107">
        <v>-1635.2</v>
      </c>
    </row>
    <row r="23" spans="1:17" x14ac:dyDescent="0.4">
      <c r="A23" s="55" t="s">
        <v>5</v>
      </c>
      <c r="B23" s="51">
        <f>IF(B$17=0,0,C23/B$17)</f>
        <v>9241.7857142857138</v>
      </c>
      <c r="C23" s="41">
        <v>2587700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-7806.7415730337079</v>
      </c>
      <c r="C24" s="45">
        <v>-1389600</v>
      </c>
      <c r="E24" s="63" t="s">
        <v>87</v>
      </c>
      <c r="F24" s="60" t="s">
        <v>42</v>
      </c>
      <c r="G24" s="47">
        <v>15</v>
      </c>
      <c r="H24" s="133">
        <f>IF(B$17=0,0,G24/B$17)</f>
        <v>5.3571428571428568E-2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3.5714285714285713E-3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4.7984644913627635E-3</v>
      </c>
      <c r="E27" s="63" t="s">
        <v>90</v>
      </c>
      <c r="F27" s="60" t="s">
        <v>45</v>
      </c>
      <c r="G27" s="47">
        <v>30</v>
      </c>
      <c r="H27" s="133">
        <f>IF(B$17=0,0,G27/B$17)</f>
        <v>0.10714285714285714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2.1428571428571429E-2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3.5714285714285713E-3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3.5714285714285713E-3</v>
      </c>
      <c r="I31" s="94">
        <v>5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3.5714285714285713E-3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1.7857142857142856E-2</v>
      </c>
      <c r="I50" s="94">
        <v>3</v>
      </c>
      <c r="K50" s="38">
        <v>48</v>
      </c>
      <c r="L50" s="99">
        <v>50.599999999999959</v>
      </c>
    </row>
    <row r="51" spans="5:12" x14ac:dyDescent="0.4">
      <c r="E51" s="138" t="s">
        <v>245</v>
      </c>
      <c r="F51" s="139" t="s">
        <v>246</v>
      </c>
      <c r="G51" s="48">
        <v>120</v>
      </c>
      <c r="H51" s="140">
        <f>IF(B$17=0,0,G51/B$17)</f>
        <v>0.42857142857142855</v>
      </c>
      <c r="I51" s="141">
        <v>3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91</v>
      </c>
      <c r="C2" s="151"/>
      <c r="E2" s="62" t="s">
        <v>67</v>
      </c>
      <c r="F2" s="59" t="s">
        <v>23</v>
      </c>
      <c r="G2" s="46">
        <v>153</v>
      </c>
      <c r="H2" s="132">
        <f>IF(B$17=0,0,G2/B$17)</f>
        <v>0.82702702702702702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-3180.2197802197802</v>
      </c>
      <c r="P2" s="118">
        <v>91</v>
      </c>
      <c r="Q2" s="102">
        <v>-289400</v>
      </c>
    </row>
    <row r="3" spans="1:17" x14ac:dyDescent="0.4">
      <c r="A3" s="55" t="s">
        <v>8</v>
      </c>
      <c r="B3" s="152">
        <v>767</v>
      </c>
      <c r="C3" s="153"/>
      <c r="E3" s="63" t="s">
        <v>65</v>
      </c>
      <c r="F3" s="60" t="s">
        <v>21</v>
      </c>
      <c r="G3" s="47">
        <v>109</v>
      </c>
      <c r="H3" s="133">
        <f>IF(B$17=0,0,G3/B$17)</f>
        <v>0.58918918918918917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-1131.4606741573034</v>
      </c>
      <c r="P3" s="119">
        <v>89</v>
      </c>
      <c r="Q3" s="103">
        <v>-100700</v>
      </c>
    </row>
    <row r="4" spans="1:17" x14ac:dyDescent="0.4">
      <c r="A4" s="55" t="s">
        <v>6</v>
      </c>
      <c r="B4" s="154">
        <v>-1253.1000000000001</v>
      </c>
      <c r="C4" s="155"/>
      <c r="E4" s="63" t="s">
        <v>245</v>
      </c>
      <c r="F4" s="60" t="s">
        <v>246</v>
      </c>
      <c r="G4" s="47">
        <v>72</v>
      </c>
      <c r="H4" s="133">
        <f>IF(B$17=0,0,G4/B$17)</f>
        <v>0.38918918918918921</v>
      </c>
      <c r="I4" s="94">
        <v>9</v>
      </c>
      <c r="K4" s="38">
        <v>2</v>
      </c>
      <c r="L4" s="99">
        <v>-3.3999999999999986</v>
      </c>
      <c r="N4" s="115" t="s">
        <v>134</v>
      </c>
      <c r="O4" s="122">
        <f t="shared" si="0"/>
        <v>-72.61904761904762</v>
      </c>
      <c r="P4" s="119">
        <v>84</v>
      </c>
      <c r="Q4" s="103">
        <v>-6100</v>
      </c>
    </row>
    <row r="5" spans="1:17" x14ac:dyDescent="0.4">
      <c r="A5" s="55" t="s">
        <v>7</v>
      </c>
      <c r="B5" s="156">
        <f>IF(B$2=0,0,B$4/B$2)</f>
        <v>-13.770329670329671</v>
      </c>
      <c r="C5" s="157"/>
      <c r="E5" s="63" t="s">
        <v>69</v>
      </c>
      <c r="F5" s="60" t="s">
        <v>12</v>
      </c>
      <c r="G5" s="47">
        <v>69</v>
      </c>
      <c r="H5" s="133">
        <f>IF(B$17=0,0,G5/B$17)</f>
        <v>0.37297297297297299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-4318.9189189189192</v>
      </c>
      <c r="P5" s="119">
        <v>74</v>
      </c>
      <c r="Q5" s="103">
        <v>-319600</v>
      </c>
    </row>
    <row r="6" spans="1:17" x14ac:dyDescent="0.4">
      <c r="A6" s="55" t="s">
        <v>1</v>
      </c>
      <c r="B6" s="146">
        <f>IF(B$2=0,0,(B$7*1+B$8*2+B$9*3)/B$2)</f>
        <v>2.2307692307692308</v>
      </c>
      <c r="C6" s="147"/>
      <c r="E6" s="63" t="s">
        <v>73</v>
      </c>
      <c r="F6" s="60" t="s">
        <v>28</v>
      </c>
      <c r="G6" s="47">
        <v>68</v>
      </c>
      <c r="H6" s="133">
        <f>IF(B$17=0,0,G6/B$17)</f>
        <v>0.36756756756756759</v>
      </c>
      <c r="I6" s="94">
        <v>12</v>
      </c>
      <c r="K6" s="38">
        <v>4</v>
      </c>
      <c r="L6" s="99">
        <v>-31.4</v>
      </c>
      <c r="N6" s="115" t="s">
        <v>136</v>
      </c>
      <c r="O6" s="122">
        <f t="shared" si="0"/>
        <v>-552.2388059701492</v>
      </c>
      <c r="P6" s="119">
        <v>67</v>
      </c>
      <c r="Q6" s="103">
        <v>-37000</v>
      </c>
    </row>
    <row r="7" spans="1:17" x14ac:dyDescent="0.4">
      <c r="A7" s="55" t="s">
        <v>2</v>
      </c>
      <c r="B7" s="47">
        <v>23</v>
      </c>
      <c r="C7" s="39">
        <f>IF(B$2=0,0,B7/B$2)</f>
        <v>0.25274725274725274</v>
      </c>
      <c r="E7" s="63" t="s">
        <v>68</v>
      </c>
      <c r="F7" s="60" t="s">
        <v>24</v>
      </c>
      <c r="G7" s="47">
        <v>63</v>
      </c>
      <c r="H7" s="133">
        <f>IF(B$17=0,0,G7/B$17)</f>
        <v>0.34054054054054056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-1223.3333333333333</v>
      </c>
      <c r="P7" s="120">
        <v>60</v>
      </c>
      <c r="Q7" s="104">
        <v>-73400</v>
      </c>
    </row>
    <row r="8" spans="1:17" x14ac:dyDescent="0.4">
      <c r="A8" s="55" t="s">
        <v>3</v>
      </c>
      <c r="B8" s="47">
        <v>24</v>
      </c>
      <c r="C8" s="39">
        <f>IF(B$2=0,0,B8/B$2)</f>
        <v>0.26373626373626374</v>
      </c>
      <c r="E8" s="63" t="s">
        <v>70</v>
      </c>
      <c r="F8" s="60" t="s">
        <v>25</v>
      </c>
      <c r="G8" s="47">
        <v>37</v>
      </c>
      <c r="H8" s="133">
        <f>IF(B$17=0,0,G8/B$17)</f>
        <v>0.2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0.48351648351648352</v>
      </c>
      <c r="E9" s="63" t="s">
        <v>71</v>
      </c>
      <c r="F9" s="60" t="s">
        <v>26</v>
      </c>
      <c r="G9" s="47">
        <v>28</v>
      </c>
      <c r="H9" s="133">
        <f>IF(B$17=0,0,G9/B$17)</f>
        <v>0.15135135135135136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0.18681318681318682</v>
      </c>
      <c r="E10" s="63" t="s">
        <v>72</v>
      </c>
      <c r="F10" s="60" t="s">
        <v>27</v>
      </c>
      <c r="G10" s="47">
        <v>20</v>
      </c>
      <c r="H10" s="133">
        <f>IF(B$17=0,0,G10/B$17)</f>
        <v>0.10810810810810811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10</v>
      </c>
      <c r="C11" s="40">
        <f>IF(B$2=0,0,B11/B$2)</f>
        <v>0.10989010989010989</v>
      </c>
      <c r="E11" s="63" t="s">
        <v>66</v>
      </c>
      <c r="F11" s="60" t="s">
        <v>22</v>
      </c>
      <c r="G11" s="47">
        <v>18</v>
      </c>
      <c r="H11" s="133">
        <f>IF(B$17=0,0,G11/B$17)</f>
        <v>9.7297297297297303E-2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-10.55675675675676</v>
      </c>
      <c r="P11" s="119">
        <v>37</v>
      </c>
      <c r="Q11" s="107">
        <v>-390.60000000000014</v>
      </c>
    </row>
    <row r="12" spans="1:17" x14ac:dyDescent="0.4">
      <c r="A12" s="57" t="s">
        <v>160</v>
      </c>
      <c r="B12" s="49">
        <v>7</v>
      </c>
      <c r="C12" s="42">
        <f>IF(B$2=0,0,B12/B$2)</f>
        <v>7.6923076923076927E-2</v>
      </c>
      <c r="E12" s="63" t="s">
        <v>90</v>
      </c>
      <c r="F12" s="60" t="s">
        <v>45</v>
      </c>
      <c r="G12" s="47">
        <v>16</v>
      </c>
      <c r="H12" s="133">
        <f>IF(B$17=0,0,G12/B$17)</f>
        <v>8.6486486486486491E-2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215</v>
      </c>
      <c r="C13" s="44">
        <f>IF(B$3=0,0,B13/B$3)</f>
        <v>0.28031290743155152</v>
      </c>
      <c r="E13" s="63" t="s">
        <v>87</v>
      </c>
      <c r="F13" s="60" t="s">
        <v>42</v>
      </c>
      <c r="G13" s="47">
        <v>10</v>
      </c>
      <c r="H13" s="133">
        <f>IF(B$17=0,0,G13/B$17)</f>
        <v>5.4054054054054057E-2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0.16166883963494133</v>
      </c>
      <c r="E14" s="63" t="s">
        <v>79</v>
      </c>
      <c r="F14" s="60" t="s">
        <v>34</v>
      </c>
      <c r="G14" s="47">
        <v>7</v>
      </c>
      <c r="H14" s="133">
        <f>IF(B$17=0,0,G14/B$17)</f>
        <v>3.783783783783784E-2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0.52093023255813953</v>
      </c>
      <c r="E15" s="63" t="s">
        <v>84</v>
      </c>
      <c r="F15" s="60" t="s">
        <v>39</v>
      </c>
      <c r="G15" s="47">
        <v>7</v>
      </c>
      <c r="H15" s="133">
        <f>IF(B$17=0,0,G15/B$17)</f>
        <v>3.783783783783784E-2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</v>
      </c>
      <c r="E16" s="63" t="s">
        <v>82</v>
      </c>
      <c r="F16" s="60" t="s">
        <v>37</v>
      </c>
      <c r="G16" s="47">
        <v>4</v>
      </c>
      <c r="H16" s="133">
        <f>IF(B$17=0,0,G16/B$17)</f>
        <v>2.1621621621621623E-2</v>
      </c>
      <c r="I16" s="94">
        <v>9</v>
      </c>
      <c r="K16" s="38">
        <v>14</v>
      </c>
      <c r="L16" s="99">
        <v>-394.6</v>
      </c>
      <c r="N16" s="115" t="s">
        <v>128</v>
      </c>
      <c r="O16" s="125">
        <f>IF(P16=0,0,Q16/P16)</f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185</v>
      </c>
      <c r="C17" s="37">
        <f>IF(B$3=0,0,B17/B$3)</f>
        <v>0.24119947848761408</v>
      </c>
      <c r="E17" s="63" t="s">
        <v>75</v>
      </c>
      <c r="F17" s="60" t="s">
        <v>30</v>
      </c>
      <c r="G17" s="47">
        <v>2</v>
      </c>
      <c r="H17" s="133">
        <f>IF(B$17=0,0,G17/B$17)</f>
        <v>1.0810810810810811E-2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79</v>
      </c>
      <c r="C18" s="39">
        <f>IF(B$17=0,0,B18/B$17)</f>
        <v>0.42702702702702705</v>
      </c>
      <c r="E18" s="63" t="s">
        <v>88</v>
      </c>
      <c r="F18" s="60" t="s">
        <v>43</v>
      </c>
      <c r="G18" s="47">
        <v>2</v>
      </c>
      <c r="H18" s="133">
        <f>IF(B$17=0,0,G18/B$17)</f>
        <v>1.0810810810810811E-2</v>
      </c>
      <c r="I18" s="94">
        <v>1</v>
      </c>
      <c r="K18" s="38">
        <v>16</v>
      </c>
      <c r="L18" s="99">
        <v>-472</v>
      </c>
      <c r="N18" s="115" t="s">
        <v>171</v>
      </c>
      <c r="O18" s="125">
        <f>IF(P18=0,0,Q18/P18)</f>
        <v>-20.717241379310344</v>
      </c>
      <c r="P18" s="119">
        <v>29</v>
      </c>
      <c r="Q18" s="107">
        <v>-600.79999999999995</v>
      </c>
    </row>
    <row r="19" spans="1:17" x14ac:dyDescent="0.4">
      <c r="A19" s="55" t="s">
        <v>11</v>
      </c>
      <c r="B19" s="47">
        <v>106</v>
      </c>
      <c r="C19" s="39">
        <f>IF(B$17=0,0,B19/B$17)</f>
        <v>0.572972972972973</v>
      </c>
      <c r="E19" s="63" t="s">
        <v>94</v>
      </c>
      <c r="F19" s="60" t="s">
        <v>49</v>
      </c>
      <c r="G19" s="47">
        <v>2</v>
      </c>
      <c r="H19" s="133">
        <f>IF(B$17=0,0,G19/B$17)</f>
        <v>1.0810810810810811E-2</v>
      </c>
      <c r="I19" s="94">
        <v>1</v>
      </c>
      <c r="K19" s="38">
        <v>17</v>
      </c>
      <c r="L19" s="99">
        <v>-538.29999999999995</v>
      </c>
      <c r="N19" s="115" t="s">
        <v>173</v>
      </c>
      <c r="O19" s="125">
        <f>IF(P19=0,0,Q19/P19)</f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146</v>
      </c>
      <c r="C20" s="39">
        <f>IF(B$3=0,0,B20/B$3)</f>
        <v>0.19035202086049544</v>
      </c>
      <c r="E20" s="63" t="s">
        <v>76</v>
      </c>
      <c r="F20" s="60" t="s">
        <v>31</v>
      </c>
      <c r="G20" s="47">
        <v>1</v>
      </c>
      <c r="H20" s="133">
        <f>IF(B$17=0,0,G20/B$17)</f>
        <v>5.4054054054054057E-3</v>
      </c>
      <c r="I20" s="94">
        <v>6</v>
      </c>
      <c r="K20" s="38">
        <v>18</v>
      </c>
      <c r="L20" s="99">
        <v>-537.19999999999993</v>
      </c>
      <c r="N20" s="115" t="s">
        <v>184</v>
      </c>
      <c r="O20" s="125">
        <f>IF(P20=0,0,Q20/P20)</f>
        <v>-24.240000000000002</v>
      </c>
      <c r="P20" s="119">
        <v>5</v>
      </c>
      <c r="Q20" s="107">
        <v>-121.2</v>
      </c>
    </row>
    <row r="21" spans="1:17" x14ac:dyDescent="0.4">
      <c r="A21" s="55" t="s">
        <v>191</v>
      </c>
      <c r="B21" s="47">
        <v>4</v>
      </c>
      <c r="C21" s="135">
        <v>3</v>
      </c>
      <c r="E21" s="63" t="s">
        <v>78</v>
      </c>
      <c r="F21" s="60" t="s">
        <v>33</v>
      </c>
      <c r="G21" s="47">
        <v>1</v>
      </c>
      <c r="H21" s="133">
        <f>IF(B$17=0,0,G21/B$17)</f>
        <v>5.4054054054054057E-3</v>
      </c>
      <c r="I21" s="94">
        <v>1</v>
      </c>
      <c r="K21" s="38">
        <v>19</v>
      </c>
      <c r="L21" s="99">
        <v>-569.49999999999989</v>
      </c>
      <c r="N21" s="115" t="s">
        <v>127</v>
      </c>
      <c r="O21" s="125">
        <f>IF(P21=0,0,Q21/P21)</f>
        <v>-25.871929824561413</v>
      </c>
      <c r="P21" s="119">
        <v>57</v>
      </c>
      <c r="Q21" s="107">
        <v>-1474.7000000000005</v>
      </c>
    </row>
    <row r="22" spans="1:17" x14ac:dyDescent="0.4">
      <c r="A22" s="55" t="s">
        <v>192</v>
      </c>
      <c r="B22" s="47">
        <v>31</v>
      </c>
      <c r="C22" s="135">
        <v>14</v>
      </c>
      <c r="E22" s="63" t="s">
        <v>80</v>
      </c>
      <c r="F22" s="60" t="s">
        <v>35</v>
      </c>
      <c r="G22" s="47">
        <v>1</v>
      </c>
      <c r="H22" s="133">
        <f>IF(B$17=0,0,G22/B$17)</f>
        <v>5.4054054054054057E-3</v>
      </c>
      <c r="I22" s="94">
        <v>10</v>
      </c>
      <c r="K22" s="38">
        <v>20</v>
      </c>
      <c r="L22" s="99">
        <v>-632.99999999999989</v>
      </c>
      <c r="N22" s="115" t="s">
        <v>172</v>
      </c>
      <c r="O22" s="125">
        <f>IF(P22=0,0,Q22/P22)</f>
        <v>-32.104761904761901</v>
      </c>
      <c r="P22" s="119">
        <v>21</v>
      </c>
      <c r="Q22" s="107">
        <v>-674.19999999999993</v>
      </c>
    </row>
    <row r="23" spans="1:17" x14ac:dyDescent="0.4">
      <c r="A23" s="55" t="s">
        <v>5</v>
      </c>
      <c r="B23" s="51">
        <f>IF(B$17=0,0,C23/B$17)</f>
        <v>8782.7027027027034</v>
      </c>
      <c r="C23" s="41">
        <v>1624800</v>
      </c>
      <c r="E23" s="63" t="s">
        <v>89</v>
      </c>
      <c r="F23" s="60" t="s">
        <v>44</v>
      </c>
      <c r="G23" s="47">
        <v>1</v>
      </c>
      <c r="H23" s="133">
        <f>IF(B$17=0,0,G23/B$17)</f>
        <v>5.4054054054054057E-3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-9189.7260273972606</v>
      </c>
      <c r="C24" s="45">
        <v>-1341700</v>
      </c>
      <c r="E24" s="63" t="s">
        <v>92</v>
      </c>
      <c r="F24" s="60" t="s">
        <v>47</v>
      </c>
      <c r="G24" s="47">
        <v>1</v>
      </c>
      <c r="H24" s="133">
        <f>IF(B$17=0,0,G24/B$17)</f>
        <v>5.4054054054054057E-3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93</v>
      </c>
      <c r="F25" s="60" t="s">
        <v>48</v>
      </c>
      <c r="G25" s="47">
        <v>1</v>
      </c>
      <c r="H25" s="133">
        <f>IF(B$17=0,0,G25/B$17)</f>
        <v>5.4054054054054057E-3</v>
      </c>
      <c r="I25" s="94">
        <v>3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1.3037809647979139E-3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65</v>
      </c>
      <c r="F2" s="59" t="s">
        <v>21</v>
      </c>
      <c r="G2" s="46">
        <v>114</v>
      </c>
      <c r="H2" s="132">
        <f>IF(B$17=0,0,G2/B$17)</f>
        <v>0.54028436018957349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-675.28089887640454</v>
      </c>
      <c r="P2" s="118">
        <v>89</v>
      </c>
      <c r="Q2" s="102">
        <v>-60100</v>
      </c>
    </row>
    <row r="3" spans="1:17" x14ac:dyDescent="0.4">
      <c r="A3" s="55" t="s">
        <v>8</v>
      </c>
      <c r="B3" s="152">
        <v>744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0.13270142180094788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281.60919540229884</v>
      </c>
      <c r="P3" s="119">
        <v>87</v>
      </c>
      <c r="Q3" s="103">
        <v>24500</v>
      </c>
    </row>
    <row r="4" spans="1:17" x14ac:dyDescent="0.4">
      <c r="A4" s="55" t="s">
        <v>6</v>
      </c>
      <c r="B4" s="154">
        <v>32.000000000000028</v>
      </c>
      <c r="C4" s="155"/>
      <c r="E4" s="63" t="s">
        <v>67</v>
      </c>
      <c r="F4" s="60" t="s">
        <v>23</v>
      </c>
      <c r="G4" s="47">
        <v>175</v>
      </c>
      <c r="H4" s="133">
        <f>IF(B$17=0,0,G4/B$17)</f>
        <v>0.82938388625592419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1300</v>
      </c>
      <c r="P4" s="119">
        <v>80</v>
      </c>
      <c r="Q4" s="103">
        <v>104000</v>
      </c>
    </row>
    <row r="5" spans="1:17" x14ac:dyDescent="0.4">
      <c r="A5" s="55" t="s">
        <v>7</v>
      </c>
      <c r="B5" s="156">
        <f>IF(B$2=0,0,B$4/B$2)</f>
        <v>0.35955056179775313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0.33175355450236965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862.31884057971013</v>
      </c>
      <c r="P5" s="119">
        <v>69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2.0449438202247192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0.29857819905213268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-473.77049180327867</v>
      </c>
      <c r="P6" s="119">
        <v>61</v>
      </c>
      <c r="Q6" s="103">
        <v>-28900</v>
      </c>
    </row>
    <row r="7" spans="1:17" x14ac:dyDescent="0.4">
      <c r="A7" s="55" t="s">
        <v>2</v>
      </c>
      <c r="B7" s="47">
        <v>27</v>
      </c>
      <c r="C7" s="39">
        <f>IF(B$2=0,0,B7/B$2)</f>
        <v>0.30337078651685395</v>
      </c>
      <c r="E7" s="63" t="s">
        <v>70</v>
      </c>
      <c r="F7" s="60" t="s">
        <v>25</v>
      </c>
      <c r="G7" s="47">
        <v>41</v>
      </c>
      <c r="H7" s="133">
        <f>IF(B$17=0,0,G7/B$17)</f>
        <v>0.19431279620853081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-285.71428571428572</v>
      </c>
      <c r="P7" s="120">
        <v>56</v>
      </c>
      <c r="Q7" s="104">
        <v>-16000</v>
      </c>
    </row>
    <row r="8" spans="1:17" x14ac:dyDescent="0.4">
      <c r="A8" s="55" t="s">
        <v>3</v>
      </c>
      <c r="B8" s="47">
        <v>31</v>
      </c>
      <c r="C8" s="39">
        <f>IF(B$2=0,0,B8/B$2)</f>
        <v>0.34831460674157305</v>
      </c>
      <c r="E8" s="63" t="s">
        <v>71</v>
      </c>
      <c r="F8" s="60" t="s">
        <v>26</v>
      </c>
      <c r="G8" s="47">
        <v>22</v>
      </c>
      <c r="H8" s="133">
        <f>IF(B$17=0,0,G8/B$17)</f>
        <v>0.10426540284360189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0.34831460674157305</v>
      </c>
      <c r="E9" s="63" t="s">
        <v>72</v>
      </c>
      <c r="F9" s="60" t="s">
        <v>27</v>
      </c>
      <c r="G9" s="47">
        <v>13</v>
      </c>
      <c r="H9" s="133">
        <f>IF(B$17=0,0,G9/B$17)</f>
        <v>6.1611374407582936E-2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0.10112359550561797</v>
      </c>
      <c r="E10" s="63" t="s">
        <v>73</v>
      </c>
      <c r="F10" s="60" t="s">
        <v>28</v>
      </c>
      <c r="G10" s="47">
        <v>109</v>
      </c>
      <c r="H10" s="133">
        <f>IF(B$17=0,0,G10/B$17)</f>
        <v>0.51658767772511849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0.1348314606741573</v>
      </c>
      <c r="E11" s="63" t="s">
        <v>74</v>
      </c>
      <c r="F11" s="60" t="s">
        <v>29</v>
      </c>
      <c r="G11" s="47">
        <v>2</v>
      </c>
      <c r="H11" s="133">
        <f>IF(B$17=0,0,G11/B$17)</f>
        <v>9.4786729857819912E-3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217</v>
      </c>
      <c r="C13" s="44">
        <f>IF(B$3=0,0,B13/B$3)</f>
        <v>0.29166666666666669</v>
      </c>
      <c r="E13" s="63" t="s">
        <v>76</v>
      </c>
      <c r="F13" s="60" t="s">
        <v>31</v>
      </c>
      <c r="G13" s="47">
        <v>3</v>
      </c>
      <c r="H13" s="133">
        <f>IF(B$17=0,0,G13/B$17)</f>
        <v>1.4218009478672985E-2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0.18817204301075269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0.56221198156682028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9</v>
      </c>
      <c r="H16" s="133">
        <f>IF(B$17=0,0,G16/B$17)</f>
        <v>4.2654028436018961E-2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20.717241379310341</v>
      </c>
      <c r="P16" s="119">
        <v>29</v>
      </c>
      <c r="Q16" s="107">
        <v>600.79999999999984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0.28360215053763443</v>
      </c>
      <c r="E17" s="63" t="s">
        <v>80</v>
      </c>
      <c r="F17" s="60" t="s">
        <v>35</v>
      </c>
      <c r="G17" s="47">
        <v>3</v>
      </c>
      <c r="H17" s="133">
        <f>IF(B$17=0,0,G17/B$17)</f>
        <v>1.4218009478672985E-2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82</v>
      </c>
      <c r="F19" s="60" t="s">
        <v>37</v>
      </c>
      <c r="G19" s="47">
        <v>8</v>
      </c>
      <c r="H19" s="133">
        <f>IF(B$17=0,0,G19/B$17)</f>
        <v>3.7914691943127965E-2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130</v>
      </c>
      <c r="C20" s="39">
        <f>IF(B$3=0,0,B20/B$3)</f>
        <v>0.17473118279569894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5.2132701421800945E-2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9.4786729857819912E-3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9831.2796208530799</v>
      </c>
      <c r="C23" s="41">
        <v>2074400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-8504.6153846153848</v>
      </c>
      <c r="C24" s="45">
        <v>-1105600</v>
      </c>
      <c r="E24" s="63" t="s">
        <v>87</v>
      </c>
      <c r="F24" s="60" t="s">
        <v>42</v>
      </c>
      <c r="G24" s="47">
        <v>16</v>
      </c>
      <c r="H24" s="133">
        <f>IF(B$17=0,0,G24/B$17)</f>
        <v>7.582938388625593E-2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4.7393364928909956E-3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90</v>
      </c>
      <c r="F27" s="60" t="s">
        <v>45</v>
      </c>
      <c r="G27" s="47">
        <v>35</v>
      </c>
      <c r="H27" s="133">
        <f>IF(B$17=0,0,G27/B$17)</f>
        <v>0.16587677725118483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2.843601895734597E-2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9.4786729857819912E-3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4.7393364928909956E-3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1.8957345971563982E-2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80</v>
      </c>
      <c r="H51" s="140">
        <f>IF(B$17=0,0,G51/B$17)</f>
        <v>0.37914691943127959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</sheetData>
  <sortState ref="E2:I9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78</v>
      </c>
      <c r="C2" s="151"/>
      <c r="E2" s="62" t="s">
        <v>65</v>
      </c>
      <c r="F2" s="59" t="s">
        <v>21</v>
      </c>
      <c r="G2" s="46">
        <v>79</v>
      </c>
      <c r="H2" s="132">
        <f>IF(B$17=0,0,G2/B$17)</f>
        <v>0.34497816593886466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630.76923076923072</v>
      </c>
      <c r="P2" s="118">
        <v>78</v>
      </c>
      <c r="Q2" s="102">
        <v>49200</v>
      </c>
    </row>
    <row r="3" spans="1:17" x14ac:dyDescent="0.4">
      <c r="A3" s="55" t="s">
        <v>8</v>
      </c>
      <c r="B3" s="152">
        <v>666</v>
      </c>
      <c r="C3" s="153"/>
      <c r="E3" s="63" t="s">
        <v>66</v>
      </c>
      <c r="F3" s="60" t="s">
        <v>22</v>
      </c>
      <c r="G3" s="47">
        <v>26</v>
      </c>
      <c r="H3" s="133">
        <f>IF(B$17=0,0,G3/B$17)</f>
        <v>0.11353711790393013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-897.43589743589746</v>
      </c>
      <c r="P3" s="119">
        <v>78</v>
      </c>
      <c r="Q3" s="103">
        <v>-70000</v>
      </c>
    </row>
    <row r="4" spans="1:17" x14ac:dyDescent="0.4">
      <c r="A4" s="55" t="s">
        <v>6</v>
      </c>
      <c r="B4" s="154">
        <v>-38.600000000000016</v>
      </c>
      <c r="C4" s="155"/>
      <c r="E4" s="63" t="s">
        <v>67</v>
      </c>
      <c r="F4" s="60" t="s">
        <v>23</v>
      </c>
      <c r="G4" s="47">
        <v>151</v>
      </c>
      <c r="H4" s="133">
        <f>IF(B$17=0,0,G4/B$17)</f>
        <v>0.65938864628820959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-1478.5714285714287</v>
      </c>
      <c r="P4" s="119">
        <v>70</v>
      </c>
      <c r="Q4" s="103">
        <v>-103500</v>
      </c>
    </row>
    <row r="5" spans="1:17" x14ac:dyDescent="0.4">
      <c r="A5" s="55" t="s">
        <v>7</v>
      </c>
      <c r="B5" s="156">
        <f>IF(B$2=0,0,B$4/B$2)</f>
        <v>-0.49487179487179506</v>
      </c>
      <c r="C5" s="157"/>
      <c r="E5" s="63" t="s">
        <v>68</v>
      </c>
      <c r="F5" s="60" t="s">
        <v>24</v>
      </c>
      <c r="G5" s="47">
        <v>40</v>
      </c>
      <c r="H5" s="133">
        <f>IF(B$17=0,0,G5/B$17)</f>
        <v>0.17467248908296942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740.90909090909088</v>
      </c>
      <c r="P5" s="119">
        <v>66</v>
      </c>
      <c r="Q5" s="103">
        <v>48900</v>
      </c>
    </row>
    <row r="6" spans="1:17" x14ac:dyDescent="0.4">
      <c r="A6" s="55" t="s">
        <v>1</v>
      </c>
      <c r="B6" s="146">
        <f>IF(B$2=0,0,(B$7*1+B$8*2+B$9*3)/B$2)</f>
        <v>2.0384615384615383</v>
      </c>
      <c r="C6" s="147"/>
      <c r="E6" s="63" t="s">
        <v>69</v>
      </c>
      <c r="F6" s="60" t="s">
        <v>12</v>
      </c>
      <c r="G6" s="47">
        <v>60</v>
      </c>
      <c r="H6" s="133">
        <f>IF(B$17=0,0,G6/B$17)</f>
        <v>0.26200873362445415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900</v>
      </c>
      <c r="P6" s="119">
        <v>62</v>
      </c>
      <c r="Q6" s="103">
        <v>55800</v>
      </c>
    </row>
    <row r="7" spans="1:17" x14ac:dyDescent="0.4">
      <c r="A7" s="55" t="s">
        <v>2</v>
      </c>
      <c r="B7" s="47">
        <v>21</v>
      </c>
      <c r="C7" s="39">
        <f>IF(B$2=0,0,B7/B$2)</f>
        <v>0.26923076923076922</v>
      </c>
      <c r="E7" s="63" t="s">
        <v>70</v>
      </c>
      <c r="F7" s="60" t="s">
        <v>25</v>
      </c>
      <c r="G7" s="47">
        <v>33</v>
      </c>
      <c r="H7" s="133">
        <f>IF(B$17=0,0,G7/B$17)</f>
        <v>0.14410480349344978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-372.22222222222223</v>
      </c>
      <c r="P7" s="120">
        <v>54</v>
      </c>
      <c r="Q7" s="104">
        <v>-20100</v>
      </c>
    </row>
    <row r="8" spans="1:17" x14ac:dyDescent="0.4">
      <c r="A8" s="55" t="s">
        <v>3</v>
      </c>
      <c r="B8" s="47">
        <v>33</v>
      </c>
      <c r="C8" s="39">
        <f>IF(B$2=0,0,B8/B$2)</f>
        <v>0.42307692307692307</v>
      </c>
      <c r="E8" s="63" t="s">
        <v>71</v>
      </c>
      <c r="F8" s="60" t="s">
        <v>26</v>
      </c>
      <c r="G8" s="47">
        <v>15</v>
      </c>
      <c r="H8" s="133">
        <f>IF(B$17=0,0,G8/B$17)</f>
        <v>6.5502183406113537E-2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0.30769230769230771</v>
      </c>
      <c r="E9" s="63" t="s">
        <v>72</v>
      </c>
      <c r="F9" s="60" t="s">
        <v>27</v>
      </c>
      <c r="G9" s="47">
        <v>19</v>
      </c>
      <c r="H9" s="133">
        <f>IF(B$17=0,0,G9/B$17)</f>
        <v>8.296943231441048E-2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5.128205128205128E-2</v>
      </c>
      <c r="E10" s="63" t="s">
        <v>73</v>
      </c>
      <c r="F10" s="60" t="s">
        <v>28</v>
      </c>
      <c r="G10" s="47">
        <v>133</v>
      </c>
      <c r="H10" s="133">
        <f>IF(B$17=0,0,G10/B$17)</f>
        <v>0.58078602620087338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-7.654545454545457</v>
      </c>
      <c r="P10" s="118">
        <v>22</v>
      </c>
      <c r="Q10" s="106">
        <v>-168.40000000000006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0.11538461538461539</v>
      </c>
      <c r="E11" s="63" t="s">
        <v>74</v>
      </c>
      <c r="F11" s="60" t="s">
        <v>29</v>
      </c>
      <c r="G11" s="47">
        <v>1</v>
      </c>
      <c r="H11" s="133">
        <f>IF(B$17=0,0,G11/B$17)</f>
        <v>4.3668122270742356E-3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6</v>
      </c>
      <c r="C12" s="42">
        <f>IF(B$2=0,0,B12/B$2)</f>
        <v>7.6923076923076927E-2</v>
      </c>
      <c r="E12" s="63" t="s">
        <v>75</v>
      </c>
      <c r="F12" s="60" t="s">
        <v>30</v>
      </c>
      <c r="G12" s="47">
        <v>1</v>
      </c>
      <c r="H12" s="133">
        <f>IF(B$17=0,0,G12/B$17)</f>
        <v>4.3668122270742356E-3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0.10322580645161285</v>
      </c>
      <c r="P12" s="120">
        <v>31</v>
      </c>
      <c r="Q12" s="108">
        <v>3.1999999999999984</v>
      </c>
    </row>
    <row r="13" spans="1:17" x14ac:dyDescent="0.4">
      <c r="A13" s="58" t="s">
        <v>122</v>
      </c>
      <c r="B13" s="50">
        <v>142</v>
      </c>
      <c r="C13" s="44">
        <f>IF(B$3=0,0,B13/B$3)</f>
        <v>0.21321321321321321</v>
      </c>
      <c r="E13" s="63" t="s">
        <v>76</v>
      </c>
      <c r="F13" s="60" t="s">
        <v>31</v>
      </c>
      <c r="G13" s="47">
        <v>1</v>
      </c>
      <c r="H13" s="133">
        <f>IF(B$17=0,0,G13/B$17)</f>
        <v>4.3668122270742356E-3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0.29129129129129128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0.56338028169014087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82</v>
      </c>
      <c r="C16" s="37">
        <f>IF(B$14=0,0,B16/B$14)</f>
        <v>0.42268041237113402</v>
      </c>
      <c r="E16" s="63" t="s">
        <v>79</v>
      </c>
      <c r="F16" s="60" t="s">
        <v>34</v>
      </c>
      <c r="G16" s="47">
        <v>3</v>
      </c>
      <c r="H16" s="133">
        <f>IF(B$17=0,0,G16/B$17)</f>
        <v>1.3100436681222707E-2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229</v>
      </c>
      <c r="C17" s="37">
        <f>IF(B$3=0,0,B17/B$3)</f>
        <v>0.34384384384384387</v>
      </c>
      <c r="E17" s="63" t="s">
        <v>80</v>
      </c>
      <c r="F17" s="60" t="s">
        <v>35</v>
      </c>
      <c r="G17" s="47">
        <v>3</v>
      </c>
      <c r="H17" s="133">
        <f>IF(B$17=0,0,G17/B$17)</f>
        <v>1.3100436681222707E-2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97</v>
      </c>
      <c r="C18" s="39">
        <f>IF(B$17=0,0,B18/B$17)</f>
        <v>0.42358078602620086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173</v>
      </c>
      <c r="O18" s="125">
        <f t="shared" si="2"/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132</v>
      </c>
      <c r="C19" s="39">
        <f>IF(B$17=0,0,B19/B$17)</f>
        <v>0.57641921397379914</v>
      </c>
      <c r="E19" s="63" t="s">
        <v>82</v>
      </c>
      <c r="F19" s="60" t="s">
        <v>37</v>
      </c>
      <c r="G19" s="47">
        <v>8</v>
      </c>
      <c r="H19" s="133">
        <f>IF(B$17=0,0,G19/B$17)</f>
        <v>3.4934497816593885E-2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2"/>
        <v>4.3735294117647054</v>
      </c>
      <c r="P19" s="119">
        <v>34</v>
      </c>
      <c r="Q19" s="107">
        <v>148.69999999999999</v>
      </c>
    </row>
    <row r="20" spans="1:17" x14ac:dyDescent="0.4">
      <c r="A20" s="55" t="s">
        <v>13</v>
      </c>
      <c r="B20" s="47">
        <v>92</v>
      </c>
      <c r="C20" s="39">
        <f>IF(B$3=0,0,B20/B$3)</f>
        <v>0.13813813813813813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200</v>
      </c>
      <c r="O20" s="125">
        <f t="shared" si="2"/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6.5502183406113537E-2</v>
      </c>
      <c r="I21" s="94">
        <v>3</v>
      </c>
      <c r="K21" s="38">
        <v>19</v>
      </c>
      <c r="L21" s="99">
        <v>29.200000000000003</v>
      </c>
      <c r="N21" s="115" t="s">
        <v>177</v>
      </c>
      <c r="O21" s="125">
        <f t="shared" si="2"/>
        <v>-3.7111111111111117</v>
      </c>
      <c r="P21" s="119">
        <v>18</v>
      </c>
      <c r="Q21" s="107">
        <v>-66.800000000000011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6775.1091703056773</v>
      </c>
      <c r="C23" s="41">
        <v>1551500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-21.160465116279067</v>
      </c>
      <c r="P23" s="119">
        <v>43</v>
      </c>
      <c r="Q23" s="107">
        <v>-909.89999999999986</v>
      </c>
    </row>
    <row r="24" spans="1:17" x14ac:dyDescent="0.4">
      <c r="A24" s="57" t="s">
        <v>14</v>
      </c>
      <c r="B24" s="52">
        <f>IF(B$20=0,0,C24/B$20)</f>
        <v>-8579.347826086956</v>
      </c>
      <c r="C24" s="45">
        <v>-789300</v>
      </c>
      <c r="E24" s="63" t="s">
        <v>87</v>
      </c>
      <c r="F24" s="60" t="s">
        <v>42</v>
      </c>
      <c r="G24" s="47">
        <v>8</v>
      </c>
      <c r="H24" s="133">
        <f>IF(B$17=0,0,G24/B$17)</f>
        <v>3.4934497816593885E-2</v>
      </c>
      <c r="I24" s="94">
        <v>9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4.3668122270742356E-3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1.5015015015015015E-3</v>
      </c>
      <c r="E27" s="63" t="s">
        <v>90</v>
      </c>
      <c r="F27" s="60" t="s">
        <v>45</v>
      </c>
      <c r="G27" s="47">
        <v>18</v>
      </c>
      <c r="H27" s="133">
        <f>IF(B$17=0,0,G27/B$17)</f>
        <v>7.8602620087336247E-2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4.3668122270742356E-3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1.7467248908296942E-2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138" t="s">
        <v>245</v>
      </c>
      <c r="F51" s="139" t="s">
        <v>246</v>
      </c>
      <c r="G51" s="48">
        <v>99</v>
      </c>
      <c r="H51" s="140">
        <f>IF(B$17=0,0,G51/B$17)</f>
        <v>0.43231441048034935</v>
      </c>
      <c r="I51" s="141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</sheetData>
  <sortState ref="E2:I8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78</v>
      </c>
      <c r="H2" s="132">
        <f>IF(B$17=0,0,G2/B$17)</f>
        <v>0.67241379310344829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-2791.304347826087</v>
      </c>
      <c r="P2" s="118">
        <v>46</v>
      </c>
      <c r="Q2" s="102">
        <v>-128400</v>
      </c>
    </row>
    <row r="3" spans="1:17" x14ac:dyDescent="0.4">
      <c r="A3" s="55" t="s">
        <v>8</v>
      </c>
      <c r="B3" s="152">
        <v>395</v>
      </c>
      <c r="C3" s="153"/>
      <c r="E3" s="63" t="s">
        <v>73</v>
      </c>
      <c r="F3" s="60" t="s">
        <v>28</v>
      </c>
      <c r="G3" s="47">
        <v>61</v>
      </c>
      <c r="H3" s="133">
        <f>IF(B$17=0,0,G3/B$17)</f>
        <v>0.52586206896551724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2121.7391304347825</v>
      </c>
      <c r="P3" s="119">
        <v>46</v>
      </c>
      <c r="Q3" s="103">
        <v>97600</v>
      </c>
    </row>
    <row r="4" spans="1:17" x14ac:dyDescent="0.4">
      <c r="A4" s="55" t="s">
        <v>6</v>
      </c>
      <c r="B4" s="154">
        <v>-377.4</v>
      </c>
      <c r="C4" s="155"/>
      <c r="E4" s="63" t="s">
        <v>65</v>
      </c>
      <c r="F4" s="60" t="s">
        <v>21</v>
      </c>
      <c r="G4" s="47">
        <v>50</v>
      </c>
      <c r="H4" s="133">
        <f>IF(B$17=0,0,G4/B$17)</f>
        <v>0.43103448275862066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-865.11627906976742</v>
      </c>
      <c r="P4" s="119">
        <v>43</v>
      </c>
      <c r="Q4" s="103">
        <v>-37200</v>
      </c>
    </row>
    <row r="5" spans="1:17" x14ac:dyDescent="0.4">
      <c r="A5" s="55" t="s">
        <v>7</v>
      </c>
      <c r="B5" s="156">
        <f>IF(B$2=0,0,B$4/B$2)</f>
        <v>-8.2043478260869556</v>
      </c>
      <c r="C5" s="157"/>
      <c r="E5" s="63" t="s">
        <v>245</v>
      </c>
      <c r="F5" s="60" t="s">
        <v>246</v>
      </c>
      <c r="G5" s="47">
        <v>46</v>
      </c>
      <c r="H5" s="133">
        <f>IF(B$17=0,0,G5/B$17)</f>
        <v>0.39655172413793105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-3805</v>
      </c>
      <c r="P5" s="119">
        <v>40</v>
      </c>
      <c r="Q5" s="103">
        <v>-152200</v>
      </c>
    </row>
    <row r="6" spans="1:17" x14ac:dyDescent="0.4">
      <c r="A6" s="55" t="s">
        <v>1</v>
      </c>
      <c r="B6" s="146">
        <f>IF(B$2=0,0,(B$7*1+B$8*2+B$9*3)/B$2)</f>
        <v>2.1086956521739131</v>
      </c>
      <c r="C6" s="147"/>
      <c r="E6" s="63" t="s">
        <v>69</v>
      </c>
      <c r="F6" s="60" t="s">
        <v>12</v>
      </c>
      <c r="G6" s="47">
        <v>45</v>
      </c>
      <c r="H6" s="133">
        <f>IF(B$17=0,0,G6/B$17)</f>
        <v>0.38793103448275862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-205.55555555555554</v>
      </c>
      <c r="P6" s="119">
        <v>36</v>
      </c>
      <c r="Q6" s="103">
        <v>-7400</v>
      </c>
    </row>
    <row r="7" spans="1:17" x14ac:dyDescent="0.4">
      <c r="A7" s="55" t="s">
        <v>2</v>
      </c>
      <c r="B7" s="47">
        <v>13</v>
      </c>
      <c r="C7" s="39">
        <f>IF(B$2=0,0,B7/B$2)</f>
        <v>0.28260869565217389</v>
      </c>
      <c r="E7" s="63" t="s">
        <v>68</v>
      </c>
      <c r="F7" s="60" t="s">
        <v>24</v>
      </c>
      <c r="G7" s="47">
        <v>28</v>
      </c>
      <c r="H7" s="133">
        <f>IF(B$17=0,0,G7/B$17)</f>
        <v>0.2413793103448276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520</v>
      </c>
      <c r="P7" s="120">
        <v>35</v>
      </c>
      <c r="Q7" s="104">
        <v>18200</v>
      </c>
    </row>
    <row r="8" spans="1:17" x14ac:dyDescent="0.4">
      <c r="A8" s="55" t="s">
        <v>3</v>
      </c>
      <c r="B8" s="47">
        <v>15</v>
      </c>
      <c r="C8" s="39">
        <f>IF(B$2=0,0,B8/B$2)</f>
        <v>0.32608695652173914</v>
      </c>
      <c r="E8" s="63" t="s">
        <v>71</v>
      </c>
      <c r="F8" s="60" t="s">
        <v>26</v>
      </c>
      <c r="G8" s="47">
        <v>14</v>
      </c>
      <c r="H8" s="133">
        <f>IF(B$17=0,0,G8/B$17)</f>
        <v>0.1206896551724138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0.39130434782608697</v>
      </c>
      <c r="E9" s="63" t="s">
        <v>90</v>
      </c>
      <c r="F9" s="60" t="s">
        <v>45</v>
      </c>
      <c r="G9" s="47">
        <v>14</v>
      </c>
      <c r="H9" s="133">
        <f>IF(B$17=0,0,G9/B$17)</f>
        <v>0.1206896551724138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0.13043478260869565</v>
      </c>
      <c r="E10" s="63" t="s">
        <v>70</v>
      </c>
      <c r="F10" s="60" t="s">
        <v>25</v>
      </c>
      <c r="G10" s="47">
        <v>13</v>
      </c>
      <c r="H10" s="133">
        <f>IF(B$17=0,0,G10/B$17)</f>
        <v>0.11206896551724138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-10.408333333333333</v>
      </c>
      <c r="P10" s="118">
        <v>12</v>
      </c>
      <c r="Q10" s="106">
        <v>-124.9</v>
      </c>
    </row>
    <row r="11" spans="1:17" x14ac:dyDescent="0.4">
      <c r="A11" s="56" t="s">
        <v>140</v>
      </c>
      <c r="B11" s="48">
        <v>3</v>
      </c>
      <c r="C11" s="40">
        <f>IF(B$2=0,0,B11/B$2)</f>
        <v>6.5217391304347824E-2</v>
      </c>
      <c r="E11" s="63" t="s">
        <v>66</v>
      </c>
      <c r="F11" s="60" t="s">
        <v>22</v>
      </c>
      <c r="G11" s="47">
        <v>9</v>
      </c>
      <c r="H11" s="133">
        <f>IF(B$17=0,0,G11/B$17)</f>
        <v>7.7586206896551727E-2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4.3478260869565216E-2</v>
      </c>
      <c r="E12" s="63" t="s">
        <v>72</v>
      </c>
      <c r="F12" s="60" t="s">
        <v>27</v>
      </c>
      <c r="G12" s="47">
        <v>6</v>
      </c>
      <c r="H12" s="133">
        <f>IF(B$17=0,0,G12/B$17)</f>
        <v>5.1724137931034482E-2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-11.453846153846152</v>
      </c>
      <c r="P12" s="120">
        <v>13</v>
      </c>
      <c r="Q12" s="108">
        <v>-148.89999999999998</v>
      </c>
    </row>
    <row r="13" spans="1:17" x14ac:dyDescent="0.4">
      <c r="A13" s="58" t="s">
        <v>122</v>
      </c>
      <c r="B13" s="50">
        <v>89</v>
      </c>
      <c r="C13" s="44">
        <f>IF(B$3=0,0,B13/B$3)</f>
        <v>0.22531645569620254</v>
      </c>
      <c r="E13" s="63" t="s">
        <v>87</v>
      </c>
      <c r="F13" s="60" t="s">
        <v>42</v>
      </c>
      <c r="G13" s="47">
        <v>4</v>
      </c>
      <c r="H13" s="133">
        <f>IF(B$17=0,0,G13/B$17)</f>
        <v>3.4482758620689655E-2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</v>
      </c>
      <c r="C14" s="39">
        <f>IF(B$3=0,0,B14/B$3)</f>
        <v>0.25569620253164554</v>
      </c>
      <c r="E14" s="63" t="s">
        <v>74</v>
      </c>
      <c r="F14" s="60" t="s">
        <v>29</v>
      </c>
      <c r="G14" s="47">
        <v>2</v>
      </c>
      <c r="H14" s="133">
        <f>IF(B$17=0,0,G14/B$17)</f>
        <v>1.7241379310344827E-2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0.5842696629213483</v>
      </c>
      <c r="E15" s="63" t="s">
        <v>79</v>
      </c>
      <c r="F15" s="60" t="s">
        <v>34</v>
      </c>
      <c r="G15" s="47">
        <v>2</v>
      </c>
      <c r="H15" s="133">
        <f>IF(B$17=0,0,G15/B$17)</f>
        <v>1.7241379310344827E-2</v>
      </c>
      <c r="I15" s="94">
        <v>9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0.32673267326732675</v>
      </c>
      <c r="E16" s="63" t="s">
        <v>80</v>
      </c>
      <c r="F16" s="60" t="s">
        <v>35</v>
      </c>
      <c r="G16" s="47">
        <v>2</v>
      </c>
      <c r="H16" s="133">
        <f>IF(B$17=0,0,G16/B$17)</f>
        <v>1.7241379310344827E-2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-5.6727272727272711</v>
      </c>
      <c r="P16" s="119">
        <v>22</v>
      </c>
      <c r="Q16" s="107">
        <v>-124.79999999999997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0.29367088607594938</v>
      </c>
      <c r="E17" s="63" t="s">
        <v>84</v>
      </c>
      <c r="F17" s="60" t="s">
        <v>39</v>
      </c>
      <c r="G17" s="47">
        <v>2</v>
      </c>
      <c r="H17" s="133">
        <f>IF(B$17=0,0,G17/B$17)</f>
        <v>1.7241379310344827E-2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59</v>
      </c>
      <c r="C18" s="39">
        <f>IF(B$17=0,0,B18/B$17)</f>
        <v>0.50862068965517238</v>
      </c>
      <c r="E18" s="63" t="s">
        <v>92</v>
      </c>
      <c r="F18" s="60" t="s">
        <v>47</v>
      </c>
      <c r="G18" s="47">
        <v>2</v>
      </c>
      <c r="H18" s="133">
        <f>IF(B$17=0,0,G18/B$17)</f>
        <v>1.7241379310344827E-2</v>
      </c>
      <c r="I18" s="94">
        <v>7</v>
      </c>
      <c r="K18" s="38">
        <v>16</v>
      </c>
      <c r="L18" s="99">
        <v>-292.79999999999995</v>
      </c>
      <c r="N18" s="115" t="s">
        <v>171</v>
      </c>
      <c r="O18" s="125">
        <f>IF(P18=0,0,Q18/P18)</f>
        <v>-11.647058823529409</v>
      </c>
      <c r="P18" s="119">
        <v>17</v>
      </c>
      <c r="Q18" s="107">
        <v>-197.99999999999997</v>
      </c>
    </row>
    <row r="19" spans="1:17" x14ac:dyDescent="0.4">
      <c r="A19" s="55" t="s">
        <v>11</v>
      </c>
      <c r="B19" s="47">
        <v>57</v>
      </c>
      <c r="C19" s="39">
        <f>IF(B$17=0,0,B19/B$17)</f>
        <v>0.49137931034482757</v>
      </c>
      <c r="E19" s="63" t="s">
        <v>180</v>
      </c>
      <c r="F19" s="60" t="s">
        <v>181</v>
      </c>
      <c r="G19" s="47">
        <v>2</v>
      </c>
      <c r="H19" s="133">
        <f>IF(B$17=0,0,G19/B$17)</f>
        <v>1.7241379310344827E-2</v>
      </c>
      <c r="I19" s="94">
        <v>4</v>
      </c>
      <c r="K19" s="38">
        <v>17</v>
      </c>
      <c r="L19" s="99">
        <v>-248.89999999999995</v>
      </c>
      <c r="N19" s="115" t="s">
        <v>127</v>
      </c>
      <c r="O19" s="125">
        <f>IF(P19=0,0,Q19/P19)</f>
        <v>-21.768181818181816</v>
      </c>
      <c r="P19" s="119">
        <v>22</v>
      </c>
      <c r="Q19" s="107">
        <v>-478.9</v>
      </c>
    </row>
    <row r="20" spans="1:17" x14ac:dyDescent="0.4">
      <c r="A20" s="55" t="s">
        <v>13</v>
      </c>
      <c r="B20" s="47">
        <v>75</v>
      </c>
      <c r="C20" s="39">
        <f>IF(B$3=0,0,B20/B$3)</f>
        <v>0.189873417721519</v>
      </c>
      <c r="E20" s="63" t="s">
        <v>88</v>
      </c>
      <c r="F20" s="60" t="s">
        <v>43</v>
      </c>
      <c r="G20" s="47">
        <v>1</v>
      </c>
      <c r="H20" s="133">
        <f>IF(B$17=0,0,G20/B$17)</f>
        <v>8.6206896551724137E-3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200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6945.6896551724139</v>
      </c>
      <c r="C23" s="41">
        <v>805700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-8300</v>
      </c>
      <c r="C24" s="45">
        <v>-622500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5.0632911392405064E-3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</v>
      </c>
      <c r="C2" s="151"/>
      <c r="E2" s="62" t="s">
        <v>65</v>
      </c>
      <c r="F2" s="59" t="s">
        <v>21</v>
      </c>
      <c r="G2" s="46">
        <v>100</v>
      </c>
      <c r="H2" s="132">
        <f>IF(B$17=0,0,G2/B$17)</f>
        <v>0.62893081761006286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1484.6153846153845</v>
      </c>
      <c r="P2" s="118">
        <v>65</v>
      </c>
      <c r="Q2" s="102">
        <v>96500</v>
      </c>
    </row>
    <row r="3" spans="1:17" x14ac:dyDescent="0.4">
      <c r="A3" s="55" t="s">
        <v>8</v>
      </c>
      <c r="B3" s="152">
        <v>525</v>
      </c>
      <c r="C3" s="153"/>
      <c r="E3" s="63" t="s">
        <v>67</v>
      </c>
      <c r="F3" s="60" t="s">
        <v>23</v>
      </c>
      <c r="G3" s="47">
        <v>93</v>
      </c>
      <c r="H3" s="133">
        <f>IF(B$17=0,0,G3/B$17)</f>
        <v>0.58490566037735847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1085.483870967742</v>
      </c>
      <c r="P3" s="119">
        <v>62</v>
      </c>
      <c r="Q3" s="103">
        <v>67300</v>
      </c>
    </row>
    <row r="4" spans="1:17" x14ac:dyDescent="0.4">
      <c r="A4" s="55" t="s">
        <v>6</v>
      </c>
      <c r="B4" s="154">
        <v>328.6</v>
      </c>
      <c r="C4" s="155"/>
      <c r="E4" s="63" t="s">
        <v>245</v>
      </c>
      <c r="F4" s="60" t="s">
        <v>246</v>
      </c>
      <c r="G4" s="47">
        <v>69</v>
      </c>
      <c r="H4" s="133">
        <f>IF(B$17=0,0,G4/B$17)</f>
        <v>0.43396226415094341</v>
      </c>
      <c r="I4" s="94">
        <v>2</v>
      </c>
      <c r="K4" s="38">
        <v>2</v>
      </c>
      <c r="L4" s="99">
        <v>30</v>
      </c>
      <c r="N4" s="115" t="s">
        <v>134</v>
      </c>
      <c r="O4" s="122">
        <f t="shared" si="0"/>
        <v>-752.72727272727275</v>
      </c>
      <c r="P4" s="119">
        <v>55</v>
      </c>
      <c r="Q4" s="103">
        <v>-41400</v>
      </c>
    </row>
    <row r="5" spans="1:17" x14ac:dyDescent="0.4">
      <c r="A5" s="55" t="s">
        <v>7</v>
      </c>
      <c r="B5" s="156">
        <f>IF(B$2=0,0,B$4/B$2)</f>
        <v>4.9787878787878794</v>
      </c>
      <c r="C5" s="157"/>
      <c r="E5" s="63" t="s">
        <v>73</v>
      </c>
      <c r="F5" s="60" t="s">
        <v>28</v>
      </c>
      <c r="G5" s="47">
        <v>62</v>
      </c>
      <c r="H5" s="133">
        <f>IF(B$17=0,0,G5/B$17)</f>
        <v>0.38993710691823902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2473.5849056603774</v>
      </c>
      <c r="P5" s="119">
        <v>53</v>
      </c>
      <c r="Q5" s="103">
        <v>131100</v>
      </c>
    </row>
    <row r="6" spans="1:17" x14ac:dyDescent="0.4">
      <c r="A6" s="55" t="s">
        <v>1</v>
      </c>
      <c r="B6" s="146">
        <f>IF(B$2=0,0,(B$7*1+B$8*2+B$9*3)/B$2)</f>
        <v>1.8636363636363635</v>
      </c>
      <c r="C6" s="147"/>
      <c r="E6" s="63" t="s">
        <v>68</v>
      </c>
      <c r="F6" s="60" t="s">
        <v>24</v>
      </c>
      <c r="G6" s="47">
        <v>61</v>
      </c>
      <c r="H6" s="133">
        <f>IF(B$17=0,0,G6/B$17)</f>
        <v>0.38364779874213839</v>
      </c>
      <c r="I6" s="94">
        <v>4</v>
      </c>
      <c r="K6" s="38">
        <v>4</v>
      </c>
      <c r="L6" s="99">
        <v>40</v>
      </c>
      <c r="N6" s="115" t="s">
        <v>136</v>
      </c>
      <c r="O6" s="122">
        <f t="shared" si="0"/>
        <v>-1159.5744680851064</v>
      </c>
      <c r="P6" s="119">
        <v>47</v>
      </c>
      <c r="Q6" s="103">
        <v>-54500</v>
      </c>
    </row>
    <row r="7" spans="1:17" x14ac:dyDescent="0.4">
      <c r="A7" s="55" t="s">
        <v>2</v>
      </c>
      <c r="B7" s="47">
        <v>27</v>
      </c>
      <c r="C7" s="39">
        <f>IF(B$2=0,0,B7/B$2)</f>
        <v>0.40909090909090912</v>
      </c>
      <c r="E7" s="63" t="s">
        <v>69</v>
      </c>
      <c r="F7" s="60" t="s">
        <v>12</v>
      </c>
      <c r="G7" s="47">
        <v>51</v>
      </c>
      <c r="H7" s="133">
        <f>IF(B$17=0,0,G7/B$17)</f>
        <v>0.32075471698113206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276.92307692307691</v>
      </c>
      <c r="P7" s="120">
        <v>39</v>
      </c>
      <c r="Q7" s="104">
        <v>10800</v>
      </c>
    </row>
    <row r="8" spans="1:17" x14ac:dyDescent="0.4">
      <c r="A8" s="55" t="s">
        <v>3</v>
      </c>
      <c r="B8" s="47">
        <v>21</v>
      </c>
      <c r="C8" s="39">
        <f>IF(B$2=0,0,B8/B$2)</f>
        <v>0.31818181818181818</v>
      </c>
      <c r="E8" s="63" t="s">
        <v>70</v>
      </c>
      <c r="F8" s="60" t="s">
        <v>25</v>
      </c>
      <c r="G8" s="47">
        <v>28</v>
      </c>
      <c r="H8" s="133">
        <f>IF(B$17=0,0,G8/B$17)</f>
        <v>0.1761006289308176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0.27272727272727271</v>
      </c>
      <c r="E9" s="63" t="s">
        <v>66</v>
      </c>
      <c r="F9" s="60" t="s">
        <v>22</v>
      </c>
      <c r="G9" s="47">
        <v>19</v>
      </c>
      <c r="H9" s="133">
        <f>IF(B$17=0,0,G9/B$17)</f>
        <v>0.11949685534591195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0.15151515151515152</v>
      </c>
      <c r="E10" s="63" t="s">
        <v>90</v>
      </c>
      <c r="F10" s="60" t="s">
        <v>45</v>
      </c>
      <c r="G10" s="47">
        <v>17</v>
      </c>
      <c r="H10" s="133">
        <f>IF(B$17=0,0,G10/B$17)</f>
        <v>0.1069182389937107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5.723809523809523</v>
      </c>
      <c r="P10" s="118">
        <v>21</v>
      </c>
      <c r="Q10" s="106">
        <v>120.19999999999999</v>
      </c>
    </row>
    <row r="11" spans="1:17" x14ac:dyDescent="0.4">
      <c r="A11" s="56" t="s">
        <v>140</v>
      </c>
      <c r="B11" s="48">
        <v>9</v>
      </c>
      <c r="C11" s="40">
        <f>IF(B$2=0,0,B11/B$2)</f>
        <v>0.13636363636363635</v>
      </c>
      <c r="E11" s="63" t="s">
        <v>71</v>
      </c>
      <c r="F11" s="60" t="s">
        <v>26</v>
      </c>
      <c r="G11" s="47">
        <v>12</v>
      </c>
      <c r="H11" s="133">
        <f>IF(B$17=0,0,G11/B$17)</f>
        <v>7.5471698113207544E-2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11.424000000000001</v>
      </c>
      <c r="P11" s="119">
        <v>25</v>
      </c>
      <c r="Q11" s="107">
        <v>285.60000000000002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72</v>
      </c>
      <c r="F12" s="60" t="s">
        <v>27</v>
      </c>
      <c r="G12" s="47">
        <v>9</v>
      </c>
      <c r="H12" s="133">
        <f>IF(B$17=0,0,G12/B$17)</f>
        <v>5.6603773584905662E-2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155</v>
      </c>
      <c r="C13" s="44">
        <f>IF(B$3=0,0,B13/B$3)</f>
        <v>0.29523809523809524</v>
      </c>
      <c r="E13" s="63" t="s">
        <v>87</v>
      </c>
      <c r="F13" s="60" t="s">
        <v>42</v>
      </c>
      <c r="G13" s="47">
        <v>8</v>
      </c>
      <c r="H13" s="133">
        <f>IF(B$17=0,0,G13/B$17)</f>
        <v>5.0314465408805034E-2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93</v>
      </c>
      <c r="C14" s="39">
        <f>IF(B$3=0,0,B14/B$3)</f>
        <v>0.17714285714285713</v>
      </c>
      <c r="E14" s="63" t="s">
        <v>84</v>
      </c>
      <c r="F14" s="60" t="s">
        <v>39</v>
      </c>
      <c r="G14" s="47">
        <v>7</v>
      </c>
      <c r="H14" s="133">
        <f>IF(B$17=0,0,G14/B$17)</f>
        <v>4.40251572327044E-2</v>
      </c>
      <c r="I14" s="94">
        <v>7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100</v>
      </c>
      <c r="C15" s="37">
        <f>IF(B$13=0,0,B15/B$13)</f>
        <v>0.64516129032258063</v>
      </c>
      <c r="E15" s="63" t="s">
        <v>79</v>
      </c>
      <c r="F15" s="60" t="s">
        <v>34</v>
      </c>
      <c r="G15" s="47">
        <v>5</v>
      </c>
      <c r="H15" s="133">
        <f>IF(B$17=0,0,G15/B$17)</f>
        <v>3.1446540880503145E-2</v>
      </c>
      <c r="I15" s="94">
        <v>5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0.35483870967741937</v>
      </c>
      <c r="E16" s="63" t="s">
        <v>92</v>
      </c>
      <c r="F16" s="60" t="s">
        <v>47</v>
      </c>
      <c r="G16" s="47">
        <v>5</v>
      </c>
      <c r="H16" s="133">
        <f>IF(B$17=0,0,G16/B$17)</f>
        <v>3.1446540880503145E-2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159</v>
      </c>
      <c r="C17" s="37">
        <f>IF(B$3=0,0,B17/B$3)</f>
        <v>0.30285714285714288</v>
      </c>
      <c r="E17" s="63" t="s">
        <v>82</v>
      </c>
      <c r="F17" s="60" t="s">
        <v>37</v>
      </c>
      <c r="G17" s="47">
        <v>4</v>
      </c>
      <c r="H17" s="133">
        <f>IF(B$17=0,0,G17/B$17)</f>
        <v>2.5157232704402517E-2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>IF(P17=0,0,Q17/P17)</f>
        <v>22.275000000000002</v>
      </c>
      <c r="P17" s="119">
        <v>8</v>
      </c>
      <c r="Q17" s="107">
        <v>178.20000000000002</v>
      </c>
    </row>
    <row r="18" spans="1:17" x14ac:dyDescent="0.4">
      <c r="A18" s="55" t="s">
        <v>12</v>
      </c>
      <c r="B18" s="47">
        <v>71</v>
      </c>
      <c r="C18" s="39">
        <f>IF(B$17=0,0,B18/B$17)</f>
        <v>0.44654088050314467</v>
      </c>
      <c r="E18" s="63" t="s">
        <v>86</v>
      </c>
      <c r="F18" s="60" t="s">
        <v>41</v>
      </c>
      <c r="G18" s="47">
        <v>3</v>
      </c>
      <c r="H18" s="133">
        <f>IF(B$17=0,0,G18/B$17)</f>
        <v>1.8867924528301886E-2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88</v>
      </c>
      <c r="C19" s="39">
        <f>IF(B$17=0,0,B19/B$17)</f>
        <v>0.55345911949685533</v>
      </c>
      <c r="E19" s="63" t="s">
        <v>80</v>
      </c>
      <c r="F19" s="60" t="s">
        <v>35</v>
      </c>
      <c r="G19" s="47">
        <v>2</v>
      </c>
      <c r="H19" s="133">
        <f>IF(B$17=0,0,G19/B$17)</f>
        <v>1.2578616352201259E-2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11.464</v>
      </c>
      <c r="P19" s="119">
        <v>25</v>
      </c>
      <c r="Q19" s="107">
        <v>286.60000000000002</v>
      </c>
    </row>
    <row r="20" spans="1:17" x14ac:dyDescent="0.4">
      <c r="A20" s="55" t="s">
        <v>13</v>
      </c>
      <c r="B20" s="47">
        <v>79</v>
      </c>
      <c r="C20" s="39">
        <f>IF(B$3=0,0,B20/B$3)</f>
        <v>0.15047619047619049</v>
      </c>
      <c r="E20" s="63" t="s">
        <v>91</v>
      </c>
      <c r="F20" s="60" t="s">
        <v>46</v>
      </c>
      <c r="G20" s="47">
        <v>2</v>
      </c>
      <c r="H20" s="133">
        <f>IF(B$17=0,0,G20/B$17)</f>
        <v>1.2578616352201259E-2</v>
      </c>
      <c r="I20" s="94">
        <v>1</v>
      </c>
      <c r="K20" s="38">
        <v>18</v>
      </c>
      <c r="L20" s="99">
        <v>-159</v>
      </c>
      <c r="N20" s="115" t="s">
        <v>184</v>
      </c>
      <c r="O20" s="125">
        <f>IF(P20=0,0,Q20/P20)</f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75</v>
      </c>
      <c r="F21" s="60" t="s">
        <v>30</v>
      </c>
      <c r="G21" s="47">
        <v>1</v>
      </c>
      <c r="H21" s="133">
        <f>IF(B$17=0,0,G21/B$17)</f>
        <v>6.2893081761006293E-3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3.7111111111111086</v>
      </c>
      <c r="P21" s="119">
        <v>18</v>
      </c>
      <c r="Q21" s="107">
        <v>66.799999999999955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76</v>
      </c>
      <c r="F22" s="60" t="s">
        <v>31</v>
      </c>
      <c r="G22" s="47">
        <v>1</v>
      </c>
      <c r="H22" s="133">
        <f>IF(B$17=0,0,G22/B$17)</f>
        <v>6.2893081761006293E-3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-21.61379310344828</v>
      </c>
      <c r="P22" s="119">
        <v>29</v>
      </c>
      <c r="Q22" s="107">
        <v>-626.80000000000018</v>
      </c>
    </row>
    <row r="23" spans="1:17" x14ac:dyDescent="0.4">
      <c r="A23" s="55" t="s">
        <v>5</v>
      </c>
      <c r="B23" s="51">
        <f>IF(B$17=0,0,C23/B$17)</f>
        <v>8937.1069182389929</v>
      </c>
      <c r="C23" s="41">
        <v>1421000</v>
      </c>
      <c r="E23" s="63" t="s">
        <v>93</v>
      </c>
      <c r="F23" s="60" t="s">
        <v>48</v>
      </c>
      <c r="G23" s="47">
        <v>1</v>
      </c>
      <c r="H23" s="133">
        <f>IF(B$17=0,0,G23/B$17)</f>
        <v>6.2893081761006293E-3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-7539.2405063291135</v>
      </c>
      <c r="C24" s="45">
        <v>-595600</v>
      </c>
      <c r="E24" s="63" t="s">
        <v>94</v>
      </c>
      <c r="F24" s="60" t="s">
        <v>49</v>
      </c>
      <c r="G24" s="47">
        <v>1</v>
      </c>
      <c r="H24" s="133">
        <f>IF(B$17=0,0,G24/B$17)</f>
        <v>6.2893081761006293E-3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6.2893081761006293E-3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5.7142857142857143E-3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  <row r="65" spans="11:12" x14ac:dyDescent="0.4">
      <c r="K65" s="38">
        <v>63</v>
      </c>
      <c r="L65" s="99">
        <v>345.6</v>
      </c>
    </row>
    <row r="66" spans="11:12" x14ac:dyDescent="0.4">
      <c r="K66" s="38">
        <v>64</v>
      </c>
      <c r="L66" s="99">
        <v>287.60000000000002</v>
      </c>
    </row>
    <row r="67" spans="11:12" x14ac:dyDescent="0.4">
      <c r="K67" s="38">
        <v>65</v>
      </c>
      <c r="L67" s="99">
        <v>323.60000000000002</v>
      </c>
    </row>
    <row r="68" spans="11:12" x14ac:dyDescent="0.4">
      <c r="K68" s="38">
        <v>66</v>
      </c>
      <c r="L68" s="99">
        <v>328.6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18</v>
      </c>
      <c r="C2" s="151"/>
      <c r="E2" s="62" t="s">
        <v>67</v>
      </c>
      <c r="F2" s="59" t="s">
        <v>23</v>
      </c>
      <c r="G2" s="46">
        <v>39</v>
      </c>
      <c r="H2" s="132">
        <f>IF(B$17=0,0,G2/B$17)</f>
        <v>0.9285714285714286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-1016.6666666666666</v>
      </c>
      <c r="P2" s="118">
        <v>18</v>
      </c>
      <c r="Q2" s="102">
        <v>-18300</v>
      </c>
    </row>
    <row r="3" spans="1:17" x14ac:dyDescent="0.4">
      <c r="A3" s="55" t="s">
        <v>8</v>
      </c>
      <c r="B3" s="152">
        <v>147</v>
      </c>
      <c r="C3" s="153"/>
      <c r="E3" s="63" t="s">
        <v>73</v>
      </c>
      <c r="F3" s="60" t="s">
        <v>28</v>
      </c>
      <c r="G3" s="47">
        <v>23</v>
      </c>
      <c r="H3" s="133">
        <f>IF(B$17=0,0,G3/B$17)</f>
        <v>0.54761904761904767</v>
      </c>
      <c r="I3" s="94">
        <v>6</v>
      </c>
      <c r="K3" s="38">
        <v>1</v>
      </c>
      <c r="L3" s="99">
        <v>-43.7</v>
      </c>
      <c r="N3" s="115" t="s">
        <v>133</v>
      </c>
      <c r="O3" s="122">
        <f t="shared" si="0"/>
        <v>-1044.4444444444443</v>
      </c>
      <c r="P3" s="119">
        <v>18</v>
      </c>
      <c r="Q3" s="103">
        <v>-18800</v>
      </c>
    </row>
    <row r="4" spans="1:17" x14ac:dyDescent="0.4">
      <c r="A4" s="55" t="s">
        <v>6</v>
      </c>
      <c r="B4" s="154">
        <v>-127.5</v>
      </c>
      <c r="C4" s="155"/>
      <c r="E4" s="63" t="s">
        <v>65</v>
      </c>
      <c r="F4" s="60" t="s">
        <v>21</v>
      </c>
      <c r="G4" s="47">
        <v>22</v>
      </c>
      <c r="H4" s="133">
        <f>IF(B$17=0,0,G4/B$17)</f>
        <v>0.52380952380952384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152.94117647058823</v>
      </c>
      <c r="P4" s="119">
        <v>17</v>
      </c>
      <c r="Q4" s="103">
        <v>2600</v>
      </c>
    </row>
    <row r="5" spans="1:17" x14ac:dyDescent="0.4">
      <c r="A5" s="55" t="s">
        <v>7</v>
      </c>
      <c r="B5" s="156">
        <f>IF(B$2=0,0,B$4/B$2)</f>
        <v>-7.083333333333333</v>
      </c>
      <c r="C5" s="157"/>
      <c r="E5" s="63" t="s">
        <v>245</v>
      </c>
      <c r="F5" s="60" t="s">
        <v>246</v>
      </c>
      <c r="G5" s="47">
        <v>15</v>
      </c>
      <c r="H5" s="133">
        <f>IF(B$17=0,0,G5/B$17)</f>
        <v>0.35714285714285715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-4237.5</v>
      </c>
      <c r="P5" s="119">
        <v>16</v>
      </c>
      <c r="Q5" s="103">
        <v>-67800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0.30952380952380953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7</v>
      </c>
      <c r="C7" s="39">
        <f>IF(B$2=0,0,B7/B$2)</f>
        <v>0.3888888888888889</v>
      </c>
      <c r="E7" s="63" t="s">
        <v>68</v>
      </c>
      <c r="F7" s="60" t="s">
        <v>24</v>
      </c>
      <c r="G7" s="47">
        <v>11</v>
      </c>
      <c r="H7" s="133">
        <f>IF(B$17=0,0,G7/B$17)</f>
        <v>0.26190476190476192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0.1111111111111111</v>
      </c>
      <c r="E8" s="63" t="s">
        <v>70</v>
      </c>
      <c r="F8" s="60" t="s">
        <v>25</v>
      </c>
      <c r="G8" s="47">
        <v>8</v>
      </c>
      <c r="H8" s="133">
        <f>IF(B$17=0,0,G8/B$17)</f>
        <v>0.19047619047619047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7</v>
      </c>
      <c r="H9" s="133">
        <f>IF(B$17=0,0,G9/B$17)</f>
        <v>0.16666666666666666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0.22222222222222221</v>
      </c>
      <c r="E10" s="63" t="s">
        <v>84</v>
      </c>
      <c r="F10" s="60" t="s">
        <v>39</v>
      </c>
      <c r="G10" s="47">
        <v>5</v>
      </c>
      <c r="H10" s="133">
        <f>IF(B$17=0,0,G10/B$17)</f>
        <v>0.11904761904761904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-20.099999999999998</v>
      </c>
      <c r="P10" s="118">
        <v>7</v>
      </c>
      <c r="Q10" s="106">
        <v>-140.69999999999999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90</v>
      </c>
      <c r="F11" s="60" t="s">
        <v>45</v>
      </c>
      <c r="G11" s="47">
        <v>5</v>
      </c>
      <c r="H11" s="133">
        <f>IF(B$17=0,0,G11/B$17)</f>
        <v>0.11904761904761904</v>
      </c>
      <c r="I11" s="94">
        <v>8</v>
      </c>
      <c r="K11" s="38">
        <v>9</v>
      </c>
      <c r="L11" s="99">
        <v>-228.1</v>
      </c>
      <c r="N11" s="115" t="s">
        <v>165</v>
      </c>
      <c r="O11" s="125">
        <f>IF(P11=0,0,Q11/P11)</f>
        <v>-11.916666666666666</v>
      </c>
      <c r="P11" s="119">
        <v>6</v>
      </c>
      <c r="Q11" s="107">
        <v>-71.5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72</v>
      </c>
      <c r="F12" s="60" t="s">
        <v>27</v>
      </c>
      <c r="G12" s="47">
        <v>3</v>
      </c>
      <c r="H12" s="133">
        <f>IF(B$17=0,0,G12/B$17)</f>
        <v>7.1428571428571425E-2</v>
      </c>
      <c r="I12" s="94">
        <v>4</v>
      </c>
      <c r="K12" s="38">
        <v>10</v>
      </c>
      <c r="L12" s="99">
        <v>-197.5</v>
      </c>
      <c r="N12" s="116" t="s">
        <v>166</v>
      </c>
      <c r="O12" s="126">
        <f>IF(P12=0,0,Q12/P12)</f>
        <v>16.940000000000001</v>
      </c>
      <c r="P12" s="120">
        <v>5</v>
      </c>
      <c r="Q12" s="108">
        <v>84.7</v>
      </c>
    </row>
    <row r="13" spans="1:17" x14ac:dyDescent="0.4">
      <c r="A13" s="58" t="s">
        <v>122</v>
      </c>
      <c r="B13" s="50">
        <v>36</v>
      </c>
      <c r="C13" s="44">
        <f>IF(B$3=0,0,B13/B$3)</f>
        <v>0.24489795918367346</v>
      </c>
      <c r="E13" s="63" t="s">
        <v>80</v>
      </c>
      <c r="F13" s="60" t="s">
        <v>35</v>
      </c>
      <c r="G13" s="47">
        <v>2</v>
      </c>
      <c r="H13" s="133">
        <f>IF(B$17=0,0,G13/B$17)</f>
        <v>4.7619047619047616E-2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33</v>
      </c>
      <c r="C14" s="39">
        <f>IF(B$3=0,0,B14/B$3)</f>
        <v>0.22448979591836735</v>
      </c>
      <c r="E14" s="63" t="s">
        <v>66</v>
      </c>
      <c r="F14" s="60" t="s">
        <v>22</v>
      </c>
      <c r="G14" s="47">
        <v>1</v>
      </c>
      <c r="H14" s="133">
        <f>IF(B$17=0,0,G14/B$17)</f>
        <v>2.3809523809523808E-2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74</v>
      </c>
      <c r="F15" s="60" t="s">
        <v>29</v>
      </c>
      <c r="G15" s="47">
        <v>1</v>
      </c>
      <c r="H15" s="133">
        <f>IF(B$17=0,0,G15/B$17)</f>
        <v>2.3809523809523808E-2</v>
      </c>
      <c r="I15" s="94">
        <v>1</v>
      </c>
      <c r="K15" s="38">
        <v>13</v>
      </c>
      <c r="L15" s="99">
        <v>-144.79999999999998</v>
      </c>
      <c r="N15" s="114" t="s">
        <v>173</v>
      </c>
      <c r="O15" s="124">
        <f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14</v>
      </c>
      <c r="C16" s="37">
        <f>IF(B$14=0,0,B16/B$14)</f>
        <v>0.42424242424242425</v>
      </c>
      <c r="E16" s="63" t="s">
        <v>75</v>
      </c>
      <c r="F16" s="60" t="s">
        <v>30</v>
      </c>
      <c r="G16" s="47">
        <v>1</v>
      </c>
      <c r="H16" s="133">
        <f>IF(B$17=0,0,G16/B$17)</f>
        <v>2.3809523809523808E-2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>IF(P16=0,0,Q16/P16)</f>
        <v>24.240000000000002</v>
      </c>
      <c r="P16" s="119">
        <v>5</v>
      </c>
      <c r="Q16" s="107">
        <v>121.20000000000002</v>
      </c>
    </row>
    <row r="17" spans="1:17" x14ac:dyDescent="0.4">
      <c r="A17" s="54" t="s">
        <v>10</v>
      </c>
      <c r="B17" s="46">
        <f>B19+B18</f>
        <v>42</v>
      </c>
      <c r="C17" s="37">
        <f>IF(B$3=0,0,B17/B$3)</f>
        <v>0.2857142857142857</v>
      </c>
      <c r="E17" s="63" t="s">
        <v>76</v>
      </c>
      <c r="F17" s="60" t="s">
        <v>31</v>
      </c>
      <c r="G17" s="47">
        <v>1</v>
      </c>
      <c r="H17" s="133">
        <f>IF(B$17=0,0,G17/B$17)</f>
        <v>2.3809523809523808E-2</v>
      </c>
      <c r="I17" s="94">
        <v>1</v>
      </c>
      <c r="K17" s="38">
        <v>15</v>
      </c>
      <c r="L17" s="99">
        <v>-85.399999999999991</v>
      </c>
      <c r="N17" s="115" t="s">
        <v>177</v>
      </c>
      <c r="O17" s="125">
        <f>IF(P17=0,0,Q17/P17)</f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20</v>
      </c>
      <c r="C18" s="39">
        <f>IF(B$17=0,0,B18/B$17)</f>
        <v>0.47619047619047616</v>
      </c>
      <c r="E18" s="63" t="s">
        <v>82</v>
      </c>
      <c r="F18" s="60" t="s">
        <v>37</v>
      </c>
      <c r="G18" s="47">
        <v>1</v>
      </c>
      <c r="H18" s="133">
        <f>IF(B$17=0,0,G18/B$17)</f>
        <v>2.3809523809523808E-2</v>
      </c>
      <c r="I18" s="94">
        <v>8</v>
      </c>
      <c r="K18" s="38">
        <v>16</v>
      </c>
      <c r="L18" s="99">
        <v>-140.79999999999998</v>
      </c>
      <c r="N18" s="115" t="s">
        <v>172</v>
      </c>
      <c r="O18" s="125">
        <f>IF(P18=0,0,Q18/P18)</f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22</v>
      </c>
      <c r="C19" s="39">
        <f>IF(B$17=0,0,B19/B$17)</f>
        <v>0.52380952380952384</v>
      </c>
      <c r="E19" s="63" t="s">
        <v>98</v>
      </c>
      <c r="F19" s="60" t="s">
        <v>53</v>
      </c>
      <c r="G19" s="47">
        <v>1</v>
      </c>
      <c r="H19" s="133">
        <f>IF(B$17=0,0,G19/B$17)</f>
        <v>2.3809523809523808E-2</v>
      </c>
      <c r="I19" s="94">
        <v>1</v>
      </c>
      <c r="K19" s="38">
        <v>17</v>
      </c>
      <c r="L19" s="99">
        <v>-204.5</v>
      </c>
      <c r="N19" s="115" t="s">
        <v>127</v>
      </c>
      <c r="O19" s="125">
        <f>IF(P19=0,0,Q19/P19)</f>
        <v>-23.075000000000003</v>
      </c>
      <c r="P19" s="119">
        <v>12</v>
      </c>
      <c r="Q19" s="107">
        <v>-276.90000000000003</v>
      </c>
    </row>
    <row r="20" spans="1:17" x14ac:dyDescent="0.4">
      <c r="A20" s="55" t="s">
        <v>13</v>
      </c>
      <c r="B20" s="47">
        <v>34</v>
      </c>
      <c r="C20" s="39">
        <f>IF(B$3=0,0,B20/B$3)</f>
        <v>0.23129251700680273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-127.5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5</v>
      </c>
      <c r="C21" s="135">
        <v>5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N21" s="115" t="s">
        <v>128</v>
      </c>
      <c r="O21" s="125">
        <f>IF(P21=0,0,Q21/P21)</f>
        <v>-28.642857142857142</v>
      </c>
      <c r="P21" s="119">
        <v>7</v>
      </c>
      <c r="Q21" s="107">
        <v>-200.5</v>
      </c>
    </row>
    <row r="22" spans="1:17" x14ac:dyDescent="0.4">
      <c r="A22" s="55" t="s">
        <v>192</v>
      </c>
      <c r="B22" s="47">
        <v>17</v>
      </c>
      <c r="C22" s="135">
        <v>5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11</v>
      </c>
      <c r="N22" s="115" t="s">
        <v>183</v>
      </c>
      <c r="O22" s="125">
        <f>IF(P22=0,0,Q22/P22)</f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8642.8571428571431</v>
      </c>
      <c r="C23" s="41">
        <v>363000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-8376.4705882352937</v>
      </c>
      <c r="C24" s="45">
        <v>-284800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11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9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-140.79999999999998</v>
      </c>
      <c r="C19" s="66">
        <v>-8.7999999999999989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-204.5</v>
      </c>
      <c r="C20" s="66">
        <v>-12.029411764705882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-127.5</v>
      </c>
      <c r="C21" s="66">
        <v>-7.083333333333333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  <row r="66" spans="1:17" x14ac:dyDescent="0.4">
      <c r="A66" s="69">
        <v>63</v>
      </c>
      <c r="B66" s="66">
        <v>345.6</v>
      </c>
      <c r="C66" s="66">
        <v>5.4857142857142858</v>
      </c>
      <c r="D66" s="71">
        <v>1.8571428571428572</v>
      </c>
      <c r="E66" s="67">
        <v>0.41269841269841268</v>
      </c>
      <c r="F66" s="67">
        <v>0.26984126984126983</v>
      </c>
      <c r="G66" s="67">
        <v>0.3061630218687873</v>
      </c>
      <c r="H66" s="67">
        <v>0.14910536779324055</v>
      </c>
      <c r="I66" s="68">
        <v>8912.9870129870123</v>
      </c>
      <c r="J66" s="68">
        <v>-7568</v>
      </c>
      <c r="K66" s="67">
        <v>0.14285714285714285</v>
      </c>
      <c r="L66" s="67">
        <v>0.14285714285714285</v>
      </c>
      <c r="M66" s="67">
        <v>0.2922465208747515</v>
      </c>
      <c r="N66" s="67">
        <v>0.17892644135188868</v>
      </c>
      <c r="O66" s="67">
        <v>0.65306122448979587</v>
      </c>
      <c r="P66" s="67">
        <v>0.36666666666666664</v>
      </c>
      <c r="Q66" s="67">
        <v>0.44805194805194803</v>
      </c>
    </row>
    <row r="67" spans="1:17" x14ac:dyDescent="0.4">
      <c r="A67" s="69">
        <v>64</v>
      </c>
      <c r="B67" s="66">
        <v>287.60000000000002</v>
      </c>
      <c r="C67" s="66">
        <v>4.4937500000000004</v>
      </c>
      <c r="D67" s="71">
        <v>1.875</v>
      </c>
      <c r="E67" s="67">
        <v>0.40625</v>
      </c>
      <c r="F67" s="67">
        <v>0.28125</v>
      </c>
      <c r="G67" s="67">
        <v>0.30078125</v>
      </c>
      <c r="H67" s="67">
        <v>0.1484375</v>
      </c>
      <c r="I67" s="68">
        <v>8912.9870129870123</v>
      </c>
      <c r="J67" s="68">
        <v>-7626.3157894736842</v>
      </c>
      <c r="K67" s="67">
        <v>0.15625</v>
      </c>
      <c r="L67" s="67">
        <v>0.140625</v>
      </c>
      <c r="M67" s="67">
        <v>0.29296875</v>
      </c>
      <c r="N67" s="67">
        <v>0.177734375</v>
      </c>
      <c r="O67" s="67">
        <v>0.64</v>
      </c>
      <c r="P67" s="67">
        <v>0.36263736263736263</v>
      </c>
      <c r="Q67" s="67">
        <v>0.44805194805194803</v>
      </c>
    </row>
    <row r="68" spans="1:17" x14ac:dyDescent="0.4">
      <c r="A68" s="69">
        <v>65</v>
      </c>
      <c r="B68" s="66">
        <v>323.60000000000002</v>
      </c>
      <c r="C68" s="66">
        <v>4.9784615384615387</v>
      </c>
      <c r="D68" s="71">
        <v>1.8615384615384616</v>
      </c>
      <c r="E68" s="67">
        <v>0.41538461538461541</v>
      </c>
      <c r="F68" s="67">
        <v>0.27692307692307694</v>
      </c>
      <c r="G68" s="67">
        <v>0.30250481695568399</v>
      </c>
      <c r="H68" s="67">
        <v>0.14836223506743737</v>
      </c>
      <c r="I68" s="68">
        <v>8923.5668789808915</v>
      </c>
      <c r="J68" s="68">
        <v>-7553.2467532467535</v>
      </c>
      <c r="K68" s="67">
        <v>0.15384615384615385</v>
      </c>
      <c r="L68" s="67">
        <v>0.13846153846153847</v>
      </c>
      <c r="M68" s="67">
        <v>0.2947976878612717</v>
      </c>
      <c r="N68" s="67">
        <v>0.17533718689788053</v>
      </c>
      <c r="O68" s="67">
        <v>0.64052287581699341</v>
      </c>
      <c r="P68" s="67">
        <v>0.36263736263736263</v>
      </c>
      <c r="Q68" s="67">
        <v>0.45222929936305734</v>
      </c>
    </row>
    <row r="69" spans="1:17" x14ac:dyDescent="0.4">
      <c r="A69" s="69">
        <v>66</v>
      </c>
      <c r="B69" s="66">
        <v>328.6</v>
      </c>
      <c r="C69" s="66">
        <v>4.9787878787878794</v>
      </c>
      <c r="D69" s="71">
        <v>1.8636363636363635</v>
      </c>
      <c r="E69" s="67">
        <v>0.40909090909090912</v>
      </c>
      <c r="F69" s="67">
        <v>0.27272727272727271</v>
      </c>
      <c r="G69" s="67">
        <v>0.30285714285714288</v>
      </c>
      <c r="H69" s="67">
        <v>0.15047619047619049</v>
      </c>
      <c r="I69" s="68">
        <v>8937.1069182389929</v>
      </c>
      <c r="J69" s="68">
        <v>-7539.2405063291135</v>
      </c>
      <c r="K69" s="67">
        <v>0.15151515151515152</v>
      </c>
      <c r="L69" s="67">
        <v>0.13636363636363635</v>
      </c>
      <c r="M69" s="67">
        <v>0.29523809523809524</v>
      </c>
      <c r="N69" s="67">
        <v>0.17714285714285713</v>
      </c>
      <c r="O69" s="67">
        <v>0.64516129032258063</v>
      </c>
      <c r="P69" s="67">
        <v>0.35483870967741937</v>
      </c>
      <c r="Q69" s="67">
        <v>0.44654088050314467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  <row r="153" spans="1:17" x14ac:dyDescent="0.4">
      <c r="A153" s="69">
        <v>150</v>
      </c>
      <c r="B153" s="66">
        <v>1744.7000000000007</v>
      </c>
      <c r="C153" s="66">
        <v>11.631333333333338</v>
      </c>
      <c r="D153" s="71">
        <v>1.7533333333333334</v>
      </c>
      <c r="E153" s="67">
        <v>0.48</v>
      </c>
      <c r="F153" s="67">
        <v>0.23333333333333334</v>
      </c>
      <c r="G153" s="67">
        <v>0.34369885433715219</v>
      </c>
      <c r="H153" s="67">
        <v>0.15875613747954173</v>
      </c>
      <c r="I153" s="68">
        <v>9075.9523809523816</v>
      </c>
      <c r="J153" s="68">
        <v>-8265.4639175257726</v>
      </c>
      <c r="K153" s="67">
        <v>0.1</v>
      </c>
      <c r="L153" s="67">
        <v>0.16666666666666666</v>
      </c>
      <c r="M153" s="67">
        <v>0.31014729950900166</v>
      </c>
      <c r="N153" s="67">
        <v>0.21931260229132571</v>
      </c>
      <c r="O153" s="67">
        <v>0.57519788918205805</v>
      </c>
      <c r="P153" s="67">
        <v>0.5149253731343284</v>
      </c>
      <c r="Q153" s="67">
        <v>0.40714285714285714</v>
      </c>
    </row>
    <row r="154" spans="1:17" x14ac:dyDescent="0.4">
      <c r="A154" s="69">
        <v>151</v>
      </c>
      <c r="B154" s="66">
        <v>1788.5000000000007</v>
      </c>
      <c r="C154" s="66">
        <v>11.844370860927157</v>
      </c>
      <c r="D154" s="71">
        <v>1.7483443708609272</v>
      </c>
      <c r="E154" s="67">
        <v>0.48344370860927155</v>
      </c>
      <c r="F154" s="67">
        <v>0.23178807947019867</v>
      </c>
      <c r="G154" s="67">
        <v>0.34471544715447155</v>
      </c>
      <c r="H154" s="67">
        <v>0.15772357723577235</v>
      </c>
      <c r="I154" s="68">
        <v>9064.3867924528295</v>
      </c>
      <c r="J154" s="68">
        <v>-8265.4639175257726</v>
      </c>
      <c r="K154" s="67">
        <v>9.9337748344370855E-2</v>
      </c>
      <c r="L154" s="67">
        <v>0.17218543046357615</v>
      </c>
      <c r="M154" s="67">
        <v>0.31056910569105689</v>
      </c>
      <c r="N154" s="67">
        <v>0.21951219512195122</v>
      </c>
      <c r="O154" s="67">
        <v>0.5759162303664922</v>
      </c>
      <c r="P154" s="67">
        <v>0.51851851851851849</v>
      </c>
      <c r="Q154" s="67">
        <v>0.40801886792452829</v>
      </c>
    </row>
    <row r="155" spans="1:17" x14ac:dyDescent="0.4">
      <c r="A155" s="69">
        <v>152</v>
      </c>
      <c r="B155" s="66">
        <v>1847.5000000000007</v>
      </c>
      <c r="C155" s="66">
        <v>12.154605263157899</v>
      </c>
      <c r="D155" s="71">
        <v>1.743421052631579</v>
      </c>
      <c r="E155" s="67">
        <v>0.48684210526315791</v>
      </c>
      <c r="F155" s="67">
        <v>0.23026315789473684</v>
      </c>
      <c r="G155" s="67">
        <v>0.34543987086359967</v>
      </c>
      <c r="H155" s="67">
        <v>0.15738498789346247</v>
      </c>
      <c r="I155" s="68">
        <v>9089.9532710280382</v>
      </c>
      <c r="J155" s="68">
        <v>-8262.5641025641035</v>
      </c>
      <c r="K155" s="67">
        <v>9.8684210526315791E-2</v>
      </c>
      <c r="L155" s="67">
        <v>0.17763157894736842</v>
      </c>
      <c r="M155" s="67">
        <v>0.31234866828087166</v>
      </c>
      <c r="N155" s="67">
        <v>0.21791767554479419</v>
      </c>
      <c r="O155" s="67">
        <v>0.57622739018087854</v>
      </c>
      <c r="P155" s="67">
        <v>0.51851851851851849</v>
      </c>
      <c r="Q155" s="67">
        <v>0.40887850467289721</v>
      </c>
    </row>
    <row r="156" spans="1:17" x14ac:dyDescent="0.4">
      <c r="A156" s="69">
        <v>153</v>
      </c>
      <c r="B156" s="66">
        <v>1812.8000000000006</v>
      </c>
      <c r="C156" s="66">
        <v>11.8483660130719</v>
      </c>
      <c r="D156" s="71">
        <v>1.7516339869281046</v>
      </c>
      <c r="E156" s="67">
        <v>0.48366013071895425</v>
      </c>
      <c r="F156" s="67">
        <v>0.23529411764705882</v>
      </c>
      <c r="G156" s="67">
        <v>0.34430176565008025</v>
      </c>
      <c r="H156" s="67">
        <v>0.15730337078651685</v>
      </c>
      <c r="I156" s="68">
        <v>9096.7365967365968</v>
      </c>
      <c r="J156" s="68">
        <v>-8253.0612244897966</v>
      </c>
      <c r="K156" s="67">
        <v>9.8039215686274508E-2</v>
      </c>
      <c r="L156" s="67">
        <v>0.17647058823529413</v>
      </c>
      <c r="M156" s="67">
        <v>0.3130016051364366</v>
      </c>
      <c r="N156" s="67">
        <v>0.21669341894060995</v>
      </c>
      <c r="O156" s="67">
        <v>0.57435897435897432</v>
      </c>
      <c r="P156" s="67">
        <v>0.51851851851851849</v>
      </c>
      <c r="Q156" s="67">
        <v>0.41025641025641024</v>
      </c>
    </row>
    <row r="157" spans="1:17" x14ac:dyDescent="0.4">
      <c r="A157" s="69">
        <v>154</v>
      </c>
      <c r="B157" s="66">
        <v>1805.4000000000005</v>
      </c>
      <c r="C157" s="66">
        <v>11.723376623376627</v>
      </c>
      <c r="D157" s="71">
        <v>1.7532467532467533</v>
      </c>
      <c r="E157" s="67">
        <v>0.48051948051948051</v>
      </c>
      <c r="F157" s="67">
        <v>0.23376623376623376</v>
      </c>
      <c r="G157" s="67">
        <v>0.34397446129289705</v>
      </c>
      <c r="H157" s="67">
        <v>0.15722266560255388</v>
      </c>
      <c r="I157" s="68">
        <v>9078.8863109048725</v>
      </c>
      <c r="J157" s="68">
        <v>-8230.9644670050766</v>
      </c>
      <c r="K157" s="67">
        <v>9.7402597402597407E-2</v>
      </c>
      <c r="L157" s="67">
        <v>0.17532467532467533</v>
      </c>
      <c r="M157" s="67">
        <v>0.31364724660814047</v>
      </c>
      <c r="N157" s="67">
        <v>0.2154828411811652</v>
      </c>
      <c r="O157" s="67">
        <v>0.5750636132315522</v>
      </c>
      <c r="P157" s="67">
        <v>0.51851851851851849</v>
      </c>
      <c r="Q157" s="67">
        <v>0.41067285382830626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  <row r="225" spans="1:17" x14ac:dyDescent="0.4">
      <c r="A225" s="69">
        <v>222</v>
      </c>
      <c r="B225" s="66">
        <v>-1.0000000000000142</v>
      </c>
      <c r="C225" s="66">
        <v>-1.5015015015015227E-3</v>
      </c>
      <c r="D225" s="71">
        <v>1.9954954954954955</v>
      </c>
      <c r="E225" s="67">
        <v>0.33633633633633636</v>
      </c>
      <c r="F225" s="67">
        <v>0.33183183183183185</v>
      </c>
      <c r="G225" s="67">
        <v>0.29850207543764662</v>
      </c>
      <c r="H225" s="67">
        <v>0.16802021295794983</v>
      </c>
      <c r="I225" s="68">
        <v>8644.256348246674</v>
      </c>
      <c r="J225" s="68">
        <v>-8281.2030075187977</v>
      </c>
      <c r="K225" s="67">
        <v>0.11711711711711711</v>
      </c>
      <c r="L225" s="67">
        <v>0.11711711711711711</v>
      </c>
      <c r="M225" s="67">
        <v>0.27937195452084462</v>
      </c>
      <c r="N225" s="67">
        <v>0.20736329182458041</v>
      </c>
      <c r="O225" s="67">
        <v>0.57816537467700257</v>
      </c>
      <c r="P225" s="67">
        <v>0.39251523063533506</v>
      </c>
      <c r="Q225" s="67">
        <v>0.43107617896009676</v>
      </c>
    </row>
    <row r="226" spans="1:17" x14ac:dyDescent="0.4">
      <c r="A226" s="69">
        <v>223</v>
      </c>
      <c r="B226" s="66">
        <v>-1.0000000000000071</v>
      </c>
      <c r="C226" s="66">
        <v>-1.4947683109118193E-3</v>
      </c>
      <c r="D226" s="71">
        <v>1.9955156950672646</v>
      </c>
      <c r="E226" s="67">
        <v>0.33632286995515698</v>
      </c>
      <c r="F226" s="67">
        <v>0.33183856502242154</v>
      </c>
      <c r="G226" s="67">
        <v>0.29863358504135201</v>
      </c>
      <c r="H226" s="67">
        <v>0.16792520676015821</v>
      </c>
      <c r="I226" s="68">
        <v>8631.246237206502</v>
      </c>
      <c r="J226" s="68">
        <v>-8268.0942184154173</v>
      </c>
      <c r="K226" s="67">
        <v>0.11659192825112108</v>
      </c>
      <c r="L226" s="67">
        <v>0.11659192825112108</v>
      </c>
      <c r="M226" s="67">
        <v>0.27957569219705142</v>
      </c>
      <c r="N226" s="67">
        <v>0.20693994965839627</v>
      </c>
      <c r="O226" s="67">
        <v>0.5787781350482315</v>
      </c>
      <c r="P226" s="67">
        <v>0.39183318853171156</v>
      </c>
      <c r="Q226" s="67">
        <v>0.43166767007826612</v>
      </c>
    </row>
    <row r="227" spans="1:17" x14ac:dyDescent="0.4">
      <c r="A227" s="69">
        <v>224</v>
      </c>
      <c r="B227" s="66">
        <v>-1.0000000000000071</v>
      </c>
      <c r="C227" s="66">
        <v>-1.4880952380952486E-3</v>
      </c>
      <c r="D227" s="71">
        <v>1.9955357142857142</v>
      </c>
      <c r="E227" s="67">
        <v>0.33630952380952384</v>
      </c>
      <c r="F227" s="67">
        <v>0.33184523809523808</v>
      </c>
      <c r="G227" s="67">
        <v>0.29860365198711064</v>
      </c>
      <c r="H227" s="67">
        <v>0.16774078052273542</v>
      </c>
      <c r="I227" s="68">
        <v>8624.5803357314144</v>
      </c>
      <c r="J227" s="68">
        <v>-8266.2753468516548</v>
      </c>
      <c r="K227" s="67">
        <v>0.11755952380952381</v>
      </c>
      <c r="L227" s="67">
        <v>0.11755952380952381</v>
      </c>
      <c r="M227" s="67">
        <v>0.27980665950590761</v>
      </c>
      <c r="N227" s="67">
        <v>0.20658789831722163</v>
      </c>
      <c r="O227" s="67">
        <v>0.57837492002559177</v>
      </c>
      <c r="P227" s="67">
        <v>0.39254766031195842</v>
      </c>
      <c r="Q227" s="67">
        <v>0.43225419664268583</v>
      </c>
    </row>
    <row r="228" spans="1:17" x14ac:dyDescent="0.4">
      <c r="A228" s="69">
        <v>225</v>
      </c>
      <c r="B228" s="66">
        <v>-1.0000000000000071</v>
      </c>
      <c r="C228" s="66">
        <v>-1.481481481481492E-3</v>
      </c>
      <c r="D228" s="71">
        <v>1.9955555555555555</v>
      </c>
      <c r="E228" s="67">
        <v>0.33629629629629632</v>
      </c>
      <c r="F228" s="67">
        <v>0.33185185185185184</v>
      </c>
      <c r="G228" s="67">
        <v>0.29841439515410656</v>
      </c>
      <c r="H228" s="67">
        <v>0.16764653482985925</v>
      </c>
      <c r="I228" s="68">
        <v>8635.6417910447763</v>
      </c>
      <c r="J228" s="68">
        <v>-8276.7268862911787</v>
      </c>
      <c r="K228" s="67">
        <v>0.11851851851851852</v>
      </c>
      <c r="L228" s="67">
        <v>0.11851851851851852</v>
      </c>
      <c r="M228" s="67">
        <v>0.28006413682522713</v>
      </c>
      <c r="N228" s="67">
        <v>0.20630678781400322</v>
      </c>
      <c r="O228" s="67">
        <v>0.57697201017811706</v>
      </c>
      <c r="P228" s="67">
        <v>0.39291882556131263</v>
      </c>
      <c r="Q228" s="67">
        <v>0.43223880597014924</v>
      </c>
    </row>
    <row r="229" spans="1:17" x14ac:dyDescent="0.4">
      <c r="A229" s="69">
        <v>226</v>
      </c>
      <c r="B229" s="66">
        <v>-1.0000000000000071</v>
      </c>
      <c r="C229" s="66">
        <v>-1.474926253687326E-3</v>
      </c>
      <c r="D229" s="71">
        <v>1.9955752212389382</v>
      </c>
      <c r="E229" s="67">
        <v>0.33628318584070799</v>
      </c>
      <c r="F229" s="67">
        <v>0.33185840707964603</v>
      </c>
      <c r="G229" s="67">
        <v>0.29836705715299966</v>
      </c>
      <c r="H229" s="67">
        <v>0.16737664181753639</v>
      </c>
      <c r="I229" s="68">
        <v>8634.6222486615115</v>
      </c>
      <c r="J229" s="68">
        <v>-8268.0805938494159</v>
      </c>
      <c r="K229" s="67">
        <v>0.11799410029498525</v>
      </c>
      <c r="L229" s="67">
        <v>0.11799410029498525</v>
      </c>
      <c r="M229" s="67">
        <v>0.28026269080582178</v>
      </c>
      <c r="N229" s="67">
        <v>0.20624778132765353</v>
      </c>
      <c r="O229" s="67">
        <v>0.57631412286257122</v>
      </c>
      <c r="P229" s="67">
        <v>0.39328743545611017</v>
      </c>
      <c r="Q229" s="67">
        <v>0.43307555026769778</v>
      </c>
    </row>
    <row r="230" spans="1:17" x14ac:dyDescent="0.4">
      <c r="A230" s="69">
        <v>227</v>
      </c>
      <c r="B230" s="66">
        <v>-1.0000000000000142</v>
      </c>
      <c r="C230" s="66">
        <v>-1.4684287812041326E-3</v>
      </c>
      <c r="D230" s="71">
        <v>1.9955947136563876</v>
      </c>
      <c r="E230" s="67">
        <v>0.33627019089574156</v>
      </c>
      <c r="F230" s="67">
        <v>0.33186490455212925</v>
      </c>
      <c r="G230" s="67">
        <v>0.29832007073386385</v>
      </c>
      <c r="H230" s="67">
        <v>0.16746242263483643</v>
      </c>
      <c r="I230" s="68">
        <v>8639.7154712507418</v>
      </c>
      <c r="J230" s="68">
        <v>-8274.4456177402317</v>
      </c>
      <c r="K230" s="67">
        <v>0.11894273127753303</v>
      </c>
      <c r="L230" s="67">
        <v>0.11894273127753303</v>
      </c>
      <c r="M230" s="67">
        <v>0.28028293545534927</v>
      </c>
      <c r="N230" s="67">
        <v>0.20636604774535808</v>
      </c>
      <c r="O230" s="67">
        <v>0.57602523659305993</v>
      </c>
      <c r="P230" s="67">
        <v>0.3916023993144816</v>
      </c>
      <c r="Q230" s="67">
        <v>0.43272080616478958</v>
      </c>
    </row>
    <row r="231" spans="1:17" x14ac:dyDescent="0.4">
      <c r="A231" s="69">
        <v>228</v>
      </c>
      <c r="B231" s="66">
        <v>-1.0000000000000142</v>
      </c>
      <c r="C231" s="66">
        <v>-1.461988304093588E-3</v>
      </c>
      <c r="D231" s="71">
        <v>1.9956140350877194</v>
      </c>
      <c r="E231" s="67">
        <v>0.33625730994152048</v>
      </c>
      <c r="F231" s="67">
        <v>0.33187134502923976</v>
      </c>
      <c r="G231" s="67">
        <v>0.29860743874493212</v>
      </c>
      <c r="H231" s="67">
        <v>0.16781244491450731</v>
      </c>
      <c r="I231" s="68">
        <v>8652.4203069657615</v>
      </c>
      <c r="J231" s="68">
        <v>-8310.8193277310929</v>
      </c>
      <c r="K231" s="67">
        <v>0.11988304093567251</v>
      </c>
      <c r="L231" s="67">
        <v>0.11988304093567251</v>
      </c>
      <c r="M231" s="67">
        <v>0.28027498677948176</v>
      </c>
      <c r="N231" s="67">
        <v>0.20676890534108938</v>
      </c>
      <c r="O231" s="67">
        <v>0.57735849056603772</v>
      </c>
      <c r="P231" s="67">
        <v>0.39130434782608697</v>
      </c>
      <c r="Q231" s="67">
        <v>0.43152302243211332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2019-06-16T15:24:44Z</dcterms:modified>
</cp:coreProperties>
</file>