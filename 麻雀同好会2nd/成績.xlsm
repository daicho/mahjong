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93D1B5F-1B2C-4DB3-AB57-6D54EB437C4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85" r:id="rId6"/>
    <sheet name="だいち" sheetId="5087" r:id="rId7"/>
    <sheet name="りくと" sheetId="5089" r:id="rId8"/>
    <sheet name="ただ" sheetId="5091" r:id="rId9"/>
    <sheet name="れんたろう" sheetId="5093" r:id="rId10"/>
    <sheet name="たかの" sheetId="5095" r:id="rId11"/>
    <sheet name="ぱぱ" sheetId="5097" r:id="rId12"/>
    <sheet name="まっつん" sheetId="5099" r:id="rId13"/>
    <sheet name="あさひ" sheetId="5101" r:id="rId14"/>
    <sheet name="いっしー" sheetId="5103" r:id="rId15"/>
    <sheet name="ほたに" sheetId="5105" r:id="rId16"/>
    <sheet name="ほたに2" sheetId="5106" state="hidden" r:id="rId17"/>
    <sheet name="いっしー2" sheetId="5104" state="hidden" r:id="rId18"/>
    <sheet name="あさひ2" sheetId="5102" state="hidden" r:id="rId19"/>
    <sheet name="まっつん2" sheetId="5100" state="hidden" r:id="rId20"/>
    <sheet name="ぱぱ2" sheetId="5098" state="hidden" r:id="rId21"/>
    <sheet name="たかの2" sheetId="5096" state="hidden" r:id="rId22"/>
    <sheet name="れんたろう2" sheetId="5094" state="hidden" r:id="rId23"/>
    <sheet name="ただ2" sheetId="5092" state="hidden" r:id="rId24"/>
    <sheet name="りくと2" sheetId="5090" state="hidden" r:id="rId25"/>
    <sheet name="だいち2" sheetId="5088" state="hidden" r:id="rId26"/>
    <sheet name="全体2" sheetId="508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7" i="5095" l="1"/>
  <c r="O16" i="5103"/>
  <c r="O20" i="5105" l="1"/>
  <c r="O19" i="5105"/>
  <c r="O15" i="5099"/>
  <c r="O15" i="5089"/>
  <c r="O20" i="5087" l="1"/>
  <c r="O18" i="5105"/>
  <c r="O21" i="5097"/>
  <c r="O16" i="5105"/>
  <c r="O15" i="5105" l="1"/>
  <c r="O17" i="5105"/>
  <c r="C27" i="5105"/>
  <c r="B24" i="5105"/>
  <c r="C20" i="5105"/>
  <c r="B17" i="5105"/>
  <c r="H8" i="5105" s="1"/>
  <c r="C16" i="5105"/>
  <c r="C15" i="5105"/>
  <c r="C14" i="5105"/>
  <c r="C13" i="5105"/>
  <c r="O12" i="5105"/>
  <c r="C12" i="5105"/>
  <c r="O11" i="5105"/>
  <c r="C11" i="5105"/>
  <c r="O10" i="5105"/>
  <c r="C10" i="5105"/>
  <c r="C9" i="5105"/>
  <c r="C8" i="5105"/>
  <c r="O7" i="5105"/>
  <c r="C7" i="5105"/>
  <c r="O6" i="5105"/>
  <c r="B6" i="5105"/>
  <c r="O5" i="5105"/>
  <c r="B5" i="5105"/>
  <c r="O4" i="5105"/>
  <c r="O3" i="5105"/>
  <c r="O2" i="5105"/>
  <c r="O22" i="5093"/>
  <c r="O18" i="5095"/>
  <c r="O20" i="5085"/>
  <c r="H3" i="5105" l="1"/>
  <c r="H13" i="5105"/>
  <c r="H37" i="5105"/>
  <c r="H4" i="5105"/>
  <c r="H15" i="5105"/>
  <c r="H27" i="5105"/>
  <c r="H18" i="5105"/>
  <c r="C18" i="5105"/>
  <c r="H2" i="5105"/>
  <c r="H5" i="5105"/>
  <c r="H9" i="5105"/>
  <c r="H41" i="5105"/>
  <c r="B23" i="5105"/>
  <c r="H29" i="5105"/>
  <c r="H45" i="5105"/>
  <c r="C17" i="5105"/>
  <c r="H33" i="5105"/>
  <c r="H49" i="5105"/>
  <c r="H23" i="5105"/>
  <c r="H28" i="5105"/>
  <c r="H34" i="5105"/>
  <c r="H46" i="5105"/>
  <c r="H17" i="5105"/>
  <c r="H19" i="5105"/>
  <c r="C19" i="5105"/>
  <c r="H24" i="5105"/>
  <c r="H31" i="5105"/>
  <c r="H35" i="5105"/>
  <c r="H39" i="5105"/>
  <c r="H43" i="5105"/>
  <c r="H47" i="5105"/>
  <c r="H51" i="5105"/>
  <c r="H21" i="5105"/>
  <c r="H26" i="5105"/>
  <c r="H30" i="5105"/>
  <c r="H38" i="5105"/>
  <c r="H42" i="5105"/>
  <c r="H50" i="5105"/>
  <c r="H7" i="5105"/>
  <c r="H11" i="5105"/>
  <c r="H6" i="5105"/>
  <c r="H14" i="5105"/>
  <c r="H16" i="5105"/>
  <c r="H20" i="5105"/>
  <c r="H22" i="5105"/>
  <c r="H25" i="5105"/>
  <c r="H12" i="5105"/>
  <c r="H10" i="5105"/>
  <c r="H32" i="5105"/>
  <c r="H36" i="5105"/>
  <c r="H40" i="5105"/>
  <c r="H44" i="5105"/>
  <c r="H48" i="5105"/>
  <c r="O16" i="5095" l="1"/>
  <c r="O15" i="5091"/>
  <c r="O20" i="5099"/>
  <c r="O22" i="5099"/>
  <c r="O17" i="5087" l="1"/>
  <c r="O19" i="5103"/>
  <c r="O18" i="5103" l="1"/>
  <c r="O15" i="5103"/>
  <c r="O16" i="5093"/>
  <c r="O20" i="5091"/>
  <c r="O17" i="5101" l="1"/>
  <c r="O22" i="5097"/>
  <c r="O15" i="5101"/>
  <c r="O21" i="5103"/>
  <c r="O16" i="5089"/>
  <c r="O16" i="5099"/>
  <c r="O16" i="5085"/>
  <c r="O17" i="5103"/>
  <c r="O20" i="5103"/>
  <c r="C27" i="5103"/>
  <c r="B24" i="5103"/>
  <c r="C20" i="5103"/>
  <c r="B17" i="5103"/>
  <c r="H6" i="5103" s="1"/>
  <c r="C16" i="5103"/>
  <c r="C15" i="5103"/>
  <c r="C14" i="5103"/>
  <c r="C13" i="5103"/>
  <c r="O12" i="5103"/>
  <c r="C12" i="5103"/>
  <c r="O11" i="5103"/>
  <c r="C11" i="5103"/>
  <c r="O10" i="5103"/>
  <c r="C10" i="5103"/>
  <c r="C9" i="5103"/>
  <c r="C8" i="5103"/>
  <c r="O7" i="5103"/>
  <c r="C7" i="5103"/>
  <c r="O6" i="5103"/>
  <c r="B6" i="5103"/>
  <c r="O5" i="5103"/>
  <c r="B5" i="5103"/>
  <c r="O4" i="5103"/>
  <c r="O3" i="5103"/>
  <c r="O2" i="5103"/>
  <c r="O16" i="5101"/>
  <c r="O18" i="5101"/>
  <c r="C27" i="5101"/>
  <c r="B24" i="5101"/>
  <c r="C20" i="5101"/>
  <c r="B17" i="5101"/>
  <c r="H50" i="5101" s="1"/>
  <c r="C16" i="5101"/>
  <c r="C15" i="5101"/>
  <c r="C14" i="5101"/>
  <c r="C13" i="5101"/>
  <c r="O12" i="5101"/>
  <c r="C12" i="5101"/>
  <c r="O11" i="5101"/>
  <c r="C11" i="5101"/>
  <c r="O10" i="5101"/>
  <c r="C10" i="5101"/>
  <c r="C9" i="5101"/>
  <c r="C8" i="5101"/>
  <c r="O7" i="5101"/>
  <c r="C7" i="5101"/>
  <c r="O6" i="5101"/>
  <c r="B6" i="5101"/>
  <c r="O5" i="5101"/>
  <c r="H5" i="5101"/>
  <c r="B5" i="5101"/>
  <c r="O4" i="5101"/>
  <c r="O3" i="5101"/>
  <c r="O2" i="5101"/>
  <c r="O21" i="5099"/>
  <c r="O23" i="5099"/>
  <c r="O15" i="5087"/>
  <c r="O18" i="5087"/>
  <c r="O24" i="5085"/>
  <c r="H10" i="5103" l="1"/>
  <c r="H4" i="5103"/>
  <c r="H2" i="5103"/>
  <c r="H10" i="5101"/>
  <c r="H15" i="5101"/>
  <c r="H17" i="5101"/>
  <c r="H24" i="5101"/>
  <c r="H6" i="5101"/>
  <c r="H39" i="5101"/>
  <c r="H49" i="5101"/>
  <c r="H12" i="5101"/>
  <c r="H8" i="5101"/>
  <c r="H14" i="5101"/>
  <c r="H20" i="5101"/>
  <c r="H29" i="5101"/>
  <c r="H40" i="5101"/>
  <c r="H13" i="5101"/>
  <c r="H4" i="5101"/>
  <c r="C18" i="5101"/>
  <c r="H11" i="5101"/>
  <c r="H33" i="5101"/>
  <c r="H44" i="5101"/>
  <c r="H2" i="5101"/>
  <c r="H3" i="5101"/>
  <c r="H19" i="5101"/>
  <c r="H35" i="5101"/>
  <c r="H45" i="5101"/>
  <c r="C19" i="5101"/>
  <c r="H25" i="5101"/>
  <c r="H27" i="5101"/>
  <c r="H31" i="5101"/>
  <c r="H36" i="5101"/>
  <c r="H41" i="5101"/>
  <c r="H7" i="5101"/>
  <c r="H9" i="5101"/>
  <c r="H16" i="5101"/>
  <c r="H18" i="5101"/>
  <c r="C17" i="5101"/>
  <c r="H22" i="5101"/>
  <c r="B23" i="5101"/>
  <c r="H32" i="5101"/>
  <c r="H37" i="5101"/>
  <c r="H43" i="5101"/>
  <c r="H48" i="5101"/>
  <c r="H51" i="5101"/>
  <c r="H47" i="5101"/>
  <c r="H16" i="5103"/>
  <c r="H3" i="5103"/>
  <c r="H9" i="5103"/>
  <c r="H11" i="5103"/>
  <c r="H27" i="5103"/>
  <c r="H37" i="5103"/>
  <c r="H14" i="5103"/>
  <c r="H20" i="5103"/>
  <c r="C17" i="5103"/>
  <c r="H8" i="5103"/>
  <c r="H41" i="5103"/>
  <c r="H5" i="5103"/>
  <c r="H17" i="5103"/>
  <c r="H18" i="5103"/>
  <c r="C18" i="5103"/>
  <c r="B23" i="5103"/>
  <c r="H29" i="5103"/>
  <c r="H45" i="5103"/>
  <c r="H13" i="5103"/>
  <c r="H19" i="5103"/>
  <c r="H21" i="5103"/>
  <c r="C19" i="5103"/>
  <c r="H33" i="5103"/>
  <c r="H49" i="5103"/>
  <c r="H22" i="5103"/>
  <c r="H23" i="5103"/>
  <c r="H25" i="5103"/>
  <c r="H28" i="5103"/>
  <c r="H30" i="5103"/>
  <c r="H34" i="5103"/>
  <c r="H38" i="5103"/>
  <c r="H42" i="5103"/>
  <c r="H46" i="5103"/>
  <c r="H50" i="5103"/>
  <c r="H31" i="5103"/>
  <c r="H35" i="5103"/>
  <c r="H39" i="5103"/>
  <c r="H43" i="5103"/>
  <c r="H47" i="5103"/>
  <c r="H51" i="5103"/>
  <c r="H12" i="5103"/>
  <c r="H15" i="5103"/>
  <c r="H24" i="5103"/>
  <c r="H26" i="5103"/>
  <c r="H7" i="5103"/>
  <c r="H32" i="5103"/>
  <c r="H36" i="5103"/>
  <c r="H40" i="5103"/>
  <c r="H44" i="5103"/>
  <c r="H48" i="5103"/>
  <c r="H21" i="5101"/>
  <c r="H23" i="5101"/>
  <c r="H26" i="5101"/>
  <c r="H28" i="5101"/>
  <c r="H30" i="5101"/>
  <c r="H34" i="5101"/>
  <c r="H38" i="5101"/>
  <c r="H42" i="5101"/>
  <c r="H46" i="5101"/>
  <c r="O17" i="5099" l="1"/>
  <c r="O19" i="5097"/>
  <c r="O16" i="5097"/>
  <c r="O21" i="5089"/>
  <c r="O19" i="5095" l="1"/>
  <c r="O17" i="5093"/>
  <c r="O17" i="5097"/>
  <c r="O18" i="5097"/>
  <c r="O15" i="5095" l="1"/>
  <c r="O15" i="5093"/>
  <c r="O21" i="5091"/>
  <c r="O18" i="5091"/>
  <c r="O18" i="5099"/>
  <c r="O19" i="5099"/>
  <c r="C27" i="5099"/>
  <c r="B24" i="5099"/>
  <c r="C20" i="5099"/>
  <c r="B17" i="5099"/>
  <c r="H50" i="5099" s="1"/>
  <c r="C16" i="5099"/>
  <c r="C15" i="5099"/>
  <c r="C14" i="5099"/>
  <c r="C13" i="5099"/>
  <c r="O12" i="5099"/>
  <c r="C12" i="5099"/>
  <c r="O11" i="5099"/>
  <c r="C11" i="5099"/>
  <c r="O10" i="5099"/>
  <c r="C10" i="5099"/>
  <c r="C9" i="5099"/>
  <c r="C8" i="5099"/>
  <c r="O7" i="5099"/>
  <c r="C7" i="5099"/>
  <c r="O6" i="5099"/>
  <c r="B6" i="5099"/>
  <c r="O5" i="5099"/>
  <c r="B5" i="5099"/>
  <c r="O4" i="5099"/>
  <c r="O3" i="5099"/>
  <c r="O2" i="5099"/>
  <c r="O20" i="5093"/>
  <c r="O18" i="5089"/>
  <c r="O17" i="5085"/>
  <c r="H8" i="5099" l="1"/>
  <c r="H4" i="5099"/>
  <c r="H2" i="5099"/>
  <c r="H13" i="5099"/>
  <c r="H10" i="5099"/>
  <c r="H7" i="5099"/>
  <c r="C17" i="5099"/>
  <c r="H6" i="5099"/>
  <c r="H3" i="5099"/>
  <c r="H22" i="5099"/>
  <c r="H17" i="5099"/>
  <c r="H15" i="5099"/>
  <c r="H31" i="5099"/>
  <c r="H39" i="5099"/>
  <c r="H47" i="5099"/>
  <c r="H14" i="5099"/>
  <c r="H16" i="5099"/>
  <c r="H23" i="5099"/>
  <c r="H27" i="5099"/>
  <c r="H32" i="5099"/>
  <c r="H40" i="5099"/>
  <c r="H48" i="5099"/>
  <c r="H20" i="5099"/>
  <c r="H21" i="5099"/>
  <c r="H18" i="5099"/>
  <c r="C18" i="5099"/>
  <c r="H11" i="5099"/>
  <c r="H35" i="5099"/>
  <c r="H43" i="5099"/>
  <c r="H51" i="5099"/>
  <c r="C19" i="5099"/>
  <c r="H26" i="5099"/>
  <c r="H9" i="5099"/>
  <c r="H36" i="5099"/>
  <c r="H44" i="5099"/>
  <c r="H5" i="5099"/>
  <c r="B23" i="5099"/>
  <c r="H28" i="5099"/>
  <c r="H30" i="5099"/>
  <c r="H33" i="5099"/>
  <c r="H37" i="5099"/>
  <c r="H41" i="5099"/>
  <c r="H45" i="5099"/>
  <c r="H49" i="5099"/>
  <c r="H24" i="5099"/>
  <c r="H25" i="5099"/>
  <c r="H19" i="5099"/>
  <c r="H29" i="5099"/>
  <c r="H12" i="5099"/>
  <c r="H34" i="5099"/>
  <c r="H38" i="5099"/>
  <c r="H42" i="5099"/>
  <c r="H46" i="5099"/>
  <c r="O17" i="5091" l="1"/>
  <c r="O20" i="5097"/>
  <c r="O15" i="5097"/>
  <c r="C27" i="5097"/>
  <c r="B24" i="5097"/>
  <c r="C20" i="5097"/>
  <c r="B17" i="5097"/>
  <c r="H19" i="5097" s="1"/>
  <c r="C16" i="5097"/>
  <c r="C15" i="5097"/>
  <c r="C14" i="5097"/>
  <c r="C13" i="5097"/>
  <c r="O12" i="5097"/>
  <c r="C12" i="5097"/>
  <c r="O11" i="5097"/>
  <c r="C11" i="5097"/>
  <c r="O10" i="5097"/>
  <c r="C10" i="5097"/>
  <c r="C9" i="5097"/>
  <c r="C8" i="5097"/>
  <c r="O7" i="5097"/>
  <c r="C7" i="5097"/>
  <c r="O6" i="5097"/>
  <c r="B6" i="5097"/>
  <c r="O5" i="5097"/>
  <c r="B5" i="5097"/>
  <c r="O4" i="5097"/>
  <c r="O3" i="5097"/>
  <c r="O2" i="5097"/>
  <c r="O19" i="5087"/>
  <c r="O18" i="5085"/>
  <c r="O21" i="5095"/>
  <c r="O19" i="5089"/>
  <c r="O20" i="5089"/>
  <c r="O18" i="5093"/>
  <c r="O20" i="5095"/>
  <c r="O22" i="5095"/>
  <c r="C27" i="5095"/>
  <c r="B24" i="5095"/>
  <c r="C20" i="5095"/>
  <c r="B17" i="5095"/>
  <c r="H4" i="5095" s="1"/>
  <c r="C16" i="5095"/>
  <c r="C15" i="5095"/>
  <c r="C14" i="5095"/>
  <c r="C13" i="5095"/>
  <c r="O12" i="5095"/>
  <c r="C12" i="5095"/>
  <c r="O11" i="5095"/>
  <c r="C11" i="5095"/>
  <c r="O10" i="5095"/>
  <c r="C10" i="5095"/>
  <c r="C9" i="5095"/>
  <c r="C8" i="5095"/>
  <c r="O7" i="5095"/>
  <c r="C7" i="5095"/>
  <c r="O6" i="5095"/>
  <c r="B6" i="5095"/>
  <c r="O5" i="5095"/>
  <c r="B5" i="5095"/>
  <c r="O4" i="5095"/>
  <c r="O3" i="5095"/>
  <c r="O2" i="5095"/>
  <c r="O21" i="5093"/>
  <c r="O19" i="5093"/>
  <c r="C27" i="5093"/>
  <c r="B24" i="5093"/>
  <c r="C20" i="5093"/>
  <c r="B17" i="5093"/>
  <c r="H5" i="5093" s="1"/>
  <c r="C16" i="5093"/>
  <c r="C15" i="5093"/>
  <c r="C14" i="5093"/>
  <c r="C13" i="5093"/>
  <c r="O12" i="5093"/>
  <c r="C12" i="5093"/>
  <c r="O11" i="5093"/>
  <c r="C11" i="5093"/>
  <c r="O10" i="5093"/>
  <c r="C10" i="5093"/>
  <c r="C9" i="5093"/>
  <c r="C8" i="5093"/>
  <c r="O7" i="5093"/>
  <c r="C7" i="5093"/>
  <c r="O6" i="5093"/>
  <c r="B6" i="5093"/>
  <c r="O5" i="5093"/>
  <c r="B5" i="5093"/>
  <c r="O4" i="5093"/>
  <c r="O3" i="5093"/>
  <c r="O2" i="5093"/>
  <c r="O22" i="5087"/>
  <c r="O23" i="5087"/>
  <c r="O22" i="5085"/>
  <c r="O21" i="5085"/>
  <c r="H5" i="5097" l="1"/>
  <c r="H5" i="5095"/>
  <c r="H2" i="5093"/>
  <c r="H3" i="5093"/>
  <c r="C17" i="5093"/>
  <c r="H11" i="5097"/>
  <c r="H8" i="5097"/>
  <c r="H3" i="5097"/>
  <c r="C17" i="5097"/>
  <c r="H20" i="5097"/>
  <c r="H4" i="5097"/>
  <c r="H2" i="5097"/>
  <c r="H12" i="5097"/>
  <c r="H16" i="5097"/>
  <c r="H25" i="5097"/>
  <c r="H27" i="5097"/>
  <c r="H13" i="5097"/>
  <c r="H9" i="5097"/>
  <c r="H33" i="5097"/>
  <c r="H37" i="5097"/>
  <c r="H41" i="5097"/>
  <c r="H45" i="5097"/>
  <c r="H49" i="5097"/>
  <c r="H6" i="5097"/>
  <c r="H7" i="5097"/>
  <c r="H14" i="5097"/>
  <c r="H22" i="5097"/>
  <c r="H15" i="5097"/>
  <c r="C18" i="5097"/>
  <c r="B23" i="5097"/>
  <c r="H29" i="5097"/>
  <c r="H31" i="5097"/>
  <c r="H34" i="5097"/>
  <c r="H38" i="5097"/>
  <c r="H42" i="5097"/>
  <c r="H46" i="5097"/>
  <c r="H50" i="5097"/>
  <c r="H24" i="5097"/>
  <c r="H26" i="5097"/>
  <c r="H28" i="5097"/>
  <c r="H30" i="5097"/>
  <c r="H18" i="5097"/>
  <c r="H35" i="5097"/>
  <c r="H39" i="5097"/>
  <c r="H43" i="5097"/>
  <c r="H47" i="5097"/>
  <c r="H51" i="5097"/>
  <c r="H10" i="5097"/>
  <c r="H21" i="5097"/>
  <c r="H23" i="5097"/>
  <c r="C19" i="5097"/>
  <c r="H17" i="5097"/>
  <c r="H32" i="5097"/>
  <c r="H36" i="5097"/>
  <c r="H40" i="5097"/>
  <c r="H44" i="5097"/>
  <c r="H48" i="5097"/>
  <c r="H3" i="5095"/>
  <c r="H22" i="5095"/>
  <c r="H7" i="5095"/>
  <c r="H2" i="5095"/>
  <c r="H16" i="5095"/>
  <c r="H11" i="5095"/>
  <c r="C17" i="5095"/>
  <c r="H33" i="5095"/>
  <c r="H11" i="5093"/>
  <c r="H4" i="5093"/>
  <c r="H19" i="5095"/>
  <c r="C18" i="5095"/>
  <c r="H28" i="5095"/>
  <c r="H37" i="5095"/>
  <c r="H41" i="5095"/>
  <c r="B23" i="5095"/>
  <c r="H30" i="5095"/>
  <c r="H45" i="5095"/>
  <c r="H49" i="5095"/>
  <c r="H24" i="5095"/>
  <c r="H29" i="5095"/>
  <c r="H50" i="5095"/>
  <c r="H8" i="5095"/>
  <c r="H21" i="5095"/>
  <c r="H23" i="5095"/>
  <c r="C19" i="5095"/>
  <c r="H13" i="5095"/>
  <c r="H31" i="5095"/>
  <c r="H35" i="5095"/>
  <c r="H39" i="5095"/>
  <c r="H43" i="5095"/>
  <c r="H47" i="5095"/>
  <c r="H51" i="5095"/>
  <c r="H25" i="5095"/>
  <c r="H27" i="5095"/>
  <c r="H18" i="5095"/>
  <c r="H34" i="5095"/>
  <c r="H38" i="5095"/>
  <c r="H42" i="5095"/>
  <c r="H46" i="5095"/>
  <c r="H9" i="5095"/>
  <c r="H6" i="5095"/>
  <c r="H12" i="5095"/>
  <c r="H20" i="5095"/>
  <c r="H17" i="5095"/>
  <c r="H15" i="5095"/>
  <c r="H26" i="5095"/>
  <c r="H14" i="5095"/>
  <c r="H10" i="5095"/>
  <c r="H32" i="5095"/>
  <c r="H36" i="5095"/>
  <c r="H40" i="5095"/>
  <c r="H44" i="5095"/>
  <c r="H48" i="5095"/>
  <c r="H27" i="5093"/>
  <c r="H32" i="5093"/>
  <c r="H39" i="5093"/>
  <c r="H47" i="5093"/>
  <c r="H6" i="5093"/>
  <c r="H21" i="5093"/>
  <c r="H23" i="5093"/>
  <c r="H16" i="5093"/>
  <c r="C18" i="5093"/>
  <c r="B23" i="5093"/>
  <c r="H20" i="5093"/>
  <c r="H31" i="5093"/>
  <c r="H34" i="5093"/>
  <c r="H38" i="5093"/>
  <c r="H42" i="5093"/>
  <c r="H46" i="5093"/>
  <c r="H50" i="5093"/>
  <c r="H26" i="5093"/>
  <c r="H29" i="5093"/>
  <c r="H35" i="5093"/>
  <c r="H51" i="5093"/>
  <c r="H8" i="5093"/>
  <c r="H17" i="5093"/>
  <c r="H24" i="5093"/>
  <c r="C19" i="5093"/>
  <c r="H14" i="5093"/>
  <c r="H18" i="5093"/>
  <c r="H36" i="5093"/>
  <c r="H40" i="5093"/>
  <c r="H44" i="5093"/>
  <c r="H48" i="5093"/>
  <c r="H19" i="5093"/>
  <c r="H30" i="5093"/>
  <c r="H43" i="5093"/>
  <c r="H10" i="5093"/>
  <c r="H7" i="5093"/>
  <c r="H13" i="5093"/>
  <c r="H22" i="5093"/>
  <c r="H25" i="5093"/>
  <c r="H15" i="5093"/>
  <c r="H28" i="5093"/>
  <c r="H12" i="5093"/>
  <c r="H9" i="5093"/>
  <c r="H33" i="5093"/>
  <c r="H37" i="5093"/>
  <c r="H41" i="5093"/>
  <c r="H45" i="5093"/>
  <c r="H49" i="5093"/>
  <c r="O16" i="5091" l="1"/>
  <c r="O19" i="5091"/>
  <c r="C27" i="5091"/>
  <c r="B24" i="5091"/>
  <c r="C20" i="5091"/>
  <c r="B17" i="5091"/>
  <c r="H5" i="5091" s="1"/>
  <c r="C16" i="5091"/>
  <c r="C15" i="5091"/>
  <c r="C14" i="5091"/>
  <c r="C13" i="5091"/>
  <c r="O12" i="5091"/>
  <c r="C12" i="5091"/>
  <c r="O11" i="5091"/>
  <c r="C11" i="5091"/>
  <c r="O10" i="5091"/>
  <c r="C10" i="5091"/>
  <c r="C9" i="5091"/>
  <c r="C8" i="5091"/>
  <c r="O7" i="5091"/>
  <c r="C7" i="5091"/>
  <c r="O6" i="5091"/>
  <c r="B6" i="5091"/>
  <c r="O5" i="5091"/>
  <c r="B5" i="5091"/>
  <c r="O4" i="5091"/>
  <c r="O3" i="5091"/>
  <c r="O2" i="5091"/>
  <c r="O22" i="5089"/>
  <c r="O17" i="5089"/>
  <c r="C27" i="5089"/>
  <c r="B24" i="5089"/>
  <c r="C20" i="5089"/>
  <c r="B17" i="5089"/>
  <c r="H5" i="5089" s="1"/>
  <c r="C16" i="5089"/>
  <c r="C15" i="5089"/>
  <c r="C14" i="5089"/>
  <c r="C13" i="5089"/>
  <c r="O12" i="5089"/>
  <c r="C12" i="5089"/>
  <c r="O11" i="5089"/>
  <c r="C11" i="5089"/>
  <c r="O10" i="5089"/>
  <c r="C10" i="5089"/>
  <c r="C9" i="5089"/>
  <c r="C8" i="5089"/>
  <c r="O7" i="5089"/>
  <c r="C7" i="5089"/>
  <c r="O6" i="5089"/>
  <c r="B6" i="5089"/>
  <c r="O5" i="5089"/>
  <c r="B5" i="5089"/>
  <c r="O4" i="5089"/>
  <c r="O3" i="5089"/>
  <c r="O2" i="5089"/>
  <c r="O23" i="5085"/>
  <c r="O16" i="5087"/>
  <c r="O21" i="5087"/>
  <c r="C27" i="5087"/>
  <c r="B24" i="5087"/>
  <c r="C20" i="5087"/>
  <c r="B17" i="5087"/>
  <c r="H5" i="5087" s="1"/>
  <c r="C16" i="5087"/>
  <c r="C15" i="5087"/>
  <c r="C14" i="5087"/>
  <c r="C13" i="5087"/>
  <c r="O12" i="5087"/>
  <c r="C12" i="5087"/>
  <c r="O11" i="5087"/>
  <c r="C11" i="5087"/>
  <c r="O10" i="5087"/>
  <c r="C10" i="5087"/>
  <c r="C9" i="5087"/>
  <c r="C8" i="5087"/>
  <c r="O7" i="5087"/>
  <c r="C7" i="5087"/>
  <c r="O6" i="5087"/>
  <c r="B6" i="5087"/>
  <c r="O5" i="5087"/>
  <c r="B5" i="5087"/>
  <c r="O4" i="5087"/>
  <c r="O3" i="5087"/>
  <c r="O2" i="5087"/>
  <c r="O15" i="5085"/>
  <c r="O19" i="5085"/>
  <c r="C27" i="5085"/>
  <c r="B24" i="5085"/>
  <c r="C20" i="5085"/>
  <c r="B17" i="5085"/>
  <c r="H18" i="5085" s="1"/>
  <c r="C16" i="5085"/>
  <c r="C15" i="5085"/>
  <c r="C14" i="5085"/>
  <c r="C13" i="5085"/>
  <c r="O12" i="5085"/>
  <c r="C12" i="5085"/>
  <c r="O11" i="5085"/>
  <c r="C11" i="5085"/>
  <c r="O10" i="5085"/>
  <c r="C10" i="5085"/>
  <c r="C9" i="5085"/>
  <c r="C8" i="5085"/>
  <c r="O7" i="5085"/>
  <c r="C7" i="5085"/>
  <c r="O6" i="5085"/>
  <c r="B6" i="5085"/>
  <c r="O5" i="5085"/>
  <c r="B5" i="5085"/>
  <c r="O4" i="5085"/>
  <c r="O3" i="5085"/>
  <c r="O2" i="5085"/>
  <c r="H2" i="5089" l="1"/>
  <c r="H8" i="5089"/>
  <c r="H7" i="5089"/>
  <c r="H3" i="5089"/>
  <c r="H9" i="5089"/>
  <c r="H24" i="5091"/>
  <c r="H12" i="5089"/>
  <c r="H29" i="5089"/>
  <c r="C17" i="5089"/>
  <c r="H6" i="5089"/>
  <c r="H22" i="5089"/>
  <c r="H10" i="5089"/>
  <c r="H4" i="5089"/>
  <c r="H20" i="5089"/>
  <c r="B23" i="5089"/>
  <c r="H6" i="5091"/>
  <c r="H8" i="5091"/>
  <c r="H23" i="5089"/>
  <c r="H12" i="5091"/>
  <c r="H4" i="5091"/>
  <c r="H10" i="5091"/>
  <c r="C17" i="5091"/>
  <c r="H29" i="5091"/>
  <c r="H14" i="5091"/>
  <c r="H16" i="5091"/>
  <c r="H3" i="5091"/>
  <c r="H2" i="5091"/>
  <c r="H9" i="5091"/>
  <c r="H7" i="5091"/>
  <c r="H25" i="5091"/>
  <c r="H17" i="5091"/>
  <c r="H13" i="5091"/>
  <c r="H23" i="5091"/>
  <c r="H26" i="5091"/>
  <c r="H15" i="5091"/>
  <c r="C18" i="5091"/>
  <c r="B23" i="5091"/>
  <c r="H19" i="5091"/>
  <c r="H31" i="5091"/>
  <c r="H33" i="5091"/>
  <c r="H37" i="5091"/>
  <c r="H41" i="5091"/>
  <c r="H45" i="5091"/>
  <c r="H49" i="5091"/>
  <c r="H27" i="5091"/>
  <c r="H28" i="5091"/>
  <c r="H30" i="5091"/>
  <c r="H20" i="5091"/>
  <c r="H21" i="5091"/>
  <c r="H34" i="5091"/>
  <c r="H38" i="5091"/>
  <c r="H42" i="5091"/>
  <c r="H46" i="5091"/>
  <c r="H50" i="5091"/>
  <c r="C19" i="5091"/>
  <c r="H18" i="5091"/>
  <c r="H32" i="5091"/>
  <c r="H35" i="5091"/>
  <c r="H39" i="5091"/>
  <c r="H43" i="5091"/>
  <c r="H47" i="5091"/>
  <c r="H51" i="5091"/>
  <c r="H11" i="5091"/>
  <c r="H22" i="5091"/>
  <c r="H36" i="5091"/>
  <c r="H40" i="5091"/>
  <c r="H44" i="5091"/>
  <c r="H48" i="5091"/>
  <c r="H19" i="5089"/>
  <c r="C18" i="5089"/>
  <c r="H21" i="5089"/>
  <c r="C19" i="5089"/>
  <c r="H26" i="5089"/>
  <c r="H34" i="5089"/>
  <c r="H38" i="5089"/>
  <c r="H42" i="5089"/>
  <c r="H33" i="5089"/>
  <c r="H35" i="5089"/>
  <c r="H46" i="5089"/>
  <c r="H15" i="5089"/>
  <c r="H36" i="5089"/>
  <c r="H50" i="5089"/>
  <c r="H30" i="5089"/>
  <c r="H31" i="5089"/>
  <c r="H32" i="5089"/>
  <c r="H25" i="5089"/>
  <c r="H16" i="5089"/>
  <c r="H28" i="5089"/>
  <c r="H39" i="5089"/>
  <c r="H43" i="5089"/>
  <c r="H47" i="5089"/>
  <c r="H51" i="5089"/>
  <c r="H40" i="5089"/>
  <c r="H44" i="5089"/>
  <c r="H48" i="5089"/>
  <c r="H18" i="5089"/>
  <c r="H17" i="5089"/>
  <c r="H14" i="5089"/>
  <c r="H24" i="5089"/>
  <c r="H13" i="5089"/>
  <c r="H11" i="5089"/>
  <c r="H27" i="5089"/>
  <c r="H37" i="5089"/>
  <c r="H41" i="5089"/>
  <c r="H45" i="5089"/>
  <c r="H49" i="5089"/>
  <c r="H7" i="5087"/>
  <c r="H14" i="5087"/>
  <c r="H6" i="5087"/>
  <c r="H3" i="5087"/>
  <c r="H21" i="5087"/>
  <c r="H22" i="5087"/>
  <c r="C17" i="5087"/>
  <c r="H40" i="5087"/>
  <c r="H10" i="5087"/>
  <c r="H20" i="5087"/>
  <c r="H36" i="5087"/>
  <c r="H4" i="5087"/>
  <c r="H2" i="5087"/>
  <c r="H11" i="5087"/>
  <c r="C19" i="5087"/>
  <c r="H44" i="5087"/>
  <c r="H8" i="5087"/>
  <c r="H29" i="5087"/>
  <c r="H17" i="5087"/>
  <c r="H25" i="5087"/>
  <c r="H50" i="5087"/>
  <c r="H23" i="5087"/>
  <c r="H35" i="5087"/>
  <c r="H42" i="5087"/>
  <c r="H13" i="5087"/>
  <c r="H28" i="5087"/>
  <c r="C18" i="5087"/>
  <c r="B23" i="5087"/>
  <c r="H24" i="5087"/>
  <c r="H38" i="5087"/>
  <c r="H46" i="5087"/>
  <c r="H30" i="5087"/>
  <c r="H31" i="5087"/>
  <c r="H33" i="5087"/>
  <c r="H34" i="5087"/>
  <c r="H19" i="5087"/>
  <c r="H27" i="5087"/>
  <c r="H39" i="5087"/>
  <c r="H43" i="5087"/>
  <c r="H47" i="5087"/>
  <c r="H51" i="5087"/>
  <c r="H48" i="5087"/>
  <c r="H16" i="5087"/>
  <c r="H18" i="5087"/>
  <c r="H15" i="5087"/>
  <c r="H32" i="5087"/>
  <c r="H12" i="5087"/>
  <c r="H9" i="5087"/>
  <c r="H26" i="5087"/>
  <c r="H37" i="5087"/>
  <c r="H41" i="5087"/>
  <c r="H45" i="5087"/>
  <c r="H49" i="5087"/>
  <c r="H9" i="5085"/>
  <c r="H2" i="5085"/>
  <c r="H3" i="5085"/>
  <c r="H4" i="5085"/>
  <c r="H11" i="5085"/>
  <c r="H6" i="5085"/>
  <c r="H23" i="5085"/>
  <c r="H7" i="5085"/>
  <c r="H21" i="5085"/>
  <c r="H32" i="5085"/>
  <c r="H16" i="5085"/>
  <c r="C18" i="5085"/>
  <c r="H14" i="5085"/>
  <c r="H13" i="5085"/>
  <c r="H31" i="5085"/>
  <c r="H38" i="5085"/>
  <c r="H46" i="5085"/>
  <c r="C19" i="5085"/>
  <c r="H29" i="5085"/>
  <c r="H25" i="5085"/>
  <c r="H26" i="5085"/>
  <c r="H41" i="5085"/>
  <c r="H49" i="5085"/>
  <c r="H8" i="5085"/>
  <c r="H20" i="5085"/>
  <c r="H24" i="5085"/>
  <c r="C17" i="5085"/>
  <c r="H15" i="5085"/>
  <c r="B23" i="5085"/>
  <c r="H35" i="5085"/>
  <c r="H42" i="5085"/>
  <c r="H50" i="5085"/>
  <c r="H12" i="5085"/>
  <c r="H19" i="5085"/>
  <c r="H10" i="5085"/>
  <c r="H37" i="5085"/>
  <c r="H45" i="5085"/>
  <c r="H5" i="5085"/>
  <c r="H33" i="5085"/>
  <c r="H34" i="5085"/>
  <c r="H30" i="5085"/>
  <c r="H27" i="5085"/>
  <c r="H17" i="5085"/>
  <c r="H28" i="5085"/>
  <c r="H39" i="5085"/>
  <c r="H43" i="5085"/>
  <c r="H47" i="5085"/>
  <c r="H51" i="5085"/>
  <c r="H22" i="5085"/>
  <c r="H36" i="5085"/>
  <c r="H40" i="5085"/>
  <c r="H44" i="5085"/>
  <c r="H48" i="508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<sst xmlns="http://schemas.openxmlformats.org/spreadsheetml/2006/main" count="2733" uniqueCount="223">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</sst>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全体!$K$2:$K$407</c:f>
              <c:numCache>
                <c:formatCode>General</c:formatCode>
                <c:ptCount val="4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</c:numCache>
            </c:numRef>
          </c:xVal>
          <c:yVal>
            <c:numRef>
              <c:f>全体!$L$2:$L$407</c:f>
              <c:numCache>
                <c:formatCode>\+0.0;\-0.0;\±0</c:formatCode>
                <c:ptCount val="40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4-49ED-94FB-B6DAC2A5D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-14.814814814814815</c:v>
                </c:pt>
                <c:pt idx="1">
                  <c:v>-9.9502487562189046</c:v>
                </c:pt>
                <c:pt idx="2">
                  <c:v>10.498687664041995</c:v>
                </c:pt>
                <c:pt idx="3">
                  <c:v>14.367816091954023</c:v>
                </c:pt>
                <c:pt idx="4">
                  <c:v>-15.723270440251572</c:v>
                </c:pt>
                <c:pt idx="5">
                  <c:v>20.408163265306122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C-4F79-BAA5-11B640B71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だいち!$L$2:$L$94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D-4788-971B-8BC8F98C5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2610.8695652173915</c:v>
                </c:pt>
                <c:pt idx="1">
                  <c:v>2809.8901098901097</c:v>
                </c:pt>
                <c:pt idx="2">
                  <c:v>2460.9195402298851</c:v>
                </c:pt>
                <c:pt idx="3">
                  <c:v>2601.25</c:v>
                </c:pt>
                <c:pt idx="4">
                  <c:v>-83.098591549295776</c:v>
                </c:pt>
                <c:pt idx="5">
                  <c:v>884.61538461538464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87A-A24F-8C5DBF26B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りくと!$L$2:$L$101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7-4F11-935C-5DCA658F9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513.13131313131316</c:v>
                </c:pt>
                <c:pt idx="1">
                  <c:v>-2293.8775510204082</c:v>
                </c:pt>
                <c:pt idx="2">
                  <c:v>-867.36842105263156</c:v>
                </c:pt>
                <c:pt idx="3">
                  <c:v>647.67441860465112</c:v>
                </c:pt>
                <c:pt idx="4">
                  <c:v>133.33333333333334</c:v>
                </c:pt>
                <c:pt idx="5">
                  <c:v>312.32876712328766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B-4A2B-B7A8-65DFCB816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A-434C-A25B-41A819166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-2836.8421052631579</c:v>
                </c:pt>
                <c:pt idx="1">
                  <c:v>-3252.6315789473683</c:v>
                </c:pt>
                <c:pt idx="2">
                  <c:v>-1208.5714285714287</c:v>
                </c:pt>
                <c:pt idx="3">
                  <c:v>-6190</c:v>
                </c:pt>
                <c:pt idx="4">
                  <c:v>-1188.8888888888889</c:v>
                </c:pt>
                <c:pt idx="5">
                  <c:v>-1584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E-4BCB-A7D0-7312F4561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れんたろう!$L$2:$L$51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7-4705-83B2-80530EC1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-83.673469387755105</c:v>
                </c:pt>
                <c:pt idx="1">
                  <c:v>489.79591836734693</c:v>
                </c:pt>
                <c:pt idx="2">
                  <c:v>74.468085106382972</c:v>
                </c:pt>
                <c:pt idx="3">
                  <c:v>2302.439024390244</c:v>
                </c:pt>
                <c:pt idx="4">
                  <c:v>-1662.1621621621621</c:v>
                </c:pt>
                <c:pt idx="5">
                  <c:v>245.71428571428572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F-4A3B-A784-3629B4233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たかの!$L$2:$L$51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A-4114-9A99-3E78370CA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269.38775510204084</c:v>
                </c:pt>
                <c:pt idx="1">
                  <c:v>316.32653061224488</c:v>
                </c:pt>
                <c:pt idx="2">
                  <c:v>-165.90909090909091</c:v>
                </c:pt>
                <c:pt idx="3">
                  <c:v>743.90243902439022</c:v>
                </c:pt>
                <c:pt idx="4">
                  <c:v>1402.5</c:v>
                </c:pt>
                <c:pt idx="5">
                  <c:v>-831.42857142857144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5F-47AB-AA13-F9705224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1-45F2-B96D-D2B58B800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-2694.4444444444443</c:v>
                </c:pt>
                <c:pt idx="1">
                  <c:v>1827.7777777777778</c:v>
                </c:pt>
                <c:pt idx="2">
                  <c:v>-888.23529411764707</c:v>
                </c:pt>
                <c:pt idx="3">
                  <c:v>-4443.75</c:v>
                </c:pt>
                <c:pt idx="4">
                  <c:v>782.75862068965512</c:v>
                </c:pt>
                <c:pt idx="5">
                  <c:v>1085.7142857142858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B-4AED-A3ED-12FA99541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まっつん!$L$2:$L$26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894-881A-399E7685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-2770.8333333333335</c:v>
                </c:pt>
                <c:pt idx="1">
                  <c:v>-1282.608695652174</c:v>
                </c:pt>
                <c:pt idx="2">
                  <c:v>-1042.8571428571429</c:v>
                </c:pt>
                <c:pt idx="3">
                  <c:v>-404.76190476190476</c:v>
                </c:pt>
                <c:pt idx="4">
                  <c:v>-1100</c:v>
                </c:pt>
                <c:pt idx="5">
                  <c:v>976.47058823529414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EA-4746-B462-D2FA367B1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D-4CF9-B195-D9EF897D5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C-42F5-9962-05756C262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C-426B-B5BB-F67DD5E52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27-45A9-B938-BEF8C8CF1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7D-4844-A4B2-3B6A67521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8-4E4F-A5C2-625DD6C82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ほたに2!$C$3:$C$8</c:f>
              <c:numCache>
                <c:formatCode>\+0.0;\-0.0;\±0</c:formatCode>
                <c:ptCount val="6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7721325402481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ほたに2!$G$3:$G$8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496328928047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ほたに2!$H$3:$H$8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07195301027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ほたに2!$I$3:$I$8</c:f>
              <c:numCache>
                <c:formatCode>0</c:formatCode>
                <c:ptCount val="6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6.0194174757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ほたに2!$J$3:$J$8</c:f>
              <c:numCache>
                <c:formatCode>0</c:formatCode>
                <c:ptCount val="6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86.46748681898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23456790123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ほたに2!$L$3:$L$8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23456790123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ほたに2!$M$3:$M$8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9016152716593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ほたに2!$N$3:$N$8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85903083700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794759825327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ほたに2!$P$3:$P$8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6394557823129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ほたに2!$Q$3:$Q$8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805825242718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7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5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5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5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5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5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0.75865095788880699</v>
      </c>
      <c r="G2" s="159"/>
      <c r="H2" s="158">
        <v>0.59450787528940496</v>
      </c>
      <c r="I2" s="159"/>
      <c r="J2" s="158">
        <v>0.77004752329462578</v>
      </c>
      <c r="K2" s="159"/>
      <c r="L2" s="158">
        <v>0.54123854684329398</v>
      </c>
      <c r="M2" s="159"/>
      <c r="N2" s="158">
        <v>0.71221209004509134</v>
      </c>
      <c r="O2" s="159"/>
      <c r="P2" s="158">
        <v>0.58131191171050867</v>
      </c>
      <c r="Q2" s="159"/>
      <c r="R2" s="158">
        <v>-5.059472653048696E-2</v>
      </c>
      <c r="S2" s="159"/>
      <c r="T2" s="158">
        <v>0.52438338378728733</v>
      </c>
      <c r="U2" s="159"/>
      <c r="V2" s="158">
        <v>0.81513903002045118</v>
      </c>
      <c r="W2" s="159"/>
      <c r="X2" s="158">
        <v>0.85159521419073825</v>
      </c>
      <c r="Y2" s="159"/>
      <c r="Z2" s="158">
        <v>3.8998802745113491E-3</v>
      </c>
      <c r="AA2" s="159"/>
      <c r="AB2" s="158">
        <v>0.23030069595400177</v>
      </c>
      <c r="AC2" s="159"/>
      <c r="AD2" s="158">
        <v>5.9439608402611706E-2</v>
      </c>
      <c r="AE2" s="159"/>
      <c r="AF2" s="158">
        <v>-0.47755543070614154</v>
      </c>
      <c r="AG2" s="159"/>
      <c r="AH2" s="158">
        <v>0.87942077296278254</v>
      </c>
      <c r="AI2" s="159"/>
    </row>
    <row r="3" spans="1:35" x14ac:dyDescent="0.4">
      <c r="A3" s="74">
        <v>1</v>
      </c>
      <c r="B3" s="75" t="s">
        <v>127</v>
      </c>
      <c r="C3" s="76">
        <v>1634.7000000000012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0.37650200267022699</v>
      </c>
      <c r="N3" s="77" t="s">
        <v>185</v>
      </c>
      <c r="O3" s="80">
        <v>0.10526315789473684</v>
      </c>
      <c r="P3" s="77" t="s">
        <v>171</v>
      </c>
      <c r="Q3" s="81">
        <v>9396.1904761904771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0.18478260869565216</v>
      </c>
      <c r="X3" s="77" t="s">
        <v>127</v>
      </c>
      <c r="Y3" s="80">
        <v>0.32843791722296395</v>
      </c>
      <c r="Z3" s="77" t="s">
        <v>172</v>
      </c>
      <c r="AA3" s="80">
        <v>0.30769230769230771</v>
      </c>
      <c r="AB3" s="77" t="s">
        <v>177</v>
      </c>
      <c r="AC3" s="80">
        <v>0.625</v>
      </c>
      <c r="AD3" s="77" t="s">
        <v>127</v>
      </c>
      <c r="AE3" s="80">
        <v>0.52906976744186052</v>
      </c>
      <c r="AF3" s="77" t="s">
        <v>202</v>
      </c>
      <c r="AG3" s="80">
        <v>0.58333333333333337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113</v>
      </c>
      <c r="D4" s="85" t="s">
        <v>127</v>
      </c>
      <c r="E4" s="97">
        <v>17.768478260869578</v>
      </c>
      <c r="F4" s="85" t="s">
        <v>127</v>
      </c>
      <c r="G4" s="86">
        <v>1.6413043478260869</v>
      </c>
      <c r="H4" s="85" t="s">
        <v>127</v>
      </c>
      <c r="I4" s="87">
        <v>0.55434782608695654</v>
      </c>
      <c r="J4" s="85" t="s">
        <v>127</v>
      </c>
      <c r="K4" s="87">
        <v>0.19565217391304349</v>
      </c>
      <c r="L4" s="85" t="s">
        <v>172</v>
      </c>
      <c r="M4" s="88">
        <v>0.37296037296037299</v>
      </c>
      <c r="N4" s="85" t="s">
        <v>172</v>
      </c>
      <c r="O4" s="88">
        <v>0.13053613053613053</v>
      </c>
      <c r="P4" s="85" t="s">
        <v>128</v>
      </c>
      <c r="Q4" s="89">
        <v>9155.8441558441555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0.12244897959183673</v>
      </c>
      <c r="X4" s="85" t="s">
        <v>128</v>
      </c>
      <c r="Y4" s="88">
        <v>0.29136690647482016</v>
      </c>
      <c r="Z4" s="85" t="s">
        <v>202</v>
      </c>
      <c r="AA4" s="88">
        <v>0.26</v>
      </c>
      <c r="AB4" s="85" t="s">
        <v>173</v>
      </c>
      <c r="AC4" s="88">
        <v>0.60810810810810811</v>
      </c>
      <c r="AD4" s="85" t="s">
        <v>185</v>
      </c>
      <c r="AE4" s="88">
        <v>0.5</v>
      </c>
      <c r="AF4" s="85" t="s">
        <v>186</v>
      </c>
      <c r="AG4" s="88">
        <v>0.55000000000000004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172</v>
      </c>
      <c r="E5" s="97">
        <v>2.306122448979592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202</v>
      </c>
      <c r="K5" s="87">
        <v>0.2</v>
      </c>
      <c r="L5" s="85" t="s">
        <v>173</v>
      </c>
      <c r="M5" s="88">
        <v>0.30721003134796238</v>
      </c>
      <c r="N5" s="85" t="s">
        <v>127</v>
      </c>
      <c r="O5" s="88">
        <v>0.15220293724966621</v>
      </c>
      <c r="P5" s="85" t="s">
        <v>127</v>
      </c>
      <c r="Q5" s="89">
        <v>9136.1702127659573</v>
      </c>
      <c r="R5" s="85" t="s">
        <v>171</v>
      </c>
      <c r="S5" s="89">
        <v>-7085.7142857142853</v>
      </c>
      <c r="T5" s="85" t="s">
        <v>171</v>
      </c>
      <c r="U5" s="87">
        <v>2.0408163265306121E-2</v>
      </c>
      <c r="V5" s="85" t="s">
        <v>172</v>
      </c>
      <c r="W5" s="87">
        <v>0.12244897959183673</v>
      </c>
      <c r="X5" s="85" t="s">
        <v>145</v>
      </c>
      <c r="Y5" s="88">
        <v>0.26901615271659324</v>
      </c>
      <c r="Z5" s="85" t="s">
        <v>173</v>
      </c>
      <c r="AA5" s="88">
        <v>0.25391849529780564</v>
      </c>
      <c r="AB5" s="85" t="s">
        <v>172</v>
      </c>
      <c r="AC5" s="88">
        <v>0.6063829787234043</v>
      </c>
      <c r="AD5" s="85" t="s">
        <v>186</v>
      </c>
      <c r="AE5" s="88">
        <v>0.47058823529411764</v>
      </c>
      <c r="AF5" s="85" t="s">
        <v>173</v>
      </c>
      <c r="AG5" s="88">
        <v>0.52040816326530615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145</v>
      </c>
      <c r="C6" s="84">
        <v>3.5527136788005009E-14</v>
      </c>
      <c r="D6" s="85" t="s">
        <v>145</v>
      </c>
      <c r="E6" s="97">
        <v>8.77213254024815E-17</v>
      </c>
      <c r="F6" s="85" t="s">
        <v>202</v>
      </c>
      <c r="G6" s="86">
        <v>2</v>
      </c>
      <c r="H6" s="85" t="s">
        <v>172</v>
      </c>
      <c r="I6" s="87">
        <v>0.30612244897959184</v>
      </c>
      <c r="J6" s="85" t="s">
        <v>172</v>
      </c>
      <c r="K6" s="87">
        <v>0.32653061224489793</v>
      </c>
      <c r="L6" s="85" t="s">
        <v>145</v>
      </c>
      <c r="M6" s="88">
        <v>0.30249632892804701</v>
      </c>
      <c r="N6" s="85" t="s">
        <v>171</v>
      </c>
      <c r="O6" s="88">
        <v>0.15254237288135594</v>
      </c>
      <c r="P6" s="85" t="s">
        <v>129</v>
      </c>
      <c r="Q6" s="89">
        <v>8566.1538461538457</v>
      </c>
      <c r="R6" s="85" t="s">
        <v>177</v>
      </c>
      <c r="S6" s="89">
        <v>-7291.8918918918916</v>
      </c>
      <c r="T6" s="85" t="s">
        <v>127</v>
      </c>
      <c r="U6" s="87">
        <v>5.434782608695652E-2</v>
      </c>
      <c r="V6" s="85" t="s">
        <v>145</v>
      </c>
      <c r="W6" s="87">
        <v>0.10123456790123457</v>
      </c>
      <c r="X6" s="85" t="s">
        <v>185</v>
      </c>
      <c r="Y6" s="88">
        <v>0.26315789473684209</v>
      </c>
      <c r="Z6" s="85" t="s">
        <v>127</v>
      </c>
      <c r="AA6" s="88">
        <v>0.22963951935914553</v>
      </c>
      <c r="AB6" s="85" t="s">
        <v>127</v>
      </c>
      <c r="AC6" s="88">
        <v>0.60569105691056913</v>
      </c>
      <c r="AD6" s="85" t="s">
        <v>172</v>
      </c>
      <c r="AE6" s="88">
        <v>0.43181818181818182</v>
      </c>
      <c r="AF6" s="85" t="s">
        <v>129</v>
      </c>
      <c r="AG6" s="88">
        <v>0.50769230769230766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202</v>
      </c>
      <c r="C7" s="84">
        <v>-16.100000000000005</v>
      </c>
      <c r="D7" s="85" t="s">
        <v>171</v>
      </c>
      <c r="E7" s="97">
        <v>-0.47142857142857153</v>
      </c>
      <c r="F7" s="85" t="s">
        <v>172</v>
      </c>
      <c r="G7" s="86">
        <v>2.0204081632653059</v>
      </c>
      <c r="H7" s="85" t="s">
        <v>186</v>
      </c>
      <c r="I7" s="87">
        <v>0.3</v>
      </c>
      <c r="J7" s="85" t="s">
        <v>173</v>
      </c>
      <c r="K7" s="87">
        <v>0.33333333333333331</v>
      </c>
      <c r="L7" s="85" t="s">
        <v>128</v>
      </c>
      <c r="M7" s="88">
        <v>0.27697841726618705</v>
      </c>
      <c r="N7" s="85" t="s">
        <v>145</v>
      </c>
      <c r="O7" s="88">
        <v>0.16710719530102791</v>
      </c>
      <c r="P7" s="85" t="s">
        <v>202</v>
      </c>
      <c r="Q7" s="89">
        <v>8425</v>
      </c>
      <c r="R7" s="85" t="s">
        <v>128</v>
      </c>
      <c r="S7" s="89">
        <v>-7666.2068965517237</v>
      </c>
      <c r="T7" s="85" t="s">
        <v>172</v>
      </c>
      <c r="U7" s="87">
        <v>6.1224489795918366E-2</v>
      </c>
      <c r="V7" s="85" t="s">
        <v>128</v>
      </c>
      <c r="W7" s="87">
        <v>8.0808080808080815E-2</v>
      </c>
      <c r="X7" s="85" t="s">
        <v>171</v>
      </c>
      <c r="Y7" s="88">
        <v>0.25907990314769974</v>
      </c>
      <c r="Z7" s="85" t="s">
        <v>177</v>
      </c>
      <c r="AA7" s="88">
        <v>0.22727272727272727</v>
      </c>
      <c r="AB7" s="85" t="s">
        <v>128</v>
      </c>
      <c r="AC7" s="88">
        <v>0.60082304526748975</v>
      </c>
      <c r="AD7" s="85" t="s">
        <v>177</v>
      </c>
      <c r="AE7" s="88">
        <v>0.4</v>
      </c>
      <c r="AF7" s="85" t="s">
        <v>145</v>
      </c>
      <c r="AG7" s="88">
        <v>0.43980582524271844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-23.100000000000005</v>
      </c>
      <c r="D8" s="85" t="s">
        <v>202</v>
      </c>
      <c r="E8" s="97">
        <v>-3.2200000000000011</v>
      </c>
      <c r="F8" s="85" t="s">
        <v>173</v>
      </c>
      <c r="G8" s="86">
        <v>2.0555555555555554</v>
      </c>
      <c r="H8" s="85" t="s">
        <v>177</v>
      </c>
      <c r="I8" s="87">
        <v>0.29166666666666669</v>
      </c>
      <c r="J8" s="85" t="s">
        <v>145</v>
      </c>
      <c r="K8" s="87">
        <v>0.33333333333333331</v>
      </c>
      <c r="L8" s="85" t="s">
        <v>185</v>
      </c>
      <c r="M8" s="88">
        <v>0.26315789473684209</v>
      </c>
      <c r="N8" s="85" t="s">
        <v>128</v>
      </c>
      <c r="O8" s="88">
        <v>0.17386091127098321</v>
      </c>
      <c r="P8" s="85" t="s">
        <v>145</v>
      </c>
      <c r="Q8" s="89">
        <v>8376.0194174757289</v>
      </c>
      <c r="R8" s="85" t="s">
        <v>186</v>
      </c>
      <c r="S8" s="89">
        <v>-7686.95652173913</v>
      </c>
      <c r="T8" s="85" t="s">
        <v>145</v>
      </c>
      <c r="U8" s="87">
        <v>0.10123456790123457</v>
      </c>
      <c r="V8" s="85" t="s">
        <v>173</v>
      </c>
      <c r="W8" s="87">
        <v>5.5555555555555552E-2</v>
      </c>
      <c r="X8" s="85" t="s">
        <v>129</v>
      </c>
      <c r="Y8" s="88">
        <v>0.24919093851132687</v>
      </c>
      <c r="Z8" s="85" t="s">
        <v>145</v>
      </c>
      <c r="AA8" s="88">
        <v>0.21585903083700442</v>
      </c>
      <c r="AB8" s="85" t="s">
        <v>185</v>
      </c>
      <c r="AC8" s="88">
        <v>0.6</v>
      </c>
      <c r="AD8" s="85" t="s">
        <v>145</v>
      </c>
      <c r="AE8" s="88">
        <v>0.38639455782312926</v>
      </c>
      <c r="AF8" s="85" t="s">
        <v>172</v>
      </c>
      <c r="AG8" s="88">
        <v>0.43125000000000002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173</v>
      </c>
      <c r="C9" s="84">
        <v>-190.5</v>
      </c>
      <c r="D9" s="85" t="s">
        <v>128</v>
      </c>
      <c r="E9" s="97">
        <v>-3.5101010101010108</v>
      </c>
      <c r="F9" s="85" t="s">
        <v>171</v>
      </c>
      <c r="G9" s="86">
        <v>2.0816326530612246</v>
      </c>
      <c r="H9" s="85" t="s">
        <v>173</v>
      </c>
      <c r="I9" s="87">
        <v>0.27777777777777779</v>
      </c>
      <c r="J9" s="85" t="s">
        <v>171</v>
      </c>
      <c r="K9" s="87">
        <v>0.34693877551020408</v>
      </c>
      <c r="L9" s="85" t="s">
        <v>177</v>
      </c>
      <c r="M9" s="88">
        <v>0.26262626262626265</v>
      </c>
      <c r="N9" s="85" t="s">
        <v>173</v>
      </c>
      <c r="O9" s="88">
        <v>0.18495297805642633</v>
      </c>
      <c r="P9" s="85" t="s">
        <v>185</v>
      </c>
      <c r="Q9" s="89">
        <v>7860</v>
      </c>
      <c r="R9" s="85" t="s">
        <v>127</v>
      </c>
      <c r="S9" s="89">
        <v>-7835.0877192982452</v>
      </c>
      <c r="T9" s="85" t="s">
        <v>173</v>
      </c>
      <c r="U9" s="87">
        <v>0.1111111111111111</v>
      </c>
      <c r="V9" s="85" t="s">
        <v>129</v>
      </c>
      <c r="W9" s="87">
        <v>5.2631578947368418E-2</v>
      </c>
      <c r="X9" s="85" t="s">
        <v>202</v>
      </c>
      <c r="Y9" s="88">
        <v>0.24</v>
      </c>
      <c r="Z9" s="85" t="s">
        <v>185</v>
      </c>
      <c r="AA9" s="88">
        <v>0.21052631578947367</v>
      </c>
      <c r="AB9" s="85" t="s">
        <v>145</v>
      </c>
      <c r="AC9" s="88">
        <v>0.59279475982532748</v>
      </c>
      <c r="AD9" s="85" t="s">
        <v>171</v>
      </c>
      <c r="AE9" s="88">
        <v>0.35714285714285715</v>
      </c>
      <c r="AF9" s="85" t="s">
        <v>127</v>
      </c>
      <c r="AG9" s="88">
        <v>0.42907801418439717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186</v>
      </c>
      <c r="C10" s="84">
        <v>-197.5</v>
      </c>
      <c r="D10" s="85" t="s">
        <v>173</v>
      </c>
      <c r="E10" s="97">
        <v>-5.291666666666667</v>
      </c>
      <c r="F10" s="85" t="s">
        <v>177</v>
      </c>
      <c r="G10" s="86">
        <v>2.0833333333333335</v>
      </c>
      <c r="H10" s="85" t="s">
        <v>171</v>
      </c>
      <c r="I10" s="87">
        <v>0.26530612244897961</v>
      </c>
      <c r="J10" s="85" t="s">
        <v>128</v>
      </c>
      <c r="K10" s="87">
        <v>0.35353535353535354</v>
      </c>
      <c r="L10" s="85" t="s">
        <v>171</v>
      </c>
      <c r="M10" s="88">
        <v>0.25423728813559321</v>
      </c>
      <c r="N10" s="85" t="s">
        <v>177</v>
      </c>
      <c r="O10" s="88">
        <v>0.18686868686868688</v>
      </c>
      <c r="P10" s="85" t="s">
        <v>186</v>
      </c>
      <c r="Q10" s="89">
        <v>7365</v>
      </c>
      <c r="R10" s="85" t="s">
        <v>173</v>
      </c>
      <c r="S10" s="89">
        <v>-7866.1016949152545</v>
      </c>
      <c r="T10" s="85" t="s">
        <v>128</v>
      </c>
      <c r="U10" s="87">
        <v>0.13131313131313133</v>
      </c>
      <c r="V10" s="85" t="s">
        <v>177</v>
      </c>
      <c r="W10" s="87">
        <v>0</v>
      </c>
      <c r="X10" s="85" t="s">
        <v>173</v>
      </c>
      <c r="Y10" s="88">
        <v>0.23197492163009403</v>
      </c>
      <c r="Z10" s="85" t="s">
        <v>186</v>
      </c>
      <c r="AA10" s="88">
        <v>0.2</v>
      </c>
      <c r="AB10" s="85" t="s">
        <v>202</v>
      </c>
      <c r="AC10" s="88">
        <v>0.58333333333333337</v>
      </c>
      <c r="AD10" s="85" t="s">
        <v>173</v>
      </c>
      <c r="AE10" s="88">
        <v>0.33333333333333331</v>
      </c>
      <c r="AF10" s="85" t="s">
        <v>128</v>
      </c>
      <c r="AG10" s="88">
        <v>0.42857142857142855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177</v>
      </c>
      <c r="C11" s="84">
        <v>-204</v>
      </c>
      <c r="D11" s="85" t="s">
        <v>177</v>
      </c>
      <c r="E11" s="97">
        <v>-8.5</v>
      </c>
      <c r="F11" s="85" t="s">
        <v>128</v>
      </c>
      <c r="G11" s="86">
        <v>2.0909090909090908</v>
      </c>
      <c r="H11" s="85" t="s">
        <v>128</v>
      </c>
      <c r="I11" s="87">
        <v>0.26262626262626265</v>
      </c>
      <c r="J11" s="85" t="s">
        <v>177</v>
      </c>
      <c r="K11" s="87">
        <v>0.375</v>
      </c>
      <c r="L11" s="85" t="s">
        <v>202</v>
      </c>
      <c r="M11" s="88">
        <v>0.24</v>
      </c>
      <c r="N11" s="85" t="s">
        <v>129</v>
      </c>
      <c r="O11" s="88">
        <v>0.1941747572815534</v>
      </c>
      <c r="P11" s="85" t="s">
        <v>177</v>
      </c>
      <c r="Q11" s="89">
        <v>7163.4615384615381</v>
      </c>
      <c r="R11" s="85" t="s">
        <v>145</v>
      </c>
      <c r="S11" s="89">
        <v>-7986.4674868189804</v>
      </c>
      <c r="T11" s="85" t="s">
        <v>186</v>
      </c>
      <c r="U11" s="87">
        <v>0.2</v>
      </c>
      <c r="V11" s="85" t="s">
        <v>186</v>
      </c>
      <c r="W11" s="87">
        <v>0</v>
      </c>
      <c r="X11" s="85" t="s">
        <v>172</v>
      </c>
      <c r="Y11" s="88">
        <v>0.21911421911421911</v>
      </c>
      <c r="Z11" s="85" t="s">
        <v>128</v>
      </c>
      <c r="AA11" s="88">
        <v>0.18705035971223022</v>
      </c>
      <c r="AB11" s="85" t="s">
        <v>171</v>
      </c>
      <c r="AC11" s="88">
        <v>0.57943925233644855</v>
      </c>
      <c r="AD11" s="85" t="s">
        <v>202</v>
      </c>
      <c r="AE11" s="88">
        <v>0.30769230769230771</v>
      </c>
      <c r="AF11" s="85" t="s">
        <v>171</v>
      </c>
      <c r="AG11" s="88">
        <v>0.39047619047619048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128</v>
      </c>
      <c r="C12" s="84">
        <v>-347.50000000000006</v>
      </c>
      <c r="D12" s="85" t="s">
        <v>186</v>
      </c>
      <c r="E12" s="97">
        <v>-19.75</v>
      </c>
      <c r="F12" s="85" t="s">
        <v>186</v>
      </c>
      <c r="G12" s="86">
        <v>2.2999999999999998</v>
      </c>
      <c r="H12" s="85" t="s">
        <v>202</v>
      </c>
      <c r="I12" s="87">
        <v>0.2</v>
      </c>
      <c r="J12" s="85" t="s">
        <v>129</v>
      </c>
      <c r="K12" s="87">
        <v>0.55263157894736847</v>
      </c>
      <c r="L12" s="85" t="s">
        <v>186</v>
      </c>
      <c r="M12" s="88">
        <v>0.23529411764705882</v>
      </c>
      <c r="N12" s="85" t="s">
        <v>202</v>
      </c>
      <c r="O12" s="88">
        <v>0.2</v>
      </c>
      <c r="P12" s="85" t="s">
        <v>173</v>
      </c>
      <c r="Q12" s="89">
        <v>6919.3877551020405</v>
      </c>
      <c r="R12" s="85" t="s">
        <v>172</v>
      </c>
      <c r="S12" s="89">
        <v>-9412.5</v>
      </c>
      <c r="T12" s="85" t="s">
        <v>177</v>
      </c>
      <c r="U12" s="87">
        <v>0.20833333333333334</v>
      </c>
      <c r="V12" s="85" t="s">
        <v>185</v>
      </c>
      <c r="W12" s="87">
        <v>0</v>
      </c>
      <c r="X12" s="85" t="s">
        <v>186</v>
      </c>
      <c r="Y12" s="88">
        <v>0.21176470588235294</v>
      </c>
      <c r="Z12" s="85" t="s">
        <v>171</v>
      </c>
      <c r="AA12" s="88">
        <v>0.16949152542372881</v>
      </c>
      <c r="AB12" s="85" t="s">
        <v>186</v>
      </c>
      <c r="AC12" s="88">
        <v>0.55555555555555558</v>
      </c>
      <c r="AD12" s="85" t="s">
        <v>128</v>
      </c>
      <c r="AE12" s="88">
        <v>0.27564102564102566</v>
      </c>
      <c r="AF12" s="85" t="s">
        <v>177</v>
      </c>
      <c r="AG12" s="88">
        <v>0.38461538461538464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-829.99999999999989</v>
      </c>
      <c r="D13" s="85" t="s">
        <v>129</v>
      </c>
      <c r="E13" s="97">
        <v>-21.84210526315789</v>
      </c>
      <c r="F13" s="85" t="s">
        <v>129</v>
      </c>
      <c r="G13" s="86">
        <v>2.3684210526315788</v>
      </c>
      <c r="H13" s="85" t="s">
        <v>129</v>
      </c>
      <c r="I13" s="87">
        <v>0.18421052631578946</v>
      </c>
      <c r="J13" s="85" t="s">
        <v>186</v>
      </c>
      <c r="K13" s="87">
        <v>0.6</v>
      </c>
      <c r="L13" s="85" t="s">
        <v>129</v>
      </c>
      <c r="M13" s="88">
        <v>0.21035598705501618</v>
      </c>
      <c r="N13" s="85" t="s">
        <v>186</v>
      </c>
      <c r="O13" s="88">
        <v>0.27058823529411763</v>
      </c>
      <c r="P13" s="85" t="s">
        <v>172</v>
      </c>
      <c r="Q13" s="89">
        <v>6588.75</v>
      </c>
      <c r="R13" s="85" t="s">
        <v>129</v>
      </c>
      <c r="S13" s="89">
        <v>-9846.6666666666661</v>
      </c>
      <c r="T13" s="85" t="s">
        <v>129</v>
      </c>
      <c r="U13" s="87">
        <v>0.21052631578947367</v>
      </c>
      <c r="V13" s="85" t="s">
        <v>202</v>
      </c>
      <c r="W13" s="87">
        <v>0</v>
      </c>
      <c r="X13" s="85" t="s">
        <v>177</v>
      </c>
      <c r="Y13" s="88">
        <v>0.20202020202020202</v>
      </c>
      <c r="Z13" s="85" t="s">
        <v>129</v>
      </c>
      <c r="AA13" s="88">
        <v>0.14563106796116504</v>
      </c>
      <c r="AB13" s="85" t="s">
        <v>129</v>
      </c>
      <c r="AC13" s="88">
        <v>0.50649350649350644</v>
      </c>
      <c r="AD13" s="85" t="s">
        <v>129</v>
      </c>
      <c r="AE13" s="88">
        <v>0.2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DFCBD-ED2C-401E-A23F-13096ADEC687}">
  <sheetPr codeName="Sheet4"/>
  <dimension ref="A1:Q40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405</v>
      </c>
      <c r="C2" s="147"/>
      <c r="E2" s="62" t="s">
        <v>67</v>
      </c>
      <c r="F2" s="59" t="s">
        <v>23</v>
      </c>
      <c r="G2" s="46">
        <v>749</v>
      </c>
      <c r="H2" s="132">
        <f>IF(B$17=0,0,G2/B$17)</f>
        <v>0.72718446601941744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-14.814814814814815</v>
      </c>
      <c r="P2" s="118">
        <v>405</v>
      </c>
      <c r="Q2" s="102">
        <v>-6000</v>
      </c>
    </row>
    <row r="3" spans="1:17" x14ac:dyDescent="0.4">
      <c r="A3" s="55" t="s">
        <v>8</v>
      </c>
      <c r="B3" s="148">
        <v>3405</v>
      </c>
      <c r="C3" s="149"/>
      <c r="E3" s="63" t="s">
        <v>73</v>
      </c>
      <c r="F3" s="60" t="s">
        <v>28</v>
      </c>
      <c r="G3" s="47">
        <v>530</v>
      </c>
      <c r="H3" s="133">
        <f>IF(B$17=0,0,G3/B$17)</f>
        <v>0.5145631067961165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-9.9502487562189046</v>
      </c>
      <c r="P3" s="119">
        <v>402</v>
      </c>
      <c r="Q3" s="103">
        <v>-4000</v>
      </c>
    </row>
    <row r="4" spans="1:17" x14ac:dyDescent="0.4">
      <c r="A4" s="55" t="s">
        <v>6</v>
      </c>
      <c r="B4" s="150">
        <v>3.5527136788005009E-14</v>
      </c>
      <c r="C4" s="151"/>
      <c r="E4" s="63" t="s">
        <v>65</v>
      </c>
      <c r="F4" s="60" t="s">
        <v>21</v>
      </c>
      <c r="G4" s="47">
        <v>517</v>
      </c>
      <c r="H4" s="133">
        <f>IF(B$17=0,0,G4/B$17)</f>
        <v>0.50194174757281551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10.498687664041995</v>
      </c>
      <c r="P4" s="119">
        <v>381</v>
      </c>
      <c r="Q4" s="103">
        <v>4000</v>
      </c>
    </row>
    <row r="5" spans="1:17" x14ac:dyDescent="0.4">
      <c r="A5" s="55" t="s">
        <v>7</v>
      </c>
      <c r="B5" s="152">
        <f>IF(B$2=0,0,B$4/B$2)</f>
        <v>8.77213254024815E-17</v>
      </c>
      <c r="C5" s="153"/>
      <c r="E5" s="63" t="s">
        <v>181</v>
      </c>
      <c r="F5" s="60" t="s">
        <v>182</v>
      </c>
      <c r="G5" s="47">
        <v>413</v>
      </c>
      <c r="H5" s="133">
        <f>IF(B$17=0,0,G5/B$17)</f>
        <v>0.40097087378640778</v>
      </c>
      <c r="I5" s="94">
        <v>4</v>
      </c>
      <c r="K5" s="38">
        <v>3</v>
      </c>
      <c r="L5" s="99">
        <v>0</v>
      </c>
      <c r="N5" s="115" t="s">
        <v>135</v>
      </c>
      <c r="O5" s="122">
        <f t="shared" si="0"/>
        <v>14.367816091954023</v>
      </c>
      <c r="P5" s="119">
        <v>348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314</v>
      </c>
      <c r="H6" s="133">
        <f>IF(B$17=0,0,G6/B$17)</f>
        <v>0.30485436893203882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-15.723270440251572</v>
      </c>
      <c r="P6" s="119">
        <v>318</v>
      </c>
      <c r="Q6" s="103">
        <v>-5000</v>
      </c>
    </row>
    <row r="7" spans="1:17" x14ac:dyDescent="0.4">
      <c r="A7" s="55" t="s">
        <v>2</v>
      </c>
      <c r="B7" s="47">
        <v>135</v>
      </c>
      <c r="C7" s="39">
        <f>IF(B$2=0,0,B7/B$2)</f>
        <v>0.33333333333333331</v>
      </c>
      <c r="E7" s="63" t="s">
        <v>68</v>
      </c>
      <c r="F7" s="60" t="s">
        <v>24</v>
      </c>
      <c r="G7" s="47">
        <v>303</v>
      </c>
      <c r="H7" s="133">
        <f>IF(B$17=0,0,G7/B$17)</f>
        <v>0.2941747572815534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20.408163265306122</v>
      </c>
      <c r="P7" s="120">
        <v>294</v>
      </c>
      <c r="Q7" s="104">
        <v>6000</v>
      </c>
    </row>
    <row r="8" spans="1:17" x14ac:dyDescent="0.4">
      <c r="A8" s="55" t="s">
        <v>3</v>
      </c>
      <c r="B8" s="47">
        <v>135</v>
      </c>
      <c r="C8" s="39">
        <f>IF(B$2=0,0,B8/B$2)</f>
        <v>0.33333333333333331</v>
      </c>
      <c r="E8" s="63" t="s">
        <v>70</v>
      </c>
      <c r="F8" s="60" t="s">
        <v>25</v>
      </c>
      <c r="G8" s="47">
        <v>189</v>
      </c>
      <c r="H8" s="133">
        <f>IF(B$17=0,0,G8/B$17)</f>
        <v>0.18349514563106797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135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128</v>
      </c>
      <c r="H9" s="133">
        <f>IF(B$17=0,0,G9/B$17)</f>
        <v>0.12427184466019417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41</v>
      </c>
      <c r="C10" s="40">
        <f>IF(B$2=0,0,B10/B$2)</f>
        <v>0.10123456790123457</v>
      </c>
      <c r="E10" s="63" t="s">
        <v>90</v>
      </c>
      <c r="F10" s="60" t="s">
        <v>45</v>
      </c>
      <c r="G10" s="47">
        <v>127</v>
      </c>
      <c r="H10" s="133">
        <f>IF(B$17=0,0,G10/B$17)</f>
        <v>0.12330097087378641</v>
      </c>
      <c r="I10" s="94">
        <v>6</v>
      </c>
      <c r="K10" s="38">
        <v>8</v>
      </c>
      <c r="L10" s="99">
        <v>19.699999999999996</v>
      </c>
      <c r="N10" s="114" t="s">
        <v>164</v>
      </c>
      <c r="O10" s="124">
        <f>IF(P10=0,0,Q10/P10)</f>
        <v>-1.2318518518518522</v>
      </c>
      <c r="P10" s="118">
        <v>135</v>
      </c>
      <c r="Q10" s="106">
        <v>-166.30000000000004</v>
      </c>
    </row>
    <row r="11" spans="1:17" x14ac:dyDescent="0.4">
      <c r="A11" s="56" t="s">
        <v>140</v>
      </c>
      <c r="B11" s="48">
        <v>41</v>
      </c>
      <c r="C11" s="40">
        <f>IF(B$2=0,0,B11/B$2)</f>
        <v>0.10123456790123457</v>
      </c>
      <c r="E11" s="63" t="s">
        <v>71</v>
      </c>
      <c r="F11" s="60" t="s">
        <v>26</v>
      </c>
      <c r="G11" s="47">
        <v>108</v>
      </c>
      <c r="H11" s="133">
        <f>IF(B$17=0,0,G11/B$17)</f>
        <v>0.10485436893203884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-2.4748148148148164</v>
      </c>
      <c r="P11" s="119">
        <v>135</v>
      </c>
      <c r="Q11" s="107">
        <v>-334.10000000000019</v>
      </c>
    </row>
    <row r="12" spans="1:17" x14ac:dyDescent="0.4">
      <c r="A12" s="57" t="s">
        <v>160</v>
      </c>
      <c r="B12" s="49">
        <v>37</v>
      </c>
      <c r="C12" s="42">
        <f>IF(B$2=0,0,B12/B$2)</f>
        <v>9.1358024691358022E-2</v>
      </c>
      <c r="E12" s="63" t="s">
        <v>72</v>
      </c>
      <c r="F12" s="60" t="s">
        <v>27</v>
      </c>
      <c r="G12" s="47">
        <v>64</v>
      </c>
      <c r="H12" s="133">
        <f>IF(B$17=0,0,G12/B$17)</f>
        <v>6.2135922330097085E-2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3.7066666666666666</v>
      </c>
      <c r="P12" s="120">
        <v>135</v>
      </c>
      <c r="Q12" s="108">
        <v>500.4</v>
      </c>
    </row>
    <row r="13" spans="1:17" x14ac:dyDescent="0.4">
      <c r="A13" s="58" t="s">
        <v>122</v>
      </c>
      <c r="B13" s="50">
        <v>916</v>
      </c>
      <c r="C13" s="44">
        <f>IF(B$3=0,0,B13/B$3)</f>
        <v>0.26901615271659324</v>
      </c>
      <c r="E13" s="63" t="s">
        <v>87</v>
      </c>
      <c r="F13" s="60" t="s">
        <v>42</v>
      </c>
      <c r="G13" s="47">
        <v>57</v>
      </c>
      <c r="H13" s="133">
        <f>IF(B$17=0,0,G13/B$17)</f>
        <v>5.533980582524272E-2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735</v>
      </c>
      <c r="C14" s="39">
        <f>IF(B$3=0,0,B14/B$3)</f>
        <v>0.21585903083700442</v>
      </c>
      <c r="E14" s="63" t="s">
        <v>84</v>
      </c>
      <c r="F14" s="60" t="s">
        <v>39</v>
      </c>
      <c r="G14" s="47">
        <v>46</v>
      </c>
      <c r="H14" s="133">
        <f>IF(B$17=0,0,G14/B$17)</f>
        <v>4.4660194174757278E-2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543</v>
      </c>
      <c r="C15" s="37">
        <f>IF(B$13=0,0,B15/B$13)</f>
        <v>0.59279475982532748</v>
      </c>
      <c r="E15" s="63" t="s">
        <v>82</v>
      </c>
      <c r="F15" s="60" t="s">
        <v>37</v>
      </c>
      <c r="G15" s="47">
        <v>32</v>
      </c>
      <c r="H15" s="133">
        <f>IF(B$17=0,0,G15/B$17)</f>
        <v>3.1067961165048542E-2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32.763157894736842</v>
      </c>
      <c r="P15" s="118">
        <v>76</v>
      </c>
      <c r="Q15" s="106">
        <v>2490</v>
      </c>
    </row>
    <row r="16" spans="1:17" x14ac:dyDescent="0.4">
      <c r="A16" s="54" t="s">
        <v>125</v>
      </c>
      <c r="B16" s="46">
        <v>284</v>
      </c>
      <c r="C16" s="37">
        <f>IF(B$14=0,0,B16/B$14)</f>
        <v>0.38639455782312926</v>
      </c>
      <c r="E16" s="63" t="s">
        <v>79</v>
      </c>
      <c r="F16" s="60" t="s">
        <v>34</v>
      </c>
      <c r="G16" s="47">
        <v>19</v>
      </c>
      <c r="H16" s="133">
        <f>IF(B$17=0,0,G16/B$17)</f>
        <v>1.8446601941747572E-2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1030</v>
      </c>
      <c r="C17" s="37">
        <f>IF(B$3=0,0,B17/B$3)</f>
        <v>0.30249632892804701</v>
      </c>
      <c r="E17" s="63" t="s">
        <v>92</v>
      </c>
      <c r="F17" s="60" t="s">
        <v>47</v>
      </c>
      <c r="G17" s="47">
        <v>17</v>
      </c>
      <c r="H17" s="133">
        <f>IF(B$17=0,0,G17/B$17)</f>
        <v>1.6504854368932041E-2</v>
      </c>
      <c r="I17" s="94">
        <v>3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12.749999999999995</v>
      </c>
      <c r="P17" s="119">
        <v>48</v>
      </c>
      <c r="Q17" s="107">
        <v>611.99999999999977</v>
      </c>
    </row>
    <row r="18" spans="1:17" x14ac:dyDescent="0.4">
      <c r="A18" s="55" t="s">
        <v>12</v>
      </c>
      <c r="B18" s="47">
        <v>453</v>
      </c>
      <c r="C18" s="39">
        <f>IF(B$17=0,0,B18/B$17)</f>
        <v>0.43980582524271844</v>
      </c>
      <c r="E18" s="63" t="s">
        <v>180</v>
      </c>
      <c r="F18" s="60" t="s">
        <v>183</v>
      </c>
      <c r="G18" s="47">
        <v>16</v>
      </c>
      <c r="H18" s="133">
        <f>IF(B$17=0,0,G18/B$17)</f>
        <v>1.5533980582524271E-2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7.9374999999999982</v>
      </c>
      <c r="P18" s="119">
        <v>72</v>
      </c>
      <c r="Q18" s="107">
        <v>571.49999999999989</v>
      </c>
    </row>
    <row r="19" spans="1:17" x14ac:dyDescent="0.4">
      <c r="A19" s="55" t="s">
        <v>11</v>
      </c>
      <c r="B19" s="47">
        <v>577</v>
      </c>
      <c r="C19" s="39">
        <f>IF(B$17=0,0,B19/B$17)</f>
        <v>0.5601941747572815</v>
      </c>
      <c r="E19" s="63" t="s">
        <v>80</v>
      </c>
      <c r="F19" s="60" t="s">
        <v>35</v>
      </c>
      <c r="G19" s="47">
        <v>15</v>
      </c>
      <c r="H19" s="133">
        <f>IF(B$17=0,0,G19/B$17)</f>
        <v>1.4563106796116505E-2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5.2651515151515156</v>
      </c>
      <c r="P19" s="119">
        <v>198</v>
      </c>
      <c r="Q19" s="107">
        <v>1042.5</v>
      </c>
    </row>
    <row r="20" spans="1:17" x14ac:dyDescent="0.4">
      <c r="A20" s="55" t="s">
        <v>13</v>
      </c>
      <c r="B20" s="47">
        <v>569</v>
      </c>
      <c r="C20" s="39">
        <f>IF(B$3=0,0,B20/B$3)</f>
        <v>0.16710719530102791</v>
      </c>
      <c r="E20" s="63" t="s">
        <v>76</v>
      </c>
      <c r="F20" s="60" t="s">
        <v>31</v>
      </c>
      <c r="G20" s="47">
        <v>7</v>
      </c>
      <c r="H20" s="133">
        <f>IF(B$17=0,0,G20/B$17)</f>
        <v>6.7961165048543689E-3</v>
      </c>
      <c r="I20" s="94">
        <v>5</v>
      </c>
      <c r="K20" s="38">
        <v>18</v>
      </c>
      <c r="L20" s="99">
        <v>-3.5527136788005009E-15</v>
      </c>
      <c r="N20" s="115" t="s">
        <v>202</v>
      </c>
      <c r="O20" s="125">
        <f>IF(P20=0,0,Q20/P20)</f>
        <v>4.8299999999999983</v>
      </c>
      <c r="P20" s="119">
        <v>10</v>
      </c>
      <c r="Q20" s="107">
        <v>48.299999999999983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6</v>
      </c>
      <c r="H21" s="133">
        <f>IF(B$17=0,0,G21/B$17)</f>
        <v>5.8252427184466021E-3</v>
      </c>
      <c r="I21" s="94">
        <v>4</v>
      </c>
      <c r="K21" s="38">
        <v>19</v>
      </c>
      <c r="L21" s="99">
        <v>30.999999999999996</v>
      </c>
      <c r="N21" s="115" t="s">
        <v>171</v>
      </c>
      <c r="O21" s="125">
        <f>IF(P21=0,0,Q21/P21)</f>
        <v>0.7071428571428594</v>
      </c>
      <c r="P21" s="119">
        <v>98</v>
      </c>
      <c r="Q21" s="107">
        <v>69.300000000000225</v>
      </c>
    </row>
    <row r="22" spans="1:17" x14ac:dyDescent="0.4">
      <c r="A22" s="55" t="s">
        <v>194</v>
      </c>
      <c r="B22" s="47">
        <v>31</v>
      </c>
      <c r="C22" s="135">
        <v>7</v>
      </c>
      <c r="E22" s="63" t="s">
        <v>93</v>
      </c>
      <c r="F22" s="60" t="s">
        <v>48</v>
      </c>
      <c r="G22" s="47">
        <v>4</v>
      </c>
      <c r="H22" s="133">
        <f>IF(B$17=0,0,G22/B$17)</f>
        <v>3.8834951456310678E-3</v>
      </c>
      <c r="I22" s="94">
        <v>3</v>
      </c>
      <c r="K22" s="38">
        <v>20</v>
      </c>
      <c r="L22" s="99">
        <v>0.79999999999999716</v>
      </c>
      <c r="N22" s="115" t="s">
        <v>172</v>
      </c>
      <c r="O22" s="125">
        <f>IF(P22=0,0,Q22/P22)</f>
        <v>-3.4591836734693895</v>
      </c>
      <c r="P22" s="119">
        <v>98</v>
      </c>
      <c r="Q22" s="107">
        <v>-339.00000000000017</v>
      </c>
    </row>
    <row r="23" spans="1:17" x14ac:dyDescent="0.4">
      <c r="A23" s="55" t="s">
        <v>5</v>
      </c>
      <c r="B23" s="51">
        <f>IF(B$17=0,0,C23/B$17)</f>
        <v>8376.0194174757289</v>
      </c>
      <c r="C23" s="41">
        <v>8627300</v>
      </c>
      <c r="E23" s="63" t="s">
        <v>75</v>
      </c>
      <c r="F23" s="60" t="s">
        <v>30</v>
      </c>
      <c r="G23" s="47">
        <v>3</v>
      </c>
      <c r="H23" s="133">
        <f>IF(B$17=0,0,G23/B$17)</f>
        <v>2.9126213592233011E-3</v>
      </c>
      <c r="I23" s="94">
        <v>3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-26.652717391304304</v>
      </c>
      <c r="P23" s="119">
        <v>184</v>
      </c>
      <c r="Q23" s="107">
        <v>-4904.0999999999922</v>
      </c>
    </row>
    <row r="24" spans="1:17" x14ac:dyDescent="0.4">
      <c r="A24" s="57" t="s">
        <v>14</v>
      </c>
      <c r="B24" s="52">
        <f>IF(B$20=0,0,C24/B$20)</f>
        <v>-7986.4674868189804</v>
      </c>
      <c r="C24" s="45">
        <v>-4544300</v>
      </c>
      <c r="E24" s="63" t="s">
        <v>78</v>
      </c>
      <c r="F24" s="60" t="s">
        <v>33</v>
      </c>
      <c r="G24" s="47">
        <v>3</v>
      </c>
      <c r="H24" s="133">
        <f>IF(B$17=0,0,G24/B$17)</f>
        <v>2.9126213592233011E-3</v>
      </c>
      <c r="I24" s="94">
        <v>4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3</v>
      </c>
      <c r="H25" s="133">
        <f>IF(B$17=0,0,G25/B$17)</f>
        <v>2.9126213592233011E-3</v>
      </c>
      <c r="I25" s="94">
        <v>4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2.9126213592233011E-3</v>
      </c>
      <c r="I26" s="94">
        <v>4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2.936857562408223E-3</v>
      </c>
      <c r="E27" s="63" t="s">
        <v>89</v>
      </c>
      <c r="F27" s="60" t="s">
        <v>44</v>
      </c>
      <c r="G27" s="47">
        <v>2</v>
      </c>
      <c r="H27" s="133">
        <f>IF(B$17=0,0,G27/B$17)</f>
        <v>1.9417475728155339E-3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1.9417475728155339E-3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9.7087378640776695E-4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9.7087378640776695E-4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9.7087378640776695E-4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DA43-6A54-4153-91BB-7A5E464E7E14}">
  <sheetPr codeName="Sheet7"/>
  <dimension ref="A1:Q9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92</v>
      </c>
      <c r="C2" s="147"/>
      <c r="E2" s="62" t="s">
        <v>67</v>
      </c>
      <c r="F2" s="59" t="s">
        <v>23</v>
      </c>
      <c r="G2" s="46">
        <v>204</v>
      </c>
      <c r="H2" s="132">
        <f>IF(B$17=0,0,G2/B$17)</f>
        <v>0.72340425531914898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2610.8695652173915</v>
      </c>
      <c r="P2" s="118">
        <v>92</v>
      </c>
      <c r="Q2" s="102">
        <v>240200</v>
      </c>
    </row>
    <row r="3" spans="1:17" x14ac:dyDescent="0.4">
      <c r="A3" s="55" t="s">
        <v>8</v>
      </c>
      <c r="B3" s="148">
        <v>749</v>
      </c>
      <c r="C3" s="149"/>
      <c r="E3" s="63" t="s">
        <v>73</v>
      </c>
      <c r="F3" s="60" t="s">
        <v>28</v>
      </c>
      <c r="G3" s="47">
        <v>153</v>
      </c>
      <c r="H3" s="133">
        <f>IF(B$17=0,0,G3/B$17)</f>
        <v>0.54255319148936165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2809.8901098901097</v>
      </c>
      <c r="P3" s="119">
        <v>91</v>
      </c>
      <c r="Q3" s="103">
        <v>255700</v>
      </c>
    </row>
    <row r="4" spans="1:17" x14ac:dyDescent="0.4">
      <c r="A4" s="55" t="s">
        <v>6</v>
      </c>
      <c r="B4" s="150">
        <v>1634.7000000000012</v>
      </c>
      <c r="C4" s="151"/>
      <c r="E4" s="63" t="s">
        <v>65</v>
      </c>
      <c r="F4" s="60" t="s">
        <v>21</v>
      </c>
      <c r="G4" s="47">
        <v>137</v>
      </c>
      <c r="H4" s="133">
        <f>IF(B$17=0,0,G4/B$17)</f>
        <v>0.48581560283687941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2460.9195402298851</v>
      </c>
      <c r="P4" s="119">
        <v>87</v>
      </c>
      <c r="Q4" s="103">
        <v>214100</v>
      </c>
    </row>
    <row r="5" spans="1:17" x14ac:dyDescent="0.4">
      <c r="A5" s="55" t="s">
        <v>7</v>
      </c>
      <c r="B5" s="152">
        <f>IF(B$2=0,0,B$4/B$2)</f>
        <v>17.768478260869578</v>
      </c>
      <c r="C5" s="153"/>
      <c r="E5" s="63" t="s">
        <v>181</v>
      </c>
      <c r="F5" s="60" t="s">
        <v>182</v>
      </c>
      <c r="G5" s="47">
        <v>121</v>
      </c>
      <c r="H5" s="133">
        <f>IF(B$17=0,0,G5/B$17)</f>
        <v>0.42907801418439717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0"/>
        <v>2601.25</v>
      </c>
      <c r="P5" s="119">
        <v>80</v>
      </c>
      <c r="Q5" s="103">
        <v>208100</v>
      </c>
    </row>
    <row r="6" spans="1:17" x14ac:dyDescent="0.4">
      <c r="A6" s="55" t="s">
        <v>1</v>
      </c>
      <c r="B6" s="142">
        <f>IF(B$2=0,0,(B$7*1+B$8*2+B$9*3)/B$2)</f>
        <v>1.6413043478260869</v>
      </c>
      <c r="C6" s="143"/>
      <c r="E6" s="63" t="s">
        <v>68</v>
      </c>
      <c r="F6" s="60" t="s">
        <v>24</v>
      </c>
      <c r="G6" s="47">
        <v>89</v>
      </c>
      <c r="H6" s="133">
        <f>IF(B$17=0,0,G6/B$17)</f>
        <v>0.31560283687943264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-83.098591549295776</v>
      </c>
      <c r="P6" s="119">
        <v>71</v>
      </c>
      <c r="Q6" s="103">
        <v>-5900</v>
      </c>
    </row>
    <row r="7" spans="1:17" x14ac:dyDescent="0.4">
      <c r="A7" s="55" t="s">
        <v>2</v>
      </c>
      <c r="B7" s="47">
        <v>51</v>
      </c>
      <c r="C7" s="39">
        <f>IF(B$2=0,0,B7/B$2)</f>
        <v>0.55434782608695654</v>
      </c>
      <c r="E7" s="63" t="s">
        <v>69</v>
      </c>
      <c r="F7" s="60" t="s">
        <v>12</v>
      </c>
      <c r="G7" s="47">
        <v>76</v>
      </c>
      <c r="H7" s="133">
        <f>IF(B$17=0,0,G7/B$17)</f>
        <v>0.26950354609929078</v>
      </c>
      <c r="I7" s="94">
        <v>9</v>
      </c>
      <c r="K7" s="38">
        <v>5</v>
      </c>
      <c r="L7" s="99">
        <v>201.4</v>
      </c>
      <c r="N7" s="116" t="s">
        <v>137</v>
      </c>
      <c r="O7" s="123">
        <f t="shared" si="0"/>
        <v>884.61538461538464</v>
      </c>
      <c r="P7" s="120">
        <v>65</v>
      </c>
      <c r="Q7" s="104">
        <v>57500</v>
      </c>
    </row>
    <row r="8" spans="1:17" x14ac:dyDescent="0.4">
      <c r="A8" s="55" t="s">
        <v>3</v>
      </c>
      <c r="B8" s="47">
        <v>23</v>
      </c>
      <c r="C8" s="39">
        <f>IF(B$2=0,0,B8/B$2)</f>
        <v>0.25</v>
      </c>
      <c r="E8" s="63" t="s">
        <v>70</v>
      </c>
      <c r="F8" s="60" t="s">
        <v>25</v>
      </c>
      <c r="G8" s="47">
        <v>50</v>
      </c>
      <c r="H8" s="133">
        <f>IF(B$17=0,0,G8/B$17)</f>
        <v>0.1773049645390071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0.19565217391304349</v>
      </c>
      <c r="E9" s="63" t="s">
        <v>90</v>
      </c>
      <c r="F9" s="60" t="s">
        <v>45</v>
      </c>
      <c r="G9" s="47">
        <v>47</v>
      </c>
      <c r="H9" s="133">
        <f>IF(B$17=0,0,G9/B$17)</f>
        <v>0.16666666666666666</v>
      </c>
      <c r="I9" s="94">
        <v>3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5.434782608695652E-2</v>
      </c>
      <c r="E10" s="63" t="s">
        <v>66</v>
      </c>
      <c r="F10" s="60" t="s">
        <v>22</v>
      </c>
      <c r="G10" s="47">
        <v>42</v>
      </c>
      <c r="H10" s="133">
        <f>IF(B$17=0,0,G10/B$17)</f>
        <v>0.14893617021276595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23.522222222222222</v>
      </c>
      <c r="P10" s="118">
        <v>27</v>
      </c>
      <c r="Q10" s="106">
        <v>635.1</v>
      </c>
    </row>
    <row r="11" spans="1:17" x14ac:dyDescent="0.4">
      <c r="A11" s="56" t="s">
        <v>140</v>
      </c>
      <c r="B11" s="48">
        <v>17</v>
      </c>
      <c r="C11" s="40">
        <f>IF(B$2=0,0,B11/B$2)</f>
        <v>0.18478260869565216</v>
      </c>
      <c r="E11" s="63" t="s">
        <v>71</v>
      </c>
      <c r="F11" s="60" t="s">
        <v>26</v>
      </c>
      <c r="G11" s="47">
        <v>27</v>
      </c>
      <c r="H11" s="133">
        <f>IF(B$17=0,0,G11/B$17)</f>
        <v>9.5744680851063829E-2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11.32413793103448</v>
      </c>
      <c r="P11" s="119">
        <v>29</v>
      </c>
      <c r="Q11" s="107">
        <v>328.39999999999992</v>
      </c>
    </row>
    <row r="12" spans="1:17" x14ac:dyDescent="0.4">
      <c r="A12" s="57" t="s">
        <v>160</v>
      </c>
      <c r="B12" s="49">
        <v>17</v>
      </c>
      <c r="C12" s="42">
        <f>IF(B$2=0,0,B12/B$2)</f>
        <v>0.18478260869565216</v>
      </c>
      <c r="E12" s="63" t="s">
        <v>87</v>
      </c>
      <c r="F12" s="60" t="s">
        <v>42</v>
      </c>
      <c r="G12" s="47">
        <v>21</v>
      </c>
      <c r="H12" s="133">
        <f>IF(B$17=0,0,G12/B$17)</f>
        <v>7.4468085106382975E-2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18.644444444444449</v>
      </c>
      <c r="P12" s="120">
        <v>36</v>
      </c>
      <c r="Q12" s="108">
        <v>671.20000000000016</v>
      </c>
    </row>
    <row r="13" spans="1:17" x14ac:dyDescent="0.4">
      <c r="A13" s="58" t="s">
        <v>122</v>
      </c>
      <c r="B13" s="50">
        <v>246</v>
      </c>
      <c r="C13" s="44">
        <f>IF(B$3=0,0,B13/B$3)</f>
        <v>0.32843791722296395</v>
      </c>
      <c r="E13" s="63" t="s">
        <v>72</v>
      </c>
      <c r="F13" s="60" t="s">
        <v>27</v>
      </c>
      <c r="G13" s="47">
        <v>18</v>
      </c>
      <c r="H13" s="133">
        <f>IF(B$17=0,0,G13/B$17)</f>
        <v>6.3829787234042548E-2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172</v>
      </c>
      <c r="C14" s="39">
        <f>IF(B$3=0,0,B14/B$3)</f>
        <v>0.22963951935914553</v>
      </c>
      <c r="E14" s="63" t="s">
        <v>84</v>
      </c>
      <c r="F14" s="60" t="s">
        <v>39</v>
      </c>
      <c r="G14" s="47">
        <v>15</v>
      </c>
      <c r="H14" s="133">
        <f>IF(B$17=0,0,G14/B$17)</f>
        <v>5.3191489361702128E-2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149</v>
      </c>
      <c r="C15" s="37">
        <f>IF(B$13=0,0,B15/B$13)</f>
        <v>0.60569105691056913</v>
      </c>
      <c r="E15" s="63" t="s">
        <v>82</v>
      </c>
      <c r="F15" s="60" t="s">
        <v>37</v>
      </c>
      <c r="G15" s="47">
        <v>10</v>
      </c>
      <c r="H15" s="133">
        <f>IF(B$17=0,0,G15/B$17)</f>
        <v>3.5460992907801421E-2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91</v>
      </c>
      <c r="C16" s="37">
        <f>IF(B$14=0,0,B16/B$14)</f>
        <v>0.52906976744186052</v>
      </c>
      <c r="E16" s="63" t="s">
        <v>180</v>
      </c>
      <c r="F16" s="60" t="s">
        <v>183</v>
      </c>
      <c r="G16" s="47">
        <v>9</v>
      </c>
      <c r="H16" s="133">
        <f>IF(B$17=0,0,G16/B$17)</f>
        <v>3.1914893617021274E-2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56.752173913043499</v>
      </c>
      <c r="P16" s="119">
        <v>23</v>
      </c>
      <c r="Q16" s="107">
        <v>1305.3000000000004</v>
      </c>
    </row>
    <row r="17" spans="1:17" x14ac:dyDescent="0.4">
      <c r="A17" s="54" t="s">
        <v>10</v>
      </c>
      <c r="B17" s="46">
        <f>B19+B18</f>
        <v>282</v>
      </c>
      <c r="C17" s="37">
        <f>IF(B$3=0,0,B17/B$3)</f>
        <v>0.37650200267022699</v>
      </c>
      <c r="E17" s="63" t="s">
        <v>79</v>
      </c>
      <c r="F17" s="60" t="s">
        <v>34</v>
      </c>
      <c r="G17" s="47">
        <v>5</v>
      </c>
      <c r="H17" s="133">
        <f>IF(B$17=0,0,G17/B$17)</f>
        <v>1.7730496453900711E-2</v>
      </c>
      <c r="I17" s="94">
        <v>6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121</v>
      </c>
      <c r="C18" s="39">
        <f>IF(B$17=0,0,B18/B$17)</f>
        <v>0.42907801418439717</v>
      </c>
      <c r="E18" s="63" t="s">
        <v>80</v>
      </c>
      <c r="F18" s="60" t="s">
        <v>35</v>
      </c>
      <c r="G18" s="47">
        <v>4</v>
      </c>
      <c r="H18" s="133">
        <f>IF(B$17=0,0,G18/B$17)</f>
        <v>1.4184397163120567E-2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161</v>
      </c>
      <c r="C19" s="39">
        <f>IF(B$17=0,0,B19/B$17)</f>
        <v>0.57092198581560283</v>
      </c>
      <c r="E19" s="63" t="s">
        <v>92</v>
      </c>
      <c r="F19" s="60" t="s">
        <v>47</v>
      </c>
      <c r="G19" s="47">
        <v>4</v>
      </c>
      <c r="H19" s="133">
        <f>IF(B$17=0,0,G19/B$17)</f>
        <v>1.4184397163120567E-2</v>
      </c>
      <c r="I19" s="94">
        <v>5</v>
      </c>
      <c r="K19" s="38">
        <v>17</v>
      </c>
      <c r="L19" s="99">
        <v>427.40000000000003</v>
      </c>
      <c r="N19" s="115" t="s">
        <v>173</v>
      </c>
      <c r="O19" s="125">
        <f>IF(P19=0,0,Q19/P19)</f>
        <v>23.644444444444442</v>
      </c>
      <c r="P19" s="119">
        <v>18</v>
      </c>
      <c r="Q19" s="107">
        <v>425.59999999999997</v>
      </c>
    </row>
    <row r="20" spans="1:17" x14ac:dyDescent="0.4">
      <c r="A20" s="55" t="s">
        <v>13</v>
      </c>
      <c r="B20" s="47">
        <v>114</v>
      </c>
      <c r="C20" s="39">
        <f>IF(B$3=0,0,B20/B$3)</f>
        <v>0.15220293724966621</v>
      </c>
      <c r="E20" s="63" t="s">
        <v>74</v>
      </c>
      <c r="F20" s="60" t="s">
        <v>29</v>
      </c>
      <c r="G20" s="47">
        <v>2</v>
      </c>
      <c r="H20" s="133">
        <f>IF(B$17=0,0,G20/B$17)</f>
        <v>7.0921985815602835E-3</v>
      </c>
      <c r="I20" s="94">
        <v>3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3.5460992907801418E-3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19.888405797101459</v>
      </c>
      <c r="P21" s="119">
        <v>69</v>
      </c>
      <c r="Q21" s="107">
        <v>1372.3000000000006</v>
      </c>
    </row>
    <row r="22" spans="1:17" x14ac:dyDescent="0.4">
      <c r="A22" s="55" t="s">
        <v>194</v>
      </c>
      <c r="B22" s="47">
        <v>27</v>
      </c>
      <c r="C22" s="135">
        <v>7</v>
      </c>
      <c r="E22" s="63" t="s">
        <v>78</v>
      </c>
      <c r="F22" s="60" t="s">
        <v>33</v>
      </c>
      <c r="G22" s="47">
        <v>1</v>
      </c>
      <c r="H22" s="133">
        <f>IF(B$17=0,0,G22/B$17)</f>
        <v>3.5460992907801418E-3</v>
      </c>
      <c r="I22" s="94">
        <v>3</v>
      </c>
      <c r="K22" s="38">
        <v>20</v>
      </c>
      <c r="L22" s="99">
        <v>469.6</v>
      </c>
      <c r="N22" s="115" t="s">
        <v>172</v>
      </c>
      <c r="O22" s="125">
        <f>IF(P22=0,0,Q22/P22)</f>
        <v>19.622222222222224</v>
      </c>
      <c r="P22" s="119">
        <v>27</v>
      </c>
      <c r="Q22" s="107">
        <v>529.80000000000007</v>
      </c>
    </row>
    <row r="23" spans="1:17" x14ac:dyDescent="0.4">
      <c r="A23" s="55" t="s">
        <v>5</v>
      </c>
      <c r="B23" s="51">
        <f>IF(B$17=0,0,C23/B$17)</f>
        <v>9136.1702127659573</v>
      </c>
      <c r="C23" s="41">
        <v>2576400</v>
      </c>
      <c r="E23" s="63" t="s">
        <v>88</v>
      </c>
      <c r="F23" s="60" t="s">
        <v>43</v>
      </c>
      <c r="G23" s="47">
        <v>1</v>
      </c>
      <c r="H23" s="133">
        <f>IF(B$17=0,0,G23/B$17)</f>
        <v>3.5460992907801418E-3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17.679310344827581</v>
      </c>
      <c r="P23" s="119">
        <v>29</v>
      </c>
      <c r="Q23" s="107">
        <v>512.69999999999982</v>
      </c>
    </row>
    <row r="24" spans="1:17" x14ac:dyDescent="0.4">
      <c r="A24" s="57" t="s">
        <v>14</v>
      </c>
      <c r="B24" s="52">
        <f>IF(B$20=0,0,C24/B$20)</f>
        <v>-7835.0877192982452</v>
      </c>
      <c r="C24" s="45">
        <v>-893200</v>
      </c>
      <c r="E24" s="63" t="s">
        <v>91</v>
      </c>
      <c r="F24" s="60" t="s">
        <v>46</v>
      </c>
      <c r="G24" s="47">
        <v>1</v>
      </c>
      <c r="H24" s="133">
        <f>IF(B$17=0,0,G24/B$17)</f>
        <v>3.5460992907801418E-3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3.5460992907801418E-3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3.5460992907801418E-3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3.5460992907801418E-3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0061C-DD39-4B74-836A-1E15D6181904}">
  <sheetPr codeName="Sheet9"/>
  <dimension ref="A1:Q10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99</v>
      </c>
      <c r="C2" s="147"/>
      <c r="E2" s="62" t="s">
        <v>67</v>
      </c>
      <c r="F2" s="59" t="s">
        <v>23</v>
      </c>
      <c r="G2" s="46">
        <v>174</v>
      </c>
      <c r="H2" s="132">
        <f>IF(B$17=0,0,G2/B$17)</f>
        <v>0.75324675324675328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513.13131313131316</v>
      </c>
      <c r="P2" s="118">
        <v>99</v>
      </c>
      <c r="Q2" s="102">
        <v>50800</v>
      </c>
    </row>
    <row r="3" spans="1:17" x14ac:dyDescent="0.4">
      <c r="A3" s="55" t="s">
        <v>8</v>
      </c>
      <c r="B3" s="148">
        <v>834</v>
      </c>
      <c r="C3" s="149"/>
      <c r="E3" s="63" t="s">
        <v>65</v>
      </c>
      <c r="F3" s="60" t="s">
        <v>21</v>
      </c>
      <c r="G3" s="47">
        <v>138</v>
      </c>
      <c r="H3" s="133">
        <f>IF(B$17=0,0,G3/B$17)</f>
        <v>0.59740259740259738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-2293.8775510204082</v>
      </c>
      <c r="P3" s="119">
        <v>98</v>
      </c>
      <c r="Q3" s="103">
        <v>-224800</v>
      </c>
    </row>
    <row r="4" spans="1:17" x14ac:dyDescent="0.4">
      <c r="A4" s="55" t="s">
        <v>6</v>
      </c>
      <c r="B4" s="150">
        <v>-347.50000000000006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0.45021645021645024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-867.36842105263156</v>
      </c>
      <c r="P4" s="119">
        <v>95</v>
      </c>
      <c r="Q4" s="103">
        <v>-82400</v>
      </c>
    </row>
    <row r="5" spans="1:17" x14ac:dyDescent="0.4">
      <c r="A5" s="55" t="s">
        <v>7</v>
      </c>
      <c r="B5" s="152">
        <f>IF(B$2=0,0,B$4/B$2)</f>
        <v>-3.5101010101010108</v>
      </c>
      <c r="C5" s="153"/>
      <c r="E5" s="63" t="s">
        <v>181</v>
      </c>
      <c r="F5" s="60" t="s">
        <v>182</v>
      </c>
      <c r="G5" s="47">
        <v>100</v>
      </c>
      <c r="H5" s="133">
        <f>IF(B$17=0,0,G5/B$17)</f>
        <v>0.4329004329004329</v>
      </c>
      <c r="I5" s="94">
        <v>1</v>
      </c>
      <c r="K5" s="38">
        <v>3</v>
      </c>
      <c r="L5" s="99">
        <v>-47.300000000000004</v>
      </c>
      <c r="N5" s="115" t="s">
        <v>135</v>
      </c>
      <c r="O5" s="122">
        <f t="shared" si="0"/>
        <v>647.67441860465112</v>
      </c>
      <c r="P5" s="119">
        <v>86</v>
      </c>
      <c r="Q5" s="103">
        <v>55700</v>
      </c>
    </row>
    <row r="6" spans="1:17" x14ac:dyDescent="0.4">
      <c r="A6" s="55" t="s">
        <v>1</v>
      </c>
      <c r="B6" s="142">
        <f>IF(B$2=0,0,(B$7*1+B$8*2+B$9*3)/B$2)</f>
        <v>2.0909090909090908</v>
      </c>
      <c r="C6" s="143"/>
      <c r="E6" s="63" t="s">
        <v>68</v>
      </c>
      <c r="F6" s="60" t="s">
        <v>24</v>
      </c>
      <c r="G6" s="47">
        <v>81</v>
      </c>
      <c r="H6" s="133">
        <f>IF(B$17=0,0,G6/B$17)</f>
        <v>0.35064935064935066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133.33333333333334</v>
      </c>
      <c r="P6" s="119">
        <v>78</v>
      </c>
      <c r="Q6" s="103">
        <v>10400</v>
      </c>
    </row>
    <row r="7" spans="1:17" x14ac:dyDescent="0.4">
      <c r="A7" s="55" t="s">
        <v>2</v>
      </c>
      <c r="B7" s="47">
        <v>26</v>
      </c>
      <c r="C7" s="39">
        <f>IF(B$2=0,0,B7/B$2)</f>
        <v>0.26262626262626265</v>
      </c>
      <c r="E7" s="63" t="s">
        <v>69</v>
      </c>
      <c r="F7" s="60" t="s">
        <v>12</v>
      </c>
      <c r="G7" s="47">
        <v>78</v>
      </c>
      <c r="H7" s="133">
        <f>IF(B$17=0,0,G7/B$17)</f>
        <v>0.33766233766233766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312.32876712328766</v>
      </c>
      <c r="P7" s="120">
        <v>73</v>
      </c>
      <c r="Q7" s="104">
        <v>22800</v>
      </c>
    </row>
    <row r="8" spans="1:17" x14ac:dyDescent="0.4">
      <c r="A8" s="55" t="s">
        <v>3</v>
      </c>
      <c r="B8" s="47">
        <v>38</v>
      </c>
      <c r="C8" s="39">
        <f>IF(B$2=0,0,B8/B$2)</f>
        <v>0.38383838383838381</v>
      </c>
      <c r="E8" s="63" t="s">
        <v>70</v>
      </c>
      <c r="F8" s="60" t="s">
        <v>25</v>
      </c>
      <c r="G8" s="47">
        <v>53</v>
      </c>
      <c r="H8" s="133">
        <f>IF(B$17=0,0,G8/B$17)</f>
        <v>0.22943722943722944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0.35353535353535354</v>
      </c>
      <c r="E9" s="63" t="s">
        <v>66</v>
      </c>
      <c r="F9" s="60" t="s">
        <v>22</v>
      </c>
      <c r="G9" s="47">
        <v>38</v>
      </c>
      <c r="H9" s="133">
        <f>IF(B$17=0,0,G9/B$17)</f>
        <v>0.16450216450216451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0.13131313131313133</v>
      </c>
      <c r="E10" s="63" t="s">
        <v>71</v>
      </c>
      <c r="F10" s="60" t="s">
        <v>26</v>
      </c>
      <c r="G10" s="47">
        <v>28</v>
      </c>
      <c r="H10" s="133">
        <f>IF(B$17=0,0,G10/B$17)</f>
        <v>0.12121212121212122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-4.8735849056603788</v>
      </c>
      <c r="P10" s="118">
        <v>53</v>
      </c>
      <c r="Q10" s="106">
        <v>-258.30000000000007</v>
      </c>
    </row>
    <row r="11" spans="1:17" x14ac:dyDescent="0.4">
      <c r="A11" s="56" t="s">
        <v>140</v>
      </c>
      <c r="B11" s="48">
        <v>8</v>
      </c>
      <c r="C11" s="40">
        <f>IF(B$2=0,0,B11/B$2)</f>
        <v>8.0808080808080815E-2</v>
      </c>
      <c r="E11" s="63" t="s">
        <v>90</v>
      </c>
      <c r="F11" s="60" t="s">
        <v>45</v>
      </c>
      <c r="G11" s="47">
        <v>21</v>
      </c>
      <c r="H11" s="133">
        <f>IF(B$17=0,0,G11/B$17)</f>
        <v>9.0909090909090912E-2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7.0707070707070704E-2</v>
      </c>
      <c r="E12" s="63" t="s">
        <v>72</v>
      </c>
      <c r="F12" s="60" t="s">
        <v>27</v>
      </c>
      <c r="G12" s="47">
        <v>12</v>
      </c>
      <c r="H12" s="133">
        <f>IF(B$17=0,0,G12/B$17)</f>
        <v>5.1948051948051951E-2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3.7416666666666667</v>
      </c>
      <c r="P12" s="120">
        <v>24</v>
      </c>
      <c r="Q12" s="108">
        <v>89.8</v>
      </c>
    </row>
    <row r="13" spans="1:17" x14ac:dyDescent="0.4">
      <c r="A13" s="58" t="s">
        <v>122</v>
      </c>
      <c r="B13" s="50">
        <v>243</v>
      </c>
      <c r="C13" s="44">
        <f>IF(B$3=0,0,B13/B$3)</f>
        <v>0.29136690647482016</v>
      </c>
      <c r="E13" s="63" t="s">
        <v>87</v>
      </c>
      <c r="F13" s="60" t="s">
        <v>42</v>
      </c>
      <c r="G13" s="47">
        <v>12</v>
      </c>
      <c r="H13" s="133">
        <f>IF(B$17=0,0,G13/B$17)</f>
        <v>5.1948051948051951E-2</v>
      </c>
      <c r="I13" s="94">
        <v>6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0.18705035971223022</v>
      </c>
      <c r="E14" s="63" t="s">
        <v>82</v>
      </c>
      <c r="F14" s="60" t="s">
        <v>37</v>
      </c>
      <c r="G14" s="47">
        <v>8</v>
      </c>
      <c r="H14" s="133">
        <f>IF(B$17=0,0,G14/B$17)</f>
        <v>3.4632034632034632E-2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0.60082304526748975</v>
      </c>
      <c r="E15" s="63" t="s">
        <v>84</v>
      </c>
      <c r="F15" s="60" t="s">
        <v>39</v>
      </c>
      <c r="G15" s="47">
        <v>7</v>
      </c>
      <c r="H15" s="133">
        <f>IF(B$17=0,0,G15/B$17)</f>
        <v>3.0303030303030304E-2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43</v>
      </c>
      <c r="C16" s="37">
        <f>IF(B$14=0,0,B16/B$14)</f>
        <v>0.27564102564102566</v>
      </c>
      <c r="E16" s="63" t="s">
        <v>92</v>
      </c>
      <c r="F16" s="60" t="s">
        <v>47</v>
      </c>
      <c r="G16" s="47">
        <v>6</v>
      </c>
      <c r="H16" s="133">
        <f>IF(B$17=0,0,G16/B$17)</f>
        <v>2.5974025974025976E-2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231</v>
      </c>
      <c r="C17" s="37">
        <f>IF(B$3=0,0,B17/B$3)</f>
        <v>0.27697841726618705</v>
      </c>
      <c r="E17" s="63" t="s">
        <v>80</v>
      </c>
      <c r="F17" s="60" t="s">
        <v>35</v>
      </c>
      <c r="G17" s="47">
        <v>4</v>
      </c>
      <c r="H17" s="133">
        <f>IF(B$17=0,0,G17/B$17)</f>
        <v>1.7316017316017316E-2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6.103703703703701</v>
      </c>
      <c r="P17" s="119">
        <v>27</v>
      </c>
      <c r="Q17" s="107">
        <v>164.79999999999993</v>
      </c>
    </row>
    <row r="18" spans="1:17" x14ac:dyDescent="0.4">
      <c r="A18" s="55" t="s">
        <v>12</v>
      </c>
      <c r="B18" s="47">
        <v>99</v>
      </c>
      <c r="C18" s="39">
        <f>IF(B$17=0,0,B18/B$17)</f>
        <v>0.42857142857142855</v>
      </c>
      <c r="E18" s="63" t="s">
        <v>180</v>
      </c>
      <c r="F18" s="60" t="s">
        <v>183</v>
      </c>
      <c r="G18" s="47">
        <v>4</v>
      </c>
      <c r="H18" s="133">
        <f>IF(B$17=0,0,G18/B$17)</f>
        <v>1.7316017316017316E-2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132</v>
      </c>
      <c r="C19" s="39">
        <f>IF(B$17=0,0,B19/B$17)</f>
        <v>0.5714285714285714</v>
      </c>
      <c r="E19" s="63" t="s">
        <v>75</v>
      </c>
      <c r="F19" s="60" t="s">
        <v>30</v>
      </c>
      <c r="G19" s="47">
        <v>2</v>
      </c>
      <c r="H19" s="133">
        <f>IF(B$17=0,0,G19/B$17)</f>
        <v>8.658008658008658E-3</v>
      </c>
      <c r="I19" s="94">
        <v>2</v>
      </c>
      <c r="K19" s="38">
        <v>17</v>
      </c>
      <c r="L19" s="99">
        <v>94.6</v>
      </c>
      <c r="N19" s="115" t="s">
        <v>171</v>
      </c>
      <c r="O19" s="125">
        <f>IF(P19=0,0,Q19/P19)</f>
        <v>0.86428571428572132</v>
      </c>
      <c r="P19" s="119">
        <v>28</v>
      </c>
      <c r="Q19" s="107">
        <v>24.200000000000198</v>
      </c>
    </row>
    <row r="20" spans="1:17" x14ac:dyDescent="0.4">
      <c r="A20" s="55" t="s">
        <v>13</v>
      </c>
      <c r="B20" s="47">
        <v>145</v>
      </c>
      <c r="C20" s="39">
        <f>IF(B$3=0,0,B20/B$3)</f>
        <v>0.17386091127098321</v>
      </c>
      <c r="E20" s="63" t="s">
        <v>76</v>
      </c>
      <c r="F20" s="60" t="s">
        <v>31</v>
      </c>
      <c r="G20" s="47">
        <v>2</v>
      </c>
      <c r="H20" s="133">
        <f>IF(B$17=0,0,G20/B$17)</f>
        <v>8.658008658008658E-3</v>
      </c>
      <c r="I20" s="94">
        <v>4</v>
      </c>
      <c r="K20" s="38">
        <v>18</v>
      </c>
      <c r="L20" s="99">
        <v>116.69999999999999</v>
      </c>
      <c r="N20" s="115" t="s">
        <v>172</v>
      </c>
      <c r="O20" s="125">
        <f>IF(P20=0,0,Q20/P20)</f>
        <v>0.41379310344827686</v>
      </c>
      <c r="P20" s="119">
        <v>29</v>
      </c>
      <c r="Q20" s="107">
        <v>12.000000000000028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8.658008658008658E-3</v>
      </c>
      <c r="I21" s="94">
        <v>9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74</v>
      </c>
      <c r="F22" s="60" t="s">
        <v>29</v>
      </c>
      <c r="G22" s="47">
        <v>1</v>
      </c>
      <c r="H22" s="133">
        <f>IF(B$17=0,0,G22/B$17)</f>
        <v>4.329004329004329E-3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-19.888405797101459</v>
      </c>
      <c r="P22" s="119">
        <v>69</v>
      </c>
      <c r="Q22" s="107">
        <v>-1372.3000000000006</v>
      </c>
    </row>
    <row r="23" spans="1:17" x14ac:dyDescent="0.4">
      <c r="A23" s="55" t="s">
        <v>5</v>
      </c>
      <c r="B23" s="51">
        <f>IF(B$17=0,0,C23/B$17)</f>
        <v>9155.8441558441555</v>
      </c>
      <c r="C23" s="41">
        <v>2115000</v>
      </c>
      <c r="E23" s="63" t="s">
        <v>78</v>
      </c>
      <c r="F23" s="60" t="s">
        <v>33</v>
      </c>
      <c r="G23" s="47">
        <v>1</v>
      </c>
      <c r="H23" s="133">
        <f>IF(B$17=0,0,G23/B$17)</f>
        <v>4.329004329004329E-3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-7666.2068965517237</v>
      </c>
      <c r="C24" s="45">
        <v>-1111600</v>
      </c>
      <c r="E24" s="63" t="s">
        <v>85</v>
      </c>
      <c r="F24" s="60" t="s">
        <v>40</v>
      </c>
      <c r="G24" s="47">
        <v>1</v>
      </c>
      <c r="H24" s="133">
        <f>IF(B$17=0,0,G24/B$17)</f>
        <v>4.329004329004329E-3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4.329004329004329E-3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4.329004329004329E-3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5.9952038369304557E-3</v>
      </c>
      <c r="E27" s="63" t="s">
        <v>94</v>
      </c>
      <c r="F27" s="60" t="s">
        <v>49</v>
      </c>
      <c r="G27" s="47">
        <v>1</v>
      </c>
      <c r="H27" s="133">
        <f>IF(B$17=0,0,G27/B$17)</f>
        <v>4.329004329004329E-3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4.329004329004329E-3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265B5-8407-4B5C-A125-4CBCCD477218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67</v>
      </c>
      <c r="F2" s="59" t="s">
        <v>23</v>
      </c>
      <c r="G2" s="46">
        <v>53</v>
      </c>
      <c r="H2" s="132">
        <f>IF(B$17=0,0,G2/B$17)</f>
        <v>0.81538461538461537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-2836.8421052631579</v>
      </c>
      <c r="P2" s="118">
        <v>38</v>
      </c>
      <c r="Q2" s="102">
        <v>-107800</v>
      </c>
    </row>
    <row r="3" spans="1:17" x14ac:dyDescent="0.4">
      <c r="A3" s="55" t="s">
        <v>8</v>
      </c>
      <c r="B3" s="148">
        <v>309</v>
      </c>
      <c r="C3" s="149"/>
      <c r="E3" s="63" t="s">
        <v>65</v>
      </c>
      <c r="F3" s="60" t="s">
        <v>21</v>
      </c>
      <c r="G3" s="47">
        <v>37</v>
      </c>
      <c r="H3" s="133">
        <f>IF(B$17=0,0,G3/B$17)</f>
        <v>0.56923076923076921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-3252.6315789473683</v>
      </c>
      <c r="P3" s="119">
        <v>38</v>
      </c>
      <c r="Q3" s="103">
        <v>-123600</v>
      </c>
    </row>
    <row r="4" spans="1:17" x14ac:dyDescent="0.4">
      <c r="A4" s="55" t="s">
        <v>6</v>
      </c>
      <c r="B4" s="150">
        <v>-829.99999999999989</v>
      </c>
      <c r="C4" s="151"/>
      <c r="E4" s="63" t="s">
        <v>69</v>
      </c>
      <c r="F4" s="60" t="s">
        <v>12</v>
      </c>
      <c r="G4" s="47">
        <v>26</v>
      </c>
      <c r="H4" s="133">
        <f>IF(B$17=0,0,G4/B$17)</f>
        <v>0.4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-1208.5714285714287</v>
      </c>
      <c r="P4" s="119">
        <v>35</v>
      </c>
      <c r="Q4" s="103">
        <v>-42300</v>
      </c>
    </row>
    <row r="5" spans="1:17" x14ac:dyDescent="0.4">
      <c r="A5" s="55" t="s">
        <v>7</v>
      </c>
      <c r="B5" s="152">
        <f>IF(B$2=0,0,B$4/B$2)</f>
        <v>-21.84210526315789</v>
      </c>
      <c r="C5" s="153"/>
      <c r="E5" s="63" t="s">
        <v>181</v>
      </c>
      <c r="F5" s="60" t="s">
        <v>182</v>
      </c>
      <c r="G5" s="47">
        <v>26</v>
      </c>
      <c r="H5" s="133">
        <f>IF(B$17=0,0,G5/B$17)</f>
        <v>0.4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-6190</v>
      </c>
      <c r="P5" s="119">
        <v>30</v>
      </c>
      <c r="Q5" s="103">
        <v>-185700</v>
      </c>
    </row>
    <row r="6" spans="1:17" x14ac:dyDescent="0.4">
      <c r="A6" s="55" t="s">
        <v>1</v>
      </c>
      <c r="B6" s="142">
        <f>IF(B$2=0,0,(B$7*1+B$8*2+B$9*3)/B$2)</f>
        <v>2.3684210526315788</v>
      </c>
      <c r="C6" s="143"/>
      <c r="E6" s="63" t="s">
        <v>68</v>
      </c>
      <c r="F6" s="60" t="s">
        <v>24</v>
      </c>
      <c r="G6" s="47">
        <v>23</v>
      </c>
      <c r="H6" s="133">
        <f>IF(B$17=0,0,G6/B$17)</f>
        <v>0.35384615384615387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-1188.8888888888889</v>
      </c>
      <c r="P6" s="119">
        <v>27</v>
      </c>
      <c r="Q6" s="103">
        <v>-32100</v>
      </c>
    </row>
    <row r="7" spans="1:17" x14ac:dyDescent="0.4">
      <c r="A7" s="55" t="s">
        <v>2</v>
      </c>
      <c r="B7" s="47">
        <v>7</v>
      </c>
      <c r="C7" s="39">
        <f>IF(B$2=0,0,B7/B$2)</f>
        <v>0.18421052631578946</v>
      </c>
      <c r="E7" s="63" t="s">
        <v>73</v>
      </c>
      <c r="F7" s="60" t="s">
        <v>28</v>
      </c>
      <c r="G7" s="47">
        <v>20</v>
      </c>
      <c r="H7" s="133">
        <f>IF(B$17=0,0,G7/B$17)</f>
        <v>0.30769230769230771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-1584</v>
      </c>
      <c r="P7" s="120">
        <v>25</v>
      </c>
      <c r="Q7" s="104">
        <v>-39600</v>
      </c>
    </row>
    <row r="8" spans="1:17" x14ac:dyDescent="0.4">
      <c r="A8" s="55" t="s">
        <v>3</v>
      </c>
      <c r="B8" s="47">
        <v>10</v>
      </c>
      <c r="C8" s="39">
        <f>IF(B$2=0,0,B8/B$2)</f>
        <v>0.26315789473684209</v>
      </c>
      <c r="E8" s="63" t="s">
        <v>70</v>
      </c>
      <c r="F8" s="60" t="s">
        <v>25</v>
      </c>
      <c r="G8" s="47">
        <v>16</v>
      </c>
      <c r="H8" s="133">
        <f>IF(B$17=0,0,G8/B$17)</f>
        <v>0.24615384615384617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0.55263157894736847</v>
      </c>
      <c r="E9" s="63" t="s">
        <v>71</v>
      </c>
      <c r="F9" s="60" t="s">
        <v>26</v>
      </c>
      <c r="G9" s="47">
        <v>14</v>
      </c>
      <c r="H9" s="133">
        <f>IF(B$17=0,0,G9/B$17)</f>
        <v>0.2153846153846154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0.21052631578947367</v>
      </c>
      <c r="E10" s="63" t="s">
        <v>72</v>
      </c>
      <c r="F10" s="60" t="s">
        <v>27</v>
      </c>
      <c r="G10" s="47">
        <v>8</v>
      </c>
      <c r="H10" s="133">
        <f>IF(B$17=0,0,G10/B$17)</f>
        <v>0.12307692307692308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5.2631578947368418E-2</v>
      </c>
      <c r="E11" s="63" t="s">
        <v>90</v>
      </c>
      <c r="F11" s="60" t="s">
        <v>45</v>
      </c>
      <c r="G11" s="47">
        <v>6</v>
      </c>
      <c r="H11" s="133">
        <f>IF(B$17=0,0,G11/B$17)</f>
        <v>9.2307692307692313E-2</v>
      </c>
      <c r="I11" s="94">
        <v>9</v>
      </c>
      <c r="K11" s="38">
        <v>9</v>
      </c>
      <c r="L11" s="99">
        <v>-127.6</v>
      </c>
      <c r="N11" s="115" t="s">
        <v>165</v>
      </c>
      <c r="O11" s="125">
        <f>IF(P11=0,0,Q11/P11)</f>
        <v>-18.900000000000002</v>
      </c>
      <c r="P11" s="119">
        <v>15</v>
      </c>
      <c r="Q11" s="107">
        <v>-283.50000000000006</v>
      </c>
    </row>
    <row r="12" spans="1:17" x14ac:dyDescent="0.4">
      <c r="A12" s="57" t="s">
        <v>160</v>
      </c>
      <c r="B12" s="49">
        <v>4</v>
      </c>
      <c r="C12" s="42">
        <f>IF(B$2=0,0,B12/B$2)</f>
        <v>0.10526315789473684</v>
      </c>
      <c r="E12" s="63" t="s">
        <v>66</v>
      </c>
      <c r="F12" s="60" t="s">
        <v>22</v>
      </c>
      <c r="G12" s="47">
        <v>5</v>
      </c>
      <c r="H12" s="133">
        <f>IF(B$17=0,0,G12/B$17)</f>
        <v>7.6923076923076927E-2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-23.009999999999998</v>
      </c>
      <c r="P12" s="120">
        <v>10</v>
      </c>
      <c r="Q12" s="108">
        <v>-230.1</v>
      </c>
    </row>
    <row r="13" spans="1:17" x14ac:dyDescent="0.4">
      <c r="A13" s="58" t="s">
        <v>122</v>
      </c>
      <c r="B13" s="50">
        <v>77</v>
      </c>
      <c r="C13" s="44">
        <f>IF(B$3=0,0,B13/B$3)</f>
        <v>0.24919093851132687</v>
      </c>
      <c r="E13" s="63" t="s">
        <v>87</v>
      </c>
      <c r="F13" s="60" t="s">
        <v>42</v>
      </c>
      <c r="G13" s="47">
        <v>2</v>
      </c>
      <c r="H13" s="133">
        <f>IF(B$17=0,0,G13/B$17)</f>
        <v>3.0769230769230771E-2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0.14563106796116504</v>
      </c>
      <c r="E14" s="63" t="s">
        <v>78</v>
      </c>
      <c r="F14" s="60" t="s">
        <v>33</v>
      </c>
      <c r="G14" s="47">
        <v>1</v>
      </c>
      <c r="H14" s="133">
        <f>IF(B$17=0,0,G14/B$17)</f>
        <v>1.5384615384615385E-2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0.50649350649350644</v>
      </c>
      <c r="E15" s="63" t="s">
        <v>79</v>
      </c>
      <c r="F15" s="60" t="s">
        <v>34</v>
      </c>
      <c r="G15" s="47">
        <v>1</v>
      </c>
      <c r="H15" s="133">
        <f>IF(B$17=0,0,G15/B$17)</f>
        <v>1.5384615384615385E-2</v>
      </c>
      <c r="I15" s="94">
        <v>7</v>
      </c>
      <c r="K15" s="38">
        <v>13</v>
      </c>
      <c r="L15" s="99">
        <v>-369.1</v>
      </c>
      <c r="N15" s="114" t="s">
        <v>177</v>
      </c>
      <c r="O15" s="124">
        <f>IF(P15=0,0,Q15/P15)</f>
        <v>42.625</v>
      </c>
      <c r="P15" s="118">
        <v>4</v>
      </c>
      <c r="Q15" s="106">
        <v>170.5</v>
      </c>
    </row>
    <row r="16" spans="1:17" x14ac:dyDescent="0.4">
      <c r="A16" s="54" t="s">
        <v>125</v>
      </c>
      <c r="B16" s="46">
        <v>9</v>
      </c>
      <c r="C16" s="37">
        <f>IF(B$14=0,0,B16/B$14)</f>
        <v>0.2</v>
      </c>
      <c r="E16" s="63" t="s">
        <v>80</v>
      </c>
      <c r="F16" s="60" t="s">
        <v>35</v>
      </c>
      <c r="G16" s="47">
        <v>1</v>
      </c>
      <c r="H16" s="133">
        <f>IF(B$17=0,0,G16/B$17)</f>
        <v>1.5384615384615385E-2</v>
      </c>
      <c r="I16" s="94">
        <v>4</v>
      </c>
      <c r="K16" s="38">
        <v>14</v>
      </c>
      <c r="L16" s="99">
        <v>-394.6</v>
      </c>
      <c r="N16" s="115" t="s">
        <v>128</v>
      </c>
      <c r="O16" s="125">
        <f>IF(P16=0,0,Q16/P16)</f>
        <v>-6.1037037037036974</v>
      </c>
      <c r="P16" s="119">
        <v>27</v>
      </c>
      <c r="Q16" s="107">
        <v>-164.79999999999984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0.21035598705501618</v>
      </c>
      <c r="E17" s="63" t="s">
        <v>82</v>
      </c>
      <c r="F17" s="60" t="s">
        <v>37</v>
      </c>
      <c r="G17" s="47">
        <v>1</v>
      </c>
      <c r="H17" s="133">
        <f>IF(B$17=0,0,G17/B$17)</f>
        <v>1.5384615384615385E-2</v>
      </c>
      <c r="I17" s="94">
        <v>8</v>
      </c>
      <c r="K17" s="38">
        <v>15</v>
      </c>
      <c r="L17" s="99">
        <v>-424.5</v>
      </c>
      <c r="N17" s="115" t="s">
        <v>173</v>
      </c>
      <c r="O17" s="125">
        <f>IF(P17=0,0,Q17/P17)</f>
        <v>-30.733333333333331</v>
      </c>
      <c r="P17" s="119">
        <v>6</v>
      </c>
      <c r="Q17" s="107">
        <v>-184.39999999999998</v>
      </c>
    </row>
    <row r="18" spans="1:17" x14ac:dyDescent="0.4">
      <c r="A18" s="55" t="s">
        <v>12</v>
      </c>
      <c r="B18" s="47">
        <v>33</v>
      </c>
      <c r="C18" s="39">
        <f>IF(B$17=0,0,B18/B$17)</f>
        <v>0.50769230769230766</v>
      </c>
      <c r="E18" s="63" t="s">
        <v>84</v>
      </c>
      <c r="F18" s="60" t="s">
        <v>39</v>
      </c>
      <c r="G18" s="47">
        <v>1</v>
      </c>
      <c r="H18" s="133">
        <f>IF(B$17=0,0,G18/B$17)</f>
        <v>1.5384615384615385E-2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-46.55</v>
      </c>
      <c r="P18" s="119">
        <v>8</v>
      </c>
      <c r="Q18" s="107">
        <v>-372.4</v>
      </c>
    </row>
    <row r="19" spans="1:17" x14ac:dyDescent="0.4">
      <c r="A19" s="55" t="s">
        <v>11</v>
      </c>
      <c r="B19" s="47">
        <v>32</v>
      </c>
      <c r="C19" s="39">
        <f>IF(B$17=0,0,B19/B$17)</f>
        <v>0.49230769230769234</v>
      </c>
      <c r="E19" s="63" t="s">
        <v>88</v>
      </c>
      <c r="F19" s="60" t="s">
        <v>43</v>
      </c>
      <c r="G19" s="47">
        <v>1</v>
      </c>
      <c r="H19" s="133">
        <f>IF(B$17=0,0,G19/B$17)</f>
        <v>1.5384615384615385E-2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-56.752173913043507</v>
      </c>
      <c r="P19" s="119">
        <v>23</v>
      </c>
      <c r="Q19" s="107">
        <v>-1305.3000000000006</v>
      </c>
    </row>
    <row r="20" spans="1:17" x14ac:dyDescent="0.4">
      <c r="A20" s="55" t="s">
        <v>13</v>
      </c>
      <c r="B20" s="47">
        <v>60</v>
      </c>
      <c r="C20" s="39">
        <f>IF(B$3=0,0,B20/B$3)</f>
        <v>0.1941747572815534</v>
      </c>
      <c r="E20" s="63" t="s">
        <v>89</v>
      </c>
      <c r="F20" s="60" t="s">
        <v>44</v>
      </c>
      <c r="G20" s="47">
        <v>1</v>
      </c>
      <c r="H20" s="133">
        <f>IF(B$17=0,0,G20/B$17)</f>
        <v>1.5384615384615385E-2</v>
      </c>
      <c r="I20" s="94">
        <v>1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1.5384615384615385E-2</v>
      </c>
      <c r="I21" s="94">
        <v>4</v>
      </c>
      <c r="K21" s="38">
        <v>19</v>
      </c>
      <c r="L21" s="99">
        <v>-569.49999999999989</v>
      </c>
      <c r="N21" s="115" t="s">
        <v>172</v>
      </c>
      <c r="O21" s="125">
        <f>IF(P21=0,0,Q21/P21)</f>
        <v>-80.185714285714283</v>
      </c>
      <c r="P21" s="119">
        <v>7</v>
      </c>
      <c r="Q21" s="107">
        <v>-561.29999999999995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94</v>
      </c>
      <c r="F22" s="60" t="s">
        <v>49</v>
      </c>
      <c r="G22" s="47">
        <v>1</v>
      </c>
      <c r="H22" s="133">
        <f>IF(B$17=0,0,G22/B$17)</f>
        <v>1.5384615384615385E-2</v>
      </c>
      <c r="I22" s="94">
        <v>1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8566.1538461538457</v>
      </c>
      <c r="C23" s="41">
        <v>556800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-9846.6666666666661</v>
      </c>
      <c r="C24" s="45">
        <v>-590800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3.2362459546925568E-3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90D6B-9027-494C-8AFF-E063C678E7DC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49</v>
      </c>
      <c r="C2" s="147"/>
      <c r="E2" s="62" t="s">
        <v>67</v>
      </c>
      <c r="F2" s="59" t="s">
        <v>23</v>
      </c>
      <c r="G2" s="46">
        <v>80</v>
      </c>
      <c r="H2" s="132">
        <f>IF(B$17=0,0,G2/B$17)</f>
        <v>0.76190476190476186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-83.673469387755105</v>
      </c>
      <c r="P2" s="118">
        <v>49</v>
      </c>
      <c r="Q2" s="102">
        <v>-4100</v>
      </c>
    </row>
    <row r="3" spans="1:17" x14ac:dyDescent="0.4">
      <c r="A3" s="55" t="s">
        <v>8</v>
      </c>
      <c r="B3" s="148">
        <v>413</v>
      </c>
      <c r="C3" s="149"/>
      <c r="E3" s="63" t="s">
        <v>65</v>
      </c>
      <c r="F3" s="60" t="s">
        <v>21</v>
      </c>
      <c r="G3" s="47">
        <v>58</v>
      </c>
      <c r="H3" s="133">
        <f>IF(B$17=0,0,G3/B$17)</f>
        <v>0.55238095238095242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489.79591836734693</v>
      </c>
      <c r="P3" s="119">
        <v>49</v>
      </c>
      <c r="Q3" s="103">
        <v>24000</v>
      </c>
    </row>
    <row r="4" spans="1:17" x14ac:dyDescent="0.4">
      <c r="A4" s="55" t="s">
        <v>6</v>
      </c>
      <c r="B4" s="150">
        <v>-23.100000000000005</v>
      </c>
      <c r="C4" s="151"/>
      <c r="E4" s="63" t="s">
        <v>73</v>
      </c>
      <c r="F4" s="60" t="s">
        <v>28</v>
      </c>
      <c r="G4" s="47">
        <v>52</v>
      </c>
      <c r="H4" s="133">
        <f>IF(B$17=0,0,G4/B$17)</f>
        <v>0.49523809523809526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74.468085106382972</v>
      </c>
      <c r="P4" s="119">
        <v>47</v>
      </c>
      <c r="Q4" s="103">
        <v>3500</v>
      </c>
    </row>
    <row r="5" spans="1:17" x14ac:dyDescent="0.4">
      <c r="A5" s="55" t="s">
        <v>7</v>
      </c>
      <c r="B5" s="152">
        <f>IF(B$2=0,0,B$4/B$2)</f>
        <v>-0.47142857142857153</v>
      </c>
      <c r="C5" s="153"/>
      <c r="E5" s="63" t="s">
        <v>181</v>
      </c>
      <c r="F5" s="60" t="s">
        <v>182</v>
      </c>
      <c r="G5" s="47">
        <v>38</v>
      </c>
      <c r="H5" s="133">
        <f>IF(B$17=0,0,G5/B$17)</f>
        <v>0.3619047619047619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2302.439024390244</v>
      </c>
      <c r="P5" s="119">
        <v>41</v>
      </c>
      <c r="Q5" s="103">
        <v>94400</v>
      </c>
    </row>
    <row r="6" spans="1:17" x14ac:dyDescent="0.4">
      <c r="A6" s="55" t="s">
        <v>1</v>
      </c>
      <c r="B6" s="142">
        <f>IF(B$2=0,0,(B$7*1+B$8*2+B$9*3)/B$2)</f>
        <v>2.0816326530612246</v>
      </c>
      <c r="C6" s="143"/>
      <c r="E6" s="63" t="s">
        <v>68</v>
      </c>
      <c r="F6" s="60" t="s">
        <v>24</v>
      </c>
      <c r="G6" s="47">
        <v>32</v>
      </c>
      <c r="H6" s="133">
        <f>IF(B$17=0,0,G6/B$17)</f>
        <v>0.30476190476190479</v>
      </c>
      <c r="I6" s="94">
        <v>6</v>
      </c>
      <c r="K6" s="38">
        <v>4</v>
      </c>
      <c r="L6" s="99">
        <v>-11.300000000000011</v>
      </c>
      <c r="N6" s="115" t="s">
        <v>136</v>
      </c>
      <c r="O6" s="122">
        <f t="shared" si="0"/>
        <v>-1662.1621621621621</v>
      </c>
      <c r="P6" s="119">
        <v>37</v>
      </c>
      <c r="Q6" s="103">
        <v>-61500</v>
      </c>
    </row>
    <row r="7" spans="1:17" x14ac:dyDescent="0.4">
      <c r="A7" s="55" t="s">
        <v>2</v>
      </c>
      <c r="B7" s="47">
        <v>13</v>
      </c>
      <c r="C7" s="39">
        <f>IF(B$2=0,0,B7/B$2)</f>
        <v>0.26530612244897961</v>
      </c>
      <c r="E7" s="63" t="s">
        <v>69</v>
      </c>
      <c r="F7" s="60" t="s">
        <v>12</v>
      </c>
      <c r="G7" s="47">
        <v>29</v>
      </c>
      <c r="H7" s="133">
        <f>IF(B$17=0,0,G7/B$17)</f>
        <v>0.27619047619047621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245.71428571428572</v>
      </c>
      <c r="P7" s="120">
        <v>35</v>
      </c>
      <c r="Q7" s="104">
        <v>8600</v>
      </c>
    </row>
    <row r="8" spans="1:17" x14ac:dyDescent="0.4">
      <c r="A8" s="55" t="s">
        <v>3</v>
      </c>
      <c r="B8" s="47">
        <v>19</v>
      </c>
      <c r="C8" s="39">
        <f>IF(B$2=0,0,B8/B$2)</f>
        <v>0.38775510204081631</v>
      </c>
      <c r="E8" s="63" t="s">
        <v>70</v>
      </c>
      <c r="F8" s="60" t="s">
        <v>25</v>
      </c>
      <c r="G8" s="47">
        <v>22</v>
      </c>
      <c r="H8" s="133">
        <f>IF(B$17=0,0,G8/B$17)</f>
        <v>0.20952380952380953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0.34693877551020408</v>
      </c>
      <c r="E9" s="63" t="s">
        <v>90</v>
      </c>
      <c r="F9" s="60" t="s">
        <v>45</v>
      </c>
      <c r="G9" s="47">
        <v>16</v>
      </c>
      <c r="H9" s="133">
        <f>IF(B$17=0,0,G9/B$17)</f>
        <v>0.15238095238095239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2.0408163265306121E-2</v>
      </c>
      <c r="E10" s="63" t="s">
        <v>66</v>
      </c>
      <c r="F10" s="60" t="s">
        <v>22</v>
      </c>
      <c r="G10" s="47">
        <v>15</v>
      </c>
      <c r="H10" s="133">
        <f>IF(B$17=0,0,G10/B$17)</f>
        <v>0.14285714285714285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9.918181818181818</v>
      </c>
      <c r="P10" s="118">
        <v>11</v>
      </c>
      <c r="Q10" s="106">
        <v>109.1</v>
      </c>
    </row>
    <row r="11" spans="1:17" x14ac:dyDescent="0.4">
      <c r="A11" s="56" t="s">
        <v>140</v>
      </c>
      <c r="B11" s="48">
        <v>6</v>
      </c>
      <c r="C11" s="40">
        <f>IF(B$2=0,0,B11/B$2)</f>
        <v>0.12244897959183673</v>
      </c>
      <c r="E11" s="63" t="s">
        <v>71</v>
      </c>
      <c r="F11" s="60" t="s">
        <v>26</v>
      </c>
      <c r="G11" s="47">
        <v>13</v>
      </c>
      <c r="H11" s="133">
        <f>IF(B$17=0,0,G11/B$17)</f>
        <v>0.12380952380952381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-4.2272727272727257</v>
      </c>
      <c r="P11" s="119">
        <v>22</v>
      </c>
      <c r="Q11" s="107">
        <v>-92.999999999999972</v>
      </c>
    </row>
    <row r="12" spans="1:17" x14ac:dyDescent="0.4">
      <c r="A12" s="57" t="s">
        <v>160</v>
      </c>
      <c r="B12" s="49">
        <v>4</v>
      </c>
      <c r="C12" s="42">
        <f>IF(B$2=0,0,B12/B$2)</f>
        <v>8.1632653061224483E-2</v>
      </c>
      <c r="E12" s="63" t="s">
        <v>87</v>
      </c>
      <c r="F12" s="60" t="s">
        <v>42</v>
      </c>
      <c r="G12" s="47">
        <v>8</v>
      </c>
      <c r="H12" s="133">
        <f>IF(B$17=0,0,G12/B$17)</f>
        <v>7.6190476190476197E-2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107</v>
      </c>
      <c r="C13" s="44">
        <f>IF(B$3=0,0,B13/B$3)</f>
        <v>0.25907990314769974</v>
      </c>
      <c r="E13" s="63" t="s">
        <v>72</v>
      </c>
      <c r="F13" s="60" t="s">
        <v>27</v>
      </c>
      <c r="G13" s="47">
        <v>7</v>
      </c>
      <c r="H13" s="133">
        <f>IF(B$17=0,0,G13/B$17)</f>
        <v>6.6666666666666666E-2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70</v>
      </c>
      <c r="C14" s="39">
        <f>IF(B$3=0,0,B14/B$3)</f>
        <v>0.16949152542372881</v>
      </c>
      <c r="E14" s="63" t="s">
        <v>84</v>
      </c>
      <c r="F14" s="60" t="s">
        <v>39</v>
      </c>
      <c r="G14" s="47">
        <v>7</v>
      </c>
      <c r="H14" s="133">
        <f>IF(B$17=0,0,G14/B$17)</f>
        <v>6.6666666666666666E-2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0.57943925233644855</v>
      </c>
      <c r="E15" s="63" t="s">
        <v>82</v>
      </c>
      <c r="F15" s="60" t="s">
        <v>37</v>
      </c>
      <c r="G15" s="47">
        <v>5</v>
      </c>
      <c r="H15" s="133">
        <f>IF(B$17=0,0,G15/B$17)</f>
        <v>4.7619047619047616E-2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25</v>
      </c>
      <c r="C16" s="37">
        <f>IF(B$14=0,0,B16/B$14)</f>
        <v>0.35714285714285715</v>
      </c>
      <c r="E16" s="63" t="s">
        <v>79</v>
      </c>
      <c r="F16" s="60" t="s">
        <v>34</v>
      </c>
      <c r="G16" s="47">
        <v>4</v>
      </c>
      <c r="H16" s="133">
        <f>IF(B$17=0,0,G16/B$17)</f>
        <v>3.8095238095238099E-2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105</v>
      </c>
      <c r="C17" s="37">
        <f>IF(B$3=0,0,B17/B$3)</f>
        <v>0.25423728813559321</v>
      </c>
      <c r="E17" s="63" t="s">
        <v>76</v>
      </c>
      <c r="F17" s="60" t="s">
        <v>31</v>
      </c>
      <c r="G17" s="47">
        <v>2</v>
      </c>
      <c r="H17" s="133">
        <f>IF(B$17=0,0,G17/B$17)</f>
        <v>1.9047619047619049E-2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41</v>
      </c>
      <c r="C18" s="39">
        <f>IF(B$17=0,0,B18/B$17)</f>
        <v>0.39047619047619048</v>
      </c>
      <c r="E18" s="63" t="s">
        <v>93</v>
      </c>
      <c r="F18" s="60" t="s">
        <v>48</v>
      </c>
      <c r="G18" s="47">
        <v>2</v>
      </c>
      <c r="H18" s="133">
        <f>IF(B$17=0,0,G18/B$17)</f>
        <v>1.9047619047619049E-2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-0.86428571428572132</v>
      </c>
      <c r="P18" s="119">
        <v>28</v>
      </c>
      <c r="Q18" s="107">
        <v>-24.200000000000198</v>
      </c>
    </row>
    <row r="19" spans="1:17" x14ac:dyDescent="0.4">
      <c r="A19" s="55" t="s">
        <v>11</v>
      </c>
      <c r="B19" s="47">
        <v>64</v>
      </c>
      <c r="C19" s="39">
        <f>IF(B$17=0,0,B19/B$17)</f>
        <v>0.60952380952380958</v>
      </c>
      <c r="E19" s="63" t="s">
        <v>180</v>
      </c>
      <c r="F19" s="60" t="s">
        <v>183</v>
      </c>
      <c r="G19" s="47">
        <v>2</v>
      </c>
      <c r="H19" s="133">
        <f>IF(B$17=0,0,G19/B$17)</f>
        <v>1.9047619047619049E-2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-1.0923076923076933</v>
      </c>
      <c r="P19" s="119">
        <v>13</v>
      </c>
      <c r="Q19" s="107">
        <v>-14.200000000000012</v>
      </c>
    </row>
    <row r="20" spans="1:17" x14ac:dyDescent="0.4">
      <c r="A20" s="55" t="s">
        <v>13</v>
      </c>
      <c r="B20" s="47">
        <v>63</v>
      </c>
      <c r="C20" s="39">
        <f>IF(B$3=0,0,B20/B$3)</f>
        <v>0.15254237288135594</v>
      </c>
      <c r="E20" s="63" t="s">
        <v>88</v>
      </c>
      <c r="F20" s="60" t="s">
        <v>43</v>
      </c>
      <c r="G20" s="47">
        <v>1</v>
      </c>
      <c r="H20" s="133">
        <f>IF(B$17=0,0,G20/B$17)</f>
        <v>9.5238095238095247E-3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-17.679310344827581</v>
      </c>
      <c r="P21" s="119">
        <v>29</v>
      </c>
      <c r="Q21" s="107">
        <v>-512.69999999999982</v>
      </c>
    </row>
    <row r="22" spans="1:17" x14ac:dyDescent="0.4">
      <c r="A22" s="55" t="s">
        <v>194</v>
      </c>
      <c r="B22" s="47">
        <v>20</v>
      </c>
      <c r="C22" s="135">
        <v>8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9396.1904761904771</v>
      </c>
      <c r="C23" s="41">
        <v>986600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-7085.7142857142853</v>
      </c>
      <c r="C24" s="45">
        <v>-446400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2.4213075060532689E-3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8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B844-E8F0-4389-86D8-23EC2944024C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49</v>
      </c>
      <c r="C2" s="147"/>
      <c r="E2" s="62" t="s">
        <v>67</v>
      </c>
      <c r="F2" s="59" t="s">
        <v>23</v>
      </c>
      <c r="G2" s="46">
        <v>110</v>
      </c>
      <c r="H2" s="132">
        <f>IF(B$17=0,0,G2/B$17)</f>
        <v>0.6875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269.38775510204084</v>
      </c>
      <c r="P2" s="118">
        <v>49</v>
      </c>
      <c r="Q2" s="102">
        <v>13200</v>
      </c>
    </row>
    <row r="3" spans="1:17" x14ac:dyDescent="0.4">
      <c r="A3" s="55" t="s">
        <v>8</v>
      </c>
      <c r="B3" s="148">
        <v>429</v>
      </c>
      <c r="C3" s="149"/>
      <c r="E3" s="63" t="s">
        <v>73</v>
      </c>
      <c r="F3" s="60" t="s">
        <v>28</v>
      </c>
      <c r="G3" s="47">
        <v>95</v>
      </c>
      <c r="H3" s="133">
        <f>IF(B$17=0,0,G3/B$17)</f>
        <v>0.59375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316.32653061224488</v>
      </c>
      <c r="P3" s="119">
        <v>49</v>
      </c>
      <c r="Q3" s="103">
        <v>15500</v>
      </c>
    </row>
    <row r="4" spans="1:17" x14ac:dyDescent="0.4">
      <c r="A4" s="55" t="s">
        <v>6</v>
      </c>
      <c r="B4" s="150">
        <v>113</v>
      </c>
      <c r="C4" s="151"/>
      <c r="E4" s="63" t="s">
        <v>181</v>
      </c>
      <c r="F4" s="60" t="s">
        <v>182</v>
      </c>
      <c r="G4" s="47">
        <v>64</v>
      </c>
      <c r="H4" s="133">
        <f>IF(B$17=0,0,G4/B$17)</f>
        <v>0.4</v>
      </c>
      <c r="I4" s="94">
        <v>5</v>
      </c>
      <c r="K4" s="38">
        <v>2</v>
      </c>
      <c r="L4" s="99">
        <v>-7.7000000000000011</v>
      </c>
      <c r="N4" s="115" t="s">
        <v>134</v>
      </c>
      <c r="O4" s="122">
        <f t="shared" si="0"/>
        <v>-165.90909090909091</v>
      </c>
      <c r="P4" s="119">
        <v>44</v>
      </c>
      <c r="Q4" s="103">
        <v>-7300</v>
      </c>
    </row>
    <row r="5" spans="1:17" x14ac:dyDescent="0.4">
      <c r="A5" s="55" t="s">
        <v>7</v>
      </c>
      <c r="B5" s="152">
        <f>IF(B$2=0,0,B$4/B$2)</f>
        <v>2.306122448979592</v>
      </c>
      <c r="C5" s="153"/>
      <c r="E5" s="63" t="s">
        <v>65</v>
      </c>
      <c r="F5" s="60" t="s">
        <v>21</v>
      </c>
      <c r="G5" s="47">
        <v>57</v>
      </c>
      <c r="H5" s="133">
        <f>IF(B$17=0,0,G5/B$17)</f>
        <v>0.35625000000000001</v>
      </c>
      <c r="I5" s="94">
        <v>11</v>
      </c>
      <c r="K5" s="38">
        <v>3</v>
      </c>
      <c r="L5" s="99">
        <v>1.7999999999999989</v>
      </c>
      <c r="N5" s="115" t="s">
        <v>135</v>
      </c>
      <c r="O5" s="122">
        <f t="shared" si="0"/>
        <v>743.90243902439022</v>
      </c>
      <c r="P5" s="119">
        <v>41</v>
      </c>
      <c r="Q5" s="103">
        <v>30500</v>
      </c>
    </row>
    <row r="6" spans="1:17" x14ac:dyDescent="0.4">
      <c r="A6" s="55" t="s">
        <v>1</v>
      </c>
      <c r="B6" s="142">
        <f>IF(B$2=0,0,(B$7*1+B$8*2+B$9*3)/B$2)</f>
        <v>2.0204081632653059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0.27500000000000002</v>
      </c>
      <c r="I6" s="94">
        <v>8</v>
      </c>
      <c r="K6" s="38">
        <v>4</v>
      </c>
      <c r="L6" s="99">
        <v>34.9</v>
      </c>
      <c r="N6" s="115" t="s">
        <v>136</v>
      </c>
      <c r="O6" s="122">
        <f t="shared" si="0"/>
        <v>1402.5</v>
      </c>
      <c r="P6" s="119">
        <v>40</v>
      </c>
      <c r="Q6" s="103">
        <v>56100</v>
      </c>
    </row>
    <row r="7" spans="1:17" x14ac:dyDescent="0.4">
      <c r="A7" s="55" t="s">
        <v>2</v>
      </c>
      <c r="B7" s="47">
        <v>15</v>
      </c>
      <c r="C7" s="39">
        <f>IF(B$2=0,0,B7/B$2)</f>
        <v>0.30612244897959184</v>
      </c>
      <c r="E7" s="63" t="s">
        <v>68</v>
      </c>
      <c r="F7" s="60" t="s">
        <v>24</v>
      </c>
      <c r="G7" s="47">
        <v>28</v>
      </c>
      <c r="H7" s="133">
        <f>IF(B$17=0,0,G7/B$17)</f>
        <v>0.17499999999999999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-831.42857142857144</v>
      </c>
      <c r="P7" s="120">
        <v>35</v>
      </c>
      <c r="Q7" s="104">
        <v>-29100</v>
      </c>
    </row>
    <row r="8" spans="1:17" x14ac:dyDescent="0.4">
      <c r="A8" s="55" t="s">
        <v>3</v>
      </c>
      <c r="B8" s="47">
        <v>18</v>
      </c>
      <c r="C8" s="39">
        <f>IF(B$2=0,0,B8/B$2)</f>
        <v>0.36734693877551022</v>
      </c>
      <c r="E8" s="63" t="s">
        <v>70</v>
      </c>
      <c r="F8" s="60" t="s">
        <v>25</v>
      </c>
      <c r="G8" s="47">
        <v>22</v>
      </c>
      <c r="H8" s="133">
        <f>IF(B$17=0,0,G8/B$17)</f>
        <v>0.13750000000000001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0.32653061224489793</v>
      </c>
      <c r="E9" s="63" t="s">
        <v>66</v>
      </c>
      <c r="F9" s="60" t="s">
        <v>22</v>
      </c>
      <c r="G9" s="47">
        <v>16</v>
      </c>
      <c r="H9" s="133">
        <f>IF(B$17=0,0,G9/B$17)</f>
        <v>0.1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6.1224489795918366E-2</v>
      </c>
      <c r="E10" s="63" t="s">
        <v>90</v>
      </c>
      <c r="F10" s="60" t="s">
        <v>45</v>
      </c>
      <c r="G10" s="47">
        <v>11</v>
      </c>
      <c r="H10" s="133">
        <f>IF(B$17=0,0,G10/B$17)</f>
        <v>6.8750000000000006E-2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-10.842857142857145</v>
      </c>
      <c r="P10" s="118">
        <v>14</v>
      </c>
      <c r="Q10" s="106">
        <v>-151.80000000000004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0.12244897959183673</v>
      </c>
      <c r="E11" s="63" t="s">
        <v>71</v>
      </c>
      <c r="F11" s="60" t="s">
        <v>26</v>
      </c>
      <c r="G11" s="47">
        <v>10</v>
      </c>
      <c r="H11" s="133">
        <f>IF(B$17=0,0,G11/B$17)</f>
        <v>6.25E-2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9.9647058823529395</v>
      </c>
      <c r="P11" s="119">
        <v>17</v>
      </c>
      <c r="Q11" s="107">
        <v>169.39999999999998</v>
      </c>
    </row>
    <row r="12" spans="1:17" x14ac:dyDescent="0.4">
      <c r="A12" s="57" t="s">
        <v>160</v>
      </c>
      <c r="B12" s="49">
        <v>2</v>
      </c>
      <c r="C12" s="42">
        <f>IF(B$2=0,0,B12/B$2)</f>
        <v>4.0816326530612242E-2</v>
      </c>
      <c r="E12" s="63" t="s">
        <v>72</v>
      </c>
      <c r="F12" s="60" t="s">
        <v>27</v>
      </c>
      <c r="G12" s="47">
        <v>10</v>
      </c>
      <c r="H12" s="133">
        <f>IF(B$17=0,0,G12/B$17)</f>
        <v>6.25E-2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5.3000000000000007</v>
      </c>
      <c r="P12" s="120">
        <v>18</v>
      </c>
      <c r="Q12" s="108">
        <v>95.4</v>
      </c>
    </row>
    <row r="13" spans="1:17" x14ac:dyDescent="0.4">
      <c r="A13" s="58" t="s">
        <v>122</v>
      </c>
      <c r="B13" s="50">
        <v>94</v>
      </c>
      <c r="C13" s="44">
        <f>IF(B$3=0,0,B13/B$3)</f>
        <v>0.21911421911421911</v>
      </c>
      <c r="E13" s="63" t="s">
        <v>84</v>
      </c>
      <c r="F13" s="60" t="s">
        <v>39</v>
      </c>
      <c r="G13" s="47">
        <v>8</v>
      </c>
      <c r="H13" s="133">
        <f>IF(B$17=0,0,G13/B$17)</f>
        <v>0.05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0.30769230769230771</v>
      </c>
      <c r="E14" s="63" t="s">
        <v>87</v>
      </c>
      <c r="F14" s="60" t="s">
        <v>42</v>
      </c>
      <c r="G14" s="47">
        <v>8</v>
      </c>
      <c r="H14" s="133">
        <f>IF(B$17=0,0,G14/B$17)</f>
        <v>0.05</v>
      </c>
      <c r="I14" s="94">
        <v>7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0.6063829787234043</v>
      </c>
      <c r="E15" s="63" t="s">
        <v>82</v>
      </c>
      <c r="F15" s="60" t="s">
        <v>37</v>
      </c>
      <c r="G15" s="47">
        <v>5</v>
      </c>
      <c r="H15" s="133">
        <f>IF(B$17=0,0,G15/B$17)</f>
        <v>3.125E-2</v>
      </c>
      <c r="I15" s="94">
        <v>6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57</v>
      </c>
      <c r="C16" s="37">
        <f>IF(B$14=0,0,B16/B$14)</f>
        <v>0.43181818181818182</v>
      </c>
      <c r="E16" s="63" t="s">
        <v>79</v>
      </c>
      <c r="F16" s="60" t="s">
        <v>34</v>
      </c>
      <c r="G16" s="47">
        <v>2</v>
      </c>
      <c r="H16" s="133">
        <f>IF(B$17=0,0,G16/B$17)</f>
        <v>1.2500000000000001E-2</v>
      </c>
      <c r="I16" s="94">
        <v>8</v>
      </c>
      <c r="K16" s="38">
        <v>14</v>
      </c>
      <c r="L16" s="99">
        <v>-12.3</v>
      </c>
      <c r="N16" s="115" t="s">
        <v>177</v>
      </c>
      <c r="O16" s="125">
        <f>IF(P16=0,0,Q16/P16)</f>
        <v>18.733333333333334</v>
      </c>
      <c r="P16" s="119">
        <v>6</v>
      </c>
      <c r="Q16" s="107">
        <v>112.4</v>
      </c>
    </row>
    <row r="17" spans="1:17" x14ac:dyDescent="0.4">
      <c r="A17" s="54" t="s">
        <v>10</v>
      </c>
      <c r="B17" s="46">
        <f>B19+B18</f>
        <v>160</v>
      </c>
      <c r="C17" s="37">
        <f>IF(B$3=0,0,B17/B$3)</f>
        <v>0.37296037296037299</v>
      </c>
      <c r="E17" s="63" t="s">
        <v>80</v>
      </c>
      <c r="F17" s="60" t="s">
        <v>35</v>
      </c>
      <c r="G17" s="47">
        <v>2</v>
      </c>
      <c r="H17" s="133">
        <f>IF(B$17=0,0,G17/B$17)</f>
        <v>1.2500000000000001E-2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69</v>
      </c>
      <c r="C18" s="39">
        <f>IF(B$17=0,0,B18/B$17)</f>
        <v>0.43125000000000002</v>
      </c>
      <c r="E18" s="63" t="s">
        <v>92</v>
      </c>
      <c r="F18" s="60" t="s">
        <v>47</v>
      </c>
      <c r="G18" s="47">
        <v>2</v>
      </c>
      <c r="H18" s="133">
        <f>IF(B$17=0,0,G18/B$17)</f>
        <v>1.2500000000000001E-2</v>
      </c>
      <c r="I18" s="94">
        <v>6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91</v>
      </c>
      <c r="C19" s="39">
        <f>IF(B$17=0,0,B19/B$17)</f>
        <v>0.56874999999999998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173</v>
      </c>
      <c r="O19" s="125">
        <f>IF(P19=0,0,Q19/P19)</f>
        <v>9.2399999999999984</v>
      </c>
      <c r="P19" s="119">
        <v>10</v>
      </c>
      <c r="Q19" s="107">
        <v>92.399999999999977</v>
      </c>
    </row>
    <row r="20" spans="1:17" x14ac:dyDescent="0.4">
      <c r="A20" s="55" t="s">
        <v>13</v>
      </c>
      <c r="B20" s="47">
        <v>56</v>
      </c>
      <c r="C20" s="39">
        <f>IF(B$3=0,0,B20/B$3)</f>
        <v>0.13053613053613053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-28.199999999999996</v>
      </c>
      <c r="N20" s="115" t="s">
        <v>171</v>
      </c>
      <c r="O20" s="125">
        <f>IF(P20=0,0,Q20/P20)</f>
        <v>1.0923076923076911</v>
      </c>
      <c r="P20" s="119">
        <v>13</v>
      </c>
      <c r="Q20" s="107">
        <v>14.199999999999983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-0.41379310344827624</v>
      </c>
      <c r="P21" s="119">
        <v>29</v>
      </c>
      <c r="Q21" s="107">
        <v>-12.000000000000011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  <c r="N22" s="115" t="s">
        <v>127</v>
      </c>
      <c r="O22" s="125">
        <f>IF(P22=0,0,Q22/P22)</f>
        <v>-19.622222222222224</v>
      </c>
      <c r="P22" s="119">
        <v>27</v>
      </c>
      <c r="Q22" s="107">
        <v>-529.80000000000007</v>
      </c>
    </row>
    <row r="23" spans="1:17" x14ac:dyDescent="0.4">
      <c r="A23" s="55" t="s">
        <v>5</v>
      </c>
      <c r="B23" s="51">
        <f>IF(B$17=0,0,C23/B$17)</f>
        <v>6588.75</v>
      </c>
      <c r="C23" s="41">
        <v>1054200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-9412.5</v>
      </c>
      <c r="C24" s="45">
        <v>-527100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2.331002331002331E-3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28B0D-0E97-462E-A859-BDFB9C712342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0.74489795918367352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-2694.4444444444443</v>
      </c>
      <c r="P2" s="118">
        <v>36</v>
      </c>
      <c r="Q2" s="102">
        <v>-97000</v>
      </c>
    </row>
    <row r="3" spans="1:17" x14ac:dyDescent="0.4">
      <c r="A3" s="55" t="s">
        <v>8</v>
      </c>
      <c r="B3" s="148">
        <v>319</v>
      </c>
      <c r="C3" s="149"/>
      <c r="E3" s="63" t="s">
        <v>73</v>
      </c>
      <c r="F3" s="60" t="s">
        <v>28</v>
      </c>
      <c r="G3" s="47">
        <v>51</v>
      </c>
      <c r="H3" s="133">
        <f>IF(B$17=0,0,G3/B$17)</f>
        <v>0.52040816326530615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1827.7777777777778</v>
      </c>
      <c r="P3" s="119">
        <v>36</v>
      </c>
      <c r="Q3" s="103">
        <v>65800</v>
      </c>
    </row>
    <row r="4" spans="1:17" x14ac:dyDescent="0.4">
      <c r="A4" s="55" t="s">
        <v>6</v>
      </c>
      <c r="B4" s="150">
        <v>-190.5</v>
      </c>
      <c r="C4" s="151"/>
      <c r="E4" s="63" t="s">
        <v>65</v>
      </c>
      <c r="F4" s="60" t="s">
        <v>21</v>
      </c>
      <c r="G4" s="47">
        <v>44</v>
      </c>
      <c r="H4" s="133">
        <f>IF(B$17=0,0,G4/B$17)</f>
        <v>0.44897959183673469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-888.23529411764707</v>
      </c>
      <c r="P4" s="119">
        <v>34</v>
      </c>
      <c r="Q4" s="103">
        <v>-30200</v>
      </c>
    </row>
    <row r="5" spans="1:17" x14ac:dyDescent="0.4">
      <c r="A5" s="55" t="s">
        <v>7</v>
      </c>
      <c r="B5" s="152">
        <f>IF(B$2=0,0,B$4/B$2)</f>
        <v>-5.291666666666667</v>
      </c>
      <c r="C5" s="153"/>
      <c r="E5" s="63" t="s">
        <v>69</v>
      </c>
      <c r="F5" s="60" t="s">
        <v>12</v>
      </c>
      <c r="G5" s="47">
        <v>38</v>
      </c>
      <c r="H5" s="133">
        <f>IF(B$17=0,0,G5/B$17)</f>
        <v>0.38775510204081631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-4443.75</v>
      </c>
      <c r="P5" s="119">
        <v>32</v>
      </c>
      <c r="Q5" s="103">
        <v>-142200</v>
      </c>
    </row>
    <row r="6" spans="1:17" x14ac:dyDescent="0.4">
      <c r="A6" s="55" t="s">
        <v>1</v>
      </c>
      <c r="B6" s="142">
        <f>IF(B$2=0,0,(B$7*1+B$8*2+B$9*3)/B$2)</f>
        <v>2.0555555555555554</v>
      </c>
      <c r="C6" s="143"/>
      <c r="E6" s="63" t="s">
        <v>181</v>
      </c>
      <c r="F6" s="60" t="s">
        <v>182</v>
      </c>
      <c r="G6" s="47">
        <v>34</v>
      </c>
      <c r="H6" s="133">
        <f>IF(B$17=0,0,G6/B$17)</f>
        <v>0.34693877551020408</v>
      </c>
      <c r="I6" s="94">
        <v>9</v>
      </c>
      <c r="K6" s="38">
        <v>4</v>
      </c>
      <c r="L6" s="99">
        <v>-150.6</v>
      </c>
      <c r="N6" s="115" t="s">
        <v>136</v>
      </c>
      <c r="O6" s="122">
        <f t="shared" si="0"/>
        <v>782.75862068965512</v>
      </c>
      <c r="P6" s="119">
        <v>29</v>
      </c>
      <c r="Q6" s="103">
        <v>22700</v>
      </c>
    </row>
    <row r="7" spans="1:17" x14ac:dyDescent="0.4">
      <c r="A7" s="55" t="s">
        <v>2</v>
      </c>
      <c r="B7" s="47">
        <v>10</v>
      </c>
      <c r="C7" s="39">
        <f>IF(B$2=0,0,B7/B$2)</f>
        <v>0.27777777777777779</v>
      </c>
      <c r="E7" s="63" t="s">
        <v>68</v>
      </c>
      <c r="F7" s="60" t="s">
        <v>24</v>
      </c>
      <c r="G7" s="47">
        <v>26</v>
      </c>
      <c r="H7" s="133">
        <f>IF(B$17=0,0,G7/B$17)</f>
        <v>0.26530612244897961</v>
      </c>
      <c r="I7" s="94">
        <v>8</v>
      </c>
      <c r="K7" s="38">
        <v>5</v>
      </c>
      <c r="L7" s="99">
        <v>-184.89999999999998</v>
      </c>
      <c r="N7" s="116" t="s">
        <v>137</v>
      </c>
      <c r="O7" s="123">
        <f t="shared" si="0"/>
        <v>1085.7142857142858</v>
      </c>
      <c r="P7" s="120">
        <v>28</v>
      </c>
      <c r="Q7" s="104">
        <v>30400</v>
      </c>
    </row>
    <row r="8" spans="1:17" x14ac:dyDescent="0.4">
      <c r="A8" s="55" t="s">
        <v>3</v>
      </c>
      <c r="B8" s="47">
        <v>14</v>
      </c>
      <c r="C8" s="39">
        <f>IF(B$2=0,0,B8/B$2)</f>
        <v>0.3888888888888889</v>
      </c>
      <c r="E8" s="63" t="s">
        <v>71</v>
      </c>
      <c r="F8" s="60" t="s">
        <v>26</v>
      </c>
      <c r="G8" s="47">
        <v>12</v>
      </c>
      <c r="H8" s="133">
        <f>IF(B$17=0,0,G8/B$17)</f>
        <v>0.12244897959183673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</v>
      </c>
      <c r="H9" s="133">
        <f>IF(B$17=0,0,G9/B$17)</f>
        <v>0.12244897959183673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0.1111111111111111</v>
      </c>
      <c r="E10" s="63" t="s">
        <v>70</v>
      </c>
      <c r="F10" s="60" t="s">
        <v>25</v>
      </c>
      <c r="G10" s="47">
        <v>10</v>
      </c>
      <c r="H10" s="133">
        <f>IF(B$17=0,0,G10/B$17)</f>
        <v>0.10204081632653061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-2.9000000000000004</v>
      </c>
      <c r="P10" s="118">
        <v>9</v>
      </c>
      <c r="Q10" s="106">
        <v>-26.1</v>
      </c>
    </row>
    <row r="11" spans="1:17" x14ac:dyDescent="0.4">
      <c r="A11" s="56" t="s">
        <v>140</v>
      </c>
      <c r="B11" s="48">
        <v>2</v>
      </c>
      <c r="C11" s="40">
        <f>IF(B$2=0,0,B11/B$2)</f>
        <v>5.5555555555555552E-2</v>
      </c>
      <c r="E11" s="63" t="s">
        <v>66</v>
      </c>
      <c r="F11" s="60" t="s">
        <v>22</v>
      </c>
      <c r="G11" s="47">
        <v>7</v>
      </c>
      <c r="H11" s="133">
        <f>IF(B$17=0,0,G11/B$17)</f>
        <v>7.1428571428571425E-2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2.7777777777777776E-2</v>
      </c>
      <c r="E12" s="63" t="s">
        <v>72</v>
      </c>
      <c r="F12" s="60" t="s">
        <v>27</v>
      </c>
      <c r="G12" s="47">
        <v>6</v>
      </c>
      <c r="H12" s="133">
        <f>IF(B$17=0,0,G12/B$17)</f>
        <v>6.1224489795918366E-2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74</v>
      </c>
      <c r="C13" s="44">
        <f>IF(B$3=0,0,B13/B$3)</f>
        <v>0.23197492163009403</v>
      </c>
      <c r="E13" s="63" t="s">
        <v>87</v>
      </c>
      <c r="F13" s="60" t="s">
        <v>42</v>
      </c>
      <c r="G13" s="47">
        <v>4</v>
      </c>
      <c r="H13" s="133">
        <f>IF(B$17=0,0,G13/B$17)</f>
        <v>4.0816326530612242E-2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0.25391849529780564</v>
      </c>
      <c r="E14" s="63" t="s">
        <v>74</v>
      </c>
      <c r="F14" s="60" t="s">
        <v>29</v>
      </c>
      <c r="G14" s="47">
        <v>2</v>
      </c>
      <c r="H14" s="133">
        <f>IF(B$17=0,0,G14/B$17)</f>
        <v>2.0408163265306121E-2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45</v>
      </c>
      <c r="C15" s="37">
        <f>IF(B$13=0,0,B15/B$13)</f>
        <v>0.60810810810810811</v>
      </c>
      <c r="E15" s="63" t="s">
        <v>79</v>
      </c>
      <c r="F15" s="60" t="s">
        <v>34</v>
      </c>
      <c r="G15" s="47">
        <v>2</v>
      </c>
      <c r="H15" s="133">
        <f>IF(B$17=0,0,G15/B$17)</f>
        <v>2.0408163265306121E-2</v>
      </c>
      <c r="I15" s="94">
        <v>3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2.0408163265306121E-2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98</v>
      </c>
      <c r="C17" s="37">
        <f>IF(B$3=0,0,B17/B$3)</f>
        <v>0.30721003134796238</v>
      </c>
      <c r="E17" s="63" t="s">
        <v>84</v>
      </c>
      <c r="F17" s="60" t="s">
        <v>39</v>
      </c>
      <c r="G17" s="47">
        <v>2</v>
      </c>
      <c r="H17" s="133">
        <f>IF(B$17=0,0,G17/B$17)</f>
        <v>2.0408163265306121E-2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51</v>
      </c>
      <c r="C18" s="39">
        <f>IF(B$17=0,0,B18/B$17)</f>
        <v>0.52040816326530615</v>
      </c>
      <c r="E18" s="63" t="s">
        <v>92</v>
      </c>
      <c r="F18" s="60" t="s">
        <v>47</v>
      </c>
      <c r="G18" s="47">
        <v>1</v>
      </c>
      <c r="H18" s="133">
        <f>IF(B$17=0,0,G18/B$17)</f>
        <v>1.020408163265306E-2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-13.349999999999998</v>
      </c>
      <c r="P18" s="119">
        <v>14</v>
      </c>
      <c r="Q18" s="107">
        <v>-186.89999999999998</v>
      </c>
    </row>
    <row r="19" spans="1:17" x14ac:dyDescent="0.4">
      <c r="A19" s="55" t="s">
        <v>11</v>
      </c>
      <c r="B19" s="47">
        <v>47</v>
      </c>
      <c r="C19" s="39">
        <f>IF(B$17=0,0,B19/B$17)</f>
        <v>0.47959183673469385</v>
      </c>
      <c r="E19" s="63" t="s">
        <v>180</v>
      </c>
      <c r="F19" s="60" t="s">
        <v>183</v>
      </c>
      <c r="G19" s="47">
        <v>1</v>
      </c>
      <c r="H19" s="133">
        <f>IF(B$17=0,0,G19/B$17)</f>
        <v>1.020408163265306E-2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59</v>
      </c>
      <c r="C20" s="39">
        <f>IF(B$3=0,0,B20/B$3)</f>
        <v>0.18495297805642633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-23.644444444444439</v>
      </c>
      <c r="P20" s="119">
        <v>18</v>
      </c>
      <c r="Q20" s="107">
        <v>-425.59999999999991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6919.3877551020405</v>
      </c>
      <c r="C23" s="41">
        <v>678100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-7866.1016949152545</v>
      </c>
      <c r="C24" s="45">
        <v>-464100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3.134796238244514E-3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9F8C-BDDC-473E-BCC6-33F9979DF04D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29</v>
      </c>
      <c r="H2" s="132">
        <f>IF(B$17=0,0,G2/B$17)</f>
        <v>0.55769230769230771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-2770.8333333333335</v>
      </c>
      <c r="P2" s="118">
        <v>24</v>
      </c>
      <c r="Q2" s="102">
        <v>-66500</v>
      </c>
    </row>
    <row r="3" spans="1:17" x14ac:dyDescent="0.4">
      <c r="A3" s="55" t="s">
        <v>8</v>
      </c>
      <c r="B3" s="148">
        <v>198</v>
      </c>
      <c r="C3" s="149"/>
      <c r="E3" s="63" t="s">
        <v>73</v>
      </c>
      <c r="F3" s="60" t="s">
        <v>28</v>
      </c>
      <c r="G3" s="47">
        <v>29</v>
      </c>
      <c r="H3" s="133">
        <f>IF(B$17=0,0,G3/B$17)</f>
        <v>0.55769230769230771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-1282.608695652174</v>
      </c>
      <c r="P3" s="119">
        <v>23</v>
      </c>
      <c r="Q3" s="103">
        <v>-29500</v>
      </c>
    </row>
    <row r="4" spans="1:17" x14ac:dyDescent="0.4">
      <c r="A4" s="55" t="s">
        <v>6</v>
      </c>
      <c r="B4" s="150">
        <v>-204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0.5</v>
      </c>
      <c r="I4" s="94">
        <v>7</v>
      </c>
      <c r="K4" s="38">
        <v>2</v>
      </c>
      <c r="L4" s="99">
        <v>30</v>
      </c>
      <c r="N4" s="115" t="s">
        <v>134</v>
      </c>
      <c r="O4" s="122">
        <f t="shared" si="0"/>
        <v>-1042.8571428571429</v>
      </c>
      <c r="P4" s="119">
        <v>21</v>
      </c>
      <c r="Q4" s="103">
        <v>-21900</v>
      </c>
    </row>
    <row r="5" spans="1:17" x14ac:dyDescent="0.4">
      <c r="A5" s="55" t="s">
        <v>7</v>
      </c>
      <c r="B5" s="152">
        <f>IF(B$2=0,0,B$4/B$2)</f>
        <v>-8.5</v>
      </c>
      <c r="C5" s="153"/>
      <c r="E5" s="63" t="s">
        <v>181</v>
      </c>
      <c r="F5" s="60" t="s">
        <v>182</v>
      </c>
      <c r="G5" s="47">
        <v>18</v>
      </c>
      <c r="H5" s="133">
        <f>IF(B$17=0,0,G5/B$17)</f>
        <v>0.34615384615384615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-404.76190476190476</v>
      </c>
      <c r="P5" s="119">
        <v>21</v>
      </c>
      <c r="Q5" s="103">
        <v>-8500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68</v>
      </c>
      <c r="F6" s="60" t="s">
        <v>24</v>
      </c>
      <c r="G6" s="47">
        <v>13</v>
      </c>
      <c r="H6" s="133">
        <f>IF(B$17=0,0,G6/B$17)</f>
        <v>0.25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-1100</v>
      </c>
      <c r="P6" s="119">
        <v>20</v>
      </c>
      <c r="Q6" s="103">
        <v>-22000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11</v>
      </c>
      <c r="H7" s="133">
        <f>IF(B$17=0,0,G7/B$17)</f>
        <v>0.21153846153846154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976.47058823529414</v>
      </c>
      <c r="P7" s="120">
        <v>17</v>
      </c>
      <c r="Q7" s="104">
        <v>16600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70</v>
      </c>
      <c r="F8" s="60" t="s">
        <v>25</v>
      </c>
      <c r="G8" s="47">
        <v>8</v>
      </c>
      <c r="H8" s="133">
        <f>IF(B$17=0,0,G8/B$17)</f>
        <v>0.15384615384615385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6</v>
      </c>
      <c r="H9" s="133">
        <f>IF(B$17=0,0,G9/B$17)</f>
        <v>0.11538461538461539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0.20833333333333334</v>
      </c>
      <c r="E10" s="63" t="s">
        <v>66</v>
      </c>
      <c r="F10" s="60" t="s">
        <v>22</v>
      </c>
      <c r="G10" s="47">
        <v>4</v>
      </c>
      <c r="H10" s="133">
        <f>IF(B$17=0,0,G10/B$17)</f>
        <v>7.6923076923076927E-2</v>
      </c>
      <c r="I10" s="94">
        <v>7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5.7692307692307696E-2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8.3333333333333329E-2</v>
      </c>
      <c r="E12" s="63" t="s">
        <v>92</v>
      </c>
      <c r="F12" s="60" t="s">
        <v>47</v>
      </c>
      <c r="G12" s="47">
        <v>3</v>
      </c>
      <c r="H12" s="133">
        <f>IF(B$17=0,0,G12/B$17)</f>
        <v>5.7692307692307696E-2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40</v>
      </c>
      <c r="C13" s="44">
        <f>IF(B$3=0,0,B13/B$3)</f>
        <v>0.20202020202020202</v>
      </c>
      <c r="E13" s="63" t="s">
        <v>71</v>
      </c>
      <c r="F13" s="60" t="s">
        <v>26</v>
      </c>
      <c r="G13" s="47">
        <v>2</v>
      </c>
      <c r="H13" s="133">
        <f>IF(B$17=0,0,G13/B$17)</f>
        <v>3.8461538461538464E-2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0.22727272727272727</v>
      </c>
      <c r="E14" s="63" t="s">
        <v>72</v>
      </c>
      <c r="F14" s="60" t="s">
        <v>27</v>
      </c>
      <c r="G14" s="47">
        <v>2</v>
      </c>
      <c r="H14" s="133">
        <f>IF(B$17=0,0,G14/B$17)</f>
        <v>3.8461538461538464E-2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>IF(B$17=0,0,G15/B$17)</f>
        <v>3.8461538461538464E-2</v>
      </c>
      <c r="I15" s="94">
        <v>3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18</v>
      </c>
      <c r="C16" s="37">
        <f>IF(B$14=0,0,B16/B$14)</f>
        <v>0.4</v>
      </c>
      <c r="E16" s="63" t="s">
        <v>75</v>
      </c>
      <c r="F16" s="60" t="s">
        <v>30</v>
      </c>
      <c r="G16" s="47">
        <v>1</v>
      </c>
      <c r="H16" s="133">
        <f>IF(B$17=0,0,G16/B$17)</f>
        <v>1.9230769230769232E-2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0.26262626262626265</v>
      </c>
      <c r="E17" s="63" t="s">
        <v>76</v>
      </c>
      <c r="F17" s="60" t="s">
        <v>31</v>
      </c>
      <c r="G17" s="47">
        <v>1</v>
      </c>
      <c r="H17" s="133">
        <f>IF(B$17=0,0,G17/B$17)</f>
        <v>1.9230769230769232E-2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20</v>
      </c>
      <c r="C18" s="39">
        <f>IF(B$17=0,0,B18/B$17)</f>
        <v>0.38461538461538464</v>
      </c>
      <c r="E18" s="63" t="s">
        <v>79</v>
      </c>
      <c r="F18" s="60" t="s">
        <v>34</v>
      </c>
      <c r="G18" s="47">
        <v>1</v>
      </c>
      <c r="H18" s="133">
        <f>IF(B$17=0,0,G18/B$17)</f>
        <v>1.9230769230769232E-2</v>
      </c>
      <c r="I18" s="94">
        <v>4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32</v>
      </c>
      <c r="C19" s="39">
        <f>IF(B$17=0,0,B19/B$17)</f>
        <v>0.61538461538461542</v>
      </c>
      <c r="E19" s="63" t="s">
        <v>86</v>
      </c>
      <c r="F19" s="60" t="s">
        <v>41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-2.4333333333333322</v>
      </c>
      <c r="P19" s="119">
        <v>18</v>
      </c>
      <c r="Q19" s="107">
        <v>-43.799999999999983</v>
      </c>
    </row>
    <row r="20" spans="1:17" x14ac:dyDescent="0.4">
      <c r="A20" s="55" t="s">
        <v>13</v>
      </c>
      <c r="B20" s="47">
        <v>37</v>
      </c>
      <c r="C20" s="39">
        <f>IF(B$3=0,0,B20/B$3)</f>
        <v>0.18686868686868688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-41.150000000000006</v>
      </c>
      <c r="P21" s="119">
        <v>10</v>
      </c>
      <c r="Q21" s="107">
        <v>-411.50000000000006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7163.4615384615381</v>
      </c>
      <c r="C23" s="41">
        <v>372500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-7291.8918918918916</v>
      </c>
      <c r="C24" s="45">
        <v>-269800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1</v>
      </c>
      <c r="C27" s="42">
        <f>IF(B$3=0,0,B27/B$3)</f>
        <v>5.0505050505050509E-3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EEDDD-6179-49ED-B097-F23816F3F236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9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6869-D991-44E2-8865-641A7207D55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6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11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2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6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10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C16B-5540-416A-BB78-F23598355DB2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10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1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3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008CC-9BF4-44DF-9998-668EB4A92D2D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D9D9A-4DDD-461B-9D7E-A4E7AE5D3820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8A671-26A3-445F-85D2-F9E986EF013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25F3-55C7-4697-8D30-B9AE0CBEF41C}">
  <sheetPr codeName="Sheet2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60DF-6B64-41FE-96DC-D7A56B035E2C}">
  <sheetPr codeName="Sheet18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D30A-CE7D-4C49-AA0B-8011EDE4DD7A}">
  <sheetPr codeName="Sheet16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B531-E55E-4841-9E4E-4CD7BEA9F16F}">
  <sheetPr codeName="Sheet14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1F2A5-56C6-4153-B694-4251456C1D25}">
  <sheetPr codeName="Sheet12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5049-4FB1-4EE9-96BE-D1C72EE30713}">
  <sheetPr codeName="Sheet10"/>
  <dimension ref="A1:Q1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D48F7-EB76-4947-859D-79256C438166}">
  <sheetPr codeName="Sheet8"/>
  <dimension ref="A1:Q9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AFC41-FE19-448E-A8A3-22078C764B40}">
  <sheetPr codeName="Sheet6"/>
  <dimension ref="A1:Q1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2019-05-14T14:45:48Z</dcterms:modified>
</cp:coreProperties>
</file>