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43044CA-AEC9-4E28-B11B-D3239339ADE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09" r:id="rId6"/>
    <sheet name="だいち" sheetId="4911" r:id="rId7"/>
    <sheet name="りくと" sheetId="4913" r:id="rId8"/>
    <sheet name="ただ" sheetId="4915" r:id="rId9"/>
    <sheet name="れんたろう" sheetId="4917" r:id="rId10"/>
    <sheet name="たかの" sheetId="4919" r:id="rId11"/>
    <sheet name="ぱぱ" sheetId="4921" r:id="rId12"/>
    <sheet name="まっつん" sheetId="4923" r:id="rId13"/>
    <sheet name="あさひ" sheetId="4925" r:id="rId14"/>
    <sheet name="いっしー" sheetId="4927" r:id="rId15"/>
    <sheet name="ほたに" sheetId="4929" r:id="rId16"/>
    <sheet name="ほたに2" sheetId="4930" state="hidden" r:id="rId17"/>
    <sheet name="いっしー2" sheetId="4928" state="hidden" r:id="rId18"/>
    <sheet name="あさひ2" sheetId="4926" state="hidden" r:id="rId19"/>
    <sheet name="まっつん2" sheetId="4924" state="hidden" r:id="rId20"/>
    <sheet name="ぱぱ2" sheetId="4922" state="hidden" r:id="rId21"/>
    <sheet name="たかの2" sheetId="4920" state="hidden" r:id="rId22"/>
    <sheet name="れんたろう2" sheetId="4918" state="hidden" r:id="rId23"/>
    <sheet name="ただ2" sheetId="4916" state="hidden" r:id="rId24"/>
    <sheet name="りくと2" sheetId="4914" state="hidden" r:id="rId25"/>
    <sheet name="だいち2" sheetId="4912" state="hidden" r:id="rId26"/>
    <sheet name="全体2" sheetId="491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29" l="1"/>
  <c r="O16" i="4929"/>
  <c r="C27" i="4929"/>
  <c r="B24" i="4929"/>
  <c r="C20" i="4929"/>
  <c r="B17" i="4929"/>
  <c r="H50" i="4929" s="1"/>
  <c r="C16" i="4929"/>
  <c r="C15" i="4929"/>
  <c r="C14" i="4929"/>
  <c r="C13" i="4929"/>
  <c r="O12" i="4929"/>
  <c r="C12" i="4929"/>
  <c r="O11" i="4929"/>
  <c r="C11" i="4929"/>
  <c r="O10" i="4929"/>
  <c r="C10" i="4929"/>
  <c r="C9" i="4929"/>
  <c r="C8" i="4929"/>
  <c r="O7" i="4929"/>
  <c r="C7" i="4929"/>
  <c r="O6" i="4929"/>
  <c r="B6" i="4929"/>
  <c r="O5" i="4929"/>
  <c r="B5" i="4929"/>
  <c r="O4" i="4929"/>
  <c r="O3" i="4929"/>
  <c r="O2" i="4929"/>
  <c r="O21" i="4917"/>
  <c r="O16" i="4919"/>
  <c r="O17" i="4909"/>
  <c r="H21" i="4929" l="1"/>
  <c r="H29" i="4929"/>
  <c r="H37" i="4929"/>
  <c r="H44" i="4929"/>
  <c r="H2" i="4929"/>
  <c r="H11" i="4929"/>
  <c r="H7" i="4929"/>
  <c r="H15" i="4929"/>
  <c r="H26" i="4929"/>
  <c r="H45" i="4929"/>
  <c r="C17" i="4929"/>
  <c r="H32" i="4929"/>
  <c r="H14" i="4929"/>
  <c r="H23" i="4929"/>
  <c r="H40" i="4929"/>
  <c r="H48" i="4929"/>
  <c r="H4" i="4929"/>
  <c r="H8" i="4929"/>
  <c r="H17" i="4929"/>
  <c r="H39" i="4929"/>
  <c r="H5" i="4929"/>
  <c r="H6" i="4929"/>
  <c r="H12" i="4929"/>
  <c r="H19" i="4929"/>
  <c r="H33" i="4929"/>
  <c r="H3" i="4929"/>
  <c r="H13" i="4929"/>
  <c r="H16" i="4929"/>
  <c r="H18" i="4929"/>
  <c r="C18" i="4929"/>
  <c r="B23" i="4929"/>
  <c r="H9" i="4929"/>
  <c r="H35" i="4929"/>
  <c r="H43" i="4929"/>
  <c r="H49" i="4929"/>
  <c r="H51" i="4929"/>
  <c r="C19" i="4929"/>
  <c r="H24" i="4929"/>
  <c r="H27" i="4929"/>
  <c r="H31" i="4929"/>
  <c r="H36" i="4929"/>
  <c r="H41" i="4929"/>
  <c r="H47" i="4929"/>
  <c r="H10" i="4929"/>
  <c r="H20" i="4929"/>
  <c r="H22" i="4929"/>
  <c r="H25" i="4929"/>
  <c r="H28" i="4929"/>
  <c r="H30" i="4929"/>
  <c r="H34" i="4929"/>
  <c r="H38" i="4929"/>
  <c r="H42" i="4929"/>
  <c r="H46" i="4929"/>
  <c r="O17" i="4919" l="1"/>
  <c r="O15" i="4915"/>
  <c r="O20" i="4923"/>
  <c r="O19" i="4923"/>
  <c r="O17" i="4911" l="1"/>
  <c r="O17" i="4927"/>
  <c r="O16" i="4927" l="1"/>
  <c r="O15" i="4927"/>
  <c r="O16" i="4917"/>
  <c r="O20" i="4915"/>
  <c r="O17" i="4925" l="1"/>
  <c r="O20" i="4921"/>
  <c r="O15" i="4925"/>
  <c r="O20" i="4927"/>
  <c r="O15" i="4913"/>
  <c r="O15" i="4923"/>
  <c r="O16" i="4909"/>
  <c r="O19" i="4927"/>
  <c r="O18" i="4927"/>
  <c r="C27" i="4927"/>
  <c r="B24" i="4927"/>
  <c r="C20" i="4927"/>
  <c r="B17" i="4927"/>
  <c r="H51" i="4927" s="1"/>
  <c r="C16" i="4927"/>
  <c r="C15" i="4927"/>
  <c r="C14" i="4927"/>
  <c r="C13" i="4927"/>
  <c r="O12" i="4927"/>
  <c r="C12" i="4927"/>
  <c r="O11" i="4927"/>
  <c r="C11" i="4927"/>
  <c r="O10" i="4927"/>
  <c r="C10" i="4927"/>
  <c r="C9" i="4927"/>
  <c r="C8" i="4927"/>
  <c r="O7" i="4927"/>
  <c r="C7" i="4927"/>
  <c r="O6" i="4927"/>
  <c r="B6" i="4927"/>
  <c r="O5" i="4927"/>
  <c r="B5" i="4927"/>
  <c r="O4" i="4927"/>
  <c r="O3" i="4927"/>
  <c r="O2" i="4927"/>
  <c r="O16" i="4925"/>
  <c r="O18" i="4925"/>
  <c r="C27" i="4925"/>
  <c r="B24" i="4925"/>
  <c r="C20" i="4925"/>
  <c r="B17" i="4925"/>
  <c r="H51" i="4925" s="1"/>
  <c r="C16" i="4925"/>
  <c r="C15" i="4925"/>
  <c r="C14" i="4925"/>
  <c r="C13" i="4925"/>
  <c r="O12" i="4925"/>
  <c r="C12" i="4925"/>
  <c r="O11" i="4925"/>
  <c r="C11" i="4925"/>
  <c r="O10" i="4925"/>
  <c r="C10" i="4925"/>
  <c r="C9" i="4925"/>
  <c r="C8" i="4925"/>
  <c r="O7" i="4925"/>
  <c r="C7" i="4925"/>
  <c r="O6" i="4925"/>
  <c r="B6" i="4925"/>
  <c r="O5" i="4925"/>
  <c r="B5" i="4925"/>
  <c r="O4" i="4925"/>
  <c r="O3" i="4925"/>
  <c r="O2" i="4925"/>
  <c r="O22" i="4923"/>
  <c r="O21" i="4923"/>
  <c r="O15" i="4911"/>
  <c r="O18" i="4911"/>
  <c r="O23" i="4909"/>
  <c r="H2" i="4925" l="1"/>
  <c r="H13" i="4925"/>
  <c r="H3" i="4925"/>
  <c r="H4" i="4925"/>
  <c r="C17" i="4925"/>
  <c r="H2" i="4927"/>
  <c r="H4" i="4927"/>
  <c r="H13" i="4927"/>
  <c r="H15" i="4927"/>
  <c r="H18" i="4927"/>
  <c r="H20" i="4927"/>
  <c r="C18" i="4927"/>
  <c r="H11" i="4927"/>
  <c r="H40" i="4927"/>
  <c r="H24" i="4927"/>
  <c r="H44" i="4927"/>
  <c r="H8" i="4927"/>
  <c r="H17" i="4927"/>
  <c r="H19" i="4927"/>
  <c r="H10" i="4927"/>
  <c r="H32" i="4927"/>
  <c r="H48" i="4927"/>
  <c r="H9" i="4927"/>
  <c r="H3" i="4927"/>
  <c r="C19" i="4927"/>
  <c r="H6" i="4927"/>
  <c r="C17" i="4927"/>
  <c r="H12" i="4927"/>
  <c r="H7" i="4927"/>
  <c r="H14" i="4927"/>
  <c r="H16" i="4927"/>
  <c r="H21" i="4927"/>
  <c r="H26" i="4927"/>
  <c r="H36" i="4927"/>
  <c r="H5" i="4927"/>
  <c r="B23" i="4927"/>
  <c r="H27" i="4927"/>
  <c r="H29" i="4927"/>
  <c r="H33" i="4927"/>
  <c r="H37" i="4927"/>
  <c r="H41" i="4927"/>
  <c r="H45" i="4927"/>
  <c r="H49" i="4927"/>
  <c r="H22" i="4927"/>
  <c r="H23" i="4927"/>
  <c r="H25" i="4927"/>
  <c r="H28" i="4927"/>
  <c r="H30" i="4927"/>
  <c r="H34" i="4927"/>
  <c r="H38" i="4927"/>
  <c r="H42" i="4927"/>
  <c r="H46" i="4927"/>
  <c r="H50" i="4927"/>
  <c r="H31" i="4927"/>
  <c r="H35" i="4927"/>
  <c r="H39" i="4927"/>
  <c r="H43" i="4927"/>
  <c r="H47" i="4927"/>
  <c r="H23" i="4925"/>
  <c r="H12" i="4925"/>
  <c r="H8" i="4925"/>
  <c r="H10" i="4925"/>
  <c r="H15" i="4925"/>
  <c r="H20" i="4925"/>
  <c r="H22" i="4925"/>
  <c r="H25" i="4925"/>
  <c r="H11" i="4925"/>
  <c r="H6" i="4925"/>
  <c r="H32" i="4925"/>
  <c r="H36" i="4925"/>
  <c r="H40" i="4925"/>
  <c r="H44" i="4925"/>
  <c r="H48" i="4925"/>
  <c r="H7" i="4925"/>
  <c r="H5" i="4925"/>
  <c r="H14" i="4925"/>
  <c r="H17" i="4925"/>
  <c r="H19" i="4925"/>
  <c r="C18" i="4925"/>
  <c r="B23" i="4925"/>
  <c r="H27" i="4925"/>
  <c r="H29" i="4925"/>
  <c r="H33" i="4925"/>
  <c r="H37" i="4925"/>
  <c r="H41" i="4925"/>
  <c r="H45" i="4925"/>
  <c r="H49" i="4925"/>
  <c r="H21" i="4925"/>
  <c r="H26" i="4925"/>
  <c r="H28" i="4925"/>
  <c r="H30" i="4925"/>
  <c r="H34" i="4925"/>
  <c r="H38" i="4925"/>
  <c r="H42" i="4925"/>
  <c r="H46" i="4925"/>
  <c r="H50" i="4925"/>
  <c r="H9" i="4925"/>
  <c r="H16" i="4925"/>
  <c r="H18" i="4925"/>
  <c r="C19" i="4925"/>
  <c r="H24" i="4925"/>
  <c r="H31" i="4925"/>
  <c r="H35" i="4925"/>
  <c r="H39" i="4925"/>
  <c r="H43" i="4925"/>
  <c r="H47" i="4925"/>
  <c r="O16" i="4923" l="1"/>
  <c r="O19" i="4921"/>
  <c r="O17" i="4921"/>
  <c r="O18" i="4913"/>
  <c r="O18" i="4919" l="1"/>
  <c r="O17" i="4917"/>
  <c r="O16" i="4921"/>
  <c r="O18" i="4921"/>
  <c r="O15" i="4919" l="1"/>
  <c r="O15" i="4917"/>
  <c r="O19" i="4915"/>
  <c r="O21" i="4915"/>
  <c r="O17" i="4923"/>
  <c r="O18" i="4923"/>
  <c r="C27" i="4923"/>
  <c r="B24" i="4923"/>
  <c r="C20" i="4923"/>
  <c r="B17" i="4923"/>
  <c r="H5" i="4923" s="1"/>
  <c r="C16" i="4923"/>
  <c r="C15" i="4923"/>
  <c r="C14" i="4923"/>
  <c r="C13" i="4923"/>
  <c r="O12" i="4923"/>
  <c r="C12" i="4923"/>
  <c r="O11" i="4923"/>
  <c r="C11" i="4923"/>
  <c r="O10" i="4923"/>
  <c r="C10" i="4923"/>
  <c r="C9" i="4923"/>
  <c r="C8" i="4923"/>
  <c r="O7" i="4923"/>
  <c r="C7" i="4923"/>
  <c r="O6" i="4923"/>
  <c r="B6" i="4923"/>
  <c r="O5" i="4923"/>
  <c r="B5" i="4923"/>
  <c r="O4" i="4923"/>
  <c r="O3" i="4923"/>
  <c r="O2" i="4923"/>
  <c r="O19" i="4917"/>
  <c r="O20" i="4913"/>
  <c r="O18" i="4909"/>
  <c r="H37" i="4923" l="1"/>
  <c r="H4" i="4923"/>
  <c r="H18" i="4923"/>
  <c r="B23" i="4923"/>
  <c r="H17" i="4923"/>
  <c r="H39" i="4923"/>
  <c r="H3" i="4923"/>
  <c r="H19" i="4923"/>
  <c r="H31" i="4923"/>
  <c r="H12" i="4923"/>
  <c r="C18" i="4923"/>
  <c r="H8" i="4923"/>
  <c r="H6" i="4923"/>
  <c r="C19" i="4923"/>
  <c r="H9" i="4923"/>
  <c r="H16" i="4923"/>
  <c r="H21" i="4923"/>
  <c r="H30" i="4923"/>
  <c r="H45" i="4923"/>
  <c r="H47" i="4923"/>
  <c r="H2" i="4923"/>
  <c r="H33" i="4923"/>
  <c r="H41" i="4923"/>
  <c r="H49" i="4923"/>
  <c r="H28" i="4923"/>
  <c r="H7" i="4923"/>
  <c r="H13" i="4923"/>
  <c r="H20" i="4923"/>
  <c r="C17" i="4923"/>
  <c r="H14" i="4923"/>
  <c r="H35" i="4923"/>
  <c r="H43" i="4923"/>
  <c r="H51" i="4923"/>
  <c r="H23" i="4923"/>
  <c r="H25" i="4923"/>
  <c r="H15" i="4923"/>
  <c r="H29" i="4923"/>
  <c r="H11" i="4923"/>
  <c r="H34" i="4923"/>
  <c r="H38" i="4923"/>
  <c r="H42" i="4923"/>
  <c r="H46" i="4923"/>
  <c r="H50" i="4923"/>
  <c r="H22" i="4923"/>
  <c r="H24" i="4923"/>
  <c r="H26" i="4923"/>
  <c r="H27" i="4923"/>
  <c r="H10" i="4923"/>
  <c r="H32" i="4923"/>
  <c r="H36" i="4923"/>
  <c r="H40" i="4923"/>
  <c r="H44" i="4923"/>
  <c r="H48" i="4923"/>
  <c r="O16" i="4915" l="1"/>
  <c r="O21" i="4921"/>
  <c r="O15" i="4921"/>
  <c r="C27" i="4921"/>
  <c r="B24" i="4921"/>
  <c r="C20" i="4921"/>
  <c r="B17" i="4921"/>
  <c r="H50" i="4921" s="1"/>
  <c r="C16" i="4921"/>
  <c r="C15" i="4921"/>
  <c r="C14" i="4921"/>
  <c r="C13" i="4921"/>
  <c r="O12" i="4921"/>
  <c r="C12" i="4921"/>
  <c r="O11" i="4921"/>
  <c r="C11" i="4921"/>
  <c r="O10" i="4921"/>
  <c r="C10" i="4921"/>
  <c r="C9" i="4921"/>
  <c r="C8" i="4921"/>
  <c r="O7" i="4921"/>
  <c r="C7" i="4921"/>
  <c r="O6" i="4921"/>
  <c r="B6" i="4921"/>
  <c r="O5" i="4921"/>
  <c r="B5" i="4921"/>
  <c r="O4" i="4921"/>
  <c r="O3" i="4921"/>
  <c r="O2" i="4921"/>
  <c r="O19" i="4911"/>
  <c r="O19" i="4909"/>
  <c r="O19" i="4919"/>
  <c r="O17" i="4913"/>
  <c r="O19" i="4913"/>
  <c r="O20" i="4917"/>
  <c r="O20" i="4919"/>
  <c r="O21" i="4919"/>
  <c r="C27" i="4919"/>
  <c r="B24" i="4919"/>
  <c r="C20" i="4919"/>
  <c r="B17" i="4919"/>
  <c r="H50" i="4919" s="1"/>
  <c r="C16" i="4919"/>
  <c r="C15" i="4919"/>
  <c r="C14" i="4919"/>
  <c r="C13" i="4919"/>
  <c r="O12" i="4919"/>
  <c r="C12" i="4919"/>
  <c r="O11" i="4919"/>
  <c r="C11" i="4919"/>
  <c r="O10" i="4919"/>
  <c r="C10" i="4919"/>
  <c r="C9" i="4919"/>
  <c r="C8" i="4919"/>
  <c r="O7" i="4919"/>
  <c r="C7" i="4919"/>
  <c r="O6" i="4919"/>
  <c r="B6" i="4919"/>
  <c r="O5" i="4919"/>
  <c r="B5" i="4919"/>
  <c r="O4" i="4919"/>
  <c r="O3" i="4919"/>
  <c r="O2" i="4919"/>
  <c r="O22" i="4917"/>
  <c r="O18" i="4917"/>
  <c r="C27" i="4917"/>
  <c r="B24" i="4917"/>
  <c r="C20" i="4917"/>
  <c r="B17" i="4917"/>
  <c r="H51" i="4917" s="1"/>
  <c r="C16" i="4917"/>
  <c r="C15" i="4917"/>
  <c r="C14" i="4917"/>
  <c r="C13" i="4917"/>
  <c r="O12" i="4917"/>
  <c r="C12" i="4917"/>
  <c r="O11" i="4917"/>
  <c r="C11" i="4917"/>
  <c r="O10" i="4917"/>
  <c r="C10" i="4917"/>
  <c r="C9" i="4917"/>
  <c r="C8" i="4917"/>
  <c r="O7" i="4917"/>
  <c r="C7" i="4917"/>
  <c r="O6" i="4917"/>
  <c r="B6" i="4917"/>
  <c r="O5" i="4917"/>
  <c r="B5" i="4917"/>
  <c r="O4" i="4917"/>
  <c r="O3" i="4917"/>
  <c r="O2" i="4917"/>
  <c r="O20" i="4911"/>
  <c r="O21" i="4911"/>
  <c r="O22" i="4909"/>
  <c r="O20" i="4909"/>
  <c r="H8" i="4921" l="1"/>
  <c r="H20" i="4921"/>
  <c r="H7" i="4919"/>
  <c r="H14" i="4919"/>
  <c r="H3" i="4919"/>
  <c r="H20" i="4919"/>
  <c r="H22" i="4919"/>
  <c r="H32" i="4921"/>
  <c r="H7" i="4921"/>
  <c r="H15" i="4921"/>
  <c r="H2" i="4921"/>
  <c r="H4" i="4921"/>
  <c r="H3" i="4921"/>
  <c r="H22" i="4921"/>
  <c r="C18" i="4921"/>
  <c r="H48" i="4921"/>
  <c r="C17" i="4921"/>
  <c r="H39" i="4921"/>
  <c r="H10" i="4921"/>
  <c r="H19" i="4921"/>
  <c r="H21" i="4921"/>
  <c r="H12" i="4921"/>
  <c r="H14" i="4921"/>
  <c r="H5" i="4921"/>
  <c r="H11" i="4921"/>
  <c r="H18" i="4921"/>
  <c r="H16" i="4921"/>
  <c r="H40" i="4921"/>
  <c r="H31" i="4921"/>
  <c r="H43" i="4921"/>
  <c r="H24" i="4921"/>
  <c r="H13" i="4921"/>
  <c r="H35" i="4921"/>
  <c r="H47" i="4921"/>
  <c r="H35" i="4919"/>
  <c r="H40" i="4919"/>
  <c r="C18" i="4919"/>
  <c r="H5" i="4919"/>
  <c r="H9" i="4919"/>
  <c r="H2" i="4919"/>
  <c r="H15" i="4919"/>
  <c r="H10" i="4919"/>
  <c r="H17" i="4919"/>
  <c r="H11" i="4919"/>
  <c r="H6" i="4919"/>
  <c r="H19" i="4919"/>
  <c r="H16" i="4919"/>
  <c r="B23" i="4919"/>
  <c r="H33" i="4919"/>
  <c r="H21" i="4917"/>
  <c r="H36" i="4917"/>
  <c r="H22" i="4917"/>
  <c r="H46" i="4917"/>
  <c r="H6" i="4917"/>
  <c r="H11" i="4917"/>
  <c r="H49" i="4917"/>
  <c r="H12" i="4917"/>
  <c r="B23" i="4917"/>
  <c r="H9" i="4917"/>
  <c r="H20" i="4917"/>
  <c r="H24" i="4917"/>
  <c r="H8" i="4917"/>
  <c r="H4" i="4917"/>
  <c r="C18" i="4917"/>
  <c r="H3" i="4917"/>
  <c r="H2" i="4917"/>
  <c r="H15" i="4917"/>
  <c r="H33" i="4917"/>
  <c r="H40" i="4917"/>
  <c r="H50" i="4917"/>
  <c r="H7" i="4917"/>
  <c r="H16" i="4917"/>
  <c r="H23" i="4917"/>
  <c r="C17" i="4917"/>
  <c r="H14" i="4917"/>
  <c r="H10" i="4917"/>
  <c r="H41" i="4917"/>
  <c r="H13" i="4917"/>
  <c r="H34" i="4917"/>
  <c r="H44" i="4917"/>
  <c r="H51" i="4921"/>
  <c r="C19" i="4921"/>
  <c r="H26" i="4921"/>
  <c r="H9" i="4921"/>
  <c r="H36" i="4921"/>
  <c r="H44" i="4921"/>
  <c r="H6" i="4921"/>
  <c r="B23" i="4921"/>
  <c r="H28" i="4921"/>
  <c r="H30" i="4921"/>
  <c r="H33" i="4921"/>
  <c r="H37" i="4921"/>
  <c r="H41" i="4921"/>
  <c r="H45" i="4921"/>
  <c r="H49" i="4921"/>
  <c r="H23" i="4921"/>
  <c r="H25" i="4921"/>
  <c r="H27" i="4921"/>
  <c r="H29" i="4921"/>
  <c r="H17" i="4921"/>
  <c r="H34" i="4921"/>
  <c r="H38" i="4921"/>
  <c r="H42" i="4921"/>
  <c r="H46" i="4921"/>
  <c r="H48" i="4919"/>
  <c r="H43" i="4919"/>
  <c r="H49" i="4919"/>
  <c r="H12" i="4919"/>
  <c r="H30" i="4919"/>
  <c r="H37" i="4919"/>
  <c r="H44" i="4919"/>
  <c r="H51" i="4919"/>
  <c r="H8" i="4919"/>
  <c r="H21" i="4919"/>
  <c r="H23" i="4919"/>
  <c r="C17" i="4919"/>
  <c r="H13" i="4919"/>
  <c r="H32" i="4919"/>
  <c r="H39" i="4919"/>
  <c r="H45" i="4919"/>
  <c r="H18" i="4917"/>
  <c r="H31" i="4917"/>
  <c r="H38" i="4917"/>
  <c r="H45" i="4917"/>
  <c r="C19" i="4919"/>
  <c r="H26" i="4919"/>
  <c r="H28" i="4919"/>
  <c r="H31" i="4919"/>
  <c r="H36" i="4919"/>
  <c r="H41" i="4919"/>
  <c r="H47" i="4919"/>
  <c r="H4" i="4919"/>
  <c r="H24" i="4919"/>
  <c r="H25" i="4919"/>
  <c r="H27" i="4919"/>
  <c r="H29" i="4919"/>
  <c r="H18" i="4919"/>
  <c r="H34" i="4919"/>
  <c r="H38" i="4919"/>
  <c r="H42" i="4919"/>
  <c r="H46" i="4919"/>
  <c r="H17" i="4917"/>
  <c r="C19" i="4917"/>
  <c r="H27" i="4917"/>
  <c r="H29" i="4917"/>
  <c r="H19" i="4917"/>
  <c r="H37" i="4917"/>
  <c r="H42" i="4917"/>
  <c r="H48" i="4917"/>
  <c r="H5" i="4917"/>
  <c r="H25" i="4917"/>
  <c r="H26" i="4917"/>
  <c r="H28" i="4917"/>
  <c r="H30" i="4917"/>
  <c r="H32" i="4917"/>
  <c r="H35" i="4917"/>
  <c r="H39" i="4917"/>
  <c r="H43" i="4917"/>
  <c r="H47" i="4917"/>
  <c r="O17" i="4915" l="1"/>
  <c r="O18" i="4915"/>
  <c r="C27" i="4915"/>
  <c r="B24" i="4915"/>
  <c r="C20" i="4915"/>
  <c r="B17" i="4915"/>
  <c r="H50" i="4915" s="1"/>
  <c r="C16" i="4915"/>
  <c r="C15" i="4915"/>
  <c r="C14" i="4915"/>
  <c r="C13" i="4915"/>
  <c r="O12" i="4915"/>
  <c r="C12" i="4915"/>
  <c r="O11" i="4915"/>
  <c r="C11" i="4915"/>
  <c r="O10" i="4915"/>
  <c r="C10" i="4915"/>
  <c r="C9" i="4915"/>
  <c r="C8" i="4915"/>
  <c r="O7" i="4915"/>
  <c r="C7" i="4915"/>
  <c r="O6" i="4915"/>
  <c r="B6" i="4915"/>
  <c r="O5" i="4915"/>
  <c r="B5" i="4915"/>
  <c r="O4" i="4915"/>
  <c r="O3" i="4915"/>
  <c r="O2" i="4915"/>
  <c r="O21" i="4913"/>
  <c r="O16" i="4913"/>
  <c r="C27" i="4913"/>
  <c r="B24" i="4913"/>
  <c r="C20" i="4913"/>
  <c r="B17" i="4913"/>
  <c r="H51" i="4913" s="1"/>
  <c r="C16" i="4913"/>
  <c r="C15" i="4913"/>
  <c r="C14" i="4913"/>
  <c r="H19" i="4913"/>
  <c r="C13" i="4913"/>
  <c r="O12" i="4913"/>
  <c r="C12" i="4913"/>
  <c r="O11" i="4913"/>
  <c r="C11" i="4913"/>
  <c r="O10" i="4913"/>
  <c r="C10" i="4913"/>
  <c r="C9" i="4913"/>
  <c r="C8" i="4913"/>
  <c r="O7" i="4913"/>
  <c r="C7" i="4913"/>
  <c r="O6" i="4913"/>
  <c r="B6" i="4913"/>
  <c r="O5" i="4913"/>
  <c r="B5" i="4913"/>
  <c r="O4" i="4913"/>
  <c r="O3" i="4913"/>
  <c r="O2" i="4913"/>
  <c r="O24" i="4909"/>
  <c r="O16" i="4911"/>
  <c r="O22" i="4911"/>
  <c r="C27" i="4911"/>
  <c r="B24" i="4911"/>
  <c r="C20" i="4911"/>
  <c r="B17" i="4911"/>
  <c r="H51" i="4911" s="1"/>
  <c r="C16" i="4911"/>
  <c r="C15" i="4911"/>
  <c r="C14" i="4911"/>
  <c r="C13" i="4911"/>
  <c r="O12" i="4911"/>
  <c r="C12" i="4911"/>
  <c r="O11" i="4911"/>
  <c r="C11" i="4911"/>
  <c r="O10" i="4911"/>
  <c r="C10" i="4911"/>
  <c r="C9" i="4911"/>
  <c r="C8" i="4911"/>
  <c r="O7" i="4911"/>
  <c r="C7" i="4911"/>
  <c r="O6" i="4911"/>
  <c r="B6" i="4911"/>
  <c r="O5" i="4911"/>
  <c r="B5" i="4911"/>
  <c r="O4" i="4911"/>
  <c r="O3" i="4911"/>
  <c r="O2" i="4911"/>
  <c r="O15" i="4909"/>
  <c r="O21" i="4909"/>
  <c r="C27" i="4909"/>
  <c r="B24" i="4909"/>
  <c r="C20" i="4909"/>
  <c r="B17" i="4909"/>
  <c r="H5" i="4909" s="1"/>
  <c r="C16" i="4909"/>
  <c r="C15" i="4909"/>
  <c r="C14" i="4909"/>
  <c r="C13" i="4909"/>
  <c r="O12" i="4909"/>
  <c r="C12" i="4909"/>
  <c r="O11" i="4909"/>
  <c r="C11" i="4909"/>
  <c r="O10" i="4909"/>
  <c r="C10" i="4909"/>
  <c r="C9" i="4909"/>
  <c r="C8" i="4909"/>
  <c r="O7" i="4909"/>
  <c r="C7" i="4909"/>
  <c r="O6" i="4909"/>
  <c r="B6" i="4909"/>
  <c r="O5" i="4909"/>
  <c r="B5" i="4909"/>
  <c r="O4" i="4909"/>
  <c r="O3" i="4909"/>
  <c r="O2" i="4909"/>
  <c r="H2" i="4913" l="1"/>
  <c r="H16" i="4911"/>
  <c r="H5" i="4915"/>
  <c r="C17" i="4913"/>
  <c r="H3" i="4913"/>
  <c r="H4" i="4913"/>
  <c r="H10" i="4913"/>
  <c r="H8" i="4913"/>
  <c r="H22" i="4913"/>
  <c r="H4" i="4911"/>
  <c r="H3" i="4911"/>
  <c r="H12" i="4911"/>
  <c r="B23" i="4911"/>
  <c r="H7" i="4915"/>
  <c r="H8" i="4915"/>
  <c r="H18" i="4915"/>
  <c r="H20" i="4915"/>
  <c r="H14" i="4915"/>
  <c r="H2" i="4915"/>
  <c r="H10" i="4915"/>
  <c r="C18" i="4915"/>
  <c r="H3" i="4915"/>
  <c r="H48" i="4915"/>
  <c r="H33" i="4915"/>
  <c r="H49" i="4915"/>
  <c r="B23" i="4915"/>
  <c r="H35" i="4915"/>
  <c r="H12" i="4915"/>
  <c r="H4" i="4915"/>
  <c r="H17" i="4915"/>
  <c r="H22" i="4915"/>
  <c r="H40" i="4915"/>
  <c r="H15" i="4915"/>
  <c r="H11" i="4915"/>
  <c r="H43" i="4915"/>
  <c r="H24" i="4915"/>
  <c r="H29" i="4915"/>
  <c r="H37" i="4915"/>
  <c r="H44" i="4915"/>
  <c r="H9" i="4915"/>
  <c r="H19" i="4915"/>
  <c r="H21" i="4915"/>
  <c r="C17" i="4915"/>
  <c r="H13" i="4915"/>
  <c r="H32" i="4915"/>
  <c r="H39" i="4915"/>
  <c r="H45" i="4915"/>
  <c r="H29" i="4911"/>
  <c r="C18" i="4911"/>
  <c r="H6" i="4911"/>
  <c r="H2" i="4911"/>
  <c r="H18" i="4911"/>
  <c r="H8" i="4911"/>
  <c r="H11" i="4909"/>
  <c r="H4" i="4909"/>
  <c r="C17" i="4909"/>
  <c r="H2" i="4909"/>
  <c r="H3" i="4909"/>
  <c r="H51" i="4915"/>
  <c r="C19" i="4915"/>
  <c r="H26" i="4915"/>
  <c r="H28" i="4915"/>
  <c r="H31" i="4915"/>
  <c r="H36" i="4915"/>
  <c r="H41" i="4915"/>
  <c r="H47" i="4915"/>
  <c r="H6" i="4915"/>
  <c r="H23" i="4915"/>
  <c r="H25" i="4915"/>
  <c r="H27" i="4915"/>
  <c r="H16" i="4915"/>
  <c r="H30" i="4915"/>
  <c r="H34" i="4915"/>
  <c r="H38" i="4915"/>
  <c r="H42" i="4915"/>
  <c r="H46" i="4915"/>
  <c r="H13" i="4913"/>
  <c r="H32" i="4913"/>
  <c r="H38" i="4913"/>
  <c r="H45" i="4913"/>
  <c r="H12" i="4913"/>
  <c r="H40" i="4913"/>
  <c r="H9" i="4913"/>
  <c r="H14" i="4913"/>
  <c r="H16" i="4913"/>
  <c r="H41" i="4913"/>
  <c r="H49" i="4913"/>
  <c r="H33" i="4913"/>
  <c r="H46" i="4913"/>
  <c r="H7" i="4913"/>
  <c r="H18" i="4913"/>
  <c r="H20" i="4913"/>
  <c r="H34" i="4913"/>
  <c r="H6" i="4913"/>
  <c r="H21" i="4913"/>
  <c r="H27" i="4913"/>
  <c r="H23" i="4913"/>
  <c r="C18" i="4913"/>
  <c r="B23" i="4913"/>
  <c r="H11" i="4913"/>
  <c r="H36" i="4913"/>
  <c r="H44" i="4913"/>
  <c r="H50" i="4913"/>
  <c r="H17" i="4913"/>
  <c r="C19" i="4913"/>
  <c r="H24" i="4913"/>
  <c r="H31" i="4913"/>
  <c r="H26" i="4913"/>
  <c r="H37" i="4913"/>
  <c r="H42" i="4913"/>
  <c r="H48" i="4913"/>
  <c r="H5" i="4913"/>
  <c r="H28" i="4913"/>
  <c r="H29" i="4913"/>
  <c r="H30" i="4913"/>
  <c r="H25" i="4913"/>
  <c r="H15" i="4913"/>
  <c r="H35" i="4913"/>
  <c r="H39" i="4913"/>
  <c r="H43" i="4913"/>
  <c r="H47" i="4913"/>
  <c r="H36" i="4911"/>
  <c r="H44" i="4911"/>
  <c r="H15" i="4911"/>
  <c r="H24" i="4911"/>
  <c r="H38" i="4911"/>
  <c r="H45" i="4911"/>
  <c r="H9" i="4911"/>
  <c r="H20" i="4911"/>
  <c r="H21" i="4911"/>
  <c r="C17" i="4911"/>
  <c r="H11" i="4911"/>
  <c r="H26" i="4911"/>
  <c r="H40" i="4911"/>
  <c r="H49" i="4911"/>
  <c r="H10" i="4911"/>
  <c r="H7" i="4911"/>
  <c r="H13" i="4911"/>
  <c r="H28" i="4911"/>
  <c r="H22" i="4911"/>
  <c r="H14" i="4911"/>
  <c r="H35" i="4911"/>
  <c r="H41" i="4911"/>
  <c r="H50" i="4911"/>
  <c r="H46" i="4911"/>
  <c r="H19" i="4911"/>
  <c r="C19" i="4911"/>
  <c r="H32" i="4911"/>
  <c r="H23" i="4911"/>
  <c r="H25" i="4911"/>
  <c r="H37" i="4911"/>
  <c r="H42" i="4911"/>
  <c r="H48" i="4911"/>
  <c r="H5" i="4911"/>
  <c r="H30" i="4911"/>
  <c r="H31" i="4911"/>
  <c r="H33" i="4911"/>
  <c r="H34" i="4911"/>
  <c r="H17" i="4911"/>
  <c r="H27" i="4911"/>
  <c r="H39" i="4911"/>
  <c r="H43" i="4911"/>
  <c r="H47" i="4911"/>
  <c r="H27" i="4909"/>
  <c r="H47" i="4909"/>
  <c r="H19" i="4909"/>
  <c r="H24" i="4909"/>
  <c r="C19" i="4909"/>
  <c r="H14" i="4909"/>
  <c r="H22" i="4909"/>
  <c r="H40" i="4909"/>
  <c r="H44" i="4909"/>
  <c r="H18" i="4909"/>
  <c r="H6" i="4909"/>
  <c r="H23" i="4909"/>
  <c r="H20" i="4909"/>
  <c r="H26" i="4909"/>
  <c r="H12" i="4909"/>
  <c r="H9" i="4909"/>
  <c r="H30" i="4909"/>
  <c r="H37" i="4909"/>
  <c r="H41" i="4909"/>
  <c r="H45" i="4909"/>
  <c r="H49" i="4909"/>
  <c r="H7" i="4909"/>
  <c r="H21" i="4909"/>
  <c r="H32" i="4909"/>
  <c r="H17" i="4909"/>
  <c r="C18" i="4909"/>
  <c r="B23" i="4909"/>
  <c r="H28" i="4909"/>
  <c r="H29" i="4909"/>
  <c r="H35" i="4909"/>
  <c r="H38" i="4909"/>
  <c r="H42" i="4909"/>
  <c r="H46" i="4909"/>
  <c r="H50" i="4909"/>
  <c r="H33" i="4909"/>
  <c r="H34" i="4909"/>
  <c r="H25" i="4909"/>
  <c r="H16" i="4909"/>
  <c r="H31" i="4909"/>
  <c r="H39" i="4909"/>
  <c r="H43" i="4909"/>
  <c r="H51" i="4909"/>
  <c r="H8" i="4909"/>
  <c r="H36" i="4909"/>
  <c r="H48" i="4909"/>
  <c r="H10" i="4909"/>
  <c r="H13" i="4909"/>
  <c r="H15" i="49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<sst xmlns="http://schemas.openxmlformats.org/spreadsheetml/2006/main" count="2665" uniqueCount="207">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</sst>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全体!$L$2:$L$248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CF-495D-9B47-3E8782ABD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-20.325203252032519</c:v>
                </c:pt>
                <c:pt idx="1">
                  <c:v>-12.345679012345679</c:v>
                </c:pt>
                <c:pt idx="2">
                  <c:v>17.777777777777779</c:v>
                </c:pt>
                <c:pt idx="3">
                  <c:v>14.705882352941176</c:v>
                </c:pt>
                <c:pt idx="4">
                  <c:v>-26.455026455026456</c:v>
                </c:pt>
                <c:pt idx="5">
                  <c:v>33.898305084745765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F-4DB4-901E-606B2CA16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2-4EAD-BED0-097B0481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3891.3793103448274</c:v>
                </c:pt>
                <c:pt idx="1">
                  <c:v>3787.719298245614</c:v>
                </c:pt>
                <c:pt idx="2">
                  <c:v>2915.0943396226417</c:v>
                </c:pt>
                <c:pt idx="3">
                  <c:v>5838.2978723404258</c:v>
                </c:pt>
                <c:pt idx="4">
                  <c:v>1483.3333333333333</c:v>
                </c:pt>
                <c:pt idx="5">
                  <c:v>292.30769230769232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C-44E9-B234-C1D696B6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C-4256-8EB9-255C55058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1181.3559322033898</c:v>
                </c:pt>
                <c:pt idx="1">
                  <c:v>-1472.4137931034484</c:v>
                </c:pt>
                <c:pt idx="2">
                  <c:v>-1558.9285714285713</c:v>
                </c:pt>
                <c:pt idx="3">
                  <c:v>-108</c:v>
                </c:pt>
                <c:pt idx="4">
                  <c:v>1415.2173913043478</c:v>
                </c:pt>
                <c:pt idx="5">
                  <c:v>1083.7209302325582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E-49B9-A44B-D6D675E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1-456D-A6D3-4127A529E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2-49CC-99C2-84E83A6F7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3-41A7-8177-DE2832C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C-429E-BB6E-584251789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0-4050-A37B-AB896C312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-347.82608695652175</c:v>
                </c:pt>
                <c:pt idx="1">
                  <c:v>1504.3478260869565</c:v>
                </c:pt>
                <c:pt idx="2">
                  <c:v>147.36842105263159</c:v>
                </c:pt>
                <c:pt idx="3">
                  <c:v>1447.0588235294117</c:v>
                </c:pt>
                <c:pt idx="4">
                  <c:v>-4852.9411764705883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7-4304-A3B2-F361BA172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ぱぱ!$L$2:$L$23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7B-4B61-A119-22F6DFC83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-4204.7619047619046</c:v>
                </c:pt>
                <c:pt idx="1">
                  <c:v>-642.85714285714289</c:v>
                </c:pt>
                <c:pt idx="2">
                  <c:v>-889.47368421052636</c:v>
                </c:pt>
                <c:pt idx="3">
                  <c:v>-3194.4444444444443</c:v>
                </c:pt>
                <c:pt idx="4">
                  <c:v>1164.7058823529412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2-49DF-887D-EB43C9A1B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D-4096-9594-7896344BE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1-4A85-A199-F2539F1F8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6-4A31-8914-6FBDB973C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5-43AB-B75E-746CB7261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9A-49A5-92F9-E82E537B1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E-44BC-97D5-484BEA4FB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9-40CD-9B24-C4FE901D5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9-4A77-BA67-B547CBC08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ほたに2!$B$1:$B$2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ほたに2!$C$1:$C$2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ほたに2!$D$1:$D$2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ほたに2!$E$1:$E$2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ほたに2!$F$1:$F$2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234714003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09072978303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8.92561983471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0.1719197707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9368836291913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00394477317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695817490494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709677419354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87603305785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554FE3-992D-4ED1-9B8F-F6E075A2D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F23233-A6D0-4E22-A9F4-8F8710A95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88FA8A-89D7-43D2-8B04-53BF38FA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1CB72C-F5C2-4A1B-A284-31F7B4476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599BB2-1166-4D9B-9BEA-7F77E882C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B39711-8889-42CD-A9F5-863CFF4DD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06BB53-B6E1-4361-AC21-BD840D972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D1E927-A471-474F-AD1D-B4A2E62A7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ACA96A-6435-47F3-9D84-268AA926A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082566-A35A-4D92-8C89-55AEB0024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A136BA-6691-428C-9E21-3E511CD4E1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03CD2C-D127-4238-B6A6-C54216CED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434A2-0AEE-4DEB-9DEC-F5CC02DED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B6263D-B058-4FB4-A3BC-D2DBF1645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C256BF-72C8-475D-AD8A-325E41710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967380-8B46-485D-9CB6-F74541700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097F73-E859-4FCA-9EFE-AC932B746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483265-7AF4-4740-B862-5F7A67249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B23942-19DC-4625-83EB-6BEA26153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5CAA7E-0DDE-4FC0-BF89-38B3EE051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419509-54AC-4D52-ACB9-28A3A6C57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83F625-052C-4D76-80F0-5B06C3653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43560.923958333333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43560.923958333333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43560.923958333333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43560.923958333333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43561.114791666667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43563.354502314818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43566.043888888889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43566.04109953704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43566.04109953704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43567.62232638889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43568.073333333334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43569.506898148145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43570.561921296299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43571.057638888888</v>
      </c>
      <c r="C16" s="30" t="s">
        <v>130</v>
      </c>
      <c r="D16" s="30" t="s">
        <v>131</v>
      </c>
    </row>
    <row r="17" spans="1:8" x14ac:dyDescent="0.4">
      <c r="A17" s="30" t="s">
        <v>202</v>
      </c>
      <c r="B17" s="31">
        <v>43573.881539351853</v>
      </c>
      <c r="C17" s="30" t="s">
        <v>130</v>
      </c>
      <c r="D17" s="30" t="s">
        <v>131</v>
      </c>
      <c r="E17" s="30" t="s">
        <v>170</v>
      </c>
    </row>
    <row r="18" spans="1:8" x14ac:dyDescent="0.4">
      <c r="A18" s="30" t="s">
        <v>204</v>
      </c>
      <c r="B18" s="31">
        <v>43574.073113425926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8" x14ac:dyDescent="0.4">
      <c r="A19" s="30" t="s">
        <v>205</v>
      </c>
      <c r="B19" s="31">
        <v>43575.795416666668</v>
      </c>
      <c r="C19" s="30" t="s">
        <v>130</v>
      </c>
      <c r="D19" s="30" t="s">
        <v>131</v>
      </c>
      <c r="E19" s="30" t="s">
        <v>170</v>
      </c>
    </row>
    <row r="20" spans="1:8" x14ac:dyDescent="0.4">
      <c r="A20" s="30" t="s">
        <v>206</v>
      </c>
      <c r="B20" s="31">
        <v>43576.362476851849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0.98636632243472155</v>
      </c>
      <c r="G2" s="157"/>
      <c r="H2" s="156">
        <v>0.9168354135755854</v>
      </c>
      <c r="I2" s="157"/>
      <c r="J2" s="156">
        <v>0.95199170007808676</v>
      </c>
      <c r="K2" s="157"/>
      <c r="L2" s="156">
        <v>0.9249597624678898</v>
      </c>
      <c r="M2" s="157"/>
      <c r="N2" s="156">
        <v>0.84703452211434827</v>
      </c>
      <c r="O2" s="157"/>
      <c r="P2" s="156">
        <v>0.54271871509768366</v>
      </c>
      <c r="Q2" s="157"/>
      <c r="R2" s="156">
        <v>0.57600544770754203</v>
      </c>
      <c r="S2" s="157"/>
      <c r="T2" s="156">
        <v>0.80350037090131332</v>
      </c>
      <c r="U2" s="157"/>
      <c r="V2" s="156">
        <v>0.92474436859280218</v>
      </c>
      <c r="W2" s="157"/>
      <c r="X2" s="156">
        <v>0.63664159365268647</v>
      </c>
      <c r="Y2" s="157"/>
      <c r="Z2" s="156">
        <v>0.41209545821172922</v>
      </c>
      <c r="AA2" s="157"/>
      <c r="AB2" s="156">
        <v>0.88795862689752081</v>
      </c>
      <c r="AC2" s="157"/>
      <c r="AD2" s="156">
        <v>0.88302912179428872</v>
      </c>
      <c r="AE2" s="157"/>
      <c r="AF2" s="156">
        <v>-0.55293534647283338</v>
      </c>
      <c r="AG2" s="157"/>
      <c r="AH2" s="156">
        <v>0.90259926721392947</v>
      </c>
      <c r="AI2" s="157"/>
      <c r="AJ2" s="156">
        <v>-0.17773134395520893</v>
      </c>
      <c r="AK2" s="157"/>
    </row>
    <row r="3" spans="1:37" x14ac:dyDescent="0.4">
      <c r="A3" s="74">
        <v>1</v>
      </c>
      <c r="B3" s="75" t="s">
        <v>127</v>
      </c>
      <c r="C3" s="76">
        <v>1509.2000000000003</v>
      </c>
      <c r="D3" s="77" t="s">
        <v>127</v>
      </c>
      <c r="E3" s="98">
        <v>26.020689655172418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0.41318681318681316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0.2413793103448276</v>
      </c>
      <c r="X3" s="77" t="s">
        <v>127</v>
      </c>
      <c r="Y3" s="80">
        <v>0.33186813186813185</v>
      </c>
      <c r="Z3" s="77" t="s">
        <v>173</v>
      </c>
      <c r="AA3" s="80">
        <v>0.3439153439153439</v>
      </c>
      <c r="AB3" s="77" t="s">
        <v>187</v>
      </c>
      <c r="AC3" s="80">
        <v>0.7142857142857143</v>
      </c>
      <c r="AD3" s="77" t="s">
        <v>127</v>
      </c>
      <c r="AE3" s="80">
        <v>0.55963302752293576</v>
      </c>
      <c r="AF3" s="77" t="s">
        <v>129</v>
      </c>
      <c r="AG3" s="80">
        <v>0.51219512195121952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1.5172413793103448</v>
      </c>
      <c r="H4" s="86" t="s">
        <v>127</v>
      </c>
      <c r="I4" s="88">
        <v>0.62068965517241381</v>
      </c>
      <c r="J4" s="86" t="s">
        <v>203</v>
      </c>
      <c r="K4" s="88">
        <v>0</v>
      </c>
      <c r="L4" s="86" t="s">
        <v>173</v>
      </c>
      <c r="M4" s="89">
        <v>0.33333333333333331</v>
      </c>
      <c r="N4" s="86" t="s">
        <v>127</v>
      </c>
      <c r="O4" s="89">
        <v>0.14065934065934066</v>
      </c>
      <c r="P4" s="86" t="s">
        <v>127</v>
      </c>
      <c r="Q4" s="90">
        <v>9556.9148936170204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0.1016260162601626</v>
      </c>
      <c r="X4" s="86" t="s">
        <v>128</v>
      </c>
      <c r="Y4" s="89">
        <v>0.27551020408163263</v>
      </c>
      <c r="Z4" s="86" t="s">
        <v>178</v>
      </c>
      <c r="AA4" s="89">
        <v>0.29203539823008851</v>
      </c>
      <c r="AB4" s="86" t="s">
        <v>127</v>
      </c>
      <c r="AC4" s="89">
        <v>0.64238410596026485</v>
      </c>
      <c r="AD4" s="86" t="s">
        <v>186</v>
      </c>
      <c r="AE4" s="89">
        <v>0.5</v>
      </c>
      <c r="AF4" s="86" t="s">
        <v>174</v>
      </c>
      <c r="AG4" s="89">
        <v>0.5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145</v>
      </c>
      <c r="C5" s="85">
        <v>0</v>
      </c>
      <c r="D5" s="86" t="s">
        <v>145</v>
      </c>
      <c r="E5" s="99">
        <v>0</v>
      </c>
      <c r="F5" s="86" t="s">
        <v>145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0.13793103448275862</v>
      </c>
      <c r="L5" s="86" t="s">
        <v>145</v>
      </c>
      <c r="M5" s="89">
        <v>0.2983234714003945</v>
      </c>
      <c r="N5" s="86" t="s">
        <v>173</v>
      </c>
      <c r="O5" s="89">
        <v>0.14285714285714285</v>
      </c>
      <c r="P5" s="86" t="s">
        <v>128</v>
      </c>
      <c r="Q5" s="90">
        <v>9092.0863309352517</v>
      </c>
      <c r="R5" s="86" t="s">
        <v>172</v>
      </c>
      <c r="S5" s="90">
        <v>-7206.25</v>
      </c>
      <c r="T5" s="86" t="s">
        <v>172</v>
      </c>
      <c r="U5" s="88">
        <v>3.0303030303030304E-2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0.23956043956043957</v>
      </c>
      <c r="AB5" s="86" t="s">
        <v>128</v>
      </c>
      <c r="AC5" s="89">
        <v>0.62962962962962965</v>
      </c>
      <c r="AD5" s="86" t="s">
        <v>203</v>
      </c>
      <c r="AE5" s="89">
        <v>0.5</v>
      </c>
      <c r="AF5" s="86" t="s">
        <v>187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173</v>
      </c>
      <c r="C6" s="85">
        <v>-5.3999999999999986</v>
      </c>
      <c r="D6" s="86" t="s">
        <v>173</v>
      </c>
      <c r="E6" s="99">
        <v>-0.23478260869565212</v>
      </c>
      <c r="F6" s="86" t="s">
        <v>203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0.30508474576271188</v>
      </c>
      <c r="L6" s="86" t="s">
        <v>174</v>
      </c>
      <c r="M6" s="89">
        <v>0.28865979381443296</v>
      </c>
      <c r="N6" s="86" t="s">
        <v>128</v>
      </c>
      <c r="O6" s="89">
        <v>0.1653061224489796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127</v>
      </c>
      <c r="U6" s="88">
        <v>3.4482758620689655E-2</v>
      </c>
      <c r="V6" s="86" t="s">
        <v>173</v>
      </c>
      <c r="W6" s="88">
        <v>8.6956521739130432E-2</v>
      </c>
      <c r="X6" s="86" t="s">
        <v>145</v>
      </c>
      <c r="Y6" s="89">
        <v>0.25936883629191321</v>
      </c>
      <c r="Z6" s="86" t="s">
        <v>187</v>
      </c>
      <c r="AA6" s="89">
        <v>0.22807017543859648</v>
      </c>
      <c r="AB6" s="86" t="s">
        <v>186</v>
      </c>
      <c r="AC6" s="89">
        <v>0.6</v>
      </c>
      <c r="AD6" s="86" t="s">
        <v>173</v>
      </c>
      <c r="AE6" s="89">
        <v>0.41538461538461541</v>
      </c>
      <c r="AF6" s="86" t="s">
        <v>203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203</v>
      </c>
      <c r="C7" s="85">
        <v>-12.5</v>
      </c>
      <c r="D7" s="86" t="s">
        <v>128</v>
      </c>
      <c r="E7" s="99">
        <v>-0.9610169491525431</v>
      </c>
      <c r="F7" s="86" t="s">
        <v>173</v>
      </c>
      <c r="G7" s="87">
        <v>2.0434782608695654</v>
      </c>
      <c r="H7" s="86" t="s">
        <v>173</v>
      </c>
      <c r="I7" s="88">
        <v>0.30434782608695654</v>
      </c>
      <c r="J7" s="86" t="s">
        <v>174</v>
      </c>
      <c r="K7" s="88">
        <v>0.33333333333333331</v>
      </c>
      <c r="L7" s="86" t="s">
        <v>128</v>
      </c>
      <c r="M7" s="89">
        <v>0.28367346938775512</v>
      </c>
      <c r="N7" s="86" t="s">
        <v>172</v>
      </c>
      <c r="O7" s="89">
        <v>0.16666666666666666</v>
      </c>
      <c r="P7" s="86" t="s">
        <v>145</v>
      </c>
      <c r="Q7" s="90">
        <v>8388.9256198347102</v>
      </c>
      <c r="R7" s="86" t="s">
        <v>128</v>
      </c>
      <c r="S7" s="90">
        <v>-7424.691358024691</v>
      </c>
      <c r="T7" s="86" t="s">
        <v>173</v>
      </c>
      <c r="U7" s="88">
        <v>8.6956521739130432E-2</v>
      </c>
      <c r="V7" s="86" t="s">
        <v>128</v>
      </c>
      <c r="W7" s="88">
        <v>8.4745762711864403E-2</v>
      </c>
      <c r="X7" s="86" t="s">
        <v>129</v>
      </c>
      <c r="Y7" s="89">
        <v>0.24528301886792453</v>
      </c>
      <c r="Z7" s="86" t="s">
        <v>174</v>
      </c>
      <c r="AA7" s="89">
        <v>0.22164948453608246</v>
      </c>
      <c r="AB7" s="86" t="s">
        <v>145</v>
      </c>
      <c r="AC7" s="89">
        <v>0.59695817490494296</v>
      </c>
      <c r="AD7" s="86" t="s">
        <v>178</v>
      </c>
      <c r="AE7" s="89">
        <v>0.39393939393939392</v>
      </c>
      <c r="AF7" s="86" t="s">
        <v>145</v>
      </c>
      <c r="AG7" s="89">
        <v>0.41487603305785126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128</v>
      </c>
      <c r="C8" s="85">
        <v>-56.700000000000045</v>
      </c>
      <c r="D8" s="86" t="s">
        <v>172</v>
      </c>
      <c r="E8" s="99">
        <v>-3.3000000000000003</v>
      </c>
      <c r="F8" s="86" t="s">
        <v>128</v>
      </c>
      <c r="G8" s="87">
        <v>2.0508474576271185</v>
      </c>
      <c r="H8" s="86" t="s">
        <v>128</v>
      </c>
      <c r="I8" s="88">
        <v>0.25423728813559321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0.17209072978303747</v>
      </c>
      <c r="P8" s="86" t="s">
        <v>186</v>
      </c>
      <c r="Q8" s="90">
        <v>7860</v>
      </c>
      <c r="R8" s="86" t="s">
        <v>127</v>
      </c>
      <c r="S8" s="90">
        <v>-7785.9375</v>
      </c>
      <c r="T8" s="86" t="s">
        <v>174</v>
      </c>
      <c r="U8" s="88">
        <v>9.5238095238095233E-2</v>
      </c>
      <c r="V8" s="86" t="s">
        <v>174</v>
      </c>
      <c r="W8" s="88">
        <v>4.7619047619047616E-2</v>
      </c>
      <c r="X8" s="86" t="s">
        <v>172</v>
      </c>
      <c r="Y8" s="89">
        <v>0.24305555555555555</v>
      </c>
      <c r="Z8" s="86" t="s">
        <v>145</v>
      </c>
      <c r="AA8" s="89">
        <v>0.21400394477317555</v>
      </c>
      <c r="AB8" s="86" t="s">
        <v>173</v>
      </c>
      <c r="AC8" s="89">
        <v>0.58139534883720934</v>
      </c>
      <c r="AD8" s="86" t="s">
        <v>145</v>
      </c>
      <c r="AE8" s="89">
        <v>0.38709677419354838</v>
      </c>
      <c r="AF8" s="86" t="s">
        <v>173</v>
      </c>
      <c r="AG8" s="89">
        <v>0.41269841269841268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-9.7047619047619005</v>
      </c>
      <c r="F9" s="86" t="s">
        <v>174</v>
      </c>
      <c r="G9" s="87">
        <v>2.0952380952380953</v>
      </c>
      <c r="H9" s="86" t="s">
        <v>172</v>
      </c>
      <c r="I9" s="88">
        <v>0.24242424242424243</v>
      </c>
      <c r="J9" s="86" t="s">
        <v>173</v>
      </c>
      <c r="K9" s="88">
        <v>0.34782608695652173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7680.4878048780483</v>
      </c>
      <c r="R9" s="86" t="s">
        <v>174</v>
      </c>
      <c r="S9" s="90">
        <v>-7951.2195121951218</v>
      </c>
      <c r="T9" s="86" t="s">
        <v>145</v>
      </c>
      <c r="U9" s="88">
        <v>0.1016260162601626</v>
      </c>
      <c r="V9" s="86" t="s">
        <v>129</v>
      </c>
      <c r="W9" s="88">
        <v>0</v>
      </c>
      <c r="X9" s="86" t="s">
        <v>173</v>
      </c>
      <c r="Y9" s="89">
        <v>0.2275132275132275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127</v>
      </c>
      <c r="AG9" s="89">
        <v>0.40425531914893614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174</v>
      </c>
      <c r="I10" s="88">
        <v>0.23809523809523808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145</v>
      </c>
      <c r="S10" s="90">
        <v>-8060.1719197707735</v>
      </c>
      <c r="T10" s="86" t="s">
        <v>128</v>
      </c>
      <c r="U10" s="88">
        <v>0.11864406779661017</v>
      </c>
      <c r="V10" s="86" t="s">
        <v>178</v>
      </c>
      <c r="W10" s="88">
        <v>0</v>
      </c>
      <c r="X10" s="86" t="s">
        <v>174</v>
      </c>
      <c r="Y10" s="89">
        <v>0.21134020618556701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128</v>
      </c>
      <c r="AG10" s="89">
        <v>0.40287769784172661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-203.79999999999993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0.21134020618556701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128</v>
      </c>
      <c r="AA11" s="89">
        <v>0.17959183673469387</v>
      </c>
      <c r="AB11" s="86" t="s">
        <v>174</v>
      </c>
      <c r="AC11" s="89">
        <v>0.53658536585365857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129</v>
      </c>
      <c r="I12" s="88">
        <v>0.11538461538461539</v>
      </c>
      <c r="J12" s="86" t="s">
        <v>129</v>
      </c>
      <c r="K12" s="88">
        <v>0.65384615384615385</v>
      </c>
      <c r="L12" s="86" t="s">
        <v>129</v>
      </c>
      <c r="M12" s="89">
        <v>0.19339622641509435</v>
      </c>
      <c r="N12" s="86" t="s">
        <v>129</v>
      </c>
      <c r="O12" s="89">
        <v>0.22641509433962265</v>
      </c>
      <c r="P12" s="86" t="s">
        <v>174</v>
      </c>
      <c r="Q12" s="90">
        <v>6416.0714285714284</v>
      </c>
      <c r="R12" s="86" t="s">
        <v>173</v>
      </c>
      <c r="S12" s="90">
        <v>-8785.1851851851843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0.17708333333333334</v>
      </c>
      <c r="AB12" s="86" t="s">
        <v>129</v>
      </c>
      <c r="AC12" s="89">
        <v>0.5</v>
      </c>
      <c r="AD12" s="86" t="s">
        <v>128</v>
      </c>
      <c r="AE12" s="89">
        <v>0.27272727272727271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203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3FEB-A841-4B63-9736-8B0BE11128CB}">
  <sheetPr codeName="Sheet4"/>
  <dimension ref="A1:Q248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246</v>
      </c>
      <c r="C2" s="149"/>
      <c r="E2" s="62" t="s">
        <v>67</v>
      </c>
      <c r="F2" s="59" t="s">
        <v>23</v>
      </c>
      <c r="G2" s="46">
        <v>434</v>
      </c>
      <c r="H2" s="134">
        <f>IF(B$17=0,0,G2/B$17)</f>
        <v>0.71735537190082643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-20.325203252032519</v>
      </c>
      <c r="P2" s="120">
        <v>246</v>
      </c>
      <c r="Q2" s="104">
        <v>-5000</v>
      </c>
    </row>
    <row r="3" spans="1:17" x14ac:dyDescent="0.4">
      <c r="A3" s="55" t="s">
        <v>8</v>
      </c>
      <c r="B3" s="150">
        <v>2028</v>
      </c>
      <c r="C3" s="151"/>
      <c r="E3" s="63" t="s">
        <v>73</v>
      </c>
      <c r="F3" s="60" t="s">
        <v>28</v>
      </c>
      <c r="G3" s="47">
        <v>327</v>
      </c>
      <c r="H3" s="135">
        <f>IF(B$17=0,0,G3/B$17)</f>
        <v>0.54049586776859504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-12.345679012345679</v>
      </c>
      <c r="P3" s="121">
        <v>243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300</v>
      </c>
      <c r="H4" s="135">
        <f>IF(B$17=0,0,G4/B$17)</f>
        <v>0.49586776859504134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17.777777777777779</v>
      </c>
      <c r="P4" s="121">
        <v>225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229</v>
      </c>
      <c r="H5" s="135">
        <f>IF(B$17=0,0,G5/B$17)</f>
        <v>0.37851239669421488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14.705882352941176</v>
      </c>
      <c r="P5" s="121">
        <v>204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171</v>
      </c>
      <c r="H6" s="135">
        <f>IF(B$17=0,0,G6/B$17)</f>
        <v>0.28264462809917357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-26.455026455026456</v>
      </c>
      <c r="P6" s="121">
        <v>189</v>
      </c>
      <c r="Q6" s="105">
        <v>-5000</v>
      </c>
    </row>
    <row r="7" spans="1:17" x14ac:dyDescent="0.4">
      <c r="A7" s="55" t="s">
        <v>2</v>
      </c>
      <c r="B7" s="47">
        <v>82</v>
      </c>
      <c r="C7" s="39">
        <f>IF(B$2=0,0,B7/B$2)</f>
        <v>0.33333333333333331</v>
      </c>
      <c r="E7" s="63" t="s">
        <v>68</v>
      </c>
      <c r="F7" s="60" t="s">
        <v>24</v>
      </c>
      <c r="G7" s="47">
        <v>168</v>
      </c>
      <c r="H7" s="135">
        <f>IF(B$17=0,0,G7/B$17)</f>
        <v>0.27768595041322314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33.898305084745765</v>
      </c>
      <c r="P7" s="122">
        <v>177</v>
      </c>
      <c r="Q7" s="106">
        <v>6000</v>
      </c>
    </row>
    <row r="8" spans="1:17" x14ac:dyDescent="0.4">
      <c r="A8" s="55" t="s">
        <v>3</v>
      </c>
      <c r="B8" s="47">
        <v>82</v>
      </c>
      <c r="C8" s="39">
        <f>IF(B$2=0,0,B8/B$2)</f>
        <v>0.33333333333333331</v>
      </c>
      <c r="E8" s="63" t="s">
        <v>70</v>
      </c>
      <c r="F8" s="60" t="s">
        <v>25</v>
      </c>
      <c r="G8" s="47">
        <v>108</v>
      </c>
      <c r="H8" s="135">
        <f>IF(B$17=0,0,G8/B$17)</f>
        <v>0.17851239669421487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82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86</v>
      </c>
      <c r="H9" s="135">
        <f>IF(B$17=0,0,G9/B$17)</f>
        <v>0.14214876033057852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25</v>
      </c>
      <c r="C10" s="40">
        <f>IF(B$2=0,0,B10/B$2)</f>
        <v>0.1016260162601626</v>
      </c>
      <c r="E10" s="63" t="s">
        <v>66</v>
      </c>
      <c r="F10" s="60" t="s">
        <v>22</v>
      </c>
      <c r="G10" s="47">
        <v>73</v>
      </c>
      <c r="H10" s="135">
        <f>IF(B$17=0,0,G10/B$17)</f>
        <v>0.12066115702479339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-3.7036585365853658</v>
      </c>
      <c r="P10" s="120">
        <v>82</v>
      </c>
      <c r="Q10" s="108">
        <v>-303.7</v>
      </c>
    </row>
    <row r="11" spans="1:17" x14ac:dyDescent="0.4">
      <c r="A11" s="56" t="s">
        <v>140</v>
      </c>
      <c r="B11" s="48">
        <v>25</v>
      </c>
      <c r="C11" s="40">
        <f>IF(B$2=0,0,B11/B$2)</f>
        <v>0.1016260162601626</v>
      </c>
      <c r="E11" s="63" t="s">
        <v>71</v>
      </c>
      <c r="F11" s="60" t="s">
        <v>26</v>
      </c>
      <c r="G11" s="47">
        <v>66</v>
      </c>
      <c r="H11" s="135">
        <f>IF(B$17=0,0,G11/B$17)</f>
        <v>0.10909090909090909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-5.1926829268292689</v>
      </c>
      <c r="P11" s="121">
        <v>82</v>
      </c>
      <c r="Q11" s="109">
        <v>-425.80000000000007</v>
      </c>
    </row>
    <row r="12" spans="1:17" x14ac:dyDescent="0.4">
      <c r="A12" s="57" t="s">
        <v>160</v>
      </c>
      <c r="B12" s="49">
        <v>24</v>
      </c>
      <c r="C12" s="42">
        <f>IF(B$2=0,0,B12/B$2)</f>
        <v>9.7560975609756101E-2</v>
      </c>
      <c r="E12" s="63" t="s">
        <v>87</v>
      </c>
      <c r="F12" s="60" t="s">
        <v>42</v>
      </c>
      <c r="G12" s="47">
        <v>39</v>
      </c>
      <c r="H12" s="135">
        <f>IF(B$17=0,0,G12/B$17)</f>
        <v>6.4462809917355368E-2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8.8963414634146361</v>
      </c>
      <c r="P12" s="122">
        <v>82</v>
      </c>
      <c r="Q12" s="110">
        <v>729.50000000000011</v>
      </c>
    </row>
    <row r="13" spans="1:17" x14ac:dyDescent="0.4">
      <c r="A13" s="58" t="s">
        <v>122</v>
      </c>
      <c r="B13" s="50">
        <v>526</v>
      </c>
      <c r="C13" s="44">
        <f>IF(B$3=0,0,B13/B$3)</f>
        <v>0.25936883629191321</v>
      </c>
      <c r="E13" s="63" t="s">
        <v>72</v>
      </c>
      <c r="F13" s="60" t="s">
        <v>27</v>
      </c>
      <c r="G13" s="47">
        <v>34</v>
      </c>
      <c r="H13" s="135">
        <f>IF(B$17=0,0,G13/B$17)</f>
        <v>5.6198347107438019E-2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434</v>
      </c>
      <c r="C14" s="39">
        <f>IF(B$3=0,0,B14/B$3)</f>
        <v>0.21400394477317555</v>
      </c>
      <c r="E14" s="63" t="s">
        <v>84</v>
      </c>
      <c r="F14" s="60" t="s">
        <v>39</v>
      </c>
      <c r="G14" s="47">
        <v>25</v>
      </c>
      <c r="H14" s="135">
        <f>IF(B$17=0,0,G14/B$17)</f>
        <v>4.1322314049586778E-2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314</v>
      </c>
      <c r="C15" s="37">
        <f>IF(B$13=0,0,B15/B$13)</f>
        <v>0.59695817490494296</v>
      </c>
      <c r="E15" s="63" t="s">
        <v>82</v>
      </c>
      <c r="F15" s="60" t="s">
        <v>37</v>
      </c>
      <c r="G15" s="47">
        <v>16</v>
      </c>
      <c r="H15" s="135">
        <f>IF(B$17=0,0,G15/B$17)</f>
        <v>2.6446280991735537E-2</v>
      </c>
      <c r="I15" s="96">
        <v>5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168</v>
      </c>
      <c r="C16" s="37">
        <f>IF(B$14=0,0,B16/B$14)</f>
        <v>0.38709677419354838</v>
      </c>
      <c r="E16" s="63" t="s">
        <v>92</v>
      </c>
      <c r="F16" s="60" t="s">
        <v>47</v>
      </c>
      <c r="G16" s="47">
        <v>12</v>
      </c>
      <c r="H16" s="135">
        <f>IF(B$17=0,0,G16/B$17)</f>
        <v>1.9834710743801654E-2</v>
      </c>
      <c r="I16" s="96">
        <v>3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0.2983234714003945</v>
      </c>
      <c r="E17" s="63" t="s">
        <v>79</v>
      </c>
      <c r="F17" s="60" t="s">
        <v>34</v>
      </c>
      <c r="G17" s="47">
        <v>10</v>
      </c>
      <c r="H17" s="135">
        <f>IF(B$17=0,0,G17/B$17)</f>
        <v>1.6528925619834711E-2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251</v>
      </c>
      <c r="C18" s="39">
        <f>IF(B$17=0,0,B18/B$17)</f>
        <v>0.41487603305785126</v>
      </c>
      <c r="E18" s="63" t="s">
        <v>181</v>
      </c>
      <c r="F18" s="60" t="s">
        <v>184</v>
      </c>
      <c r="G18" s="47">
        <v>7</v>
      </c>
      <c r="H18" s="135">
        <f>IF(B$17=0,0,G18/B$17)</f>
        <v>1.1570247933884297E-2</v>
      </c>
      <c r="I18" s="96">
        <v>3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354</v>
      </c>
      <c r="C19" s="39">
        <f>IF(B$17=0,0,B19/B$17)</f>
        <v>0.58512396694214874</v>
      </c>
      <c r="E19" s="63" t="s">
        <v>76</v>
      </c>
      <c r="F19" s="60" t="s">
        <v>31</v>
      </c>
      <c r="G19" s="47">
        <v>6</v>
      </c>
      <c r="H19" s="135">
        <f>IF(B$17=0,0,G19/B$17)</f>
        <v>9.9173553719008271E-3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14.557142857142864</v>
      </c>
      <c r="P19" s="121">
        <v>42</v>
      </c>
      <c r="Q19" s="109">
        <v>611.40000000000032</v>
      </c>
    </row>
    <row r="20" spans="1:17" x14ac:dyDescent="0.4">
      <c r="A20" s="55" t="s">
        <v>13</v>
      </c>
      <c r="B20" s="47">
        <v>349</v>
      </c>
      <c r="C20" s="39">
        <f>IF(B$3=0,0,B20/B$3)</f>
        <v>0.17209072978303747</v>
      </c>
      <c r="E20" s="63" t="s">
        <v>80</v>
      </c>
      <c r="F20" s="60" t="s">
        <v>35</v>
      </c>
      <c r="G20" s="47">
        <v>6</v>
      </c>
      <c r="H20" s="135">
        <f>IF(B$17=0,0,G20/B$17)</f>
        <v>9.9173553719008271E-3</v>
      </c>
      <c r="I20" s="96">
        <v>4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74</v>
      </c>
      <c r="F21" s="60" t="s">
        <v>29</v>
      </c>
      <c r="G21" s="47">
        <v>4</v>
      </c>
      <c r="H21" s="135">
        <f>IF(B$17=0,0,G21/B$17)</f>
        <v>6.6115702479338841E-3</v>
      </c>
      <c r="I21" s="96">
        <v>4</v>
      </c>
      <c r="K21" s="38">
        <v>19</v>
      </c>
      <c r="L21" s="101">
        <v>30.999999999999996</v>
      </c>
      <c r="N21" s="117" t="s">
        <v>128</v>
      </c>
      <c r="O21" s="127">
        <f>IF(P21=0,0,Q21/P21)</f>
        <v>1.441525423728812</v>
      </c>
      <c r="P21" s="121">
        <v>118</v>
      </c>
      <c r="Q21" s="109">
        <v>170.09999999999982</v>
      </c>
    </row>
    <row r="22" spans="1:17" x14ac:dyDescent="0.4">
      <c r="A22" s="55" t="s">
        <v>195</v>
      </c>
      <c r="B22" s="47">
        <v>31</v>
      </c>
      <c r="C22" s="137">
        <v>2</v>
      </c>
      <c r="E22" s="63" t="s">
        <v>93</v>
      </c>
      <c r="F22" s="60" t="s">
        <v>48</v>
      </c>
      <c r="G22" s="47">
        <v>3</v>
      </c>
      <c r="H22" s="135">
        <f>IF(B$17=0,0,G22/B$17)</f>
        <v>4.9586776859504135E-3</v>
      </c>
      <c r="I22" s="96">
        <v>4</v>
      </c>
      <c r="K22" s="38">
        <v>20</v>
      </c>
      <c r="L22" s="101">
        <v>0.79999999999999716</v>
      </c>
      <c r="N22" s="117" t="s">
        <v>173</v>
      </c>
      <c r="O22" s="127">
        <f>IF(P22=0,0,Q22/P22)</f>
        <v>0.35217391304347634</v>
      </c>
      <c r="P22" s="121">
        <v>46</v>
      </c>
      <c r="Q22" s="109">
        <v>16.19999999999991</v>
      </c>
    </row>
    <row r="23" spans="1:17" x14ac:dyDescent="0.4">
      <c r="A23" s="55" t="s">
        <v>5</v>
      </c>
      <c r="B23" s="51">
        <f>IF(B$17=0,0,C23/B$17)</f>
        <v>8388.9256198347102</v>
      </c>
      <c r="C23" s="41">
        <v>5075300</v>
      </c>
      <c r="E23" s="63" t="s">
        <v>75</v>
      </c>
      <c r="F23" s="60" t="s">
        <v>30</v>
      </c>
      <c r="G23" s="47">
        <v>2</v>
      </c>
      <c r="H23" s="135">
        <f>IF(B$17=0,0,G23/B$17)</f>
        <v>3.3057851239669421E-3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-8060.1719197707735</v>
      </c>
      <c r="C24" s="45">
        <v>-2813000</v>
      </c>
      <c r="E24" s="63" t="s">
        <v>78</v>
      </c>
      <c r="F24" s="60" t="s">
        <v>33</v>
      </c>
      <c r="G24" s="47">
        <v>2</v>
      </c>
      <c r="H24" s="135">
        <f>IF(B$17=0,0,G24/B$17)</f>
        <v>3.3057851239669421E-3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-39.031034482758599</v>
      </c>
      <c r="P24" s="121">
        <v>116</v>
      </c>
      <c r="Q24" s="109">
        <v>-4527.5999999999976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3.3057851239669421E-3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1.652892561983471E-3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3.9447731755424065E-3</v>
      </c>
      <c r="E27" s="63" t="s">
        <v>86</v>
      </c>
      <c r="F27" s="60" t="s">
        <v>41</v>
      </c>
      <c r="G27" s="47">
        <v>1</v>
      </c>
      <c r="H27" s="135">
        <f>IF(B$17=0,0,G27/B$17)</f>
        <v>1.652892561983471E-3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1.652892561983471E-3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1.652892561983471E-3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1.652892561983471E-3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1.652892561983471E-3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DA580-208F-45B9-97C4-65E940E2A60C}">
  <sheetPr codeName="Sheet7"/>
  <dimension ref="A1:Q60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58</v>
      </c>
      <c r="C2" s="149"/>
      <c r="E2" s="62" t="s">
        <v>67</v>
      </c>
      <c r="F2" s="59" t="s">
        <v>23</v>
      </c>
      <c r="G2" s="46">
        <v>148</v>
      </c>
      <c r="H2" s="134">
        <f>IF(B$17=0,0,G2/B$17)</f>
        <v>0.78723404255319152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3891.3793103448274</v>
      </c>
      <c r="P2" s="120">
        <v>58</v>
      </c>
      <c r="Q2" s="104">
        <v>225700</v>
      </c>
    </row>
    <row r="3" spans="1:17" x14ac:dyDescent="0.4">
      <c r="A3" s="55" t="s">
        <v>8</v>
      </c>
      <c r="B3" s="150">
        <v>455</v>
      </c>
      <c r="C3" s="151"/>
      <c r="E3" s="63" t="s">
        <v>73</v>
      </c>
      <c r="F3" s="60" t="s">
        <v>28</v>
      </c>
      <c r="G3" s="47">
        <v>104</v>
      </c>
      <c r="H3" s="135">
        <f>IF(B$17=0,0,G3/B$17)</f>
        <v>0.55319148936170215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3787.719298245614</v>
      </c>
      <c r="P3" s="121">
        <v>57</v>
      </c>
      <c r="Q3" s="105">
        <v>215900</v>
      </c>
    </row>
    <row r="4" spans="1:17" x14ac:dyDescent="0.4">
      <c r="A4" s="55" t="s">
        <v>6</v>
      </c>
      <c r="B4" s="152">
        <v>1509.2000000000003</v>
      </c>
      <c r="C4" s="153"/>
      <c r="E4" s="63" t="s">
        <v>65</v>
      </c>
      <c r="F4" s="60" t="s">
        <v>21</v>
      </c>
      <c r="G4" s="47">
        <v>93</v>
      </c>
      <c r="H4" s="135">
        <f>IF(B$17=0,0,G4/B$17)</f>
        <v>0.49468085106382981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2915.0943396226417</v>
      </c>
      <c r="P4" s="121">
        <v>53</v>
      </c>
      <c r="Q4" s="105">
        <v>154500</v>
      </c>
    </row>
    <row r="5" spans="1:17" x14ac:dyDescent="0.4">
      <c r="A5" s="55" t="s">
        <v>7</v>
      </c>
      <c r="B5" s="154">
        <f>IF(B$2=0,0,B$4/B$2)</f>
        <v>26.020689655172418</v>
      </c>
      <c r="C5" s="155"/>
      <c r="E5" s="63" t="s">
        <v>182</v>
      </c>
      <c r="F5" s="60" t="s">
        <v>183</v>
      </c>
      <c r="G5" s="47">
        <v>80</v>
      </c>
      <c r="H5" s="135">
        <f>IF(B$17=0,0,G5/B$17)</f>
        <v>0.42553191489361702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5838.2978723404258</v>
      </c>
      <c r="P5" s="121">
        <v>47</v>
      </c>
      <c r="Q5" s="105">
        <v>274400</v>
      </c>
    </row>
    <row r="6" spans="1:17" x14ac:dyDescent="0.4">
      <c r="A6" s="55" t="s">
        <v>1</v>
      </c>
      <c r="B6" s="144">
        <f>IF(B$2=0,0,(B$7*1+B$8*2+B$9*3)/B$2)</f>
        <v>1.5172413793103448</v>
      </c>
      <c r="C6" s="145"/>
      <c r="E6" s="63" t="s">
        <v>68</v>
      </c>
      <c r="F6" s="60" t="s">
        <v>24</v>
      </c>
      <c r="G6" s="47">
        <v>60</v>
      </c>
      <c r="H6" s="135">
        <f>IF(B$17=0,0,G6/B$17)</f>
        <v>0.31914893617021278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1483.3333333333333</v>
      </c>
      <c r="P6" s="121">
        <v>42</v>
      </c>
      <c r="Q6" s="105">
        <v>62300</v>
      </c>
    </row>
    <row r="7" spans="1:17" x14ac:dyDescent="0.4">
      <c r="A7" s="55" t="s">
        <v>2</v>
      </c>
      <c r="B7" s="47">
        <v>36</v>
      </c>
      <c r="C7" s="39">
        <f>IF(B$2=0,0,B7/B$2)</f>
        <v>0.62068965517241381</v>
      </c>
      <c r="E7" s="63" t="s">
        <v>69</v>
      </c>
      <c r="F7" s="60" t="s">
        <v>12</v>
      </c>
      <c r="G7" s="47">
        <v>43</v>
      </c>
      <c r="H7" s="135">
        <f>IF(B$17=0,0,G7/B$17)</f>
        <v>0.22872340425531915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292.30769230769232</v>
      </c>
      <c r="P7" s="122">
        <v>39</v>
      </c>
      <c r="Q7" s="106">
        <v>11400</v>
      </c>
    </row>
    <row r="8" spans="1:17" x14ac:dyDescent="0.4">
      <c r="A8" s="55" t="s">
        <v>3</v>
      </c>
      <c r="B8" s="47">
        <v>14</v>
      </c>
      <c r="C8" s="39">
        <f>IF(B$2=0,0,B8/B$2)</f>
        <v>0.2413793103448276</v>
      </c>
      <c r="E8" s="63" t="s">
        <v>90</v>
      </c>
      <c r="F8" s="60" t="s">
        <v>45</v>
      </c>
      <c r="G8" s="47">
        <v>34</v>
      </c>
      <c r="H8" s="135">
        <f>IF(B$17=0,0,G8/B$17)</f>
        <v>0.18085106382978725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0.13793103448275862</v>
      </c>
      <c r="E9" s="63" t="s">
        <v>70</v>
      </c>
      <c r="F9" s="60" t="s">
        <v>25</v>
      </c>
      <c r="G9" s="47">
        <v>32</v>
      </c>
      <c r="H9" s="135">
        <f>IF(B$17=0,0,G9/B$17)</f>
        <v>0.1702127659574468</v>
      </c>
      <c r="I9" s="96">
        <v>8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3.4482758620689655E-2</v>
      </c>
      <c r="E10" s="63" t="s">
        <v>66</v>
      </c>
      <c r="F10" s="60" t="s">
        <v>22</v>
      </c>
      <c r="G10" s="47">
        <v>27</v>
      </c>
      <c r="H10" s="135">
        <f>IF(B$17=0,0,G10/B$17)</f>
        <v>0.14361702127659576</v>
      </c>
      <c r="I10" s="96">
        <v>4</v>
      </c>
      <c r="K10" s="38">
        <v>8</v>
      </c>
      <c r="L10" s="101">
        <v>285.20000000000005</v>
      </c>
      <c r="N10" s="116" t="s">
        <v>165</v>
      </c>
      <c r="O10" s="126">
        <f>IF(P10=0,0,Q10/P10)</f>
        <v>22.222222222222221</v>
      </c>
      <c r="P10" s="120">
        <v>18</v>
      </c>
      <c r="Q10" s="108">
        <v>400</v>
      </c>
    </row>
    <row r="11" spans="1:17" x14ac:dyDescent="0.4">
      <c r="A11" s="56" t="s">
        <v>140</v>
      </c>
      <c r="B11" s="48">
        <v>14</v>
      </c>
      <c r="C11" s="40">
        <f>IF(B$2=0,0,B11/B$2)</f>
        <v>0.2413793103448276</v>
      </c>
      <c r="E11" s="63" t="s">
        <v>87</v>
      </c>
      <c r="F11" s="60" t="s">
        <v>42</v>
      </c>
      <c r="G11" s="47">
        <v>17</v>
      </c>
      <c r="H11" s="135">
        <f>IF(B$17=0,0,G11/B$17)</f>
        <v>9.0425531914893623E-2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19.033333333333331</v>
      </c>
      <c r="P11" s="121">
        <v>18</v>
      </c>
      <c r="Q11" s="109">
        <v>342.59999999999997</v>
      </c>
    </row>
    <row r="12" spans="1:17" x14ac:dyDescent="0.4">
      <c r="A12" s="57" t="s">
        <v>160</v>
      </c>
      <c r="B12" s="49">
        <v>12</v>
      </c>
      <c r="C12" s="42">
        <f>IF(B$2=0,0,B12/B$2)</f>
        <v>0.20689655172413793</v>
      </c>
      <c r="E12" s="63" t="s">
        <v>71</v>
      </c>
      <c r="F12" s="60" t="s">
        <v>26</v>
      </c>
      <c r="G12" s="47">
        <v>16</v>
      </c>
      <c r="H12" s="135">
        <f>IF(B$17=0,0,G12/B$17)</f>
        <v>8.5106382978723402E-2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151</v>
      </c>
      <c r="C13" s="44">
        <f>IF(B$3=0,0,B13/B$3)</f>
        <v>0.33186813186813185</v>
      </c>
      <c r="E13" s="63" t="s">
        <v>72</v>
      </c>
      <c r="F13" s="60" t="s">
        <v>27</v>
      </c>
      <c r="G13" s="47">
        <v>10</v>
      </c>
      <c r="H13" s="135">
        <f>IF(B$17=0,0,G13/B$17)</f>
        <v>5.3191489361702128E-2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109</v>
      </c>
      <c r="C14" s="39">
        <f>IF(B$3=0,0,B14/B$3)</f>
        <v>0.23956043956043957</v>
      </c>
      <c r="E14" s="63" t="s">
        <v>84</v>
      </c>
      <c r="F14" s="60" t="s">
        <v>39</v>
      </c>
      <c r="G14" s="47">
        <v>10</v>
      </c>
      <c r="H14" s="135">
        <f>IF(B$17=0,0,G14/B$17)</f>
        <v>5.3191489361702128E-2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97</v>
      </c>
      <c r="C15" s="37">
        <f>IF(B$13=0,0,B15/B$13)</f>
        <v>0.64238410596026485</v>
      </c>
      <c r="E15" s="63" t="s">
        <v>82</v>
      </c>
      <c r="F15" s="60" t="s">
        <v>37</v>
      </c>
      <c r="G15" s="47">
        <v>5</v>
      </c>
      <c r="H15" s="135">
        <f>IF(B$17=0,0,G15/B$17)</f>
        <v>2.6595744680851064E-2</v>
      </c>
      <c r="I15" s="96">
        <v>4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61</v>
      </c>
      <c r="C16" s="37">
        <f>IF(B$14=0,0,B16/B$14)</f>
        <v>0.55963302752293576</v>
      </c>
      <c r="E16" s="63" t="s">
        <v>79</v>
      </c>
      <c r="F16" s="60" t="s">
        <v>34</v>
      </c>
      <c r="G16" s="47">
        <v>3</v>
      </c>
      <c r="H16" s="135">
        <f>IF(B$17=0,0,G16/B$17)</f>
        <v>1.5957446808510637E-2</v>
      </c>
      <c r="I16" s="96">
        <v>5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0.41318681318681316</v>
      </c>
      <c r="E17" s="63" t="s">
        <v>92</v>
      </c>
      <c r="F17" s="60" t="s">
        <v>47</v>
      </c>
      <c r="G17" s="47">
        <v>3</v>
      </c>
      <c r="H17" s="135">
        <f>IF(B$17=0,0,G17/B$17)</f>
        <v>1.5957446808510637E-2</v>
      </c>
      <c r="I17" s="96">
        <v>5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76</v>
      </c>
      <c r="C18" s="39">
        <f>IF(B$17=0,0,B18/B$17)</f>
        <v>0.40425531914893614</v>
      </c>
      <c r="E18" s="63" t="s">
        <v>74</v>
      </c>
      <c r="F18" s="60" t="s">
        <v>29</v>
      </c>
      <c r="G18" s="47">
        <v>2</v>
      </c>
      <c r="H18" s="135">
        <f>IF(B$17=0,0,G18/B$17)</f>
        <v>1.0638297872340425E-2</v>
      </c>
      <c r="I18" s="96">
        <v>2</v>
      </c>
      <c r="K18" s="38">
        <v>16</v>
      </c>
      <c r="L18" s="101">
        <v>425.50000000000006</v>
      </c>
      <c r="N18" s="117" t="s">
        <v>178</v>
      </c>
      <c r="O18" s="127">
        <f>IF(P18=0,0,Q18/P18)</f>
        <v>48.9375</v>
      </c>
      <c r="P18" s="121">
        <v>8</v>
      </c>
      <c r="Q18" s="109">
        <v>391.5</v>
      </c>
    </row>
    <row r="19" spans="1:17" x14ac:dyDescent="0.4">
      <c r="A19" s="55" t="s">
        <v>11</v>
      </c>
      <c r="B19" s="47">
        <v>112</v>
      </c>
      <c r="C19" s="39">
        <f>IF(B$17=0,0,B19/B$17)</f>
        <v>0.5957446808510638</v>
      </c>
      <c r="E19" s="63" t="s">
        <v>181</v>
      </c>
      <c r="F19" s="60" t="s">
        <v>184</v>
      </c>
      <c r="G19" s="47">
        <v>2</v>
      </c>
      <c r="H19" s="135">
        <f>IF(B$17=0,0,G19/B$17)</f>
        <v>1.0638297872340425E-2</v>
      </c>
      <c r="I19" s="96">
        <v>4</v>
      </c>
      <c r="K19" s="38">
        <v>17</v>
      </c>
      <c r="L19" s="101">
        <v>427.40000000000003</v>
      </c>
      <c r="N19" s="117" t="s">
        <v>174</v>
      </c>
      <c r="O19" s="127">
        <f>IF(P19=0,0,Q19/P19)</f>
        <v>47.655555555555551</v>
      </c>
      <c r="P19" s="121">
        <v>9</v>
      </c>
      <c r="Q19" s="109">
        <v>428.9</v>
      </c>
    </row>
    <row r="20" spans="1:17" x14ac:dyDescent="0.4">
      <c r="A20" s="55" t="s">
        <v>13</v>
      </c>
      <c r="B20" s="47">
        <v>64</v>
      </c>
      <c r="C20" s="39">
        <f>IF(B$3=0,0,B20/B$3)</f>
        <v>0.14065934065934066</v>
      </c>
      <c r="E20" s="63" t="s">
        <v>76</v>
      </c>
      <c r="F20" s="60" t="s">
        <v>31</v>
      </c>
      <c r="G20" s="47">
        <v>1</v>
      </c>
      <c r="H20" s="135">
        <f>IF(B$17=0,0,G20/B$17)</f>
        <v>5.3191489361702126E-3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46.736363636363642</v>
      </c>
      <c r="P20" s="121">
        <v>11</v>
      </c>
      <c r="Q20" s="109">
        <v>514.1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78</v>
      </c>
      <c r="F21" s="60" t="s">
        <v>33</v>
      </c>
      <c r="G21" s="47">
        <v>1</v>
      </c>
      <c r="H21" s="135">
        <f>IF(B$17=0,0,G21/B$17)</f>
        <v>5.3191489361702126E-3</v>
      </c>
      <c r="I21" s="96">
        <v>2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2</v>
      </c>
      <c r="E22" s="63" t="s">
        <v>80</v>
      </c>
      <c r="F22" s="60" t="s">
        <v>35</v>
      </c>
      <c r="G22" s="47">
        <v>1</v>
      </c>
      <c r="H22" s="135">
        <f>IF(B$17=0,0,G22/B$17)</f>
        <v>5.3191489361702126E-3</v>
      </c>
      <c r="I22" s="96">
        <v>5</v>
      </c>
      <c r="K22" s="38">
        <v>20</v>
      </c>
      <c r="L22" s="101">
        <v>469.6</v>
      </c>
      <c r="N22" s="117" t="s">
        <v>128</v>
      </c>
      <c r="O22" s="127">
        <f>IF(P22=0,0,Q22/P22)</f>
        <v>27.200000000000006</v>
      </c>
      <c r="P22" s="121">
        <v>45</v>
      </c>
      <c r="Q22" s="109">
        <v>1224.0000000000002</v>
      </c>
    </row>
    <row r="23" spans="1:17" x14ac:dyDescent="0.4">
      <c r="A23" s="55" t="s">
        <v>5</v>
      </c>
      <c r="B23" s="51">
        <f>IF(B$17=0,0,C23/B$17)</f>
        <v>9556.9148936170204</v>
      </c>
      <c r="C23" s="41">
        <v>1796700</v>
      </c>
      <c r="E23" s="63" t="s">
        <v>88</v>
      </c>
      <c r="F23" s="60" t="s">
        <v>43</v>
      </c>
      <c r="G23" s="47">
        <v>1</v>
      </c>
      <c r="H23" s="135">
        <f>IF(B$17=0,0,G23/B$17)</f>
        <v>5.3191489361702126E-3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-7785.9375</v>
      </c>
      <c r="C24" s="45">
        <v>-498300</v>
      </c>
      <c r="E24" s="63" t="s">
        <v>91</v>
      </c>
      <c r="F24" s="60" t="s">
        <v>46</v>
      </c>
      <c r="G24" s="47">
        <v>1</v>
      </c>
      <c r="H24" s="135">
        <f>IF(B$17=0,0,G24/B$17)</f>
        <v>5.3191489361702126E-3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5.3191489361702126E-3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5.3191489361702126E-3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5.3191489361702126E-3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C2065-984D-4899-B026-26D6C35743E3}">
  <sheetPr codeName="Sheet9"/>
  <dimension ref="A1:Q6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59</v>
      </c>
      <c r="C2" s="149"/>
      <c r="E2" s="62" t="s">
        <v>67</v>
      </c>
      <c r="F2" s="59" t="s">
        <v>23</v>
      </c>
      <c r="G2" s="46">
        <v>90</v>
      </c>
      <c r="H2" s="134">
        <f>IF(B$17=0,0,G2/B$17)</f>
        <v>0.64748201438848918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1181.3559322033898</v>
      </c>
      <c r="P2" s="120">
        <v>59</v>
      </c>
      <c r="Q2" s="104">
        <v>69700</v>
      </c>
    </row>
    <row r="3" spans="1:17" x14ac:dyDescent="0.4">
      <c r="A3" s="55" t="s">
        <v>8</v>
      </c>
      <c r="B3" s="150">
        <v>490</v>
      </c>
      <c r="C3" s="151"/>
      <c r="E3" s="63" t="s">
        <v>65</v>
      </c>
      <c r="F3" s="60" t="s">
        <v>21</v>
      </c>
      <c r="G3" s="47">
        <v>80</v>
      </c>
      <c r="H3" s="135">
        <f>IF(B$17=0,0,G3/B$17)</f>
        <v>0.57553956834532372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-1472.4137931034484</v>
      </c>
      <c r="P3" s="121">
        <v>58</v>
      </c>
      <c r="Q3" s="105">
        <v>-85400</v>
      </c>
    </row>
    <row r="4" spans="1:17" x14ac:dyDescent="0.4">
      <c r="A4" s="55" t="s">
        <v>6</v>
      </c>
      <c r="B4" s="152">
        <v>-56.700000000000045</v>
      </c>
      <c r="C4" s="153"/>
      <c r="E4" s="63" t="s">
        <v>73</v>
      </c>
      <c r="F4" s="60" t="s">
        <v>28</v>
      </c>
      <c r="G4" s="47">
        <v>63</v>
      </c>
      <c r="H4" s="135">
        <f>IF(B$17=0,0,G4/B$17)</f>
        <v>0.45323741007194246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-1558.9285714285713</v>
      </c>
      <c r="P4" s="121">
        <v>56</v>
      </c>
      <c r="Q4" s="105">
        <v>-87300</v>
      </c>
    </row>
    <row r="5" spans="1:17" x14ac:dyDescent="0.4">
      <c r="A5" s="55" t="s">
        <v>7</v>
      </c>
      <c r="B5" s="154">
        <f>IF(B$2=0,0,B$4/B$2)</f>
        <v>-0.9610169491525431</v>
      </c>
      <c r="C5" s="155"/>
      <c r="E5" s="63" t="s">
        <v>182</v>
      </c>
      <c r="F5" s="60" t="s">
        <v>183</v>
      </c>
      <c r="G5" s="47">
        <v>57</v>
      </c>
      <c r="H5" s="135">
        <f>IF(B$17=0,0,G5/B$17)</f>
        <v>0.41007194244604317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-108</v>
      </c>
      <c r="P5" s="121">
        <v>50</v>
      </c>
      <c r="Q5" s="105">
        <v>-5400</v>
      </c>
    </row>
    <row r="6" spans="1:17" x14ac:dyDescent="0.4">
      <c r="A6" s="55" t="s">
        <v>1</v>
      </c>
      <c r="B6" s="144">
        <f>IF(B$2=0,0,(B$7*1+B$8*2+B$9*3)/B$2)</f>
        <v>2.0508474576271185</v>
      </c>
      <c r="C6" s="145"/>
      <c r="E6" s="63" t="s">
        <v>68</v>
      </c>
      <c r="F6" s="60" t="s">
        <v>24</v>
      </c>
      <c r="G6" s="47">
        <v>50</v>
      </c>
      <c r="H6" s="135">
        <f>IF(B$17=0,0,G6/B$17)</f>
        <v>0.35971223021582732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1415.2173913043478</v>
      </c>
      <c r="P6" s="121">
        <v>46</v>
      </c>
      <c r="Q6" s="105">
        <v>65100</v>
      </c>
    </row>
    <row r="7" spans="1:17" x14ac:dyDescent="0.4">
      <c r="A7" s="55" t="s">
        <v>2</v>
      </c>
      <c r="B7" s="47">
        <v>15</v>
      </c>
      <c r="C7" s="39">
        <f>IF(B$2=0,0,B7/B$2)</f>
        <v>0.25423728813559321</v>
      </c>
      <c r="E7" s="63" t="s">
        <v>69</v>
      </c>
      <c r="F7" s="60" t="s">
        <v>12</v>
      </c>
      <c r="G7" s="47">
        <v>48</v>
      </c>
      <c r="H7" s="135">
        <f>IF(B$17=0,0,G7/B$17)</f>
        <v>0.34532374100719426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1083.7209302325582</v>
      </c>
      <c r="P7" s="122">
        <v>43</v>
      </c>
      <c r="Q7" s="106">
        <v>46600</v>
      </c>
    </row>
    <row r="8" spans="1:17" x14ac:dyDescent="0.4">
      <c r="A8" s="55" t="s">
        <v>3</v>
      </c>
      <c r="B8" s="47">
        <v>26</v>
      </c>
      <c r="C8" s="39">
        <f>IF(B$2=0,0,B8/B$2)</f>
        <v>0.44067796610169491</v>
      </c>
      <c r="E8" s="63" t="s">
        <v>70</v>
      </c>
      <c r="F8" s="60" t="s">
        <v>25</v>
      </c>
      <c r="G8" s="47">
        <v>31</v>
      </c>
      <c r="H8" s="135">
        <f>IF(B$17=0,0,G8/B$17)</f>
        <v>0.22302158273381295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66</v>
      </c>
      <c r="F9" s="60" t="s">
        <v>22</v>
      </c>
      <c r="G9" s="47">
        <v>20</v>
      </c>
      <c r="H9" s="135">
        <f>IF(B$17=0,0,G9/B$17)</f>
        <v>0.14388489208633093</v>
      </c>
      <c r="I9" s="96">
        <v>3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0.11864406779661017</v>
      </c>
      <c r="E10" s="63" t="s">
        <v>71</v>
      </c>
      <c r="F10" s="60" t="s">
        <v>26</v>
      </c>
      <c r="G10" s="47">
        <v>20</v>
      </c>
      <c r="H10" s="135">
        <f>IF(B$17=0,0,G10/B$17)</f>
        <v>0.14388489208633093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5</v>
      </c>
      <c r="C11" s="40">
        <f>IF(B$2=0,0,B11/B$2)</f>
        <v>8.4745762711864403E-2</v>
      </c>
      <c r="E11" s="63" t="s">
        <v>90</v>
      </c>
      <c r="F11" s="60" t="s">
        <v>45</v>
      </c>
      <c r="G11" s="47">
        <v>15</v>
      </c>
      <c r="H11" s="135">
        <f>IF(B$17=0,0,G11/B$17)</f>
        <v>0.1079136690647482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-9.170588235294117</v>
      </c>
      <c r="P11" s="121">
        <v>17</v>
      </c>
      <c r="Q11" s="109">
        <v>-155.89999999999998</v>
      </c>
    </row>
    <row r="12" spans="1:17" x14ac:dyDescent="0.4">
      <c r="A12" s="57" t="s">
        <v>160</v>
      </c>
      <c r="B12" s="49">
        <v>4</v>
      </c>
      <c r="C12" s="42">
        <f>IF(B$2=0,0,B12/B$2)</f>
        <v>6.7796610169491525E-2</v>
      </c>
      <c r="E12" s="63" t="s">
        <v>87</v>
      </c>
      <c r="F12" s="60" t="s">
        <v>42</v>
      </c>
      <c r="G12" s="47">
        <v>9</v>
      </c>
      <c r="H12" s="135">
        <f>IF(B$17=0,0,G12/B$17)</f>
        <v>6.4748201438848921E-2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13.492307692307692</v>
      </c>
      <c r="P12" s="122">
        <v>13</v>
      </c>
      <c r="Q12" s="110">
        <v>175.4</v>
      </c>
    </row>
    <row r="13" spans="1:17" x14ac:dyDescent="0.4">
      <c r="A13" s="58" t="s">
        <v>122</v>
      </c>
      <c r="B13" s="50">
        <v>135</v>
      </c>
      <c r="C13" s="44">
        <f>IF(B$3=0,0,B13/B$3)</f>
        <v>0.27551020408163263</v>
      </c>
      <c r="E13" s="63" t="s">
        <v>82</v>
      </c>
      <c r="F13" s="60" t="s">
        <v>37</v>
      </c>
      <c r="G13" s="47">
        <v>6</v>
      </c>
      <c r="H13" s="135">
        <f>IF(B$17=0,0,G13/B$17)</f>
        <v>4.3165467625899283E-2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88</v>
      </c>
      <c r="C14" s="39">
        <f>IF(B$3=0,0,B14/B$3)</f>
        <v>0.17959183673469387</v>
      </c>
      <c r="E14" s="63" t="s">
        <v>72</v>
      </c>
      <c r="F14" s="60" t="s">
        <v>27</v>
      </c>
      <c r="G14" s="47">
        <v>5</v>
      </c>
      <c r="H14" s="135">
        <f>IF(B$17=0,0,G14/B$17)</f>
        <v>3.5971223021582732E-2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0.62962962962962965</v>
      </c>
      <c r="E15" s="63" t="s">
        <v>92</v>
      </c>
      <c r="F15" s="60" t="s">
        <v>47</v>
      </c>
      <c r="G15" s="47">
        <v>5</v>
      </c>
      <c r="H15" s="135">
        <f>IF(B$17=0,0,G15/B$17)</f>
        <v>3.5971223021582732E-2</v>
      </c>
      <c r="I15" s="96">
        <v>2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24</v>
      </c>
      <c r="C16" s="37">
        <f>IF(B$14=0,0,B16/B$14)</f>
        <v>0.27272727272727271</v>
      </c>
      <c r="E16" s="63" t="s">
        <v>84</v>
      </c>
      <c r="F16" s="60" t="s">
        <v>39</v>
      </c>
      <c r="G16" s="47">
        <v>4</v>
      </c>
      <c r="H16" s="135">
        <f>IF(B$17=0,0,G16/B$17)</f>
        <v>2.8776978417266189E-2</v>
      </c>
      <c r="I16" s="96">
        <v>8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139</v>
      </c>
      <c r="C17" s="37">
        <f>IF(B$3=0,0,B17/B$3)</f>
        <v>0.28367346938775512</v>
      </c>
      <c r="E17" s="63" t="s">
        <v>181</v>
      </c>
      <c r="F17" s="60" t="s">
        <v>184</v>
      </c>
      <c r="G17" s="47">
        <v>3</v>
      </c>
      <c r="H17" s="135">
        <f>IF(B$17=0,0,G17/B$17)</f>
        <v>2.1582733812949641E-2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56</v>
      </c>
      <c r="C18" s="39">
        <f>IF(B$17=0,0,B18/B$17)</f>
        <v>0.40287769784172661</v>
      </c>
      <c r="E18" s="63" t="s">
        <v>75</v>
      </c>
      <c r="F18" s="60" t="s">
        <v>30</v>
      </c>
      <c r="G18" s="47">
        <v>2</v>
      </c>
      <c r="H18" s="135">
        <f>IF(B$17=0,0,G18/B$17)</f>
        <v>1.4388489208633094E-2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1.9333333333333325</v>
      </c>
      <c r="P18" s="121">
        <v>12</v>
      </c>
      <c r="Q18" s="109">
        <v>23.199999999999989</v>
      </c>
    </row>
    <row r="19" spans="1:17" x14ac:dyDescent="0.4">
      <c r="A19" s="55" t="s">
        <v>11</v>
      </c>
      <c r="B19" s="47">
        <v>83</v>
      </c>
      <c r="C19" s="39">
        <f>IF(B$17=0,0,B19/B$17)</f>
        <v>0.59712230215827333</v>
      </c>
      <c r="E19" s="63" t="s">
        <v>76</v>
      </c>
      <c r="F19" s="60" t="s">
        <v>31</v>
      </c>
      <c r="G19" s="47">
        <v>2</v>
      </c>
      <c r="H19" s="135">
        <f>IF(B$17=0,0,G19/B$17)</f>
        <v>1.4388489208633094E-2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81</v>
      </c>
      <c r="C20" s="39">
        <f>IF(B$3=0,0,B20/B$3)</f>
        <v>0.1653061224489796</v>
      </c>
      <c r="E20" s="63" t="s">
        <v>80</v>
      </c>
      <c r="F20" s="60" t="s">
        <v>35</v>
      </c>
      <c r="G20" s="47">
        <v>2</v>
      </c>
      <c r="H20" s="135">
        <f>IF(B$17=0,0,G20/B$17)</f>
        <v>1.4388489208633094E-2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74</v>
      </c>
      <c r="F21" s="60" t="s">
        <v>29</v>
      </c>
      <c r="G21" s="47">
        <v>1</v>
      </c>
      <c r="H21" s="135">
        <f>IF(B$17=0,0,G21/B$17)</f>
        <v>7.1942446043165471E-3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-27.200000000000006</v>
      </c>
      <c r="P21" s="121">
        <v>45</v>
      </c>
      <c r="Q21" s="109">
        <v>-1224.0000000000002</v>
      </c>
    </row>
    <row r="22" spans="1:17" x14ac:dyDescent="0.4">
      <c r="A22" s="55" t="s">
        <v>195</v>
      </c>
      <c r="B22" s="47">
        <v>24</v>
      </c>
      <c r="C22" s="137">
        <v>18</v>
      </c>
      <c r="E22" s="63" t="s">
        <v>78</v>
      </c>
      <c r="F22" s="60" t="s">
        <v>33</v>
      </c>
      <c r="G22" s="47">
        <v>1</v>
      </c>
      <c r="H22" s="135">
        <f>IF(B$17=0,0,G22/B$17)</f>
        <v>7.1942446043165471E-3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9092.0863309352517</v>
      </c>
      <c r="C23" s="41">
        <v>1263800</v>
      </c>
      <c r="E23" s="63" t="s">
        <v>79</v>
      </c>
      <c r="F23" s="60" t="s">
        <v>34</v>
      </c>
      <c r="G23" s="47">
        <v>1</v>
      </c>
      <c r="H23" s="135">
        <f>IF(B$17=0,0,G23/B$17)</f>
        <v>7.1942446043165471E-3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-7424.691358024691</v>
      </c>
      <c r="C24" s="45">
        <v>-601400</v>
      </c>
      <c r="E24" s="63" t="s">
        <v>85</v>
      </c>
      <c r="F24" s="60" t="s">
        <v>40</v>
      </c>
      <c r="G24" s="47">
        <v>1</v>
      </c>
      <c r="H24" s="135">
        <f>IF(B$17=0,0,G24/B$17)</f>
        <v>7.1942446043165471E-3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7.1942446043165471E-3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7.1942446043165471E-3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8.1632653061224497E-3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C491F-43CF-4FF1-881F-50160529B648}">
  <sheetPr codeName="Sheet1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1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8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E1391-FE01-43A7-B9B0-DED4F0D97ADB}">
  <sheetPr codeName="Sheet1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30A1-0853-417D-8797-D1EE98CB4B6F}">
  <sheetPr codeName="Sheet1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23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-347.82608695652175</v>
      </c>
      <c r="P2" s="120">
        <v>23</v>
      </c>
      <c r="Q2" s="104">
        <v>-8000</v>
      </c>
    </row>
    <row r="3" spans="1:17" x14ac:dyDescent="0.4">
      <c r="A3" s="55" t="s">
        <v>8</v>
      </c>
      <c r="B3" s="150">
        <v>189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1504.3478260869565</v>
      </c>
      <c r="P3" s="121">
        <v>23</v>
      </c>
      <c r="Q3" s="105">
        <v>34600</v>
      </c>
    </row>
    <row r="4" spans="1:17" x14ac:dyDescent="0.4">
      <c r="A4" s="55" t="s">
        <v>6</v>
      </c>
      <c r="B4" s="152">
        <v>-5.3999999999999986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147.36842105263159</v>
      </c>
      <c r="P4" s="121">
        <v>19</v>
      </c>
      <c r="Q4" s="105">
        <v>2800</v>
      </c>
    </row>
    <row r="5" spans="1:17" x14ac:dyDescent="0.4">
      <c r="A5" s="55" t="s">
        <v>7</v>
      </c>
      <c r="B5" s="154">
        <f>IF(B$2=0,0,B$4/B$2)</f>
        <v>-0.23478260869565212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10</v>
      </c>
      <c r="K5" s="38">
        <v>3</v>
      </c>
      <c r="L5" s="101">
        <v>1.7999999999999989</v>
      </c>
      <c r="N5" s="117" t="s">
        <v>135</v>
      </c>
      <c r="O5" s="124">
        <f t="shared" si="0"/>
        <v>1447.0588235294117</v>
      </c>
      <c r="P5" s="121">
        <v>17</v>
      </c>
      <c r="Q5" s="105">
        <v>24600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-4852.9411764705883</v>
      </c>
      <c r="P6" s="121">
        <v>17</v>
      </c>
      <c r="Q6" s="105">
        <v>-82500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8.6956521739130432E-2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-18.025000000000002</v>
      </c>
      <c r="P10" s="120">
        <v>8</v>
      </c>
      <c r="Q10" s="108">
        <v>-144.20000000000002</v>
      </c>
    </row>
    <row r="11" spans="1:17" x14ac:dyDescent="0.4">
      <c r="A11" s="56" t="s">
        <v>140</v>
      </c>
      <c r="B11" s="48">
        <v>2</v>
      </c>
      <c r="C11" s="40">
        <f>IF(B$2=0,0,B11/B$2)</f>
        <v>8.6956521739130432E-2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4.3478260869565216E-2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43</v>
      </c>
      <c r="C13" s="44">
        <f>IF(B$3=0,0,B13/B$3)</f>
        <v>0.2275132275132275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65</v>
      </c>
      <c r="C14" s="39">
        <f>IF(B$3=0,0,B14/B$3)</f>
        <v>0.3439153439153439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0.58139534883720934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0.41538461538461541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0.33333333333333331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6</v>
      </c>
      <c r="K18" s="38">
        <v>16</v>
      </c>
      <c r="L18" s="101">
        <v>-87.6</v>
      </c>
      <c r="N18" s="117" t="s">
        <v>174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-0.6230769230769263</v>
      </c>
      <c r="P19" s="121">
        <v>13</v>
      </c>
      <c r="Q19" s="109">
        <v>-8.1000000000000423</v>
      </c>
    </row>
    <row r="20" spans="1:17" x14ac:dyDescent="0.4">
      <c r="A20" s="55" t="s">
        <v>13</v>
      </c>
      <c r="B20" s="47">
        <v>27</v>
      </c>
      <c r="C20" s="39">
        <f>IF(B$3=0,0,B20/B$3)</f>
        <v>0.14285714285714285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-46.736363636363642</v>
      </c>
      <c r="P21" s="121">
        <v>11</v>
      </c>
      <c r="Q21" s="109">
        <v>-514.1</v>
      </c>
    </row>
    <row r="22" spans="1:17" x14ac:dyDescent="0.4">
      <c r="A22" s="55" t="s">
        <v>195</v>
      </c>
      <c r="B22" s="47">
        <v>23</v>
      </c>
      <c r="C22" s="137">
        <v>1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-8785.1851851851843</v>
      </c>
      <c r="C24" s="45">
        <v>-237200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33298-1162-4CEC-9AB0-8218F57B364F}">
  <sheetPr codeName="Sheet17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</v>
      </c>
      <c r="C2" s="149"/>
      <c r="E2" s="62" t="s">
        <v>67</v>
      </c>
      <c r="F2" s="59" t="s">
        <v>23</v>
      </c>
      <c r="G2" s="46">
        <v>45</v>
      </c>
      <c r="H2" s="134">
        <f>IF(B$17=0,0,G2/B$17)</f>
        <v>0.8035714285714286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-4204.7619047619046</v>
      </c>
      <c r="P2" s="120">
        <v>21</v>
      </c>
      <c r="Q2" s="104">
        <v>-88300</v>
      </c>
    </row>
    <row r="3" spans="1:17" x14ac:dyDescent="0.4">
      <c r="A3" s="55" t="s">
        <v>8</v>
      </c>
      <c r="B3" s="150">
        <v>194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</v>
      </c>
      <c r="I3" s="96">
        <v>8</v>
      </c>
      <c r="K3" s="38">
        <v>1</v>
      </c>
      <c r="L3" s="101">
        <v>-82.6</v>
      </c>
      <c r="N3" s="117" t="s">
        <v>133</v>
      </c>
      <c r="O3" s="124">
        <f t="shared" si="0"/>
        <v>-642.85714285714289</v>
      </c>
      <c r="P3" s="121">
        <v>21</v>
      </c>
      <c r="Q3" s="105">
        <v>-13500</v>
      </c>
    </row>
    <row r="4" spans="1:17" x14ac:dyDescent="0.4">
      <c r="A4" s="55" t="s">
        <v>6</v>
      </c>
      <c r="B4" s="152">
        <v>-203.79999999999993</v>
      </c>
      <c r="C4" s="153"/>
      <c r="E4" s="63" t="s">
        <v>65</v>
      </c>
      <c r="F4" s="60" t="s">
        <v>21</v>
      </c>
      <c r="G4" s="47">
        <v>22</v>
      </c>
      <c r="H4" s="135">
        <f>IF(B$17=0,0,G4/B$17)</f>
        <v>0.39285714285714285</v>
      </c>
      <c r="I4" s="96">
        <v>9</v>
      </c>
      <c r="K4" s="38">
        <v>2</v>
      </c>
      <c r="L4" s="101">
        <v>-122.3</v>
      </c>
      <c r="N4" s="117" t="s">
        <v>134</v>
      </c>
      <c r="O4" s="124">
        <f t="shared" si="0"/>
        <v>-889.47368421052636</v>
      </c>
      <c r="P4" s="121">
        <v>19</v>
      </c>
      <c r="Q4" s="105">
        <v>-16900</v>
      </c>
    </row>
    <row r="5" spans="1:17" x14ac:dyDescent="0.4">
      <c r="A5" s="55" t="s">
        <v>7</v>
      </c>
      <c r="B5" s="154">
        <f>IF(B$2=0,0,B$4/B$2)</f>
        <v>-9.7047619047619005</v>
      </c>
      <c r="C5" s="155"/>
      <c r="E5" s="63" t="s">
        <v>69</v>
      </c>
      <c r="F5" s="60" t="s">
        <v>12</v>
      </c>
      <c r="G5" s="47">
        <v>21</v>
      </c>
      <c r="H5" s="135">
        <f>IF(B$17=0,0,G5/B$17)</f>
        <v>0.375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-3194.4444444444443</v>
      </c>
      <c r="P5" s="121">
        <v>18</v>
      </c>
      <c r="Q5" s="105">
        <v>-57500</v>
      </c>
    </row>
    <row r="6" spans="1:17" x14ac:dyDescent="0.4">
      <c r="A6" s="55" t="s">
        <v>1</v>
      </c>
      <c r="B6" s="144">
        <f>IF(B$2=0,0,(B$7*1+B$8*2+B$9*3)/B$2)</f>
        <v>2.0952380952380953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1164.7058823529412</v>
      </c>
      <c r="P6" s="121">
        <v>17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0.23809523809523808</v>
      </c>
      <c r="E7" s="63" t="s">
        <v>68</v>
      </c>
      <c r="F7" s="60" t="s">
        <v>24</v>
      </c>
      <c r="G7" s="47">
        <v>7</v>
      </c>
      <c r="H7" s="135">
        <f>IF(B$17=0,0,G7/B$17)</f>
        <v>0.125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-462.5</v>
      </c>
      <c r="P7" s="122">
        <v>16</v>
      </c>
      <c r="Q7" s="106">
        <v>-7400</v>
      </c>
    </row>
    <row r="8" spans="1:17" x14ac:dyDescent="0.4">
      <c r="A8" s="55" t="s">
        <v>3</v>
      </c>
      <c r="B8" s="47">
        <v>9</v>
      </c>
      <c r="C8" s="39">
        <f>IF(B$2=0,0,B8/B$2)</f>
        <v>0.42857142857142855</v>
      </c>
      <c r="E8" s="63" t="s">
        <v>71</v>
      </c>
      <c r="F8" s="60" t="s">
        <v>26</v>
      </c>
      <c r="G8" s="47">
        <v>7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</v>
      </c>
      <c r="H9" s="135">
        <f>IF(B$17=0,0,G9/B$17)</f>
        <v>0.125</v>
      </c>
      <c r="I9" s="96">
        <v>7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9.5238095238095233E-2</v>
      </c>
      <c r="E10" s="63" t="s">
        <v>70</v>
      </c>
      <c r="F10" s="60" t="s">
        <v>25</v>
      </c>
      <c r="G10" s="47">
        <v>5</v>
      </c>
      <c r="H10" s="135">
        <f>IF(B$17=0,0,G10/B$17)</f>
        <v>8.9285714285714288E-2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72</v>
      </c>
      <c r="F11" s="60" t="s">
        <v>27</v>
      </c>
      <c r="G11" s="47">
        <v>4</v>
      </c>
      <c r="H11" s="135">
        <f>IF(B$17=0,0,G11/B$17)</f>
        <v>7.1428571428571425E-2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-5.8083333333333327</v>
      </c>
      <c r="P11" s="121">
        <v>12</v>
      </c>
      <c r="Q11" s="109">
        <v>-69.699999999999989</v>
      </c>
    </row>
    <row r="12" spans="1:17" x14ac:dyDescent="0.4">
      <c r="A12" s="57" t="s">
        <v>160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39</v>
      </c>
      <c r="G12" s="47">
        <v>2</v>
      </c>
      <c r="H12" s="135">
        <f>IF(B$17=0,0,G12/B$17)</f>
        <v>3.5714285714285712E-2</v>
      </c>
      <c r="I12" s="96">
        <v>5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41</v>
      </c>
      <c r="C13" s="44">
        <f>IF(B$3=0,0,B13/B$3)</f>
        <v>0.21134020618556701</v>
      </c>
      <c r="E13" s="63" t="s">
        <v>87</v>
      </c>
      <c r="F13" s="60" t="s">
        <v>42</v>
      </c>
      <c r="G13" s="47">
        <v>2</v>
      </c>
      <c r="H13" s="135">
        <f>IF(B$17=0,0,G13/B$17)</f>
        <v>3.5714285714285712E-2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0.22164948453608246</v>
      </c>
      <c r="E14" s="63" t="s">
        <v>66</v>
      </c>
      <c r="F14" s="60" t="s">
        <v>22</v>
      </c>
      <c r="G14" s="47">
        <v>1</v>
      </c>
      <c r="H14" s="135">
        <f>IF(B$17=0,0,G14/B$17)</f>
        <v>1.7857142857142856E-2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22</v>
      </c>
      <c r="C15" s="37">
        <f>IF(B$13=0,0,B15/B$13)</f>
        <v>0.53658536585365857</v>
      </c>
      <c r="E15" s="63" t="s">
        <v>74</v>
      </c>
      <c r="F15" s="60" t="s">
        <v>29</v>
      </c>
      <c r="G15" s="47">
        <v>1</v>
      </c>
      <c r="H15" s="135">
        <f>IF(B$17=0,0,G15/B$17)</f>
        <v>1.7857142857142856E-2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80</v>
      </c>
      <c r="F16" s="60" t="s">
        <v>35</v>
      </c>
      <c r="G16" s="47">
        <v>1</v>
      </c>
      <c r="H16" s="135">
        <f>IF(B$17=0,0,G16/B$17)</f>
        <v>1.7857142857142856E-2</v>
      </c>
      <c r="I16" s="96">
        <v>2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0.28865979381443296</v>
      </c>
      <c r="E17" s="63" t="s">
        <v>92</v>
      </c>
      <c r="F17" s="60" t="s">
        <v>47</v>
      </c>
      <c r="G17" s="47">
        <v>1</v>
      </c>
      <c r="H17" s="135">
        <f>IF(B$17=0,0,G17/B$17)</f>
        <v>1.7857142857142856E-2</v>
      </c>
      <c r="I17" s="96">
        <v>4</v>
      </c>
      <c r="K17" s="38">
        <v>15</v>
      </c>
      <c r="L17" s="101">
        <v>-264.59999999999997</v>
      </c>
      <c r="N17" s="117" t="s">
        <v>128</v>
      </c>
      <c r="O17" s="127">
        <f>IF(P17=0,0,Q17/P17)</f>
        <v>-1.9333333333333311</v>
      </c>
      <c r="P17" s="121">
        <v>12</v>
      </c>
      <c r="Q17" s="109">
        <v>-23.199999999999974</v>
      </c>
    </row>
    <row r="18" spans="1:17" x14ac:dyDescent="0.4">
      <c r="A18" s="55" t="s">
        <v>12</v>
      </c>
      <c r="B18" s="47">
        <v>28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41</v>
      </c>
      <c r="C20" s="39">
        <f>IF(B$3=0,0,B20/B$3)</f>
        <v>0.21134020618556701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-47.655555555555544</v>
      </c>
      <c r="P21" s="121">
        <v>9</v>
      </c>
      <c r="Q21" s="109">
        <v>-428.89999999999992</v>
      </c>
    </row>
    <row r="22" spans="1:17" x14ac:dyDescent="0.4">
      <c r="A22" s="55" t="s">
        <v>195</v>
      </c>
      <c r="B22" s="47">
        <v>14</v>
      </c>
      <c r="C22" s="137">
        <v>6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6416.0714285714284</v>
      </c>
      <c r="C23" s="41">
        <v>359300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-7951.2195121951218</v>
      </c>
      <c r="C24" s="45">
        <v>-326000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7C80-3C83-4446-8EEF-BBBE0E61D151}">
  <sheetPr codeName="Sheet19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11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7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5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5372-F48B-4F44-84E7-AD9C1D072399}">
  <sheetPr codeName="Sheet2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E77FE-3B5E-4C49-80C7-F7D2F317428C}">
  <sheetPr codeName="Sheet2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7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9C88-03CD-4EFD-BDAE-33E3A1F776EE}">
  <sheetPr codeName="Sheet2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5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7ABF7-75CE-4076-BD76-78A3719EEF07}">
  <sheetPr codeName="Sheet26"/>
  <dimension ref="A1:Q4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3EE2-74F0-4E2C-862C-A977CDD2B601}">
  <sheetPr codeName="Sheet24"/>
  <dimension ref="A1:Q10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B2D5-BAB6-44AE-BB17-68691C44C51B}">
  <sheetPr codeName="Sheet22"/>
  <dimension ref="A1:Q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BA4-D1BD-4156-9335-7B842154D54E}">
  <sheetPr codeName="Sheet20"/>
  <dimension ref="A1:Q18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F3E9-263F-4B28-8A6F-349BECD2FA8D}">
  <sheetPr codeName="Sheet18"/>
  <dimension ref="A1:Q24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F0CB-A7E5-4FB4-95B6-5B158A453AE2}">
  <sheetPr codeName="Sheet16"/>
  <dimension ref="A1:Q2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C9A4F-E660-4C75-BB10-2889AB597C4F}">
  <sheetPr codeName="Sheet14"/>
  <dimension ref="A1:Q3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14B1-8957-4688-A28F-7AB2555DF778}">
  <sheetPr codeName="Sheet12"/>
  <dimension ref="A1:Q29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A9EB9-893E-4905-9666-37008BDCA6D9}">
  <sheetPr codeName="Sheet10"/>
  <dimension ref="A1:Q62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B6FFD-C1FA-4BCA-ADDF-8F13917CD8E7}">
  <sheetPr codeName="Sheet8"/>
  <dimension ref="A1:Q61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D2CA-6280-42D6-9F12-D7EB67E1646D}">
  <sheetPr codeName="Sheet6"/>
  <dimension ref="A1:Q85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2019-04-21T00:52:49Z</dcterms:modified>
</cp:coreProperties>
</file>