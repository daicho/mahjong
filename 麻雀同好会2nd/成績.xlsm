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97608D6-52DB-4D46-AA0F-0E593FA88625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75" r:id="rId6"/>
    <sheet name="だいち" sheetId="4977" r:id="rId7"/>
    <sheet name="りくと" sheetId="4979" r:id="rId8"/>
    <sheet name="ただ" sheetId="4981" r:id="rId9"/>
    <sheet name="れんたろう" sheetId="4983" r:id="rId10"/>
    <sheet name="たかの" sheetId="4985" r:id="rId11"/>
    <sheet name="ぱぱ" sheetId="4987" r:id="rId12"/>
    <sheet name="まっつん" sheetId="4989" r:id="rId13"/>
    <sheet name="あさひ" sheetId="4991" r:id="rId14"/>
    <sheet name="いっしー" sheetId="4993" r:id="rId15"/>
    <sheet name="ほたに" sheetId="4995" r:id="rId16"/>
    <sheet name="ほたに2" sheetId="4996" state="hidden" r:id="rId17"/>
    <sheet name="いっしー2" sheetId="4994" state="hidden" r:id="rId18"/>
    <sheet name="あさひ2" sheetId="4992" state="hidden" r:id="rId19"/>
    <sheet name="まっつん2" sheetId="4990" state="hidden" r:id="rId20"/>
    <sheet name="ぱぱ2" sheetId="4988" state="hidden" r:id="rId21"/>
    <sheet name="たかの2" sheetId="4986" state="hidden" r:id="rId22"/>
    <sheet name="れんたろう2" sheetId="4984" state="hidden" r:id="rId23"/>
    <sheet name="ただ2" sheetId="4982" state="hidden" r:id="rId24"/>
    <sheet name="りくと2" sheetId="4980" state="hidden" r:id="rId25"/>
    <sheet name="だいち2" sheetId="4978" state="hidden" r:id="rId26"/>
    <sheet name="全体2" sheetId="497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2" i="4977" l="1"/>
  <c r="O18" i="4995"/>
  <c r="O20" i="4987"/>
  <c r="O16" i="4995"/>
  <c r="O15" i="4995" l="1"/>
  <c r="O17" i="4995"/>
  <c r="C27" i="4995"/>
  <c r="B24" i="4995"/>
  <c r="C20" i="4995"/>
  <c r="B17" i="4995"/>
  <c r="H49" i="4995" s="1"/>
  <c r="C16" i="4995"/>
  <c r="C15" i="4995"/>
  <c r="C14" i="4995"/>
  <c r="C13" i="4995"/>
  <c r="O12" i="4995"/>
  <c r="C12" i="4995"/>
  <c r="O11" i="4995"/>
  <c r="C11" i="4995"/>
  <c r="O10" i="4995"/>
  <c r="H4" i="4995"/>
  <c r="C10" i="4995"/>
  <c r="C9" i="4995"/>
  <c r="H13" i="4995"/>
  <c r="C8" i="4995"/>
  <c r="O7" i="4995"/>
  <c r="C7" i="4995"/>
  <c r="O6" i="4995"/>
  <c r="B6" i="4995"/>
  <c r="O5" i="4995"/>
  <c r="B5" i="4995"/>
  <c r="O4" i="4995"/>
  <c r="H2" i="4995"/>
  <c r="O3" i="4995"/>
  <c r="O2" i="4995"/>
  <c r="H3" i="4995"/>
  <c r="O22" i="4983"/>
  <c r="O17" i="4985"/>
  <c r="O22" i="4975"/>
  <c r="C17" i="4995" l="1"/>
  <c r="H21" i="4995"/>
  <c r="H23" i="4995"/>
  <c r="H26" i="4995"/>
  <c r="H28" i="4995"/>
  <c r="H30" i="4995"/>
  <c r="H34" i="4995"/>
  <c r="H38" i="4995"/>
  <c r="H42" i="4995"/>
  <c r="H46" i="4995"/>
  <c r="H50" i="4995"/>
  <c r="H8" i="4995"/>
  <c r="H17" i="4995"/>
  <c r="H19" i="4995"/>
  <c r="C19" i="4995"/>
  <c r="H24" i="4995"/>
  <c r="H31" i="4995"/>
  <c r="H35" i="4995"/>
  <c r="H39" i="4995"/>
  <c r="H43" i="4995"/>
  <c r="H47" i="4995"/>
  <c r="H51" i="4995"/>
  <c r="H10" i="4995"/>
  <c r="H6" i="4995"/>
  <c r="H14" i="4995"/>
  <c r="H16" i="4995"/>
  <c r="H20" i="4995"/>
  <c r="H22" i="4995"/>
  <c r="H25" i="4995"/>
  <c r="H12" i="4995"/>
  <c r="H9" i="4995"/>
  <c r="H32" i="4995"/>
  <c r="H36" i="4995"/>
  <c r="H40" i="4995"/>
  <c r="H44" i="4995"/>
  <c r="H48" i="4995"/>
  <c r="H7" i="4995"/>
  <c r="H5" i="4995"/>
  <c r="H15" i="4995"/>
  <c r="H18" i="4995"/>
  <c r="H11" i="4995"/>
  <c r="C18" i="4995"/>
  <c r="B23" i="4995"/>
  <c r="H27" i="4995"/>
  <c r="H29" i="4995"/>
  <c r="H33" i="4995"/>
  <c r="H37" i="4995"/>
  <c r="H41" i="4995"/>
  <c r="H45" i="4995"/>
  <c r="O18" i="4985" l="1"/>
  <c r="O15" i="4981"/>
  <c r="O19" i="4989"/>
  <c r="O20" i="4989"/>
  <c r="O17" i="4977" l="1"/>
  <c r="O17" i="4993"/>
  <c r="O16" i="4993" l="1"/>
  <c r="O15" i="4993"/>
  <c r="O16" i="4983"/>
  <c r="O19" i="4981"/>
  <c r="O17" i="4991" l="1"/>
  <c r="O21" i="4987"/>
  <c r="O15" i="4991"/>
  <c r="O20" i="4993"/>
  <c r="O15" i="4979"/>
  <c r="O15" i="4989"/>
  <c r="O16" i="4975"/>
  <c r="O19" i="4993"/>
  <c r="O18" i="4993"/>
  <c r="C27" i="4993"/>
  <c r="B24" i="4993"/>
  <c r="C20" i="4993"/>
  <c r="B17" i="4993"/>
  <c r="H50" i="4993" s="1"/>
  <c r="H20" i="4993"/>
  <c r="C16" i="4993"/>
  <c r="C15" i="4993"/>
  <c r="C14" i="4993"/>
  <c r="C13" i="4993"/>
  <c r="O12" i="4993"/>
  <c r="C12" i="4993"/>
  <c r="O11" i="4993"/>
  <c r="H15" i="4993"/>
  <c r="C11" i="4993"/>
  <c r="O10" i="4993"/>
  <c r="C10" i="4993"/>
  <c r="C9" i="4993"/>
  <c r="C8" i="4993"/>
  <c r="O7" i="4993"/>
  <c r="C7" i="4993"/>
  <c r="O6" i="4993"/>
  <c r="B6" i="4993"/>
  <c r="O5" i="4993"/>
  <c r="B5" i="4993"/>
  <c r="O4" i="4993"/>
  <c r="O3" i="4993"/>
  <c r="O2" i="4993"/>
  <c r="O16" i="4991"/>
  <c r="O18" i="4991"/>
  <c r="C27" i="4991"/>
  <c r="B24" i="4991"/>
  <c r="C20" i="4991"/>
  <c r="B17" i="4991"/>
  <c r="H7" i="4991" s="1"/>
  <c r="C16" i="4991"/>
  <c r="C15" i="4991"/>
  <c r="C14" i="4991"/>
  <c r="C13" i="4991"/>
  <c r="O12" i="4991"/>
  <c r="C12" i="4991"/>
  <c r="O11" i="4991"/>
  <c r="C11" i="4991"/>
  <c r="O10" i="4991"/>
  <c r="C10" i="4991"/>
  <c r="C9" i="4991"/>
  <c r="C8" i="4991"/>
  <c r="O7" i="4991"/>
  <c r="C7" i="4991"/>
  <c r="O6" i="4991"/>
  <c r="B6" i="4991"/>
  <c r="O5" i="4991"/>
  <c r="B5" i="4991"/>
  <c r="O4" i="4991"/>
  <c r="O3" i="4991"/>
  <c r="O2" i="4991"/>
  <c r="O21" i="4989"/>
  <c r="O22" i="4989"/>
  <c r="O15" i="4977"/>
  <c r="O19" i="4977"/>
  <c r="O23" i="4975"/>
  <c r="H4" i="4993" l="1"/>
  <c r="H13" i="4993"/>
  <c r="H2" i="4993"/>
  <c r="H2" i="4991"/>
  <c r="H13" i="4991"/>
  <c r="H3" i="4991"/>
  <c r="C17" i="4991"/>
  <c r="H4" i="4991"/>
  <c r="H18" i="4993"/>
  <c r="H9" i="4993"/>
  <c r="C18" i="4993"/>
  <c r="H32" i="4993"/>
  <c r="H43" i="4993"/>
  <c r="H3" i="4993"/>
  <c r="C17" i="4993"/>
  <c r="H39" i="4993"/>
  <c r="H48" i="4993"/>
  <c r="H10" i="4993"/>
  <c r="H26" i="4993"/>
  <c r="H35" i="4993"/>
  <c r="H47" i="4993"/>
  <c r="H8" i="4993"/>
  <c r="H17" i="4993"/>
  <c r="H19" i="4993"/>
  <c r="H12" i="4993"/>
  <c r="H7" i="4993"/>
  <c r="H14" i="4993"/>
  <c r="H16" i="4993"/>
  <c r="H21" i="4993"/>
  <c r="H11" i="4993"/>
  <c r="H31" i="4993"/>
  <c r="H40" i="4993"/>
  <c r="H51" i="4993"/>
  <c r="C19" i="4993"/>
  <c r="H24" i="4993"/>
  <c r="H6" i="4993"/>
  <c r="H36" i="4993"/>
  <c r="H44" i="4993"/>
  <c r="H5" i="4993"/>
  <c r="B23" i="4993"/>
  <c r="H27" i="4993"/>
  <c r="H29" i="4993"/>
  <c r="H33" i="4993"/>
  <c r="H37" i="4993"/>
  <c r="H41" i="4993"/>
  <c r="H45" i="4993"/>
  <c r="H49" i="4993"/>
  <c r="H22" i="4993"/>
  <c r="H23" i="4993"/>
  <c r="H25" i="4993"/>
  <c r="H28" i="4993"/>
  <c r="H30" i="4993"/>
  <c r="H34" i="4993"/>
  <c r="H38" i="4993"/>
  <c r="H42" i="4993"/>
  <c r="H46" i="4993"/>
  <c r="H21" i="4991"/>
  <c r="H26" i="4991"/>
  <c r="H30" i="4991"/>
  <c r="H34" i="4991"/>
  <c r="H38" i="4991"/>
  <c r="H42" i="4991"/>
  <c r="H50" i="4991"/>
  <c r="H18" i="4991"/>
  <c r="C19" i="4991"/>
  <c r="H31" i="4991"/>
  <c r="H35" i="4991"/>
  <c r="H39" i="4991"/>
  <c r="H47" i="4991"/>
  <c r="H51" i="4991"/>
  <c r="H12" i="4991"/>
  <c r="H8" i="4991"/>
  <c r="H5" i="4991"/>
  <c r="H14" i="4991"/>
  <c r="H17" i="4991"/>
  <c r="H19" i="4991"/>
  <c r="C18" i="4991"/>
  <c r="B23" i="4991"/>
  <c r="H27" i="4991"/>
  <c r="H29" i="4991"/>
  <c r="H33" i="4991"/>
  <c r="H37" i="4991"/>
  <c r="H41" i="4991"/>
  <c r="H45" i="4991"/>
  <c r="H49" i="4991"/>
  <c r="H23" i="4991"/>
  <c r="H28" i="4991"/>
  <c r="H46" i="4991"/>
  <c r="H9" i="4991"/>
  <c r="H16" i="4991"/>
  <c r="H24" i="4991"/>
  <c r="H43" i="4991"/>
  <c r="H10" i="4991"/>
  <c r="H15" i="4991"/>
  <c r="H20" i="4991"/>
  <c r="H22" i="4991"/>
  <c r="H25" i="4991"/>
  <c r="H11" i="4991"/>
  <c r="H6" i="4991"/>
  <c r="H32" i="4991"/>
  <c r="H36" i="4991"/>
  <c r="H40" i="4991"/>
  <c r="H44" i="4991"/>
  <c r="H48" i="4991"/>
  <c r="O16" i="4989" l="1"/>
  <c r="O18" i="4987"/>
  <c r="O16" i="4987"/>
  <c r="O20" i="4979"/>
  <c r="O16" i="4985" l="1"/>
  <c r="O17" i="4983"/>
  <c r="O19" i="4987"/>
  <c r="O17" i="4987"/>
  <c r="O15" i="4985" l="1"/>
  <c r="O15" i="4983"/>
  <c r="O20" i="4981"/>
  <c r="O21" i="4981"/>
  <c r="O17" i="4989"/>
  <c r="O18" i="4989"/>
  <c r="C27" i="4989"/>
  <c r="B24" i="4989"/>
  <c r="C20" i="4989"/>
  <c r="B17" i="4989"/>
  <c r="H51" i="4989" s="1"/>
  <c r="C16" i="4989"/>
  <c r="C15" i="4989"/>
  <c r="C14" i="4989"/>
  <c r="C13" i="4989"/>
  <c r="O12" i="4989"/>
  <c r="C12" i="4989"/>
  <c r="O11" i="4989"/>
  <c r="C11" i="4989"/>
  <c r="O10" i="4989"/>
  <c r="C10" i="4989"/>
  <c r="C9" i="4989"/>
  <c r="C8" i="4989"/>
  <c r="O7" i="4989"/>
  <c r="C7" i="4989"/>
  <c r="O6" i="4989"/>
  <c r="B6" i="4989"/>
  <c r="O5" i="4989"/>
  <c r="B5" i="4989"/>
  <c r="O4" i="4989"/>
  <c r="O3" i="4989"/>
  <c r="O2" i="4989"/>
  <c r="O20" i="4983"/>
  <c r="O18" i="4979"/>
  <c r="O18" i="4975"/>
  <c r="H3" i="4989" l="1"/>
  <c r="H4" i="4989"/>
  <c r="H40" i="4989"/>
  <c r="H13" i="4989"/>
  <c r="H2" i="4989"/>
  <c r="H7" i="4989"/>
  <c r="H26" i="4989"/>
  <c r="H32" i="4989"/>
  <c r="H48" i="4989"/>
  <c r="C17" i="4989"/>
  <c r="H10" i="4989"/>
  <c r="H44" i="4989"/>
  <c r="H8" i="4989"/>
  <c r="H6" i="4989"/>
  <c r="H14" i="4989"/>
  <c r="H18" i="4989"/>
  <c r="H22" i="4989"/>
  <c r="H9" i="4989"/>
  <c r="H17" i="4989"/>
  <c r="H24" i="4989"/>
  <c r="H27" i="4989"/>
  <c r="H36" i="4989"/>
  <c r="H5" i="4989"/>
  <c r="H19" i="4989"/>
  <c r="H21" i="4989"/>
  <c r="C18" i="4989"/>
  <c r="B23" i="4989"/>
  <c r="H28" i="4989"/>
  <c r="H30" i="4989"/>
  <c r="H33" i="4989"/>
  <c r="H37" i="4989"/>
  <c r="H41" i="4989"/>
  <c r="H45" i="4989"/>
  <c r="H49" i="4989"/>
  <c r="H23" i="4989"/>
  <c r="H25" i="4989"/>
  <c r="H16" i="4989"/>
  <c r="H29" i="4989"/>
  <c r="H12" i="4989"/>
  <c r="H34" i="4989"/>
  <c r="H38" i="4989"/>
  <c r="H42" i="4989"/>
  <c r="H46" i="4989"/>
  <c r="H50" i="4989"/>
  <c r="H15" i="4989"/>
  <c r="H20" i="4989"/>
  <c r="C19" i="4989"/>
  <c r="H11" i="4989"/>
  <c r="H31" i="4989"/>
  <c r="H35" i="4989"/>
  <c r="H39" i="4989"/>
  <c r="H43" i="4989"/>
  <c r="H47" i="4989"/>
  <c r="O16" i="4981" l="1"/>
  <c r="O22" i="4987"/>
  <c r="O15" i="4987"/>
  <c r="C27" i="4987"/>
  <c r="B24" i="4987"/>
  <c r="C20" i="4987"/>
  <c r="B17" i="4987"/>
  <c r="H6" i="4987" s="1"/>
  <c r="C16" i="4987"/>
  <c r="C15" i="4987"/>
  <c r="C14" i="4987"/>
  <c r="C13" i="4987"/>
  <c r="O12" i="4987"/>
  <c r="C12" i="4987"/>
  <c r="O11" i="4987"/>
  <c r="C11" i="4987"/>
  <c r="O10" i="4987"/>
  <c r="C10" i="4987"/>
  <c r="C9" i="4987"/>
  <c r="C8" i="4987"/>
  <c r="O7" i="4987"/>
  <c r="C7" i="4987"/>
  <c r="O6" i="4987"/>
  <c r="B6" i="4987"/>
  <c r="O5" i="4987"/>
  <c r="B5" i="4987"/>
  <c r="O4" i="4987"/>
  <c r="O3" i="4987"/>
  <c r="O2" i="4987"/>
  <c r="O18" i="4977"/>
  <c r="O17" i="4975"/>
  <c r="O20" i="4985"/>
  <c r="O17" i="4979"/>
  <c r="O19" i="4979"/>
  <c r="O19" i="4983"/>
  <c r="O19" i="4985"/>
  <c r="O21" i="4985"/>
  <c r="C27" i="4985"/>
  <c r="B24" i="4985"/>
  <c r="C20" i="4985"/>
  <c r="B17" i="4985"/>
  <c r="H4" i="4985" s="1"/>
  <c r="C16" i="4985"/>
  <c r="C15" i="4985"/>
  <c r="C14" i="4985"/>
  <c r="C13" i="4985"/>
  <c r="O12" i="4985"/>
  <c r="C12" i="4985"/>
  <c r="O11" i="4985"/>
  <c r="C11" i="4985"/>
  <c r="O10" i="4985"/>
  <c r="C10" i="4985"/>
  <c r="C9" i="4985"/>
  <c r="C8" i="4985"/>
  <c r="O7" i="4985"/>
  <c r="C7" i="4985"/>
  <c r="O6" i="4985"/>
  <c r="B6" i="4985"/>
  <c r="O5" i="4985"/>
  <c r="B5" i="4985"/>
  <c r="O4" i="4985"/>
  <c r="O3" i="4985"/>
  <c r="O2" i="4985"/>
  <c r="O21" i="4983"/>
  <c r="O18" i="4983"/>
  <c r="C27" i="4983"/>
  <c r="B24" i="4983"/>
  <c r="C20" i="4983"/>
  <c r="B17" i="4983"/>
  <c r="H5" i="4983" s="1"/>
  <c r="C16" i="4983"/>
  <c r="C15" i="4983"/>
  <c r="C14" i="4983"/>
  <c r="C13" i="4983"/>
  <c r="O12" i="4983"/>
  <c r="C12" i="4983"/>
  <c r="O11" i="4983"/>
  <c r="C11" i="4983"/>
  <c r="O10" i="4983"/>
  <c r="C10" i="4983"/>
  <c r="C9" i="4983"/>
  <c r="C8" i="4983"/>
  <c r="O7" i="4983"/>
  <c r="C7" i="4983"/>
  <c r="O6" i="4983"/>
  <c r="B6" i="4983"/>
  <c r="O5" i="4983"/>
  <c r="B5" i="4983"/>
  <c r="O4" i="4983"/>
  <c r="O3" i="4983"/>
  <c r="O2" i="4983"/>
  <c r="O20" i="4977"/>
  <c r="O23" i="4977"/>
  <c r="O21" i="4975"/>
  <c r="O19" i="4975"/>
  <c r="H4" i="4987" l="1"/>
  <c r="H8" i="4987"/>
  <c r="H2" i="4987"/>
  <c r="H3" i="4987"/>
  <c r="H19" i="4985"/>
  <c r="H22" i="4985"/>
  <c r="H7" i="4985"/>
  <c r="H10" i="4985"/>
  <c r="H2" i="4985"/>
  <c r="H8" i="4985"/>
  <c r="H5" i="4985"/>
  <c r="H16" i="4985"/>
  <c r="H2" i="4983"/>
  <c r="H4" i="4983"/>
  <c r="H3" i="4983"/>
  <c r="H10" i="4983"/>
  <c r="H28" i="4987"/>
  <c r="H37" i="4987"/>
  <c r="H10" i="4987"/>
  <c r="H21" i="4987"/>
  <c r="C17" i="4987"/>
  <c r="H14" i="4987"/>
  <c r="H41" i="4987"/>
  <c r="H18" i="4987"/>
  <c r="C18" i="4987"/>
  <c r="B23" i="4987"/>
  <c r="H30" i="4987"/>
  <c r="H45" i="4987"/>
  <c r="H19" i="4987"/>
  <c r="H13" i="4987"/>
  <c r="H5" i="4987"/>
  <c r="H11" i="4987"/>
  <c r="H7" i="4987"/>
  <c r="H15" i="4987"/>
  <c r="H20" i="4987"/>
  <c r="H22" i="4987"/>
  <c r="C19" i="4987"/>
  <c r="H33" i="4987"/>
  <c r="H49" i="4987"/>
  <c r="H23" i="4987"/>
  <c r="H25" i="4987"/>
  <c r="H27" i="4987"/>
  <c r="H29" i="4987"/>
  <c r="H17" i="4987"/>
  <c r="H34" i="4987"/>
  <c r="H38" i="4987"/>
  <c r="H42" i="4987"/>
  <c r="H46" i="4987"/>
  <c r="H50" i="4987"/>
  <c r="H31" i="4987"/>
  <c r="H35" i="4987"/>
  <c r="H39" i="4987"/>
  <c r="H43" i="4987"/>
  <c r="H47" i="4987"/>
  <c r="H51" i="4987"/>
  <c r="H16" i="4987"/>
  <c r="H24" i="4987"/>
  <c r="H26" i="4987"/>
  <c r="H12" i="4987"/>
  <c r="H9" i="4987"/>
  <c r="H32" i="4987"/>
  <c r="H36" i="4987"/>
  <c r="H40" i="4987"/>
  <c r="H44" i="4987"/>
  <c r="H48" i="4987"/>
  <c r="H3" i="4985"/>
  <c r="H21" i="4985"/>
  <c r="H23" i="4985"/>
  <c r="C19" i="4985"/>
  <c r="C17" i="4983"/>
  <c r="C17" i="4985"/>
  <c r="H12" i="4985"/>
  <c r="H9" i="4985"/>
  <c r="H6" i="4985"/>
  <c r="H15" i="4985"/>
  <c r="H20" i="4985"/>
  <c r="C18" i="4985"/>
  <c r="B23" i="4985"/>
  <c r="H28" i="4985"/>
  <c r="H30" i="4985"/>
  <c r="H33" i="4985"/>
  <c r="H37" i="4985"/>
  <c r="H41" i="4985"/>
  <c r="H45" i="4985"/>
  <c r="H49" i="4985"/>
  <c r="H24" i="4985"/>
  <c r="H25" i="4985"/>
  <c r="H27" i="4985"/>
  <c r="H29" i="4985"/>
  <c r="H18" i="4985"/>
  <c r="H34" i="4985"/>
  <c r="H38" i="4985"/>
  <c r="H42" i="4985"/>
  <c r="H46" i="4985"/>
  <c r="H50" i="4985"/>
  <c r="H31" i="4985"/>
  <c r="H35" i="4985"/>
  <c r="H39" i="4985"/>
  <c r="H43" i="4985"/>
  <c r="H47" i="4985"/>
  <c r="H51" i="4985"/>
  <c r="H17" i="4985"/>
  <c r="H13" i="4985"/>
  <c r="H26" i="4985"/>
  <c r="H14" i="4985"/>
  <c r="H11" i="4985"/>
  <c r="H32" i="4985"/>
  <c r="H36" i="4985"/>
  <c r="H40" i="4985"/>
  <c r="H44" i="4985"/>
  <c r="H48" i="4985"/>
  <c r="H6" i="4983"/>
  <c r="H20" i="4983"/>
  <c r="H22" i="4983"/>
  <c r="H15" i="4983"/>
  <c r="C18" i="4983"/>
  <c r="B23" i="4983"/>
  <c r="H29" i="4983"/>
  <c r="H31" i="4983"/>
  <c r="H34" i="4983"/>
  <c r="H38" i="4983"/>
  <c r="H42" i="4983"/>
  <c r="H46" i="4983"/>
  <c r="H50" i="4983"/>
  <c r="H25" i="4983"/>
  <c r="H26" i="4983"/>
  <c r="H28" i="4983"/>
  <c r="H30" i="4983"/>
  <c r="H32" i="4983"/>
  <c r="H35" i="4983"/>
  <c r="H39" i="4983"/>
  <c r="H43" i="4983"/>
  <c r="H47" i="4983"/>
  <c r="H51" i="4983"/>
  <c r="H8" i="4983"/>
  <c r="H16" i="4983"/>
  <c r="H23" i="4983"/>
  <c r="C19" i="4983"/>
  <c r="H14" i="4983"/>
  <c r="H17" i="4983"/>
  <c r="H36" i="4983"/>
  <c r="H40" i="4983"/>
  <c r="H44" i="4983"/>
  <c r="H48" i="4983"/>
  <c r="H18" i="4983"/>
  <c r="H9" i="4983"/>
  <c r="H7" i="4983"/>
  <c r="H13" i="4983"/>
  <c r="H21" i="4983"/>
  <c r="H24" i="4983"/>
  <c r="H19" i="4983"/>
  <c r="H27" i="4983"/>
  <c r="H12" i="4983"/>
  <c r="H11" i="4983"/>
  <c r="H33" i="4983"/>
  <c r="H37" i="4983"/>
  <c r="H41" i="4983"/>
  <c r="H45" i="4983"/>
  <c r="H49" i="4983"/>
  <c r="O17" i="4981" l="1"/>
  <c r="O18" i="4981"/>
  <c r="C27" i="4981"/>
  <c r="B24" i="4981"/>
  <c r="C20" i="4981"/>
  <c r="B17" i="4981"/>
  <c r="H6" i="4981" s="1"/>
  <c r="C16" i="4981"/>
  <c r="C15" i="4981"/>
  <c r="C14" i="4981"/>
  <c r="C13" i="4981"/>
  <c r="O12" i="4981"/>
  <c r="C12" i="4981"/>
  <c r="O11" i="4981"/>
  <c r="C11" i="4981"/>
  <c r="O10" i="4981"/>
  <c r="C10" i="4981"/>
  <c r="C9" i="4981"/>
  <c r="C8" i="4981"/>
  <c r="O7" i="4981"/>
  <c r="C7" i="4981"/>
  <c r="O6" i="4981"/>
  <c r="B6" i="4981"/>
  <c r="O5" i="4981"/>
  <c r="B5" i="4981"/>
  <c r="O4" i="4981"/>
  <c r="O3" i="4981"/>
  <c r="O2" i="4981"/>
  <c r="O21" i="4979"/>
  <c r="O16" i="4979"/>
  <c r="C27" i="4979"/>
  <c r="B24" i="4979"/>
  <c r="C20" i="4979"/>
  <c r="B17" i="4979"/>
  <c r="H5" i="4979" s="1"/>
  <c r="C16" i="4979"/>
  <c r="C15" i="4979"/>
  <c r="C14" i="4979"/>
  <c r="C13" i="4979"/>
  <c r="O12" i="4979"/>
  <c r="C12" i="4979"/>
  <c r="O11" i="4979"/>
  <c r="C11" i="4979"/>
  <c r="O10" i="4979"/>
  <c r="C10" i="4979"/>
  <c r="C9" i="4979"/>
  <c r="C8" i="4979"/>
  <c r="O7" i="4979"/>
  <c r="C7" i="4979"/>
  <c r="O6" i="4979"/>
  <c r="B6" i="4979"/>
  <c r="O5" i="4979"/>
  <c r="B5" i="4979"/>
  <c r="O4" i="4979"/>
  <c r="O3" i="4979"/>
  <c r="O2" i="4979"/>
  <c r="O24" i="4975"/>
  <c r="O16" i="4977"/>
  <c r="O21" i="4977"/>
  <c r="C27" i="4977"/>
  <c r="B24" i="4977"/>
  <c r="C20" i="4977"/>
  <c r="B17" i="4977"/>
  <c r="H5" i="4977" s="1"/>
  <c r="C16" i="4977"/>
  <c r="C15" i="4977"/>
  <c r="C14" i="4977"/>
  <c r="C13" i="4977"/>
  <c r="O12" i="4977"/>
  <c r="C12" i="4977"/>
  <c r="O11" i="4977"/>
  <c r="C11" i="4977"/>
  <c r="O10" i="4977"/>
  <c r="C10" i="4977"/>
  <c r="C9" i="4977"/>
  <c r="C8" i="4977"/>
  <c r="O7" i="4977"/>
  <c r="C7" i="4977"/>
  <c r="O6" i="4977"/>
  <c r="B6" i="4977"/>
  <c r="O5" i="4977"/>
  <c r="B5" i="4977"/>
  <c r="O4" i="4977"/>
  <c r="O3" i="4977"/>
  <c r="O2" i="4977"/>
  <c r="O15" i="4975"/>
  <c r="O20" i="4975"/>
  <c r="C27" i="4975"/>
  <c r="B24" i="4975"/>
  <c r="C20" i="4975"/>
  <c r="B17" i="4975"/>
  <c r="H5" i="4975" s="1"/>
  <c r="C16" i="4975"/>
  <c r="C15" i="4975"/>
  <c r="C14" i="4975"/>
  <c r="C13" i="4975"/>
  <c r="O12" i="4975"/>
  <c r="C12" i="4975"/>
  <c r="O11" i="4975"/>
  <c r="C11" i="4975"/>
  <c r="O10" i="4975"/>
  <c r="C10" i="4975"/>
  <c r="C9" i="4975"/>
  <c r="C8" i="4975"/>
  <c r="O7" i="4975"/>
  <c r="C7" i="4975"/>
  <c r="O6" i="4975"/>
  <c r="B6" i="4975"/>
  <c r="O5" i="4975"/>
  <c r="B5" i="4975"/>
  <c r="O4" i="4975"/>
  <c r="O3" i="4975"/>
  <c r="O2" i="4975"/>
  <c r="H10" i="4981" l="1"/>
  <c r="H17" i="4981"/>
  <c r="H14" i="4981"/>
  <c r="H4" i="4981"/>
  <c r="H12" i="4981"/>
  <c r="H5" i="4981"/>
  <c r="H18" i="4981"/>
  <c r="H3" i="4981"/>
  <c r="H7" i="4981"/>
  <c r="C19" i="4981"/>
  <c r="H20" i="4981"/>
  <c r="H2" i="4981"/>
  <c r="H8" i="4981"/>
  <c r="H9" i="4981"/>
  <c r="H19" i="4981"/>
  <c r="H29" i="4977"/>
  <c r="H12" i="4977"/>
  <c r="H6" i="4977"/>
  <c r="H17" i="4977"/>
  <c r="H21" i="4981"/>
  <c r="C17" i="4981"/>
  <c r="C18" i="4981"/>
  <c r="B23" i="4981"/>
  <c r="H28" i="4981"/>
  <c r="H29" i="4981"/>
  <c r="H33" i="4981"/>
  <c r="H37" i="4981"/>
  <c r="H41" i="4981"/>
  <c r="H45" i="4981"/>
  <c r="H49" i="4981"/>
  <c r="H23" i="4981"/>
  <c r="H25" i="4981"/>
  <c r="H27" i="4981"/>
  <c r="H16" i="4981"/>
  <c r="H30" i="4981"/>
  <c r="H34" i="4981"/>
  <c r="H38" i="4981"/>
  <c r="H42" i="4981"/>
  <c r="H46" i="4981"/>
  <c r="H50" i="4981"/>
  <c r="H15" i="4981"/>
  <c r="H31" i="4981"/>
  <c r="H35" i="4981"/>
  <c r="H39" i="4981"/>
  <c r="H43" i="4981"/>
  <c r="H47" i="4981"/>
  <c r="H51" i="4981"/>
  <c r="H22" i="4981"/>
  <c r="H24" i="4981"/>
  <c r="H26" i="4981"/>
  <c r="H13" i="4981"/>
  <c r="H11" i="4981"/>
  <c r="H32" i="4981"/>
  <c r="H36" i="4981"/>
  <c r="H40" i="4981"/>
  <c r="H44" i="4981"/>
  <c r="H48" i="4981"/>
  <c r="H10" i="4979"/>
  <c r="H3" i="4979"/>
  <c r="H2" i="4979"/>
  <c r="H4" i="4979"/>
  <c r="H38" i="4979"/>
  <c r="H8" i="4979"/>
  <c r="H19" i="4979"/>
  <c r="H23" i="4979"/>
  <c r="H15" i="4979"/>
  <c r="H42" i="4979"/>
  <c r="H31" i="4979"/>
  <c r="C17" i="4979"/>
  <c r="H9" i="4979"/>
  <c r="H7" i="4979"/>
  <c r="H14" i="4979"/>
  <c r="H18" i="4979"/>
  <c r="C18" i="4979"/>
  <c r="B23" i="4979"/>
  <c r="H32" i="4979"/>
  <c r="H46" i="4979"/>
  <c r="H6" i="4979"/>
  <c r="H22" i="4979"/>
  <c r="H27" i="4979"/>
  <c r="H20" i="4979"/>
  <c r="C19" i="4979"/>
  <c r="H34" i="4979"/>
  <c r="H50" i="4979"/>
  <c r="H28" i="4979"/>
  <c r="H29" i="4979"/>
  <c r="H30" i="4979"/>
  <c r="H25" i="4979"/>
  <c r="H16" i="4979"/>
  <c r="H35" i="4979"/>
  <c r="H39" i="4979"/>
  <c r="H43" i="4979"/>
  <c r="H47" i="4979"/>
  <c r="H51" i="4979"/>
  <c r="H26" i="4979"/>
  <c r="H36" i="4979"/>
  <c r="H40" i="4979"/>
  <c r="H44" i="4979"/>
  <c r="H48" i="4979"/>
  <c r="H17" i="4979"/>
  <c r="H21" i="4979"/>
  <c r="H13" i="4979"/>
  <c r="H24" i="4979"/>
  <c r="H12" i="4979"/>
  <c r="H11" i="4979"/>
  <c r="H33" i="4979"/>
  <c r="H37" i="4979"/>
  <c r="H41" i="4979"/>
  <c r="H45" i="4979"/>
  <c r="H49" i="4979"/>
  <c r="H11" i="4975"/>
  <c r="H4" i="4975"/>
  <c r="H2" i="4977"/>
  <c r="H19" i="4977"/>
  <c r="C19" i="4977"/>
  <c r="H35" i="4977"/>
  <c r="H4" i="4977"/>
  <c r="H3" i="4977"/>
  <c r="H20" i="4977"/>
  <c r="H50" i="4977"/>
  <c r="H23" i="4977"/>
  <c r="H38" i="4977"/>
  <c r="H8" i="4977"/>
  <c r="H21" i="4977"/>
  <c r="C17" i="4977"/>
  <c r="H14" i="4977"/>
  <c r="H42" i="4977"/>
  <c r="H10" i="4977"/>
  <c r="H7" i="4977"/>
  <c r="H13" i="4977"/>
  <c r="H28" i="4977"/>
  <c r="C18" i="4977"/>
  <c r="B23" i="4977"/>
  <c r="H24" i="4977"/>
  <c r="H46" i="4977"/>
  <c r="H30" i="4977"/>
  <c r="H31" i="4977"/>
  <c r="H33" i="4977"/>
  <c r="H34" i="4977"/>
  <c r="H18" i="4977"/>
  <c r="H27" i="4977"/>
  <c r="H39" i="4977"/>
  <c r="H43" i="4977"/>
  <c r="H47" i="4977"/>
  <c r="H51" i="4977"/>
  <c r="H25" i="4977"/>
  <c r="H36" i="4977"/>
  <c r="H40" i="4977"/>
  <c r="H44" i="4977"/>
  <c r="H48" i="4977"/>
  <c r="H16" i="4977"/>
  <c r="H22" i="4977"/>
  <c r="H15" i="4977"/>
  <c r="H32" i="4977"/>
  <c r="H11" i="4977"/>
  <c r="H9" i="4977"/>
  <c r="H26" i="4977"/>
  <c r="H37" i="4977"/>
  <c r="H41" i="4977"/>
  <c r="H45" i="4977"/>
  <c r="H49" i="4977"/>
  <c r="H2" i="4975"/>
  <c r="H3" i="4975"/>
  <c r="C17" i="4975"/>
  <c r="H14" i="4975"/>
  <c r="H10" i="4975"/>
  <c r="H6" i="4975"/>
  <c r="H13" i="4975"/>
  <c r="H23" i="4975"/>
  <c r="C18" i="4975"/>
  <c r="H8" i="4975"/>
  <c r="H19" i="4975"/>
  <c r="H24" i="4975"/>
  <c r="H7" i="4975"/>
  <c r="H21" i="4975"/>
  <c r="H32" i="4975"/>
  <c r="H16" i="4975"/>
  <c r="C19" i="4975"/>
  <c r="B23" i="4975"/>
  <c r="H28" i="4975"/>
  <c r="H29" i="4975"/>
  <c r="H35" i="4975"/>
  <c r="H38" i="4975"/>
  <c r="H42" i="4975"/>
  <c r="H46" i="4975"/>
  <c r="H50" i="4975"/>
  <c r="H33" i="4975"/>
  <c r="H34" i="4975"/>
  <c r="H27" i="4975"/>
  <c r="H25" i="4975"/>
  <c r="H17" i="4975"/>
  <c r="H31" i="4975"/>
  <c r="H39" i="4975"/>
  <c r="H43" i="4975"/>
  <c r="H47" i="4975"/>
  <c r="H51" i="4975"/>
  <c r="H22" i="4975"/>
  <c r="H36" i="4975"/>
  <c r="H40" i="4975"/>
  <c r="H44" i="4975"/>
  <c r="H48" i="4975"/>
  <c r="H18" i="4975"/>
  <c r="H20" i="4975"/>
  <c r="H15" i="4975"/>
  <c r="H26" i="4975"/>
  <c r="H12" i="4975"/>
  <c r="H9" i="4975"/>
  <c r="H30" i="4975"/>
  <c r="H37" i="4975"/>
  <c r="H41" i="4975"/>
  <c r="H45" i="4975"/>
  <c r="H49" i="49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<sst xmlns="http://schemas.openxmlformats.org/spreadsheetml/2006/main" count="2675" uniqueCount="209">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</sst>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全体!$K$2:$K$293</c:f>
              <c:numCache>
                <c:formatCode>General</c:formatCode>
                <c:ptCount val="2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</c:numCache>
            </c:numRef>
          </c:xVal>
          <c:yVal>
            <c:numRef>
              <c:f>全体!$L$2:$L$293</c:f>
              <c:numCache>
                <c:formatCode>\+0.0;\-0.0;\±0</c:formatCode>
                <c:ptCount val="292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E-44C5-872F-D26B2C72C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-17.182130584192439</c:v>
                </c:pt>
                <c:pt idx="1">
                  <c:v>-13.888888888888889</c:v>
                </c:pt>
                <c:pt idx="2">
                  <c:v>18.939393939393938</c:v>
                </c:pt>
                <c:pt idx="3">
                  <c:v>12.345679012345679</c:v>
                </c:pt>
                <c:pt idx="4">
                  <c:v>-22.522522522522522</c:v>
                </c:pt>
                <c:pt idx="5">
                  <c:v>28.985507246376812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6-422B-B9F3-AACB561C3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だいち!$L$2:$L$70</c:f>
              <c:numCache>
                <c:formatCode>\+0.0;\-0.0;\±0</c:formatCode>
                <c:ptCount val="6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4-4C3B-9CCF-0D74E4D52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3061.7647058823532</c:v>
                </c:pt>
                <c:pt idx="1">
                  <c:v>3234.3283582089553</c:v>
                </c:pt>
                <c:pt idx="2">
                  <c:v>3526.9841269841268</c:v>
                </c:pt>
                <c:pt idx="3">
                  <c:v>3992.8571428571427</c:v>
                </c:pt>
                <c:pt idx="4">
                  <c:v>326</c:v>
                </c:pt>
                <c:pt idx="5">
                  <c:v>1321.7391304347825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0-4BE9-9C9E-302281A5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りくと!$L$2:$L$71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FF-4475-8379-11B97782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1402.8985507246377</c:v>
                </c:pt>
                <c:pt idx="1">
                  <c:v>-1379.4117647058824</c:v>
                </c:pt>
                <c:pt idx="2">
                  <c:v>-2087.6923076923076</c:v>
                </c:pt>
                <c:pt idx="3">
                  <c:v>411.86440677966101</c:v>
                </c:pt>
                <c:pt idx="4">
                  <c:v>1035.1851851851852</c:v>
                </c:pt>
                <c:pt idx="5">
                  <c:v>658.82352941176475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C-4AB9-8F63-B00EA4F5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ただ!$L$2:$L$29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1-4C5A-B264-00C57516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-3385.1851851851852</c:v>
                </c:pt>
                <c:pt idx="1">
                  <c:v>-4581.4814814814818</c:v>
                </c:pt>
                <c:pt idx="2">
                  <c:v>-3591.6666666666665</c:v>
                </c:pt>
                <c:pt idx="3">
                  <c:v>-7028.5714285714284</c:v>
                </c:pt>
                <c:pt idx="4">
                  <c:v>-3700</c:v>
                </c:pt>
                <c:pt idx="5">
                  <c:v>-2116.6666666666665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1-4F44-AF24-3DE0CC93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7-4653-96E9-36EB523C6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-505.12820512820514</c:v>
                </c:pt>
                <c:pt idx="1">
                  <c:v>676.92307692307691</c:v>
                </c:pt>
                <c:pt idx="2">
                  <c:v>1058.3333333333333</c:v>
                </c:pt>
                <c:pt idx="3">
                  <c:v>-324.24242424242425</c:v>
                </c:pt>
                <c:pt idx="4">
                  <c:v>-970</c:v>
                </c:pt>
                <c:pt idx="5">
                  <c:v>242.85714285714286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4-4AF6-8E30-7582B5E8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B-4819-9704-5701CDA3C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1912.5</c:v>
                </c:pt>
                <c:pt idx="1">
                  <c:v>378.125</c:v>
                </c:pt>
                <c:pt idx="2">
                  <c:v>1142.3076923076924</c:v>
                </c:pt>
                <c:pt idx="3">
                  <c:v>552</c:v>
                </c:pt>
                <c:pt idx="4">
                  <c:v>-850</c:v>
                </c:pt>
                <c:pt idx="5">
                  <c:v>-1600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B-4CD1-A0E1-774FC0895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1-4E05-8721-EF915A53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-4812</c:v>
                </c:pt>
                <c:pt idx="1">
                  <c:v>-596</c:v>
                </c:pt>
                <c:pt idx="2">
                  <c:v>-2377.2727272727275</c:v>
                </c:pt>
                <c:pt idx="3">
                  <c:v>-3452.3809523809523</c:v>
                </c:pt>
                <c:pt idx="4">
                  <c:v>1684.2105263157894</c:v>
                </c:pt>
                <c:pt idx="5">
                  <c:v>-633.33333333333337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EEC-B88E-C8630B615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2-49C6-8729-FF375865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-5794.1176470588234</c:v>
                </c:pt>
                <c:pt idx="1">
                  <c:v>-1168.75</c:v>
                </c:pt>
                <c:pt idx="2">
                  <c:v>421.42857142857144</c:v>
                </c:pt>
                <c:pt idx="3">
                  <c:v>26.666666666666668</c:v>
                </c:pt>
                <c:pt idx="4">
                  <c:v>-414.28571428571428</c:v>
                </c:pt>
                <c:pt idx="5">
                  <c:v>2130.7692307692309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50-49B0-8043-2FED6265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2-49AE-AA25-10DF922C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6-4710-9CB3-E61B6770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7C-4FCF-A74D-769A09798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3-4C48-96B1-4396D22E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5-4253-B7D8-B752C2B3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7-4C6B-8365-83DE8B9C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250000000000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41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67.21991701244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32.29665071770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3092783505154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3092783505154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2500000000000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1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3650793650793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8531073446327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554633471645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3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43580.054930555554</v>
      </c>
      <c r="C23" s="30" t="s">
        <v>130</v>
      </c>
      <c r="D23" s="30" t="s">
        <v>131</v>
      </c>
      <c r="E23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0.65265208134270003</v>
      </c>
      <c r="G2" s="159"/>
      <c r="H2" s="158">
        <v>0.70596541682434377</v>
      </c>
      <c r="I2" s="159"/>
      <c r="J2" s="158">
        <v>0.5589394477980677</v>
      </c>
      <c r="K2" s="159"/>
      <c r="L2" s="158">
        <v>0.60191595540552678</v>
      </c>
      <c r="M2" s="159"/>
      <c r="N2" s="158">
        <v>0.47664447283499045</v>
      </c>
      <c r="O2" s="159"/>
      <c r="P2" s="158">
        <v>0.75075901920082688</v>
      </c>
      <c r="Q2" s="159"/>
      <c r="R2" s="158">
        <v>-0.19092777592712779</v>
      </c>
      <c r="S2" s="159"/>
      <c r="T2" s="158">
        <v>0.34453365751362114</v>
      </c>
      <c r="U2" s="159"/>
      <c r="V2" s="158">
        <v>0.68546498954973345</v>
      </c>
      <c r="W2" s="159"/>
      <c r="X2" s="158">
        <v>0.96232430082404863</v>
      </c>
      <c r="Y2" s="159"/>
      <c r="Z2" s="158">
        <v>-0.15140761695923244</v>
      </c>
      <c r="AA2" s="159"/>
      <c r="AB2" s="158">
        <v>0.5606661143743652</v>
      </c>
      <c r="AC2" s="159"/>
      <c r="AD2" s="158">
        <v>0.38820683838431097</v>
      </c>
      <c r="AE2" s="159"/>
      <c r="AF2" s="158">
        <v>-5.9299073591988556E-2</v>
      </c>
      <c r="AG2" s="159"/>
      <c r="AH2" s="158">
        <v>0.6672477465870752</v>
      </c>
      <c r="AI2" s="159"/>
    </row>
    <row r="3" spans="1:35" x14ac:dyDescent="0.4">
      <c r="A3" s="74">
        <v>1</v>
      </c>
      <c r="B3" s="75" t="s">
        <v>127</v>
      </c>
      <c r="C3" s="76">
        <v>1572.8000000000006</v>
      </c>
      <c r="D3" s="77" t="s">
        <v>127</v>
      </c>
      <c r="E3" s="96">
        <v>23.129411764705893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0.39926062846580407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0.20588235294117646</v>
      </c>
      <c r="X3" s="77" t="s">
        <v>127</v>
      </c>
      <c r="Y3" s="80">
        <v>0.33086876155268025</v>
      </c>
      <c r="Z3" s="77" t="s">
        <v>172</v>
      </c>
      <c r="AA3" s="80">
        <v>0.32600732600732601</v>
      </c>
      <c r="AB3" s="77" t="s">
        <v>186</v>
      </c>
      <c r="AC3" s="80">
        <v>0.7142857142857143</v>
      </c>
      <c r="AD3" s="77" t="s">
        <v>127</v>
      </c>
      <c r="AE3" s="80">
        <v>0.53787878787878785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172</v>
      </c>
      <c r="C4" s="84">
        <v>76.900000000000006</v>
      </c>
      <c r="D4" s="85" t="s">
        <v>185</v>
      </c>
      <c r="E4" s="97">
        <v>20.333333333333332</v>
      </c>
      <c r="F4" s="85" t="s">
        <v>127</v>
      </c>
      <c r="G4" s="86">
        <v>1.5441176470588236</v>
      </c>
      <c r="H4" s="85" t="s">
        <v>127</v>
      </c>
      <c r="I4" s="87">
        <v>0.6029411764705882</v>
      </c>
      <c r="J4" s="85" t="s">
        <v>202</v>
      </c>
      <c r="K4" s="87">
        <v>0</v>
      </c>
      <c r="L4" s="85" t="s">
        <v>172</v>
      </c>
      <c r="M4" s="88">
        <v>0.35164835164835168</v>
      </c>
      <c r="N4" s="85" t="s">
        <v>172</v>
      </c>
      <c r="O4" s="88">
        <v>0.14285714285714285</v>
      </c>
      <c r="P4" s="85" t="s">
        <v>127</v>
      </c>
      <c r="Q4" s="89">
        <v>9372.6851851851843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172</v>
      </c>
      <c r="W4" s="87">
        <v>0.15625</v>
      </c>
      <c r="X4" s="85" t="s">
        <v>202</v>
      </c>
      <c r="Y4" s="88">
        <v>0.30555555555555558</v>
      </c>
      <c r="Z4" s="85" t="s">
        <v>202</v>
      </c>
      <c r="AA4" s="88">
        <v>0.27777777777777779</v>
      </c>
      <c r="AB4" s="85" t="s">
        <v>128</v>
      </c>
      <c r="AC4" s="88">
        <v>0.63975155279503104</v>
      </c>
      <c r="AD4" s="85" t="s">
        <v>185</v>
      </c>
      <c r="AE4" s="88">
        <v>0.5</v>
      </c>
      <c r="AF4" s="85" t="s">
        <v>129</v>
      </c>
      <c r="AG4" s="88">
        <v>0.51219512195121952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145</v>
      </c>
      <c r="I5" s="87">
        <v>0.33333333333333331</v>
      </c>
      <c r="J5" s="85" t="s">
        <v>127</v>
      </c>
      <c r="K5" s="87">
        <v>0.14705882352941177</v>
      </c>
      <c r="L5" s="85" t="s">
        <v>145</v>
      </c>
      <c r="M5" s="88">
        <v>0.30125000000000002</v>
      </c>
      <c r="N5" s="85" t="s">
        <v>127</v>
      </c>
      <c r="O5" s="88">
        <v>0.14417744916820702</v>
      </c>
      <c r="P5" s="85" t="s">
        <v>171</v>
      </c>
      <c r="Q5" s="89">
        <v>8769.1358024691363</v>
      </c>
      <c r="R5" s="85" t="s">
        <v>177</v>
      </c>
      <c r="S5" s="89">
        <v>-7029.6296296296296</v>
      </c>
      <c r="T5" s="85" t="s">
        <v>171</v>
      </c>
      <c r="U5" s="87">
        <v>2.564102564102564E-2</v>
      </c>
      <c r="V5" s="85" t="s">
        <v>171</v>
      </c>
      <c r="W5" s="87">
        <v>0.12820512820512819</v>
      </c>
      <c r="X5" s="85" t="s">
        <v>128</v>
      </c>
      <c r="Y5" s="88">
        <v>0.28146853146853146</v>
      </c>
      <c r="Z5" s="85" t="s">
        <v>177</v>
      </c>
      <c r="AA5" s="88">
        <v>0.27480916030534353</v>
      </c>
      <c r="AB5" s="85" t="s">
        <v>127</v>
      </c>
      <c r="AC5" s="88">
        <v>0.62011173184357538</v>
      </c>
      <c r="AD5" s="85" t="s">
        <v>172</v>
      </c>
      <c r="AE5" s="88">
        <v>0.4157303370786517</v>
      </c>
      <c r="AF5" s="85" t="s">
        <v>173</v>
      </c>
      <c r="AG5" s="88">
        <v>0.50793650793650791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202</v>
      </c>
      <c r="C6" s="84">
        <v>19.399999999999995</v>
      </c>
      <c r="D6" s="85" t="s">
        <v>172</v>
      </c>
      <c r="E6" s="97">
        <v>2.4031250000000002</v>
      </c>
      <c r="F6" s="85" t="s">
        <v>145</v>
      </c>
      <c r="G6" s="86">
        <v>2</v>
      </c>
      <c r="H6" s="85" t="s">
        <v>172</v>
      </c>
      <c r="I6" s="87">
        <v>0.3125</v>
      </c>
      <c r="J6" s="85" t="s">
        <v>128</v>
      </c>
      <c r="K6" s="87">
        <v>0.30434782608695654</v>
      </c>
      <c r="L6" s="85" t="s">
        <v>128</v>
      </c>
      <c r="M6" s="88">
        <v>0.29195804195804198</v>
      </c>
      <c r="N6" s="85" t="s">
        <v>171</v>
      </c>
      <c r="O6" s="88">
        <v>0.15596330275229359</v>
      </c>
      <c r="P6" s="85" t="s">
        <v>128</v>
      </c>
      <c r="Q6" s="89">
        <v>8741.9161676646709</v>
      </c>
      <c r="R6" s="85" t="s">
        <v>171</v>
      </c>
      <c r="S6" s="89">
        <v>-7225.4901960784309</v>
      </c>
      <c r="T6" s="85" t="s">
        <v>127</v>
      </c>
      <c r="U6" s="87">
        <v>4.4117647058823532E-2</v>
      </c>
      <c r="V6" s="85" t="s">
        <v>145</v>
      </c>
      <c r="W6" s="87">
        <v>0.10309278350515463</v>
      </c>
      <c r="X6" s="85" t="s">
        <v>185</v>
      </c>
      <c r="Y6" s="88">
        <v>0.26315789473684209</v>
      </c>
      <c r="Z6" s="85" t="s">
        <v>127</v>
      </c>
      <c r="AA6" s="88">
        <v>0.24399260628465805</v>
      </c>
      <c r="AB6" s="85" t="s">
        <v>185</v>
      </c>
      <c r="AC6" s="88">
        <v>0.6</v>
      </c>
      <c r="AD6" s="85" t="s">
        <v>177</v>
      </c>
      <c r="AE6" s="88">
        <v>0.3888888888888889</v>
      </c>
      <c r="AF6" s="85" t="s">
        <v>186</v>
      </c>
      <c r="AG6" s="88">
        <v>0.5</v>
      </c>
      <c r="AH6" s="85" t="s">
        <v>128</v>
      </c>
      <c r="AI6" s="92">
        <v>94000</v>
      </c>
    </row>
    <row r="7" spans="1:35" x14ac:dyDescent="0.4">
      <c r="A7" s="82">
        <v>5</v>
      </c>
      <c r="B7" s="83" t="s">
        <v>145</v>
      </c>
      <c r="C7" s="84">
        <v>0</v>
      </c>
      <c r="D7" s="85" t="s">
        <v>145</v>
      </c>
      <c r="E7" s="97">
        <v>0</v>
      </c>
      <c r="F7" s="85" t="s">
        <v>128</v>
      </c>
      <c r="G7" s="86">
        <v>2.0289855072463769</v>
      </c>
      <c r="H7" s="85" t="s">
        <v>177</v>
      </c>
      <c r="I7" s="87">
        <v>0.29411764705882354</v>
      </c>
      <c r="J7" s="85" t="s">
        <v>145</v>
      </c>
      <c r="K7" s="87">
        <v>0.33333333333333331</v>
      </c>
      <c r="L7" s="85" t="s">
        <v>173</v>
      </c>
      <c r="M7" s="88">
        <v>0.28378378378378377</v>
      </c>
      <c r="N7" s="85" t="s">
        <v>202</v>
      </c>
      <c r="O7" s="88">
        <v>0.16666666666666666</v>
      </c>
      <c r="P7" s="85" t="s">
        <v>145</v>
      </c>
      <c r="Q7" s="89">
        <v>8367.2199170124477</v>
      </c>
      <c r="R7" s="85" t="s">
        <v>128</v>
      </c>
      <c r="S7" s="89">
        <v>-7273.7373737373737</v>
      </c>
      <c r="T7" s="85" t="s">
        <v>172</v>
      </c>
      <c r="U7" s="87">
        <v>6.25E-2</v>
      </c>
      <c r="V7" s="85" t="s">
        <v>128</v>
      </c>
      <c r="W7" s="87">
        <v>7.2463768115942032E-2</v>
      </c>
      <c r="X7" s="85" t="s">
        <v>145</v>
      </c>
      <c r="Y7" s="88">
        <v>0.26250000000000001</v>
      </c>
      <c r="Z7" s="85" t="s">
        <v>173</v>
      </c>
      <c r="AA7" s="88">
        <v>0.22972972972972974</v>
      </c>
      <c r="AB7" s="85" t="s">
        <v>145</v>
      </c>
      <c r="AC7" s="88">
        <v>0.59365079365079365</v>
      </c>
      <c r="AD7" s="85" t="s">
        <v>186</v>
      </c>
      <c r="AE7" s="88">
        <v>0.38461538461538464</v>
      </c>
      <c r="AF7" s="85" t="s">
        <v>145</v>
      </c>
      <c r="AG7" s="88">
        <v>0.41355463347164589</v>
      </c>
      <c r="AH7" s="85" t="s">
        <v>171</v>
      </c>
      <c r="AI7" s="92">
        <v>91700</v>
      </c>
    </row>
    <row r="8" spans="1:35" x14ac:dyDescent="0.4">
      <c r="A8" s="82">
        <v>6</v>
      </c>
      <c r="B8" s="83" t="s">
        <v>128</v>
      </c>
      <c r="C8" s="84">
        <v>-58.900000000000041</v>
      </c>
      <c r="D8" s="85" t="s">
        <v>128</v>
      </c>
      <c r="E8" s="97">
        <v>-0.85362318840579765</v>
      </c>
      <c r="F8" s="85" t="s">
        <v>172</v>
      </c>
      <c r="G8" s="86">
        <v>2.0625</v>
      </c>
      <c r="H8" s="85" t="s">
        <v>128</v>
      </c>
      <c r="I8" s="87">
        <v>0.27536231884057971</v>
      </c>
      <c r="J8" s="85" t="s">
        <v>171</v>
      </c>
      <c r="K8" s="87">
        <v>0.35897435897435898</v>
      </c>
      <c r="L8" s="85" t="s">
        <v>185</v>
      </c>
      <c r="M8" s="88">
        <v>0.26315789473684209</v>
      </c>
      <c r="N8" s="85" t="s">
        <v>128</v>
      </c>
      <c r="O8" s="88">
        <v>0.17307692307692307</v>
      </c>
      <c r="P8" s="85" t="s">
        <v>185</v>
      </c>
      <c r="Q8" s="89">
        <v>7860</v>
      </c>
      <c r="R8" s="85" t="s">
        <v>145</v>
      </c>
      <c r="S8" s="89">
        <v>-8032.2966507177034</v>
      </c>
      <c r="T8" s="85" t="s">
        <v>145</v>
      </c>
      <c r="U8" s="87">
        <v>0.10309278350515463</v>
      </c>
      <c r="V8" s="85" t="s">
        <v>173</v>
      </c>
      <c r="W8" s="87">
        <v>0.04</v>
      </c>
      <c r="X8" s="85" t="s">
        <v>171</v>
      </c>
      <c r="Y8" s="88">
        <v>0.25076452599388377</v>
      </c>
      <c r="Z8" s="85" t="s">
        <v>186</v>
      </c>
      <c r="AA8" s="88">
        <v>0.22807017543859648</v>
      </c>
      <c r="AB8" s="85" t="s">
        <v>172</v>
      </c>
      <c r="AC8" s="88">
        <v>0.58333333333333337</v>
      </c>
      <c r="AD8" s="85" t="s">
        <v>145</v>
      </c>
      <c r="AE8" s="88">
        <v>0.37853107344632769</v>
      </c>
      <c r="AF8" s="85" t="s">
        <v>172</v>
      </c>
      <c r="AG8" s="88">
        <v>0.40625</v>
      </c>
      <c r="AH8" s="85" t="s">
        <v>177</v>
      </c>
      <c r="AI8" s="92">
        <v>65000</v>
      </c>
    </row>
    <row r="9" spans="1:35" x14ac:dyDescent="0.4">
      <c r="A9" s="82">
        <v>7</v>
      </c>
      <c r="B9" s="83" t="s">
        <v>171</v>
      </c>
      <c r="C9" s="84">
        <v>-71.3</v>
      </c>
      <c r="D9" s="85" t="s">
        <v>171</v>
      </c>
      <c r="E9" s="97">
        <v>-1.8282051282051281</v>
      </c>
      <c r="F9" s="85" t="s">
        <v>171</v>
      </c>
      <c r="G9" s="86">
        <v>2.1025641025641026</v>
      </c>
      <c r="H9" s="85" t="s">
        <v>171</v>
      </c>
      <c r="I9" s="87">
        <v>0.25641025641025639</v>
      </c>
      <c r="J9" s="85" t="s">
        <v>172</v>
      </c>
      <c r="K9" s="87">
        <v>0.375</v>
      </c>
      <c r="L9" s="85" t="s">
        <v>177</v>
      </c>
      <c r="M9" s="88">
        <v>0.25190839694656486</v>
      </c>
      <c r="N9" s="85" t="s">
        <v>145</v>
      </c>
      <c r="O9" s="88">
        <v>0.17416666666666666</v>
      </c>
      <c r="P9" s="85" t="s">
        <v>129</v>
      </c>
      <c r="Q9" s="89">
        <v>7680.4878048780483</v>
      </c>
      <c r="R9" s="85" t="s">
        <v>127</v>
      </c>
      <c r="S9" s="89">
        <v>-8152.5641025641025</v>
      </c>
      <c r="T9" s="85" t="s">
        <v>128</v>
      </c>
      <c r="U9" s="87">
        <v>0.11594202898550725</v>
      </c>
      <c r="V9" s="85" t="s">
        <v>129</v>
      </c>
      <c r="W9" s="87">
        <v>0</v>
      </c>
      <c r="X9" s="85" t="s">
        <v>129</v>
      </c>
      <c r="Y9" s="88">
        <v>0.24324324324324326</v>
      </c>
      <c r="Z9" s="85" t="s">
        <v>145</v>
      </c>
      <c r="AA9" s="88">
        <v>0.22125</v>
      </c>
      <c r="AB9" s="85" t="s">
        <v>171</v>
      </c>
      <c r="AC9" s="88">
        <v>0.57317073170731703</v>
      </c>
      <c r="AD9" s="85" t="s">
        <v>173</v>
      </c>
      <c r="AE9" s="88">
        <v>0.33333333333333331</v>
      </c>
      <c r="AF9" s="85" t="s">
        <v>127</v>
      </c>
      <c r="AG9" s="88">
        <v>0.40277777777777779</v>
      </c>
      <c r="AH9" s="85" t="s">
        <v>173</v>
      </c>
      <c r="AI9" s="92">
        <v>58900</v>
      </c>
    </row>
    <row r="10" spans="1:35" x14ac:dyDescent="0.4">
      <c r="A10" s="82">
        <v>8</v>
      </c>
      <c r="B10" s="83" t="s">
        <v>177</v>
      </c>
      <c r="C10" s="84">
        <v>-161.19999999999999</v>
      </c>
      <c r="D10" s="85" t="s">
        <v>177</v>
      </c>
      <c r="E10" s="97">
        <v>-9.4823529411764707</v>
      </c>
      <c r="F10" s="85" t="s">
        <v>177</v>
      </c>
      <c r="G10" s="86">
        <v>2.1176470588235294</v>
      </c>
      <c r="H10" s="85" t="s">
        <v>202</v>
      </c>
      <c r="I10" s="87">
        <v>0.25</v>
      </c>
      <c r="J10" s="85" t="s">
        <v>173</v>
      </c>
      <c r="K10" s="87">
        <v>0.4</v>
      </c>
      <c r="L10" s="85" t="s">
        <v>202</v>
      </c>
      <c r="M10" s="88">
        <v>0.25</v>
      </c>
      <c r="N10" s="85" t="s">
        <v>177</v>
      </c>
      <c r="O10" s="88">
        <v>0.20610687022900764</v>
      </c>
      <c r="P10" s="85" t="s">
        <v>172</v>
      </c>
      <c r="Q10" s="89">
        <v>7340.625</v>
      </c>
      <c r="R10" s="85" t="s">
        <v>173</v>
      </c>
      <c r="S10" s="89">
        <v>-8295.9183673469379</v>
      </c>
      <c r="T10" s="85" t="s">
        <v>186</v>
      </c>
      <c r="U10" s="87">
        <v>0.14285714285714285</v>
      </c>
      <c r="V10" s="85" t="s">
        <v>177</v>
      </c>
      <c r="W10" s="87">
        <v>0</v>
      </c>
      <c r="X10" s="85" t="s">
        <v>172</v>
      </c>
      <c r="Y10" s="88">
        <v>0.21978021978021978</v>
      </c>
      <c r="Z10" s="85" t="s">
        <v>185</v>
      </c>
      <c r="AA10" s="88">
        <v>0.21052631578947367</v>
      </c>
      <c r="AB10" s="85" t="s">
        <v>202</v>
      </c>
      <c r="AC10" s="88">
        <v>0.54545454545454541</v>
      </c>
      <c r="AD10" s="85" t="s">
        <v>171</v>
      </c>
      <c r="AE10" s="88">
        <v>0.30909090909090908</v>
      </c>
      <c r="AF10" s="85" t="s">
        <v>128</v>
      </c>
      <c r="AG10" s="88">
        <v>0.39520958083832336</v>
      </c>
      <c r="AH10" s="85" t="s">
        <v>202</v>
      </c>
      <c r="AI10" s="92">
        <v>54800</v>
      </c>
    </row>
    <row r="11" spans="1:35" x14ac:dyDescent="0.4">
      <c r="A11" s="82">
        <v>9</v>
      </c>
      <c r="B11" s="83" t="s">
        <v>186</v>
      </c>
      <c r="C11" s="84">
        <v>-218.2</v>
      </c>
      <c r="D11" s="85" t="s">
        <v>173</v>
      </c>
      <c r="E11" s="97">
        <v>-13.771999999999998</v>
      </c>
      <c r="F11" s="85" t="s">
        <v>173</v>
      </c>
      <c r="G11" s="86">
        <v>2.2000000000000002</v>
      </c>
      <c r="H11" s="85" t="s">
        <v>173</v>
      </c>
      <c r="I11" s="87">
        <v>0.2</v>
      </c>
      <c r="J11" s="85" t="s">
        <v>177</v>
      </c>
      <c r="K11" s="87">
        <v>0.41176470588235292</v>
      </c>
      <c r="L11" s="85" t="s">
        <v>171</v>
      </c>
      <c r="M11" s="88">
        <v>0.24770642201834864</v>
      </c>
      <c r="N11" s="85" t="s">
        <v>173</v>
      </c>
      <c r="O11" s="88">
        <v>0.22072072072072071</v>
      </c>
      <c r="P11" s="85" t="s">
        <v>177</v>
      </c>
      <c r="Q11" s="89">
        <v>7036.363636363636</v>
      </c>
      <c r="R11" s="85" t="s">
        <v>172</v>
      </c>
      <c r="S11" s="89">
        <v>-8612.8205128205136</v>
      </c>
      <c r="T11" s="85" t="s">
        <v>173</v>
      </c>
      <c r="U11" s="87">
        <v>0.16</v>
      </c>
      <c r="V11" s="85" t="s">
        <v>185</v>
      </c>
      <c r="W11" s="87">
        <v>0</v>
      </c>
      <c r="X11" s="85" t="s">
        <v>173</v>
      </c>
      <c r="Y11" s="88">
        <v>0.21621621621621623</v>
      </c>
      <c r="Z11" s="85" t="s">
        <v>128</v>
      </c>
      <c r="AA11" s="88">
        <v>0.19405594405594406</v>
      </c>
      <c r="AB11" s="85" t="s">
        <v>173</v>
      </c>
      <c r="AC11" s="88">
        <v>0.54166666666666663</v>
      </c>
      <c r="AD11" s="85" t="s">
        <v>202</v>
      </c>
      <c r="AE11" s="88">
        <v>0.3</v>
      </c>
      <c r="AF11" s="85" t="s">
        <v>177</v>
      </c>
      <c r="AG11" s="88">
        <v>0.39393939393939392</v>
      </c>
      <c r="AH11" s="85" t="s">
        <v>185</v>
      </c>
      <c r="AI11" s="92">
        <v>53500</v>
      </c>
    </row>
    <row r="12" spans="1:35" x14ac:dyDescent="0.4">
      <c r="A12" s="82">
        <v>10</v>
      </c>
      <c r="B12" s="83" t="s">
        <v>173</v>
      </c>
      <c r="C12" s="84">
        <v>-344.29999999999995</v>
      </c>
      <c r="D12" s="85" t="s">
        <v>186</v>
      </c>
      <c r="E12" s="97">
        <v>-31.171428571428571</v>
      </c>
      <c r="F12" s="85" t="s">
        <v>129</v>
      </c>
      <c r="G12" s="86">
        <v>2.5555555555555554</v>
      </c>
      <c r="H12" s="85" t="s">
        <v>186</v>
      </c>
      <c r="I12" s="87">
        <v>0.14285714285714285</v>
      </c>
      <c r="J12" s="85" t="s">
        <v>129</v>
      </c>
      <c r="K12" s="87">
        <v>0.66666666666666663</v>
      </c>
      <c r="L12" s="85" t="s">
        <v>186</v>
      </c>
      <c r="M12" s="88">
        <v>0.21052631578947367</v>
      </c>
      <c r="N12" s="85" t="s">
        <v>129</v>
      </c>
      <c r="O12" s="88">
        <v>0.22972972972972974</v>
      </c>
      <c r="P12" s="85" t="s">
        <v>186</v>
      </c>
      <c r="Q12" s="89">
        <v>6500</v>
      </c>
      <c r="R12" s="85" t="s">
        <v>186</v>
      </c>
      <c r="S12" s="89">
        <v>-8762.5</v>
      </c>
      <c r="T12" s="85" t="s">
        <v>177</v>
      </c>
      <c r="U12" s="87">
        <v>0.17647058823529413</v>
      </c>
      <c r="V12" s="85" t="s">
        <v>186</v>
      </c>
      <c r="W12" s="87">
        <v>0</v>
      </c>
      <c r="X12" s="85" t="s">
        <v>177</v>
      </c>
      <c r="Y12" s="88">
        <v>0.17557251908396945</v>
      </c>
      <c r="Z12" s="85" t="s">
        <v>171</v>
      </c>
      <c r="AA12" s="88">
        <v>0.16819571865443425</v>
      </c>
      <c r="AB12" s="85" t="s">
        <v>177</v>
      </c>
      <c r="AC12" s="88">
        <v>0.52173913043478259</v>
      </c>
      <c r="AD12" s="85" t="s">
        <v>128</v>
      </c>
      <c r="AE12" s="88">
        <v>0.27927927927927926</v>
      </c>
      <c r="AF12" s="85" t="s">
        <v>171</v>
      </c>
      <c r="AG12" s="88">
        <v>0.34567901234567899</v>
      </c>
      <c r="AH12" s="85" t="s">
        <v>129</v>
      </c>
      <c r="AI12" s="92">
        <v>52200</v>
      </c>
    </row>
    <row r="13" spans="1:35" x14ac:dyDescent="0.4">
      <c r="A13" s="82">
        <v>11</v>
      </c>
      <c r="B13" s="83" t="s">
        <v>129</v>
      </c>
      <c r="C13" s="84">
        <v>-876.19999999999993</v>
      </c>
      <c r="D13" s="85" t="s">
        <v>129</v>
      </c>
      <c r="E13" s="97">
        <v>-32.451851851851849</v>
      </c>
      <c r="F13" s="85" t="s">
        <v>186</v>
      </c>
      <c r="G13" s="86">
        <v>2.5714285714285716</v>
      </c>
      <c r="H13" s="85" t="s">
        <v>129</v>
      </c>
      <c r="I13" s="87">
        <v>0.1111111111111111</v>
      </c>
      <c r="J13" s="85" t="s">
        <v>186</v>
      </c>
      <c r="K13" s="87">
        <v>0.7142857142857143</v>
      </c>
      <c r="L13" s="85" t="s">
        <v>129</v>
      </c>
      <c r="M13" s="88">
        <v>0.18468468468468469</v>
      </c>
      <c r="N13" s="85" t="s">
        <v>186</v>
      </c>
      <c r="O13" s="88">
        <v>0.2807017543859649</v>
      </c>
      <c r="P13" s="85" t="s">
        <v>173</v>
      </c>
      <c r="Q13" s="89">
        <v>6344.4444444444443</v>
      </c>
      <c r="R13" s="85" t="s">
        <v>129</v>
      </c>
      <c r="S13" s="89">
        <v>-10100</v>
      </c>
      <c r="T13" s="85" t="s">
        <v>129</v>
      </c>
      <c r="U13" s="87">
        <v>0.29629629629629628</v>
      </c>
      <c r="V13" s="85" t="s">
        <v>202</v>
      </c>
      <c r="W13" s="87">
        <v>0</v>
      </c>
      <c r="X13" s="85" t="s">
        <v>186</v>
      </c>
      <c r="Y13" s="88">
        <v>0.12280701754385964</v>
      </c>
      <c r="Z13" s="85" t="s">
        <v>129</v>
      </c>
      <c r="AA13" s="88">
        <v>0.13513513513513514</v>
      </c>
      <c r="AB13" s="85" t="s">
        <v>129</v>
      </c>
      <c r="AC13" s="88">
        <v>0.48148148148148145</v>
      </c>
      <c r="AD13" s="85" t="s">
        <v>129</v>
      </c>
      <c r="AE13" s="88">
        <v>0.13333333333333333</v>
      </c>
      <c r="AF13" s="85" t="s">
        <v>185</v>
      </c>
      <c r="AG13" s="88">
        <v>0.2</v>
      </c>
      <c r="AH13" s="85" t="s">
        <v>186</v>
      </c>
      <c r="AI13" s="92">
        <v>43600</v>
      </c>
    </row>
  </sheetData>
  <sortState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H1:AI1"/>
    <mergeCell ref="B1:C1"/>
    <mergeCell ref="D1:E1"/>
    <mergeCell ref="F1:G1"/>
    <mergeCell ref="H1:I1"/>
    <mergeCell ref="L1:M1"/>
    <mergeCell ref="J1:K1"/>
    <mergeCell ref="P1:Q1"/>
    <mergeCell ref="R1:S1"/>
    <mergeCell ref="T1:U1"/>
    <mergeCell ref="V1:W1"/>
    <mergeCell ref="X1:Y1"/>
    <mergeCell ref="Z1:AA1"/>
    <mergeCell ref="AB1:AC1"/>
    <mergeCell ref="AD1:AE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75D8-072A-4355-A00A-9D7F1D05B62A}">
  <sheetPr codeName="Sheet4"/>
  <dimension ref="A1:Q29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291</v>
      </c>
      <c r="C2" s="147"/>
      <c r="E2" s="62" t="s">
        <v>67</v>
      </c>
      <c r="F2" s="59" t="s">
        <v>23</v>
      </c>
      <c r="G2" s="46">
        <v>535</v>
      </c>
      <c r="H2" s="132">
        <f>IF(B$17=0,0,G2/B$17)</f>
        <v>0.73997233748271096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-17.182130584192439</v>
      </c>
      <c r="P2" s="118">
        <v>291</v>
      </c>
      <c r="Q2" s="102">
        <v>-5000</v>
      </c>
    </row>
    <row r="3" spans="1:17" x14ac:dyDescent="0.4">
      <c r="A3" s="55" t="s">
        <v>8</v>
      </c>
      <c r="B3" s="148">
        <v>2400</v>
      </c>
      <c r="C3" s="149"/>
      <c r="E3" s="63" t="s">
        <v>73</v>
      </c>
      <c r="F3" s="60" t="s">
        <v>28</v>
      </c>
      <c r="G3" s="47">
        <v>380</v>
      </c>
      <c r="H3" s="133">
        <f>IF(B$17=0,0,G3/B$17)</f>
        <v>0.52558782849239283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-13.888888888888889</v>
      </c>
      <c r="P3" s="119">
        <v>288</v>
      </c>
      <c r="Q3" s="103">
        <v>-4000</v>
      </c>
    </row>
    <row r="4" spans="1:17" x14ac:dyDescent="0.4">
      <c r="A4" s="55" t="s">
        <v>6</v>
      </c>
      <c r="B4" s="150">
        <v>0</v>
      </c>
      <c r="C4" s="151"/>
      <c r="E4" s="63" t="s">
        <v>65</v>
      </c>
      <c r="F4" s="60" t="s">
        <v>21</v>
      </c>
      <c r="G4" s="47">
        <v>356</v>
      </c>
      <c r="H4" s="133">
        <f>IF(B$17=0,0,G4/B$17)</f>
        <v>0.49239280774550487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18.939393939393938</v>
      </c>
      <c r="P4" s="119">
        <v>264</v>
      </c>
      <c r="Q4" s="103">
        <v>5000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181</v>
      </c>
      <c r="F5" s="60" t="s">
        <v>182</v>
      </c>
      <c r="G5" s="47">
        <v>273</v>
      </c>
      <c r="H5" s="133">
        <f>IF(B$17=0,0,G5/B$17)</f>
        <v>0.37759336099585061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12.345679012345679</v>
      </c>
      <c r="P5" s="119">
        <v>243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204</v>
      </c>
      <c r="H6" s="133">
        <f>IF(B$17=0,0,G6/B$17)</f>
        <v>0.28215767634854771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-22.522522522522522</v>
      </c>
      <c r="P6" s="119">
        <v>222</v>
      </c>
      <c r="Q6" s="103">
        <v>-5000</v>
      </c>
    </row>
    <row r="7" spans="1:17" x14ac:dyDescent="0.4">
      <c r="A7" s="55" t="s">
        <v>2</v>
      </c>
      <c r="B7" s="47">
        <v>97</v>
      </c>
      <c r="C7" s="39">
        <f>IF(B$2=0,0,B7/B$2)</f>
        <v>0.33333333333333331</v>
      </c>
      <c r="E7" s="63" t="s">
        <v>68</v>
      </c>
      <c r="F7" s="60" t="s">
        <v>24</v>
      </c>
      <c r="G7" s="47">
        <v>200</v>
      </c>
      <c r="H7" s="133">
        <f>IF(B$17=0,0,G7/B$17)</f>
        <v>0.27662517289073307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28.985507246376812</v>
      </c>
      <c r="P7" s="120">
        <v>207</v>
      </c>
      <c r="Q7" s="104">
        <v>6000</v>
      </c>
    </row>
    <row r="8" spans="1:17" x14ac:dyDescent="0.4">
      <c r="A8" s="55" t="s">
        <v>3</v>
      </c>
      <c r="B8" s="47">
        <v>97</v>
      </c>
      <c r="C8" s="39">
        <f>IF(B$2=0,0,B8/B$2)</f>
        <v>0.33333333333333331</v>
      </c>
      <c r="E8" s="63" t="s">
        <v>70</v>
      </c>
      <c r="F8" s="60" t="s">
        <v>25</v>
      </c>
      <c r="G8" s="47">
        <v>129</v>
      </c>
      <c r="H8" s="133">
        <f>IF(B$17=0,0,G8/B$17)</f>
        <v>0.17842323651452283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97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97</v>
      </c>
      <c r="H9" s="133">
        <f>IF(B$17=0,0,G9/B$17)</f>
        <v>0.13416320885200553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30</v>
      </c>
      <c r="C10" s="40">
        <f>IF(B$2=0,0,B10/B$2)</f>
        <v>0.10309278350515463</v>
      </c>
      <c r="E10" s="63" t="s">
        <v>66</v>
      </c>
      <c r="F10" s="60" t="s">
        <v>22</v>
      </c>
      <c r="G10" s="47">
        <v>90</v>
      </c>
      <c r="H10" s="133">
        <f>IF(B$17=0,0,G10/B$17)</f>
        <v>0.12448132780082988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-3.2391752577319592</v>
      </c>
      <c r="P10" s="118">
        <v>97</v>
      </c>
      <c r="Q10" s="106">
        <v>-314.20000000000005</v>
      </c>
    </row>
    <row r="11" spans="1:17" x14ac:dyDescent="0.4">
      <c r="A11" s="56" t="s">
        <v>140</v>
      </c>
      <c r="B11" s="48">
        <v>30</v>
      </c>
      <c r="C11" s="40">
        <f>IF(B$2=0,0,B11/B$2)</f>
        <v>0.10309278350515463</v>
      </c>
      <c r="E11" s="63" t="s">
        <v>71</v>
      </c>
      <c r="F11" s="60" t="s">
        <v>26</v>
      </c>
      <c r="G11" s="47">
        <v>76</v>
      </c>
      <c r="H11" s="133">
        <f>IF(B$17=0,0,G11/B$17)</f>
        <v>0.10511756569847856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-4.598969072164949</v>
      </c>
      <c r="P11" s="119">
        <v>97</v>
      </c>
      <c r="Q11" s="107">
        <v>-446.10000000000008</v>
      </c>
    </row>
    <row r="12" spans="1:17" x14ac:dyDescent="0.4">
      <c r="A12" s="57" t="s">
        <v>160</v>
      </c>
      <c r="B12" s="49">
        <v>30</v>
      </c>
      <c r="C12" s="42">
        <f>IF(B$2=0,0,B12/B$2)</f>
        <v>0.10309278350515463</v>
      </c>
      <c r="E12" s="63" t="s">
        <v>87</v>
      </c>
      <c r="F12" s="60" t="s">
        <v>42</v>
      </c>
      <c r="G12" s="47">
        <v>47</v>
      </c>
      <c r="H12" s="133">
        <f>IF(B$17=0,0,G12/B$17)</f>
        <v>6.5006915629322273E-2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7.8381443298969069</v>
      </c>
      <c r="P12" s="120">
        <v>97</v>
      </c>
      <c r="Q12" s="108">
        <v>760.3</v>
      </c>
    </row>
    <row r="13" spans="1:17" x14ac:dyDescent="0.4">
      <c r="A13" s="58" t="s">
        <v>122</v>
      </c>
      <c r="B13" s="50">
        <v>630</v>
      </c>
      <c r="C13" s="44">
        <f>IF(B$3=0,0,B13/B$3)</f>
        <v>0.26250000000000001</v>
      </c>
      <c r="E13" s="63" t="s">
        <v>72</v>
      </c>
      <c r="F13" s="60" t="s">
        <v>27</v>
      </c>
      <c r="G13" s="47">
        <v>38</v>
      </c>
      <c r="H13" s="133">
        <f>IF(B$17=0,0,G13/B$17)</f>
        <v>5.2558782849239281E-2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531</v>
      </c>
      <c r="C14" s="39">
        <f>IF(B$3=0,0,B14/B$3)</f>
        <v>0.22125</v>
      </c>
      <c r="E14" s="63" t="s">
        <v>84</v>
      </c>
      <c r="F14" s="60" t="s">
        <v>39</v>
      </c>
      <c r="G14" s="47">
        <v>34</v>
      </c>
      <c r="H14" s="133">
        <f>IF(B$17=0,0,G14/B$17)</f>
        <v>4.7026279391424619E-2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374</v>
      </c>
      <c r="C15" s="37">
        <f>IF(B$13=0,0,B15/B$13)</f>
        <v>0.59365079365079365</v>
      </c>
      <c r="E15" s="63" t="s">
        <v>82</v>
      </c>
      <c r="F15" s="60" t="s">
        <v>37</v>
      </c>
      <c r="G15" s="47">
        <v>20</v>
      </c>
      <c r="H15" s="133">
        <f>IF(B$17=0,0,G15/B$17)</f>
        <v>2.7662517289073305E-2</v>
      </c>
      <c r="I15" s="94">
        <v>5</v>
      </c>
      <c r="K15" s="38">
        <v>13</v>
      </c>
      <c r="L15" s="99">
        <v>-42.100000000000009</v>
      </c>
      <c r="N15" s="114" t="s">
        <v>129</v>
      </c>
      <c r="O15" s="124">
        <f>IF(P15=0,0,Q15/P15)</f>
        <v>48.677777777777784</v>
      </c>
      <c r="P15" s="118">
        <v>54</v>
      </c>
      <c r="Q15" s="106">
        <v>2628.6000000000004</v>
      </c>
    </row>
    <row r="16" spans="1:17" x14ac:dyDescent="0.4">
      <c r="A16" s="54" t="s">
        <v>125</v>
      </c>
      <c r="B16" s="46">
        <v>201</v>
      </c>
      <c r="C16" s="37">
        <f>IF(B$14=0,0,B16/B$14)</f>
        <v>0.37853107344632769</v>
      </c>
      <c r="E16" s="63" t="s">
        <v>79</v>
      </c>
      <c r="F16" s="60" t="s">
        <v>34</v>
      </c>
      <c r="G16" s="47">
        <v>13</v>
      </c>
      <c r="H16" s="133">
        <f>IF(B$17=0,0,G16/B$17)</f>
        <v>1.7980636237897647E-2</v>
      </c>
      <c r="I16" s="94">
        <v>6</v>
      </c>
      <c r="K16" s="38">
        <v>14</v>
      </c>
      <c r="L16" s="99">
        <v>18.79999999999999</v>
      </c>
      <c r="N16" s="115" t="s">
        <v>186</v>
      </c>
      <c r="O16" s="125">
        <f>IF(P16=0,0,Q16/P16)</f>
        <v>46.75714285714286</v>
      </c>
      <c r="P16" s="119">
        <v>14</v>
      </c>
      <c r="Q16" s="107">
        <v>654.6</v>
      </c>
    </row>
    <row r="17" spans="1:17" x14ac:dyDescent="0.4">
      <c r="A17" s="54" t="s">
        <v>10</v>
      </c>
      <c r="B17" s="46">
        <f>B19+B18</f>
        <v>723</v>
      </c>
      <c r="C17" s="37">
        <f>IF(B$3=0,0,B17/B$3)</f>
        <v>0.30125000000000002</v>
      </c>
      <c r="E17" s="63" t="s">
        <v>92</v>
      </c>
      <c r="F17" s="60" t="s">
        <v>47</v>
      </c>
      <c r="G17" s="47">
        <v>13</v>
      </c>
      <c r="H17" s="133">
        <f>IF(B$17=0,0,G17/B$17)</f>
        <v>1.7980636237897647E-2</v>
      </c>
      <c r="I17" s="94">
        <v>4</v>
      </c>
      <c r="K17" s="38">
        <v>15</v>
      </c>
      <c r="L17" s="99">
        <v>-1.0658141036401503E-14</v>
      </c>
      <c r="N17" s="115" t="s">
        <v>173</v>
      </c>
      <c r="O17" s="125">
        <f>IF(P17=0,0,Q17/P17)</f>
        <v>20.658000000000001</v>
      </c>
      <c r="P17" s="119">
        <v>50</v>
      </c>
      <c r="Q17" s="107">
        <v>1032.9000000000001</v>
      </c>
    </row>
    <row r="18" spans="1:17" x14ac:dyDescent="0.4">
      <c r="A18" s="55" t="s">
        <v>12</v>
      </c>
      <c r="B18" s="47">
        <v>299</v>
      </c>
      <c r="C18" s="39">
        <f>IF(B$17=0,0,B18/B$17)</f>
        <v>0.41355463347164589</v>
      </c>
      <c r="E18" s="63" t="s">
        <v>180</v>
      </c>
      <c r="F18" s="60" t="s">
        <v>183</v>
      </c>
      <c r="G18" s="47">
        <v>11</v>
      </c>
      <c r="H18" s="133">
        <f>IF(B$17=0,0,G18/B$17)</f>
        <v>1.5214384508990318E-2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>IF(P18=0,0,Q18/P18)</f>
        <v>14.223529411764703</v>
      </c>
      <c r="P18" s="119">
        <v>34</v>
      </c>
      <c r="Q18" s="107">
        <v>483.59999999999991</v>
      </c>
    </row>
    <row r="19" spans="1:17" x14ac:dyDescent="0.4">
      <c r="A19" s="55" t="s">
        <v>11</v>
      </c>
      <c r="B19" s="47">
        <v>424</v>
      </c>
      <c r="C19" s="39">
        <f>IF(B$17=0,0,B19/B$17)</f>
        <v>0.58644536652835411</v>
      </c>
      <c r="E19" s="63" t="s">
        <v>76</v>
      </c>
      <c r="F19" s="60" t="s">
        <v>31</v>
      </c>
      <c r="G19" s="47">
        <v>6</v>
      </c>
      <c r="H19" s="133">
        <f>IF(B$17=0,0,G19/B$17)</f>
        <v>8.2987551867219917E-3</v>
      </c>
      <c r="I19" s="94">
        <v>4</v>
      </c>
      <c r="K19" s="38">
        <v>17</v>
      </c>
      <c r="L19" s="99">
        <v>8.2999999999999972</v>
      </c>
      <c r="N19" s="115" t="s">
        <v>171</v>
      </c>
      <c r="O19" s="125">
        <f>IF(P19=0,0,Q19/P19)</f>
        <v>2.7423076923076946</v>
      </c>
      <c r="P19" s="119">
        <v>78</v>
      </c>
      <c r="Q19" s="107">
        <v>213.90000000000018</v>
      </c>
    </row>
    <row r="20" spans="1:17" x14ac:dyDescent="0.4">
      <c r="A20" s="55" t="s">
        <v>13</v>
      </c>
      <c r="B20" s="47">
        <v>418</v>
      </c>
      <c r="C20" s="39">
        <f>IF(B$3=0,0,B20/B$3)</f>
        <v>0.17416666666666666</v>
      </c>
      <c r="E20" s="63" t="s">
        <v>80</v>
      </c>
      <c r="F20" s="60" t="s">
        <v>35</v>
      </c>
      <c r="G20" s="47">
        <v>6</v>
      </c>
      <c r="H20" s="133">
        <f>IF(B$17=0,0,G20/B$17)</f>
        <v>8.2987551867219917E-3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1.2804347826086933</v>
      </c>
      <c r="P20" s="119">
        <v>138</v>
      </c>
      <c r="Q20" s="107">
        <v>176.69999999999968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4</v>
      </c>
      <c r="H21" s="133">
        <f>IF(B$17=0,0,G21/B$17)</f>
        <v>5.5325034578146614E-3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-3.6046875000000016</v>
      </c>
      <c r="P21" s="119">
        <v>64</v>
      </c>
      <c r="Q21" s="107">
        <v>-230.7000000000001</v>
      </c>
    </row>
    <row r="22" spans="1:17" x14ac:dyDescent="0.4">
      <c r="A22" s="55" t="s">
        <v>194</v>
      </c>
      <c r="B22" s="47">
        <v>31</v>
      </c>
      <c r="C22" s="135">
        <v>9</v>
      </c>
      <c r="E22" s="63" t="s">
        <v>93</v>
      </c>
      <c r="F22" s="60" t="s">
        <v>48</v>
      </c>
      <c r="G22" s="47">
        <v>4</v>
      </c>
      <c r="H22" s="133">
        <f>IF(B$17=0,0,G22/B$17)</f>
        <v>5.5325034578146614E-3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8367.2199170124477</v>
      </c>
      <c r="C23" s="41">
        <v>6049500</v>
      </c>
      <c r="E23" s="63" t="s">
        <v>75</v>
      </c>
      <c r="F23" s="60" t="s">
        <v>30</v>
      </c>
      <c r="G23" s="47">
        <v>2</v>
      </c>
      <c r="H23" s="133">
        <f>IF(B$17=0,0,G23/B$17)</f>
        <v>2.7662517289073307E-3</v>
      </c>
      <c r="I23" s="94">
        <v>2</v>
      </c>
      <c r="K23" s="38">
        <v>21</v>
      </c>
      <c r="L23" s="99">
        <v>-2.886579864025407E-15</v>
      </c>
      <c r="N23" s="115" t="s">
        <v>185</v>
      </c>
      <c r="O23" s="125">
        <f>IF(P23=0,0,Q23/P23)</f>
        <v>-30.5</v>
      </c>
      <c r="P23" s="119">
        <v>6</v>
      </c>
      <c r="Q23" s="107">
        <v>-183</v>
      </c>
    </row>
    <row r="24" spans="1:17" x14ac:dyDescent="0.4">
      <c r="A24" s="57" t="s">
        <v>14</v>
      </c>
      <c r="B24" s="52">
        <f>IF(B$20=0,0,C24/B$20)</f>
        <v>-8032.2966507177034</v>
      </c>
      <c r="C24" s="45">
        <v>-3357500</v>
      </c>
      <c r="E24" s="63" t="s">
        <v>78</v>
      </c>
      <c r="F24" s="60" t="s">
        <v>33</v>
      </c>
      <c r="G24" s="47">
        <v>2</v>
      </c>
      <c r="H24" s="133">
        <f>IF(B$17=0,0,G24/B$17)</f>
        <v>2.7662517289073307E-3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-34.694117647058789</v>
      </c>
      <c r="P24" s="119">
        <v>136</v>
      </c>
      <c r="Q24" s="107">
        <v>-4718.3999999999951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2</v>
      </c>
      <c r="H25" s="133">
        <f>IF(B$17=0,0,G25/B$17)</f>
        <v>2.7662517289073307E-3</v>
      </c>
      <c r="I25" s="94">
        <v>3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>IF(B$17=0,0,G26/B$17)</f>
        <v>1.3831258644536654E-3</v>
      </c>
      <c r="I26" s="94">
        <v>2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9</v>
      </c>
      <c r="C27" s="42">
        <f>IF(B$3=0,0,B27/B$3)</f>
        <v>3.7499999999999999E-3</v>
      </c>
      <c r="E27" s="63" t="s">
        <v>86</v>
      </c>
      <c r="F27" s="60" t="s">
        <v>41</v>
      </c>
      <c r="G27" s="47">
        <v>1</v>
      </c>
      <c r="H27" s="133">
        <f>IF(B$17=0,0,G27/B$17)</f>
        <v>1.3831258644536654E-3</v>
      </c>
      <c r="I27" s="94">
        <v>2</v>
      </c>
      <c r="K27" s="38">
        <v>25</v>
      </c>
      <c r="L27" s="99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3">
        <f>IF(B$17=0,0,G28/B$17)</f>
        <v>1.3831258644536654E-3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3">
        <f>IF(B$17=0,0,G29/B$17)</f>
        <v>1.3831258644536654E-3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3">
        <f>IF(B$17=0,0,G30/B$17)</f>
        <v>1.3831258644536654E-3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1.3831258644536654E-3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AF3C7-718A-4B12-AD91-410A3D295C7C}">
  <sheetPr codeName="Sheet7"/>
  <dimension ref="A1:Q7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68</v>
      </c>
      <c r="C2" s="147"/>
      <c r="E2" s="62" t="s">
        <v>67</v>
      </c>
      <c r="F2" s="59" t="s">
        <v>23</v>
      </c>
      <c r="G2" s="46">
        <v>165</v>
      </c>
      <c r="H2" s="132">
        <f>IF(B$17=0,0,G2/B$17)</f>
        <v>0.76388888888888884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3061.7647058823532</v>
      </c>
      <c r="P2" s="118">
        <v>68</v>
      </c>
      <c r="Q2" s="102">
        <v>208200</v>
      </c>
    </row>
    <row r="3" spans="1:17" x14ac:dyDescent="0.4">
      <c r="A3" s="55" t="s">
        <v>8</v>
      </c>
      <c r="B3" s="148">
        <v>541</v>
      </c>
      <c r="C3" s="149"/>
      <c r="E3" s="63" t="s">
        <v>73</v>
      </c>
      <c r="F3" s="60" t="s">
        <v>28</v>
      </c>
      <c r="G3" s="47">
        <v>116</v>
      </c>
      <c r="H3" s="133">
        <f>IF(B$17=0,0,G3/B$17)</f>
        <v>0.53703703703703709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3234.3283582089553</v>
      </c>
      <c r="P3" s="119">
        <v>67</v>
      </c>
      <c r="Q3" s="103">
        <v>216700</v>
      </c>
    </row>
    <row r="4" spans="1:17" x14ac:dyDescent="0.4">
      <c r="A4" s="55" t="s">
        <v>6</v>
      </c>
      <c r="B4" s="150">
        <v>1572.8000000000006</v>
      </c>
      <c r="C4" s="151"/>
      <c r="E4" s="63" t="s">
        <v>65</v>
      </c>
      <c r="F4" s="60" t="s">
        <v>21</v>
      </c>
      <c r="G4" s="47">
        <v>103</v>
      </c>
      <c r="H4" s="133">
        <f>IF(B$17=0,0,G4/B$17)</f>
        <v>0.47685185185185186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3526.9841269841268</v>
      </c>
      <c r="P4" s="119">
        <v>63</v>
      </c>
      <c r="Q4" s="103">
        <v>222200</v>
      </c>
    </row>
    <row r="5" spans="1:17" x14ac:dyDescent="0.4">
      <c r="A5" s="55" t="s">
        <v>7</v>
      </c>
      <c r="B5" s="152">
        <f>IF(B$2=0,0,B$4/B$2)</f>
        <v>23.129411764705893</v>
      </c>
      <c r="C5" s="153"/>
      <c r="E5" s="63" t="s">
        <v>181</v>
      </c>
      <c r="F5" s="60" t="s">
        <v>182</v>
      </c>
      <c r="G5" s="47">
        <v>90</v>
      </c>
      <c r="H5" s="133">
        <f>IF(B$17=0,0,G5/B$17)</f>
        <v>0.41666666666666669</v>
      </c>
      <c r="I5" s="94">
        <v>2</v>
      </c>
      <c r="K5" s="38">
        <v>3</v>
      </c>
      <c r="L5" s="99">
        <v>70.399999999999991</v>
      </c>
      <c r="N5" s="115" t="s">
        <v>135</v>
      </c>
      <c r="O5" s="122">
        <f t="shared" si="0"/>
        <v>3992.8571428571427</v>
      </c>
      <c r="P5" s="119">
        <v>56</v>
      </c>
      <c r="Q5" s="103">
        <v>223600</v>
      </c>
    </row>
    <row r="6" spans="1:17" x14ac:dyDescent="0.4">
      <c r="A6" s="55" t="s">
        <v>1</v>
      </c>
      <c r="B6" s="142">
        <f>IF(B$2=0,0,(B$7*1+B$8*2+B$9*3)/B$2)</f>
        <v>1.5441176470588236</v>
      </c>
      <c r="C6" s="143"/>
      <c r="E6" s="63" t="s">
        <v>68</v>
      </c>
      <c r="F6" s="60" t="s">
        <v>24</v>
      </c>
      <c r="G6" s="47">
        <v>67</v>
      </c>
      <c r="H6" s="133">
        <f>IF(B$17=0,0,G6/B$17)</f>
        <v>0.31018518518518517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326</v>
      </c>
      <c r="P6" s="119">
        <v>50</v>
      </c>
      <c r="Q6" s="103">
        <v>16300</v>
      </c>
    </row>
    <row r="7" spans="1:17" x14ac:dyDescent="0.4">
      <c r="A7" s="55" t="s">
        <v>2</v>
      </c>
      <c r="B7" s="47">
        <v>41</v>
      </c>
      <c r="C7" s="39">
        <f>IF(B$2=0,0,B7/B$2)</f>
        <v>0.6029411764705882</v>
      </c>
      <c r="E7" s="63" t="s">
        <v>69</v>
      </c>
      <c r="F7" s="60" t="s">
        <v>12</v>
      </c>
      <c r="G7" s="47">
        <v>51</v>
      </c>
      <c r="H7" s="133">
        <f>IF(B$17=0,0,G7/B$17)</f>
        <v>0.2361111111111111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1321.7391304347825</v>
      </c>
      <c r="P7" s="120">
        <v>46</v>
      </c>
      <c r="Q7" s="104">
        <v>60800</v>
      </c>
    </row>
    <row r="8" spans="1:17" x14ac:dyDescent="0.4">
      <c r="A8" s="55" t="s">
        <v>3</v>
      </c>
      <c r="B8" s="47">
        <v>17</v>
      </c>
      <c r="C8" s="39">
        <f>IF(B$2=0,0,B8/B$2)</f>
        <v>0.25</v>
      </c>
      <c r="E8" s="63" t="s">
        <v>70</v>
      </c>
      <c r="F8" s="60" t="s">
        <v>25</v>
      </c>
      <c r="G8" s="47">
        <v>41</v>
      </c>
      <c r="H8" s="133">
        <f>IF(B$17=0,0,G8/B$17)</f>
        <v>0.18981481481481483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ref="C9" si="1">IF(B$2=0,0,B9/B$2)</f>
        <v>0.14705882352941177</v>
      </c>
      <c r="E9" s="63" t="s">
        <v>90</v>
      </c>
      <c r="F9" s="60" t="s">
        <v>45</v>
      </c>
      <c r="G9" s="47">
        <v>39</v>
      </c>
      <c r="H9" s="133">
        <f>IF(B$17=0,0,G9/B$17)</f>
        <v>0.18055555555555555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4.4117647058823532E-2</v>
      </c>
      <c r="E10" s="63" t="s">
        <v>66</v>
      </c>
      <c r="F10" s="60" t="s">
        <v>22</v>
      </c>
      <c r="G10" s="47">
        <v>31</v>
      </c>
      <c r="H10" s="133">
        <f>IF(B$17=0,0,G10/B$17)</f>
        <v>0.14351851851851852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21.280952380952378</v>
      </c>
      <c r="P10" s="118">
        <v>21</v>
      </c>
      <c r="Q10" s="106">
        <v>446.9</v>
      </c>
    </row>
    <row r="11" spans="1:17" x14ac:dyDescent="0.4">
      <c r="A11" s="56" t="s">
        <v>140</v>
      </c>
      <c r="B11" s="48">
        <v>14</v>
      </c>
      <c r="C11" s="40">
        <f>IF(B$2=0,0,B11/B$2)</f>
        <v>0.20588235294117646</v>
      </c>
      <c r="E11" s="63" t="s">
        <v>87</v>
      </c>
      <c r="F11" s="60" t="s">
        <v>42</v>
      </c>
      <c r="G11" s="47">
        <v>19</v>
      </c>
      <c r="H11" s="133">
        <f>IF(B$17=0,0,G11/B$17)</f>
        <v>8.7962962962962965E-2</v>
      </c>
      <c r="I11" s="94">
        <v>3</v>
      </c>
      <c r="K11" s="38">
        <v>9</v>
      </c>
      <c r="L11" s="99">
        <v>277.90000000000003</v>
      </c>
      <c r="N11" s="115" t="s">
        <v>165</v>
      </c>
      <c r="O11" s="125">
        <f>IF(P11=0,0,Q11/P11)</f>
        <v>19.568421052631578</v>
      </c>
      <c r="P11" s="119">
        <v>19</v>
      </c>
      <c r="Q11" s="107">
        <v>371.79999999999995</v>
      </c>
    </row>
    <row r="12" spans="1:17" x14ac:dyDescent="0.4">
      <c r="A12" s="57" t="s">
        <v>160</v>
      </c>
      <c r="B12" s="49">
        <v>15</v>
      </c>
      <c r="C12" s="42">
        <f>IF(B$2=0,0,B12/B$2)</f>
        <v>0.22058823529411764</v>
      </c>
      <c r="E12" s="63" t="s">
        <v>71</v>
      </c>
      <c r="F12" s="60" t="s">
        <v>26</v>
      </c>
      <c r="G12" s="47">
        <v>18</v>
      </c>
      <c r="H12" s="133">
        <f>IF(B$17=0,0,G12/B$17)</f>
        <v>8.3333333333333329E-2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26.93214285714286</v>
      </c>
      <c r="P12" s="120">
        <v>28</v>
      </c>
      <c r="Q12" s="108">
        <v>754.10000000000014</v>
      </c>
    </row>
    <row r="13" spans="1:17" x14ac:dyDescent="0.4">
      <c r="A13" s="58" t="s">
        <v>122</v>
      </c>
      <c r="B13" s="50">
        <v>179</v>
      </c>
      <c r="C13" s="44">
        <f>IF(B$3=0,0,B13/B$3)</f>
        <v>0.33086876155268025</v>
      </c>
      <c r="E13" s="63" t="s">
        <v>72</v>
      </c>
      <c r="F13" s="60" t="s">
        <v>27</v>
      </c>
      <c r="G13" s="47">
        <v>12</v>
      </c>
      <c r="H13" s="133">
        <f>IF(B$17=0,0,G13/B$17)</f>
        <v>5.5555555555555552E-2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132</v>
      </c>
      <c r="C14" s="39">
        <f>IF(B$3=0,0,B14/B$3)</f>
        <v>0.24399260628465805</v>
      </c>
      <c r="E14" s="63" t="s">
        <v>84</v>
      </c>
      <c r="F14" s="60" t="s">
        <v>39</v>
      </c>
      <c r="G14" s="47">
        <v>12</v>
      </c>
      <c r="H14" s="133">
        <f>IF(B$17=0,0,G14/B$17)</f>
        <v>5.5555555555555552E-2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111</v>
      </c>
      <c r="C15" s="37">
        <f>IF(B$13=0,0,B15/B$13)</f>
        <v>0.62011173184357538</v>
      </c>
      <c r="E15" s="63" t="s">
        <v>82</v>
      </c>
      <c r="F15" s="60" t="s">
        <v>37</v>
      </c>
      <c r="G15" s="47">
        <v>6</v>
      </c>
      <c r="H15" s="133">
        <f>IF(B$17=0,0,G15/B$17)</f>
        <v>2.7777777777777776E-2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71</v>
      </c>
      <c r="C16" s="37">
        <f>IF(B$14=0,0,B16/B$14)</f>
        <v>0.53787878787878785</v>
      </c>
      <c r="E16" s="63" t="s">
        <v>180</v>
      </c>
      <c r="F16" s="60" t="s">
        <v>183</v>
      </c>
      <c r="G16" s="47">
        <v>5</v>
      </c>
      <c r="H16" s="133">
        <f>IF(B$17=0,0,G16/B$17)</f>
        <v>2.3148148148148147E-2</v>
      </c>
      <c r="I16" s="94">
        <v>3</v>
      </c>
      <c r="K16" s="38">
        <v>14</v>
      </c>
      <c r="L16" s="99">
        <v>473.50000000000006</v>
      </c>
      <c r="N16" s="115" t="s">
        <v>129</v>
      </c>
      <c r="O16" s="125">
        <f>IF(P16=0,0,Q16/P16)</f>
        <v>60.438888888888897</v>
      </c>
      <c r="P16" s="119">
        <v>18</v>
      </c>
      <c r="Q16" s="107">
        <v>1087.9000000000001</v>
      </c>
    </row>
    <row r="17" spans="1:17" x14ac:dyDescent="0.4">
      <c r="A17" s="54" t="s">
        <v>10</v>
      </c>
      <c r="B17" s="46">
        <f>B19+B18</f>
        <v>216</v>
      </c>
      <c r="C17" s="37">
        <f>IF(B$3=0,0,B17/B$3)</f>
        <v>0.39926062846580407</v>
      </c>
      <c r="E17" s="63" t="s">
        <v>79</v>
      </c>
      <c r="F17" s="60" t="s">
        <v>34</v>
      </c>
      <c r="G17" s="47">
        <v>4</v>
      </c>
      <c r="H17" s="133">
        <f>IF(B$17=0,0,G17/B$17)</f>
        <v>1.8518518518518517E-2</v>
      </c>
      <c r="I17" s="94">
        <v>5</v>
      </c>
      <c r="K17" s="38">
        <v>15</v>
      </c>
      <c r="L17" s="99">
        <v>481.50000000000006</v>
      </c>
      <c r="N17" s="115" t="s">
        <v>186</v>
      </c>
      <c r="O17" s="125">
        <f>IF(P17=0,0,Q17/P17)</f>
        <v>56.8</v>
      </c>
      <c r="P17" s="119">
        <v>4</v>
      </c>
      <c r="Q17" s="107">
        <v>227.2</v>
      </c>
    </row>
    <row r="18" spans="1:17" x14ac:dyDescent="0.4">
      <c r="A18" s="55" t="s">
        <v>12</v>
      </c>
      <c r="B18" s="47">
        <v>87</v>
      </c>
      <c r="C18" s="39">
        <f>IF(B$17=0,0,B18/B$17)</f>
        <v>0.40277777777777779</v>
      </c>
      <c r="E18" s="63" t="s">
        <v>92</v>
      </c>
      <c r="F18" s="60" t="s">
        <v>47</v>
      </c>
      <c r="G18" s="47">
        <v>3</v>
      </c>
      <c r="H18" s="133">
        <f>IF(B$17=0,0,G18/B$17)</f>
        <v>1.3888888888888888E-2</v>
      </c>
      <c r="I18" s="94">
        <v>6</v>
      </c>
      <c r="K18" s="38">
        <v>16</v>
      </c>
      <c r="L18" s="99">
        <v>425.50000000000006</v>
      </c>
      <c r="N18" s="115" t="s">
        <v>173</v>
      </c>
      <c r="O18" s="125">
        <f>IF(P18=0,0,Q18/P18)</f>
        <v>49.41</v>
      </c>
      <c r="P18" s="119">
        <v>10</v>
      </c>
      <c r="Q18" s="107">
        <v>494.09999999999997</v>
      </c>
    </row>
    <row r="19" spans="1:17" x14ac:dyDescent="0.4">
      <c r="A19" s="55" t="s">
        <v>11</v>
      </c>
      <c r="B19" s="47">
        <v>129</v>
      </c>
      <c r="C19" s="39">
        <f>IF(B$17=0,0,B19/B$17)</f>
        <v>0.59722222222222221</v>
      </c>
      <c r="E19" s="63" t="s">
        <v>74</v>
      </c>
      <c r="F19" s="60" t="s">
        <v>29</v>
      </c>
      <c r="G19" s="47">
        <v>2</v>
      </c>
      <c r="H19" s="133">
        <f>IF(B$17=0,0,G19/B$17)</f>
        <v>9.2592592592592587E-3</v>
      </c>
      <c r="I19" s="94">
        <v>2</v>
      </c>
      <c r="K19" s="38">
        <v>17</v>
      </c>
      <c r="L19" s="99">
        <v>427.40000000000003</v>
      </c>
      <c r="N19" s="115" t="s">
        <v>177</v>
      </c>
      <c r="O19" s="125">
        <f>IF(P19=0,0,Q19/P19)</f>
        <v>40.06666666666667</v>
      </c>
      <c r="P19" s="119">
        <v>9</v>
      </c>
      <c r="Q19" s="107">
        <v>360.6</v>
      </c>
    </row>
    <row r="20" spans="1:17" x14ac:dyDescent="0.4">
      <c r="A20" s="55" t="s">
        <v>13</v>
      </c>
      <c r="B20" s="47">
        <v>78</v>
      </c>
      <c r="C20" s="39">
        <f>IF(B$3=0,0,B20/B$3)</f>
        <v>0.14417744916820702</v>
      </c>
      <c r="E20" s="63" t="s">
        <v>76</v>
      </c>
      <c r="F20" s="60" t="s">
        <v>31</v>
      </c>
      <c r="G20" s="47">
        <v>1</v>
      </c>
      <c r="H20" s="133">
        <f>IF(B$17=0,0,G20/B$17)</f>
        <v>4.6296296296296294E-3</v>
      </c>
      <c r="I20" s="94">
        <v>5</v>
      </c>
      <c r="K20" s="38">
        <v>18</v>
      </c>
      <c r="L20" s="99">
        <v>429.3</v>
      </c>
      <c r="N20" s="115" t="s">
        <v>172</v>
      </c>
      <c r="O20" s="125">
        <f>IF(P20=0,0,Q20/P20)</f>
        <v>37.131250000000009</v>
      </c>
      <c r="P20" s="119">
        <v>16</v>
      </c>
      <c r="Q20" s="107">
        <v>594.10000000000014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78</v>
      </c>
      <c r="F21" s="60" t="s">
        <v>33</v>
      </c>
      <c r="G21" s="47">
        <v>1</v>
      </c>
      <c r="H21" s="133">
        <f>IF(B$17=0,0,G21/B$17)</f>
        <v>4.6296296296296294E-3</v>
      </c>
      <c r="I21" s="94">
        <v>2</v>
      </c>
      <c r="K21" s="38">
        <v>19</v>
      </c>
      <c r="L21" s="99">
        <v>405.40000000000003</v>
      </c>
      <c r="N21" s="115" t="s">
        <v>128</v>
      </c>
      <c r="O21" s="125">
        <f>IF(P21=0,0,Q21/P21)</f>
        <v>25.613207547169825</v>
      </c>
      <c r="P21" s="119">
        <v>53</v>
      </c>
      <c r="Q21" s="107">
        <v>1357.5000000000007</v>
      </c>
    </row>
    <row r="22" spans="1:17" x14ac:dyDescent="0.4">
      <c r="A22" s="55" t="s">
        <v>194</v>
      </c>
      <c r="B22" s="47">
        <v>27</v>
      </c>
      <c r="C22" s="135">
        <v>1</v>
      </c>
      <c r="E22" s="63" t="s">
        <v>80</v>
      </c>
      <c r="F22" s="60" t="s">
        <v>35</v>
      </c>
      <c r="G22" s="47">
        <v>1</v>
      </c>
      <c r="H22" s="133">
        <f>IF(B$17=0,0,G22/B$17)</f>
        <v>4.6296296296296294E-3</v>
      </c>
      <c r="I22" s="94">
        <v>5</v>
      </c>
      <c r="K22" s="38">
        <v>20</v>
      </c>
      <c r="L22" s="99">
        <v>469.6</v>
      </c>
      <c r="N22" s="115" t="s">
        <v>202</v>
      </c>
      <c r="O22" s="125">
        <f>IF(P22=0,0,Q22/P22)</f>
        <v>23.1</v>
      </c>
      <c r="P22" s="119">
        <v>1</v>
      </c>
      <c r="Q22" s="107">
        <v>23.1</v>
      </c>
    </row>
    <row r="23" spans="1:17" x14ac:dyDescent="0.4">
      <c r="A23" s="55" t="s">
        <v>5</v>
      </c>
      <c r="B23" s="51">
        <f>IF(B$17=0,0,C23/B$17)</f>
        <v>9372.6851851851843</v>
      </c>
      <c r="C23" s="41">
        <v>2024500</v>
      </c>
      <c r="E23" s="63" t="s">
        <v>88</v>
      </c>
      <c r="F23" s="60" t="s">
        <v>43</v>
      </c>
      <c r="G23" s="47">
        <v>1</v>
      </c>
      <c r="H23" s="133">
        <f>IF(B$17=0,0,G23/B$17)</f>
        <v>4.6296296296296294E-3</v>
      </c>
      <c r="I23" s="94">
        <v>1</v>
      </c>
      <c r="K23" s="38">
        <v>21</v>
      </c>
      <c r="L23" s="99">
        <v>468.3</v>
      </c>
      <c r="N23" s="115" t="s">
        <v>171</v>
      </c>
      <c r="O23" s="125">
        <f>IF(P23=0,0,Q23/P23)</f>
        <v>21.029166666666658</v>
      </c>
      <c r="P23" s="119">
        <v>24</v>
      </c>
      <c r="Q23" s="107">
        <v>504.69999999999982</v>
      </c>
    </row>
    <row r="24" spans="1:17" x14ac:dyDescent="0.4">
      <c r="A24" s="57" t="s">
        <v>14</v>
      </c>
      <c r="B24" s="52">
        <f>IF(B$20=0,0,C24/B$20)</f>
        <v>-8152.5641025641025</v>
      </c>
      <c r="C24" s="45">
        <v>-635900</v>
      </c>
      <c r="E24" s="63" t="s">
        <v>91</v>
      </c>
      <c r="F24" s="60" t="s">
        <v>46</v>
      </c>
      <c r="G24" s="47">
        <v>1</v>
      </c>
      <c r="H24" s="133">
        <f>IF(B$17=0,0,G24/B$17)</f>
        <v>4.6296296296296294E-3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4.6296296296296294E-3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4.6296296296296294E-3</v>
      </c>
      <c r="I26" s="94">
        <v>1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4.6296296296296294E-3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A727-DF41-40D9-AD6B-6479B9B6C2F4}">
  <sheetPr codeName="Sheet9"/>
  <dimension ref="A1:Q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69</v>
      </c>
      <c r="C2" s="147"/>
      <c r="E2" s="62" t="s">
        <v>67</v>
      </c>
      <c r="F2" s="59" t="s">
        <v>23</v>
      </c>
      <c r="G2" s="46">
        <v>113</v>
      </c>
      <c r="H2" s="132">
        <f>IF(B$17=0,0,G2/B$17)</f>
        <v>0.67664670658682635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1402.8985507246377</v>
      </c>
      <c r="P2" s="118">
        <v>69</v>
      </c>
      <c r="Q2" s="102">
        <v>96800</v>
      </c>
    </row>
    <row r="3" spans="1:17" x14ac:dyDescent="0.4">
      <c r="A3" s="55" t="s">
        <v>8</v>
      </c>
      <c r="B3" s="148">
        <v>572</v>
      </c>
      <c r="C3" s="149"/>
      <c r="E3" s="63" t="s">
        <v>65</v>
      </c>
      <c r="F3" s="60" t="s">
        <v>21</v>
      </c>
      <c r="G3" s="47">
        <v>97</v>
      </c>
      <c r="H3" s="133">
        <f>IF(B$17=0,0,G3/B$17)</f>
        <v>0.58083832335329344</v>
      </c>
      <c r="I3" s="94">
        <v>4</v>
      </c>
      <c r="K3" s="38">
        <v>1</v>
      </c>
      <c r="L3" s="99">
        <v>45.5</v>
      </c>
      <c r="N3" s="115" t="s">
        <v>133</v>
      </c>
      <c r="O3" s="122">
        <f t="shared" si="0"/>
        <v>-1379.4117647058824</v>
      </c>
      <c r="P3" s="119">
        <v>68</v>
      </c>
      <c r="Q3" s="103">
        <v>-93800</v>
      </c>
    </row>
    <row r="4" spans="1:17" x14ac:dyDescent="0.4">
      <c r="A4" s="55" t="s">
        <v>6</v>
      </c>
      <c r="B4" s="150">
        <v>-58.900000000000041</v>
      </c>
      <c r="C4" s="151"/>
      <c r="E4" s="63" t="s">
        <v>73</v>
      </c>
      <c r="F4" s="60" t="s">
        <v>28</v>
      </c>
      <c r="G4" s="47">
        <v>74</v>
      </c>
      <c r="H4" s="133">
        <f>IF(B$17=0,0,G4/B$17)</f>
        <v>0.44311377245508982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-2087.6923076923076</v>
      </c>
      <c r="P4" s="119">
        <v>65</v>
      </c>
      <c r="Q4" s="103">
        <v>-135700</v>
      </c>
    </row>
    <row r="5" spans="1:17" x14ac:dyDescent="0.4">
      <c r="A5" s="55" t="s">
        <v>7</v>
      </c>
      <c r="B5" s="152">
        <f>IF(B$2=0,0,B$4/B$2)</f>
        <v>-0.85362318840579765</v>
      </c>
      <c r="C5" s="153"/>
      <c r="E5" s="63" t="s">
        <v>181</v>
      </c>
      <c r="F5" s="60" t="s">
        <v>182</v>
      </c>
      <c r="G5" s="47">
        <v>69</v>
      </c>
      <c r="H5" s="133">
        <f>IF(B$17=0,0,G5/B$17)</f>
        <v>0.41317365269461076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411.86440677966101</v>
      </c>
      <c r="P5" s="119">
        <v>59</v>
      </c>
      <c r="Q5" s="103">
        <v>24300</v>
      </c>
    </row>
    <row r="6" spans="1:17" x14ac:dyDescent="0.4">
      <c r="A6" s="55" t="s">
        <v>1</v>
      </c>
      <c r="B6" s="142">
        <f>IF(B$2=0,0,(B$7*1+B$8*2+B$9*3)/B$2)</f>
        <v>2.0289855072463769</v>
      </c>
      <c r="C6" s="143"/>
      <c r="E6" s="63" t="s">
        <v>68</v>
      </c>
      <c r="F6" s="60" t="s">
        <v>24</v>
      </c>
      <c r="G6" s="47">
        <v>59</v>
      </c>
      <c r="H6" s="133">
        <f>IF(B$17=0,0,G6/B$17)</f>
        <v>0.3532934131736527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1035.1851851851852</v>
      </c>
      <c r="P6" s="119">
        <v>54</v>
      </c>
      <c r="Q6" s="103">
        <v>55900</v>
      </c>
    </row>
    <row r="7" spans="1:17" x14ac:dyDescent="0.4">
      <c r="A7" s="55" t="s">
        <v>2</v>
      </c>
      <c r="B7" s="47">
        <v>19</v>
      </c>
      <c r="C7" s="39">
        <f>IF(B$2=0,0,B7/B$2)</f>
        <v>0.27536231884057971</v>
      </c>
      <c r="E7" s="63" t="s">
        <v>69</v>
      </c>
      <c r="F7" s="60" t="s">
        <v>12</v>
      </c>
      <c r="G7" s="47">
        <v>54</v>
      </c>
      <c r="H7" s="133">
        <f>IF(B$17=0,0,G7/B$17)</f>
        <v>0.32335329341317365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658.82352941176475</v>
      </c>
      <c r="P7" s="120">
        <v>51</v>
      </c>
      <c r="Q7" s="104">
        <v>33600</v>
      </c>
    </row>
    <row r="8" spans="1:17" x14ac:dyDescent="0.4">
      <c r="A8" s="55" t="s">
        <v>3</v>
      </c>
      <c r="B8" s="47">
        <v>29</v>
      </c>
      <c r="C8" s="39">
        <f>IF(B$2=0,0,B8/B$2)</f>
        <v>0.42028985507246375</v>
      </c>
      <c r="E8" s="63" t="s">
        <v>70</v>
      </c>
      <c r="F8" s="60" t="s">
        <v>25</v>
      </c>
      <c r="G8" s="47">
        <v>33</v>
      </c>
      <c r="H8" s="133">
        <f>IF(B$17=0,0,G8/B$17)</f>
        <v>0.19760479041916168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0.30434782608695654</v>
      </c>
      <c r="E9" s="63" t="s">
        <v>66</v>
      </c>
      <c r="F9" s="60" t="s">
        <v>22</v>
      </c>
      <c r="G9" s="47">
        <v>27</v>
      </c>
      <c r="H9" s="133">
        <f>IF(B$17=0,0,G9/B$17)</f>
        <v>0.16167664670658682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0.11594202898550725</v>
      </c>
      <c r="E10" s="63" t="s">
        <v>71</v>
      </c>
      <c r="F10" s="60" t="s">
        <v>26</v>
      </c>
      <c r="G10" s="47">
        <v>21</v>
      </c>
      <c r="H10" s="133">
        <f>IF(B$17=0,0,G10/B$17)</f>
        <v>0.12574850299401197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-2.7843750000000007</v>
      </c>
      <c r="P10" s="118">
        <v>32</v>
      </c>
      <c r="Q10" s="106">
        <v>-89.100000000000023</v>
      </c>
    </row>
    <row r="11" spans="1:17" x14ac:dyDescent="0.4">
      <c r="A11" s="56" t="s">
        <v>140</v>
      </c>
      <c r="B11" s="48">
        <v>5</v>
      </c>
      <c r="C11" s="40">
        <f>IF(B$2=0,0,B11/B$2)</f>
        <v>7.2463768115942032E-2</v>
      </c>
      <c r="E11" s="63" t="s">
        <v>90</v>
      </c>
      <c r="F11" s="60" t="s">
        <v>45</v>
      </c>
      <c r="G11" s="47">
        <v>16</v>
      </c>
      <c r="H11" s="133">
        <f>IF(B$17=0,0,G11/B$17)</f>
        <v>9.580838323353294E-2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-6.9349999999999978</v>
      </c>
      <c r="P11" s="119">
        <v>20</v>
      </c>
      <c r="Q11" s="107">
        <v>-138.69999999999996</v>
      </c>
    </row>
    <row r="12" spans="1:17" x14ac:dyDescent="0.4">
      <c r="A12" s="57" t="s">
        <v>160</v>
      </c>
      <c r="B12" s="49">
        <v>5</v>
      </c>
      <c r="C12" s="42">
        <f>IF(B$2=0,0,B12/B$2)</f>
        <v>7.2463768115942032E-2</v>
      </c>
      <c r="E12" s="63" t="s">
        <v>87</v>
      </c>
      <c r="F12" s="60" t="s">
        <v>42</v>
      </c>
      <c r="G12" s="47">
        <v>10</v>
      </c>
      <c r="H12" s="133">
        <f>IF(B$17=0,0,G12/B$17)</f>
        <v>5.9880239520958084E-2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9.9352941176470591</v>
      </c>
      <c r="P12" s="120">
        <v>17</v>
      </c>
      <c r="Q12" s="108">
        <v>168.9</v>
      </c>
    </row>
    <row r="13" spans="1:17" x14ac:dyDescent="0.4">
      <c r="A13" s="58" t="s">
        <v>122</v>
      </c>
      <c r="B13" s="50">
        <v>161</v>
      </c>
      <c r="C13" s="44">
        <f>IF(B$3=0,0,B13/B$3)</f>
        <v>0.28146853146853146</v>
      </c>
      <c r="E13" s="63" t="s">
        <v>82</v>
      </c>
      <c r="F13" s="60" t="s">
        <v>37</v>
      </c>
      <c r="G13" s="47">
        <v>8</v>
      </c>
      <c r="H13" s="133">
        <f>IF(B$17=0,0,G13/B$17)</f>
        <v>4.790419161676647E-2</v>
      </c>
      <c r="I13" s="94">
        <v>2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111</v>
      </c>
      <c r="C14" s="39">
        <f>IF(B$3=0,0,B14/B$3)</f>
        <v>0.19405594405594406</v>
      </c>
      <c r="E14" s="63" t="s">
        <v>72</v>
      </c>
      <c r="F14" s="60" t="s">
        <v>27</v>
      </c>
      <c r="G14" s="47">
        <v>6</v>
      </c>
      <c r="H14" s="133">
        <f>IF(B$17=0,0,G14/B$17)</f>
        <v>3.5928143712574849E-2</v>
      </c>
      <c r="I14" s="94">
        <v>7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103</v>
      </c>
      <c r="C15" s="37">
        <f>IF(B$13=0,0,B15/B$13)</f>
        <v>0.63975155279503104</v>
      </c>
      <c r="E15" s="63" t="s">
        <v>84</v>
      </c>
      <c r="F15" s="60" t="s">
        <v>39</v>
      </c>
      <c r="G15" s="47">
        <v>5</v>
      </c>
      <c r="H15" s="133">
        <f>IF(B$17=0,0,G15/B$17)</f>
        <v>2.9940119760479042E-2</v>
      </c>
      <c r="I15" s="94">
        <v>8</v>
      </c>
      <c r="K15" s="38">
        <v>13</v>
      </c>
      <c r="L15" s="99">
        <v>-81.900000000000006</v>
      </c>
      <c r="N15" s="114" t="s">
        <v>186</v>
      </c>
      <c r="O15" s="124">
        <f>IF(P15=0,0,Q15/P15)</f>
        <v>64.425000000000011</v>
      </c>
      <c r="P15" s="118">
        <v>4</v>
      </c>
      <c r="Q15" s="106">
        <v>257.70000000000005</v>
      </c>
    </row>
    <row r="16" spans="1:17" x14ac:dyDescent="0.4">
      <c r="A16" s="54" t="s">
        <v>125</v>
      </c>
      <c r="B16" s="46">
        <v>31</v>
      </c>
      <c r="C16" s="37">
        <f>IF(B$14=0,0,B16/B$14)</f>
        <v>0.27927927927927926</v>
      </c>
      <c r="E16" s="63" t="s">
        <v>92</v>
      </c>
      <c r="F16" s="60" t="s">
        <v>47</v>
      </c>
      <c r="G16" s="47">
        <v>5</v>
      </c>
      <c r="H16" s="133">
        <f>IF(B$17=0,0,G16/B$17)</f>
        <v>2.9940119760479042E-2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23.638888888888886</v>
      </c>
      <c r="P16" s="119">
        <v>18</v>
      </c>
      <c r="Q16" s="107">
        <v>425.49999999999994</v>
      </c>
    </row>
    <row r="17" spans="1:17" x14ac:dyDescent="0.4">
      <c r="A17" s="54" t="s">
        <v>10</v>
      </c>
      <c r="B17" s="46">
        <f>B19+B18</f>
        <v>167</v>
      </c>
      <c r="C17" s="37">
        <f>IF(B$3=0,0,B17/B$3)</f>
        <v>0.29195804195804198</v>
      </c>
      <c r="E17" s="63" t="s">
        <v>180</v>
      </c>
      <c r="F17" s="60" t="s">
        <v>183</v>
      </c>
      <c r="G17" s="47">
        <v>4</v>
      </c>
      <c r="H17" s="133">
        <f>IF(B$17=0,0,G17/B$17)</f>
        <v>2.3952095808383235E-2</v>
      </c>
      <c r="I17" s="94">
        <v>2</v>
      </c>
      <c r="K17" s="38">
        <v>15</v>
      </c>
      <c r="L17" s="99">
        <v>47.999999999999986</v>
      </c>
      <c r="N17" s="115" t="s">
        <v>171</v>
      </c>
      <c r="O17" s="125">
        <f>IF(P17=0,0,Q17/P17)</f>
        <v>10.050000000000008</v>
      </c>
      <c r="P17" s="119">
        <v>20</v>
      </c>
      <c r="Q17" s="107">
        <v>201.00000000000017</v>
      </c>
    </row>
    <row r="18" spans="1:17" x14ac:dyDescent="0.4">
      <c r="A18" s="55" t="s">
        <v>12</v>
      </c>
      <c r="B18" s="47">
        <v>66</v>
      </c>
      <c r="C18" s="39">
        <f>IF(B$17=0,0,B18/B$17)</f>
        <v>0.39520958083832336</v>
      </c>
      <c r="E18" s="63" t="s">
        <v>75</v>
      </c>
      <c r="F18" s="60" t="s">
        <v>30</v>
      </c>
      <c r="G18" s="47">
        <v>2</v>
      </c>
      <c r="H18" s="133">
        <f>IF(B$17=0,0,G18/B$17)</f>
        <v>1.1976047904191617E-2</v>
      </c>
      <c r="I18" s="94">
        <v>1</v>
      </c>
      <c r="K18" s="38">
        <v>16</v>
      </c>
      <c r="L18" s="99">
        <v>41.699999999999989</v>
      </c>
      <c r="N18" s="115" t="s">
        <v>177</v>
      </c>
      <c r="O18" s="125">
        <f>IF(P18=0,0,Q18/P18)</f>
        <v>8.1666666666666661</v>
      </c>
      <c r="P18" s="119">
        <v>12</v>
      </c>
      <c r="Q18" s="107">
        <v>98</v>
      </c>
    </row>
    <row r="19" spans="1:17" x14ac:dyDescent="0.4">
      <c r="A19" s="55" t="s">
        <v>11</v>
      </c>
      <c r="B19" s="47">
        <v>101</v>
      </c>
      <c r="C19" s="39">
        <f>IF(B$17=0,0,B19/B$17)</f>
        <v>0.60479041916167664</v>
      </c>
      <c r="E19" s="63" t="s">
        <v>76</v>
      </c>
      <c r="F19" s="60" t="s">
        <v>31</v>
      </c>
      <c r="G19" s="47">
        <v>2</v>
      </c>
      <c r="H19" s="133">
        <f>IF(B$17=0,0,G19/B$17)</f>
        <v>1.1976047904191617E-2</v>
      </c>
      <c r="I19" s="94">
        <v>3</v>
      </c>
      <c r="K19" s="38">
        <v>17</v>
      </c>
      <c r="L19" s="99">
        <v>94.6</v>
      </c>
      <c r="N19" s="115" t="s">
        <v>172</v>
      </c>
      <c r="O19" s="125">
        <f>IF(P19=0,0,Q19/P19)</f>
        <v>7.605882352941177</v>
      </c>
      <c r="P19" s="119">
        <v>17</v>
      </c>
      <c r="Q19" s="107">
        <v>129.30000000000001</v>
      </c>
    </row>
    <row r="20" spans="1:17" x14ac:dyDescent="0.4">
      <c r="A20" s="55" t="s">
        <v>13</v>
      </c>
      <c r="B20" s="47">
        <v>99</v>
      </c>
      <c r="C20" s="39">
        <f>IF(B$3=0,0,B20/B$3)</f>
        <v>0.17307692307692307</v>
      </c>
      <c r="E20" s="63" t="s">
        <v>79</v>
      </c>
      <c r="F20" s="60" t="s">
        <v>34</v>
      </c>
      <c r="G20" s="47">
        <v>2</v>
      </c>
      <c r="H20" s="133">
        <f>IF(B$17=0,0,G20/B$17)</f>
        <v>1.1976047904191617E-2</v>
      </c>
      <c r="I20" s="94">
        <v>7</v>
      </c>
      <c r="K20" s="38">
        <v>18</v>
      </c>
      <c r="L20" s="99">
        <v>116.69999999999999</v>
      </c>
      <c r="N20" s="115" t="s">
        <v>173</v>
      </c>
      <c r="O20" s="125">
        <f>IF(P20=0,0,Q20/P20)</f>
        <v>4.9499999999999984</v>
      </c>
      <c r="P20" s="119">
        <v>14</v>
      </c>
      <c r="Q20" s="107">
        <v>69.299999999999983</v>
      </c>
    </row>
    <row r="21" spans="1:17" x14ac:dyDescent="0.4">
      <c r="A21" s="55" t="s">
        <v>193</v>
      </c>
      <c r="B21" s="47">
        <v>5</v>
      </c>
      <c r="C21" s="135">
        <v>0</v>
      </c>
      <c r="E21" s="63" t="s">
        <v>80</v>
      </c>
      <c r="F21" s="60" t="s">
        <v>35</v>
      </c>
      <c r="G21" s="47">
        <v>2</v>
      </c>
      <c r="H21" s="133">
        <f>IF(B$17=0,0,G21/B$17)</f>
        <v>1.1976047904191617E-2</v>
      </c>
      <c r="I21" s="94">
        <v>3</v>
      </c>
      <c r="K21" s="38">
        <v>19</v>
      </c>
      <c r="L21" s="99">
        <v>138.79999999999998</v>
      </c>
      <c r="N21" s="115" t="s">
        <v>127</v>
      </c>
      <c r="O21" s="125">
        <f>IF(P21=0,0,Q21/P21)</f>
        <v>-25.613207547169825</v>
      </c>
      <c r="P21" s="119">
        <v>53</v>
      </c>
      <c r="Q21" s="107">
        <v>-1357.5000000000007</v>
      </c>
    </row>
    <row r="22" spans="1:17" x14ac:dyDescent="0.4">
      <c r="A22" s="55" t="s">
        <v>194</v>
      </c>
      <c r="B22" s="47">
        <v>24</v>
      </c>
      <c r="C22" s="135">
        <v>13</v>
      </c>
      <c r="E22" s="63" t="s">
        <v>74</v>
      </c>
      <c r="F22" s="60" t="s">
        <v>29</v>
      </c>
      <c r="G22" s="47">
        <v>1</v>
      </c>
      <c r="H22" s="133">
        <f>IF(B$17=0,0,G22/B$17)</f>
        <v>5.9880239520958087E-3</v>
      </c>
      <c r="I22" s="94">
        <v>3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8741.9161676646709</v>
      </c>
      <c r="C23" s="41">
        <v>1459900</v>
      </c>
      <c r="E23" s="63" t="s">
        <v>78</v>
      </c>
      <c r="F23" s="60" t="s">
        <v>33</v>
      </c>
      <c r="G23" s="47">
        <v>1</v>
      </c>
      <c r="H23" s="133">
        <f>IF(B$17=0,0,G23/B$17)</f>
        <v>5.9880239520958087E-3</v>
      </c>
      <c r="I23" s="94">
        <v>1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-7273.7373737373737</v>
      </c>
      <c r="C24" s="45">
        <v>-720100</v>
      </c>
      <c r="E24" s="63" t="s">
        <v>85</v>
      </c>
      <c r="F24" s="60" t="s">
        <v>40</v>
      </c>
      <c r="G24" s="47">
        <v>1</v>
      </c>
      <c r="H24" s="133">
        <f>IF(B$17=0,0,G24/B$17)</f>
        <v>5.9880239520958087E-3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5.9880239520958087E-3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94000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5.9880239520958087E-3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6.993006993006993E-3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1263-7A8A-4424-9157-3FDDE8AB073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27</v>
      </c>
      <c r="C2" s="147"/>
      <c r="E2" s="62" t="s">
        <v>67</v>
      </c>
      <c r="F2" s="59" t="s">
        <v>23</v>
      </c>
      <c r="G2" s="46">
        <v>36</v>
      </c>
      <c r="H2" s="132">
        <f>IF(B$17=0,0,G2/B$17)</f>
        <v>0.87804878048780488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-3385.1851851851852</v>
      </c>
      <c r="P2" s="118">
        <v>27</v>
      </c>
      <c r="Q2" s="102">
        <v>-91400</v>
      </c>
    </row>
    <row r="3" spans="1:17" x14ac:dyDescent="0.4">
      <c r="A3" s="55" t="s">
        <v>8</v>
      </c>
      <c r="B3" s="148">
        <v>222</v>
      </c>
      <c r="C3" s="149"/>
      <c r="E3" s="63" t="s">
        <v>65</v>
      </c>
      <c r="F3" s="60" t="s">
        <v>21</v>
      </c>
      <c r="G3" s="47">
        <v>25</v>
      </c>
      <c r="H3" s="133">
        <f>IF(B$17=0,0,G3/B$17)</f>
        <v>0.6097560975609756</v>
      </c>
      <c r="I3" s="94">
        <v>2</v>
      </c>
      <c r="K3" s="38">
        <v>1</v>
      </c>
      <c r="L3" s="99">
        <v>-40.4</v>
      </c>
      <c r="N3" s="115" t="s">
        <v>133</v>
      </c>
      <c r="O3" s="122">
        <f t="shared" si="0"/>
        <v>-4581.4814814814818</v>
      </c>
      <c r="P3" s="119">
        <v>27</v>
      </c>
      <c r="Q3" s="103">
        <v>-123700</v>
      </c>
    </row>
    <row r="4" spans="1:17" x14ac:dyDescent="0.4">
      <c r="A4" s="55" t="s">
        <v>6</v>
      </c>
      <c r="B4" s="150">
        <v>-876.19999999999993</v>
      </c>
      <c r="C4" s="151"/>
      <c r="E4" s="63" t="s">
        <v>69</v>
      </c>
      <c r="F4" s="60" t="s">
        <v>12</v>
      </c>
      <c r="G4" s="47">
        <v>17</v>
      </c>
      <c r="H4" s="133">
        <f>IF(B$17=0,0,G4/B$17)</f>
        <v>0.41463414634146339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-3591.6666666666665</v>
      </c>
      <c r="P4" s="119">
        <v>24</v>
      </c>
      <c r="Q4" s="103">
        <v>-86200</v>
      </c>
    </row>
    <row r="5" spans="1:17" x14ac:dyDescent="0.4">
      <c r="A5" s="55" t="s">
        <v>7</v>
      </c>
      <c r="B5" s="152">
        <f>IF(B$2=0,0,B$4/B$2)</f>
        <v>-32.451851851851849</v>
      </c>
      <c r="C5" s="153"/>
      <c r="E5" s="63" t="s">
        <v>68</v>
      </c>
      <c r="F5" s="60" t="s">
        <v>24</v>
      </c>
      <c r="G5" s="47">
        <v>15</v>
      </c>
      <c r="H5" s="133">
        <f>IF(B$17=0,0,G5/B$17)</f>
        <v>0.36585365853658536</v>
      </c>
      <c r="I5" s="94">
        <v>3</v>
      </c>
      <c r="K5" s="38">
        <v>3</v>
      </c>
      <c r="L5" s="99">
        <v>-23.099999999999998</v>
      </c>
      <c r="N5" s="115" t="s">
        <v>135</v>
      </c>
      <c r="O5" s="122">
        <f t="shared" si="0"/>
        <v>-7028.5714285714284</v>
      </c>
      <c r="P5" s="119">
        <v>21</v>
      </c>
      <c r="Q5" s="103">
        <v>-147600</v>
      </c>
    </row>
    <row r="6" spans="1:17" x14ac:dyDescent="0.4">
      <c r="A6" s="55" t="s">
        <v>1</v>
      </c>
      <c r="B6" s="142">
        <f>IF(B$2=0,0,(B$7*1+B$8*2+B$9*3)/B$2)</f>
        <v>2.5555555555555554</v>
      </c>
      <c r="C6" s="143"/>
      <c r="E6" s="63" t="s">
        <v>181</v>
      </c>
      <c r="F6" s="60" t="s">
        <v>182</v>
      </c>
      <c r="G6" s="47">
        <v>14</v>
      </c>
      <c r="H6" s="133">
        <f>IF(B$17=0,0,G6/B$17)</f>
        <v>0.34146341463414637</v>
      </c>
      <c r="I6" s="94">
        <v>7</v>
      </c>
      <c r="K6" s="38">
        <v>4</v>
      </c>
      <c r="L6" s="99">
        <v>-31.4</v>
      </c>
      <c r="N6" s="115" t="s">
        <v>136</v>
      </c>
      <c r="O6" s="122">
        <f t="shared" si="0"/>
        <v>-3700</v>
      </c>
      <c r="P6" s="119">
        <v>19</v>
      </c>
      <c r="Q6" s="103">
        <v>-70300</v>
      </c>
    </row>
    <row r="7" spans="1:17" x14ac:dyDescent="0.4">
      <c r="A7" s="55" t="s">
        <v>2</v>
      </c>
      <c r="B7" s="47">
        <v>3</v>
      </c>
      <c r="C7" s="39">
        <f>IF(B$2=0,0,B7/B$2)</f>
        <v>0.1111111111111111</v>
      </c>
      <c r="E7" s="63" t="s">
        <v>73</v>
      </c>
      <c r="F7" s="60" t="s">
        <v>28</v>
      </c>
      <c r="G7" s="47">
        <v>12</v>
      </c>
      <c r="H7" s="133">
        <f>IF(B$17=0,0,G7/B$17)</f>
        <v>0.29268292682926828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-2116.6666666666665</v>
      </c>
      <c r="P7" s="120">
        <v>18</v>
      </c>
      <c r="Q7" s="104">
        <v>-38100</v>
      </c>
    </row>
    <row r="8" spans="1:17" x14ac:dyDescent="0.4">
      <c r="A8" s="55" t="s">
        <v>3</v>
      </c>
      <c r="B8" s="47">
        <v>6</v>
      </c>
      <c r="C8" s="39">
        <f>IF(B$2=0,0,B8/B$2)</f>
        <v>0.22222222222222221</v>
      </c>
      <c r="E8" s="63" t="s">
        <v>71</v>
      </c>
      <c r="F8" s="60" t="s">
        <v>26</v>
      </c>
      <c r="G8" s="47">
        <v>9</v>
      </c>
      <c r="H8" s="133">
        <f>IF(B$17=0,0,G8/B$17)</f>
        <v>0.21951219512195122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0.66666666666666663</v>
      </c>
      <c r="E9" s="63" t="s">
        <v>70</v>
      </c>
      <c r="F9" s="60" t="s">
        <v>25</v>
      </c>
      <c r="G9" s="47">
        <v>8</v>
      </c>
      <c r="H9" s="133">
        <f>IF(B$17=0,0,G9/B$17)</f>
        <v>0.1951219512195122</v>
      </c>
      <c r="I9" s="94">
        <v>5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0.29629629629629628</v>
      </c>
      <c r="E10" s="63" t="s">
        <v>72</v>
      </c>
      <c r="F10" s="60" t="s">
        <v>27</v>
      </c>
      <c r="G10" s="47">
        <v>5</v>
      </c>
      <c r="H10" s="133">
        <f>IF(B$17=0,0,G10/B$17)</f>
        <v>0.12195121951219512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-32.749999999999993</v>
      </c>
      <c r="P10" s="118">
        <v>10</v>
      </c>
      <c r="Q10" s="106">
        <v>-327.49999999999994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3">
        <f>IF(B$17=0,0,G11/B$17)</f>
        <v>0.12195121951219512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-31.090000000000003</v>
      </c>
      <c r="P11" s="119">
        <v>10</v>
      </c>
      <c r="Q11" s="107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3.7037037037037035E-2</v>
      </c>
      <c r="E12" s="63" t="s">
        <v>66</v>
      </c>
      <c r="F12" s="60" t="s">
        <v>22</v>
      </c>
      <c r="G12" s="47">
        <v>4</v>
      </c>
      <c r="H12" s="133">
        <f>IF(B$17=0,0,G12/B$17)</f>
        <v>9.7560975609756101E-2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-33.971428571428568</v>
      </c>
      <c r="P12" s="120">
        <v>7</v>
      </c>
      <c r="Q12" s="108">
        <v>-237.79999999999998</v>
      </c>
    </row>
    <row r="13" spans="1:17" x14ac:dyDescent="0.4">
      <c r="A13" s="58" t="s">
        <v>122</v>
      </c>
      <c r="B13" s="50">
        <v>54</v>
      </c>
      <c r="C13" s="44">
        <f>IF(B$3=0,0,B13/B$3)</f>
        <v>0.24324324324324326</v>
      </c>
      <c r="E13" s="63" t="s">
        <v>87</v>
      </c>
      <c r="F13" s="60" t="s">
        <v>42</v>
      </c>
      <c r="G13" s="47">
        <v>2</v>
      </c>
      <c r="H13" s="133">
        <f>IF(B$17=0,0,G13/B$17)</f>
        <v>4.878048780487805E-2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</v>
      </c>
      <c r="C14" s="39">
        <f>IF(B$3=0,0,B14/B$3)</f>
        <v>0.13513513513513514</v>
      </c>
      <c r="E14" s="63" t="s">
        <v>79</v>
      </c>
      <c r="F14" s="60" t="s">
        <v>34</v>
      </c>
      <c r="G14" s="47">
        <v>1</v>
      </c>
      <c r="H14" s="133">
        <f>IF(B$17=0,0,G14/B$17)</f>
        <v>2.4390243902439025E-2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0.48148148148148145</v>
      </c>
      <c r="E15" s="63" t="s">
        <v>84</v>
      </c>
      <c r="F15" s="60" t="s">
        <v>39</v>
      </c>
      <c r="G15" s="47">
        <v>1</v>
      </c>
      <c r="H15" s="133">
        <f>IF(B$17=0,0,G15/B$17)</f>
        <v>2.4390243902439025E-2</v>
      </c>
      <c r="I15" s="94">
        <v>9</v>
      </c>
      <c r="K15" s="38">
        <v>13</v>
      </c>
      <c r="L15" s="99">
        <v>-369.1</v>
      </c>
      <c r="N15" s="114" t="s">
        <v>177</v>
      </c>
      <c r="O15" s="124">
        <f>IF(P15=0,0,Q15/P15)</f>
        <v>29.700000000000003</v>
      </c>
      <c r="P15" s="118">
        <v>1</v>
      </c>
      <c r="Q15" s="106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0.13333333333333333</v>
      </c>
      <c r="E16" s="63" t="s">
        <v>89</v>
      </c>
      <c r="F16" s="60" t="s">
        <v>44</v>
      </c>
      <c r="G16" s="47">
        <v>1</v>
      </c>
      <c r="H16" s="133">
        <f>IF(B$17=0,0,G16/B$17)</f>
        <v>2.4390243902439025E-2</v>
      </c>
      <c r="I16" s="94">
        <v>1</v>
      </c>
      <c r="K16" s="38">
        <v>14</v>
      </c>
      <c r="L16" s="99">
        <v>-394.6</v>
      </c>
      <c r="N16" s="115" t="s">
        <v>173</v>
      </c>
      <c r="O16" s="125">
        <f>IF(P16=0,0,Q16/P16)</f>
        <v>-19.3</v>
      </c>
      <c r="P16" s="119">
        <v>4</v>
      </c>
      <c r="Q16" s="107">
        <v>-77.2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0.18468468468468469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-424.5</v>
      </c>
      <c r="N17" s="115" t="s">
        <v>128</v>
      </c>
      <c r="O17" s="125">
        <f>IF(P17=0,0,Q17/P17)</f>
        <v>-23.638888888888886</v>
      </c>
      <c r="P17" s="119">
        <v>18</v>
      </c>
      <c r="Q17" s="107">
        <v>-425.49999999999994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-472</v>
      </c>
      <c r="N18" s="115" t="s">
        <v>127</v>
      </c>
      <c r="O18" s="125">
        <f>IF(P18=0,0,Q18/P18)</f>
        <v>-60.438888888888904</v>
      </c>
      <c r="P18" s="119">
        <v>18</v>
      </c>
      <c r="Q18" s="107">
        <v>-1087.9000000000003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-538.29999999999995</v>
      </c>
      <c r="N19" s="115" t="s">
        <v>186</v>
      </c>
      <c r="O19" s="125">
        <f>IF(P19=0,0,Q19/P19)</f>
        <v>-72.3</v>
      </c>
      <c r="P19" s="119">
        <v>1</v>
      </c>
      <c r="Q19" s="107">
        <v>-72.3</v>
      </c>
    </row>
    <row r="20" spans="1:17" x14ac:dyDescent="0.4">
      <c r="A20" s="55" t="s">
        <v>13</v>
      </c>
      <c r="B20" s="47">
        <v>51</v>
      </c>
      <c r="C20" s="39">
        <f>IF(B$3=0,0,B20/B$3)</f>
        <v>0.22972972972972974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172</v>
      </c>
      <c r="O20" s="125">
        <f>IF(P20=0,0,Q20/P20)</f>
        <v>-80.185714285714283</v>
      </c>
      <c r="P20" s="119">
        <v>7</v>
      </c>
      <c r="Q20" s="107">
        <v>-561.29999999999995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-569.49999999999989</v>
      </c>
      <c r="N21" s="115" t="s">
        <v>171</v>
      </c>
      <c r="O21" s="125">
        <f>IF(P21=0,0,Q21/P21)</f>
        <v>-86.820000000000007</v>
      </c>
      <c r="P21" s="119">
        <v>5</v>
      </c>
      <c r="Q21" s="107">
        <v>-434.1</v>
      </c>
    </row>
    <row r="22" spans="1:17" x14ac:dyDescent="0.4">
      <c r="A22" s="55" t="s">
        <v>194</v>
      </c>
      <c r="B22" s="47">
        <v>19</v>
      </c>
      <c r="C22" s="135">
        <v>4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-10100</v>
      </c>
      <c r="C24" s="45">
        <v>-515100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52200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4.5045045045045045E-3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9F1E5-1B4E-4DD0-BD00-E98E072E44D1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67</v>
      </c>
      <c r="F2" s="59" t="s">
        <v>23</v>
      </c>
      <c r="G2" s="46">
        <v>57</v>
      </c>
      <c r="H2" s="132">
        <f>IF(B$17=0,0,G2/B$17)</f>
        <v>0.70370370370370372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-505.12820512820514</v>
      </c>
      <c r="P2" s="118">
        <v>39</v>
      </c>
      <c r="Q2" s="102">
        <v>-19700</v>
      </c>
    </row>
    <row r="3" spans="1:17" x14ac:dyDescent="0.4">
      <c r="A3" s="55" t="s">
        <v>8</v>
      </c>
      <c r="B3" s="148">
        <v>327</v>
      </c>
      <c r="C3" s="149"/>
      <c r="E3" s="63" t="s">
        <v>65</v>
      </c>
      <c r="F3" s="60" t="s">
        <v>21</v>
      </c>
      <c r="G3" s="47">
        <v>44</v>
      </c>
      <c r="H3" s="133">
        <f>IF(B$17=0,0,G3/B$17)</f>
        <v>0.54320987654320985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676.92307692307691</v>
      </c>
      <c r="P3" s="119">
        <v>39</v>
      </c>
      <c r="Q3" s="103">
        <v>26400</v>
      </c>
    </row>
    <row r="4" spans="1:17" x14ac:dyDescent="0.4">
      <c r="A4" s="55" t="s">
        <v>6</v>
      </c>
      <c r="B4" s="150">
        <v>-71.3</v>
      </c>
      <c r="C4" s="151"/>
      <c r="E4" s="63" t="s">
        <v>73</v>
      </c>
      <c r="F4" s="60" t="s">
        <v>28</v>
      </c>
      <c r="G4" s="47">
        <v>39</v>
      </c>
      <c r="H4" s="133">
        <f>IF(B$17=0,0,G4/B$17)</f>
        <v>0.48148148148148145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1058.3333333333333</v>
      </c>
      <c r="P4" s="119">
        <v>36</v>
      </c>
      <c r="Q4" s="103">
        <v>38100</v>
      </c>
    </row>
    <row r="5" spans="1:17" x14ac:dyDescent="0.4">
      <c r="A5" s="55" t="s">
        <v>7</v>
      </c>
      <c r="B5" s="152">
        <f>IF(B$2=0,0,B$4/B$2)</f>
        <v>-1.8282051282051281</v>
      </c>
      <c r="C5" s="153"/>
      <c r="E5" s="63" t="s">
        <v>181</v>
      </c>
      <c r="F5" s="60" t="s">
        <v>182</v>
      </c>
      <c r="G5" s="47">
        <v>25</v>
      </c>
      <c r="H5" s="133">
        <f>IF(B$17=0,0,G5/B$17)</f>
        <v>0.30864197530864196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-324.24242424242425</v>
      </c>
      <c r="P5" s="119">
        <v>33</v>
      </c>
      <c r="Q5" s="103">
        <v>-10700</v>
      </c>
    </row>
    <row r="6" spans="1:17" x14ac:dyDescent="0.4">
      <c r="A6" s="55" t="s">
        <v>1</v>
      </c>
      <c r="B6" s="142">
        <f>IF(B$2=0,0,(B$7*1+B$8*2+B$9*3)/B$2)</f>
        <v>2.1025641025641026</v>
      </c>
      <c r="C6" s="143"/>
      <c r="E6" s="63" t="s">
        <v>68</v>
      </c>
      <c r="F6" s="60" t="s">
        <v>24</v>
      </c>
      <c r="G6" s="47">
        <v>20</v>
      </c>
      <c r="H6" s="133">
        <f>IF(B$17=0,0,G6/B$17)</f>
        <v>0.24691358024691357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-970</v>
      </c>
      <c r="P6" s="119">
        <v>30</v>
      </c>
      <c r="Q6" s="103">
        <v>-29100</v>
      </c>
    </row>
    <row r="7" spans="1:17" x14ac:dyDescent="0.4">
      <c r="A7" s="55" t="s">
        <v>2</v>
      </c>
      <c r="B7" s="47">
        <v>10</v>
      </c>
      <c r="C7" s="39">
        <f>IF(B$2=0,0,B7/B$2)</f>
        <v>0.25641025641025639</v>
      </c>
      <c r="E7" s="63" t="s">
        <v>69</v>
      </c>
      <c r="F7" s="60" t="s">
        <v>12</v>
      </c>
      <c r="G7" s="47">
        <v>20</v>
      </c>
      <c r="H7" s="133">
        <f>IF(B$17=0,0,G7/B$17)</f>
        <v>0.24691358024691357</v>
      </c>
      <c r="I7" s="94">
        <v>7</v>
      </c>
      <c r="K7" s="38">
        <v>5</v>
      </c>
      <c r="L7" s="99">
        <v>-36.100000000000009</v>
      </c>
      <c r="N7" s="116" t="s">
        <v>137</v>
      </c>
      <c r="O7" s="123">
        <f t="shared" si="0"/>
        <v>242.85714285714286</v>
      </c>
      <c r="P7" s="120">
        <v>28</v>
      </c>
      <c r="Q7" s="104">
        <v>6800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70</v>
      </c>
      <c r="F8" s="60" t="s">
        <v>25</v>
      </c>
      <c r="G8" s="47">
        <v>18</v>
      </c>
      <c r="H8" s="133">
        <f>IF(B$17=0,0,G8/B$17)</f>
        <v>0.22222222222222221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0.35897435897435898</v>
      </c>
      <c r="E9" s="63" t="s">
        <v>66</v>
      </c>
      <c r="F9" s="60" t="s">
        <v>22</v>
      </c>
      <c r="G9" s="47">
        <v>13</v>
      </c>
      <c r="H9" s="133">
        <f>IF(B$17=0,0,G9/B$17)</f>
        <v>0.16049382716049382</v>
      </c>
      <c r="I9" s="94">
        <v>2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2.564102564102564E-2</v>
      </c>
      <c r="E10" s="63" t="s">
        <v>71</v>
      </c>
      <c r="F10" s="60" t="s">
        <v>26</v>
      </c>
      <c r="G10" s="47">
        <v>11</v>
      </c>
      <c r="H10" s="133">
        <f>IF(B$17=0,0,G10/B$17)</f>
        <v>0.13580246913580246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9.3999999999999986</v>
      </c>
      <c r="P10" s="118">
        <v>8</v>
      </c>
      <c r="Q10" s="106">
        <v>75.199999999999989</v>
      </c>
    </row>
    <row r="11" spans="1:17" x14ac:dyDescent="0.4">
      <c r="A11" s="56" t="s">
        <v>140</v>
      </c>
      <c r="B11" s="48">
        <v>5</v>
      </c>
      <c r="C11" s="40">
        <f>IF(B$2=0,0,B11/B$2)</f>
        <v>0.12820512820512819</v>
      </c>
      <c r="E11" s="63" t="s">
        <v>90</v>
      </c>
      <c r="F11" s="60" t="s">
        <v>45</v>
      </c>
      <c r="G11" s="47">
        <v>11</v>
      </c>
      <c r="H11" s="133">
        <f>IF(B$17=0,0,G11/B$17)</f>
        <v>0.13580246913580246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-8.8812499999999979</v>
      </c>
      <c r="P11" s="119">
        <v>16</v>
      </c>
      <c r="Q11" s="107">
        <v>-142.09999999999997</v>
      </c>
    </row>
    <row r="12" spans="1:17" x14ac:dyDescent="0.4">
      <c r="A12" s="57" t="s">
        <v>160</v>
      </c>
      <c r="B12" s="49">
        <v>4</v>
      </c>
      <c r="C12" s="42">
        <f>IF(B$2=0,0,B12/B$2)</f>
        <v>0.10256410256410256</v>
      </c>
      <c r="E12" s="63" t="s">
        <v>87</v>
      </c>
      <c r="F12" s="60" t="s">
        <v>42</v>
      </c>
      <c r="G12" s="47">
        <v>7</v>
      </c>
      <c r="H12" s="133">
        <f>IF(B$17=0,0,G12/B$17)</f>
        <v>8.6419753086419748E-2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-0.29333333333333367</v>
      </c>
      <c r="P12" s="120">
        <v>15</v>
      </c>
      <c r="Q12" s="108">
        <v>-4.4000000000000048</v>
      </c>
    </row>
    <row r="13" spans="1:17" x14ac:dyDescent="0.4">
      <c r="A13" s="58" t="s">
        <v>122</v>
      </c>
      <c r="B13" s="50">
        <v>82</v>
      </c>
      <c r="C13" s="44">
        <f>IF(B$3=0,0,B13/B$3)</f>
        <v>0.25076452599388377</v>
      </c>
      <c r="E13" s="63" t="s">
        <v>72</v>
      </c>
      <c r="F13" s="60" t="s">
        <v>27</v>
      </c>
      <c r="G13" s="47">
        <v>6</v>
      </c>
      <c r="H13" s="133">
        <f>IF(B$17=0,0,G13/B$17)</f>
        <v>7.407407407407407E-2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0.16819571865443425</v>
      </c>
      <c r="E14" s="63" t="s">
        <v>84</v>
      </c>
      <c r="F14" s="60" t="s">
        <v>39</v>
      </c>
      <c r="G14" s="47">
        <v>4</v>
      </c>
      <c r="H14" s="133">
        <f>IF(B$17=0,0,G14/B$17)</f>
        <v>4.9382716049382713E-2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47</v>
      </c>
      <c r="C15" s="37">
        <f>IF(B$13=0,0,B15/B$13)</f>
        <v>0.57317073170731703</v>
      </c>
      <c r="E15" s="63" t="s">
        <v>79</v>
      </c>
      <c r="F15" s="60" t="s">
        <v>34</v>
      </c>
      <c r="G15" s="47">
        <v>3</v>
      </c>
      <c r="H15" s="133">
        <f>IF(B$17=0,0,G15/B$17)</f>
        <v>3.7037037037037035E-2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86.820000000000007</v>
      </c>
      <c r="P15" s="118">
        <v>5</v>
      </c>
      <c r="Q15" s="106">
        <v>434.1</v>
      </c>
    </row>
    <row r="16" spans="1:17" x14ac:dyDescent="0.4">
      <c r="A16" s="54" t="s">
        <v>125</v>
      </c>
      <c r="B16" s="46">
        <v>17</v>
      </c>
      <c r="C16" s="37">
        <f>IF(B$14=0,0,B16/B$14)</f>
        <v>0.30909090909090908</v>
      </c>
      <c r="E16" s="63" t="s">
        <v>76</v>
      </c>
      <c r="F16" s="60" t="s">
        <v>31</v>
      </c>
      <c r="G16" s="47">
        <v>2</v>
      </c>
      <c r="H16" s="133">
        <f>IF(B$17=0,0,G16/B$17)</f>
        <v>2.4691358024691357E-2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81</v>
      </c>
      <c r="C17" s="37">
        <f>IF(B$3=0,0,B17/B$3)</f>
        <v>0.24770642201834864</v>
      </c>
      <c r="E17" s="63" t="s">
        <v>93</v>
      </c>
      <c r="F17" s="60" t="s">
        <v>48</v>
      </c>
      <c r="G17" s="47">
        <v>2</v>
      </c>
      <c r="H17" s="133">
        <f>IF(B$17=0,0,G17/B$17)</f>
        <v>2.4691358024691357E-2</v>
      </c>
      <c r="I17" s="94">
        <v>1</v>
      </c>
      <c r="K17" s="38">
        <v>15</v>
      </c>
      <c r="L17" s="99">
        <v>-26.3</v>
      </c>
      <c r="N17" s="115" t="s">
        <v>173</v>
      </c>
      <c r="O17" s="125">
        <f>IF(P17=0,0,Q17/P17)</f>
        <v>14.875</v>
      </c>
      <c r="P17" s="119">
        <v>12</v>
      </c>
      <c r="Q17" s="107">
        <v>178.5</v>
      </c>
    </row>
    <row r="18" spans="1:17" x14ac:dyDescent="0.4">
      <c r="A18" s="55" t="s">
        <v>12</v>
      </c>
      <c r="B18" s="47">
        <v>28</v>
      </c>
      <c r="C18" s="39">
        <f>IF(B$17=0,0,B18/B$17)</f>
        <v>0.34567901234567899</v>
      </c>
      <c r="E18" s="63" t="s">
        <v>180</v>
      </c>
      <c r="F18" s="60" t="s">
        <v>183</v>
      </c>
      <c r="G18" s="47">
        <v>2</v>
      </c>
      <c r="H18" s="133">
        <f>IF(B$17=0,0,G18/B$17)</f>
        <v>2.4691358024691357E-2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-3.9363636363636374</v>
      </c>
      <c r="P18" s="119">
        <v>11</v>
      </c>
      <c r="Q18" s="107">
        <v>-43.300000000000011</v>
      </c>
    </row>
    <row r="19" spans="1:17" x14ac:dyDescent="0.4">
      <c r="A19" s="55" t="s">
        <v>11</v>
      </c>
      <c r="B19" s="47">
        <v>53</v>
      </c>
      <c r="C19" s="39">
        <f>IF(B$17=0,0,B19/B$17)</f>
        <v>0.65432098765432101</v>
      </c>
      <c r="E19" s="63" t="s">
        <v>82</v>
      </c>
      <c r="F19" s="60" t="s">
        <v>37</v>
      </c>
      <c r="G19" s="47">
        <v>1</v>
      </c>
      <c r="H19" s="133">
        <f>IF(B$17=0,0,G19/B$17)</f>
        <v>1.2345679012345678E-2</v>
      </c>
      <c r="I19" s="94">
        <v>6</v>
      </c>
      <c r="K19" s="38">
        <v>17</v>
      </c>
      <c r="L19" s="99">
        <v>-74.3</v>
      </c>
      <c r="N19" s="115" t="s">
        <v>128</v>
      </c>
      <c r="O19" s="125">
        <f>IF(P19=0,0,Q19/P19)</f>
        <v>-10.050000000000008</v>
      </c>
      <c r="P19" s="119">
        <v>20</v>
      </c>
      <c r="Q19" s="107">
        <v>-201.00000000000017</v>
      </c>
    </row>
    <row r="20" spans="1:17" x14ac:dyDescent="0.4">
      <c r="A20" s="55" t="s">
        <v>13</v>
      </c>
      <c r="B20" s="47">
        <v>51</v>
      </c>
      <c r="C20" s="39">
        <f>IF(B$3=0,0,B20/B$3)</f>
        <v>0.15596330275229359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2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0.60000000000000853</v>
      </c>
      <c r="N21" s="115" t="s">
        <v>127</v>
      </c>
      <c r="O21" s="125">
        <f>IF(P21=0,0,Q21/P21)</f>
        <v>-21.029166666666665</v>
      </c>
      <c r="P21" s="119">
        <v>24</v>
      </c>
      <c r="Q21" s="107">
        <v>-504.69999999999993</v>
      </c>
    </row>
    <row r="22" spans="1:17" x14ac:dyDescent="0.4">
      <c r="A22" s="55" t="s">
        <v>194</v>
      </c>
      <c r="B22" s="47">
        <v>20</v>
      </c>
      <c r="C22" s="135">
        <v>8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8769.1358024691363</v>
      </c>
      <c r="C23" s="41">
        <v>710300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-7225.4901960784309</v>
      </c>
      <c r="C24" s="45">
        <v>-368500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4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3.0581039755351682E-3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38383-63F5-4EE4-9C94-835B55F58CFE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32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0.76041666666666663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1912.5</v>
      </c>
      <c r="P2" s="118">
        <v>32</v>
      </c>
      <c r="Q2" s="102">
        <v>61200</v>
      </c>
    </row>
    <row r="3" spans="1:17" x14ac:dyDescent="0.4">
      <c r="A3" s="55" t="s">
        <v>8</v>
      </c>
      <c r="B3" s="148">
        <v>273</v>
      </c>
      <c r="C3" s="149"/>
      <c r="E3" s="63" t="s">
        <v>73</v>
      </c>
      <c r="F3" s="60" t="s">
        <v>28</v>
      </c>
      <c r="G3" s="47">
        <v>64</v>
      </c>
      <c r="H3" s="133">
        <f>IF(B$17=0,0,G3/B$17)</f>
        <v>0.66666666666666663</v>
      </c>
      <c r="I3" s="94">
        <v>3</v>
      </c>
      <c r="K3" s="38">
        <v>1</v>
      </c>
      <c r="L3" s="99">
        <v>11.1</v>
      </c>
      <c r="N3" s="115" t="s">
        <v>133</v>
      </c>
      <c r="O3" s="122">
        <f t="shared" si="0"/>
        <v>378.125</v>
      </c>
      <c r="P3" s="119">
        <v>32</v>
      </c>
      <c r="Q3" s="103">
        <v>12100</v>
      </c>
    </row>
    <row r="4" spans="1:17" x14ac:dyDescent="0.4">
      <c r="A4" s="55" t="s">
        <v>6</v>
      </c>
      <c r="B4" s="150">
        <v>76.900000000000006</v>
      </c>
      <c r="C4" s="151"/>
      <c r="E4" s="63" t="s">
        <v>181</v>
      </c>
      <c r="F4" s="60" t="s">
        <v>182</v>
      </c>
      <c r="G4" s="47">
        <v>35</v>
      </c>
      <c r="H4" s="133">
        <f>IF(B$17=0,0,G4/B$17)</f>
        <v>0.36458333333333331</v>
      </c>
      <c r="I4" s="94">
        <v>6</v>
      </c>
      <c r="K4" s="38">
        <v>2</v>
      </c>
      <c r="L4" s="99">
        <v>-7.7000000000000011</v>
      </c>
      <c r="N4" s="115" t="s">
        <v>134</v>
      </c>
      <c r="O4" s="122">
        <f t="shared" si="0"/>
        <v>1142.3076923076924</v>
      </c>
      <c r="P4" s="119">
        <v>26</v>
      </c>
      <c r="Q4" s="103">
        <v>29700</v>
      </c>
    </row>
    <row r="5" spans="1:17" x14ac:dyDescent="0.4">
      <c r="A5" s="55" t="s">
        <v>7</v>
      </c>
      <c r="B5" s="152">
        <f>IF(B$2=0,0,B$4/B$2)</f>
        <v>2.4031250000000002</v>
      </c>
      <c r="C5" s="153"/>
      <c r="E5" s="63" t="s">
        <v>65</v>
      </c>
      <c r="F5" s="60" t="s">
        <v>21</v>
      </c>
      <c r="G5" s="47">
        <v>34</v>
      </c>
      <c r="H5" s="133">
        <f>IF(B$17=0,0,G5/B$17)</f>
        <v>0.35416666666666669</v>
      </c>
      <c r="I5" s="94">
        <v>11</v>
      </c>
      <c r="K5" s="38">
        <v>3</v>
      </c>
      <c r="L5" s="99">
        <v>1.7999999999999989</v>
      </c>
      <c r="N5" s="115" t="s">
        <v>135</v>
      </c>
      <c r="O5" s="122">
        <f t="shared" si="0"/>
        <v>552</v>
      </c>
      <c r="P5" s="119">
        <v>25</v>
      </c>
      <c r="Q5" s="103">
        <v>13800</v>
      </c>
    </row>
    <row r="6" spans="1:17" x14ac:dyDescent="0.4">
      <c r="A6" s="55" t="s">
        <v>1</v>
      </c>
      <c r="B6" s="142">
        <f>IF(B$2=0,0,(B$7*1+B$8*2+B$9*3)/B$2)</f>
        <v>2.0625</v>
      </c>
      <c r="C6" s="143"/>
      <c r="E6" s="63" t="s">
        <v>69</v>
      </c>
      <c r="F6" s="60" t="s">
        <v>12</v>
      </c>
      <c r="G6" s="47">
        <v>25</v>
      </c>
      <c r="H6" s="133">
        <f>IF(B$17=0,0,G6/B$17)</f>
        <v>0.26041666666666669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-850</v>
      </c>
      <c r="P6" s="119">
        <v>24</v>
      </c>
      <c r="Q6" s="103">
        <v>-20400</v>
      </c>
    </row>
    <row r="7" spans="1:17" x14ac:dyDescent="0.4">
      <c r="A7" s="55" t="s">
        <v>2</v>
      </c>
      <c r="B7" s="47">
        <v>10</v>
      </c>
      <c r="C7" s="39">
        <f>IF(B$2=0,0,B7/B$2)</f>
        <v>0.3125</v>
      </c>
      <c r="E7" s="63" t="s">
        <v>68</v>
      </c>
      <c r="F7" s="60" t="s">
        <v>24</v>
      </c>
      <c r="G7" s="47">
        <v>17</v>
      </c>
      <c r="H7" s="133">
        <f>IF(B$17=0,0,G7/B$17)</f>
        <v>0.17708333333333334</v>
      </c>
      <c r="I7" s="94">
        <v>8</v>
      </c>
      <c r="K7" s="38">
        <v>5</v>
      </c>
      <c r="L7" s="99">
        <v>29.4</v>
      </c>
      <c r="N7" s="116" t="s">
        <v>137</v>
      </c>
      <c r="O7" s="123">
        <f t="shared" si="0"/>
        <v>-1600</v>
      </c>
      <c r="P7" s="120">
        <v>21</v>
      </c>
      <c r="Q7" s="104">
        <v>-33600</v>
      </c>
    </row>
    <row r="8" spans="1:17" x14ac:dyDescent="0.4">
      <c r="A8" s="55" t="s">
        <v>3</v>
      </c>
      <c r="B8" s="47">
        <v>10</v>
      </c>
      <c r="C8" s="39">
        <f>IF(B$2=0,0,B8/B$2)</f>
        <v>0.3125</v>
      </c>
      <c r="E8" s="63" t="s">
        <v>70</v>
      </c>
      <c r="F8" s="60" t="s">
        <v>25</v>
      </c>
      <c r="G8" s="47">
        <v>12</v>
      </c>
      <c r="H8" s="133">
        <f>IF(B$17=0,0,G8/B$17)</f>
        <v>0.125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0.375</v>
      </c>
      <c r="E9" s="63" t="s">
        <v>66</v>
      </c>
      <c r="F9" s="60" t="s">
        <v>22</v>
      </c>
      <c r="G9" s="47">
        <v>8</v>
      </c>
      <c r="H9" s="133">
        <f>IF(B$17=0,0,G9/B$17)</f>
        <v>8.3333333333333329E-2</v>
      </c>
      <c r="I9" s="94">
        <v>8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6.25E-2</v>
      </c>
      <c r="E10" s="63" t="s">
        <v>71</v>
      </c>
      <c r="F10" s="60" t="s">
        <v>26</v>
      </c>
      <c r="G10" s="47">
        <v>8</v>
      </c>
      <c r="H10" s="133">
        <f>IF(B$17=0,0,G10/B$17)</f>
        <v>8.3333333333333329E-2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-13.050000000000002</v>
      </c>
      <c r="P10" s="118">
        <v>12</v>
      </c>
      <c r="Q10" s="106">
        <v>-156.60000000000002</v>
      </c>
    </row>
    <row r="11" spans="1:17" x14ac:dyDescent="0.4">
      <c r="A11" s="56" t="s">
        <v>140</v>
      </c>
      <c r="B11" s="48">
        <v>5</v>
      </c>
      <c r="C11" s="40">
        <f>IF(B$2=0,0,B11/B$2)</f>
        <v>0.15625</v>
      </c>
      <c r="E11" s="63" t="s">
        <v>90</v>
      </c>
      <c r="F11" s="60" t="s">
        <v>45</v>
      </c>
      <c r="G11" s="47">
        <v>8</v>
      </c>
      <c r="H11" s="133">
        <f>IF(B$17=0,0,G11/B$17)</f>
        <v>8.3333333333333329E-2</v>
      </c>
      <c r="I11" s="94">
        <v>11</v>
      </c>
      <c r="K11" s="38">
        <v>9</v>
      </c>
      <c r="L11" s="99">
        <v>-56.5</v>
      </c>
      <c r="N11" s="115" t="s">
        <v>165</v>
      </c>
      <c r="O11" s="125">
        <f>IF(P11=0,0,Q11/P11)</f>
        <v>26.774999999999999</v>
      </c>
      <c r="P11" s="119">
        <v>8</v>
      </c>
      <c r="Q11" s="107">
        <v>214.2</v>
      </c>
    </row>
    <row r="12" spans="1:17" x14ac:dyDescent="0.4">
      <c r="A12" s="57" t="s">
        <v>160</v>
      </c>
      <c r="B12" s="49">
        <v>2</v>
      </c>
      <c r="C12" s="42">
        <f>IF(B$2=0,0,B12/B$2)</f>
        <v>6.25E-2</v>
      </c>
      <c r="E12" s="63" t="s">
        <v>84</v>
      </c>
      <c r="F12" s="60" t="s">
        <v>39</v>
      </c>
      <c r="G12" s="47">
        <v>7</v>
      </c>
      <c r="H12" s="133">
        <f>IF(B$17=0,0,G12/B$17)</f>
        <v>7.2916666666666671E-2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1.6083333333333336</v>
      </c>
      <c r="P12" s="120">
        <v>12</v>
      </c>
      <c r="Q12" s="108">
        <v>19.300000000000004</v>
      </c>
    </row>
    <row r="13" spans="1:17" x14ac:dyDescent="0.4">
      <c r="A13" s="58" t="s">
        <v>122</v>
      </c>
      <c r="B13" s="50">
        <v>60</v>
      </c>
      <c r="C13" s="44">
        <f>IF(B$3=0,0,B13/B$3)</f>
        <v>0.21978021978021978</v>
      </c>
      <c r="E13" s="63" t="s">
        <v>82</v>
      </c>
      <c r="F13" s="60" t="s">
        <v>37</v>
      </c>
      <c r="G13" s="47">
        <v>4</v>
      </c>
      <c r="H13" s="133">
        <f>IF(B$17=0,0,G13/B$17)</f>
        <v>4.1666666666666664E-2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89</v>
      </c>
      <c r="C14" s="39">
        <f>IF(B$3=0,0,B14/B$3)</f>
        <v>0.32600732600732601</v>
      </c>
      <c r="E14" s="63" t="s">
        <v>87</v>
      </c>
      <c r="F14" s="60" t="s">
        <v>42</v>
      </c>
      <c r="G14" s="47">
        <v>4</v>
      </c>
      <c r="H14" s="133">
        <f>IF(B$17=0,0,G14/B$17)</f>
        <v>4.1666666666666664E-2</v>
      </c>
      <c r="I14" s="94">
        <v>9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35</v>
      </c>
      <c r="C15" s="37">
        <f>IF(B$13=0,0,B15/B$13)</f>
        <v>0.58333333333333337</v>
      </c>
      <c r="E15" s="63" t="s">
        <v>72</v>
      </c>
      <c r="F15" s="60" t="s">
        <v>27</v>
      </c>
      <c r="G15" s="47">
        <v>3</v>
      </c>
      <c r="H15" s="133">
        <f>IF(B$17=0,0,G15/B$17)</f>
        <v>3.125E-2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37</v>
      </c>
      <c r="C16" s="37">
        <f>IF(B$14=0,0,B16/B$14)</f>
        <v>0.4157303370786517</v>
      </c>
      <c r="E16" s="63" t="s">
        <v>79</v>
      </c>
      <c r="F16" s="60" t="s">
        <v>34</v>
      </c>
      <c r="G16" s="47">
        <v>2</v>
      </c>
      <c r="H16" s="133">
        <f>IF(B$17=0,0,G16/B$17)</f>
        <v>2.0833333333333332E-2</v>
      </c>
      <c r="I16" s="94">
        <v>4</v>
      </c>
      <c r="K16" s="38">
        <v>14</v>
      </c>
      <c r="L16" s="99">
        <v>-12.3</v>
      </c>
      <c r="N16" s="115" t="s">
        <v>173</v>
      </c>
      <c r="O16" s="125">
        <f>IF(P16=0,0,Q16/P16)</f>
        <v>40.616666666666667</v>
      </c>
      <c r="P16" s="119">
        <v>6</v>
      </c>
      <c r="Q16" s="107">
        <v>243.7</v>
      </c>
    </row>
    <row r="17" spans="1:17" x14ac:dyDescent="0.4">
      <c r="A17" s="54" t="s">
        <v>10</v>
      </c>
      <c r="B17" s="46">
        <f>B19+B18</f>
        <v>96</v>
      </c>
      <c r="C17" s="37">
        <f>IF(B$3=0,0,B17/B$3)</f>
        <v>0.35164835164835168</v>
      </c>
      <c r="E17" s="63" t="s">
        <v>80</v>
      </c>
      <c r="F17" s="60" t="s">
        <v>35</v>
      </c>
      <c r="G17" s="47">
        <v>2</v>
      </c>
      <c r="H17" s="133">
        <f>IF(B$17=0,0,G17/B$17)</f>
        <v>2.0833333333333332E-2</v>
      </c>
      <c r="I17" s="94">
        <v>1</v>
      </c>
      <c r="K17" s="38">
        <v>15</v>
      </c>
      <c r="L17" s="99">
        <v>-80.3</v>
      </c>
      <c r="N17" s="115" t="s">
        <v>202</v>
      </c>
      <c r="O17" s="125">
        <f>IF(P17=0,0,Q17/P17)</f>
        <v>16.449999999999996</v>
      </c>
      <c r="P17" s="119">
        <v>4</v>
      </c>
      <c r="Q17" s="107">
        <v>65.799999999999983</v>
      </c>
    </row>
    <row r="18" spans="1:17" x14ac:dyDescent="0.4">
      <c r="A18" s="55" t="s">
        <v>12</v>
      </c>
      <c r="B18" s="47">
        <v>39</v>
      </c>
      <c r="C18" s="39">
        <f>IF(B$17=0,0,B18/B$17)</f>
        <v>0.40625</v>
      </c>
      <c r="E18" s="63" t="s">
        <v>92</v>
      </c>
      <c r="F18" s="60" t="s">
        <v>47</v>
      </c>
      <c r="G18" s="47">
        <v>2</v>
      </c>
      <c r="H18" s="133">
        <f>IF(B$17=0,0,G18/B$17)</f>
        <v>2.0833333333333332E-2</v>
      </c>
      <c r="I18" s="94">
        <v>3</v>
      </c>
      <c r="K18" s="38">
        <v>16</v>
      </c>
      <c r="L18" s="99">
        <v>-87.6</v>
      </c>
      <c r="N18" s="115" t="s">
        <v>177</v>
      </c>
      <c r="O18" s="125">
        <f>IF(P18=0,0,Q18/P18)</f>
        <v>13.33333333333333</v>
      </c>
      <c r="P18" s="119">
        <v>3</v>
      </c>
      <c r="Q18" s="107">
        <v>39.999999999999993</v>
      </c>
    </row>
    <row r="19" spans="1:17" x14ac:dyDescent="0.4">
      <c r="A19" s="55" t="s">
        <v>11</v>
      </c>
      <c r="B19" s="47">
        <v>57</v>
      </c>
      <c r="C19" s="39">
        <f>IF(B$17=0,0,B19/B$17)</f>
        <v>0.59375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5</v>
      </c>
      <c r="K19" s="38">
        <v>17</v>
      </c>
      <c r="L19" s="99">
        <v>-55.099999999999994</v>
      </c>
      <c r="N19" s="115" t="s">
        <v>171</v>
      </c>
      <c r="O19" s="125">
        <f>IF(P19=0,0,Q19/P19)</f>
        <v>3.9363636363636347</v>
      </c>
      <c r="P19" s="119">
        <v>11</v>
      </c>
      <c r="Q19" s="107">
        <v>43.299999999999983</v>
      </c>
    </row>
    <row r="20" spans="1:17" x14ac:dyDescent="0.4">
      <c r="A20" s="55" t="s">
        <v>13</v>
      </c>
      <c r="B20" s="47">
        <v>39</v>
      </c>
      <c r="C20" s="39">
        <f>IF(B$3=0,0,B20/B$3)</f>
        <v>0.14285714285714285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>IF(P20=0,0,Q20/P20)</f>
        <v>-7.6058823529411788</v>
      </c>
      <c r="P20" s="119">
        <v>17</v>
      </c>
      <c r="Q20" s="107">
        <v>-129.30000000000004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29.200000000000003</v>
      </c>
      <c r="N21" s="115" t="s">
        <v>127</v>
      </c>
      <c r="O21" s="125">
        <f>IF(P21=0,0,Q21/P21)</f>
        <v>-37.131250000000009</v>
      </c>
      <c r="P21" s="119">
        <v>16</v>
      </c>
      <c r="Q21" s="107">
        <v>-594.10000000000014</v>
      </c>
    </row>
    <row r="22" spans="1:17" x14ac:dyDescent="0.4">
      <c r="A22" s="55" t="s">
        <v>194</v>
      </c>
      <c r="B22" s="47">
        <v>23</v>
      </c>
      <c r="C22" s="135">
        <v>9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7340.625</v>
      </c>
      <c r="C23" s="41">
        <v>704700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-8612.8205128205136</v>
      </c>
      <c r="C24" s="45">
        <v>-335900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3.663003663003663E-3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9C84-C3E3-4625-BE4A-4205D5F4A3F0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25</v>
      </c>
      <c r="C2" s="147"/>
      <c r="E2" s="62" t="s">
        <v>67</v>
      </c>
      <c r="F2" s="59" t="s">
        <v>23</v>
      </c>
      <c r="G2" s="46">
        <v>48</v>
      </c>
      <c r="H2" s="132">
        <f>IF(B$17=0,0,G2/B$17)</f>
        <v>0.76190476190476186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-4812</v>
      </c>
      <c r="P2" s="118">
        <v>25</v>
      </c>
      <c r="Q2" s="102">
        <v>-120300</v>
      </c>
    </row>
    <row r="3" spans="1:17" x14ac:dyDescent="0.4">
      <c r="A3" s="55" t="s">
        <v>8</v>
      </c>
      <c r="B3" s="148">
        <v>222</v>
      </c>
      <c r="C3" s="149"/>
      <c r="E3" s="63" t="s">
        <v>73</v>
      </c>
      <c r="F3" s="60" t="s">
        <v>28</v>
      </c>
      <c r="G3" s="47">
        <v>32</v>
      </c>
      <c r="H3" s="133">
        <f>IF(B$17=0,0,G3/B$17)</f>
        <v>0.50793650793650791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-596</v>
      </c>
      <c r="P3" s="119">
        <v>25</v>
      </c>
      <c r="Q3" s="103">
        <v>-14900</v>
      </c>
    </row>
    <row r="4" spans="1:17" x14ac:dyDescent="0.4">
      <c r="A4" s="55" t="s">
        <v>6</v>
      </c>
      <c r="B4" s="150">
        <v>-344.29999999999995</v>
      </c>
      <c r="C4" s="151"/>
      <c r="E4" s="63" t="s">
        <v>65</v>
      </c>
      <c r="F4" s="60" t="s">
        <v>21</v>
      </c>
      <c r="G4" s="47">
        <v>26</v>
      </c>
      <c r="H4" s="133">
        <f>IF(B$17=0,0,G4/B$17)</f>
        <v>0.41269841269841268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-2377.2727272727275</v>
      </c>
      <c r="P4" s="119">
        <v>22</v>
      </c>
      <c r="Q4" s="103">
        <v>-52300</v>
      </c>
    </row>
    <row r="5" spans="1:17" x14ac:dyDescent="0.4">
      <c r="A5" s="55" t="s">
        <v>7</v>
      </c>
      <c r="B5" s="152">
        <f>IF(B$2=0,0,B$4/B$2)</f>
        <v>-13.771999999999998</v>
      </c>
      <c r="C5" s="153"/>
      <c r="E5" s="63" t="s">
        <v>69</v>
      </c>
      <c r="F5" s="60" t="s">
        <v>12</v>
      </c>
      <c r="G5" s="47">
        <v>24</v>
      </c>
      <c r="H5" s="133">
        <f>IF(B$17=0,0,G5/B$17)</f>
        <v>0.38095238095238093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-3452.3809523809523</v>
      </c>
      <c r="P5" s="119">
        <v>21</v>
      </c>
      <c r="Q5" s="103">
        <v>-72500</v>
      </c>
    </row>
    <row r="6" spans="1:17" x14ac:dyDescent="0.4">
      <c r="A6" s="55" t="s">
        <v>1</v>
      </c>
      <c r="B6" s="142">
        <f>IF(B$2=0,0,(B$7*1+B$8*2+B$9*3)/B$2)</f>
        <v>2.2000000000000002</v>
      </c>
      <c r="C6" s="143"/>
      <c r="E6" s="63" t="s">
        <v>181</v>
      </c>
      <c r="F6" s="60" t="s">
        <v>182</v>
      </c>
      <c r="G6" s="47">
        <v>18</v>
      </c>
      <c r="H6" s="133">
        <f>IF(B$17=0,0,G6/B$17)</f>
        <v>0.2857142857142857</v>
      </c>
      <c r="I6" s="94">
        <v>11</v>
      </c>
      <c r="K6" s="38">
        <v>4</v>
      </c>
      <c r="L6" s="99">
        <v>-150.6</v>
      </c>
      <c r="N6" s="115" t="s">
        <v>136</v>
      </c>
      <c r="O6" s="122">
        <f t="shared" si="0"/>
        <v>1684.2105263157894</v>
      </c>
      <c r="P6" s="119">
        <v>19</v>
      </c>
      <c r="Q6" s="103">
        <v>32000</v>
      </c>
    </row>
    <row r="7" spans="1:17" x14ac:dyDescent="0.4">
      <c r="A7" s="55" t="s">
        <v>2</v>
      </c>
      <c r="B7" s="47">
        <v>5</v>
      </c>
      <c r="C7" s="39">
        <f>IF(B$2=0,0,B7/B$2)</f>
        <v>0.2</v>
      </c>
      <c r="E7" s="63" t="s">
        <v>68</v>
      </c>
      <c r="F7" s="60" t="s">
        <v>24</v>
      </c>
      <c r="G7" s="47">
        <v>11</v>
      </c>
      <c r="H7" s="133">
        <f>IF(B$17=0,0,G7/B$17)</f>
        <v>0.17460317460317459</v>
      </c>
      <c r="I7" s="94">
        <v>9</v>
      </c>
      <c r="K7" s="38">
        <v>5</v>
      </c>
      <c r="L7" s="99">
        <v>-184.89999999999998</v>
      </c>
      <c r="N7" s="116" t="s">
        <v>137</v>
      </c>
      <c r="O7" s="123">
        <f t="shared" si="0"/>
        <v>-633.33333333333337</v>
      </c>
      <c r="P7" s="120">
        <v>18</v>
      </c>
      <c r="Q7" s="104">
        <v>-11400</v>
      </c>
    </row>
    <row r="8" spans="1:17" x14ac:dyDescent="0.4">
      <c r="A8" s="55" t="s">
        <v>3</v>
      </c>
      <c r="B8" s="47">
        <v>10</v>
      </c>
      <c r="C8" s="39">
        <f>IF(B$2=0,0,B8/B$2)</f>
        <v>0.4</v>
      </c>
      <c r="E8" s="63" t="s">
        <v>71</v>
      </c>
      <c r="F8" s="60" t="s">
        <v>26</v>
      </c>
      <c r="G8" s="47">
        <v>7</v>
      </c>
      <c r="H8" s="133">
        <f>IF(B$17=0,0,G8/B$17)</f>
        <v>0.1111111111111111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ref="C9" si="1">IF(B$2=0,0,B9/B$2)</f>
        <v>0.4</v>
      </c>
      <c r="E9" s="63" t="s">
        <v>90</v>
      </c>
      <c r="F9" s="60" t="s">
        <v>45</v>
      </c>
      <c r="G9" s="47">
        <v>7</v>
      </c>
      <c r="H9" s="133">
        <f>IF(B$17=0,0,G9/B$17)</f>
        <v>0.1111111111111111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0.16</v>
      </c>
      <c r="E10" s="63" t="s">
        <v>70</v>
      </c>
      <c r="F10" s="60" t="s">
        <v>25</v>
      </c>
      <c r="G10" s="47">
        <v>6</v>
      </c>
      <c r="H10" s="133">
        <f>IF(B$17=0,0,G10/B$17)</f>
        <v>9.5238095238095233E-2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-13.285714285714286</v>
      </c>
      <c r="P10" s="118">
        <v>7</v>
      </c>
      <c r="Q10" s="106">
        <v>-93</v>
      </c>
    </row>
    <row r="11" spans="1:17" x14ac:dyDescent="0.4">
      <c r="A11" s="56" t="s">
        <v>140</v>
      </c>
      <c r="B11" s="48">
        <v>1</v>
      </c>
      <c r="C11" s="40">
        <f>IF(B$2=0,0,B11/B$2)</f>
        <v>0.04</v>
      </c>
      <c r="E11" s="63" t="s">
        <v>72</v>
      </c>
      <c r="F11" s="60" t="s">
        <v>27</v>
      </c>
      <c r="G11" s="47">
        <v>4</v>
      </c>
      <c r="H11" s="133">
        <f>IF(B$17=0,0,G11/B$17)</f>
        <v>6.3492063492063489E-2</v>
      </c>
      <c r="I11" s="94">
        <v>4</v>
      </c>
      <c r="K11" s="38">
        <v>9</v>
      </c>
      <c r="L11" s="99">
        <v>-260.59999999999997</v>
      </c>
      <c r="N11" s="115" t="s">
        <v>165</v>
      </c>
      <c r="O11" s="125">
        <f>IF(P11=0,0,Q11/P11)</f>
        <v>-13.2</v>
      </c>
      <c r="P11" s="119">
        <v>14</v>
      </c>
      <c r="Q11" s="107">
        <v>-184.79999999999998</v>
      </c>
    </row>
    <row r="12" spans="1:17" x14ac:dyDescent="0.4">
      <c r="A12" s="57" t="s">
        <v>160</v>
      </c>
      <c r="B12" s="49">
        <v>1</v>
      </c>
      <c r="C12" s="42">
        <f>IF(B$2=0,0,B12/B$2)</f>
        <v>0.04</v>
      </c>
      <c r="E12" s="63" t="s">
        <v>87</v>
      </c>
      <c r="F12" s="60" t="s">
        <v>42</v>
      </c>
      <c r="G12" s="47">
        <v>3</v>
      </c>
      <c r="H12" s="133">
        <f>IF(B$17=0,0,G12/B$17)</f>
        <v>4.7619047619047616E-2</v>
      </c>
      <c r="I12" s="94">
        <v>8</v>
      </c>
      <c r="K12" s="38">
        <v>10</v>
      </c>
      <c r="L12" s="99">
        <v>-318.39999999999998</v>
      </c>
      <c r="N12" s="116" t="s">
        <v>166</v>
      </c>
      <c r="O12" s="126">
        <f>IF(P12=0,0,Q12/P12)</f>
        <v>-16.625</v>
      </c>
      <c r="P12" s="120">
        <v>4</v>
      </c>
      <c r="Q12" s="108">
        <v>-66.5</v>
      </c>
    </row>
    <row r="13" spans="1:17" x14ac:dyDescent="0.4">
      <c r="A13" s="58" t="s">
        <v>122</v>
      </c>
      <c r="B13" s="50">
        <v>48</v>
      </c>
      <c r="C13" s="44">
        <f>IF(B$3=0,0,B13/B$3)</f>
        <v>0.21621621621621623</v>
      </c>
      <c r="E13" s="63" t="s">
        <v>66</v>
      </c>
      <c r="F13" s="60" t="s">
        <v>22</v>
      </c>
      <c r="G13" s="47">
        <v>2</v>
      </c>
      <c r="H13" s="133">
        <f>IF(B$17=0,0,G13/B$17)</f>
        <v>3.1746031746031744E-2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51</v>
      </c>
      <c r="C14" s="39">
        <f>IF(B$3=0,0,B14/B$3)</f>
        <v>0.22972972972972974</v>
      </c>
      <c r="E14" s="63" t="s">
        <v>84</v>
      </c>
      <c r="F14" s="60" t="s">
        <v>39</v>
      </c>
      <c r="G14" s="47">
        <v>2</v>
      </c>
      <c r="H14" s="133">
        <f>IF(B$17=0,0,G14/B$17)</f>
        <v>3.1746031746031744E-2</v>
      </c>
      <c r="I14" s="94">
        <v>7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0.54166666666666663</v>
      </c>
      <c r="E15" s="63" t="s">
        <v>74</v>
      </c>
      <c r="F15" s="60" t="s">
        <v>29</v>
      </c>
      <c r="G15" s="47">
        <v>1</v>
      </c>
      <c r="H15" s="133">
        <f>IF(B$17=0,0,G15/B$17)</f>
        <v>1.5873015873015872E-2</v>
      </c>
      <c r="I15" s="94">
        <v>1</v>
      </c>
      <c r="K15" s="38">
        <v>13</v>
      </c>
      <c r="L15" s="99">
        <v>-302.59999999999997</v>
      </c>
      <c r="N15" s="114" t="s">
        <v>129</v>
      </c>
      <c r="O15" s="124">
        <f>IF(P15=0,0,Q15/P15)</f>
        <v>19.3</v>
      </c>
      <c r="P15" s="118">
        <v>4</v>
      </c>
      <c r="Q15" s="106">
        <v>77.2</v>
      </c>
    </row>
    <row r="16" spans="1:17" x14ac:dyDescent="0.4">
      <c r="A16" s="54" t="s">
        <v>125</v>
      </c>
      <c r="B16" s="46">
        <v>17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1</v>
      </c>
      <c r="H16" s="133">
        <f>IF(B$17=0,0,G16/B$17)</f>
        <v>1.5873015873015872E-2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-4.9499999999999984</v>
      </c>
      <c r="P16" s="119">
        <v>14</v>
      </c>
      <c r="Q16" s="107">
        <v>-69.299999999999983</v>
      </c>
    </row>
    <row r="17" spans="1:17" x14ac:dyDescent="0.4">
      <c r="A17" s="54" t="s">
        <v>10</v>
      </c>
      <c r="B17" s="46">
        <f>B19+B18</f>
        <v>63</v>
      </c>
      <c r="C17" s="37">
        <f>IF(B$3=0,0,B17/B$3)</f>
        <v>0.28378378378378377</v>
      </c>
      <c r="E17" s="63" t="s">
        <v>92</v>
      </c>
      <c r="F17" s="60" t="s">
        <v>47</v>
      </c>
      <c r="G17" s="47">
        <v>1</v>
      </c>
      <c r="H17" s="133">
        <f>IF(B$17=0,0,G17/B$17)</f>
        <v>1.5873015873015872E-2</v>
      </c>
      <c r="I17" s="94">
        <v>5</v>
      </c>
      <c r="K17" s="38">
        <v>15</v>
      </c>
      <c r="L17" s="99">
        <v>-264.59999999999997</v>
      </c>
      <c r="N17" s="115" t="s">
        <v>171</v>
      </c>
      <c r="O17" s="125">
        <f>IF(P17=0,0,Q17/P17)</f>
        <v>-14.874999999999998</v>
      </c>
      <c r="P17" s="119">
        <v>12</v>
      </c>
      <c r="Q17" s="107">
        <v>-178.49999999999997</v>
      </c>
    </row>
    <row r="18" spans="1:17" x14ac:dyDescent="0.4">
      <c r="A18" s="55" t="s">
        <v>12</v>
      </c>
      <c r="B18" s="47">
        <v>32</v>
      </c>
      <c r="C18" s="39">
        <f>IF(B$17=0,0,B18/B$17)</f>
        <v>0.50793650793650791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-292.79999999999995</v>
      </c>
      <c r="N18" s="115" t="s">
        <v>177</v>
      </c>
      <c r="O18" s="125">
        <f>IF(P18=0,0,Q18/P18)</f>
        <v>-17.950000000000003</v>
      </c>
      <c r="P18" s="119">
        <v>2</v>
      </c>
      <c r="Q18" s="107">
        <v>-35.900000000000006</v>
      </c>
    </row>
    <row r="19" spans="1:17" x14ac:dyDescent="0.4">
      <c r="A19" s="55" t="s">
        <v>11</v>
      </c>
      <c r="B19" s="47">
        <v>31</v>
      </c>
      <c r="C19" s="39">
        <f>IF(B$17=0,0,B19/B$17)</f>
        <v>0.49206349206349204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-248.89999999999995</v>
      </c>
      <c r="N19" s="115" t="s">
        <v>172</v>
      </c>
      <c r="O19" s="125">
        <f>IF(P19=0,0,Q19/P19)</f>
        <v>-40.616666666666667</v>
      </c>
      <c r="P19" s="119">
        <v>6</v>
      </c>
      <c r="Q19" s="107">
        <v>-243.7</v>
      </c>
    </row>
    <row r="20" spans="1:17" x14ac:dyDescent="0.4">
      <c r="A20" s="55" t="s">
        <v>13</v>
      </c>
      <c r="B20" s="47">
        <v>49</v>
      </c>
      <c r="C20" s="39">
        <f>IF(B$3=0,0,B20/B$3)</f>
        <v>0.22072072072072071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202</v>
      </c>
      <c r="O20" s="125">
        <f>IF(P20=0,0,Q20/P20)</f>
        <v>-43.1</v>
      </c>
      <c r="P20" s="119">
        <v>1</v>
      </c>
      <c r="Q20" s="107">
        <v>-43.1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-188.59999999999994</v>
      </c>
      <c r="N21" s="115" t="s">
        <v>185</v>
      </c>
      <c r="O21" s="125">
        <f>IF(P21=0,0,Q21/P21)</f>
        <v>-45.5</v>
      </c>
      <c r="P21" s="119">
        <v>1</v>
      </c>
      <c r="Q21" s="107">
        <v>-45.5</v>
      </c>
    </row>
    <row r="22" spans="1:17" x14ac:dyDescent="0.4">
      <c r="A22" s="55" t="s">
        <v>194</v>
      </c>
      <c r="B22" s="47">
        <v>14</v>
      </c>
      <c r="C22" s="135">
        <v>0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127</v>
      </c>
      <c r="O22" s="125">
        <f>IF(P22=0,0,Q22/P22)</f>
        <v>-49.409999999999989</v>
      </c>
      <c r="P22" s="119">
        <v>10</v>
      </c>
      <c r="Q22" s="107">
        <v>-494.09999999999991</v>
      </c>
    </row>
    <row r="23" spans="1:17" x14ac:dyDescent="0.4">
      <c r="A23" s="55" t="s">
        <v>5</v>
      </c>
      <c r="B23" s="51">
        <f>IF(B$17=0,0,C23/B$17)</f>
        <v>6344.4444444444443</v>
      </c>
      <c r="C23" s="41">
        <v>399700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-8295.9183673469379</v>
      </c>
      <c r="C24" s="45">
        <v>-406500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58900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4.5045045045045045E-3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6048-F477-4A35-82CB-520BE6AA0359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17</v>
      </c>
      <c r="C2" s="147"/>
      <c r="E2" s="62" t="s">
        <v>73</v>
      </c>
      <c r="F2" s="59" t="s">
        <v>28</v>
      </c>
      <c r="G2" s="46">
        <v>24</v>
      </c>
      <c r="H2" s="132">
        <f>IF(B$17=0,0,G2/B$17)</f>
        <v>0.72727272727272729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-5794.1176470588234</v>
      </c>
      <c r="P2" s="118">
        <v>17</v>
      </c>
      <c r="Q2" s="102">
        <v>-98500</v>
      </c>
    </row>
    <row r="3" spans="1:17" x14ac:dyDescent="0.4">
      <c r="A3" s="55" t="s">
        <v>8</v>
      </c>
      <c r="B3" s="148">
        <v>131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0.69696969696969702</v>
      </c>
      <c r="I3" s="94">
        <v>9</v>
      </c>
      <c r="K3" s="38">
        <v>1</v>
      </c>
      <c r="L3" s="99">
        <v>-1.9</v>
      </c>
      <c r="N3" s="115" t="s">
        <v>133</v>
      </c>
      <c r="O3" s="122">
        <f t="shared" si="0"/>
        <v>-1168.75</v>
      </c>
      <c r="P3" s="119">
        <v>16</v>
      </c>
      <c r="Q3" s="103">
        <v>-18700</v>
      </c>
    </row>
    <row r="4" spans="1:17" x14ac:dyDescent="0.4">
      <c r="A4" s="55" t="s">
        <v>6</v>
      </c>
      <c r="B4" s="150">
        <v>-161.19999999999999</v>
      </c>
      <c r="C4" s="151"/>
      <c r="E4" s="63" t="s">
        <v>65</v>
      </c>
      <c r="F4" s="60" t="s">
        <v>21</v>
      </c>
      <c r="G4" s="47">
        <v>13</v>
      </c>
      <c r="H4" s="133">
        <f>IF(B$17=0,0,G4/B$17)</f>
        <v>0.39393939393939392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421.42857142857144</v>
      </c>
      <c r="P4" s="119">
        <v>14</v>
      </c>
      <c r="Q4" s="103">
        <v>5900</v>
      </c>
    </row>
    <row r="5" spans="1:17" x14ac:dyDescent="0.4">
      <c r="A5" s="55" t="s">
        <v>7</v>
      </c>
      <c r="B5" s="152">
        <f>IF(B$2=0,0,B$4/B$2)</f>
        <v>-9.4823529411764707</v>
      </c>
      <c r="C5" s="153"/>
      <c r="E5" s="63" t="s">
        <v>181</v>
      </c>
      <c r="F5" s="60" t="s">
        <v>182</v>
      </c>
      <c r="G5" s="47">
        <v>11</v>
      </c>
      <c r="H5" s="133">
        <f>IF(B$17=0,0,G5/B$17)</f>
        <v>0.33333333333333331</v>
      </c>
      <c r="I5" s="94">
        <v>8</v>
      </c>
      <c r="K5" s="38">
        <v>3</v>
      </c>
      <c r="L5" s="99">
        <v>-10</v>
      </c>
      <c r="N5" s="115" t="s">
        <v>135</v>
      </c>
      <c r="O5" s="122">
        <f t="shared" si="0"/>
        <v>26.666666666666668</v>
      </c>
      <c r="P5" s="119">
        <v>15</v>
      </c>
      <c r="Q5" s="103">
        <v>400</v>
      </c>
    </row>
    <row r="6" spans="1:17" x14ac:dyDescent="0.4">
      <c r="A6" s="55" t="s">
        <v>1</v>
      </c>
      <c r="B6" s="142">
        <f>IF(B$2=0,0,(B$7*1+B$8*2+B$9*3)/B$2)</f>
        <v>2.1176470588235294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0.15151515151515152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0"/>
        <v>-414.28571428571428</v>
      </c>
      <c r="P6" s="119">
        <v>14</v>
      </c>
      <c r="Q6" s="103">
        <v>-5800</v>
      </c>
    </row>
    <row r="7" spans="1:17" x14ac:dyDescent="0.4">
      <c r="A7" s="55" t="s">
        <v>2</v>
      </c>
      <c r="B7" s="47">
        <v>5</v>
      </c>
      <c r="C7" s="39">
        <f>IF(B$2=0,0,B7/B$2)</f>
        <v>0.29411764705882354</v>
      </c>
      <c r="E7" s="63" t="s">
        <v>70</v>
      </c>
      <c r="F7" s="60" t="s">
        <v>25</v>
      </c>
      <c r="G7" s="47">
        <v>5</v>
      </c>
      <c r="H7" s="133">
        <f>IF(B$17=0,0,G7/B$17)</f>
        <v>0.15151515151515152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2130.7692307692309</v>
      </c>
      <c r="P7" s="120">
        <v>13</v>
      </c>
      <c r="Q7" s="104">
        <v>27700</v>
      </c>
    </row>
    <row r="8" spans="1:17" x14ac:dyDescent="0.4">
      <c r="A8" s="55" t="s">
        <v>3</v>
      </c>
      <c r="B8" s="47">
        <v>5</v>
      </c>
      <c r="C8" s="39">
        <f>IF(B$2=0,0,B8/B$2)</f>
        <v>0.29411764705882354</v>
      </c>
      <c r="E8" s="63" t="s">
        <v>66</v>
      </c>
      <c r="F8" s="60" t="s">
        <v>22</v>
      </c>
      <c r="G8" s="47">
        <v>4</v>
      </c>
      <c r="H8" s="133">
        <f>IF(B$17=0,0,G8/B$17)</f>
        <v>0.12121212121212122</v>
      </c>
      <c r="I8" s="94">
        <v>5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0.41176470588235292</v>
      </c>
      <c r="E9" s="63" t="s">
        <v>68</v>
      </c>
      <c r="F9" s="60" t="s">
        <v>24</v>
      </c>
      <c r="G9" s="47">
        <v>4</v>
      </c>
      <c r="H9" s="133">
        <f>IF(B$17=0,0,G9/B$17)</f>
        <v>0.12121212121212122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0.17647058823529413</v>
      </c>
      <c r="E10" s="63" t="s">
        <v>90</v>
      </c>
      <c r="F10" s="60" t="s">
        <v>45</v>
      </c>
      <c r="G10" s="47">
        <v>4</v>
      </c>
      <c r="H10" s="133">
        <f>IF(B$17=0,0,G10/B$17)</f>
        <v>0.12121212121212122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2</v>
      </c>
      <c r="H11" s="133">
        <f>IF(B$17=0,0,G11/B$17)</f>
        <v>6.0606060606060608E-2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-24.366666666666664</v>
      </c>
      <c r="P11" s="119">
        <v>6</v>
      </c>
      <c r="Q11" s="107">
        <v>-146.19999999999999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0.11764705882352941</v>
      </c>
      <c r="E12" s="63" t="s">
        <v>92</v>
      </c>
      <c r="F12" s="60" t="s">
        <v>47</v>
      </c>
      <c r="G12" s="47">
        <v>2</v>
      </c>
      <c r="H12" s="133">
        <f>IF(B$17=0,0,G12/B$17)</f>
        <v>6.0606060606060608E-2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1.225000000000001</v>
      </c>
      <c r="P12" s="120">
        <v>8</v>
      </c>
      <c r="Q12" s="108">
        <v>9.8000000000000078</v>
      </c>
    </row>
    <row r="13" spans="1:17" x14ac:dyDescent="0.4">
      <c r="A13" s="58" t="s">
        <v>122</v>
      </c>
      <c r="B13" s="50">
        <v>23</v>
      </c>
      <c r="C13" s="44">
        <f>IF(B$3=0,0,B13/B$3)</f>
        <v>0.17557251908396945</v>
      </c>
      <c r="E13" s="63" t="s">
        <v>71</v>
      </c>
      <c r="F13" s="60" t="s">
        <v>26</v>
      </c>
      <c r="G13" s="47">
        <v>1</v>
      </c>
      <c r="H13" s="133">
        <f>IF(B$17=0,0,G13/B$17)</f>
        <v>3.0303030303030304E-2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36</v>
      </c>
      <c r="C14" s="39">
        <f>IF(B$3=0,0,B14/B$3)</f>
        <v>0.27480916030534353</v>
      </c>
      <c r="E14" s="63" t="s">
        <v>72</v>
      </c>
      <c r="F14" s="60" t="s">
        <v>27</v>
      </c>
      <c r="G14" s="47">
        <v>1</v>
      </c>
      <c r="H14" s="133">
        <f>IF(B$17=0,0,G14/B$17)</f>
        <v>3.0303030303030304E-2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0.52173913043478259</v>
      </c>
      <c r="E15" s="63" t="s">
        <v>76</v>
      </c>
      <c r="F15" s="60" t="s">
        <v>31</v>
      </c>
      <c r="G15" s="47">
        <v>1</v>
      </c>
      <c r="H15" s="133">
        <f>IF(B$17=0,0,G15/B$17)</f>
        <v>3.0303030303030304E-2</v>
      </c>
      <c r="I15" s="94">
        <v>1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14</v>
      </c>
      <c r="C16" s="37">
        <f>IF(B$14=0,0,B16/B$14)</f>
        <v>0.3888888888888889</v>
      </c>
      <c r="E16" s="63" t="s">
        <v>86</v>
      </c>
      <c r="F16" s="60" t="s">
        <v>41</v>
      </c>
      <c r="G16" s="47">
        <v>1</v>
      </c>
      <c r="H16" s="133">
        <f>IF(B$17=0,0,G16/B$17)</f>
        <v>3.0303030303030304E-2</v>
      </c>
      <c r="I16" s="94">
        <v>1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33</v>
      </c>
      <c r="C17" s="37">
        <f>IF(B$3=0,0,B17/B$3)</f>
        <v>0.25190839694656486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13</v>
      </c>
      <c r="C18" s="39">
        <f>IF(B$17=0,0,B18/B$17)</f>
        <v>0.39393939393939392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-153.29999999999998</v>
      </c>
      <c r="N18" s="115" t="s">
        <v>128</v>
      </c>
      <c r="O18" s="125">
        <f>IF(P18=0,0,Q18/P18)</f>
        <v>-8.1666666666666661</v>
      </c>
      <c r="P18" s="119">
        <v>12</v>
      </c>
      <c r="Q18" s="107">
        <v>-98</v>
      </c>
    </row>
    <row r="19" spans="1:17" x14ac:dyDescent="0.4">
      <c r="A19" s="55" t="s">
        <v>11</v>
      </c>
      <c r="B19" s="47">
        <v>20</v>
      </c>
      <c r="C19" s="39">
        <f>IF(B$17=0,0,B19/B$17)</f>
        <v>0.60606060606060608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-161.19999999999999</v>
      </c>
      <c r="N19" s="115" t="s">
        <v>172</v>
      </c>
      <c r="O19" s="125">
        <f>IF(P19=0,0,Q19/P19)</f>
        <v>-13.333333333333337</v>
      </c>
      <c r="P19" s="119">
        <v>3</v>
      </c>
      <c r="Q19" s="107">
        <v>-40.000000000000014</v>
      </c>
    </row>
    <row r="20" spans="1:17" x14ac:dyDescent="0.4">
      <c r="A20" s="55" t="s">
        <v>13</v>
      </c>
      <c r="B20" s="47">
        <v>27</v>
      </c>
      <c r="C20" s="39">
        <f>IF(B$3=0,0,B20/B$3)</f>
        <v>0.20610687022900764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129</v>
      </c>
      <c r="O20" s="125">
        <f>IF(P20=0,0,Q20/P20)</f>
        <v>-29.700000000000003</v>
      </c>
      <c r="P20" s="119">
        <v>1</v>
      </c>
      <c r="Q20" s="107">
        <v>-29.700000000000003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8</v>
      </c>
      <c r="N21" s="115" t="s">
        <v>127</v>
      </c>
      <c r="O21" s="125">
        <f>IF(P21=0,0,Q21/P21)</f>
        <v>-40.066666666666677</v>
      </c>
      <c r="P21" s="119">
        <v>9</v>
      </c>
      <c r="Q21" s="107">
        <v>-360.60000000000008</v>
      </c>
    </row>
    <row r="22" spans="1:17" x14ac:dyDescent="0.4">
      <c r="A22" s="55" t="s">
        <v>194</v>
      </c>
      <c r="B22" s="47">
        <v>16</v>
      </c>
      <c r="C22" s="135">
        <v>3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N22" s="115" t="s">
        <v>185</v>
      </c>
      <c r="O22" s="125">
        <f>IF(P22=0,0,Q22/P22)</f>
        <v>-45.699999999999996</v>
      </c>
      <c r="P22" s="119">
        <v>3</v>
      </c>
      <c r="Q22" s="107">
        <v>-137.1</v>
      </c>
    </row>
    <row r="23" spans="1:17" x14ac:dyDescent="0.4">
      <c r="A23" s="55" t="s">
        <v>5</v>
      </c>
      <c r="B23" s="51">
        <f>IF(B$17=0,0,C23/B$17)</f>
        <v>7036.363636363636</v>
      </c>
      <c r="C23" s="41">
        <v>232200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-7029.6296296296296</v>
      </c>
      <c r="C24" s="45">
        <v>-189800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7.6335877862595417E-3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D03F-BF2A-4712-9B61-2DB9613197BE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6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4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8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A6B0-05E4-4CF0-9DE9-E31725DB4109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67</v>
      </c>
      <c r="F2" s="59" t="s">
        <v>23</v>
      </c>
      <c r="G2" s="46">
        <v>10</v>
      </c>
      <c r="H2" s="132">
        <f>IF(B$17=0,0,G2/B$17)</f>
        <v>0.83333333333333337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-3742.8571428571427</v>
      </c>
      <c r="P2" s="118">
        <v>7</v>
      </c>
      <c r="Q2" s="102">
        <v>-26200</v>
      </c>
    </row>
    <row r="3" spans="1:17" x14ac:dyDescent="0.4">
      <c r="A3" s="55" t="s">
        <v>8</v>
      </c>
      <c r="B3" s="148">
        <v>57</v>
      </c>
      <c r="C3" s="149"/>
      <c r="E3" s="63" t="s">
        <v>73</v>
      </c>
      <c r="F3" s="60" t="s">
        <v>28</v>
      </c>
      <c r="G3" s="47">
        <v>10</v>
      </c>
      <c r="H3" s="133">
        <f>IF(B$17=0,0,G3/B$17)</f>
        <v>0.83333333333333337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-4085.7142857142858</v>
      </c>
      <c r="P3" s="119">
        <v>7</v>
      </c>
      <c r="Q3" s="103">
        <v>-28600</v>
      </c>
    </row>
    <row r="4" spans="1:17" x14ac:dyDescent="0.4">
      <c r="A4" s="55" t="s">
        <v>6</v>
      </c>
      <c r="B4" s="150">
        <v>-218.2</v>
      </c>
      <c r="C4" s="151"/>
      <c r="E4" s="63" t="s">
        <v>65</v>
      </c>
      <c r="F4" s="60" t="s">
        <v>21</v>
      </c>
      <c r="G4" s="47">
        <v>5</v>
      </c>
      <c r="H4" s="133">
        <f>IF(B$17=0,0,G4/B$17)</f>
        <v>0.41666666666666669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128.57142857142858</v>
      </c>
      <c r="P4" s="119">
        <v>7</v>
      </c>
      <c r="Q4" s="103">
        <v>900</v>
      </c>
    </row>
    <row r="5" spans="1:17" x14ac:dyDescent="0.4">
      <c r="A5" s="55" t="s">
        <v>7</v>
      </c>
      <c r="B5" s="152">
        <f>IF(B$2=0,0,B$4/B$2)</f>
        <v>-31.171428571428571</v>
      </c>
      <c r="C5" s="153"/>
      <c r="E5" s="63" t="s">
        <v>181</v>
      </c>
      <c r="F5" s="60" t="s">
        <v>182</v>
      </c>
      <c r="G5" s="47">
        <v>4</v>
      </c>
      <c r="H5" s="133">
        <f>IF(B$17=0,0,G5/B$17)</f>
        <v>0.33333333333333331</v>
      </c>
      <c r="I5" s="94">
        <v>8</v>
      </c>
      <c r="K5" s="38">
        <v>3</v>
      </c>
      <c r="L5" s="99">
        <v>-78.400000000000006</v>
      </c>
      <c r="N5" s="115" t="s">
        <v>135</v>
      </c>
      <c r="O5" s="122">
        <f t="shared" si="0"/>
        <v>-7000</v>
      </c>
      <c r="P5" s="119">
        <v>6</v>
      </c>
      <c r="Q5" s="103">
        <v>-42000</v>
      </c>
    </row>
    <row r="6" spans="1:17" x14ac:dyDescent="0.4">
      <c r="A6" s="55" t="s">
        <v>1</v>
      </c>
      <c r="B6" s="142">
        <f>IF(B$2=0,0,(B$7*1+B$8*2+B$9*3)/B$2)</f>
        <v>2.5714285714285716</v>
      </c>
      <c r="C6" s="143"/>
      <c r="E6" s="63" t="s">
        <v>90</v>
      </c>
      <c r="F6" s="60" t="s">
        <v>45</v>
      </c>
      <c r="G6" s="47">
        <v>3</v>
      </c>
      <c r="H6" s="133">
        <f>IF(B$17=0,0,G6/B$17)</f>
        <v>0.25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-2950</v>
      </c>
      <c r="P6" s="119">
        <v>6</v>
      </c>
      <c r="Q6" s="103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3">
        <f>IF(B$17=0,0,G7/B$17)</f>
        <v>0.16666666666666666</v>
      </c>
      <c r="I7" s="94">
        <v>10</v>
      </c>
      <c r="K7" s="38">
        <v>5</v>
      </c>
      <c r="L7" s="99">
        <v>-121</v>
      </c>
      <c r="N7" s="116" t="s">
        <v>137</v>
      </c>
      <c r="O7" s="123">
        <f t="shared" si="0"/>
        <v>-4100</v>
      </c>
      <c r="P7" s="120">
        <v>6</v>
      </c>
      <c r="Q7" s="104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3">
        <f>IF(B$17=0,0,G8/B$17)</f>
        <v>0.16666666666666666</v>
      </c>
      <c r="I8" s="94">
        <v>8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3">
        <f>IF(B$17=0,0,G9/B$17)</f>
        <v>8.3333333333333329E-2</v>
      </c>
      <c r="I9" s="94">
        <v>6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3">
        <f>IF(B$17=0,0,G10/B$17)</f>
        <v>8.3333333333333329E-2</v>
      </c>
      <c r="I10" s="94">
        <v>1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3">
        <f>IF(B$17=0,0,G11/B$17)</f>
        <v>8.3333333333333329E-2</v>
      </c>
      <c r="I11" s="94">
        <v>1</v>
      </c>
      <c r="N11" s="115" t="s">
        <v>165</v>
      </c>
      <c r="O11" s="125">
        <f>IF(P11=0,0,Q11/P11)</f>
        <v>-39.033333333333339</v>
      </c>
      <c r="P11" s="119">
        <v>3</v>
      </c>
      <c r="Q11" s="107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3">
        <f>IF(B$17=0,0,G13/B$17)</f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127</v>
      </c>
      <c r="O17" s="125">
        <f>IF(P17=0,0,Q17/P17)</f>
        <v>-56.8</v>
      </c>
      <c r="P17" s="119">
        <v>4</v>
      </c>
      <c r="Q17" s="107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>IF(P18=0,0,Q18/P18)</f>
        <v>-60.800000000000004</v>
      </c>
      <c r="P18" s="119">
        <v>2</v>
      </c>
      <c r="Q18" s="107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  <c r="N19" s="115" t="s">
        <v>128</v>
      </c>
      <c r="O19" s="125">
        <f>IF(P19=0,0,Q19/P19)</f>
        <v>-64.424999999999997</v>
      </c>
      <c r="P19" s="119">
        <v>4</v>
      </c>
      <c r="Q19" s="107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8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6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43600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4CA3-E8AD-42C8-B1F7-E85D2D19DC6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3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C06C-F6B1-4408-B78C-98E0FA7A30E7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1849-9C80-4C49-A5FF-CB4E8C0E271E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5205-B04A-4346-9B15-95D4663AD9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08B5-7DE7-4BCD-A0B9-DEE0293F913F}">
  <sheetPr codeName="Sheet20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52799-FB6F-4282-96EA-D744AAC8D56A}">
  <sheetPr codeName="Sheet18"/>
  <dimension ref="A1:Q2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D9C8-82D5-46F6-BA49-BB5C118D33E2}">
  <sheetPr codeName="Sheet16"/>
  <dimension ref="A1:Q3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4E43-3195-4878-A523-F23FC291FF83}">
  <sheetPr codeName="Sheet14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FC7F-9A79-4979-B59B-115D0EDA25D8}">
  <sheetPr codeName="Sheet12"/>
  <dimension ref="A1:Q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F85A-E00F-4FE3-9F31-1CE446517B48}">
  <sheetPr codeName="Sheet10"/>
  <dimension ref="A1:Q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7DDB-B7FA-4789-92CD-BFCA376B0F87}">
  <sheetPr codeName="Sheet8"/>
  <dimension ref="A1:Q7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8F4C-17A9-4C3F-9171-AB6A25CF1137}">
  <sheetPr codeName="Sheet6"/>
  <dimension ref="A1:Q10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2019-04-24T16:19:42Z</dcterms:modified>
</cp:coreProperties>
</file>