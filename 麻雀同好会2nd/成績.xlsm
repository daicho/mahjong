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CE35A2B5-D6A5-49F8-A246-E4BB3267E76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75" r:id="rId6"/>
    <sheet name="だいち" sheetId="5377" r:id="rId7"/>
    <sheet name="りくと" sheetId="5379" r:id="rId8"/>
    <sheet name="ただ" sheetId="5381" r:id="rId9"/>
    <sheet name="れんたろう" sheetId="5383" r:id="rId10"/>
    <sheet name="たかの" sheetId="5385" r:id="rId11"/>
    <sheet name="ぱぱ" sheetId="5387" r:id="rId12"/>
    <sheet name="まっつん" sheetId="5389" r:id="rId13"/>
    <sheet name="あさひ" sheetId="5391" r:id="rId14"/>
    <sheet name="いっしー" sheetId="5393" r:id="rId15"/>
    <sheet name="ほたに" sheetId="5395" r:id="rId16"/>
    <sheet name="かわたつ" sheetId="5397" r:id="rId17"/>
    <sheet name="やがさき" sheetId="5399" r:id="rId18"/>
    <sheet name="やがさき2" sheetId="5400" state="hidden" r:id="rId19"/>
    <sheet name="かわたつ2" sheetId="5398" state="hidden" r:id="rId20"/>
    <sheet name="ほたに2" sheetId="5396" state="hidden" r:id="rId21"/>
    <sheet name="いっしー2" sheetId="5394" state="hidden" r:id="rId22"/>
    <sheet name="あさひ2" sheetId="5392" state="hidden" r:id="rId23"/>
    <sheet name="まっつん2" sheetId="5390" state="hidden" r:id="rId24"/>
    <sheet name="ぱぱ2" sheetId="5388" state="hidden" r:id="rId25"/>
    <sheet name="たかの2" sheetId="5386" state="hidden" r:id="rId26"/>
    <sheet name="れんたろう2" sheetId="5384" state="hidden" r:id="rId27"/>
    <sheet name="ただ2" sheetId="5382" state="hidden" r:id="rId28"/>
    <sheet name="りくと2" sheetId="5380" state="hidden" r:id="rId29"/>
    <sheet name="だいち2" sheetId="5378" state="hidden" r:id="rId30"/>
    <sheet name="全体2" sheetId="537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81" l="1"/>
  <c r="O16" i="5385"/>
  <c r="O15" i="5375"/>
  <c r="O16" i="5399"/>
  <c r="O15" i="5399"/>
  <c r="C27" i="5399"/>
  <c r="B24" i="5399"/>
  <c r="C20" i="5399"/>
  <c r="B17" i="5399"/>
  <c r="H48" i="5399" s="1"/>
  <c r="C16" i="5399"/>
  <c r="C15" i="5399"/>
  <c r="C14" i="5399"/>
  <c r="C13" i="5399"/>
  <c r="O12" i="5399"/>
  <c r="C12" i="5399"/>
  <c r="O11" i="5399"/>
  <c r="C11" i="5399"/>
  <c r="O10" i="5399"/>
  <c r="C10" i="5399"/>
  <c r="C9" i="5399"/>
  <c r="C8" i="5399"/>
  <c r="O7" i="5399"/>
  <c r="C7" i="5399"/>
  <c r="O6" i="5399"/>
  <c r="B6" i="5399"/>
  <c r="O5" i="5399"/>
  <c r="B5" i="5399"/>
  <c r="O4" i="5399"/>
  <c r="O3" i="5399"/>
  <c r="O2" i="5399"/>
  <c r="O15" i="5397"/>
  <c r="O16" i="5397"/>
  <c r="H34" i="5397"/>
  <c r="C27" i="5397"/>
  <c r="B24" i="5397"/>
  <c r="B23" i="5397"/>
  <c r="C20" i="5397"/>
  <c r="B17" i="5397"/>
  <c r="H49" i="5397" s="1"/>
  <c r="H16" i="5397"/>
  <c r="C16" i="5397"/>
  <c r="C15" i="5397"/>
  <c r="C14" i="5397"/>
  <c r="C13" i="5397"/>
  <c r="O12" i="5397"/>
  <c r="H12" i="5397"/>
  <c r="C12" i="5397"/>
  <c r="O11" i="5397"/>
  <c r="C11" i="5397"/>
  <c r="O10" i="5397"/>
  <c r="C10" i="5397"/>
  <c r="H9" i="5397"/>
  <c r="C9" i="5397"/>
  <c r="C8" i="5397"/>
  <c r="O7" i="5397"/>
  <c r="C7" i="5397"/>
  <c r="O6" i="5397"/>
  <c r="B6" i="5397"/>
  <c r="O5" i="5397"/>
  <c r="B5" i="5397"/>
  <c r="O4" i="5397"/>
  <c r="O3" i="5397"/>
  <c r="O2" i="5397"/>
  <c r="H2" i="5397"/>
  <c r="O23" i="5383"/>
  <c r="O18" i="5377"/>
  <c r="O25" i="5375"/>
  <c r="H10" i="5399" l="1"/>
  <c r="H2" i="5399"/>
  <c r="H4" i="5399"/>
  <c r="C17" i="5399"/>
  <c r="H8" i="5399"/>
  <c r="H20" i="5399"/>
  <c r="H26" i="5399"/>
  <c r="H33" i="5399"/>
  <c r="H41" i="5399"/>
  <c r="H49" i="5399"/>
  <c r="H7" i="5399"/>
  <c r="H13" i="5399"/>
  <c r="H21" i="5399"/>
  <c r="H34" i="5399"/>
  <c r="H42" i="5399"/>
  <c r="H50" i="5399"/>
  <c r="H17" i="5399"/>
  <c r="H22" i="5399"/>
  <c r="H27" i="5399"/>
  <c r="H35" i="5399"/>
  <c r="H43" i="5399"/>
  <c r="H51" i="5399"/>
  <c r="H5" i="5399"/>
  <c r="H11" i="5399"/>
  <c r="H14" i="5399"/>
  <c r="C18" i="5399"/>
  <c r="B23" i="5399"/>
  <c r="H28" i="5399"/>
  <c r="H36" i="5399"/>
  <c r="H44" i="5399"/>
  <c r="H18" i="5399"/>
  <c r="H23" i="5399"/>
  <c r="H29" i="5399"/>
  <c r="H37" i="5399"/>
  <c r="H45" i="5399"/>
  <c r="H15" i="5399"/>
  <c r="C19" i="5399"/>
  <c r="H30" i="5399"/>
  <c r="H38" i="5399"/>
  <c r="H46" i="5399"/>
  <c r="H3" i="5399"/>
  <c r="H6" i="5399"/>
  <c r="H9" i="5399"/>
  <c r="H12" i="5399"/>
  <c r="H19" i="5399"/>
  <c r="H24" i="5399"/>
  <c r="H31" i="5399"/>
  <c r="H39" i="5399"/>
  <c r="H47" i="5399"/>
  <c r="H16" i="5399"/>
  <c r="H25" i="5399"/>
  <c r="H32" i="5399"/>
  <c r="H40" i="5399"/>
  <c r="H23" i="5397"/>
  <c r="H3" i="5397"/>
  <c r="H17" i="5397"/>
  <c r="C18" i="5397"/>
  <c r="C19" i="5397"/>
  <c r="H35" i="5397"/>
  <c r="H6" i="5397"/>
  <c r="H24" i="5397"/>
  <c r="H14" i="5397"/>
  <c r="H43" i="5397"/>
  <c r="H45" i="5397"/>
  <c r="H36" i="5397"/>
  <c r="H42" i="5397"/>
  <c r="H4" i="5397"/>
  <c r="H18" i="5397"/>
  <c r="H11" i="5397"/>
  <c r="H27" i="5397"/>
  <c r="H44" i="5397"/>
  <c r="H15" i="5397"/>
  <c r="H19" i="5397"/>
  <c r="H30" i="5397"/>
  <c r="H5" i="5397"/>
  <c r="H8" i="5397"/>
  <c r="H31" i="5397"/>
  <c r="H46" i="5397"/>
  <c r="H37" i="5397"/>
  <c r="H47" i="5397"/>
  <c r="H21" i="5397"/>
  <c r="H28" i="5397"/>
  <c r="H38" i="5397"/>
  <c r="H50" i="5397"/>
  <c r="H10" i="5397"/>
  <c r="H7" i="5397"/>
  <c r="H13" i="5397"/>
  <c r="C17" i="5397"/>
  <c r="H22" i="5397"/>
  <c r="H29" i="5397"/>
  <c r="H39" i="5397"/>
  <c r="H51" i="5397"/>
  <c r="H25" i="5397"/>
  <c r="H32" i="5397"/>
  <c r="H40" i="5397"/>
  <c r="H48" i="5397"/>
  <c r="H20" i="5397"/>
  <c r="H26" i="5397"/>
  <c r="H33" i="5397"/>
  <c r="H41" i="5397"/>
  <c r="O17" i="5385" l="1"/>
  <c r="O16" i="5393"/>
  <c r="O20" i="5395" l="1"/>
  <c r="O18" i="5395"/>
  <c r="O15" i="5389"/>
  <c r="O20" i="5379"/>
  <c r="O24" i="5377" l="1"/>
  <c r="O16" i="5395"/>
  <c r="O21" i="5387"/>
  <c r="O15" i="5395"/>
  <c r="O17" i="5395" l="1"/>
  <c r="O19" i="5395"/>
  <c r="C27" i="5395"/>
  <c r="B24" i="5395"/>
  <c r="C20" i="5395"/>
  <c r="B17" i="5395"/>
  <c r="H49" i="5395" s="1"/>
  <c r="C16" i="5395"/>
  <c r="C15" i="5395"/>
  <c r="C14" i="5395"/>
  <c r="C13" i="5395"/>
  <c r="O12" i="5395"/>
  <c r="C12" i="5395"/>
  <c r="O11" i="5395"/>
  <c r="C11" i="5395"/>
  <c r="O10" i="5395"/>
  <c r="C10" i="5395"/>
  <c r="C9" i="5395"/>
  <c r="C8" i="5395"/>
  <c r="O7" i="5395"/>
  <c r="C7" i="5395"/>
  <c r="O6" i="5395"/>
  <c r="B6" i="5395"/>
  <c r="O5" i="5395"/>
  <c r="B5" i="5395"/>
  <c r="O4" i="5395"/>
  <c r="O3" i="5395"/>
  <c r="O2" i="5395"/>
  <c r="O21" i="5383"/>
  <c r="O18" i="5385"/>
  <c r="O19" i="5375"/>
  <c r="H2" i="5395" l="1"/>
  <c r="H24" i="5395"/>
  <c r="H6" i="5395"/>
  <c r="H3" i="5395"/>
  <c r="H43" i="5395"/>
  <c r="H18" i="5395"/>
  <c r="H46" i="5395"/>
  <c r="H37" i="5395"/>
  <c r="H17" i="5395"/>
  <c r="C18" i="5395"/>
  <c r="H44" i="5395"/>
  <c r="H45" i="5395"/>
  <c r="H34" i="5395"/>
  <c r="H9" i="5395"/>
  <c r="H42" i="5395"/>
  <c r="H14" i="5395"/>
  <c r="H27" i="5395"/>
  <c r="H11" i="5395"/>
  <c r="C19" i="5395"/>
  <c r="H30" i="5395"/>
  <c r="H15" i="5395"/>
  <c r="H19" i="5395"/>
  <c r="H31" i="5395"/>
  <c r="H5" i="5395"/>
  <c r="H8" i="5395"/>
  <c r="H12" i="5395"/>
  <c r="H16" i="5395"/>
  <c r="B23" i="5395"/>
  <c r="H36" i="5395"/>
  <c r="H23" i="5395"/>
  <c r="H35" i="5395"/>
  <c r="H47" i="5395"/>
  <c r="H4" i="5395"/>
  <c r="H10" i="5395"/>
  <c r="H21" i="5395"/>
  <c r="H38" i="5395"/>
  <c r="H50" i="5395"/>
  <c r="H28" i="5395"/>
  <c r="H7" i="5395"/>
  <c r="H13" i="5395"/>
  <c r="C17" i="5395"/>
  <c r="H22" i="5395"/>
  <c r="H29" i="5395"/>
  <c r="H39" i="5395"/>
  <c r="H51" i="5395"/>
  <c r="H25" i="5395"/>
  <c r="H32" i="5395"/>
  <c r="H40" i="5395"/>
  <c r="H48" i="5395"/>
  <c r="H20" i="5395"/>
  <c r="H26" i="5395"/>
  <c r="H33" i="5395"/>
  <c r="H41" i="5395"/>
  <c r="O20" i="5385" l="1"/>
  <c r="O16" i="5381"/>
  <c r="O21" i="5389"/>
  <c r="O20" i="5389"/>
  <c r="O21" i="5377" l="1"/>
  <c r="O17" i="5393"/>
  <c r="O20" i="5393" l="1"/>
  <c r="O15" i="5393"/>
  <c r="O16" i="5383"/>
  <c r="O22" i="5381"/>
  <c r="O17" i="5391" l="1"/>
  <c r="O22" i="5387"/>
  <c r="O15" i="5391"/>
  <c r="O21" i="5393"/>
  <c r="O15" i="5379"/>
  <c r="O17" i="5389"/>
  <c r="O17" i="5375"/>
  <c r="O19" i="5393"/>
  <c r="O18" i="5393"/>
  <c r="C27" i="5393"/>
  <c r="B24" i="5393"/>
  <c r="C20" i="5393"/>
  <c r="B17" i="5393"/>
  <c r="H49" i="5393" s="1"/>
  <c r="C16" i="5393"/>
  <c r="C15" i="5393"/>
  <c r="C14" i="5393"/>
  <c r="C13" i="5393"/>
  <c r="O12" i="5393"/>
  <c r="C12" i="5393"/>
  <c r="O11" i="5393"/>
  <c r="C11" i="5393"/>
  <c r="O10" i="5393"/>
  <c r="C10" i="5393"/>
  <c r="C9" i="5393"/>
  <c r="C8" i="5393"/>
  <c r="O7" i="5393"/>
  <c r="C7" i="5393"/>
  <c r="O6" i="5393"/>
  <c r="B6" i="5393"/>
  <c r="O5" i="5393"/>
  <c r="B5" i="5393"/>
  <c r="O4" i="5393"/>
  <c r="O3" i="5393"/>
  <c r="O2" i="5393"/>
  <c r="O16" i="5391"/>
  <c r="O18" i="5391"/>
  <c r="C27" i="5391"/>
  <c r="B24" i="5391"/>
  <c r="C20" i="5391"/>
  <c r="B17" i="5391"/>
  <c r="H50" i="5391" s="1"/>
  <c r="C16" i="5391"/>
  <c r="C15" i="5391"/>
  <c r="C14" i="5391"/>
  <c r="C13" i="5391"/>
  <c r="O12" i="5391"/>
  <c r="C12" i="5391"/>
  <c r="O11" i="5391"/>
  <c r="C11" i="5391"/>
  <c r="O10" i="5391"/>
  <c r="C10" i="5391"/>
  <c r="C9" i="5391"/>
  <c r="C8" i="5391"/>
  <c r="O7" i="5391"/>
  <c r="C7" i="5391"/>
  <c r="O6" i="5391"/>
  <c r="B6" i="5391"/>
  <c r="O5" i="5391"/>
  <c r="B5" i="5391"/>
  <c r="O4" i="5391"/>
  <c r="O3" i="5391"/>
  <c r="O2" i="5391"/>
  <c r="O22" i="5389"/>
  <c r="O23" i="5389"/>
  <c r="O15" i="5377"/>
  <c r="O17" i="5377"/>
  <c r="O26" i="5375"/>
  <c r="H35" i="5393" l="1"/>
  <c r="H27" i="5393"/>
  <c r="H34" i="5393"/>
  <c r="H10" i="5393"/>
  <c r="H6" i="5393"/>
  <c r="C17" i="5391"/>
  <c r="H8" i="5391"/>
  <c r="H3" i="5391"/>
  <c r="H10" i="5391"/>
  <c r="H2" i="5391"/>
  <c r="H4" i="5391"/>
  <c r="H16" i="5393"/>
  <c r="H3" i="5393"/>
  <c r="H25" i="5393"/>
  <c r="H43" i="5393"/>
  <c r="H12" i="5393"/>
  <c r="H19" i="5393"/>
  <c r="H9" i="5393"/>
  <c r="H44" i="5393"/>
  <c r="H4" i="5393"/>
  <c r="H21" i="5393"/>
  <c r="H7" i="5393"/>
  <c r="H46" i="5393"/>
  <c r="H36" i="5393"/>
  <c r="H13" i="5393"/>
  <c r="H22" i="5393"/>
  <c r="H29" i="5393"/>
  <c r="H5" i="5393"/>
  <c r="H14" i="5393"/>
  <c r="H23" i="5393"/>
  <c r="H30" i="5393"/>
  <c r="H39" i="5393"/>
  <c r="H48" i="5393"/>
  <c r="H45" i="5393"/>
  <c r="H28" i="5393"/>
  <c r="B23" i="5393"/>
  <c r="H47" i="5393"/>
  <c r="H11" i="5393"/>
  <c r="H2" i="5393"/>
  <c r="H8" i="5393"/>
  <c r="H18" i="5393"/>
  <c r="H31" i="5393"/>
  <c r="H40" i="5393"/>
  <c r="H50" i="5393"/>
  <c r="C17" i="5393"/>
  <c r="H37" i="5393"/>
  <c r="H17" i="5393"/>
  <c r="H38" i="5393"/>
  <c r="C18" i="5393"/>
  <c r="H15" i="5393"/>
  <c r="C19" i="5393"/>
  <c r="H24" i="5393"/>
  <c r="H32" i="5393"/>
  <c r="H42" i="5393"/>
  <c r="H51" i="5393"/>
  <c r="H20" i="5393"/>
  <c r="H26" i="5393"/>
  <c r="H33" i="5393"/>
  <c r="H41" i="5393"/>
  <c r="H17" i="5391"/>
  <c r="H22" i="5391"/>
  <c r="H27" i="5391"/>
  <c r="H35" i="5391"/>
  <c r="H43" i="5391"/>
  <c r="H51" i="5391"/>
  <c r="H5" i="5391"/>
  <c r="H11" i="5391"/>
  <c r="H14" i="5391"/>
  <c r="C18" i="5391"/>
  <c r="B23" i="5391"/>
  <c r="H28" i="5391"/>
  <c r="H36" i="5391"/>
  <c r="H44" i="5391"/>
  <c r="H18" i="5391"/>
  <c r="H23" i="5391"/>
  <c r="H29" i="5391"/>
  <c r="H37" i="5391"/>
  <c r="H45" i="5391"/>
  <c r="H15" i="5391"/>
  <c r="C19" i="5391"/>
  <c r="H30" i="5391"/>
  <c r="H38" i="5391"/>
  <c r="H46" i="5391"/>
  <c r="H6" i="5391"/>
  <c r="H9" i="5391"/>
  <c r="H12" i="5391"/>
  <c r="H19" i="5391"/>
  <c r="H24" i="5391"/>
  <c r="H31" i="5391"/>
  <c r="H39" i="5391"/>
  <c r="H47" i="5391"/>
  <c r="H16" i="5391"/>
  <c r="H25" i="5391"/>
  <c r="H32" i="5391"/>
  <c r="H40" i="5391"/>
  <c r="H48" i="5391"/>
  <c r="H20" i="5391"/>
  <c r="H26" i="5391"/>
  <c r="H33" i="5391"/>
  <c r="H41" i="5391"/>
  <c r="H49" i="5391"/>
  <c r="H7" i="5391"/>
  <c r="H13" i="5391"/>
  <c r="H21" i="5391"/>
  <c r="H34" i="5391"/>
  <c r="H42" i="5391"/>
  <c r="O19" i="5389" l="1"/>
  <c r="O17" i="5387"/>
  <c r="O16" i="5387"/>
  <c r="O17" i="5379"/>
  <c r="O19" i="5385" l="1"/>
  <c r="O17" i="5383"/>
  <c r="O18" i="5387"/>
  <c r="O19" i="5387"/>
  <c r="O15" i="5385" l="1"/>
  <c r="O15" i="5383"/>
  <c r="O21" i="5381"/>
  <c r="O19" i="5381"/>
  <c r="O16" i="5389"/>
  <c r="O18" i="5389"/>
  <c r="C27" i="5389"/>
  <c r="B24" i="5389"/>
  <c r="C20" i="5389"/>
  <c r="B17" i="5389"/>
  <c r="H49" i="5389" s="1"/>
  <c r="C16" i="5389"/>
  <c r="C15" i="5389"/>
  <c r="C14" i="5389"/>
  <c r="C13" i="5389"/>
  <c r="O12" i="5389"/>
  <c r="C12" i="5389"/>
  <c r="O11" i="5389"/>
  <c r="C11" i="5389"/>
  <c r="O10" i="5389"/>
  <c r="C10" i="5389"/>
  <c r="C9" i="5389"/>
  <c r="C8" i="5389"/>
  <c r="O7" i="5389"/>
  <c r="C7" i="5389"/>
  <c r="O6" i="5389"/>
  <c r="B6" i="5389"/>
  <c r="O5" i="5389"/>
  <c r="B5" i="5389"/>
  <c r="O4" i="5389"/>
  <c r="O3" i="5389"/>
  <c r="O2" i="5389"/>
  <c r="O22" i="5383"/>
  <c r="O21" i="5379"/>
  <c r="O22" i="5375"/>
  <c r="H16" i="5389" l="1"/>
  <c r="H39" i="5389"/>
  <c r="H27" i="5389"/>
  <c r="H42" i="5389"/>
  <c r="H17" i="5389"/>
  <c r="H29" i="5389"/>
  <c r="H10" i="5389"/>
  <c r="C17" i="5389"/>
  <c r="H31" i="5389"/>
  <c r="H5" i="5389"/>
  <c r="H11" i="5389"/>
  <c r="H23" i="5389"/>
  <c r="H8" i="5389"/>
  <c r="H35" i="5389"/>
  <c r="H47" i="5389"/>
  <c r="H4" i="5389"/>
  <c r="H21" i="5389"/>
  <c r="H13" i="5389"/>
  <c r="H43" i="5389"/>
  <c r="H44" i="5389"/>
  <c r="C18" i="5389"/>
  <c r="H45" i="5389"/>
  <c r="C19" i="5389"/>
  <c r="H24" i="5389"/>
  <c r="H36" i="5389"/>
  <c r="H50" i="5389"/>
  <c r="H28" i="5389"/>
  <c r="H7" i="5389"/>
  <c r="H22" i="5389"/>
  <c r="B23" i="5389"/>
  <c r="H14" i="5389"/>
  <c r="H34" i="5389"/>
  <c r="H2" i="5389"/>
  <c r="H18" i="5389"/>
  <c r="H15" i="5389"/>
  <c r="H3" i="5389"/>
  <c r="H6" i="5389"/>
  <c r="H9" i="5389"/>
  <c r="H12" i="5389"/>
  <c r="H19" i="5389"/>
  <c r="H37" i="5389"/>
  <c r="H51" i="5389"/>
  <c r="H30" i="5389"/>
  <c r="H38" i="5389"/>
  <c r="H46" i="5389"/>
  <c r="H25" i="5389"/>
  <c r="H32" i="5389"/>
  <c r="H40" i="5389"/>
  <c r="H48" i="5389"/>
  <c r="H20" i="5389"/>
  <c r="H26" i="5389"/>
  <c r="H33" i="5389"/>
  <c r="H41" i="5389"/>
  <c r="O18" i="5381" l="1"/>
  <c r="O20" i="5387"/>
  <c r="O15" i="5387"/>
  <c r="C27" i="5387"/>
  <c r="B24" i="5387"/>
  <c r="C20" i="5387"/>
  <c r="B17" i="5387"/>
  <c r="H49" i="5387" s="1"/>
  <c r="C16" i="5387"/>
  <c r="C15" i="5387"/>
  <c r="C14" i="5387"/>
  <c r="C13" i="5387"/>
  <c r="O12" i="5387"/>
  <c r="C12" i="5387"/>
  <c r="O11" i="5387"/>
  <c r="C11" i="5387"/>
  <c r="O10" i="5387"/>
  <c r="C10" i="5387"/>
  <c r="C9" i="5387"/>
  <c r="C8" i="5387"/>
  <c r="O7" i="5387"/>
  <c r="C7" i="5387"/>
  <c r="O6" i="5387"/>
  <c r="B6" i="5387"/>
  <c r="O5" i="5387"/>
  <c r="B5" i="5387"/>
  <c r="O4" i="5387"/>
  <c r="O3" i="5387"/>
  <c r="O2" i="5387"/>
  <c r="O20" i="5377"/>
  <c r="O18" i="5375"/>
  <c r="O21" i="5385"/>
  <c r="O19" i="5379"/>
  <c r="O18" i="5379"/>
  <c r="O19" i="5383"/>
  <c r="O22" i="5385"/>
  <c r="O23" i="5385"/>
  <c r="C27" i="5385"/>
  <c r="B24" i="5385"/>
  <c r="C20" i="5385"/>
  <c r="B17" i="5385"/>
  <c r="H50" i="5385" s="1"/>
  <c r="C16" i="5385"/>
  <c r="C15" i="5385"/>
  <c r="C14" i="5385"/>
  <c r="C13" i="5385"/>
  <c r="O12" i="5385"/>
  <c r="C12" i="5385"/>
  <c r="O11" i="5385"/>
  <c r="C11" i="5385"/>
  <c r="O10" i="5385"/>
  <c r="C10" i="5385"/>
  <c r="C9" i="5385"/>
  <c r="C8" i="5385"/>
  <c r="O7" i="5385"/>
  <c r="C7" i="5385"/>
  <c r="O6" i="5385"/>
  <c r="B6" i="5385"/>
  <c r="O5" i="5385"/>
  <c r="B5" i="5385"/>
  <c r="O4" i="5385"/>
  <c r="O3" i="5385"/>
  <c r="O2" i="5385"/>
  <c r="O20" i="5383"/>
  <c r="O18" i="5383"/>
  <c r="C27" i="5383"/>
  <c r="B24" i="5383"/>
  <c r="C20" i="5383"/>
  <c r="B17" i="5383"/>
  <c r="H20" i="5383" s="1"/>
  <c r="C16" i="5383"/>
  <c r="C15" i="5383"/>
  <c r="C14" i="5383"/>
  <c r="C13" i="5383"/>
  <c r="O12" i="5383"/>
  <c r="C12" i="5383"/>
  <c r="O11" i="5383"/>
  <c r="C11" i="5383"/>
  <c r="O10" i="5383"/>
  <c r="C10" i="5383"/>
  <c r="C9" i="5383"/>
  <c r="C8" i="5383"/>
  <c r="O7" i="5383"/>
  <c r="C7" i="5383"/>
  <c r="O6" i="5383"/>
  <c r="B6" i="5383"/>
  <c r="O5" i="5383"/>
  <c r="B5" i="5383"/>
  <c r="O4" i="5383"/>
  <c r="O3" i="5383"/>
  <c r="O2" i="5383"/>
  <c r="O19" i="5377"/>
  <c r="O23" i="5377"/>
  <c r="O21" i="5375"/>
  <c r="O23" i="5375"/>
  <c r="H43" i="5385" l="1"/>
  <c r="H30" i="5387"/>
  <c r="H8" i="5387"/>
  <c r="H16" i="5387"/>
  <c r="H19" i="5387"/>
  <c r="H5" i="5387"/>
  <c r="H31" i="5387"/>
  <c r="H43" i="5387"/>
  <c r="H2" i="5387"/>
  <c r="H45" i="5387"/>
  <c r="H15" i="5387"/>
  <c r="H12" i="5387"/>
  <c r="H9" i="5387"/>
  <c r="C19" i="5387"/>
  <c r="H44" i="5387"/>
  <c r="H11" i="5387"/>
  <c r="H27" i="5387"/>
  <c r="B23" i="5387"/>
  <c r="H3" i="5387"/>
  <c r="H23" i="5387"/>
  <c r="H10" i="5387"/>
  <c r="H36" i="5387"/>
  <c r="H46" i="5387"/>
  <c r="H6" i="5387"/>
  <c r="H47" i="5387"/>
  <c r="H17" i="5387"/>
  <c r="H4" i="5387"/>
  <c r="C18" i="5387"/>
  <c r="H24" i="5387"/>
  <c r="H37" i="5387"/>
  <c r="H34" i="5387"/>
  <c r="H35" i="5387"/>
  <c r="H14" i="5387"/>
  <c r="H18" i="5387"/>
  <c r="H42" i="5387"/>
  <c r="H40" i="5385"/>
  <c r="H10" i="5383"/>
  <c r="H2" i="5383"/>
  <c r="H4" i="5383"/>
  <c r="H7" i="5383"/>
  <c r="H21" i="5387"/>
  <c r="H28" i="5387"/>
  <c r="H38" i="5387"/>
  <c r="H50" i="5387"/>
  <c r="H7" i="5387"/>
  <c r="H13" i="5387"/>
  <c r="C17" i="5387"/>
  <c r="H22" i="5387"/>
  <c r="H29" i="5387"/>
  <c r="H39" i="5387"/>
  <c r="H51" i="5387"/>
  <c r="H25" i="5387"/>
  <c r="H32" i="5387"/>
  <c r="H40" i="5387"/>
  <c r="H48" i="5387"/>
  <c r="H20" i="5387"/>
  <c r="H26" i="5387"/>
  <c r="H33" i="5387"/>
  <c r="H41" i="5387"/>
  <c r="H17" i="5385"/>
  <c r="H44" i="5385"/>
  <c r="H9" i="5385"/>
  <c r="H30" i="5385"/>
  <c r="H3" i="5385"/>
  <c r="H14" i="5385"/>
  <c r="C19" i="5385"/>
  <c r="H32" i="5385"/>
  <c r="H5" i="5385"/>
  <c r="H8" i="5385"/>
  <c r="H24" i="5385"/>
  <c r="H25" i="5385"/>
  <c r="H2" i="5385"/>
  <c r="C18" i="5385"/>
  <c r="H45" i="5385"/>
  <c r="H6" i="5385"/>
  <c r="H18" i="5385"/>
  <c r="H31" i="5385"/>
  <c r="H11" i="5385"/>
  <c r="H15" i="5385"/>
  <c r="H23" i="5385"/>
  <c r="H35" i="5385"/>
  <c r="H12" i="5385"/>
  <c r="H19" i="5385"/>
  <c r="H36" i="5385"/>
  <c r="H46" i="5385"/>
  <c r="H16" i="5385"/>
  <c r="H27" i="5385"/>
  <c r="H37" i="5385"/>
  <c r="H47" i="5385"/>
  <c r="H48" i="5385"/>
  <c r="H4" i="5385"/>
  <c r="H10" i="5385"/>
  <c r="H22" i="5385"/>
  <c r="H28" i="5385"/>
  <c r="H38" i="5385"/>
  <c r="H7" i="5385"/>
  <c r="H13" i="5385"/>
  <c r="C17" i="5385"/>
  <c r="B23" i="5385"/>
  <c r="H29" i="5385"/>
  <c r="H39" i="5385"/>
  <c r="H51" i="5385"/>
  <c r="H20" i="5385"/>
  <c r="H26" i="5385"/>
  <c r="H33" i="5385"/>
  <c r="H41" i="5385"/>
  <c r="H49" i="5385"/>
  <c r="H21" i="5385"/>
  <c r="H34" i="5385"/>
  <c r="H42" i="5385"/>
  <c r="H11" i="5383"/>
  <c r="C17" i="5383"/>
  <c r="H26" i="5383"/>
  <c r="H3" i="5383"/>
  <c r="H13" i="5383"/>
  <c r="H19" i="5383"/>
  <c r="H21" i="5383"/>
  <c r="H9" i="5383"/>
  <c r="H37" i="5383"/>
  <c r="H45" i="5383"/>
  <c r="H5" i="5383"/>
  <c r="H6" i="5383"/>
  <c r="H23" i="5383"/>
  <c r="H27" i="5383"/>
  <c r="C18" i="5383"/>
  <c r="B23" i="5383"/>
  <c r="H33" i="5383"/>
  <c r="H38" i="5383"/>
  <c r="H46" i="5383"/>
  <c r="H29" i="5383"/>
  <c r="H31" i="5383"/>
  <c r="H17" i="5383"/>
  <c r="H39" i="5383"/>
  <c r="H47" i="5383"/>
  <c r="H28" i="5383"/>
  <c r="C19" i="5383"/>
  <c r="H22" i="5383"/>
  <c r="H40" i="5383"/>
  <c r="H48" i="5383"/>
  <c r="H15" i="5383"/>
  <c r="H12" i="5383"/>
  <c r="H25" i="5383"/>
  <c r="H41" i="5383"/>
  <c r="H49" i="5383"/>
  <c r="H14" i="5383"/>
  <c r="H24" i="5383"/>
  <c r="H34" i="5383"/>
  <c r="H42" i="5383"/>
  <c r="H50" i="5383"/>
  <c r="H30" i="5383"/>
  <c r="H32" i="5383"/>
  <c r="H35" i="5383"/>
  <c r="H43" i="5383"/>
  <c r="H51" i="5383"/>
  <c r="H8" i="5383"/>
  <c r="H18" i="5383"/>
  <c r="H16" i="5383"/>
  <c r="H36" i="5383"/>
  <c r="H44" i="5383"/>
  <c r="O17" i="5381" l="1"/>
  <c r="O20" i="5381"/>
  <c r="C27" i="5381"/>
  <c r="B24" i="5381"/>
  <c r="C20" i="5381"/>
  <c r="B17" i="5381"/>
  <c r="H51" i="5381" s="1"/>
  <c r="C16" i="5381"/>
  <c r="C15" i="5381"/>
  <c r="C14" i="5381"/>
  <c r="C13" i="5381"/>
  <c r="O12" i="5381"/>
  <c r="C12" i="5381"/>
  <c r="O11" i="5381"/>
  <c r="C11" i="5381"/>
  <c r="O10" i="5381"/>
  <c r="C10" i="5381"/>
  <c r="C9" i="5381"/>
  <c r="C8" i="5381"/>
  <c r="O7" i="5381"/>
  <c r="C7" i="5381"/>
  <c r="O6" i="5381"/>
  <c r="B6" i="5381"/>
  <c r="O5" i="5381"/>
  <c r="B5" i="5381"/>
  <c r="O4" i="5381"/>
  <c r="O3" i="5381"/>
  <c r="O2" i="5381"/>
  <c r="O22" i="5379"/>
  <c r="O16" i="5379"/>
  <c r="C27" i="5379"/>
  <c r="B24" i="5379"/>
  <c r="C20" i="5379"/>
  <c r="B17" i="5379"/>
  <c r="H49" i="5379" s="1"/>
  <c r="C16" i="5379"/>
  <c r="C15" i="5379"/>
  <c r="C14" i="5379"/>
  <c r="C13" i="5379"/>
  <c r="O12" i="5379"/>
  <c r="C12" i="5379"/>
  <c r="O11" i="5379"/>
  <c r="C11" i="5379"/>
  <c r="O10" i="5379"/>
  <c r="C10" i="5379"/>
  <c r="C9" i="5379"/>
  <c r="C8" i="5379"/>
  <c r="O7" i="5379"/>
  <c r="C7" i="5379"/>
  <c r="O6" i="5379"/>
  <c r="B6" i="5379"/>
  <c r="O5" i="5379"/>
  <c r="B5" i="5379"/>
  <c r="O4" i="5379"/>
  <c r="O3" i="5379"/>
  <c r="O2" i="5379"/>
  <c r="O24" i="5375"/>
  <c r="O16" i="5377"/>
  <c r="O22" i="5377"/>
  <c r="C27" i="5377"/>
  <c r="B24" i="5377"/>
  <c r="C20" i="5377"/>
  <c r="B17" i="5377"/>
  <c r="H51" i="5377" s="1"/>
  <c r="C16" i="5377"/>
  <c r="C15" i="5377"/>
  <c r="C14" i="5377"/>
  <c r="C13" i="5377"/>
  <c r="O12" i="5377"/>
  <c r="C12" i="5377"/>
  <c r="O11" i="5377"/>
  <c r="C11" i="5377"/>
  <c r="O10" i="5377"/>
  <c r="C10" i="5377"/>
  <c r="C9" i="5377"/>
  <c r="C8" i="5377"/>
  <c r="O7" i="5377"/>
  <c r="C7" i="5377"/>
  <c r="O6" i="5377"/>
  <c r="B6" i="5377"/>
  <c r="O5" i="5377"/>
  <c r="B5" i="5377"/>
  <c r="O4" i="5377"/>
  <c r="O3" i="5377"/>
  <c r="O2" i="5377"/>
  <c r="O16" i="5375"/>
  <c r="O20" i="5375"/>
  <c r="C27" i="5375"/>
  <c r="B24" i="5375"/>
  <c r="C20" i="5375"/>
  <c r="B17" i="5375"/>
  <c r="H5" i="5375" s="1"/>
  <c r="C16" i="5375"/>
  <c r="C15" i="5375"/>
  <c r="C14" i="5375"/>
  <c r="C13" i="5375"/>
  <c r="O12" i="5375"/>
  <c r="C12" i="5375"/>
  <c r="O11" i="5375"/>
  <c r="C11" i="5375"/>
  <c r="O10" i="5375"/>
  <c r="C10" i="5375"/>
  <c r="C9" i="5375"/>
  <c r="C8" i="5375"/>
  <c r="O7" i="5375"/>
  <c r="C7" i="5375"/>
  <c r="O6" i="5375"/>
  <c r="B6" i="5375"/>
  <c r="O5" i="5375"/>
  <c r="B5" i="5375"/>
  <c r="O4" i="5375"/>
  <c r="O3" i="5375"/>
  <c r="O2" i="5375"/>
  <c r="H16" i="5379" l="1"/>
  <c r="H23" i="5377"/>
  <c r="H4" i="5377"/>
  <c r="H44" i="5377"/>
  <c r="H45" i="5377"/>
  <c r="H17" i="5377"/>
  <c r="H13" i="5381"/>
  <c r="H2" i="5381"/>
  <c r="H3" i="5379"/>
  <c r="H2" i="5377"/>
  <c r="H11" i="5377"/>
  <c r="H13" i="5377"/>
  <c r="H26" i="5377"/>
  <c r="H46" i="5377"/>
  <c r="H12" i="5377"/>
  <c r="H32" i="5377"/>
  <c r="H28" i="5377"/>
  <c r="H30" i="5377"/>
  <c r="C19" i="5377"/>
  <c r="H35" i="5377"/>
  <c r="H10" i="5377"/>
  <c r="H3" i="5377"/>
  <c r="H16" i="5377"/>
  <c r="H36" i="5377"/>
  <c r="H7" i="5377"/>
  <c r="H37" i="5377"/>
  <c r="H9" i="5381"/>
  <c r="H11" i="5381"/>
  <c r="H16" i="5381"/>
  <c r="H20" i="5381"/>
  <c r="H18" i="5381"/>
  <c r="H36" i="5381"/>
  <c r="C17" i="5381"/>
  <c r="H3" i="5381"/>
  <c r="H10" i="5381"/>
  <c r="H17" i="5381"/>
  <c r="H4" i="5381"/>
  <c r="H40" i="5381"/>
  <c r="H12" i="5381"/>
  <c r="H6" i="5381"/>
  <c r="H29" i="5381"/>
  <c r="H44" i="5381"/>
  <c r="H5" i="5381"/>
  <c r="H7" i="5381"/>
  <c r="H24" i="5381"/>
  <c r="H26" i="5381"/>
  <c r="C18" i="5381"/>
  <c r="B23" i="5381"/>
  <c r="H31" i="5381"/>
  <c r="H37" i="5381"/>
  <c r="H45" i="5381"/>
  <c r="H27" i="5381"/>
  <c r="H30" i="5381"/>
  <c r="H23" i="5381"/>
  <c r="H38" i="5381"/>
  <c r="H46" i="5381"/>
  <c r="H19" i="5381"/>
  <c r="C19" i="5381"/>
  <c r="H32" i="5381"/>
  <c r="H39" i="5381"/>
  <c r="H47" i="5381"/>
  <c r="H48" i="5381"/>
  <c r="H15" i="5381"/>
  <c r="H21" i="5381"/>
  <c r="H33" i="5381"/>
  <c r="H41" i="5381"/>
  <c r="H49" i="5381"/>
  <c r="H28" i="5381"/>
  <c r="H22" i="5381"/>
  <c r="H34" i="5381"/>
  <c r="H42" i="5381"/>
  <c r="H50" i="5381"/>
  <c r="H8" i="5381"/>
  <c r="H25" i="5381"/>
  <c r="H14" i="5381"/>
  <c r="H35" i="5381"/>
  <c r="H43" i="5381"/>
  <c r="H4" i="5379"/>
  <c r="H9" i="5379"/>
  <c r="H34" i="5379"/>
  <c r="H25" i="5379"/>
  <c r="H6" i="5379"/>
  <c r="H35" i="5379"/>
  <c r="H43" i="5379"/>
  <c r="H12" i="5379"/>
  <c r="H19" i="5379"/>
  <c r="H44" i="5379"/>
  <c r="H45" i="5379"/>
  <c r="H27" i="5379"/>
  <c r="H13" i="5379"/>
  <c r="H46" i="5379"/>
  <c r="H17" i="5379"/>
  <c r="C17" i="5379"/>
  <c r="H28" i="5379"/>
  <c r="H29" i="5379"/>
  <c r="H11" i="5379"/>
  <c r="H14" i="5379"/>
  <c r="C18" i="5379"/>
  <c r="H23" i="5379"/>
  <c r="H30" i="5379"/>
  <c r="H39" i="5379"/>
  <c r="H48" i="5379"/>
  <c r="H36" i="5379"/>
  <c r="H22" i="5379"/>
  <c r="H47" i="5379"/>
  <c r="H8" i="5379"/>
  <c r="H18" i="5379"/>
  <c r="H31" i="5379"/>
  <c r="H40" i="5379"/>
  <c r="H50" i="5379"/>
  <c r="H10" i="5379"/>
  <c r="H21" i="5379"/>
  <c r="H7" i="5379"/>
  <c r="H37" i="5379"/>
  <c r="B23" i="5379"/>
  <c r="H38" i="5379"/>
  <c r="H5" i="5379"/>
  <c r="H2" i="5379"/>
  <c r="H15" i="5379"/>
  <c r="C19" i="5379"/>
  <c r="H24" i="5379"/>
  <c r="H32" i="5379"/>
  <c r="H42" i="5379"/>
  <c r="H51" i="5379"/>
  <c r="H20" i="5379"/>
  <c r="H26" i="5379"/>
  <c r="H33" i="5379"/>
  <c r="H41" i="5379"/>
  <c r="H47" i="5377"/>
  <c r="H22" i="5377"/>
  <c r="H14" i="5377"/>
  <c r="H38" i="5377"/>
  <c r="C17" i="5377"/>
  <c r="H39" i="5377"/>
  <c r="B23" i="5377"/>
  <c r="H18" i="5377"/>
  <c r="H40" i="5377"/>
  <c r="H15" i="5377"/>
  <c r="H9" i="5377"/>
  <c r="H48" i="5377"/>
  <c r="H8" i="5377"/>
  <c r="H24" i="5377"/>
  <c r="H27" i="5377"/>
  <c r="H50" i="5377"/>
  <c r="H19" i="5377"/>
  <c r="H6" i="5377"/>
  <c r="H20" i="5377"/>
  <c r="H31" i="5377"/>
  <c r="C18" i="5377"/>
  <c r="H25" i="5377"/>
  <c r="H21" i="5377"/>
  <c r="H42" i="5377"/>
  <c r="H5" i="5377"/>
  <c r="H41" i="5377"/>
  <c r="H49" i="5377"/>
  <c r="H33" i="5377"/>
  <c r="H34" i="5377"/>
  <c r="H29" i="5377"/>
  <c r="H43" i="5377"/>
  <c r="H16" i="5375"/>
  <c r="H9" i="5375"/>
  <c r="H22" i="5375"/>
  <c r="H17" i="5375"/>
  <c r="H37" i="5375"/>
  <c r="H44" i="5375"/>
  <c r="C17" i="5375"/>
  <c r="H4" i="5375"/>
  <c r="H34" i="5375"/>
  <c r="H40" i="5375"/>
  <c r="H27" i="5375"/>
  <c r="H47" i="5375"/>
  <c r="H6" i="5375"/>
  <c r="H12" i="5375"/>
  <c r="H2" i="5375"/>
  <c r="H20" i="5375"/>
  <c r="H8" i="5375"/>
  <c r="C19" i="5375"/>
  <c r="H7" i="5375"/>
  <c r="H14" i="5375"/>
  <c r="H3" i="5375"/>
  <c r="H11" i="5375"/>
  <c r="H28" i="5375"/>
  <c r="H19" i="5375"/>
  <c r="H21" i="5375"/>
  <c r="H33" i="5375"/>
  <c r="C18" i="5375"/>
  <c r="B23" i="5375"/>
  <c r="H30" i="5375"/>
  <c r="H39" i="5375"/>
  <c r="H46" i="5375"/>
  <c r="H23" i="5375"/>
  <c r="H41" i="5375"/>
  <c r="H48" i="5375"/>
  <c r="H15" i="5375"/>
  <c r="H13" i="5375"/>
  <c r="H25" i="5375"/>
  <c r="H32" i="5375"/>
  <c r="H49" i="5375"/>
  <c r="H24" i="5375"/>
  <c r="H36" i="5375"/>
  <c r="H42" i="5375"/>
  <c r="H50" i="5375"/>
  <c r="H35" i="5375"/>
  <c r="H29" i="5375"/>
  <c r="H31" i="5375"/>
  <c r="H43" i="5375"/>
  <c r="H51" i="5375"/>
  <c r="H18" i="5375"/>
  <c r="H26" i="5375"/>
  <c r="H10" i="5375"/>
  <c r="H38" i="5375"/>
  <c r="H45" i="53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<sst xmlns="http://schemas.openxmlformats.org/spreadsheetml/2006/main" count="3224" uniqueCount="240">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</sst>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全体!$K$2:$K$560</c:f>
              <c:numCache>
                <c:formatCode>General</c:formatCode>
                <c:ptCount val="5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</c:numCache>
            </c:numRef>
          </c:xVal>
          <c:yVal>
            <c:numRef>
              <c:f>全体!$L$2:$L$560</c:f>
              <c:numCache>
                <c:formatCode>\+0.0;\-0.0;\±0</c:formatCode>
                <c:ptCount val="55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-0.79999999999999294</c:v>
                </c:pt>
                <c:pt idx="557">
                  <c:v>23.400000000000006</c:v>
                </c:pt>
                <c:pt idx="558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0-4A5D-971C-64D3E319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-14.336917562724015</c:v>
                </c:pt>
                <c:pt idx="1">
                  <c:v>-7.3260073260073257</c:v>
                </c:pt>
                <c:pt idx="2">
                  <c:v>5.8139534883720927</c:v>
                </c:pt>
                <c:pt idx="3">
                  <c:v>12.820512820512821</c:v>
                </c:pt>
                <c:pt idx="4">
                  <c:v>-14.285714285714286</c:v>
                </c:pt>
                <c:pt idx="5">
                  <c:v>23.622047244094489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AC-44ED-B190-DD90D742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xVal>
          <c:yVal>
            <c:numRef>
              <c:f>だいち!$L$2:$L$127</c:f>
              <c:numCache>
                <c:formatCode>\+0.0;\-0.0;\±0</c:formatCode>
                <c:ptCount val="12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1605.200000000001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7-4C00-BA82-65451FE46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1484.8</c:v>
                </c:pt>
                <c:pt idx="1">
                  <c:v>1267.2131147540983</c:v>
                </c:pt>
                <c:pt idx="2">
                  <c:v>1444.8275862068965</c:v>
                </c:pt>
                <c:pt idx="3">
                  <c:v>2476.4150943396226</c:v>
                </c:pt>
                <c:pt idx="4">
                  <c:v>847.31182795698919</c:v>
                </c:pt>
                <c:pt idx="5">
                  <c:v>867.07317073170736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8-4059-BF9F-CEA8B53F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7-41EE-ACE0-BE0C248E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F-4750-8037-10A29FAB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3-4D4B-AD64-6015C4A8D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-1743.2835820895523</c:v>
                </c:pt>
                <c:pt idx="1">
                  <c:v>-1200</c:v>
                </c:pt>
                <c:pt idx="2">
                  <c:v>-1018.0327868852459</c:v>
                </c:pt>
                <c:pt idx="3">
                  <c:v>-5413.2075471698117</c:v>
                </c:pt>
                <c:pt idx="4">
                  <c:v>-2142.5531914893618</c:v>
                </c:pt>
                <c:pt idx="5">
                  <c:v>-2100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8-465F-B258-BC66FFAD0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9-496F-A4A5-B043ADED6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-1136.8421052631579</c:v>
                </c:pt>
                <c:pt idx="1">
                  <c:v>406.66666666666669</c:v>
                </c:pt>
                <c:pt idx="2">
                  <c:v>1641.4285714285713</c:v>
                </c:pt>
                <c:pt idx="3">
                  <c:v>2156.6666666666665</c:v>
                </c:pt>
                <c:pt idx="4">
                  <c:v>-596.22641509433959</c:v>
                </c:pt>
                <c:pt idx="5">
                  <c:v>483.67346938775512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A-442D-9664-F6D4C5DF6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たかの!$L$2:$L$61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6-45CF-BDFD-F27CA662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445.76271186440675</c:v>
                </c:pt>
                <c:pt idx="1">
                  <c:v>100</c:v>
                </c:pt>
                <c:pt idx="2">
                  <c:v>-1135.8490566037735</c:v>
                </c:pt>
                <c:pt idx="3">
                  <c:v>372</c:v>
                </c:pt>
                <c:pt idx="4">
                  <c:v>661.22448979591832</c:v>
                </c:pt>
                <c:pt idx="5">
                  <c:v>-351.16279069767444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25-4F8F-BFDC-68AF86709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ぱぱ!$L$2:$L$45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E-4127-8E0A-3C77FA5B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-2806.9767441860463</c:v>
                </c:pt>
                <c:pt idx="1">
                  <c:v>2062.7906976744184</c:v>
                </c:pt>
                <c:pt idx="2">
                  <c:v>-831.70731707317077</c:v>
                </c:pt>
                <c:pt idx="3">
                  <c:v>-3700</c:v>
                </c:pt>
                <c:pt idx="4">
                  <c:v>-44.117647058823529</c:v>
                </c:pt>
                <c:pt idx="5">
                  <c:v>136.36363636363637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EC8-93B4-9E170C42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075-AF7F-0AC65B98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1202.127659574468</c:v>
                </c:pt>
                <c:pt idx="1">
                  <c:v>537.77777777777783</c:v>
                </c:pt>
                <c:pt idx="2">
                  <c:v>-1153.6585365853659</c:v>
                </c:pt>
                <c:pt idx="3">
                  <c:v>1572.5</c:v>
                </c:pt>
                <c:pt idx="4">
                  <c:v>-1572.2222222222222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A-431D-A7C5-40DB1E39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428-B3A6-0EDFB1BE6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94-4049-A35D-49CEF8D0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7-4485-A2EE-4762E28E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C35-BC73-8FE55BD45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7-4C24-A1E8-E166072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D-4258-B654-A4C76D318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0-49BD-AF9C-E7729BF2B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5-4D71-8D50-39BE4C99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A-48E4-9D43-D68FD2F7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6-407E-97CA-5DD370CD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れんたろう2!$B$3:$B$79</c:f>
              <c:numCache>
                <c:formatCode>\+0.0;\-0.0;\±0</c:formatCode>
                <c:ptCount val="7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れんたろう2!$C$3:$C$79</c:f>
              <c:numCache>
                <c:formatCode>\+0.0;\-0.0;\±0</c:formatCode>
                <c:ptCount val="77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2.097142857142857</c:v>
                </c:pt>
                <c:pt idx="71">
                  <c:v>1.2507042253521123</c:v>
                </c:pt>
                <c:pt idx="72">
                  <c:v>1.3652777777777776</c:v>
                </c:pt>
                <c:pt idx="73">
                  <c:v>2.1410958904109587</c:v>
                </c:pt>
                <c:pt idx="74">
                  <c:v>1.3418918918918916</c:v>
                </c:pt>
                <c:pt idx="75">
                  <c:v>1.9373333333333331</c:v>
                </c:pt>
                <c:pt idx="76">
                  <c:v>2.2302631578947363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73374078423118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れんたろう2!$D$3:$D$79</c:f>
              <c:numCache>
                <c:formatCode>0.00\ "位"</c:formatCode>
                <c:ptCount val="77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2.0410958904109591</c:v>
                </c:pt>
                <c:pt idx="74">
                  <c:v>2.0540540540540539</c:v>
                </c:pt>
                <c:pt idx="75">
                  <c:v>2.04</c:v>
                </c:pt>
                <c:pt idx="76">
                  <c:v>2.0263157894736841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れんたろう2!$E$3:$E$79</c:f>
              <c:numCache>
                <c:formatCode>0.0%</c:formatCode>
                <c:ptCount val="7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0.29729729729729731</c:v>
                </c:pt>
                <c:pt idx="75">
                  <c:v>0.30666666666666664</c:v>
                </c:pt>
                <c:pt idx="76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れんたろう2!$F$3:$F$79</c:f>
              <c:numCache>
                <c:formatCode>0.0%</c:formatCode>
                <c:ptCount val="77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  <c:pt idx="71">
                  <c:v>0.352112676056338</c:v>
                </c:pt>
                <c:pt idx="72">
                  <c:v>0.34722222222222221</c:v>
                </c:pt>
                <c:pt idx="73">
                  <c:v>0.34246575342465752</c:v>
                </c:pt>
                <c:pt idx="74">
                  <c:v>0.35135135135135137</c:v>
                </c:pt>
                <c:pt idx="75">
                  <c:v>0.34666666666666668</c:v>
                </c:pt>
                <c:pt idx="76">
                  <c:v>0.34210526315789475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れんたろう2!$G$3:$G$79</c:f>
              <c:numCache>
                <c:formatCode>0.0%</c:formatCode>
                <c:ptCount val="77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0.2797319932998325</c:v>
                </c:pt>
                <c:pt idx="71">
                  <c:v>0.27787021630615638</c:v>
                </c:pt>
                <c:pt idx="72">
                  <c:v>0.27941176470588236</c:v>
                </c:pt>
                <c:pt idx="73">
                  <c:v>0.27993527508090615</c:v>
                </c:pt>
                <c:pt idx="74">
                  <c:v>0.27858293075684382</c:v>
                </c:pt>
                <c:pt idx="75">
                  <c:v>0.28298887122416533</c:v>
                </c:pt>
                <c:pt idx="76">
                  <c:v>0.28437499999999999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613402061855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れんたろう2!$H$3:$H$79</c:f>
              <c:numCache>
                <c:formatCode>0.0%</c:formatCode>
                <c:ptCount val="77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0.1624790619765494</c:v>
                </c:pt>
                <c:pt idx="71">
                  <c:v>0.16638935108153077</c:v>
                </c:pt>
                <c:pt idx="72">
                  <c:v>0.16666666666666666</c:v>
                </c:pt>
                <c:pt idx="73">
                  <c:v>0.16828478964401294</c:v>
                </c:pt>
                <c:pt idx="74">
                  <c:v>0.17230273752012881</c:v>
                </c:pt>
                <c:pt idx="75">
                  <c:v>0.17170111287758347</c:v>
                </c:pt>
                <c:pt idx="76">
                  <c:v>0.17343749999999999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31099656357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れんたろう2!$I$3:$I$79</c:f>
              <c:numCache>
                <c:formatCode>0</c:formatCode>
                <c:ptCount val="77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9797.0059880239514</c:v>
                </c:pt>
                <c:pt idx="71">
                  <c:v>9797.0059880239514</c:v>
                </c:pt>
                <c:pt idx="72">
                  <c:v>9761.9883040935674</c:v>
                </c:pt>
                <c:pt idx="73">
                  <c:v>9926.5895953757226</c:v>
                </c:pt>
                <c:pt idx="74">
                  <c:v>9926.5895953757226</c:v>
                </c:pt>
                <c:pt idx="75">
                  <c:v>9939.8876404494385</c:v>
                </c:pt>
                <c:pt idx="76">
                  <c:v>9859.8901098901097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1.29032258064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れんたろう2!$J$3:$J$79</c:f>
              <c:numCache>
                <c:formatCode>0</c:formatCode>
                <c:ptCount val="77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-7779.3814432989693</c:v>
                </c:pt>
                <c:pt idx="71">
                  <c:v>-7806</c:v>
                </c:pt>
                <c:pt idx="72">
                  <c:v>-7748.0392156862745</c:v>
                </c:pt>
                <c:pt idx="73">
                  <c:v>-7724.0384615384619</c:v>
                </c:pt>
                <c:pt idx="74">
                  <c:v>-7843.9252336448599</c:v>
                </c:pt>
                <c:pt idx="75">
                  <c:v>-7845.3703703703704</c:v>
                </c:pt>
                <c:pt idx="76">
                  <c:v>-7831.531531531532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21.56611039794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れんたろう2!$K$3:$K$79</c:f>
              <c:numCache>
                <c:formatCode>0.0%</c:formatCode>
                <c:ptCount val="7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5.6338028169014086E-2</c:v>
                </c:pt>
                <c:pt idx="72">
                  <c:v>5.5555555555555552E-2</c:v>
                </c:pt>
                <c:pt idx="73">
                  <c:v>5.4794520547945202E-2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903225806451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れんたろう2!$L$3:$L$79</c:f>
              <c:numCache>
                <c:formatCode>0.0%</c:formatCode>
                <c:ptCount val="7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  <c:pt idx="71">
                  <c:v>0.12676056338028169</c:v>
                </c:pt>
                <c:pt idx="72">
                  <c:v>0.125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903225806451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れんたろう2!$M$3:$M$79</c:f>
              <c:numCache>
                <c:formatCode>0.0%</c:formatCode>
                <c:ptCount val="77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0.27805695142378561</c:v>
                </c:pt>
                <c:pt idx="71">
                  <c:v>0.28286189683860236</c:v>
                </c:pt>
                <c:pt idx="72">
                  <c:v>0.28431372549019607</c:v>
                </c:pt>
                <c:pt idx="73">
                  <c:v>0.28478964401294499</c:v>
                </c:pt>
                <c:pt idx="74">
                  <c:v>0.28341384863123992</c:v>
                </c:pt>
                <c:pt idx="75">
                  <c:v>0.2861685214626391</c:v>
                </c:pt>
                <c:pt idx="76">
                  <c:v>0.28749999999999998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068728522336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れんたろう2!$N$3:$N$79</c:f>
              <c:numCache>
                <c:formatCode>0.0%</c:formatCode>
                <c:ptCount val="77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0.18592964824120603</c:v>
                </c:pt>
                <c:pt idx="71">
                  <c:v>0.18469217970049917</c:v>
                </c:pt>
                <c:pt idx="72">
                  <c:v>0.184640522875817</c:v>
                </c:pt>
                <c:pt idx="73">
                  <c:v>0.18608414239482202</c:v>
                </c:pt>
                <c:pt idx="74">
                  <c:v>0.18840579710144928</c:v>
                </c:pt>
                <c:pt idx="75">
                  <c:v>0.18759936406995231</c:v>
                </c:pt>
                <c:pt idx="76">
                  <c:v>0.19062499999999999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836769759450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れんたろう2!$O$3:$O$79</c:f>
              <c:numCache>
                <c:formatCode>0.0%</c:formatCode>
                <c:ptCount val="77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0.59036144578313254</c:v>
                </c:pt>
                <c:pt idx="71">
                  <c:v>0.57647058823529407</c:v>
                </c:pt>
                <c:pt idx="72">
                  <c:v>0.58045977011494254</c:v>
                </c:pt>
                <c:pt idx="73">
                  <c:v>0.58522727272727271</c:v>
                </c:pt>
                <c:pt idx="74">
                  <c:v>0.58522727272727271</c:v>
                </c:pt>
                <c:pt idx="75">
                  <c:v>0.58888888888888891</c:v>
                </c:pt>
                <c:pt idx="76">
                  <c:v>0.58152173913043481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128834355828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れんたろう2!$P$3:$P$79</c:f>
              <c:numCache>
                <c:formatCode>0.0%</c:formatCode>
                <c:ptCount val="77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0.40540540540540543</c:v>
                </c:pt>
                <c:pt idx="71">
                  <c:v>0.40540540540540543</c:v>
                </c:pt>
                <c:pt idx="72">
                  <c:v>0.40707964601769914</c:v>
                </c:pt>
                <c:pt idx="73">
                  <c:v>0.4</c:v>
                </c:pt>
                <c:pt idx="74">
                  <c:v>0.39316239316239315</c:v>
                </c:pt>
                <c:pt idx="75">
                  <c:v>0.39830508474576271</c:v>
                </c:pt>
                <c:pt idx="76">
                  <c:v>0.4098360655737705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992835209825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れんたろう2!$Q$3:$Q$79</c:f>
              <c:numCache>
                <c:formatCode>0.0%</c:formatCode>
                <c:ptCount val="77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0.43712574850299402</c:v>
                </c:pt>
                <c:pt idx="71">
                  <c:v>0.43712574850299402</c:v>
                </c:pt>
                <c:pt idx="72">
                  <c:v>0.43274853801169588</c:v>
                </c:pt>
                <c:pt idx="73">
                  <c:v>0.43352601156069365</c:v>
                </c:pt>
                <c:pt idx="74">
                  <c:v>0.43352601156069365</c:v>
                </c:pt>
                <c:pt idx="75">
                  <c:v>0.42696629213483145</c:v>
                </c:pt>
                <c:pt idx="76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842293906810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239</v>
      </c>
      <c r="B51" s="31">
        <v>43612.742986111109</v>
      </c>
      <c r="C51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558</v>
      </c>
    </row>
    <row r="2" spans="1:2" x14ac:dyDescent="0.4">
      <c r="A2" t="s">
        <v>127</v>
      </c>
      <c r="B2">
        <v>125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67</v>
      </c>
    </row>
    <row r="5" spans="1:2" x14ac:dyDescent="0.4">
      <c r="A5" t="s">
        <v>171</v>
      </c>
      <c r="B5">
        <v>76</v>
      </c>
    </row>
    <row r="6" spans="1:2" x14ac:dyDescent="0.4">
      <c r="A6" t="s">
        <v>172</v>
      </c>
      <c r="B6">
        <v>59</v>
      </c>
    </row>
    <row r="7" spans="1:2" x14ac:dyDescent="0.4">
      <c r="A7" t="s">
        <v>173</v>
      </c>
      <c r="B7">
        <v>43</v>
      </c>
    </row>
    <row r="8" spans="1:2" x14ac:dyDescent="0.4">
      <c r="A8" t="s">
        <v>177</v>
      </c>
      <c r="B8">
        <v>47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0.44341888600347967</v>
      </c>
      <c r="G2" s="155"/>
      <c r="H2" s="154">
        <v>0.21876387391728905</v>
      </c>
      <c r="I2" s="155"/>
      <c r="J2" s="154">
        <v>0.54752144498469812</v>
      </c>
      <c r="K2" s="155"/>
      <c r="L2" s="154">
        <v>0.13448268446973627</v>
      </c>
      <c r="M2" s="155"/>
      <c r="N2" s="154">
        <v>0.38115199098431235</v>
      </c>
      <c r="O2" s="155"/>
      <c r="P2" s="154">
        <v>0.49502489139423317</v>
      </c>
      <c r="Q2" s="155"/>
      <c r="R2" s="154">
        <v>7.8665882267056078E-2</v>
      </c>
      <c r="S2" s="155"/>
      <c r="T2" s="154">
        <v>0.15505199138877462</v>
      </c>
      <c r="U2" s="155"/>
      <c r="V2" s="154">
        <v>0.67389559447314018</v>
      </c>
      <c r="W2" s="155"/>
      <c r="X2" s="154">
        <v>0.80124252998698642</v>
      </c>
      <c r="Y2" s="155"/>
      <c r="Z2" s="154">
        <v>-0.19360834537975605</v>
      </c>
      <c r="AA2" s="155"/>
      <c r="AB2" s="154">
        <v>-0.51864461447321675</v>
      </c>
      <c r="AC2" s="155"/>
      <c r="AD2" s="154">
        <v>3.4685911621895701E-2</v>
      </c>
      <c r="AE2" s="155"/>
      <c r="AF2" s="154">
        <v>-0.58949247228899593</v>
      </c>
      <c r="AG2" s="155"/>
      <c r="AH2" s="154">
        <v>0.69493552269223346</v>
      </c>
      <c r="AI2" s="155"/>
    </row>
    <row r="3" spans="1:35" x14ac:dyDescent="0.4">
      <c r="A3" s="74">
        <v>1</v>
      </c>
      <c r="B3" s="75" t="s">
        <v>127</v>
      </c>
      <c r="C3" s="76">
        <v>1605.200000000001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0.16800000000000001</v>
      </c>
      <c r="X3" s="77" t="s">
        <v>225</v>
      </c>
      <c r="Y3" s="80">
        <v>0.375</v>
      </c>
      <c r="Z3" s="77" t="s">
        <v>172</v>
      </c>
      <c r="AA3" s="80">
        <v>0.28875968992248063</v>
      </c>
      <c r="AB3" s="77" t="s">
        <v>225</v>
      </c>
      <c r="AC3" s="80">
        <v>1</v>
      </c>
      <c r="AD3" s="77" t="s">
        <v>127</v>
      </c>
      <c r="AE3" s="80">
        <v>0.51351351351351349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169.49999999999997</v>
      </c>
      <c r="D4" s="85" t="s">
        <v>224</v>
      </c>
      <c r="E4" s="97">
        <v>13.3</v>
      </c>
      <c r="F4" s="85" t="s">
        <v>127</v>
      </c>
      <c r="G4" s="86">
        <v>1.728</v>
      </c>
      <c r="H4" s="85" t="s">
        <v>127</v>
      </c>
      <c r="I4" s="87">
        <v>0.496</v>
      </c>
      <c r="J4" s="85" t="s">
        <v>224</v>
      </c>
      <c r="K4" s="87">
        <v>0</v>
      </c>
      <c r="L4" s="85" t="s">
        <v>172</v>
      </c>
      <c r="M4" s="88">
        <v>0.36434108527131781</v>
      </c>
      <c r="N4" s="85" t="s">
        <v>185</v>
      </c>
      <c r="O4" s="88">
        <v>0.10526315789473684</v>
      </c>
      <c r="P4" s="85" t="s">
        <v>171</v>
      </c>
      <c r="Q4" s="89">
        <v>9859.8901098901097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0.13157894736842105</v>
      </c>
      <c r="X4" s="85" t="s">
        <v>127</v>
      </c>
      <c r="Y4" s="88">
        <v>0.32940019665683384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71.099999999999994</v>
      </c>
      <c r="D5" s="85" t="s">
        <v>127</v>
      </c>
      <c r="E5" s="97">
        <v>12.841600000000007</v>
      </c>
      <c r="F5" s="85" t="s">
        <v>177</v>
      </c>
      <c r="G5" s="86">
        <v>1.9361702127659575</v>
      </c>
      <c r="H5" s="85" t="s">
        <v>177</v>
      </c>
      <c r="I5" s="87">
        <v>0.38297872340425532</v>
      </c>
      <c r="J5" s="85" t="s">
        <v>202</v>
      </c>
      <c r="K5" s="87">
        <v>0.14285714285714285</v>
      </c>
      <c r="L5" s="85" t="s">
        <v>127</v>
      </c>
      <c r="M5" s="88">
        <v>0.34808259587020651</v>
      </c>
      <c r="N5" s="85" t="s">
        <v>172</v>
      </c>
      <c r="O5" s="88">
        <v>0.12790697674418605</v>
      </c>
      <c r="P5" s="85" t="s">
        <v>128</v>
      </c>
      <c r="Q5" s="89">
        <v>9304.2635658914733</v>
      </c>
      <c r="R5" s="85" t="s">
        <v>177</v>
      </c>
      <c r="S5" s="89">
        <v>-7621.311475409836</v>
      </c>
      <c r="T5" s="85" t="s">
        <v>224</v>
      </c>
      <c r="U5" s="87">
        <v>0</v>
      </c>
      <c r="V5" s="85" t="s">
        <v>145</v>
      </c>
      <c r="W5" s="87">
        <v>0.11290322580645161</v>
      </c>
      <c r="X5" s="85" t="s">
        <v>128</v>
      </c>
      <c r="Y5" s="88">
        <v>0.29778247096092925</v>
      </c>
      <c r="Z5" s="85" t="s">
        <v>173</v>
      </c>
      <c r="AA5" s="88">
        <v>0.26133333333333331</v>
      </c>
      <c r="AB5" s="85" t="s">
        <v>186</v>
      </c>
      <c r="AC5" s="88">
        <v>0.6785714285714286</v>
      </c>
      <c r="AD5" s="85" t="s">
        <v>172</v>
      </c>
      <c r="AE5" s="88">
        <v>0.44295302013422821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171</v>
      </c>
      <c r="E6" s="97">
        <v>2.2302631578947363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0.224</v>
      </c>
      <c r="L6" s="85" t="s">
        <v>202</v>
      </c>
      <c r="M6" s="88">
        <v>0.30434782608695654</v>
      </c>
      <c r="N6" s="85" t="s">
        <v>127</v>
      </c>
      <c r="O6" s="88">
        <v>0.15437561455260571</v>
      </c>
      <c r="P6" s="85" t="s">
        <v>127</v>
      </c>
      <c r="Q6" s="89">
        <v>9159.3220338983047</v>
      </c>
      <c r="R6" s="85" t="s">
        <v>128</v>
      </c>
      <c r="S6" s="89">
        <v>-7741.1042944785277</v>
      </c>
      <c r="T6" s="85" t="s">
        <v>225</v>
      </c>
      <c r="U6" s="87">
        <v>0</v>
      </c>
      <c r="V6" s="85" t="s">
        <v>177</v>
      </c>
      <c r="W6" s="87">
        <v>0.10638297872340426</v>
      </c>
      <c r="X6" s="85" t="s">
        <v>171</v>
      </c>
      <c r="Y6" s="88">
        <v>0.28749999999999998</v>
      </c>
      <c r="Z6" s="85" t="s">
        <v>127</v>
      </c>
      <c r="AA6" s="88">
        <v>0.21828908554572271</v>
      </c>
      <c r="AB6" s="85" t="s">
        <v>177</v>
      </c>
      <c r="AC6" s="88">
        <v>0.66666666666666663</v>
      </c>
      <c r="AD6" s="85" t="s">
        <v>186</v>
      </c>
      <c r="AE6" s="88">
        <v>0.44</v>
      </c>
      <c r="AF6" s="85" t="s">
        <v>173</v>
      </c>
      <c r="AG6" s="88">
        <v>0.50450450450450446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172</v>
      </c>
      <c r="C7" s="84">
        <v>21.999999999999986</v>
      </c>
      <c r="D7" s="85" t="s">
        <v>177</v>
      </c>
      <c r="E7" s="97">
        <v>1.5127659574468084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0.30508474576271188</v>
      </c>
      <c r="L7" s="85" t="s">
        <v>145</v>
      </c>
      <c r="M7" s="88">
        <v>0.29961340206185566</v>
      </c>
      <c r="N7" s="85" t="s">
        <v>177</v>
      </c>
      <c r="O7" s="88">
        <v>0.16010498687664043</v>
      </c>
      <c r="P7" s="85" t="s">
        <v>129</v>
      </c>
      <c r="Q7" s="89">
        <v>8896.7999999999993</v>
      </c>
      <c r="R7" s="85" t="s">
        <v>173</v>
      </c>
      <c r="S7" s="89">
        <v>-7807.1428571428569</v>
      </c>
      <c r="T7" s="85" t="s">
        <v>172</v>
      </c>
      <c r="U7" s="87">
        <v>5.0847457627118647E-2</v>
      </c>
      <c r="V7" s="85" t="s">
        <v>129</v>
      </c>
      <c r="W7" s="87">
        <v>0.1044776119402985</v>
      </c>
      <c r="X7" s="85" t="s">
        <v>145</v>
      </c>
      <c r="Y7" s="88">
        <v>0.28006872852233677</v>
      </c>
      <c r="Z7" s="85" t="s">
        <v>186</v>
      </c>
      <c r="AA7" s="88">
        <v>0.21186440677966101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0.37288135593220317</v>
      </c>
      <c r="F8" s="85" t="s">
        <v>224</v>
      </c>
      <c r="G8" s="86">
        <v>2</v>
      </c>
      <c r="H8" s="85" t="s">
        <v>171</v>
      </c>
      <c r="I8" s="87">
        <v>0.31578947368421051</v>
      </c>
      <c r="J8" s="85" t="s">
        <v>177</v>
      </c>
      <c r="K8" s="87">
        <v>0.31914893617021278</v>
      </c>
      <c r="L8" s="85" t="s">
        <v>173</v>
      </c>
      <c r="M8" s="88">
        <v>0.29599999999999999</v>
      </c>
      <c r="N8" s="85" t="s">
        <v>145</v>
      </c>
      <c r="O8" s="88">
        <v>0.16731099656357387</v>
      </c>
      <c r="P8" s="85" t="s">
        <v>177</v>
      </c>
      <c r="Q8" s="89">
        <v>8838.3928571428569</v>
      </c>
      <c r="R8" s="85" t="s">
        <v>171</v>
      </c>
      <c r="S8" s="89">
        <v>-7831.531531531532</v>
      </c>
      <c r="T8" s="85" t="s">
        <v>171</v>
      </c>
      <c r="U8" s="87">
        <v>6.5789473684210523E-2</v>
      </c>
      <c r="V8" s="85" t="s">
        <v>172</v>
      </c>
      <c r="W8" s="87">
        <v>0.10169491525423729</v>
      </c>
      <c r="X8" s="85" t="s">
        <v>129</v>
      </c>
      <c r="Y8" s="88">
        <v>0.26763110307414106</v>
      </c>
      <c r="Z8" s="85" t="s">
        <v>185</v>
      </c>
      <c r="AA8" s="88">
        <v>0.21052631578947367</v>
      </c>
      <c r="AB8" s="85" t="s">
        <v>173</v>
      </c>
      <c r="AC8" s="88">
        <v>0.59302325581395354</v>
      </c>
      <c r="AD8" s="85" t="s">
        <v>171</v>
      </c>
      <c r="AE8" s="88">
        <v>0.4098360655737705</v>
      </c>
      <c r="AF8" s="85" t="s">
        <v>129</v>
      </c>
      <c r="AG8" s="88">
        <v>0.48799999999999999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1.2733740784231186E-17</v>
      </c>
      <c r="F9" s="85" t="s">
        <v>171</v>
      </c>
      <c r="G9" s="86">
        <v>2.0263157894736841</v>
      </c>
      <c r="H9" s="85" t="s">
        <v>173</v>
      </c>
      <c r="I9" s="87">
        <v>0.27906976744186046</v>
      </c>
      <c r="J9" s="85" t="s">
        <v>145</v>
      </c>
      <c r="K9" s="87">
        <v>0.33333333333333331</v>
      </c>
      <c r="L9" s="85" t="s">
        <v>177</v>
      </c>
      <c r="M9" s="88">
        <v>0.29396325459317585</v>
      </c>
      <c r="N9" s="85" t="s">
        <v>128</v>
      </c>
      <c r="O9" s="88">
        <v>0.17212249208025343</v>
      </c>
      <c r="P9" s="85" t="s">
        <v>225</v>
      </c>
      <c r="Q9" s="89">
        <v>8666.6666666666661</v>
      </c>
      <c r="R9" s="85" t="s">
        <v>186</v>
      </c>
      <c r="S9" s="89">
        <v>-8107.6923076923076</v>
      </c>
      <c r="T9" s="85" t="s">
        <v>127</v>
      </c>
      <c r="U9" s="87">
        <v>0.104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145</v>
      </c>
      <c r="AA9" s="88">
        <v>0.20983676975945018</v>
      </c>
      <c r="AB9" s="85" t="s">
        <v>128</v>
      </c>
      <c r="AC9" s="88">
        <v>0.58510638297872342</v>
      </c>
      <c r="AD9" s="85" t="s">
        <v>145</v>
      </c>
      <c r="AE9" s="88">
        <v>0.39099283520982597</v>
      </c>
      <c r="AF9" s="85" t="s">
        <v>145</v>
      </c>
      <c r="AG9" s="88">
        <v>0.43584229390681006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172</v>
      </c>
      <c r="G10" s="86">
        <v>2.0338983050847457</v>
      </c>
      <c r="H10" s="85" t="s">
        <v>172</v>
      </c>
      <c r="I10" s="87">
        <v>0.2711864406779661</v>
      </c>
      <c r="J10" s="85" t="s">
        <v>171</v>
      </c>
      <c r="K10" s="87">
        <v>0.34210526315789475</v>
      </c>
      <c r="L10" s="85" t="s">
        <v>186</v>
      </c>
      <c r="M10" s="88">
        <v>0.28813559322033899</v>
      </c>
      <c r="N10" s="85" t="s">
        <v>171</v>
      </c>
      <c r="O10" s="88">
        <v>0.17343749999999999</v>
      </c>
      <c r="P10" s="85" t="s">
        <v>145</v>
      </c>
      <c r="Q10" s="89">
        <v>8641.2903225806458</v>
      </c>
      <c r="R10" s="85" t="s">
        <v>127</v>
      </c>
      <c r="S10" s="89">
        <v>-8134.3949044585988</v>
      </c>
      <c r="T10" s="85" t="s">
        <v>145</v>
      </c>
      <c r="U10" s="87">
        <v>0.11290322580645161</v>
      </c>
      <c r="V10" s="85" t="s">
        <v>173</v>
      </c>
      <c r="W10" s="87">
        <v>6.9767441860465115E-2</v>
      </c>
      <c r="X10" s="85" t="s">
        <v>177</v>
      </c>
      <c r="Y10" s="88">
        <v>0.25984251968503935</v>
      </c>
      <c r="Z10" s="85" t="s">
        <v>177</v>
      </c>
      <c r="AA10" s="88">
        <v>0.19160104986876642</v>
      </c>
      <c r="AB10" s="85" t="s">
        <v>171</v>
      </c>
      <c r="AC10" s="88">
        <v>0.58152173913043481</v>
      </c>
      <c r="AD10" s="85" t="s">
        <v>177</v>
      </c>
      <c r="AE10" s="88">
        <v>0.35616438356164382</v>
      </c>
      <c r="AF10" s="85" t="s">
        <v>171</v>
      </c>
      <c r="AG10" s="88">
        <v>0.42857142857142855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2.0782608695652174</v>
      </c>
      <c r="H11" s="85" t="s">
        <v>128</v>
      </c>
      <c r="I11" s="87">
        <v>0.26956521739130435</v>
      </c>
      <c r="J11" s="85" t="s">
        <v>128</v>
      </c>
      <c r="K11" s="87">
        <v>0.34782608695652173</v>
      </c>
      <c r="L11" s="85" t="s">
        <v>171</v>
      </c>
      <c r="M11" s="88">
        <v>0.28437499999999999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145</v>
      </c>
      <c r="S11" s="89">
        <v>-8221.5661103979455</v>
      </c>
      <c r="T11" s="85" t="s">
        <v>173</v>
      </c>
      <c r="U11" s="87">
        <v>0.11627906976744186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171</v>
      </c>
      <c r="AA11" s="88">
        <v>0.19062499999999999</v>
      </c>
      <c r="AB11" s="85" t="s">
        <v>145</v>
      </c>
      <c r="AC11" s="88">
        <v>0.58128834355828218</v>
      </c>
      <c r="AD11" s="85" t="s">
        <v>173</v>
      </c>
      <c r="AE11" s="88">
        <v>0.33673469387755101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-6.7372093023255815</v>
      </c>
      <c r="F12" s="85" t="s">
        <v>173</v>
      </c>
      <c r="G12" s="86">
        <v>2.0930232558139537</v>
      </c>
      <c r="H12" s="85" t="s">
        <v>129</v>
      </c>
      <c r="I12" s="87">
        <v>0.22388059701492538</v>
      </c>
      <c r="J12" s="85" t="s">
        <v>173</v>
      </c>
      <c r="K12" s="87">
        <v>0.37209302325581395</v>
      </c>
      <c r="L12" s="85" t="s">
        <v>128</v>
      </c>
      <c r="M12" s="88">
        <v>0.27243928194297784</v>
      </c>
      <c r="N12" s="85" t="s">
        <v>173</v>
      </c>
      <c r="O12" s="88">
        <v>0.18666666666666668</v>
      </c>
      <c r="P12" s="85" t="s">
        <v>186</v>
      </c>
      <c r="Q12" s="89">
        <v>7494.1176470588234</v>
      </c>
      <c r="R12" s="85" t="s">
        <v>172</v>
      </c>
      <c r="S12" s="89">
        <v>-9269.69696969697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186</v>
      </c>
      <c r="Y12" s="88">
        <v>0.23728813559322035</v>
      </c>
      <c r="Z12" s="85" t="s">
        <v>128</v>
      </c>
      <c r="AA12" s="88">
        <v>0.18057022175290391</v>
      </c>
      <c r="AB12" s="85" t="s">
        <v>172</v>
      </c>
      <c r="AC12" s="88">
        <v>0.57894736842105265</v>
      </c>
      <c r="AD12" s="85" t="s">
        <v>128</v>
      </c>
      <c r="AE12" s="88">
        <v>0.2982456140350877</v>
      </c>
      <c r="AF12" s="85" t="s">
        <v>172</v>
      </c>
      <c r="AG12" s="88">
        <v>0.42021276595744683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-289.7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0.19349005424954793</v>
      </c>
      <c r="P13" s="85" t="s">
        <v>202</v>
      </c>
      <c r="Q13" s="89">
        <v>7438.0952380952385</v>
      </c>
      <c r="R13" s="85" t="s">
        <v>129</v>
      </c>
      <c r="S13" s="89">
        <v>-9513.0841121495323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0.16636528028933092</v>
      </c>
      <c r="AB13" s="85" t="s">
        <v>127</v>
      </c>
      <c r="AC13" s="88">
        <v>0.57014925373134329</v>
      </c>
      <c r="AD13" s="85" t="s">
        <v>129</v>
      </c>
      <c r="AE13" s="88">
        <v>0.22826086956521738</v>
      </c>
      <c r="AF13" s="85" t="s">
        <v>177</v>
      </c>
      <c r="AG13" s="88">
        <v>0.41964285714285715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-16.773134328358204</v>
      </c>
      <c r="F14" s="85" t="s">
        <v>129</v>
      </c>
      <c r="G14" s="86">
        <v>2.283582089552239</v>
      </c>
      <c r="H14" s="85" t="s">
        <v>224</v>
      </c>
      <c r="I14" s="87">
        <v>0</v>
      </c>
      <c r="J14" s="85" t="s">
        <v>129</v>
      </c>
      <c r="K14" s="87">
        <v>0.5074626865671642</v>
      </c>
      <c r="L14" s="85" t="s">
        <v>129</v>
      </c>
      <c r="M14" s="88">
        <v>0.22603978300180833</v>
      </c>
      <c r="N14" s="85" t="s">
        <v>186</v>
      </c>
      <c r="O14" s="88">
        <v>0.22033898305084745</v>
      </c>
      <c r="P14" s="85" t="s">
        <v>173</v>
      </c>
      <c r="Q14" s="89">
        <v>6976.5765765765764</v>
      </c>
      <c r="R14" s="85" t="s">
        <v>224</v>
      </c>
      <c r="S14" s="89">
        <v>-12000</v>
      </c>
      <c r="T14" s="85" t="s">
        <v>177</v>
      </c>
      <c r="U14" s="87">
        <v>0.1702127659574468</v>
      </c>
      <c r="V14" s="85" t="s">
        <v>224</v>
      </c>
      <c r="W14" s="87">
        <v>0</v>
      </c>
      <c r="X14" s="85" t="s">
        <v>173</v>
      </c>
      <c r="Y14" s="88">
        <v>0.22933333333333333</v>
      </c>
      <c r="Z14" s="85" t="s">
        <v>225</v>
      </c>
      <c r="AA14" s="88">
        <v>0.125</v>
      </c>
      <c r="AB14" s="85" t="s">
        <v>129</v>
      </c>
      <c r="AC14" s="88">
        <v>0.5</v>
      </c>
      <c r="AD14" s="85" t="s">
        <v>224</v>
      </c>
      <c r="AE14" s="88">
        <v>0</v>
      </c>
      <c r="AF14" s="85" t="s">
        <v>127</v>
      </c>
      <c r="AG14" s="88">
        <v>0.403954802259887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-1123.7999999999997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6579.255319148936</v>
      </c>
      <c r="R15" s="85" t="s">
        <v>225</v>
      </c>
      <c r="S15" s="89">
        <v>-14000</v>
      </c>
      <c r="T15" s="85" t="s">
        <v>129</v>
      </c>
      <c r="U15" s="87">
        <v>0.17910447761194029</v>
      </c>
      <c r="V15" s="85" t="s">
        <v>225</v>
      </c>
      <c r="W15" s="87">
        <v>0</v>
      </c>
      <c r="X15" s="85" t="s">
        <v>172</v>
      </c>
      <c r="Y15" s="88">
        <v>0.22093023255813954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17C8-B4FA-41A2-BCFD-E2187B042FB4}">
  <sheetPr codeName="Sheet4"/>
  <dimension ref="A1:Q5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558</v>
      </c>
      <c r="C2" s="147"/>
      <c r="E2" s="62" t="s">
        <v>67</v>
      </c>
      <c r="F2" s="59" t="s">
        <v>23</v>
      </c>
      <c r="G2" s="46">
        <v>1033</v>
      </c>
      <c r="H2" s="132">
        <f>IF(B$17=0,0,G2/B$17)</f>
        <v>0.74050179211469536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-14.336917562724015</v>
      </c>
      <c r="P2" s="118">
        <v>558</v>
      </c>
      <c r="Q2" s="102">
        <v>-8000</v>
      </c>
    </row>
    <row r="3" spans="1:17" x14ac:dyDescent="0.4">
      <c r="A3" s="55" t="s">
        <v>8</v>
      </c>
      <c r="B3" s="148">
        <v>4656</v>
      </c>
      <c r="C3" s="149"/>
      <c r="E3" s="63" t="s">
        <v>65</v>
      </c>
      <c r="F3" s="60" t="s">
        <v>21</v>
      </c>
      <c r="G3" s="47">
        <v>724</v>
      </c>
      <c r="H3" s="133">
        <f>IF(B$17=0,0,G3/B$17)</f>
        <v>0.51899641577060929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-7.3260073260073257</v>
      </c>
      <c r="P3" s="119">
        <v>546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713</v>
      </c>
      <c r="H4" s="133">
        <f>IF(B$17=0,0,G4/B$17)</f>
        <v>0.51111111111111107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5.8139534883720927</v>
      </c>
      <c r="P4" s="119">
        <v>516</v>
      </c>
      <c r="Q4" s="103">
        <v>3000</v>
      </c>
    </row>
    <row r="5" spans="1:17" x14ac:dyDescent="0.4">
      <c r="A5" s="55" t="s">
        <v>7</v>
      </c>
      <c r="B5" s="152">
        <f>IF(B$2=0,0,B$4/B$2)</f>
        <v>1.2733740784231186E-17</v>
      </c>
      <c r="C5" s="153"/>
      <c r="E5" s="63" t="s">
        <v>181</v>
      </c>
      <c r="F5" s="60" t="s">
        <v>182</v>
      </c>
      <c r="G5" s="47">
        <v>576</v>
      </c>
      <c r="H5" s="133">
        <f>IF(B$17=0,0,G5/B$17)</f>
        <v>0.41290322580645161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12.820512820512821</v>
      </c>
      <c r="P5" s="119">
        <v>468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439</v>
      </c>
      <c r="H6" s="133">
        <f>IF(B$17=0,0,G6/B$17)</f>
        <v>0.3146953405017921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-14.285714285714286</v>
      </c>
      <c r="P6" s="119">
        <v>420</v>
      </c>
      <c r="Q6" s="103">
        <v>-6000</v>
      </c>
    </row>
    <row r="7" spans="1:17" x14ac:dyDescent="0.4">
      <c r="A7" s="55" t="s">
        <v>2</v>
      </c>
      <c r="B7" s="47">
        <v>186</v>
      </c>
      <c r="C7" s="39">
        <f>IF(B$2=0,0,B7/B$2)</f>
        <v>0.33333333333333331</v>
      </c>
      <c r="E7" s="63" t="s">
        <v>68</v>
      </c>
      <c r="F7" s="60" t="s">
        <v>24</v>
      </c>
      <c r="G7" s="47">
        <v>417</v>
      </c>
      <c r="H7" s="133">
        <f>IF(B$17=0,0,G7/B$17)</f>
        <v>0.29892473118279572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23.622047244094489</v>
      </c>
      <c r="P7" s="120">
        <v>381</v>
      </c>
      <c r="Q7" s="104">
        <v>9000</v>
      </c>
    </row>
    <row r="8" spans="1:17" x14ac:dyDescent="0.4">
      <c r="A8" s="55" t="s">
        <v>3</v>
      </c>
      <c r="B8" s="47">
        <v>186</v>
      </c>
      <c r="C8" s="39">
        <f>IF(B$2=0,0,B8/B$2)</f>
        <v>0.33333333333333331</v>
      </c>
      <c r="E8" s="63" t="s">
        <v>70</v>
      </c>
      <c r="F8" s="60" t="s">
        <v>25</v>
      </c>
      <c r="G8" s="47">
        <v>252</v>
      </c>
      <c r="H8" s="133">
        <f>IF(B$17=0,0,G8/B$17)</f>
        <v>0.18064516129032257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186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172</v>
      </c>
      <c r="H9" s="133">
        <f>IF(B$17=0,0,G9/B$17)</f>
        <v>0.12329749103942653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63</v>
      </c>
      <c r="C10" s="40">
        <f>IF(B$2=0,0,B10/B$2)</f>
        <v>0.11290322580645161</v>
      </c>
      <c r="E10" s="63" t="s">
        <v>90</v>
      </c>
      <c r="F10" s="60" t="s">
        <v>45</v>
      </c>
      <c r="G10" s="47">
        <v>169</v>
      </c>
      <c r="H10" s="133">
        <f>IF(B$17=0,0,G10/B$17)</f>
        <v>0.12114695340501792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-3.0451612903225804</v>
      </c>
      <c r="P10" s="118">
        <v>186</v>
      </c>
      <c r="Q10" s="106">
        <v>-566.4</v>
      </c>
    </row>
    <row r="11" spans="1:17" x14ac:dyDescent="0.4">
      <c r="A11" s="56" t="s">
        <v>140</v>
      </c>
      <c r="B11" s="48">
        <v>63</v>
      </c>
      <c r="C11" s="40">
        <f>IF(B$2=0,0,B11/B$2)</f>
        <v>0.11290322580645161</v>
      </c>
      <c r="E11" s="63" t="s">
        <v>71</v>
      </c>
      <c r="F11" s="60" t="s">
        <v>26</v>
      </c>
      <c r="G11" s="47">
        <v>142</v>
      </c>
      <c r="H11" s="133">
        <f>IF(B$17=0,0,G11/B$17)</f>
        <v>0.1017921146953405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-0.38709677419354854</v>
      </c>
      <c r="P11" s="119">
        <v>186</v>
      </c>
      <c r="Q11" s="107">
        <v>-72.000000000000028</v>
      </c>
    </row>
    <row r="12" spans="1:17" x14ac:dyDescent="0.4">
      <c r="A12" s="57" t="s">
        <v>160</v>
      </c>
      <c r="B12" s="49">
        <v>48</v>
      </c>
      <c r="C12" s="42">
        <f>IF(B$2=0,0,B12/B$2)</f>
        <v>8.6021505376344093E-2</v>
      </c>
      <c r="E12" s="63" t="s">
        <v>72</v>
      </c>
      <c r="F12" s="60" t="s">
        <v>27</v>
      </c>
      <c r="G12" s="47">
        <v>93</v>
      </c>
      <c r="H12" s="133">
        <f>IF(B$17=0,0,G12/B$17)</f>
        <v>6.6666666666666666E-2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3.4322580645161294</v>
      </c>
      <c r="P12" s="120">
        <v>186</v>
      </c>
      <c r="Q12" s="108">
        <v>638.40000000000009</v>
      </c>
    </row>
    <row r="13" spans="1:17" x14ac:dyDescent="0.4">
      <c r="A13" s="58" t="s">
        <v>122</v>
      </c>
      <c r="B13" s="50">
        <v>1304</v>
      </c>
      <c r="C13" s="44">
        <f>IF(B$3=0,0,B13/B$3)</f>
        <v>0.28006872852233677</v>
      </c>
      <c r="E13" s="63" t="s">
        <v>87</v>
      </c>
      <c r="F13" s="60" t="s">
        <v>42</v>
      </c>
      <c r="G13" s="47">
        <v>77</v>
      </c>
      <c r="H13" s="133">
        <f>IF(B$17=0,0,G13/B$17)</f>
        <v>5.5197132616487454E-2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977</v>
      </c>
      <c r="C14" s="39">
        <f>IF(B$3=0,0,B14/B$3)</f>
        <v>0.20983676975945018</v>
      </c>
      <c r="E14" s="63" t="s">
        <v>84</v>
      </c>
      <c r="F14" s="60" t="s">
        <v>39</v>
      </c>
      <c r="G14" s="47">
        <v>61</v>
      </c>
      <c r="H14" s="133">
        <f>IF(B$17=0,0,G14/B$17)</f>
        <v>4.3727598566308243E-2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758</v>
      </c>
      <c r="C15" s="37">
        <f>IF(B$13=0,0,B15/B$13)</f>
        <v>0.58128834355828218</v>
      </c>
      <c r="E15" s="63" t="s">
        <v>82</v>
      </c>
      <c r="F15" s="60" t="s">
        <v>37</v>
      </c>
      <c r="G15" s="47">
        <v>39</v>
      </c>
      <c r="H15" s="133">
        <f>IF(B$17=0,0,G15/B$17)</f>
        <v>2.7956989247311829E-2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382</v>
      </c>
      <c r="C16" s="37">
        <f>IF(B$14=0,0,B16/B$14)</f>
        <v>0.39099283520982597</v>
      </c>
      <c r="E16" s="63" t="s">
        <v>79</v>
      </c>
      <c r="F16" s="60" t="s">
        <v>34</v>
      </c>
      <c r="G16" s="47">
        <v>36</v>
      </c>
      <c r="H16" s="133">
        <f>IF(B$17=0,0,G16/B$17)</f>
        <v>2.5806451612903226E-2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25.159701492537334</v>
      </c>
      <c r="P16" s="119">
        <v>134</v>
      </c>
      <c r="Q16" s="107">
        <v>3371.4000000000028</v>
      </c>
    </row>
    <row r="17" spans="1:17" x14ac:dyDescent="0.4">
      <c r="A17" s="54" t="s">
        <v>10</v>
      </c>
      <c r="B17" s="46">
        <f>B19+B18</f>
        <v>1395</v>
      </c>
      <c r="C17" s="37">
        <f>IF(B$3=0,0,B17/B$3)</f>
        <v>0.29961340206185566</v>
      </c>
      <c r="E17" s="63" t="s">
        <v>92</v>
      </c>
      <c r="F17" s="60" t="s">
        <v>47</v>
      </c>
      <c r="G17" s="47">
        <v>27</v>
      </c>
      <c r="H17" s="133">
        <f>IF(B$17=0,0,G17/B$17)</f>
        <v>1.935483870967742E-2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608</v>
      </c>
      <c r="C18" s="39">
        <f>IF(B$17=0,0,B18/B$17)</f>
        <v>0.43584229390681006</v>
      </c>
      <c r="E18" s="63" t="s">
        <v>80</v>
      </c>
      <c r="F18" s="60" t="s">
        <v>35</v>
      </c>
      <c r="G18" s="47">
        <v>22</v>
      </c>
      <c r="H18" s="133">
        <f>IF(B$17=0,0,G18/B$17)</f>
        <v>1.5770609318996417E-2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10.10581395348837</v>
      </c>
      <c r="P18" s="119">
        <v>86</v>
      </c>
      <c r="Q18" s="107">
        <v>869.0999999999998</v>
      </c>
    </row>
    <row r="19" spans="1:17" x14ac:dyDescent="0.4">
      <c r="A19" s="55" t="s">
        <v>11</v>
      </c>
      <c r="B19" s="47">
        <v>787</v>
      </c>
      <c r="C19" s="39">
        <f>IF(B$17=0,0,B19/B$17)</f>
        <v>0.56415770609318994</v>
      </c>
      <c r="E19" s="63" t="s">
        <v>180</v>
      </c>
      <c r="F19" s="60" t="s">
        <v>183</v>
      </c>
      <c r="G19" s="47">
        <v>21</v>
      </c>
      <c r="H19" s="133">
        <f>IF(B$17=0,0,G19/B$17)</f>
        <v>1.5053763440860216E-2</v>
      </c>
      <c r="I19" s="94">
        <v>4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779</v>
      </c>
      <c r="C20" s="39">
        <f>IF(B$3=0,0,B20/B$3)</f>
        <v>0.16731099656357387</v>
      </c>
      <c r="E20" s="63" t="s">
        <v>76</v>
      </c>
      <c r="F20" s="60" t="s">
        <v>31</v>
      </c>
      <c r="G20" s="47">
        <v>9</v>
      </c>
      <c r="H20" s="133">
        <f>IF(B$17=0,0,G20/B$17)</f>
        <v>6.4516129032258064E-3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5.7347670250896057E-3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-0.5593220338983067</v>
      </c>
      <c r="P21" s="119">
        <v>118</v>
      </c>
      <c r="Q21" s="107">
        <v>-66.000000000000185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6</v>
      </c>
      <c r="H22" s="133">
        <f>IF(B$17=0,0,G22/B$17)</f>
        <v>4.3010752688172043E-3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-2.2691489361702146</v>
      </c>
      <c r="P22" s="119">
        <v>94</v>
      </c>
      <c r="Q22" s="107">
        <v>-213.30000000000018</v>
      </c>
    </row>
    <row r="23" spans="1:17" x14ac:dyDescent="0.4">
      <c r="A23" s="55" t="s">
        <v>5</v>
      </c>
      <c r="B23" s="51">
        <f>IF(B$17=0,0,C23/B$17)</f>
        <v>8641.2903225806458</v>
      </c>
      <c r="C23" s="41">
        <v>12054600</v>
      </c>
      <c r="E23" s="63" t="s">
        <v>93</v>
      </c>
      <c r="F23" s="60" t="s">
        <v>48</v>
      </c>
      <c r="G23" s="47">
        <v>6</v>
      </c>
      <c r="H23" s="133">
        <f>IF(B$17=0,0,G23/B$17)</f>
        <v>4.3010752688172043E-3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-3.3453947368421031</v>
      </c>
      <c r="P23" s="119">
        <v>152</v>
      </c>
      <c r="Q23" s="107">
        <v>-508.49999999999966</v>
      </c>
    </row>
    <row r="24" spans="1:17" x14ac:dyDescent="0.4">
      <c r="A24" s="57" t="s">
        <v>14</v>
      </c>
      <c r="B24" s="52">
        <f>IF(B$20=0,0,C24/B$20)</f>
        <v>-8221.5661103979455</v>
      </c>
      <c r="C24" s="45">
        <v>-6404600</v>
      </c>
      <c r="E24" s="63" t="s">
        <v>88</v>
      </c>
      <c r="F24" s="60" t="s">
        <v>43</v>
      </c>
      <c r="G24" s="47">
        <v>5</v>
      </c>
      <c r="H24" s="133">
        <f>IF(B$17=0,0,G24/B$17)</f>
        <v>3.5842293906810036E-3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-19.262399999999975</v>
      </c>
      <c r="P24" s="119">
        <v>250</v>
      </c>
      <c r="Q24" s="107">
        <v>-4815.599999999994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3.5842293906810036E-3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4</v>
      </c>
      <c r="H26" s="133">
        <f>IF(B$17=0,0,G26/B$17)</f>
        <v>2.8673835125448029E-3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3.0068728522336771E-3</v>
      </c>
      <c r="E27" s="63" t="s">
        <v>78</v>
      </c>
      <c r="F27" s="60" t="s">
        <v>33</v>
      </c>
      <c r="G27" s="47">
        <v>3</v>
      </c>
      <c r="H27" s="133">
        <f>IF(B$17=0,0,G27/B$17)</f>
        <v>2.1505376344086021E-3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2.1505376344086021E-3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1.4336917562724014E-3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1.4336917562724014E-3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1.4336917562724014E-3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7.1684587813620072E-4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-0.79999999999999294</v>
      </c>
    </row>
    <row r="559" spans="11:12" x14ac:dyDescent="0.4">
      <c r="K559" s="38">
        <v>557</v>
      </c>
      <c r="L559" s="99">
        <v>23.400000000000006</v>
      </c>
    </row>
    <row r="560" spans="11:12" x14ac:dyDescent="0.4">
      <c r="K560" s="38">
        <v>558</v>
      </c>
      <c r="L560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16FD-1D7B-43C9-8428-0CD1C8A80EB5}">
  <sheetPr codeName="Sheet7"/>
  <dimension ref="A1:Q12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125</v>
      </c>
      <c r="C2" s="147"/>
      <c r="E2" s="62" t="s">
        <v>67</v>
      </c>
      <c r="F2" s="59" t="s">
        <v>23</v>
      </c>
      <c r="G2" s="46">
        <v>264</v>
      </c>
      <c r="H2" s="132">
        <f>IF(B$17=0,0,G2/B$17)</f>
        <v>0.74576271186440679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1484.8</v>
      </c>
      <c r="P2" s="118">
        <v>125</v>
      </c>
      <c r="Q2" s="102">
        <v>185600</v>
      </c>
    </row>
    <row r="3" spans="1:17" x14ac:dyDescent="0.4">
      <c r="A3" s="55" t="s">
        <v>8</v>
      </c>
      <c r="B3" s="148">
        <v>1017</v>
      </c>
      <c r="C3" s="149"/>
      <c r="E3" s="63" t="s">
        <v>73</v>
      </c>
      <c r="F3" s="60" t="s">
        <v>28</v>
      </c>
      <c r="G3" s="47">
        <v>201</v>
      </c>
      <c r="H3" s="133">
        <f>IF(B$17=0,0,G3/B$17)</f>
        <v>0.56779661016949157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1267.2131147540983</v>
      </c>
      <c r="P3" s="119">
        <v>122</v>
      </c>
      <c r="Q3" s="103">
        <v>154600</v>
      </c>
    </row>
    <row r="4" spans="1:17" x14ac:dyDescent="0.4">
      <c r="A4" s="55" t="s">
        <v>6</v>
      </c>
      <c r="B4" s="150">
        <v>1605.200000000001</v>
      </c>
      <c r="C4" s="151"/>
      <c r="E4" s="63" t="s">
        <v>65</v>
      </c>
      <c r="F4" s="60" t="s">
        <v>21</v>
      </c>
      <c r="G4" s="47">
        <v>176</v>
      </c>
      <c r="H4" s="133">
        <f>IF(B$17=0,0,G4/B$17)</f>
        <v>0.49717514124293788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1444.8275862068965</v>
      </c>
      <c r="P4" s="119">
        <v>116</v>
      </c>
      <c r="Q4" s="103">
        <v>167600</v>
      </c>
    </row>
    <row r="5" spans="1:17" x14ac:dyDescent="0.4">
      <c r="A5" s="55" t="s">
        <v>7</v>
      </c>
      <c r="B5" s="152">
        <f>IF(B$2=0,0,B$4/B$2)</f>
        <v>12.841600000000007</v>
      </c>
      <c r="C5" s="153"/>
      <c r="E5" s="63" t="s">
        <v>181</v>
      </c>
      <c r="F5" s="60" t="s">
        <v>182</v>
      </c>
      <c r="G5" s="47">
        <v>145</v>
      </c>
      <c r="H5" s="133">
        <f>IF(B$17=0,0,G5/B$17)</f>
        <v>0.4096045197740113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2476.4150943396226</v>
      </c>
      <c r="P5" s="119">
        <v>106</v>
      </c>
      <c r="Q5" s="103">
        <v>262500</v>
      </c>
    </row>
    <row r="6" spans="1:17" x14ac:dyDescent="0.4">
      <c r="A6" s="55" t="s">
        <v>1</v>
      </c>
      <c r="B6" s="142">
        <f>IF(B$2=0,0,(B$7*1+B$8*2+B$9*3)/B$2)</f>
        <v>1.728</v>
      </c>
      <c r="C6" s="143"/>
      <c r="E6" s="63" t="s">
        <v>68</v>
      </c>
      <c r="F6" s="60" t="s">
        <v>24</v>
      </c>
      <c r="G6" s="47">
        <v>105</v>
      </c>
      <c r="H6" s="133">
        <f>IF(B$17=0,0,G6/B$17)</f>
        <v>0.29661016949152541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847.31182795698919</v>
      </c>
      <c r="P6" s="119">
        <v>93</v>
      </c>
      <c r="Q6" s="103">
        <v>78800</v>
      </c>
    </row>
    <row r="7" spans="1:17" x14ac:dyDescent="0.4">
      <c r="A7" s="55" t="s">
        <v>2</v>
      </c>
      <c r="B7" s="47">
        <v>62</v>
      </c>
      <c r="C7" s="39">
        <f>IF(B$2=0,0,B7/B$2)</f>
        <v>0.496</v>
      </c>
      <c r="E7" s="63" t="s">
        <v>69</v>
      </c>
      <c r="F7" s="60" t="s">
        <v>12</v>
      </c>
      <c r="G7" s="47">
        <v>91</v>
      </c>
      <c r="H7" s="133">
        <f>IF(B$17=0,0,G7/B$17)</f>
        <v>0.25706214689265539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867.07317073170736</v>
      </c>
      <c r="P7" s="120">
        <v>82</v>
      </c>
      <c r="Q7" s="104">
        <v>71100</v>
      </c>
    </row>
    <row r="8" spans="1:17" x14ac:dyDescent="0.4">
      <c r="A8" s="55" t="s">
        <v>3</v>
      </c>
      <c r="B8" s="47">
        <v>35</v>
      </c>
      <c r="C8" s="39">
        <f>IF(B$2=0,0,B8/B$2)</f>
        <v>0.28000000000000003</v>
      </c>
      <c r="E8" s="63" t="s">
        <v>70</v>
      </c>
      <c r="F8" s="60" t="s">
        <v>25</v>
      </c>
      <c r="G8" s="47">
        <v>61</v>
      </c>
      <c r="H8" s="133">
        <f>IF(B$17=0,0,G8/B$17)</f>
        <v>0.17231638418079095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0.224</v>
      </c>
      <c r="E9" s="63" t="s">
        <v>90</v>
      </c>
      <c r="F9" s="60" t="s">
        <v>45</v>
      </c>
      <c r="G9" s="47">
        <v>53</v>
      </c>
      <c r="H9" s="133">
        <f>IF(B$17=0,0,G9/B$17)</f>
        <v>0.14971751412429379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0.104</v>
      </c>
      <c r="E10" s="63" t="s">
        <v>66</v>
      </c>
      <c r="F10" s="60" t="s">
        <v>22</v>
      </c>
      <c r="G10" s="47">
        <v>51</v>
      </c>
      <c r="H10" s="133">
        <f>IF(B$17=0,0,G10/B$17)</f>
        <v>0.1440677966101695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15.534285714285716</v>
      </c>
      <c r="P10" s="118">
        <v>35</v>
      </c>
      <c r="Q10" s="106">
        <v>543.70000000000005</v>
      </c>
    </row>
    <row r="11" spans="1:17" x14ac:dyDescent="0.4">
      <c r="A11" s="56" t="s">
        <v>140</v>
      </c>
      <c r="B11" s="48">
        <v>21</v>
      </c>
      <c r="C11" s="40">
        <f>IF(B$2=0,0,B11/B$2)</f>
        <v>0.16800000000000001</v>
      </c>
      <c r="E11" s="63" t="s">
        <v>71</v>
      </c>
      <c r="F11" s="60" t="s">
        <v>26</v>
      </c>
      <c r="G11" s="47">
        <v>34</v>
      </c>
      <c r="H11" s="133">
        <f>IF(B$17=0,0,G11/B$17)</f>
        <v>9.6045197740112997E-2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0.152</v>
      </c>
      <c r="E12" s="63" t="s">
        <v>72</v>
      </c>
      <c r="F12" s="60" t="s">
        <v>27</v>
      </c>
      <c r="G12" s="47">
        <v>25</v>
      </c>
      <c r="H12" s="133">
        <f>IF(B$17=0,0,G12/B$17)</f>
        <v>7.0621468926553674E-2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13.86274509803922</v>
      </c>
      <c r="P12" s="120">
        <v>51</v>
      </c>
      <c r="Q12" s="108">
        <v>707.00000000000023</v>
      </c>
    </row>
    <row r="13" spans="1:17" x14ac:dyDescent="0.4">
      <c r="A13" s="58" t="s">
        <v>122</v>
      </c>
      <c r="B13" s="50">
        <v>335</v>
      </c>
      <c r="C13" s="44">
        <f>IF(B$3=0,0,B13/B$3)</f>
        <v>0.32940019665683384</v>
      </c>
      <c r="E13" s="63" t="s">
        <v>87</v>
      </c>
      <c r="F13" s="60" t="s">
        <v>42</v>
      </c>
      <c r="G13" s="47">
        <v>24</v>
      </c>
      <c r="H13" s="133">
        <f>IF(B$17=0,0,G13/B$17)</f>
        <v>6.7796610169491525E-2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222</v>
      </c>
      <c r="C14" s="39">
        <f>IF(B$3=0,0,B14/B$3)</f>
        <v>0.21828908554572271</v>
      </c>
      <c r="E14" s="63" t="s">
        <v>84</v>
      </c>
      <c r="F14" s="60" t="s">
        <v>39</v>
      </c>
      <c r="G14" s="47">
        <v>17</v>
      </c>
      <c r="H14" s="133">
        <f>IF(B$17=0,0,G14/B$17)</f>
        <v>4.8022598870056499E-2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191</v>
      </c>
      <c r="C15" s="37">
        <f>IF(B$13=0,0,B15/B$13)</f>
        <v>0.57014925373134329</v>
      </c>
      <c r="E15" s="63" t="s">
        <v>180</v>
      </c>
      <c r="F15" s="60" t="s">
        <v>183</v>
      </c>
      <c r="G15" s="47">
        <v>12</v>
      </c>
      <c r="H15" s="133">
        <f>IF(B$17=0,0,G15/B$17)</f>
        <v>3.3898305084745763E-2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114</v>
      </c>
      <c r="C16" s="37">
        <f>IF(B$14=0,0,B16/B$14)</f>
        <v>0.51351351351351349</v>
      </c>
      <c r="E16" s="63" t="s">
        <v>82</v>
      </c>
      <c r="F16" s="60" t="s">
        <v>37</v>
      </c>
      <c r="G16" s="47">
        <v>11</v>
      </c>
      <c r="H16" s="133">
        <f>IF(B$17=0,0,G16/B$17)</f>
        <v>3.1073446327683617E-2</v>
      </c>
      <c r="I16" s="94">
        <v>4</v>
      </c>
      <c r="K16" s="38">
        <v>14</v>
      </c>
      <c r="L16" s="99">
        <v>473.50000000000006</v>
      </c>
      <c r="N16" s="115" t="s">
        <v>129</v>
      </c>
      <c r="O16" s="125">
        <f>IF(P16=0,0,Q16/P16)</f>
        <v>35.342500000000008</v>
      </c>
      <c r="P16" s="119">
        <v>40</v>
      </c>
      <c r="Q16" s="107">
        <v>1413.7000000000003</v>
      </c>
    </row>
    <row r="17" spans="1:17" x14ac:dyDescent="0.4">
      <c r="A17" s="54" t="s">
        <v>10</v>
      </c>
      <c r="B17" s="46">
        <f>B19+B18</f>
        <v>354</v>
      </c>
      <c r="C17" s="37">
        <f>IF(B$3=0,0,B17/B$3)</f>
        <v>0.34808259587020651</v>
      </c>
      <c r="E17" s="63" t="s">
        <v>79</v>
      </c>
      <c r="F17" s="60" t="s">
        <v>34</v>
      </c>
      <c r="G17" s="47">
        <v>7</v>
      </c>
      <c r="H17" s="133">
        <f>IF(B$17=0,0,G17/B$17)</f>
        <v>1.977401129943503E-2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29.850000000000005</v>
      </c>
      <c r="P17" s="119">
        <v>20</v>
      </c>
      <c r="Q17" s="107">
        <v>597.00000000000011</v>
      </c>
    </row>
    <row r="18" spans="1:17" x14ac:dyDescent="0.4">
      <c r="A18" s="55" t="s">
        <v>12</v>
      </c>
      <c r="B18" s="47">
        <v>143</v>
      </c>
      <c r="C18" s="39">
        <f>IF(B$17=0,0,B18/B$17)</f>
        <v>0.403954802259887</v>
      </c>
      <c r="E18" s="63" t="s">
        <v>92</v>
      </c>
      <c r="F18" s="60" t="s">
        <v>47</v>
      </c>
      <c r="G18" s="47">
        <v>7</v>
      </c>
      <c r="H18" s="133">
        <f>IF(B$17=0,0,G18/B$17)</f>
        <v>1.977401129943503E-2</v>
      </c>
      <c r="I18" s="94">
        <v>4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211</v>
      </c>
      <c r="C19" s="39">
        <f>IF(B$17=0,0,B19/B$17)</f>
        <v>0.596045197740113</v>
      </c>
      <c r="E19" s="63" t="s">
        <v>80</v>
      </c>
      <c r="F19" s="60" t="s">
        <v>35</v>
      </c>
      <c r="G19" s="47">
        <v>5</v>
      </c>
      <c r="H19" s="133">
        <f>IF(B$17=0,0,G19/B$17)</f>
        <v>1.4124293785310734E-2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24.890322580645162</v>
      </c>
      <c r="P19" s="119">
        <v>31</v>
      </c>
      <c r="Q19" s="107">
        <v>771.6</v>
      </c>
    </row>
    <row r="20" spans="1:17" x14ac:dyDescent="0.4">
      <c r="A20" s="55" t="s">
        <v>13</v>
      </c>
      <c r="B20" s="47">
        <v>157</v>
      </c>
      <c r="C20" s="39">
        <f>IF(B$3=0,0,B20/B$3)</f>
        <v>0.15437561455260571</v>
      </c>
      <c r="E20" s="63" t="s">
        <v>74</v>
      </c>
      <c r="F20" s="60" t="s">
        <v>29</v>
      </c>
      <c r="G20" s="47">
        <v>2</v>
      </c>
      <c r="H20" s="133">
        <f>IF(B$17=0,0,G20/B$17)</f>
        <v>5.6497175141242938E-3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5.6497175141242938E-3</v>
      </c>
      <c r="I21" s="94">
        <v>3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76</v>
      </c>
      <c r="F22" s="60" t="s">
        <v>31</v>
      </c>
      <c r="G22" s="47">
        <v>1</v>
      </c>
      <c r="H22" s="133">
        <f>IF(B$17=0,0,G22/B$17)</f>
        <v>2.8248587570621469E-3</v>
      </c>
      <c r="I22" s="94">
        <v>7</v>
      </c>
      <c r="K22" s="38">
        <v>20</v>
      </c>
      <c r="L22" s="99">
        <v>469.6</v>
      </c>
      <c r="N22" s="115" t="s">
        <v>128</v>
      </c>
      <c r="O22" s="125">
        <f>IF(P22=0,0,Q22/P22)</f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9159.3220338983047</v>
      </c>
      <c r="C23" s="41">
        <v>3242400</v>
      </c>
      <c r="E23" s="63" t="s">
        <v>78</v>
      </c>
      <c r="F23" s="60" t="s">
        <v>33</v>
      </c>
      <c r="G23" s="47">
        <v>1</v>
      </c>
      <c r="H23" s="133">
        <f>IF(B$17=0,0,G23/B$17)</f>
        <v>2.8248587570621469E-3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-2.1066666666666696</v>
      </c>
      <c r="P23" s="119">
        <v>45</v>
      </c>
      <c r="Q23" s="107">
        <v>-94.800000000000139</v>
      </c>
    </row>
    <row r="24" spans="1:17" x14ac:dyDescent="0.4">
      <c r="A24" s="57" t="s">
        <v>14</v>
      </c>
      <c r="B24" s="52">
        <f>IF(B$20=0,0,C24/B$20)</f>
        <v>-8134.3949044585988</v>
      </c>
      <c r="C24" s="45">
        <v>-1277100</v>
      </c>
      <c r="E24" s="63" t="s">
        <v>85</v>
      </c>
      <c r="F24" s="60" t="s">
        <v>40</v>
      </c>
      <c r="G24" s="47">
        <v>1</v>
      </c>
      <c r="H24" s="133">
        <f>IF(B$17=0,0,G24/B$17)</f>
        <v>2.8248587570621469E-3</v>
      </c>
      <c r="I24" s="94">
        <v>4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86</v>
      </c>
      <c r="F25" s="60" t="s">
        <v>41</v>
      </c>
      <c r="G25" s="47">
        <v>1</v>
      </c>
      <c r="H25" s="133">
        <f>IF(B$17=0,0,G25/B$17)</f>
        <v>2.8248587570621469E-3</v>
      </c>
      <c r="I25" s="94">
        <v>2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1</v>
      </c>
      <c r="H26" s="133">
        <f>IF(B$17=0,0,G26/B$17)</f>
        <v>2.8248587570621469E-3</v>
      </c>
      <c r="I26" s="94">
        <v>6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9.8328416912487715E-4</v>
      </c>
      <c r="E27" s="63" t="s">
        <v>91</v>
      </c>
      <c r="F27" s="60" t="s">
        <v>46</v>
      </c>
      <c r="G27" s="47">
        <v>1</v>
      </c>
      <c r="H27" s="133">
        <f>IF(B$17=0,0,G27/B$17)</f>
        <v>2.8248587570621469E-3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2.8248587570621469E-3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2.8248587570621469E-3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1605.200000000001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8118-3A13-46AA-BDAA-4B416E5635C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E2:I11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C4E6-4960-44B9-84DF-0C7256D0DAEE}">
  <sheetPr codeName="Sheet11"/>
  <dimension ref="A1:Q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67</v>
      </c>
      <c r="C2" s="147"/>
      <c r="E2" s="62" t="s">
        <v>67</v>
      </c>
      <c r="F2" s="59" t="s">
        <v>23</v>
      </c>
      <c r="G2" s="46">
        <v>111</v>
      </c>
      <c r="H2" s="132">
        <f>IF(B$17=0,0,G2/B$17)</f>
        <v>0.88800000000000001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-1743.2835820895523</v>
      </c>
      <c r="P2" s="118">
        <v>67</v>
      </c>
      <c r="Q2" s="102">
        <v>-116800</v>
      </c>
    </row>
    <row r="3" spans="1:17" x14ac:dyDescent="0.4">
      <c r="A3" s="55" t="s">
        <v>8</v>
      </c>
      <c r="B3" s="148">
        <v>553</v>
      </c>
      <c r="C3" s="149"/>
      <c r="E3" s="63" t="s">
        <v>65</v>
      </c>
      <c r="F3" s="60" t="s">
        <v>21</v>
      </c>
      <c r="G3" s="47">
        <v>71</v>
      </c>
      <c r="H3" s="133">
        <f>IF(B$17=0,0,G3/B$17)</f>
        <v>0.56799999999999995</v>
      </c>
      <c r="I3" s="94">
        <v>6</v>
      </c>
      <c r="K3" s="38">
        <v>1</v>
      </c>
      <c r="L3" s="99">
        <v>-40.4</v>
      </c>
      <c r="N3" s="115" t="s">
        <v>133</v>
      </c>
      <c r="O3" s="122">
        <f t="shared" si="0"/>
        <v>-1200</v>
      </c>
      <c r="P3" s="119">
        <v>65</v>
      </c>
      <c r="Q3" s="103">
        <v>-78000</v>
      </c>
    </row>
    <row r="4" spans="1:17" x14ac:dyDescent="0.4">
      <c r="A4" s="55" t="s">
        <v>6</v>
      </c>
      <c r="B4" s="150">
        <v>-1123.7999999999997</v>
      </c>
      <c r="C4" s="151"/>
      <c r="E4" s="63" t="s">
        <v>69</v>
      </c>
      <c r="F4" s="60" t="s">
        <v>12</v>
      </c>
      <c r="G4" s="47">
        <v>53</v>
      </c>
      <c r="H4" s="133">
        <f>IF(B$17=0,0,G4/B$17)</f>
        <v>0.42399999999999999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-1018.0327868852459</v>
      </c>
      <c r="P4" s="119">
        <v>61</v>
      </c>
      <c r="Q4" s="103">
        <v>-62100</v>
      </c>
    </row>
    <row r="5" spans="1:17" x14ac:dyDescent="0.4">
      <c r="A5" s="55" t="s">
        <v>7</v>
      </c>
      <c r="B5" s="152">
        <f>IF(B$2=0,0,B$4/B$2)</f>
        <v>-16.773134328358204</v>
      </c>
      <c r="C5" s="153"/>
      <c r="E5" s="63" t="s">
        <v>181</v>
      </c>
      <c r="F5" s="60" t="s">
        <v>182</v>
      </c>
      <c r="G5" s="47">
        <v>48</v>
      </c>
      <c r="H5" s="133">
        <f>IF(B$17=0,0,G5/B$17)</f>
        <v>0.38400000000000001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-5413.2075471698117</v>
      </c>
      <c r="P5" s="119">
        <v>53</v>
      </c>
      <c r="Q5" s="103">
        <v>-286900</v>
      </c>
    </row>
    <row r="6" spans="1:17" x14ac:dyDescent="0.4">
      <c r="A6" s="55" t="s">
        <v>1</v>
      </c>
      <c r="B6" s="142">
        <f>IF(B$2=0,0,(B$7*1+B$8*2+B$9*3)/B$2)</f>
        <v>2.283582089552239</v>
      </c>
      <c r="C6" s="143"/>
      <c r="E6" s="63" t="s">
        <v>73</v>
      </c>
      <c r="F6" s="60" t="s">
        <v>28</v>
      </c>
      <c r="G6" s="47">
        <v>43</v>
      </c>
      <c r="H6" s="133">
        <f>IF(B$17=0,0,G6/B$17)</f>
        <v>0.34399999999999997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-2142.5531914893618</v>
      </c>
      <c r="P6" s="119">
        <v>47</v>
      </c>
      <c r="Q6" s="103">
        <v>-100700</v>
      </c>
    </row>
    <row r="7" spans="1:17" x14ac:dyDescent="0.4">
      <c r="A7" s="55" t="s">
        <v>2</v>
      </c>
      <c r="B7" s="47">
        <v>15</v>
      </c>
      <c r="C7" s="39">
        <f>IF(B$2=0,0,B7/B$2)</f>
        <v>0.22388059701492538</v>
      </c>
      <c r="E7" s="63" t="s">
        <v>68</v>
      </c>
      <c r="F7" s="60" t="s">
        <v>24</v>
      </c>
      <c r="G7" s="47">
        <v>41</v>
      </c>
      <c r="H7" s="133">
        <f>IF(B$17=0,0,G7/B$17)</f>
        <v>0.32800000000000001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-2100</v>
      </c>
      <c r="P7" s="120">
        <v>44</v>
      </c>
      <c r="Q7" s="104">
        <v>-92400</v>
      </c>
    </row>
    <row r="8" spans="1:17" x14ac:dyDescent="0.4">
      <c r="A8" s="55" t="s">
        <v>3</v>
      </c>
      <c r="B8" s="47">
        <v>18</v>
      </c>
      <c r="C8" s="39">
        <f>IF(B$2=0,0,B8/B$2)</f>
        <v>0.26865671641791045</v>
      </c>
      <c r="E8" s="63" t="s">
        <v>70</v>
      </c>
      <c r="F8" s="60" t="s">
        <v>25</v>
      </c>
      <c r="G8" s="47">
        <v>27</v>
      </c>
      <c r="H8" s="133">
        <f>IF(B$17=0,0,G8/B$17)</f>
        <v>0.216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0.5074626865671642</v>
      </c>
      <c r="E9" s="63" t="s">
        <v>71</v>
      </c>
      <c r="F9" s="60" t="s">
        <v>26</v>
      </c>
      <c r="G9" s="47">
        <v>20</v>
      </c>
      <c r="H9" s="133">
        <f>IF(B$17=0,0,G9/B$17)</f>
        <v>0.16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0.17910447761194029</v>
      </c>
      <c r="E10" s="63" t="s">
        <v>72</v>
      </c>
      <c r="F10" s="60" t="s">
        <v>27</v>
      </c>
      <c r="G10" s="47">
        <v>13</v>
      </c>
      <c r="H10" s="133">
        <f>IF(B$17=0,0,G10/B$17)</f>
        <v>0.104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7</v>
      </c>
      <c r="C11" s="40">
        <f>IF(B$2=0,0,B11/B$2)</f>
        <v>0.1044776119402985</v>
      </c>
      <c r="E11" s="63" t="s">
        <v>90</v>
      </c>
      <c r="F11" s="60" t="s">
        <v>45</v>
      </c>
      <c r="G11" s="47">
        <v>11</v>
      </c>
      <c r="H11" s="133">
        <f>IF(B$17=0,0,G11/B$17)</f>
        <v>8.7999999999999995E-2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-13.321428571428575</v>
      </c>
      <c r="P11" s="119">
        <v>28</v>
      </c>
      <c r="Q11" s="107">
        <v>-373.00000000000011</v>
      </c>
    </row>
    <row r="12" spans="1:17" x14ac:dyDescent="0.4">
      <c r="A12" s="57" t="s">
        <v>160</v>
      </c>
      <c r="B12" s="49">
        <v>5</v>
      </c>
      <c r="C12" s="42">
        <f>IF(B$2=0,0,B12/B$2)</f>
        <v>7.4626865671641784E-2</v>
      </c>
      <c r="E12" s="63" t="s">
        <v>66</v>
      </c>
      <c r="F12" s="60" t="s">
        <v>22</v>
      </c>
      <c r="G12" s="47">
        <v>9</v>
      </c>
      <c r="H12" s="133">
        <f>IF(B$17=0,0,G12/B$17)</f>
        <v>7.1999999999999995E-2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148</v>
      </c>
      <c r="C13" s="44">
        <f>IF(B$3=0,0,B13/B$3)</f>
        <v>0.26763110307414106</v>
      </c>
      <c r="E13" s="63" t="s">
        <v>87</v>
      </c>
      <c r="F13" s="60" t="s">
        <v>42</v>
      </c>
      <c r="G13" s="47">
        <v>9</v>
      </c>
      <c r="H13" s="133">
        <f>IF(B$17=0,0,G13/B$17)</f>
        <v>7.1999999999999995E-2</v>
      </c>
      <c r="I13" s="94">
        <v>3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92</v>
      </c>
      <c r="C14" s="39">
        <f>IF(B$3=0,0,B14/B$3)</f>
        <v>0.16636528028933092</v>
      </c>
      <c r="E14" s="63" t="s">
        <v>84</v>
      </c>
      <c r="F14" s="60" t="s">
        <v>39</v>
      </c>
      <c r="G14" s="47">
        <v>5</v>
      </c>
      <c r="H14" s="133">
        <f>IF(B$17=0,0,G14/B$17)</f>
        <v>0.04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</v>
      </c>
      <c r="E15" s="63" t="s">
        <v>79</v>
      </c>
      <c r="F15" s="60" t="s">
        <v>34</v>
      </c>
      <c r="G15" s="47">
        <v>4</v>
      </c>
      <c r="H15" s="133">
        <f>IF(B$17=0,0,G15/B$17)</f>
        <v>3.2000000000000001E-2</v>
      </c>
      <c r="I15" s="94">
        <v>5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21</v>
      </c>
      <c r="C16" s="37">
        <f>IF(B$14=0,0,B16/B$14)</f>
        <v>0.22826086956521738</v>
      </c>
      <c r="E16" s="63" t="s">
        <v>75</v>
      </c>
      <c r="F16" s="60" t="s">
        <v>30</v>
      </c>
      <c r="G16" s="47">
        <v>2</v>
      </c>
      <c r="H16" s="133">
        <f>IF(B$17=0,0,G16/B$17)</f>
        <v>1.6E-2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125</v>
      </c>
      <c r="C17" s="37">
        <f>IF(B$3=0,0,B17/B$3)</f>
        <v>0.22603978300180833</v>
      </c>
      <c r="E17" s="63" t="s">
        <v>82</v>
      </c>
      <c r="F17" s="60" t="s">
        <v>37</v>
      </c>
      <c r="G17" s="47">
        <v>2</v>
      </c>
      <c r="H17" s="133">
        <f>IF(B$17=0,0,G17/B$17)</f>
        <v>1.6E-2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61</v>
      </c>
      <c r="C18" s="39">
        <f>IF(B$17=0,0,B18/B$17)</f>
        <v>0.48799999999999999</v>
      </c>
      <c r="E18" s="63" t="s">
        <v>94</v>
      </c>
      <c r="F18" s="60" t="s">
        <v>49</v>
      </c>
      <c r="G18" s="47">
        <v>2</v>
      </c>
      <c r="H18" s="133">
        <f>IF(B$17=0,0,G18/B$17)</f>
        <v>1.6E-2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64</v>
      </c>
      <c r="C19" s="39">
        <f>IF(B$17=0,0,B19/B$17)</f>
        <v>0.51200000000000001</v>
      </c>
      <c r="E19" s="63" t="s">
        <v>78</v>
      </c>
      <c r="F19" s="60" t="s">
        <v>33</v>
      </c>
      <c r="G19" s="47">
        <v>1</v>
      </c>
      <c r="H19" s="133">
        <f>IF(B$17=0,0,G19/B$17)</f>
        <v>8.0000000000000002E-3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-26.328571428571429</v>
      </c>
      <c r="P19" s="119">
        <v>21</v>
      </c>
      <c r="Q19" s="107">
        <v>-552.9</v>
      </c>
    </row>
    <row r="20" spans="1:17" x14ac:dyDescent="0.4">
      <c r="A20" s="55" t="s">
        <v>13</v>
      </c>
      <c r="B20" s="47">
        <v>107</v>
      </c>
      <c r="C20" s="39">
        <f>IF(B$3=0,0,B20/B$3)</f>
        <v>0.19349005424954793</v>
      </c>
      <c r="E20" s="63" t="s">
        <v>80</v>
      </c>
      <c r="F20" s="60" t="s">
        <v>35</v>
      </c>
      <c r="G20" s="47">
        <v>1</v>
      </c>
      <c r="H20" s="133">
        <f>IF(B$17=0,0,G20/B$17)</f>
        <v>8.0000000000000002E-3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-35.342500000000015</v>
      </c>
      <c r="P20" s="119">
        <v>40</v>
      </c>
      <c r="Q20" s="107">
        <v>-1413.7000000000005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8.0000000000000002E-3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89</v>
      </c>
      <c r="F22" s="60" t="s">
        <v>44</v>
      </c>
      <c r="G22" s="47">
        <v>1</v>
      </c>
      <c r="H22" s="133">
        <f>IF(B$17=0,0,G22/B$17)</f>
        <v>8.0000000000000002E-3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8896.7999999999993</v>
      </c>
      <c r="C23" s="41">
        <v>1112100</v>
      </c>
      <c r="E23" s="63" t="s">
        <v>92</v>
      </c>
      <c r="F23" s="60" t="s">
        <v>47</v>
      </c>
      <c r="G23" s="47">
        <v>1</v>
      </c>
      <c r="H23" s="133">
        <f>IF(B$17=0,0,G23/B$17)</f>
        <v>8.0000000000000002E-3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-9513.0841121495323</v>
      </c>
      <c r="C24" s="45">
        <v>-1017900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1.8083182640144665E-3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8340-0AAD-49FA-81BA-E02D22FAD482}">
  <sheetPr codeName="Sheet13"/>
  <dimension ref="A1:Q7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76</v>
      </c>
      <c r="C2" s="147"/>
      <c r="E2" s="62" t="s">
        <v>67</v>
      </c>
      <c r="F2" s="59" t="s">
        <v>23</v>
      </c>
      <c r="G2" s="46">
        <v>155</v>
      </c>
      <c r="H2" s="132">
        <f>IF(B$17=0,0,G2/B$17)</f>
        <v>0.85164835164835162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-1136.8421052631579</v>
      </c>
      <c r="P2" s="118">
        <v>76</v>
      </c>
      <c r="Q2" s="102">
        <v>-86400</v>
      </c>
    </row>
    <row r="3" spans="1:17" x14ac:dyDescent="0.4">
      <c r="A3" s="55" t="s">
        <v>8</v>
      </c>
      <c r="B3" s="148">
        <v>640</v>
      </c>
      <c r="C3" s="149"/>
      <c r="E3" s="63" t="s">
        <v>65</v>
      </c>
      <c r="F3" s="60" t="s">
        <v>21</v>
      </c>
      <c r="G3" s="47">
        <v>101</v>
      </c>
      <c r="H3" s="133">
        <f>IF(B$17=0,0,G3/B$17)</f>
        <v>0.55494505494505497</v>
      </c>
      <c r="I3" s="94">
        <v>8</v>
      </c>
      <c r="K3" s="38">
        <v>1</v>
      </c>
      <c r="L3" s="99">
        <v>-51.2</v>
      </c>
      <c r="N3" s="115" t="s">
        <v>133</v>
      </c>
      <c r="O3" s="122">
        <f t="shared" si="0"/>
        <v>406.66666666666669</v>
      </c>
      <c r="P3" s="119">
        <v>75</v>
      </c>
      <c r="Q3" s="103">
        <v>30500</v>
      </c>
    </row>
    <row r="4" spans="1:17" x14ac:dyDescent="0.4">
      <c r="A4" s="55" t="s">
        <v>6</v>
      </c>
      <c r="B4" s="150">
        <v>169.49999999999997</v>
      </c>
      <c r="C4" s="151"/>
      <c r="E4" s="63" t="s">
        <v>73</v>
      </c>
      <c r="F4" s="60" t="s">
        <v>28</v>
      </c>
      <c r="G4" s="47">
        <v>94</v>
      </c>
      <c r="H4" s="133">
        <f>IF(B$17=0,0,G4/B$17)</f>
        <v>0.51648351648351654</v>
      </c>
      <c r="I4" s="94">
        <v>7</v>
      </c>
      <c r="K4" s="38">
        <v>2</v>
      </c>
      <c r="L4" s="99">
        <v>-93.300000000000011</v>
      </c>
      <c r="N4" s="115" t="s">
        <v>134</v>
      </c>
      <c r="O4" s="122">
        <f t="shared" si="0"/>
        <v>1641.4285714285713</v>
      </c>
      <c r="P4" s="119">
        <v>70</v>
      </c>
      <c r="Q4" s="103">
        <v>114900</v>
      </c>
    </row>
    <row r="5" spans="1:17" x14ac:dyDescent="0.4">
      <c r="A5" s="55" t="s">
        <v>7</v>
      </c>
      <c r="B5" s="152">
        <f>IF(B$2=0,0,B$4/B$2)</f>
        <v>2.2302631578947363</v>
      </c>
      <c r="C5" s="153"/>
      <c r="E5" s="63" t="s">
        <v>181</v>
      </c>
      <c r="F5" s="60" t="s">
        <v>182</v>
      </c>
      <c r="G5" s="47">
        <v>72</v>
      </c>
      <c r="H5" s="133">
        <f>IF(B$17=0,0,G5/B$17)</f>
        <v>0.39560439560439559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2156.6666666666665</v>
      </c>
      <c r="P5" s="119">
        <v>60</v>
      </c>
      <c r="Q5" s="103">
        <v>129400</v>
      </c>
    </row>
    <row r="6" spans="1:17" x14ac:dyDescent="0.4">
      <c r="A6" s="55" t="s">
        <v>1</v>
      </c>
      <c r="B6" s="142">
        <f>IF(B$2=0,0,(B$7*1+B$8*2+B$9*3)/B$2)</f>
        <v>2.0263157894736841</v>
      </c>
      <c r="C6" s="143"/>
      <c r="E6" s="63" t="s">
        <v>68</v>
      </c>
      <c r="F6" s="60" t="s">
        <v>24</v>
      </c>
      <c r="G6" s="47">
        <v>59</v>
      </c>
      <c r="H6" s="133">
        <f>IF(B$17=0,0,G6/B$17)</f>
        <v>0.32417582417582419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-596.22641509433959</v>
      </c>
      <c r="P6" s="119">
        <v>53</v>
      </c>
      <c r="Q6" s="103">
        <v>-31600</v>
      </c>
    </row>
    <row r="7" spans="1:17" x14ac:dyDescent="0.4">
      <c r="A7" s="55" t="s">
        <v>2</v>
      </c>
      <c r="B7" s="47">
        <v>24</v>
      </c>
      <c r="C7" s="39">
        <f>IF(B$2=0,0,B7/B$2)</f>
        <v>0.31578947368421051</v>
      </c>
      <c r="E7" s="63" t="s">
        <v>69</v>
      </c>
      <c r="F7" s="60" t="s">
        <v>12</v>
      </c>
      <c r="G7" s="47">
        <v>57</v>
      </c>
      <c r="H7" s="133">
        <f>IF(B$17=0,0,G7/B$17)</f>
        <v>0.31318681318681318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483.67346938775512</v>
      </c>
      <c r="P7" s="120">
        <v>49</v>
      </c>
      <c r="Q7" s="104">
        <v>23700</v>
      </c>
    </row>
    <row r="8" spans="1:17" x14ac:dyDescent="0.4">
      <c r="A8" s="55" t="s">
        <v>3</v>
      </c>
      <c r="B8" s="47">
        <v>26</v>
      </c>
      <c r="C8" s="39">
        <f>IF(B$2=0,0,B8/B$2)</f>
        <v>0.34210526315789475</v>
      </c>
      <c r="E8" s="63" t="s">
        <v>70</v>
      </c>
      <c r="F8" s="60" t="s">
        <v>25</v>
      </c>
      <c r="G8" s="47">
        <v>36</v>
      </c>
      <c r="H8" s="133">
        <f>IF(B$17=0,0,G8/B$17)</f>
        <v>0.19780219780219779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0.34210526315789475</v>
      </c>
      <c r="E9" s="63" t="s">
        <v>90</v>
      </c>
      <c r="F9" s="60" t="s">
        <v>45</v>
      </c>
      <c r="G9" s="47">
        <v>29</v>
      </c>
      <c r="H9" s="133">
        <f>IF(B$17=0,0,G9/B$17)</f>
        <v>0.15934065934065933</v>
      </c>
      <c r="I9" s="94">
        <v>4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6.5789473684210523E-2</v>
      </c>
      <c r="E10" s="63" t="s">
        <v>66</v>
      </c>
      <c r="F10" s="60" t="s">
        <v>22</v>
      </c>
      <c r="G10" s="47">
        <v>25</v>
      </c>
      <c r="H10" s="133">
        <f>IF(B$17=0,0,G10/B$17)</f>
        <v>0.13736263736263737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0.13157894736842105</v>
      </c>
      <c r="E11" s="63" t="s">
        <v>71</v>
      </c>
      <c r="F11" s="60" t="s">
        <v>26</v>
      </c>
      <c r="G11" s="47">
        <v>20</v>
      </c>
      <c r="H11" s="133">
        <f>IF(B$17=0,0,G11/B$17)</f>
        <v>0.10989010989010989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-2.7357142857142844</v>
      </c>
      <c r="P11" s="119">
        <v>28</v>
      </c>
      <c r="Q11" s="107">
        <v>-76.599999999999966</v>
      </c>
    </row>
    <row r="12" spans="1:17" x14ac:dyDescent="0.4">
      <c r="A12" s="57" t="s">
        <v>160</v>
      </c>
      <c r="B12" s="49">
        <v>6</v>
      </c>
      <c r="C12" s="42">
        <f>IF(B$2=0,0,B12/B$2)</f>
        <v>7.8947368421052627E-2</v>
      </c>
      <c r="E12" s="63" t="s">
        <v>87</v>
      </c>
      <c r="F12" s="60" t="s">
        <v>42</v>
      </c>
      <c r="G12" s="47">
        <v>13</v>
      </c>
      <c r="H12" s="133">
        <f>IF(B$17=0,0,G12/B$17)</f>
        <v>7.1428571428571425E-2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184</v>
      </c>
      <c r="C13" s="44">
        <f>IF(B$3=0,0,B13/B$3)</f>
        <v>0.28749999999999998</v>
      </c>
      <c r="E13" s="63" t="s">
        <v>72</v>
      </c>
      <c r="F13" s="60" t="s">
        <v>27</v>
      </c>
      <c r="G13" s="47">
        <v>12</v>
      </c>
      <c r="H13" s="133">
        <f>IF(B$17=0,0,G13/B$17)</f>
        <v>6.5934065934065936E-2</v>
      </c>
      <c r="I13" s="94">
        <v>6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122</v>
      </c>
      <c r="C14" s="39">
        <f>IF(B$3=0,0,B14/B$3)</f>
        <v>0.19062499999999999</v>
      </c>
      <c r="E14" s="63" t="s">
        <v>79</v>
      </c>
      <c r="F14" s="60" t="s">
        <v>34</v>
      </c>
      <c r="G14" s="47">
        <v>9</v>
      </c>
      <c r="H14" s="133">
        <f>IF(B$17=0,0,G14/B$17)</f>
        <v>4.9450549450549448E-2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107</v>
      </c>
      <c r="C15" s="37">
        <f>IF(B$13=0,0,B15/B$13)</f>
        <v>0.58152173913043481</v>
      </c>
      <c r="E15" s="63" t="s">
        <v>82</v>
      </c>
      <c r="F15" s="60" t="s">
        <v>37</v>
      </c>
      <c r="G15" s="47">
        <v>7</v>
      </c>
      <c r="H15" s="133">
        <f>IF(B$17=0,0,G15/B$17)</f>
        <v>3.8461538461538464E-2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26.328571428571422</v>
      </c>
      <c r="P15" s="118">
        <v>21</v>
      </c>
      <c r="Q15" s="106">
        <v>552.89999999999986</v>
      </c>
    </row>
    <row r="16" spans="1:17" x14ac:dyDescent="0.4">
      <c r="A16" s="54" t="s">
        <v>125</v>
      </c>
      <c r="B16" s="46">
        <v>50</v>
      </c>
      <c r="C16" s="37">
        <f>IF(B$14=0,0,B16/B$14)</f>
        <v>0.4098360655737705</v>
      </c>
      <c r="E16" s="63" t="s">
        <v>84</v>
      </c>
      <c r="F16" s="60" t="s">
        <v>39</v>
      </c>
      <c r="G16" s="47">
        <v>7</v>
      </c>
      <c r="H16" s="133">
        <f>IF(B$17=0,0,G16/B$17)</f>
        <v>3.8461538461538464E-2</v>
      </c>
      <c r="I16" s="94">
        <v>9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182</v>
      </c>
      <c r="C17" s="37">
        <f>IF(B$3=0,0,B17/B$3)</f>
        <v>0.28437499999999999</v>
      </c>
      <c r="E17" s="63" t="s">
        <v>92</v>
      </c>
      <c r="F17" s="60" t="s">
        <v>47</v>
      </c>
      <c r="G17" s="47">
        <v>4</v>
      </c>
      <c r="H17" s="133">
        <f>IF(B$17=0,0,G17/B$17)</f>
        <v>2.197802197802198E-2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78</v>
      </c>
      <c r="C18" s="39">
        <f>IF(B$17=0,0,B18/B$17)</f>
        <v>0.42857142857142855</v>
      </c>
      <c r="E18" s="63" t="s">
        <v>76</v>
      </c>
      <c r="F18" s="60" t="s">
        <v>31</v>
      </c>
      <c r="G18" s="47">
        <v>3</v>
      </c>
      <c r="H18" s="133">
        <f>IF(B$17=0,0,G18/B$17)</f>
        <v>1.6483516483516484E-2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104</v>
      </c>
      <c r="C19" s="39">
        <f>IF(B$17=0,0,B19/B$17)</f>
        <v>0.5714285714285714</v>
      </c>
      <c r="E19" s="63" t="s">
        <v>80</v>
      </c>
      <c r="F19" s="60" t="s">
        <v>35</v>
      </c>
      <c r="G19" s="47">
        <v>3</v>
      </c>
      <c r="H19" s="133">
        <f>IF(B$17=0,0,G19/B$17)</f>
        <v>1.6483516483516484E-2</v>
      </c>
      <c r="I19" s="94">
        <v>5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111</v>
      </c>
      <c r="C20" s="39">
        <f>IF(B$3=0,0,B20/B$3)</f>
        <v>0.17343749999999999</v>
      </c>
      <c r="E20" s="63" t="s">
        <v>180</v>
      </c>
      <c r="F20" s="60" t="s">
        <v>183</v>
      </c>
      <c r="G20" s="47">
        <v>3</v>
      </c>
      <c r="H20" s="133">
        <f>IF(B$17=0,0,G20/B$17)</f>
        <v>1.6483516483516484E-2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2.1066666666666714</v>
      </c>
      <c r="P20" s="119">
        <v>45</v>
      </c>
      <c r="Q20" s="107">
        <v>94.80000000000021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85</v>
      </c>
      <c r="F21" s="60" t="s">
        <v>40</v>
      </c>
      <c r="G21" s="47">
        <v>2</v>
      </c>
      <c r="H21" s="133">
        <f>IF(B$17=0,0,G21/B$17)</f>
        <v>1.098901098901099E-2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4</v>
      </c>
      <c r="E22" s="63" t="s">
        <v>93</v>
      </c>
      <c r="F22" s="60" t="s">
        <v>48</v>
      </c>
      <c r="G22" s="47">
        <v>2</v>
      </c>
      <c r="H22" s="133">
        <f>IF(B$17=0,0,G22/B$17)</f>
        <v>1.098901098901099E-2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9859.8901098901097</v>
      </c>
      <c r="C23" s="41">
        <v>1794500</v>
      </c>
      <c r="E23" s="63" t="s">
        <v>74</v>
      </c>
      <c r="F23" s="60" t="s">
        <v>29</v>
      </c>
      <c r="G23" s="47">
        <v>1</v>
      </c>
      <c r="H23" s="133">
        <f>IF(B$17=0,0,G23/B$17)</f>
        <v>5.4945054945054949E-3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-7831.531531531532</v>
      </c>
      <c r="C24" s="45">
        <v>-869300</v>
      </c>
      <c r="E24" s="63" t="s">
        <v>88</v>
      </c>
      <c r="F24" s="60" t="s">
        <v>43</v>
      </c>
      <c r="G24" s="47">
        <v>1</v>
      </c>
      <c r="H24" s="133">
        <f>IF(B$17=0,0,G24/B$17)</f>
        <v>5.4945054945054949E-3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5.4945054945054949E-3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1.5625000000000001E-3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169.49999999999997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5715C-F592-49A8-9CA3-A30916D7A69D}">
  <sheetPr codeName="Sheet15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0.35106382978723405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445.76271186440675</v>
      </c>
      <c r="P2" s="118">
        <v>59</v>
      </c>
      <c r="Q2" s="102">
        <v>26300</v>
      </c>
    </row>
    <row r="3" spans="1:17" x14ac:dyDescent="0.4">
      <c r="A3" s="55" t="s">
        <v>8</v>
      </c>
      <c r="B3" s="148">
        <v>516</v>
      </c>
      <c r="C3" s="149"/>
      <c r="E3" s="63" t="s">
        <v>66</v>
      </c>
      <c r="F3" s="60" t="s">
        <v>22</v>
      </c>
      <c r="G3" s="47">
        <v>21</v>
      </c>
      <c r="H3" s="133">
        <f>IF(B$17=0,0,G3/B$17)</f>
        <v>0.11170212765957446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100</v>
      </c>
      <c r="P3" s="119">
        <v>59</v>
      </c>
      <c r="Q3" s="103">
        <v>5900</v>
      </c>
    </row>
    <row r="4" spans="1:17" x14ac:dyDescent="0.4">
      <c r="A4" s="55" t="s">
        <v>6</v>
      </c>
      <c r="B4" s="150">
        <v>21.999999999999986</v>
      </c>
      <c r="C4" s="151"/>
      <c r="E4" s="63" t="s">
        <v>67</v>
      </c>
      <c r="F4" s="60" t="s">
        <v>23</v>
      </c>
      <c r="G4" s="47">
        <v>125</v>
      </c>
      <c r="H4" s="133">
        <f>IF(B$17=0,0,G4/B$17)</f>
        <v>0.66489361702127658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-1135.8490566037735</v>
      </c>
      <c r="P4" s="119">
        <v>53</v>
      </c>
      <c r="Q4" s="103">
        <v>-60200</v>
      </c>
    </row>
    <row r="5" spans="1:17" x14ac:dyDescent="0.4">
      <c r="A5" s="55" t="s">
        <v>7</v>
      </c>
      <c r="B5" s="152">
        <f>IF(B$2=0,0,B$4/B$2)</f>
        <v>0.37288135593220317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0.1702127659574468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372</v>
      </c>
      <c r="P5" s="119">
        <v>50</v>
      </c>
      <c r="Q5" s="103">
        <v>18600</v>
      </c>
    </row>
    <row r="6" spans="1:17" x14ac:dyDescent="0.4">
      <c r="A6" s="55" t="s">
        <v>1</v>
      </c>
      <c r="B6" s="142">
        <f>IF(B$2=0,0,(B$7*1+B$8*2+B$9*3)/B$2)</f>
        <v>2.0338983050847457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0.27127659574468083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661.22448979591832</v>
      </c>
      <c r="P6" s="119">
        <v>49</v>
      </c>
      <c r="Q6" s="103">
        <v>32400</v>
      </c>
    </row>
    <row r="7" spans="1:17" x14ac:dyDescent="0.4">
      <c r="A7" s="55" t="s">
        <v>2</v>
      </c>
      <c r="B7" s="47">
        <v>16</v>
      </c>
      <c r="C7" s="39">
        <f>IF(B$2=0,0,B7/B$2)</f>
        <v>0.2711864406779661</v>
      </c>
      <c r="E7" s="63" t="s">
        <v>70</v>
      </c>
      <c r="F7" s="60" t="s">
        <v>25</v>
      </c>
      <c r="G7" s="47">
        <v>28</v>
      </c>
      <c r="H7" s="133">
        <f>IF(B$17=0,0,G7/B$17)</f>
        <v>0.14893617021276595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-351.16279069767444</v>
      </c>
      <c r="P7" s="120">
        <v>43</v>
      </c>
      <c r="Q7" s="104">
        <v>-15100</v>
      </c>
    </row>
    <row r="8" spans="1:17" x14ac:dyDescent="0.4">
      <c r="A8" s="55" t="s">
        <v>3</v>
      </c>
      <c r="B8" s="47">
        <v>25</v>
      </c>
      <c r="C8" s="39">
        <f>IF(B$2=0,0,B8/B$2)</f>
        <v>0.42372881355932202</v>
      </c>
      <c r="E8" s="63" t="s">
        <v>71</v>
      </c>
      <c r="F8" s="60" t="s">
        <v>26</v>
      </c>
      <c r="G8" s="47">
        <v>11</v>
      </c>
      <c r="H8" s="133">
        <f>IF(B$17=0,0,G8/B$17)</f>
        <v>5.8510638297872342E-2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72</v>
      </c>
      <c r="F9" s="60" t="s">
        <v>27</v>
      </c>
      <c r="G9" s="47">
        <v>15</v>
      </c>
      <c r="H9" s="133">
        <f>IF(B$17=0,0,G9/B$17)</f>
        <v>7.9787234042553196E-2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5.0847457627118647E-2</v>
      </c>
      <c r="E10" s="63" t="s">
        <v>73</v>
      </c>
      <c r="F10" s="60" t="s">
        <v>28</v>
      </c>
      <c r="G10" s="47">
        <v>106</v>
      </c>
      <c r="H10" s="133">
        <f>IF(B$17=0,0,G10/B$17)</f>
        <v>0.56382978723404253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0.10169491525423729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3</v>
      </c>
      <c r="C12" s="42">
        <f>IF(B$2=0,0,B12/B$2)</f>
        <v>5.0847457627118647E-2</v>
      </c>
      <c r="E12" s="63" t="s">
        <v>75</v>
      </c>
      <c r="F12" s="60" t="s">
        <v>30</v>
      </c>
      <c r="G12" s="47">
        <v>1</v>
      </c>
      <c r="H12" s="133">
        <f>IF(B$17=0,0,G12/B$17)</f>
        <v>5.3191489361702126E-3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2.8409090909090913</v>
      </c>
      <c r="P12" s="120">
        <v>22</v>
      </c>
      <c r="Q12" s="108">
        <v>62.500000000000007</v>
      </c>
    </row>
    <row r="13" spans="1:17" x14ac:dyDescent="0.4">
      <c r="A13" s="58" t="s">
        <v>122</v>
      </c>
      <c r="B13" s="50">
        <v>114</v>
      </c>
      <c r="C13" s="44">
        <f>IF(B$3=0,0,B13/B$3)</f>
        <v>0.22093023255813954</v>
      </c>
      <c r="E13" s="63" t="s">
        <v>76</v>
      </c>
      <c r="F13" s="60" t="s">
        <v>31</v>
      </c>
      <c r="G13" s="47">
        <v>1</v>
      </c>
      <c r="H13" s="133">
        <f>IF(B$17=0,0,G13/B$17)</f>
        <v>5.3191489361702126E-3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</v>
      </c>
      <c r="C14" s="39">
        <f>IF(B$3=0,0,B14/B$3)</f>
        <v>0.28875968992248063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0.57894736842105265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66</v>
      </c>
      <c r="C16" s="37">
        <f>IF(B$14=0,0,B16/B$14)</f>
        <v>0.44295302013422821</v>
      </c>
      <c r="E16" s="63" t="s">
        <v>79</v>
      </c>
      <c r="F16" s="60" t="s">
        <v>34</v>
      </c>
      <c r="G16" s="47">
        <v>2</v>
      </c>
      <c r="H16" s="133">
        <f>IF(B$17=0,0,G16/B$17)</f>
        <v>1.0638297872340425E-2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0.36434108527131781</v>
      </c>
      <c r="E17" s="63" t="s">
        <v>80</v>
      </c>
      <c r="F17" s="60" t="s">
        <v>35</v>
      </c>
      <c r="G17" s="47">
        <v>2</v>
      </c>
      <c r="H17" s="133">
        <f>IF(B$17=0,0,G17/B$17)</f>
        <v>1.0638297872340425E-2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79</v>
      </c>
      <c r="C18" s="39">
        <f>IF(B$17=0,0,B18/B$17)</f>
        <v>0.42021276595744683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109</v>
      </c>
      <c r="C19" s="39">
        <f>IF(B$17=0,0,B19/B$17)</f>
        <v>0.57978723404255317</v>
      </c>
      <c r="E19" s="63" t="s">
        <v>82</v>
      </c>
      <c r="F19" s="60" t="s">
        <v>37</v>
      </c>
      <c r="G19" s="47">
        <v>6</v>
      </c>
      <c r="H19" s="133">
        <f>IF(B$17=0,0,G19/B$17)</f>
        <v>3.1914893617021274E-2</v>
      </c>
      <c r="I19" s="94">
        <v>5</v>
      </c>
      <c r="K19" s="38">
        <v>17</v>
      </c>
      <c r="L19" s="99">
        <v>-55.099999999999994</v>
      </c>
      <c r="N19" s="115" t="s">
        <v>173</v>
      </c>
      <c r="O19" s="125">
        <f t="shared" si="2"/>
        <v>12.590909090909088</v>
      </c>
      <c r="P19" s="119">
        <v>11</v>
      </c>
      <c r="Q19" s="107">
        <v>138.49999999999997</v>
      </c>
    </row>
    <row r="20" spans="1:17" x14ac:dyDescent="0.4">
      <c r="A20" s="55" t="s">
        <v>13</v>
      </c>
      <c r="B20" s="47">
        <v>66</v>
      </c>
      <c r="C20" s="39">
        <f>IF(B$3=0,0,B20/B$3)</f>
        <v>0.12790697674418605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7.7299999999999995</v>
      </c>
      <c r="P20" s="119">
        <v>10</v>
      </c>
      <c r="Q20" s="107">
        <v>77.3</v>
      </c>
    </row>
    <row r="21" spans="1:17" x14ac:dyDescent="0.4">
      <c r="A21" s="55" t="s">
        <v>193</v>
      </c>
      <c r="B21" s="47">
        <v>10</v>
      </c>
      <c r="C21" s="135">
        <v>3</v>
      </c>
      <c r="E21" s="63" t="s">
        <v>84</v>
      </c>
      <c r="F21" s="60" t="s">
        <v>39</v>
      </c>
      <c r="G21" s="47">
        <v>10</v>
      </c>
      <c r="H21" s="133">
        <f>IF(B$17=0,0,G21/B$17)</f>
        <v>5.3191489361702128E-2</v>
      </c>
      <c r="I21" s="94">
        <v>2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6579.255319148936</v>
      </c>
      <c r="C23" s="41">
        <v>1236900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-24.890322580645162</v>
      </c>
      <c r="P23" s="119">
        <v>31</v>
      </c>
      <c r="Q23" s="107">
        <v>-771.6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87</v>
      </c>
      <c r="F24" s="60" t="s">
        <v>42</v>
      </c>
      <c r="G24" s="47">
        <v>8</v>
      </c>
      <c r="H24" s="133">
        <f>IF(B$17=0,0,G24/B$17)</f>
        <v>4.2553191489361701E-2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5.3191489361702126E-3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1.937984496124031E-3</v>
      </c>
      <c r="E27" s="63" t="s">
        <v>90</v>
      </c>
      <c r="F27" s="60" t="s">
        <v>45</v>
      </c>
      <c r="G27" s="47">
        <v>12</v>
      </c>
      <c r="H27" s="133">
        <f>IF(B$17=0,0,G27/B$17)</f>
        <v>6.3829787234042548E-2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1.0638297872340425E-2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86</v>
      </c>
      <c r="H51" s="134">
        <f>IF(B$17=0,0,G51/B$17)</f>
        <v>0.45744680851063829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</sheetData>
  <sortState ref="E2:I6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6764-8195-48A4-A88A-DF4F1B91545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43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0.45045045045045046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-2806.9767441860463</v>
      </c>
      <c r="P2" s="118">
        <v>43</v>
      </c>
      <c r="Q2" s="102">
        <v>-120700</v>
      </c>
    </row>
    <row r="3" spans="1:17" x14ac:dyDescent="0.4">
      <c r="A3" s="55" t="s">
        <v>8</v>
      </c>
      <c r="B3" s="148">
        <v>375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8.1081081081081086E-2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2062.7906976744184</v>
      </c>
      <c r="P3" s="119">
        <v>43</v>
      </c>
      <c r="Q3" s="103">
        <v>88700</v>
      </c>
    </row>
    <row r="4" spans="1:17" x14ac:dyDescent="0.4">
      <c r="A4" s="55" t="s">
        <v>6</v>
      </c>
      <c r="B4" s="150">
        <v>-289.7</v>
      </c>
      <c r="C4" s="151"/>
      <c r="E4" s="63" t="s">
        <v>67</v>
      </c>
      <c r="F4" s="60" t="s">
        <v>23</v>
      </c>
      <c r="G4" s="47">
        <v>75</v>
      </c>
      <c r="H4" s="133">
        <f>IF(B$17=0,0,G4/B$17)</f>
        <v>0.67567567567567566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-831.70731707317077</v>
      </c>
      <c r="P4" s="119">
        <v>41</v>
      </c>
      <c r="Q4" s="103">
        <v>-34100</v>
      </c>
    </row>
    <row r="5" spans="1:17" x14ac:dyDescent="0.4">
      <c r="A5" s="55" t="s">
        <v>7</v>
      </c>
      <c r="B5" s="152">
        <f>IF(B$2=0,0,B$4/B$2)</f>
        <v>-6.7372093023255815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0.23423423423423423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-3700</v>
      </c>
      <c r="P5" s="119">
        <v>38</v>
      </c>
      <c r="Q5" s="103">
        <v>-140600</v>
      </c>
    </row>
    <row r="6" spans="1:17" x14ac:dyDescent="0.4">
      <c r="A6" s="55" t="s">
        <v>1</v>
      </c>
      <c r="B6" s="142">
        <f>IF(B$2=0,0,(B$7*1+B$8*2+B$9*3)/B$2)</f>
        <v>2.0930232558139537</v>
      </c>
      <c r="C6" s="143"/>
      <c r="E6" s="63" t="s">
        <v>69</v>
      </c>
      <c r="F6" s="60" t="s">
        <v>12</v>
      </c>
      <c r="G6" s="47">
        <v>42</v>
      </c>
      <c r="H6" s="133">
        <f>IF(B$17=0,0,G6/B$17)</f>
        <v>0.3783783783783784</v>
      </c>
      <c r="I6" s="94">
        <v>5</v>
      </c>
      <c r="K6" s="38">
        <v>4</v>
      </c>
      <c r="L6" s="99">
        <v>-150.6</v>
      </c>
      <c r="N6" s="115" t="s">
        <v>136</v>
      </c>
      <c r="O6" s="122">
        <f t="shared" si="0"/>
        <v>-44.117647058823529</v>
      </c>
      <c r="P6" s="119">
        <v>34</v>
      </c>
      <c r="Q6" s="103">
        <v>-1500</v>
      </c>
    </row>
    <row r="7" spans="1:17" x14ac:dyDescent="0.4">
      <c r="A7" s="55" t="s">
        <v>2</v>
      </c>
      <c r="B7" s="47">
        <v>12</v>
      </c>
      <c r="C7" s="39">
        <f>IF(B$2=0,0,B7/B$2)</f>
        <v>0.27906976744186046</v>
      </c>
      <c r="E7" s="63" t="s">
        <v>70</v>
      </c>
      <c r="F7" s="60" t="s">
        <v>25</v>
      </c>
      <c r="G7" s="47">
        <v>12</v>
      </c>
      <c r="H7" s="133">
        <f>IF(B$17=0,0,G7/B$17)</f>
        <v>0.10810810810810811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136.36363636363637</v>
      </c>
      <c r="P7" s="120">
        <v>33</v>
      </c>
      <c r="Q7" s="104">
        <v>4500</v>
      </c>
    </row>
    <row r="8" spans="1:17" x14ac:dyDescent="0.4">
      <c r="A8" s="55" t="s">
        <v>3</v>
      </c>
      <c r="B8" s="47">
        <v>15</v>
      </c>
      <c r="C8" s="39">
        <f>IF(B$2=0,0,B8/B$2)</f>
        <v>0.34883720930232559</v>
      </c>
      <c r="E8" s="63" t="s">
        <v>71</v>
      </c>
      <c r="F8" s="60" t="s">
        <v>26</v>
      </c>
      <c r="G8" s="47">
        <v>14</v>
      </c>
      <c r="H8" s="133">
        <f>IF(B$17=0,0,G8/B$17)</f>
        <v>0.12612612612612611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0.37209302325581395</v>
      </c>
      <c r="E9" s="63" t="s">
        <v>72</v>
      </c>
      <c r="F9" s="60" t="s">
        <v>27</v>
      </c>
      <c r="G9" s="47">
        <v>6</v>
      </c>
      <c r="H9" s="133">
        <f>IF(B$17=0,0,G9/B$17)</f>
        <v>5.4054054054054057E-2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0.11627906976744186</v>
      </c>
      <c r="E10" s="63" t="s">
        <v>73</v>
      </c>
      <c r="F10" s="60" t="s">
        <v>28</v>
      </c>
      <c r="G10" s="47">
        <v>59</v>
      </c>
      <c r="H10" s="133">
        <f>IF(B$17=0,0,G10/B$17)</f>
        <v>0.53153153153153154</v>
      </c>
      <c r="I10" s="94">
        <v>6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3</v>
      </c>
      <c r="C11" s="40">
        <f>IF(B$2=0,0,B11/B$2)</f>
        <v>6.9767441860465115E-2</v>
      </c>
      <c r="E11" s="63" t="s">
        <v>74</v>
      </c>
      <c r="F11" s="60" t="s">
        <v>29</v>
      </c>
      <c r="G11" s="47">
        <v>2</v>
      </c>
      <c r="H11" s="133">
        <f>IF(B$17=0,0,G11/B$17)</f>
        <v>1.8018018018018018E-2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1</v>
      </c>
      <c r="C12" s="42">
        <f>IF(B$2=0,0,B12/B$2)</f>
        <v>2.3255813953488372E-2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86</v>
      </c>
      <c r="C13" s="44">
        <f>IF(B$3=0,0,B13/B$3)</f>
        <v>0.22933333333333333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0.26133333333333331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51</v>
      </c>
      <c r="C15" s="37">
        <f>IF(B$13=0,0,B15/B$13)</f>
        <v>0.59302325581395354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1.8018018018018018E-2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0.29599999999999999</v>
      </c>
      <c r="E17" s="63" t="s">
        <v>80</v>
      </c>
      <c r="F17" s="60" t="s">
        <v>35</v>
      </c>
      <c r="G17" s="47">
        <v>2</v>
      </c>
      <c r="H17" s="133">
        <f>IF(B$17=0,0,G17/B$17)</f>
        <v>1.8018018018018018E-2</v>
      </c>
      <c r="I17" s="94">
        <v>4</v>
      </c>
      <c r="K17" s="38">
        <v>15</v>
      </c>
      <c r="L17" s="99">
        <v>-264.59999999999997</v>
      </c>
      <c r="N17" s="115" t="s">
        <v>177</v>
      </c>
      <c r="O17" s="125">
        <f t="shared" si="2"/>
        <v>-10.050000000000001</v>
      </c>
      <c r="P17" s="119">
        <v>6</v>
      </c>
      <c r="Q17" s="107">
        <v>-60.300000000000004</v>
      </c>
    </row>
    <row r="18" spans="1:17" x14ac:dyDescent="0.4">
      <c r="A18" s="55" t="s">
        <v>12</v>
      </c>
      <c r="B18" s="47">
        <v>56</v>
      </c>
      <c r="C18" s="39">
        <f>IF(B$17=0,0,B18/B$17)</f>
        <v>0.50450450450450446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172</v>
      </c>
      <c r="O18" s="125">
        <f t="shared" si="2"/>
        <v>-12.590909090909088</v>
      </c>
      <c r="P18" s="119">
        <v>11</v>
      </c>
      <c r="Q18" s="107">
        <v>-138.49999999999997</v>
      </c>
    </row>
    <row r="19" spans="1:17" x14ac:dyDescent="0.4">
      <c r="A19" s="55" t="s">
        <v>11</v>
      </c>
      <c r="B19" s="47">
        <v>55</v>
      </c>
      <c r="C19" s="39">
        <f>IF(B$17=0,0,B19/B$17)</f>
        <v>0.49549549549549549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-13.774999999999999</v>
      </c>
      <c r="P19" s="119">
        <v>16</v>
      </c>
      <c r="Q19" s="107">
        <v>-220.39999999999998</v>
      </c>
    </row>
    <row r="20" spans="1:17" x14ac:dyDescent="0.4">
      <c r="A20" s="55" t="s">
        <v>13</v>
      </c>
      <c r="B20" s="47">
        <v>70</v>
      </c>
      <c r="C20" s="39">
        <f>IF(B$3=0,0,B20/B$3)</f>
        <v>0.18666666666666668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1.8018018018018018E-2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6976.5765765765764</v>
      </c>
      <c r="C23" s="41">
        <v>774400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-7807.1428571428569</v>
      </c>
      <c r="C24" s="45">
        <v>-546500</v>
      </c>
      <c r="E24" s="63" t="s">
        <v>87</v>
      </c>
      <c r="F24" s="60" t="s">
        <v>42</v>
      </c>
      <c r="G24" s="47">
        <v>4</v>
      </c>
      <c r="H24" s="133">
        <f>IF(B$17=0,0,G24/B$17)</f>
        <v>3.6036036036036036E-2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9.0090090090090089E-3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5.3333333333333332E-3</v>
      </c>
      <c r="E27" s="63" t="s">
        <v>90</v>
      </c>
      <c r="F27" s="60" t="s">
        <v>45</v>
      </c>
      <c r="G27" s="47">
        <v>14</v>
      </c>
      <c r="H27" s="133">
        <f>IF(B$17=0,0,G27/B$17)</f>
        <v>0.12612612612612611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1.8018018018018018E-2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9.0090090090090089E-3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41</v>
      </c>
      <c r="H51" s="134">
        <f>IF(B$17=0,0,G51/B$17)</f>
        <v>0.36936936936936937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64A7-1F12-442F-AB65-AF140CF570E0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0.5892857142857143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1202.127659574468</v>
      </c>
      <c r="P2" s="118">
        <v>47</v>
      </c>
      <c r="Q2" s="102">
        <v>56500</v>
      </c>
    </row>
    <row r="3" spans="1:17" x14ac:dyDescent="0.4">
      <c r="A3" s="55" t="s">
        <v>8</v>
      </c>
      <c r="B3" s="148">
        <v>381</v>
      </c>
      <c r="C3" s="149"/>
      <c r="E3" s="63" t="s">
        <v>66</v>
      </c>
      <c r="F3" s="60" t="s">
        <v>22</v>
      </c>
      <c r="G3" s="47">
        <v>14</v>
      </c>
      <c r="H3" s="133">
        <f>IF(B$17=0,0,G3/B$17)</f>
        <v>0.125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537.77777777777783</v>
      </c>
      <c r="P3" s="119">
        <v>45</v>
      </c>
      <c r="Q3" s="103">
        <v>24200</v>
      </c>
    </row>
    <row r="4" spans="1:17" x14ac:dyDescent="0.4">
      <c r="A4" s="55" t="s">
        <v>6</v>
      </c>
      <c r="B4" s="150">
        <v>71.099999999999994</v>
      </c>
      <c r="C4" s="151"/>
      <c r="E4" s="63" t="s">
        <v>67</v>
      </c>
      <c r="F4" s="60" t="s">
        <v>23</v>
      </c>
      <c r="G4" s="47">
        <v>61</v>
      </c>
      <c r="H4" s="133">
        <f>IF(B$17=0,0,G4/B$17)</f>
        <v>0.5446428571428571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-1153.6585365853659</v>
      </c>
      <c r="P4" s="119">
        <v>41</v>
      </c>
      <c r="Q4" s="103">
        <v>-47300</v>
      </c>
    </row>
    <row r="5" spans="1:17" x14ac:dyDescent="0.4">
      <c r="A5" s="55" t="s">
        <v>7</v>
      </c>
      <c r="B5" s="152">
        <f>IF(B$2=0,0,B$4/B$2)</f>
        <v>1.5127659574468084</v>
      </c>
      <c r="C5" s="153"/>
      <c r="E5" s="63" t="s">
        <v>68</v>
      </c>
      <c r="F5" s="60" t="s">
        <v>24</v>
      </c>
      <c r="G5" s="47">
        <v>39</v>
      </c>
      <c r="H5" s="133">
        <f>IF(B$17=0,0,G5/B$17)</f>
        <v>0.3482142857142857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1572.5</v>
      </c>
      <c r="P5" s="119">
        <v>40</v>
      </c>
      <c r="Q5" s="103">
        <v>62900</v>
      </c>
    </row>
    <row r="6" spans="1:17" x14ac:dyDescent="0.4">
      <c r="A6" s="55" t="s">
        <v>1</v>
      </c>
      <c r="B6" s="142">
        <f>IF(B$2=0,0,(B$7*1+B$8*2+B$9*3)/B$2)</f>
        <v>1.9361702127659575</v>
      </c>
      <c r="C6" s="143"/>
      <c r="E6" s="63" t="s">
        <v>69</v>
      </c>
      <c r="F6" s="60" t="s">
        <v>12</v>
      </c>
      <c r="G6" s="47">
        <v>33</v>
      </c>
      <c r="H6" s="133">
        <f>IF(B$17=0,0,G6/B$17)</f>
        <v>0.29464285714285715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-1572.2222222222222</v>
      </c>
      <c r="P6" s="119">
        <v>36</v>
      </c>
      <c r="Q6" s="103">
        <v>-56600</v>
      </c>
    </row>
    <row r="7" spans="1:17" x14ac:dyDescent="0.4">
      <c r="A7" s="55" t="s">
        <v>2</v>
      </c>
      <c r="B7" s="47">
        <v>18</v>
      </c>
      <c r="C7" s="39">
        <f>IF(B$2=0,0,B7/B$2)</f>
        <v>0.38297872340425532</v>
      </c>
      <c r="E7" s="63" t="s">
        <v>70</v>
      </c>
      <c r="F7" s="60" t="s">
        <v>25</v>
      </c>
      <c r="G7" s="47">
        <v>18</v>
      </c>
      <c r="H7" s="133">
        <f>IF(B$17=0,0,G7/B$17)</f>
        <v>0.16071428571428573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0.2978723404255319</v>
      </c>
      <c r="E8" s="63" t="s">
        <v>71</v>
      </c>
      <c r="F8" s="60" t="s">
        <v>26</v>
      </c>
      <c r="G8" s="47">
        <v>8</v>
      </c>
      <c r="H8" s="133">
        <f>IF(B$17=0,0,G8/B$17)</f>
        <v>7.1428571428571425E-2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0.31914893617021278</v>
      </c>
      <c r="E9" s="63" t="s">
        <v>72</v>
      </c>
      <c r="F9" s="60" t="s">
        <v>27</v>
      </c>
      <c r="G9" s="47">
        <v>5</v>
      </c>
      <c r="H9" s="133">
        <f>IF(B$17=0,0,G9/B$17)</f>
        <v>4.4642857142857144E-2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0.1702127659574468</v>
      </c>
      <c r="E10" s="63" t="s">
        <v>73</v>
      </c>
      <c r="F10" s="60" t="s">
        <v>28</v>
      </c>
      <c r="G10" s="47">
        <v>52</v>
      </c>
      <c r="H10" s="133">
        <f>IF(B$17=0,0,G10/B$17)</f>
        <v>0.4642857142857143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1.5999999999999992</v>
      </c>
      <c r="P10" s="118">
        <v>13</v>
      </c>
      <c r="Q10" s="106">
        <v>20.79999999999999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0.10638297872340426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0.10638297872340426</v>
      </c>
      <c r="E12" s="63" t="s">
        <v>75</v>
      </c>
      <c r="F12" s="60" t="s">
        <v>30</v>
      </c>
      <c r="G12" s="47">
        <v>1</v>
      </c>
      <c r="H12" s="133">
        <f>IF(B$17=0,0,G12/B$17)</f>
        <v>8.9285714285714281E-3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99</v>
      </c>
      <c r="C13" s="44">
        <f>IF(B$3=0,0,B13/B$3)</f>
        <v>0.25984251968503935</v>
      </c>
      <c r="E13" s="63" t="s">
        <v>76</v>
      </c>
      <c r="F13" s="60" t="s">
        <v>31</v>
      </c>
      <c r="G13" s="47">
        <v>1</v>
      </c>
      <c r="H13" s="133">
        <f>IF(B$17=0,0,G13/B$17)</f>
        <v>8.9285714285714281E-3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0.19160104986876642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0.35616438356164382</v>
      </c>
      <c r="E16" s="63" t="s">
        <v>79</v>
      </c>
      <c r="F16" s="60" t="s">
        <v>34</v>
      </c>
      <c r="G16" s="47">
        <v>5</v>
      </c>
      <c r="H16" s="133">
        <f>IF(B$17=0,0,G16/B$17)</f>
        <v>4.4642857142857144E-2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112</v>
      </c>
      <c r="C17" s="37">
        <f>IF(B$3=0,0,B17/B$3)</f>
        <v>0.29396325459317585</v>
      </c>
      <c r="E17" s="63" t="s">
        <v>80</v>
      </c>
      <c r="F17" s="60" t="s">
        <v>35</v>
      </c>
      <c r="G17" s="47">
        <v>2</v>
      </c>
      <c r="H17" s="133">
        <f>IF(B$17=0,0,G17/B$17)</f>
        <v>1.7857142857142856E-2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47</v>
      </c>
      <c r="C18" s="39">
        <f>IF(B$17=0,0,B18/B$17)</f>
        <v>0.41964285714285715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65</v>
      </c>
      <c r="C19" s="39">
        <f>IF(B$17=0,0,B19/B$17)</f>
        <v>0.5803571428571429</v>
      </c>
      <c r="E19" s="63" t="s">
        <v>82</v>
      </c>
      <c r="F19" s="60" t="s">
        <v>37</v>
      </c>
      <c r="G19" s="47">
        <v>3</v>
      </c>
      <c r="H19" s="133">
        <f>IF(B$17=0,0,G19/B$17)</f>
        <v>2.6785714285714284E-2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61</v>
      </c>
      <c r="C20" s="39">
        <f>IF(B$3=0,0,B20/B$3)</f>
        <v>0.16010498687664043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5</v>
      </c>
      <c r="H21" s="133">
        <f>IF(B$17=0,0,G21/B$17)</f>
        <v>4.4642857142857144E-2</v>
      </c>
      <c r="I21" s="94">
        <v>5</v>
      </c>
      <c r="K21" s="38">
        <v>19</v>
      </c>
      <c r="L21" s="99">
        <v>-235.6</v>
      </c>
      <c r="N21" s="115" t="s">
        <v>172</v>
      </c>
      <c r="O21" s="125">
        <f t="shared" si="2"/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-29.850000000000005</v>
      </c>
      <c r="P22" s="119">
        <v>20</v>
      </c>
      <c r="Q22" s="107">
        <v>-597.00000000000011</v>
      </c>
    </row>
    <row r="23" spans="1:17" x14ac:dyDescent="0.4">
      <c r="A23" s="55" t="s">
        <v>5</v>
      </c>
      <c r="B23" s="51">
        <f>IF(B$17=0,0,C23/B$17)</f>
        <v>8838.3928571428569</v>
      </c>
      <c r="C23" s="41">
        <v>989900</v>
      </c>
      <c r="E23" s="63" t="s">
        <v>86</v>
      </c>
      <c r="F23" s="60" t="s">
        <v>41</v>
      </c>
      <c r="G23" s="47">
        <v>2</v>
      </c>
      <c r="H23" s="133">
        <f>IF(B$17=0,0,G23/B$17)</f>
        <v>1.7857142857142856E-2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-7621.311475409836</v>
      </c>
      <c r="C24" s="45">
        <v>-464900</v>
      </c>
      <c r="E24" s="63" t="s">
        <v>87</v>
      </c>
      <c r="F24" s="60" t="s">
        <v>42</v>
      </c>
      <c r="G24" s="47">
        <v>2</v>
      </c>
      <c r="H24" s="133">
        <f>IF(B$17=0,0,G24/B$17)</f>
        <v>1.7857142857142856E-2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7.874015748031496E-3</v>
      </c>
      <c r="E27" s="63" t="s">
        <v>90</v>
      </c>
      <c r="F27" s="60" t="s">
        <v>45</v>
      </c>
      <c r="G27" s="47">
        <v>13</v>
      </c>
      <c r="H27" s="133">
        <f>IF(B$17=0,0,G27/B$17)</f>
        <v>0.11607142857142858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8.9285714285714281E-3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4.4642857142857144E-2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8.9285714285714281E-3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8.9285714285714281E-3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0.41964285714285715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30D0-3903-4C85-AEAE-8097FF5AC18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E1F8-16F1-4B14-B9FD-33592E6996E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153AF-2078-408E-8167-5521A82CA6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DC5B4-A072-4822-8C3B-CD2D873593F1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47D8F-7D91-466C-A755-13AD3EC2ACE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27E8A-CFCE-47A5-837E-CB44B08AE0A4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F601F-93E7-4D79-8817-1058DC674F62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BFDCF-17EA-4310-AAFF-AB48F430B06B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3455-20AE-4DA8-97ED-BA76EAA82F72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5600-6635-47E3-9FB1-DC9B5CCDAC5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8E52-0D08-463B-86E4-854D7195E562}">
  <sheetPr codeName="Sheet20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9EC-1F87-4066-BA97-948D38F3BA68}">
  <sheetPr codeName="Sheet18"/>
  <dimension ref="A1:Q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C0CC-FC4B-4C4A-B719-77E3F350CD15}">
  <sheetPr codeName="Sheet16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0CB4-47EE-42C6-B2A6-064C42428CB7}">
  <sheetPr codeName="Sheet14"/>
  <dimension ref="A1:Q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169.49999999999997</v>
      </c>
      <c r="C79" s="66">
        <v>2.2302631578947363</v>
      </c>
      <c r="D79" s="71">
        <v>2.0263157894736841</v>
      </c>
      <c r="E79" s="67">
        <v>0.31578947368421051</v>
      </c>
      <c r="F79" s="67">
        <v>0.34210526315789475</v>
      </c>
      <c r="G79" s="67">
        <v>0.28437499999999999</v>
      </c>
      <c r="H79" s="67">
        <v>0.17343749999999999</v>
      </c>
      <c r="I79" s="68">
        <v>9859.8901098901097</v>
      </c>
      <c r="J79" s="68">
        <v>-7831.531531531532</v>
      </c>
      <c r="K79" s="67">
        <v>6.5789473684210523E-2</v>
      </c>
      <c r="L79" s="67">
        <v>0.13157894736842105</v>
      </c>
      <c r="M79" s="67">
        <v>0.28749999999999998</v>
      </c>
      <c r="N79" s="67">
        <v>0.19062499999999999</v>
      </c>
      <c r="O79" s="67">
        <v>0.58152173913043481</v>
      </c>
      <c r="P79" s="67">
        <v>0.4098360655737705</v>
      </c>
      <c r="Q79" s="67">
        <v>0.42857142857142855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B521-45D7-484C-833B-E0BDF64530BA}">
  <sheetPr codeName="Sheet12"/>
  <dimension ref="A1:Q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F36A7-5471-424E-AFC8-730416647676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2B54-62C2-4822-A2E7-CA05CD4C6780}">
  <sheetPr codeName="Sheet8"/>
  <dimension ref="A1:Q12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1605.200000000001</v>
      </c>
      <c r="C128" s="66">
        <v>12.841600000000007</v>
      </c>
      <c r="D128" s="71">
        <v>1.728</v>
      </c>
      <c r="E128" s="67">
        <v>0.496</v>
      </c>
      <c r="F128" s="67">
        <v>0.224</v>
      </c>
      <c r="G128" s="67">
        <v>0.34808259587020651</v>
      </c>
      <c r="H128" s="67">
        <v>0.15437561455260571</v>
      </c>
      <c r="I128" s="68">
        <v>9159.3220338983047</v>
      </c>
      <c r="J128" s="68">
        <v>-8134.3949044585988</v>
      </c>
      <c r="K128" s="67">
        <v>0.104</v>
      </c>
      <c r="L128" s="67">
        <v>0.16800000000000001</v>
      </c>
      <c r="M128" s="67">
        <v>0.32940019665683384</v>
      </c>
      <c r="N128" s="67">
        <v>0.21828908554572271</v>
      </c>
      <c r="O128" s="67">
        <v>0.57014925373134329</v>
      </c>
      <c r="P128" s="67">
        <v>0.51351351351351349</v>
      </c>
      <c r="Q128" s="67">
        <v>0.403954802259887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6624-9B68-4DCF-ADED-DCF9221E715F}">
  <sheetPr codeName="Sheet6"/>
  <dimension ref="A1:Q18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0.29961340206185566</v>
      </c>
      <c r="H189" s="67">
        <v>0.16731099656357387</v>
      </c>
      <c r="I189" s="68">
        <v>8641.2903225806458</v>
      </c>
      <c r="J189" s="68">
        <v>-8221.5661103979455</v>
      </c>
      <c r="K189" s="67">
        <v>0.11290322580645161</v>
      </c>
      <c r="L189" s="67">
        <v>0.11290322580645161</v>
      </c>
      <c r="M189" s="67">
        <v>0.28006872852233677</v>
      </c>
      <c r="N189" s="67">
        <v>0.20983676975945018</v>
      </c>
      <c r="O189" s="67">
        <v>0.58128834355828218</v>
      </c>
      <c r="P189" s="67">
        <v>0.39099283520982597</v>
      </c>
      <c r="Q189" s="67">
        <v>0.43584229390681006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2019-05-27T08:50:37Z</dcterms:modified>
</cp:coreProperties>
</file>