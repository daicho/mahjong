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9F47477-9931-4980-A0CA-0F929EF16A8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774" r:id="rId6"/>
    <sheet name="だいち" sheetId="4776" r:id="rId7"/>
    <sheet name="りくと" sheetId="4778" r:id="rId8"/>
    <sheet name="ただ" sheetId="4780" r:id="rId9"/>
    <sheet name="れんたろう" sheetId="4782" r:id="rId10"/>
    <sheet name="たかの" sheetId="4784" r:id="rId11"/>
    <sheet name="ぱぱ" sheetId="4786" r:id="rId12"/>
    <sheet name="まっつん" sheetId="4788" r:id="rId13"/>
    <sheet name="あさひ" sheetId="4790" r:id="rId14"/>
    <sheet name="いっしー" sheetId="4792" r:id="rId15"/>
    <sheet name="ほたに" sheetId="4794" r:id="rId16"/>
    <sheet name="ほたに2" sheetId="4795" state="hidden" r:id="rId17"/>
    <sheet name="いっしー2" sheetId="4793" state="hidden" r:id="rId18"/>
    <sheet name="あさひ2" sheetId="4791" state="hidden" r:id="rId19"/>
    <sheet name="まっつん2" sheetId="4789" state="hidden" r:id="rId20"/>
    <sheet name="ぱぱ2" sheetId="4787" state="hidden" r:id="rId21"/>
    <sheet name="たかの2" sheetId="4785" state="hidden" r:id="rId22"/>
    <sheet name="れんたろう2" sheetId="4783" state="hidden" r:id="rId23"/>
    <sheet name="ただ2" sheetId="4781" state="hidden" r:id="rId24"/>
    <sheet name="りくと2" sheetId="4779" state="hidden" r:id="rId25"/>
    <sheet name="だいち2" sheetId="4777" state="hidden" r:id="rId26"/>
    <sheet name="全体2" sheetId="477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アガリ率" sheetId="3189" state="hidden" r:id="rId32"/>
    <sheet name="放銃率" sheetId="3190" state="hidden" r:id="rId33"/>
    <sheet name="平均アガリ点" sheetId="3520" state="hidden" r:id="rId34"/>
    <sheet name="平均放銃点" sheetId="3521" state="hidden" r:id="rId35"/>
    <sheet name="ふっとび率" sheetId="3522" state="hidden" r:id="rId36"/>
    <sheet name="ふっとばし率" sheetId="3523" state="hidden" r:id="rId37"/>
    <sheet name="リーチ率" sheetId="3524" state="hidden" r:id="rId38"/>
    <sheet name="副露率" sheetId="3525" state="hidden" r:id="rId39"/>
    <sheet name="リーチ成功率" sheetId="3526" state="hidden" r:id="rId40"/>
    <sheet name="副露成功率" sheetId="3527" state="hidden" r:id="rId41"/>
    <sheet name="ツモ率" sheetId="3528" state="hidden" r:id="rId4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794" l="1"/>
  <c r="O16" i="4794"/>
  <c r="H44" i="4794"/>
  <c r="H43" i="4794"/>
  <c r="H40" i="4794"/>
  <c r="H32" i="4794"/>
  <c r="H30" i="4794"/>
  <c r="H9" i="4794"/>
  <c r="C27" i="4794"/>
  <c r="B24" i="4794"/>
  <c r="H23" i="4794"/>
  <c r="C20" i="4794"/>
  <c r="H21" i="4794"/>
  <c r="B17" i="4794"/>
  <c r="H49" i="4794" s="1"/>
  <c r="H18" i="4794"/>
  <c r="C16" i="4794"/>
  <c r="H17" i="4794"/>
  <c r="C15" i="4794"/>
  <c r="C14" i="4794"/>
  <c r="C13" i="4794"/>
  <c r="O12" i="4794"/>
  <c r="H14" i="4794"/>
  <c r="C12" i="4794"/>
  <c r="O11" i="4794"/>
  <c r="C11" i="4794"/>
  <c r="O10" i="4794"/>
  <c r="C10" i="4794"/>
  <c r="H12" i="4794"/>
  <c r="C9" i="4794"/>
  <c r="C8" i="4794"/>
  <c r="O7" i="4794"/>
  <c r="C7" i="4794"/>
  <c r="O6" i="4794"/>
  <c r="H6" i="4794"/>
  <c r="B6" i="4794"/>
  <c r="O5" i="4794"/>
  <c r="B5" i="4794"/>
  <c r="O4" i="4794"/>
  <c r="O3" i="4794"/>
  <c r="H5" i="4794"/>
  <c r="O2" i="4794"/>
  <c r="O21" i="4782"/>
  <c r="O16" i="4784"/>
  <c r="O18" i="4774"/>
  <c r="H46" i="4794" l="1"/>
  <c r="H15" i="4794"/>
  <c r="H48" i="4794"/>
  <c r="H2" i="4794"/>
  <c r="H25" i="4794"/>
  <c r="C17" i="4794"/>
  <c r="H47" i="4794"/>
  <c r="H36" i="4794"/>
  <c r="H13" i="4794"/>
  <c r="C18" i="4794"/>
  <c r="H28" i="4794"/>
  <c r="H50" i="4794"/>
  <c r="H8" i="4794"/>
  <c r="H34" i="4794"/>
  <c r="H7" i="4794"/>
  <c r="H35" i="4794"/>
  <c r="H19" i="4794"/>
  <c r="H26" i="4794"/>
  <c r="H3" i="4794"/>
  <c r="H16" i="4794"/>
  <c r="H38" i="4794"/>
  <c r="H4" i="4794"/>
  <c r="H11" i="4794"/>
  <c r="C19" i="4794"/>
  <c r="H39" i="4794"/>
  <c r="H51" i="4794"/>
  <c r="H24" i="4794"/>
  <c r="H31" i="4794"/>
  <c r="H42" i="4794"/>
  <c r="H10" i="4794"/>
  <c r="H20" i="4794"/>
  <c r="B23" i="4794"/>
  <c r="H29" i="4794"/>
  <c r="H37" i="4794"/>
  <c r="H45" i="4794"/>
  <c r="H22" i="4794"/>
  <c r="H27" i="4794"/>
  <c r="H33" i="4794"/>
  <c r="H41" i="4794"/>
  <c r="O17" i="4784" l="1"/>
  <c r="O15" i="4780"/>
  <c r="O20" i="4788"/>
  <c r="O19" i="4788"/>
  <c r="O17" i="4776" l="1"/>
  <c r="O17" i="4792"/>
  <c r="O16" i="4792" l="1"/>
  <c r="O15" i="4792"/>
  <c r="O16" i="4782"/>
  <c r="O20" i="4780"/>
  <c r="O17" i="4790" l="1"/>
  <c r="O20" i="4786"/>
  <c r="O15" i="4790"/>
  <c r="O20" i="4792"/>
  <c r="O15" i="4778"/>
  <c r="O15" i="4788"/>
  <c r="O15" i="4774"/>
  <c r="O19" i="4792"/>
  <c r="O18" i="4792"/>
  <c r="C27" i="4792"/>
  <c r="B24" i="4792"/>
  <c r="C20" i="4792"/>
  <c r="B17" i="4792"/>
  <c r="H51" i="4792" s="1"/>
  <c r="C16" i="4792"/>
  <c r="C15" i="4792"/>
  <c r="C14" i="4792"/>
  <c r="C13" i="4792"/>
  <c r="O12" i="4792"/>
  <c r="C12" i="4792"/>
  <c r="O11" i="4792"/>
  <c r="C11" i="4792"/>
  <c r="O10" i="4792"/>
  <c r="C10" i="4792"/>
  <c r="C9" i="4792"/>
  <c r="C8" i="4792"/>
  <c r="O7" i="4792"/>
  <c r="C7" i="4792"/>
  <c r="O6" i="4792"/>
  <c r="B6" i="4792"/>
  <c r="O5" i="4792"/>
  <c r="B5" i="4792"/>
  <c r="O4" i="4792"/>
  <c r="O3" i="4792"/>
  <c r="O2" i="4792"/>
  <c r="O16" i="4790"/>
  <c r="O18" i="4790"/>
  <c r="C27" i="4790"/>
  <c r="B24" i="4790"/>
  <c r="C20" i="4790"/>
  <c r="B17" i="4790"/>
  <c r="H51" i="4790" s="1"/>
  <c r="C16" i="4790"/>
  <c r="C15" i="4790"/>
  <c r="C14" i="4790"/>
  <c r="C13" i="4790"/>
  <c r="O12" i="4790"/>
  <c r="C12" i="4790"/>
  <c r="O11" i="4790"/>
  <c r="C11" i="4790"/>
  <c r="O10" i="4790"/>
  <c r="C10" i="4790"/>
  <c r="C9" i="4790"/>
  <c r="C8" i="4790"/>
  <c r="O7" i="4790"/>
  <c r="C7" i="4790"/>
  <c r="O6" i="4790"/>
  <c r="B6" i="4790"/>
  <c r="O5" i="4790"/>
  <c r="B5" i="4790"/>
  <c r="O4" i="4790"/>
  <c r="O3" i="4790"/>
  <c r="O2" i="4790"/>
  <c r="O22" i="4788"/>
  <c r="O21" i="4788"/>
  <c r="O16" i="4776"/>
  <c r="O19" i="4776"/>
  <c r="O23" i="4774"/>
  <c r="H16" i="4790" l="1"/>
  <c r="H19" i="4790"/>
  <c r="H30" i="4790"/>
  <c r="H9" i="4790"/>
  <c r="H45" i="4790"/>
  <c r="H46" i="4790"/>
  <c r="H4" i="4790"/>
  <c r="C17" i="4790"/>
  <c r="H20" i="4790"/>
  <c r="H5" i="4790"/>
  <c r="H14" i="4790"/>
  <c r="H2" i="4790"/>
  <c r="H11" i="4790"/>
  <c r="H48" i="4790"/>
  <c r="H40" i="4790"/>
  <c r="H25" i="4790"/>
  <c r="B23" i="4790"/>
  <c r="H26" i="4790"/>
  <c r="C18" i="4790"/>
  <c r="H47" i="4790"/>
  <c r="H21" i="4790"/>
  <c r="C19" i="4790"/>
  <c r="H38" i="4790"/>
  <c r="H7" i="4790"/>
  <c r="H29" i="4790"/>
  <c r="H3" i="4790"/>
  <c r="H44" i="4790"/>
  <c r="H31" i="4790"/>
  <c r="H32" i="4790"/>
  <c r="H17" i="4790"/>
  <c r="H36" i="4790"/>
  <c r="H13" i="4790"/>
  <c r="H37" i="4790"/>
  <c r="H18" i="4790"/>
  <c r="H12" i="4790"/>
  <c r="H8" i="4790"/>
  <c r="H10" i="4790"/>
  <c r="H15" i="4790"/>
  <c r="H22" i="4790"/>
  <c r="H6" i="4790"/>
  <c r="H39" i="4790"/>
  <c r="H14" i="4792"/>
  <c r="H11" i="4792"/>
  <c r="H6" i="4792"/>
  <c r="H12" i="4792"/>
  <c r="H16" i="4792"/>
  <c r="H7" i="4792"/>
  <c r="H39" i="4792"/>
  <c r="C17" i="4792"/>
  <c r="H29" i="4792"/>
  <c r="H45" i="4792"/>
  <c r="H3" i="4792"/>
  <c r="H24" i="4792"/>
  <c r="H17" i="4792"/>
  <c r="H31" i="4792"/>
  <c r="H25" i="4792"/>
  <c r="C19" i="4792"/>
  <c r="H47" i="4792"/>
  <c r="H2" i="4792"/>
  <c r="H30" i="4792"/>
  <c r="B23" i="4792"/>
  <c r="H22" i="4792"/>
  <c r="H46" i="4792"/>
  <c r="H13" i="4792"/>
  <c r="H50" i="4792"/>
  <c r="H42" i="4792"/>
  <c r="H44" i="4792"/>
  <c r="H8" i="4792"/>
  <c r="C18" i="4792"/>
  <c r="H34" i="4792"/>
  <c r="H15" i="4792"/>
  <c r="H18" i="4792"/>
  <c r="H36" i="4792"/>
  <c r="H4" i="4792"/>
  <c r="H9" i="4792"/>
  <c r="H10" i="4792"/>
  <c r="H28" i="4792"/>
  <c r="H37" i="4792"/>
  <c r="H19" i="4792"/>
  <c r="H38" i="4792"/>
  <c r="H5" i="4792"/>
  <c r="H20" i="4792"/>
  <c r="H26" i="4792"/>
  <c r="H32" i="4792"/>
  <c r="H40" i="4792"/>
  <c r="H48" i="4792"/>
  <c r="H23" i="4792"/>
  <c r="H27" i="4792"/>
  <c r="H33" i="4792"/>
  <c r="H41" i="4792"/>
  <c r="H49" i="4792"/>
  <c r="H21" i="4792"/>
  <c r="H35" i="4792"/>
  <c r="H43" i="4792"/>
  <c r="H23" i="4790"/>
  <c r="H27" i="4790"/>
  <c r="H33" i="4790"/>
  <c r="H41" i="4790"/>
  <c r="H49" i="4790"/>
  <c r="H24" i="4790"/>
  <c r="H28" i="4790"/>
  <c r="H34" i="4790"/>
  <c r="H42" i="4790"/>
  <c r="H50" i="4790"/>
  <c r="H35" i="4790"/>
  <c r="H43" i="4790"/>
  <c r="O16" i="4788" l="1"/>
  <c r="O19" i="4786"/>
  <c r="O17" i="4786"/>
  <c r="O18" i="4778"/>
  <c r="O19" i="4784" l="1"/>
  <c r="O17" i="4782"/>
  <c r="O16" i="4786"/>
  <c r="O18" i="4786"/>
  <c r="O15" i="4784" l="1"/>
  <c r="O15" i="4782"/>
  <c r="O19" i="4780"/>
  <c r="O21" i="4780"/>
  <c r="O17" i="4788"/>
  <c r="O18" i="4788"/>
  <c r="C27" i="4788"/>
  <c r="B24" i="4788"/>
  <c r="C20" i="4788"/>
  <c r="B17" i="4788"/>
  <c r="H51" i="4788" s="1"/>
  <c r="C16" i="4788"/>
  <c r="C15" i="4788"/>
  <c r="H19" i="4788"/>
  <c r="C14" i="4788"/>
  <c r="C13" i="4788"/>
  <c r="O12" i="4788"/>
  <c r="C12" i="4788"/>
  <c r="O11" i="4788"/>
  <c r="C11" i="4788"/>
  <c r="O10" i="4788"/>
  <c r="H2" i="4788"/>
  <c r="C10" i="4788"/>
  <c r="C9" i="4788"/>
  <c r="C8" i="4788"/>
  <c r="O7" i="4788"/>
  <c r="C7" i="4788"/>
  <c r="O6" i="4788"/>
  <c r="B6" i="4788"/>
  <c r="O5" i="4788"/>
  <c r="B5" i="4788"/>
  <c r="O4" i="4788"/>
  <c r="O3" i="4788"/>
  <c r="O2" i="4788"/>
  <c r="O19" i="4782"/>
  <c r="O19" i="4778"/>
  <c r="O19" i="4774"/>
  <c r="H4" i="4788" l="1"/>
  <c r="H26" i="4788"/>
  <c r="H9" i="4788"/>
  <c r="H10" i="4788"/>
  <c r="H17" i="4788"/>
  <c r="H44" i="4788"/>
  <c r="H3" i="4788"/>
  <c r="H36" i="4788"/>
  <c r="C17" i="4788"/>
  <c r="C18" i="4788"/>
  <c r="H5" i="4788"/>
  <c r="H30" i="4788"/>
  <c r="H37" i="4788"/>
  <c r="H45" i="4788"/>
  <c r="H16" i="4788"/>
  <c r="B23" i="4788"/>
  <c r="C19" i="4788"/>
  <c r="H11" i="4788"/>
  <c r="H38" i="4788"/>
  <c r="H46" i="4788"/>
  <c r="H8" i="4788"/>
  <c r="H6" i="4788"/>
  <c r="H12" i="4788"/>
  <c r="H18" i="4788"/>
  <c r="H24" i="4788"/>
  <c r="H31" i="4788"/>
  <c r="H39" i="4788"/>
  <c r="H47" i="4788"/>
  <c r="H23" i="4788"/>
  <c r="H20" i="4788"/>
  <c r="H15" i="4788"/>
  <c r="H21" i="4788"/>
  <c r="H27" i="4788"/>
  <c r="H32" i="4788"/>
  <c r="H40" i="4788"/>
  <c r="H48" i="4788"/>
  <c r="H25" i="4788"/>
  <c r="H28" i="4788"/>
  <c r="H33" i="4788"/>
  <c r="H41" i="4788"/>
  <c r="H49" i="4788"/>
  <c r="H7" i="4788"/>
  <c r="H13" i="4788"/>
  <c r="H14" i="4788"/>
  <c r="H29" i="4788"/>
  <c r="H34" i="4788"/>
  <c r="H42" i="4788"/>
  <c r="H50" i="4788"/>
  <c r="H22" i="4788"/>
  <c r="H35" i="4788"/>
  <c r="H43" i="4788"/>
  <c r="O16" i="4780" l="1"/>
  <c r="O21" i="4786"/>
  <c r="O15" i="4786"/>
  <c r="C27" i="4786"/>
  <c r="B24" i="4786"/>
  <c r="C20" i="4786"/>
  <c r="B17" i="4786"/>
  <c r="H50" i="4786" s="1"/>
  <c r="C16" i="4786"/>
  <c r="C15" i="4786"/>
  <c r="C14" i="4786"/>
  <c r="C13" i="4786"/>
  <c r="O12" i="4786"/>
  <c r="C12" i="4786"/>
  <c r="O11" i="4786"/>
  <c r="C11" i="4786"/>
  <c r="O10" i="4786"/>
  <c r="C10" i="4786"/>
  <c r="C9" i="4786"/>
  <c r="C8" i="4786"/>
  <c r="O7" i="4786"/>
  <c r="C7" i="4786"/>
  <c r="O6" i="4786"/>
  <c r="B6" i="4786"/>
  <c r="O5" i="4786"/>
  <c r="B5" i="4786"/>
  <c r="O4" i="4786"/>
  <c r="O3" i="4786"/>
  <c r="O2" i="4786"/>
  <c r="O15" i="4776"/>
  <c r="O17" i="4774"/>
  <c r="O18" i="4784"/>
  <c r="O17" i="4778"/>
  <c r="O20" i="4778"/>
  <c r="O20" i="4782"/>
  <c r="O20" i="4784"/>
  <c r="O21" i="4784"/>
  <c r="H39" i="4784"/>
  <c r="H30" i="4784"/>
  <c r="C27" i="4784"/>
  <c r="B24" i="4784"/>
  <c r="C20" i="4784"/>
  <c r="B17" i="4784"/>
  <c r="H51" i="4784" s="1"/>
  <c r="C16" i="4784"/>
  <c r="C15" i="4784"/>
  <c r="C14" i="4784"/>
  <c r="C13" i="4784"/>
  <c r="O12" i="4784"/>
  <c r="C12" i="4784"/>
  <c r="O11" i="4784"/>
  <c r="C11" i="4784"/>
  <c r="O10" i="4784"/>
  <c r="C10" i="4784"/>
  <c r="C9" i="4784"/>
  <c r="C8" i="4784"/>
  <c r="O7" i="4784"/>
  <c r="C7" i="4784"/>
  <c r="O6" i="4784"/>
  <c r="B6" i="4784"/>
  <c r="O5" i="4784"/>
  <c r="B5" i="4784"/>
  <c r="O4" i="4784"/>
  <c r="O3" i="4784"/>
  <c r="O2" i="4784"/>
  <c r="O22" i="4782"/>
  <c r="O18" i="4782"/>
  <c r="C27" i="4782"/>
  <c r="B24" i="4782"/>
  <c r="C20" i="4782"/>
  <c r="B17" i="4782"/>
  <c r="H17" i="4782" s="1"/>
  <c r="C16" i="4782"/>
  <c r="C15" i="4782"/>
  <c r="C14" i="4782"/>
  <c r="C13" i="4782"/>
  <c r="O12" i="4782"/>
  <c r="C12" i="4782"/>
  <c r="O11" i="4782"/>
  <c r="C11" i="4782"/>
  <c r="O10" i="4782"/>
  <c r="C10" i="4782"/>
  <c r="C9" i="4782"/>
  <c r="C8" i="4782"/>
  <c r="O7" i="4782"/>
  <c r="C7" i="4782"/>
  <c r="O6" i="4782"/>
  <c r="B6" i="4782"/>
  <c r="O5" i="4782"/>
  <c r="B5" i="4782"/>
  <c r="O4" i="4782"/>
  <c r="O3" i="4782"/>
  <c r="O2" i="4782"/>
  <c r="O20" i="4776"/>
  <c r="O21" i="4776"/>
  <c r="O22" i="4774"/>
  <c r="O20" i="4774"/>
  <c r="H25" i="4786" l="1"/>
  <c r="H15" i="4784"/>
  <c r="H11" i="4784"/>
  <c r="H3" i="4784"/>
  <c r="H20" i="4782"/>
  <c r="H11" i="4786"/>
  <c r="C17" i="4786"/>
  <c r="H35" i="4786"/>
  <c r="H15" i="4786"/>
  <c r="H7" i="4786"/>
  <c r="H31" i="4786"/>
  <c r="H14" i="4786"/>
  <c r="H3" i="4786"/>
  <c r="H43" i="4786"/>
  <c r="H17" i="4786"/>
  <c r="H4" i="4786"/>
  <c r="C18" i="4786"/>
  <c r="H23" i="4786"/>
  <c r="H39" i="4786"/>
  <c r="H2" i="4786"/>
  <c r="H19" i="4786"/>
  <c r="H16" i="4786"/>
  <c r="H51" i="4786"/>
  <c r="H8" i="4786"/>
  <c r="H36" i="4786"/>
  <c r="H44" i="4786"/>
  <c r="H5" i="4786"/>
  <c r="H9" i="4786"/>
  <c r="H22" i="4786"/>
  <c r="B23" i="4786"/>
  <c r="H29" i="4786"/>
  <c r="H37" i="4786"/>
  <c r="H45" i="4786"/>
  <c r="H6" i="4786"/>
  <c r="H20" i="4786"/>
  <c r="C19" i="4786"/>
  <c r="H26" i="4786"/>
  <c r="H30" i="4786"/>
  <c r="H38" i="4786"/>
  <c r="H46" i="4786"/>
  <c r="H47" i="4786"/>
  <c r="H21" i="4786"/>
  <c r="H13" i="4786"/>
  <c r="H32" i="4786"/>
  <c r="H40" i="4786"/>
  <c r="H48" i="4786"/>
  <c r="H24" i="4786"/>
  <c r="H27" i="4786"/>
  <c r="H33" i="4786"/>
  <c r="H41" i="4786"/>
  <c r="H49" i="4786"/>
  <c r="H10" i="4786"/>
  <c r="H18" i="4786"/>
  <c r="H12" i="4786"/>
  <c r="H28" i="4786"/>
  <c r="H34" i="4786"/>
  <c r="H42" i="4786"/>
  <c r="H40" i="4784"/>
  <c r="H14" i="4784"/>
  <c r="H20" i="4784"/>
  <c r="H12" i="4784"/>
  <c r="H6" i="4784"/>
  <c r="H10" i="4784"/>
  <c r="H4" i="4782"/>
  <c r="H27" i="4782"/>
  <c r="H8" i="4782"/>
  <c r="H22" i="4782"/>
  <c r="H10" i="4782"/>
  <c r="C17" i="4784"/>
  <c r="H45" i="4784"/>
  <c r="H18" i="4784"/>
  <c r="H46" i="4784"/>
  <c r="H44" i="4784"/>
  <c r="H36" i="4784"/>
  <c r="H2" i="4784"/>
  <c r="H26" i="4784"/>
  <c r="H8" i="4784"/>
  <c r="H21" i="4784"/>
  <c r="B23" i="4784"/>
  <c r="H31" i="4784"/>
  <c r="H16" i="4784"/>
  <c r="H27" i="4784"/>
  <c r="H32" i="4784"/>
  <c r="H7" i="4784"/>
  <c r="H19" i="4784"/>
  <c r="H22" i="4784"/>
  <c r="C18" i="4784"/>
  <c r="H47" i="4784"/>
  <c r="H5" i="4784"/>
  <c r="H9" i="4784"/>
  <c r="H24" i="4784"/>
  <c r="H13" i="4784"/>
  <c r="H37" i="4784"/>
  <c r="H48" i="4784"/>
  <c r="H23" i="4784"/>
  <c r="C19" i="4784"/>
  <c r="H38" i="4784"/>
  <c r="H4" i="4784"/>
  <c r="H25" i="4784"/>
  <c r="H28" i="4784"/>
  <c r="H33" i="4784"/>
  <c r="H41" i="4784"/>
  <c r="H49" i="4784"/>
  <c r="H17" i="4784"/>
  <c r="H29" i="4784"/>
  <c r="H34" i="4784"/>
  <c r="H42" i="4784"/>
  <c r="H50" i="4784"/>
  <c r="H35" i="4784"/>
  <c r="H43" i="4784"/>
  <c r="H45" i="4782"/>
  <c r="H2" i="4782"/>
  <c r="H37" i="4782"/>
  <c r="C17" i="4782"/>
  <c r="C18" i="4782"/>
  <c r="H5" i="4782"/>
  <c r="H3" i="4782"/>
  <c r="H25" i="4782"/>
  <c r="B23" i="4782"/>
  <c r="H31" i="4782"/>
  <c r="H38" i="4782"/>
  <c r="H46" i="4782"/>
  <c r="H11" i="4782"/>
  <c r="H23" i="4782"/>
  <c r="C19" i="4782"/>
  <c r="H28" i="4782"/>
  <c r="H32" i="4782"/>
  <c r="H39" i="4782"/>
  <c r="H47" i="4782"/>
  <c r="H9" i="4782"/>
  <c r="H6" i="4782"/>
  <c r="H12" i="4782"/>
  <c r="H21" i="4782"/>
  <c r="H18" i="4782"/>
  <c r="H19" i="4782"/>
  <c r="H40" i="4782"/>
  <c r="H48" i="4782"/>
  <c r="H15" i="4782"/>
  <c r="H13" i="4782"/>
  <c r="H33" i="4782"/>
  <c r="H41" i="4782"/>
  <c r="H49" i="4782"/>
  <c r="H26" i="4782"/>
  <c r="H29" i="4782"/>
  <c r="H34" i="4782"/>
  <c r="H50" i="4782"/>
  <c r="H7" i="4782"/>
  <c r="H16" i="4782"/>
  <c r="H14" i="4782"/>
  <c r="H30" i="4782"/>
  <c r="H35" i="4782"/>
  <c r="H43" i="4782"/>
  <c r="H51" i="4782"/>
  <c r="H42" i="4782"/>
  <c r="H24" i="4782"/>
  <c r="H36" i="4782"/>
  <c r="H44" i="4782"/>
  <c r="O17" i="4780" l="1"/>
  <c r="O18" i="4780"/>
  <c r="C27" i="4780"/>
  <c r="B24" i="4780"/>
  <c r="C20" i="4780"/>
  <c r="B17" i="4780"/>
  <c r="H5" i="4780" s="1"/>
  <c r="C16" i="4780"/>
  <c r="C15" i="4780"/>
  <c r="C14" i="4780"/>
  <c r="C13" i="4780"/>
  <c r="O12" i="4780"/>
  <c r="C12" i="4780"/>
  <c r="O11" i="4780"/>
  <c r="C11" i="4780"/>
  <c r="O10" i="4780"/>
  <c r="C10" i="4780"/>
  <c r="C9" i="4780"/>
  <c r="C8" i="4780"/>
  <c r="O7" i="4780"/>
  <c r="C7" i="4780"/>
  <c r="O6" i="4780"/>
  <c r="B6" i="4780"/>
  <c r="O5" i="4780"/>
  <c r="B5" i="4780"/>
  <c r="O4" i="4780"/>
  <c r="O3" i="4780"/>
  <c r="O2" i="4780"/>
  <c r="O21" i="4778"/>
  <c r="O16" i="4778"/>
  <c r="H11" i="4778"/>
  <c r="C27" i="4778"/>
  <c r="B24" i="4778"/>
  <c r="C20" i="4778"/>
  <c r="B17" i="4778"/>
  <c r="H16" i="4778" s="1"/>
  <c r="C16" i="4778"/>
  <c r="C15" i="4778"/>
  <c r="C14" i="4778"/>
  <c r="C13" i="4778"/>
  <c r="O12" i="4778"/>
  <c r="C12" i="4778"/>
  <c r="O11" i="4778"/>
  <c r="C11" i="4778"/>
  <c r="O10" i="4778"/>
  <c r="C10" i="4778"/>
  <c r="C9" i="4778"/>
  <c r="C8" i="4778"/>
  <c r="O7" i="4778"/>
  <c r="C7" i="4778"/>
  <c r="O6" i="4778"/>
  <c r="B6" i="4778"/>
  <c r="O5" i="4778"/>
  <c r="B5" i="4778"/>
  <c r="O4" i="4778"/>
  <c r="O3" i="4778"/>
  <c r="O2" i="4778"/>
  <c r="O24" i="4774"/>
  <c r="O18" i="4776"/>
  <c r="O22" i="4776"/>
  <c r="C27" i="4776"/>
  <c r="B24" i="4776"/>
  <c r="C20" i="4776"/>
  <c r="B17" i="4776"/>
  <c r="H50" i="4776" s="1"/>
  <c r="C16" i="4776"/>
  <c r="C15" i="4776"/>
  <c r="C14" i="4776"/>
  <c r="C13" i="4776"/>
  <c r="O12" i="4776"/>
  <c r="C12" i="4776"/>
  <c r="O11" i="4776"/>
  <c r="C11" i="4776"/>
  <c r="O10" i="4776"/>
  <c r="C10" i="4776"/>
  <c r="C9" i="4776"/>
  <c r="C8" i="4776"/>
  <c r="O7" i="4776"/>
  <c r="C7" i="4776"/>
  <c r="O6" i="4776"/>
  <c r="B6" i="4776"/>
  <c r="O5" i="4776"/>
  <c r="B5" i="4776"/>
  <c r="O4" i="4776"/>
  <c r="O3" i="4776"/>
  <c r="O2" i="4776"/>
  <c r="O16" i="4774"/>
  <c r="O21" i="4774"/>
  <c r="C27" i="4774"/>
  <c r="B24" i="4774"/>
  <c r="C20" i="4774"/>
  <c r="B17" i="4774"/>
  <c r="H5" i="4774" s="1"/>
  <c r="C16" i="4774"/>
  <c r="C15" i="4774"/>
  <c r="C14" i="4774"/>
  <c r="C13" i="4774"/>
  <c r="O12" i="4774"/>
  <c r="C12" i="4774"/>
  <c r="O11" i="4774"/>
  <c r="C11" i="4774"/>
  <c r="O10" i="4774"/>
  <c r="C10" i="4774"/>
  <c r="C9" i="4774"/>
  <c r="C8" i="4774"/>
  <c r="O7" i="4774"/>
  <c r="C7" i="4774"/>
  <c r="O6" i="4774"/>
  <c r="B6" i="4774"/>
  <c r="O5" i="4774"/>
  <c r="B5" i="4774"/>
  <c r="O4" i="4774"/>
  <c r="O3" i="4774"/>
  <c r="O2" i="4774"/>
  <c r="H36" i="4776" l="1"/>
  <c r="H3" i="4780"/>
  <c r="H20" i="4778"/>
  <c r="C18" i="4778"/>
  <c r="H13" i="4778"/>
  <c r="H6" i="4778"/>
  <c r="H3" i="4778"/>
  <c r="H24" i="4778"/>
  <c r="H10" i="4778"/>
  <c r="H39" i="4778"/>
  <c r="H9" i="4778"/>
  <c r="H7" i="4778"/>
  <c r="H4" i="4778"/>
  <c r="H22" i="4778"/>
  <c r="H17" i="4776"/>
  <c r="H2" i="4776"/>
  <c r="H29" i="4776"/>
  <c r="H12" i="4776"/>
  <c r="H6" i="4776"/>
  <c r="H26" i="4776"/>
  <c r="H35" i="4776"/>
  <c r="C17" i="4780"/>
  <c r="H8" i="4780"/>
  <c r="H2" i="4780"/>
  <c r="H22" i="4780"/>
  <c r="B23" i="4780"/>
  <c r="H7" i="4780"/>
  <c r="H29" i="4780"/>
  <c r="H37" i="4780"/>
  <c r="H45" i="4780"/>
  <c r="H20" i="4780"/>
  <c r="C19" i="4780"/>
  <c r="H26" i="4780"/>
  <c r="H30" i="4780"/>
  <c r="H38" i="4780"/>
  <c r="H46" i="4780"/>
  <c r="H4" i="4780"/>
  <c r="H17" i="4780"/>
  <c r="H23" i="4780"/>
  <c r="H47" i="4780"/>
  <c r="H12" i="4780"/>
  <c r="H10" i="4780"/>
  <c r="H31" i="4780"/>
  <c r="H39" i="4780"/>
  <c r="H14" i="4780"/>
  <c r="H13" i="4780"/>
  <c r="H32" i="4780"/>
  <c r="H40" i="4780"/>
  <c r="H48" i="4780"/>
  <c r="H24" i="4780"/>
  <c r="H27" i="4780"/>
  <c r="H33" i="4780"/>
  <c r="H41" i="4780"/>
  <c r="H49" i="4780"/>
  <c r="H9" i="4780"/>
  <c r="H18" i="4780"/>
  <c r="H15" i="4780"/>
  <c r="H28" i="4780"/>
  <c r="H34" i="4780"/>
  <c r="H42" i="4780"/>
  <c r="H50" i="4780"/>
  <c r="H21" i="4780"/>
  <c r="H35" i="4780"/>
  <c r="H43" i="4780"/>
  <c r="H51" i="4780"/>
  <c r="H6" i="4780"/>
  <c r="H16" i="4780"/>
  <c r="H19" i="4780"/>
  <c r="C18" i="4780"/>
  <c r="H25" i="4780"/>
  <c r="H11" i="4780"/>
  <c r="H36" i="4780"/>
  <c r="H44" i="4780"/>
  <c r="H15" i="4778"/>
  <c r="H17" i="4778"/>
  <c r="H23" i="4778"/>
  <c r="H2" i="4778"/>
  <c r="H28" i="4778"/>
  <c r="H32" i="4778"/>
  <c r="H27" i="4778"/>
  <c r="C19" i="4778"/>
  <c r="H38" i="4778"/>
  <c r="H41" i="4778"/>
  <c r="H45" i="4778"/>
  <c r="H12" i="4778"/>
  <c r="H46" i="4778"/>
  <c r="H14" i="4778"/>
  <c r="H47" i="4778"/>
  <c r="B23" i="4778"/>
  <c r="H33" i="4778"/>
  <c r="H49" i="4778"/>
  <c r="C17" i="4778"/>
  <c r="H30" i="4778"/>
  <c r="H37" i="4778"/>
  <c r="H5" i="4778"/>
  <c r="H26" i="4778"/>
  <c r="H40" i="4778"/>
  <c r="H48" i="4778"/>
  <c r="H29" i="4778"/>
  <c r="H31" i="4778"/>
  <c r="H34" i="4778"/>
  <c r="H42" i="4778"/>
  <c r="H50" i="4778"/>
  <c r="H8" i="4778"/>
  <c r="H21" i="4778"/>
  <c r="H19" i="4778"/>
  <c r="H25" i="4778"/>
  <c r="H35" i="4778"/>
  <c r="H43" i="4778"/>
  <c r="H51" i="4778"/>
  <c r="H18" i="4778"/>
  <c r="H36" i="4778"/>
  <c r="H44" i="4778"/>
  <c r="H39" i="4776"/>
  <c r="H15" i="4776"/>
  <c r="H43" i="4776"/>
  <c r="H44" i="4776"/>
  <c r="H13" i="4776"/>
  <c r="H25" i="4776"/>
  <c r="H10" i="4776"/>
  <c r="H7" i="4776"/>
  <c r="H21" i="4776"/>
  <c r="H8" i="4776"/>
  <c r="H51" i="4776"/>
  <c r="H4" i="4776"/>
  <c r="C17" i="4776"/>
  <c r="H47" i="4776"/>
  <c r="H3" i="4776"/>
  <c r="C18" i="4776"/>
  <c r="H32" i="4776"/>
  <c r="H5" i="4776"/>
  <c r="H27" i="4776"/>
  <c r="B23" i="4776"/>
  <c r="H23" i="4776"/>
  <c r="H37" i="4776"/>
  <c r="H45" i="4776"/>
  <c r="H20" i="4776"/>
  <c r="C19" i="4776"/>
  <c r="H30" i="4776"/>
  <c r="H18" i="4776"/>
  <c r="H38" i="4776"/>
  <c r="H46" i="4776"/>
  <c r="H16" i="4776"/>
  <c r="H11" i="4776"/>
  <c r="H33" i="4776"/>
  <c r="H40" i="4776"/>
  <c r="H48" i="4776"/>
  <c r="H28" i="4776"/>
  <c r="H22" i="4776"/>
  <c r="H34" i="4776"/>
  <c r="H41" i="4776"/>
  <c r="H49" i="4776"/>
  <c r="H9" i="4776"/>
  <c r="H19" i="4776"/>
  <c r="H14" i="4776"/>
  <c r="H31" i="4776"/>
  <c r="H24" i="4776"/>
  <c r="H42" i="4776"/>
  <c r="H14" i="4774"/>
  <c r="H40" i="4774"/>
  <c r="H22" i="4774"/>
  <c r="H13" i="4774"/>
  <c r="H7" i="4774"/>
  <c r="H29" i="4774"/>
  <c r="H10" i="4774"/>
  <c r="H16" i="4774"/>
  <c r="H41" i="4774"/>
  <c r="H2" i="4774"/>
  <c r="H17" i="4774"/>
  <c r="H8" i="4774"/>
  <c r="H18" i="4774"/>
  <c r="H24" i="4774"/>
  <c r="H3" i="4774"/>
  <c r="C17" i="4774"/>
  <c r="B23" i="4774"/>
  <c r="H34" i="4774"/>
  <c r="H6" i="4774"/>
  <c r="H31" i="4774"/>
  <c r="H32" i="4774"/>
  <c r="H30" i="4774"/>
  <c r="H48" i="4774"/>
  <c r="H11" i="4774"/>
  <c r="H12" i="4774"/>
  <c r="H38" i="4774"/>
  <c r="H49" i="4774"/>
  <c r="H43" i="4774"/>
  <c r="H19" i="4774"/>
  <c r="H46" i="4774"/>
  <c r="H26" i="4774"/>
  <c r="H47" i="4774"/>
  <c r="H21" i="4774"/>
  <c r="H4" i="4774"/>
  <c r="C19" i="4774"/>
  <c r="H23" i="4774"/>
  <c r="H15" i="4774"/>
  <c r="H28" i="4774"/>
  <c r="H39" i="4774"/>
  <c r="H51" i="4774"/>
  <c r="H33" i="4774"/>
  <c r="H27" i="4774"/>
  <c r="H35" i="4774"/>
  <c r="H42" i="4774"/>
  <c r="H50" i="4774"/>
  <c r="H36" i="4774"/>
  <c r="H44" i="4774"/>
  <c r="H20" i="4774"/>
  <c r="C18" i="4774"/>
  <c r="H25" i="4774"/>
  <c r="H9" i="4774"/>
  <c r="H37" i="4774"/>
  <c r="H45" i="477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<sst xmlns="http://schemas.openxmlformats.org/spreadsheetml/2006/main" count="2642" uniqueCount="205">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</sst>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全体!$L$2:$L$221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4D-4856-932D-8B6E786F4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-22.831050228310502</c:v>
                </c:pt>
                <c:pt idx="1">
                  <c:v>-9.2592592592592595</c:v>
                </c:pt>
                <c:pt idx="2">
                  <c:v>35.353535353535356</c:v>
                </c:pt>
                <c:pt idx="3">
                  <c:v>-5.6497175141242941</c:v>
                </c:pt>
                <c:pt idx="4">
                  <c:v>-29.761904761904763</c:v>
                </c:pt>
                <c:pt idx="5">
                  <c:v>37.735849056603776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8-4972-B7C5-88E29FF1C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だいち!$L$2:$L$51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C-4E8A-B937-5E36F467F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4481.6326530612241</c:v>
                </c:pt>
                <c:pt idx="1">
                  <c:v>3891.6666666666665</c:v>
                </c:pt>
                <c:pt idx="2">
                  <c:v>3204.5454545454545</c:v>
                </c:pt>
                <c:pt idx="3">
                  <c:v>3826.3157894736842</c:v>
                </c:pt>
                <c:pt idx="4">
                  <c:v>2145.7142857142858</c:v>
                </c:pt>
                <c:pt idx="5">
                  <c:v>515.15151515151513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2-495B-BFC7-E85E366FC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5-4B92-BCA9-E0CC63AC2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754</c:v>
                </c:pt>
                <c:pt idx="1">
                  <c:v>-579.59183673469386</c:v>
                </c:pt>
                <c:pt idx="2">
                  <c:v>-1148.936170212766</c:v>
                </c:pt>
                <c:pt idx="3">
                  <c:v>126.82926829268293</c:v>
                </c:pt>
                <c:pt idx="4">
                  <c:v>825.64102564102564</c:v>
                </c:pt>
                <c:pt idx="5">
                  <c:v>718.91891891891896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E5-4A96-A464-79B759869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F4-4F67-9CA1-99AB92353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4-4724-8F64-D21D01704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8-436C-A3C3-0A93DCE2E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94-439F-80DD-F5512396B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6-4F35-8184-558FA31E1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-363.63636363636363</c:v>
                </c:pt>
                <c:pt idx="1">
                  <c:v>1918.1818181818182</c:v>
                </c:pt>
                <c:pt idx="2">
                  <c:v>44.444444444444443</c:v>
                </c:pt>
                <c:pt idx="3">
                  <c:v>2100</c:v>
                </c:pt>
                <c:pt idx="4">
                  <c:v>-3562.5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3-4B3B-8E26-02E52E291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1-4920-86A7-4E6CA56F3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D2-4D7B-9335-20248122C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E-4BFC-8088-5F410A90B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9-46AE-80AC-D4F867E66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B3-4DF1-9A9B-9FBF285F5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C-471C-92A6-6A6F7C1D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A-458A-A307-7B8D34018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8-4BE0-BAC5-6EA1DC9EA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3-4C90-84D2-7B350A21D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3-4E39-B4E8-9EE7EDA7C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5BED0E-1C49-4DD7-88A9-3472C309A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8CBAE2-A50C-4676-BB3F-FA60CA977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D9157B-8526-46EE-82D4-CCE9DACF7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22D81F-9E6A-4ED7-A8A5-A7D98AF4F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51DCEF-C1A7-4FF4-864E-32FB11251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5653F7-26B2-4019-B7B5-3270BA9BF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6B119B-451E-4A8A-9ADA-A86F93AFF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22323C-F27E-4A34-8E92-8D3BEEDBD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322069-F70F-4241-B5ED-187138E61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94EEBA-AE5C-4B68-BBB7-E44878C1A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F68D49-9631-40E6-8CE1-A8BAD30D0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C2283F-3353-4BB1-BF95-27408E570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A94094-207A-4E01-B8F4-F6D643EB6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8C14AD-A1D4-4635-B357-B053839E7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C09EC9-6642-4A01-B13E-E29192E41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2EE727-77BC-4AB3-9E08-4D949DC79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139DBD-42B1-4781-A9FD-EB2A11359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C1742C-6725-4CA6-A635-1EC6139A5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3B7D77-5BCC-42E5-8DA4-A787174C6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4A29AE-FADB-4FFE-A2E0-4C81C5E960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30B096-FDF4-4411-96EE-7CE5309BD1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A1A4FC-CC31-437A-B64E-847772958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0.99162119714100916</v>
      </c>
      <c r="G2" s="157"/>
      <c r="H2" s="156">
        <v>0.93750370383133685</v>
      </c>
      <c r="I2" s="157"/>
      <c r="J2" s="156">
        <v>0.97479240125082489</v>
      </c>
      <c r="K2" s="157"/>
      <c r="L2" s="156">
        <v>0.91969322540860265</v>
      </c>
      <c r="M2" s="157"/>
      <c r="N2" s="156">
        <v>0.78905088407489643</v>
      </c>
      <c r="O2" s="157"/>
      <c r="P2" s="156">
        <v>0.59972949531905373</v>
      </c>
      <c r="Q2" s="157"/>
      <c r="R2" s="156">
        <v>0.43487553185866906</v>
      </c>
      <c r="S2" s="157"/>
      <c r="T2" s="156">
        <v>0.77976026943926202</v>
      </c>
      <c r="U2" s="157"/>
      <c r="V2" s="156">
        <v>0.91725129480009904</v>
      </c>
      <c r="W2" s="157"/>
      <c r="X2" s="156">
        <v>0.65884637503665522</v>
      </c>
      <c r="Y2" s="157"/>
      <c r="Z2" s="156">
        <v>0.47471260050641351</v>
      </c>
      <c r="AA2" s="157"/>
      <c r="AB2" s="156">
        <v>0.90803206417217541</v>
      </c>
      <c r="AC2" s="157"/>
      <c r="AD2" s="156">
        <v>0.82077018333825003</v>
      </c>
      <c r="AE2" s="157"/>
      <c r="AF2" s="156">
        <v>-0.5834548137437312</v>
      </c>
      <c r="AG2" s="157"/>
      <c r="AH2" s="156">
        <v>0.91233977742670203</v>
      </c>
      <c r="AI2" s="157"/>
      <c r="AJ2" s="156">
        <v>1.0886611647287135E-2</v>
      </c>
      <c r="AK2" s="157"/>
    </row>
    <row r="3" spans="1:37" x14ac:dyDescent="0.4">
      <c r="A3" s="74">
        <v>1</v>
      </c>
      <c r="B3" s="75" t="s">
        <v>127</v>
      </c>
      <c r="C3" s="76">
        <v>1289.8999999999999</v>
      </c>
      <c r="D3" s="77" t="s">
        <v>127</v>
      </c>
      <c r="E3" s="98">
        <v>26.324489795918364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0.42297650130548303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0.22448979591836735</v>
      </c>
      <c r="X3" s="77" t="s">
        <v>127</v>
      </c>
      <c r="Y3" s="80">
        <v>0.33420365535248042</v>
      </c>
      <c r="Z3" s="77" t="s">
        <v>173</v>
      </c>
      <c r="AA3" s="80">
        <v>0.35164835164835168</v>
      </c>
      <c r="AB3" s="77" t="s">
        <v>187</v>
      </c>
      <c r="AC3" s="80">
        <v>0.7142857142857143</v>
      </c>
      <c r="AD3" s="77" t="s">
        <v>127</v>
      </c>
      <c r="AE3" s="80">
        <v>0.54081632653061229</v>
      </c>
      <c r="AF3" s="77" t="s">
        <v>174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1.489795918367347</v>
      </c>
      <c r="H4" s="86" t="s">
        <v>127</v>
      </c>
      <c r="I4" s="88">
        <v>0.63265306122448983</v>
      </c>
      <c r="J4" s="86" t="s">
        <v>203</v>
      </c>
      <c r="K4" s="88">
        <v>0</v>
      </c>
      <c r="L4" s="86" t="s">
        <v>173</v>
      </c>
      <c r="M4" s="89">
        <v>0.34615384615384615</v>
      </c>
      <c r="N4" s="86" t="s">
        <v>173</v>
      </c>
      <c r="O4" s="89">
        <v>0.13736263736263737</v>
      </c>
      <c r="P4" s="86" t="s">
        <v>127</v>
      </c>
      <c r="Q4" s="90">
        <v>9259.2592592592591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9.5890410958904104E-2</v>
      </c>
      <c r="X4" s="86" t="s">
        <v>128</v>
      </c>
      <c r="Y4" s="89">
        <v>0.28468899521531099</v>
      </c>
      <c r="Z4" s="86" t="s">
        <v>178</v>
      </c>
      <c r="AA4" s="89">
        <v>0.29203539823008851</v>
      </c>
      <c r="AB4" s="86" t="s">
        <v>127</v>
      </c>
      <c r="AC4" s="89">
        <v>0.65625</v>
      </c>
      <c r="AD4" s="86" t="s">
        <v>186</v>
      </c>
      <c r="AE4" s="89">
        <v>0.5</v>
      </c>
      <c r="AF4" s="86" t="s">
        <v>187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54.7</v>
      </c>
      <c r="D5" s="86" t="s">
        <v>173</v>
      </c>
      <c r="E5" s="99">
        <v>2.4863636363636363</v>
      </c>
      <c r="F5" s="86" t="s">
        <v>173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0.12244897959183673</v>
      </c>
      <c r="L5" s="86" t="s">
        <v>145</v>
      </c>
      <c r="M5" s="89">
        <v>0.29911699779249445</v>
      </c>
      <c r="N5" s="86" t="s">
        <v>127</v>
      </c>
      <c r="O5" s="89">
        <v>0.14360313315926893</v>
      </c>
      <c r="P5" s="86" t="s">
        <v>128</v>
      </c>
      <c r="Q5" s="90">
        <v>9155</v>
      </c>
      <c r="R5" s="86" t="s">
        <v>172</v>
      </c>
      <c r="S5" s="90">
        <v>-7206.25</v>
      </c>
      <c r="T5" s="86" t="s">
        <v>127</v>
      </c>
      <c r="U5" s="88">
        <v>2.0408163265306121E-2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0.25587467362924282</v>
      </c>
      <c r="AB5" s="86" t="s">
        <v>128</v>
      </c>
      <c r="AC5" s="89">
        <v>0.6386554621848739</v>
      </c>
      <c r="AD5" s="86" t="s">
        <v>203</v>
      </c>
      <c r="AE5" s="89">
        <v>0.5</v>
      </c>
      <c r="AF5" s="86" t="s">
        <v>203</v>
      </c>
      <c r="AG5" s="89">
        <v>0.5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145</v>
      </c>
      <c r="C6" s="85">
        <v>5.3290705182007514E-15</v>
      </c>
      <c r="D6" s="86" t="s">
        <v>145</v>
      </c>
      <c r="E6" s="99">
        <v>2.4333655334250005E-17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</v>
      </c>
      <c r="L6" s="86" t="s">
        <v>128</v>
      </c>
      <c r="M6" s="89">
        <v>0.28708133971291866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172</v>
      </c>
      <c r="U6" s="88">
        <v>3.0303030303030304E-2</v>
      </c>
      <c r="V6" s="86" t="s">
        <v>173</v>
      </c>
      <c r="W6" s="88">
        <v>9.0909090909090912E-2</v>
      </c>
      <c r="X6" s="86" t="s">
        <v>145</v>
      </c>
      <c r="Y6" s="89">
        <v>0.25662251655629137</v>
      </c>
      <c r="Z6" s="86" t="s">
        <v>187</v>
      </c>
      <c r="AA6" s="89">
        <v>0.22807017543859648</v>
      </c>
      <c r="AB6" s="86" t="s">
        <v>173</v>
      </c>
      <c r="AC6" s="89">
        <v>0.625</v>
      </c>
      <c r="AD6" s="86" t="s">
        <v>173</v>
      </c>
      <c r="AE6" s="89">
        <v>0.421875</v>
      </c>
      <c r="AF6" s="86" t="s">
        <v>129</v>
      </c>
      <c r="AG6" s="89">
        <v>0.48571428571428571</v>
      </c>
      <c r="AH6" s="86" t="s">
        <v>172</v>
      </c>
      <c r="AI6" s="94">
        <v>91700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128</v>
      </c>
      <c r="C7" s="85">
        <v>-0.70000000000004015</v>
      </c>
      <c r="D7" s="86" t="s">
        <v>128</v>
      </c>
      <c r="E7" s="99">
        <v>-1.4000000000000803E-2</v>
      </c>
      <c r="F7" s="86" t="s">
        <v>203</v>
      </c>
      <c r="G7" s="87">
        <v>2</v>
      </c>
      <c r="H7" s="86" t="s">
        <v>173</v>
      </c>
      <c r="I7" s="88">
        <v>0.31818181818181818</v>
      </c>
      <c r="J7" s="86" t="s">
        <v>173</v>
      </c>
      <c r="K7" s="88">
        <v>0.31818181818181818</v>
      </c>
      <c r="L7" s="86" t="s">
        <v>174</v>
      </c>
      <c r="M7" s="89">
        <v>0.28387096774193549</v>
      </c>
      <c r="N7" s="86" t="s">
        <v>128</v>
      </c>
      <c r="O7" s="89">
        <v>0.16985645933014354</v>
      </c>
      <c r="P7" s="86" t="s">
        <v>145</v>
      </c>
      <c r="Q7" s="90">
        <v>8251.8450184501853</v>
      </c>
      <c r="R7" s="86" t="s">
        <v>128</v>
      </c>
      <c r="S7" s="90">
        <v>-7530.9859154929582</v>
      </c>
      <c r="T7" s="86" t="s">
        <v>173</v>
      </c>
      <c r="U7" s="88">
        <v>4.5454545454545456E-2</v>
      </c>
      <c r="V7" s="86" t="s">
        <v>128</v>
      </c>
      <c r="W7" s="88">
        <v>0.08</v>
      </c>
      <c r="X7" s="86" t="s">
        <v>172</v>
      </c>
      <c r="Y7" s="89">
        <v>0.24305555555555555</v>
      </c>
      <c r="Z7" s="86" t="s">
        <v>174</v>
      </c>
      <c r="AA7" s="89">
        <v>0.22580645161290322</v>
      </c>
      <c r="AB7" s="86" t="s">
        <v>145</v>
      </c>
      <c r="AC7" s="89">
        <v>0.60430107526881716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128</v>
      </c>
      <c r="AI7" s="94">
        <v>88600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203</v>
      </c>
      <c r="C8" s="85">
        <v>-12.5</v>
      </c>
      <c r="D8" s="86" t="s">
        <v>172</v>
      </c>
      <c r="E8" s="99">
        <v>-3.3000000000000003</v>
      </c>
      <c r="F8" s="86" t="s">
        <v>128</v>
      </c>
      <c r="G8" s="87">
        <v>2.02</v>
      </c>
      <c r="H8" s="86" t="s">
        <v>128</v>
      </c>
      <c r="I8" s="88">
        <v>0.28000000000000003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0.17494481236203091</v>
      </c>
      <c r="P8" s="86" t="s">
        <v>186</v>
      </c>
      <c r="Q8" s="90">
        <v>7860</v>
      </c>
      <c r="R8" s="86" t="s">
        <v>145</v>
      </c>
      <c r="S8" s="90">
        <v>-7997.4763406940065</v>
      </c>
      <c r="T8" s="86" t="s">
        <v>145</v>
      </c>
      <c r="U8" s="88">
        <v>9.5890410958904104E-2</v>
      </c>
      <c r="V8" s="86" t="s">
        <v>174</v>
      </c>
      <c r="W8" s="88">
        <v>5.8823529411764705E-2</v>
      </c>
      <c r="X8" s="86" t="s">
        <v>129</v>
      </c>
      <c r="Y8" s="89">
        <v>0.24193548387096775</v>
      </c>
      <c r="Z8" s="86" t="s">
        <v>145</v>
      </c>
      <c r="AA8" s="89">
        <v>0.217439293598234</v>
      </c>
      <c r="AB8" s="86" t="s">
        <v>186</v>
      </c>
      <c r="AC8" s="89">
        <v>0.6</v>
      </c>
      <c r="AD8" s="86" t="s">
        <v>187</v>
      </c>
      <c r="AE8" s="89">
        <v>0.38461538461538464</v>
      </c>
      <c r="AF8" s="86" t="s">
        <v>145</v>
      </c>
      <c r="AG8" s="89">
        <v>0.4059040590405904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178</v>
      </c>
      <c r="E9" s="99">
        <v>-9.7466666666666661</v>
      </c>
      <c r="F9" s="86" t="s">
        <v>172</v>
      </c>
      <c r="G9" s="87">
        <v>2.1212121212121211</v>
      </c>
      <c r="H9" s="86" t="s">
        <v>172</v>
      </c>
      <c r="I9" s="88">
        <v>0.24242424242424243</v>
      </c>
      <c r="J9" s="86" t="s">
        <v>172</v>
      </c>
      <c r="K9" s="88">
        <v>0.36363636363636365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174</v>
      </c>
      <c r="S9" s="90">
        <v>-8067.5675675675675</v>
      </c>
      <c r="T9" s="86" t="s">
        <v>174</v>
      </c>
      <c r="U9" s="88">
        <v>0.11764705882352941</v>
      </c>
      <c r="V9" s="86" t="s">
        <v>129</v>
      </c>
      <c r="W9" s="88">
        <v>0</v>
      </c>
      <c r="X9" s="86" t="s">
        <v>173</v>
      </c>
      <c r="Y9" s="89">
        <v>0.21978021978021978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145</v>
      </c>
      <c r="AE9" s="89">
        <v>0.37817258883248733</v>
      </c>
      <c r="AF9" s="86" t="s">
        <v>127</v>
      </c>
      <c r="AG9" s="89">
        <v>0.39506172839506171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203</v>
      </c>
      <c r="E10" s="99">
        <v>-12.5</v>
      </c>
      <c r="F10" s="86" t="s">
        <v>178</v>
      </c>
      <c r="G10" s="87">
        <v>2.1333333333333333</v>
      </c>
      <c r="H10" s="86" t="s">
        <v>174</v>
      </c>
      <c r="I10" s="88">
        <v>0.17647058823529413</v>
      </c>
      <c r="J10" s="86" t="s">
        <v>174</v>
      </c>
      <c r="K10" s="88">
        <v>0.41176470588235292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127</v>
      </c>
      <c r="S10" s="90">
        <v>-8087.272727272727</v>
      </c>
      <c r="T10" s="86" t="s">
        <v>128</v>
      </c>
      <c r="U10" s="88">
        <v>0.14000000000000001</v>
      </c>
      <c r="V10" s="86" t="s">
        <v>178</v>
      </c>
      <c r="W10" s="88">
        <v>0</v>
      </c>
      <c r="X10" s="86" t="s">
        <v>174</v>
      </c>
      <c r="Y10" s="89">
        <v>0.18709677419354839</v>
      </c>
      <c r="Z10" s="86" t="s">
        <v>203</v>
      </c>
      <c r="AA10" s="89">
        <v>0.18181818181818182</v>
      </c>
      <c r="AB10" s="86" t="s">
        <v>174</v>
      </c>
      <c r="AC10" s="89">
        <v>0.55172413793103448</v>
      </c>
      <c r="AD10" s="86" t="s">
        <v>174</v>
      </c>
      <c r="AE10" s="89">
        <v>0.31428571428571428</v>
      </c>
      <c r="AF10" s="86" t="s">
        <v>128</v>
      </c>
      <c r="AG10" s="89">
        <v>0.39166666666666666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-14.641176470588233</v>
      </c>
      <c r="F11" s="86" t="s">
        <v>174</v>
      </c>
      <c r="G11" s="87">
        <v>2.2352941176470589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129</v>
      </c>
      <c r="O11" s="89">
        <v>0.22043010752688172</v>
      </c>
      <c r="P11" s="86" t="s">
        <v>187</v>
      </c>
      <c r="Q11" s="90">
        <v>6500</v>
      </c>
      <c r="R11" s="86" t="s">
        <v>173</v>
      </c>
      <c r="S11" s="90">
        <v>-8384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172</v>
      </c>
      <c r="AA11" s="89">
        <v>0.17708333333333334</v>
      </c>
      <c r="AB11" s="86" t="s">
        <v>178</v>
      </c>
      <c r="AC11" s="89">
        <v>0.55000000000000004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-248.89999999999995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174</v>
      </c>
      <c r="O12" s="89">
        <v>0.23870967741935484</v>
      </c>
      <c r="P12" s="86" t="s">
        <v>178</v>
      </c>
      <c r="Q12" s="90">
        <v>6362.0689655172409</v>
      </c>
      <c r="R12" s="86" t="s">
        <v>187</v>
      </c>
      <c r="S12" s="90">
        <v>-8762.5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128</v>
      </c>
      <c r="AA12" s="89">
        <v>0.17224880382775121</v>
      </c>
      <c r="AB12" s="86" t="s">
        <v>203</v>
      </c>
      <c r="AC12" s="89">
        <v>0.5</v>
      </c>
      <c r="AD12" s="86" t="s">
        <v>128</v>
      </c>
      <c r="AE12" s="89">
        <v>0.2361111111111111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174</v>
      </c>
      <c r="Q13" s="90">
        <v>6311.363636363636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6C908-62BF-4F8F-8BA6-3AB0A12ED3A5}">
  <sheetPr codeName="Sheet4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219</v>
      </c>
      <c r="C2" s="149"/>
      <c r="E2" s="62" t="s">
        <v>67</v>
      </c>
      <c r="F2" s="59" t="s">
        <v>23</v>
      </c>
      <c r="G2" s="46">
        <v>394</v>
      </c>
      <c r="H2" s="134">
        <f>IF(B$17=0,0,G2/B$17)</f>
        <v>0.72693726937269376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-22.831050228310502</v>
      </c>
      <c r="P2" s="120">
        <v>219</v>
      </c>
      <c r="Q2" s="104">
        <v>-5000</v>
      </c>
    </row>
    <row r="3" spans="1:17" x14ac:dyDescent="0.4">
      <c r="A3" s="55" t="s">
        <v>8</v>
      </c>
      <c r="B3" s="150">
        <v>1812</v>
      </c>
      <c r="C3" s="151"/>
      <c r="E3" s="63" t="s">
        <v>73</v>
      </c>
      <c r="F3" s="60" t="s">
        <v>28</v>
      </c>
      <c r="G3" s="47">
        <v>289</v>
      </c>
      <c r="H3" s="135">
        <f>IF(B$17=0,0,G3/B$17)</f>
        <v>0.53321033210332103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-9.2592592592592595</v>
      </c>
      <c r="P3" s="121">
        <v>216</v>
      </c>
      <c r="Q3" s="105">
        <v>-2000</v>
      </c>
    </row>
    <row r="4" spans="1:17" x14ac:dyDescent="0.4">
      <c r="A4" s="55" t="s">
        <v>6</v>
      </c>
      <c r="B4" s="152">
        <v>5.3290705182007514E-15</v>
      </c>
      <c r="C4" s="153"/>
      <c r="E4" s="63" t="s">
        <v>65</v>
      </c>
      <c r="F4" s="60" t="s">
        <v>21</v>
      </c>
      <c r="G4" s="47">
        <v>270</v>
      </c>
      <c r="H4" s="135">
        <f>IF(B$17=0,0,G4/B$17)</f>
        <v>0.49815498154981552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0"/>
        <v>35.353535353535356</v>
      </c>
      <c r="P4" s="121">
        <v>198</v>
      </c>
      <c r="Q4" s="105">
        <v>7000</v>
      </c>
    </row>
    <row r="5" spans="1:17" x14ac:dyDescent="0.4">
      <c r="A5" s="55" t="s">
        <v>7</v>
      </c>
      <c r="B5" s="154">
        <f>IF(B$2=0,0,B$4/B$2)</f>
        <v>2.4333655334250005E-17</v>
      </c>
      <c r="C5" s="155"/>
      <c r="E5" s="63" t="s">
        <v>182</v>
      </c>
      <c r="F5" s="60" t="s">
        <v>183</v>
      </c>
      <c r="G5" s="47">
        <v>207</v>
      </c>
      <c r="H5" s="135">
        <f>IF(B$17=0,0,G5/B$17)</f>
        <v>0.38191881918819187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-5.6497175141242941</v>
      </c>
      <c r="P5" s="121">
        <v>177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24</v>
      </c>
      <c r="G6" s="47">
        <v>151</v>
      </c>
      <c r="H6" s="135">
        <f>IF(B$17=0,0,G6/B$17)</f>
        <v>0.27859778597785978</v>
      </c>
      <c r="I6" s="96">
        <v>6</v>
      </c>
      <c r="K6" s="38">
        <v>4</v>
      </c>
      <c r="L6" s="101">
        <v>2.2000000000000002</v>
      </c>
      <c r="N6" s="117" t="s">
        <v>136</v>
      </c>
      <c r="O6" s="124">
        <f t="shared" si="0"/>
        <v>-29.761904761904763</v>
      </c>
      <c r="P6" s="121">
        <v>168</v>
      </c>
      <c r="Q6" s="105">
        <v>-5000</v>
      </c>
    </row>
    <row r="7" spans="1:17" x14ac:dyDescent="0.4">
      <c r="A7" s="55" t="s">
        <v>2</v>
      </c>
      <c r="B7" s="47">
        <v>73</v>
      </c>
      <c r="C7" s="39">
        <f>IF(B$2=0,0,B7/B$2)</f>
        <v>0.33333333333333331</v>
      </c>
      <c r="E7" s="63" t="s">
        <v>69</v>
      </c>
      <c r="F7" s="60" t="s">
        <v>12</v>
      </c>
      <c r="G7" s="47">
        <v>151</v>
      </c>
      <c r="H7" s="135">
        <f>IF(B$17=0,0,G7/B$17)</f>
        <v>0.27859778597785978</v>
      </c>
      <c r="I7" s="96">
        <v>5</v>
      </c>
      <c r="K7" s="38">
        <v>5</v>
      </c>
      <c r="L7" s="101">
        <v>-37</v>
      </c>
      <c r="N7" s="118" t="s">
        <v>137</v>
      </c>
      <c r="O7" s="125">
        <f t="shared" si="0"/>
        <v>37.735849056603776</v>
      </c>
      <c r="P7" s="122">
        <v>159</v>
      </c>
      <c r="Q7" s="106">
        <v>6000</v>
      </c>
    </row>
    <row r="8" spans="1:17" x14ac:dyDescent="0.4">
      <c r="A8" s="55" t="s">
        <v>3</v>
      </c>
      <c r="B8" s="47">
        <v>73</v>
      </c>
      <c r="C8" s="39">
        <f>IF(B$2=0,0,B8/B$2)</f>
        <v>0.33333333333333331</v>
      </c>
      <c r="E8" s="63" t="s">
        <v>70</v>
      </c>
      <c r="F8" s="60" t="s">
        <v>25</v>
      </c>
      <c r="G8" s="47">
        <v>99</v>
      </c>
      <c r="H8" s="135">
        <f>IF(B$17=0,0,G8/B$17)</f>
        <v>0.18265682656826568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77</v>
      </c>
      <c r="H9" s="135">
        <f>IF(B$17=0,0,G9/B$17)</f>
        <v>0.14206642066420663</v>
      </c>
      <c r="I9" s="96">
        <v>8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9.5890410958904104E-2</v>
      </c>
      <c r="E10" s="63" t="s">
        <v>66</v>
      </c>
      <c r="F10" s="60" t="s">
        <v>22</v>
      </c>
      <c r="G10" s="47">
        <v>65</v>
      </c>
      <c r="H10" s="135">
        <f>IF(B$17=0,0,G10/B$17)</f>
        <v>0.11992619926199262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-3.8863013698630127</v>
      </c>
      <c r="P10" s="120">
        <v>73</v>
      </c>
      <c r="Q10" s="108">
        <v>-283.69999999999993</v>
      </c>
    </row>
    <row r="11" spans="1:17" x14ac:dyDescent="0.4">
      <c r="A11" s="56" t="s">
        <v>140</v>
      </c>
      <c r="B11" s="48">
        <v>21</v>
      </c>
      <c r="C11" s="40">
        <f>IF(B$2=0,0,B11/B$2)</f>
        <v>9.5890410958904104E-2</v>
      </c>
      <c r="E11" s="63" t="s">
        <v>71</v>
      </c>
      <c r="F11" s="60" t="s">
        <v>26</v>
      </c>
      <c r="G11" s="47">
        <v>60</v>
      </c>
      <c r="H11" s="135">
        <f>IF(B$17=0,0,G11/B$17)</f>
        <v>0.11070110701107011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-6.5616438356164384</v>
      </c>
      <c r="P11" s="121">
        <v>73</v>
      </c>
      <c r="Q11" s="109">
        <v>-479</v>
      </c>
    </row>
    <row r="12" spans="1:17" x14ac:dyDescent="0.4">
      <c r="A12" s="57" t="s">
        <v>160</v>
      </c>
      <c r="B12" s="49">
        <v>22</v>
      </c>
      <c r="C12" s="42">
        <f>IF(B$2=0,0,B12/B$2)</f>
        <v>0.1004566210045662</v>
      </c>
      <c r="E12" s="63" t="s">
        <v>87</v>
      </c>
      <c r="F12" s="60" t="s">
        <v>42</v>
      </c>
      <c r="G12" s="47">
        <v>36</v>
      </c>
      <c r="H12" s="135">
        <f>IF(B$17=0,0,G12/B$17)</f>
        <v>6.6420664206642069E-2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10.447945205479453</v>
      </c>
      <c r="P12" s="122">
        <v>73</v>
      </c>
      <c r="Q12" s="110">
        <v>762.7</v>
      </c>
    </row>
    <row r="13" spans="1:17" x14ac:dyDescent="0.4">
      <c r="A13" s="58" t="s">
        <v>122</v>
      </c>
      <c r="B13" s="50">
        <v>465</v>
      </c>
      <c r="C13" s="44">
        <f>IF(B$3=0,0,B13/B$3)</f>
        <v>0.25662251655629137</v>
      </c>
      <c r="E13" s="63" t="s">
        <v>72</v>
      </c>
      <c r="F13" s="60" t="s">
        <v>27</v>
      </c>
      <c r="G13" s="47">
        <v>32</v>
      </c>
      <c r="H13" s="135">
        <f>IF(B$17=0,0,G13/B$17)</f>
        <v>5.9040590405904057E-2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394</v>
      </c>
      <c r="C14" s="39">
        <f>IF(B$3=0,0,B14/B$3)</f>
        <v>0.217439293598234</v>
      </c>
      <c r="E14" s="63" t="s">
        <v>84</v>
      </c>
      <c r="F14" s="60" t="s">
        <v>39</v>
      </c>
      <c r="G14" s="47">
        <v>22</v>
      </c>
      <c r="H14" s="135">
        <f>IF(B$17=0,0,G14/B$17)</f>
        <v>4.0590405904059039E-2</v>
      </c>
      <c r="I14" s="96">
        <v>5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281</v>
      </c>
      <c r="C15" s="37">
        <f>IF(B$13=0,0,B15/B$13)</f>
        <v>0.60430107526881716</v>
      </c>
      <c r="E15" s="63" t="s">
        <v>82</v>
      </c>
      <c r="F15" s="60" t="s">
        <v>37</v>
      </c>
      <c r="G15" s="47">
        <v>14</v>
      </c>
      <c r="H15" s="135">
        <f>IF(B$17=0,0,G15/B$17)</f>
        <v>2.5830258302583026E-2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149</v>
      </c>
      <c r="C16" s="37">
        <f>IF(B$14=0,0,B16/B$14)</f>
        <v>0.37817258883248733</v>
      </c>
      <c r="E16" s="63" t="s">
        <v>79</v>
      </c>
      <c r="F16" s="60" t="s">
        <v>34</v>
      </c>
      <c r="G16" s="47">
        <v>10</v>
      </c>
      <c r="H16" s="135">
        <f>IF(B$17=0,0,G16/B$17)</f>
        <v>1.8450184501845018E-2</v>
      </c>
      <c r="I16" s="96">
        <v>5</v>
      </c>
      <c r="K16" s="38">
        <v>14</v>
      </c>
      <c r="L16" s="101">
        <v>18.79999999999999</v>
      </c>
      <c r="N16" s="117" t="s">
        <v>129</v>
      </c>
      <c r="O16" s="127">
        <f>IF(P16=0,0,Q16/P16)</f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542</v>
      </c>
      <c r="C17" s="37">
        <f>IF(B$3=0,0,B17/B$3)</f>
        <v>0.29911699779249445</v>
      </c>
      <c r="E17" s="63" t="s">
        <v>92</v>
      </c>
      <c r="F17" s="60" t="s">
        <v>47</v>
      </c>
      <c r="G17" s="47">
        <v>10</v>
      </c>
      <c r="H17" s="135">
        <f>IF(B$17=0,0,G17/B$17)</f>
        <v>1.8450184501845018E-2</v>
      </c>
      <c r="I17" s="96">
        <v>3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21.961764705882356</v>
      </c>
      <c r="P17" s="121">
        <v>34</v>
      </c>
      <c r="Q17" s="109">
        <v>746.7</v>
      </c>
    </row>
    <row r="18" spans="1:17" x14ac:dyDescent="0.4">
      <c r="A18" s="55" t="s">
        <v>12</v>
      </c>
      <c r="B18" s="47">
        <v>220</v>
      </c>
      <c r="C18" s="39">
        <f>IF(B$17=0,0,B18/B$17)</f>
        <v>0.4059040590405904</v>
      </c>
      <c r="E18" s="63" t="s">
        <v>80</v>
      </c>
      <c r="F18" s="60" t="s">
        <v>35</v>
      </c>
      <c r="G18" s="47">
        <v>6</v>
      </c>
      <c r="H18" s="135">
        <f>IF(B$17=0,0,G18/B$17)</f>
        <v>1.107011070110701E-2</v>
      </c>
      <c r="I18" s="96">
        <v>4</v>
      </c>
      <c r="K18" s="38">
        <v>16</v>
      </c>
      <c r="L18" s="101">
        <v>90.899999999999991</v>
      </c>
      <c r="N18" s="117" t="s">
        <v>203</v>
      </c>
      <c r="O18" s="127">
        <f>IF(P18=0,0,Q18/P18)</f>
        <v>18.75</v>
      </c>
      <c r="P18" s="121">
        <v>2</v>
      </c>
      <c r="Q18" s="109">
        <v>37.5</v>
      </c>
    </row>
    <row r="19" spans="1:17" x14ac:dyDescent="0.4">
      <c r="A19" s="55" t="s">
        <v>11</v>
      </c>
      <c r="B19" s="47">
        <v>322</v>
      </c>
      <c r="C19" s="39">
        <f>IF(B$17=0,0,B19/B$17)</f>
        <v>0.59409594095940954</v>
      </c>
      <c r="E19" s="63" t="s">
        <v>76</v>
      </c>
      <c r="F19" s="60" t="s">
        <v>31</v>
      </c>
      <c r="G19" s="47">
        <v>5</v>
      </c>
      <c r="H19" s="135">
        <f>IF(B$17=0,0,G19/B$17)</f>
        <v>9.2250922509225092E-3</v>
      </c>
      <c r="I19" s="96">
        <v>3</v>
      </c>
      <c r="K19" s="38">
        <v>17</v>
      </c>
      <c r="L19" s="101">
        <v>8.2999999999999972</v>
      </c>
      <c r="N19" s="117" t="s">
        <v>178</v>
      </c>
      <c r="O19" s="127">
        <f>IF(P19=0,0,Q19/P19)</f>
        <v>14.619999999999997</v>
      </c>
      <c r="P19" s="121">
        <v>30</v>
      </c>
      <c r="Q19" s="109">
        <v>438.59999999999991</v>
      </c>
    </row>
    <row r="20" spans="1:17" x14ac:dyDescent="0.4">
      <c r="A20" s="55" t="s">
        <v>13</v>
      </c>
      <c r="B20" s="47">
        <v>317</v>
      </c>
      <c r="C20" s="39">
        <f>IF(B$3=0,0,B20/B$3)</f>
        <v>0.17494481236203091</v>
      </c>
      <c r="E20" s="63" t="s">
        <v>181</v>
      </c>
      <c r="F20" s="60" t="s">
        <v>184</v>
      </c>
      <c r="G20" s="47">
        <v>5</v>
      </c>
      <c r="H20" s="135">
        <f>IF(B$17=0,0,G20/B$17)</f>
        <v>9.2250922509225092E-3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3</v>
      </c>
      <c r="H21" s="135">
        <f>IF(B$17=0,0,G21/B$17)</f>
        <v>5.5350553505535052E-3</v>
      </c>
      <c r="I21" s="96">
        <v>3</v>
      </c>
      <c r="K21" s="38">
        <v>19</v>
      </c>
      <c r="L21" s="101">
        <v>30.999999999999996</v>
      </c>
      <c r="N21" s="117" t="s">
        <v>128</v>
      </c>
      <c r="O21" s="127">
        <f>IF(P21=0,0,Q21/P21)</f>
        <v>2.0999999999998183E-2</v>
      </c>
      <c r="P21" s="121">
        <v>100</v>
      </c>
      <c r="Q21" s="109">
        <v>2.0999999999998185</v>
      </c>
    </row>
    <row r="22" spans="1:17" x14ac:dyDescent="0.4">
      <c r="A22" s="55" t="s">
        <v>195</v>
      </c>
      <c r="B22" s="47">
        <v>31</v>
      </c>
      <c r="C22" s="137">
        <v>3</v>
      </c>
      <c r="E22" s="63" t="s">
        <v>75</v>
      </c>
      <c r="F22" s="60" t="s">
        <v>30</v>
      </c>
      <c r="G22" s="47">
        <v>2</v>
      </c>
      <c r="H22" s="135">
        <f>IF(B$17=0,0,G22/B$17)</f>
        <v>3.6900369003690036E-3</v>
      </c>
      <c r="I22" s="96">
        <v>2</v>
      </c>
      <c r="K22" s="38">
        <v>20</v>
      </c>
      <c r="L22" s="101">
        <v>0.79999999999999716</v>
      </c>
      <c r="N22" s="117" t="s">
        <v>173</v>
      </c>
      <c r="O22" s="127">
        <f>IF(P22=0,0,Q22/P22)</f>
        <v>-3.7295454545454563</v>
      </c>
      <c r="P22" s="121">
        <v>44</v>
      </c>
      <c r="Q22" s="109">
        <v>-164.10000000000008</v>
      </c>
    </row>
    <row r="23" spans="1:17" x14ac:dyDescent="0.4">
      <c r="A23" s="55" t="s">
        <v>5</v>
      </c>
      <c r="B23" s="51">
        <f>IF(B$17=0,0,C23/B$17)</f>
        <v>8251.8450184501853</v>
      </c>
      <c r="C23" s="41">
        <v>4472500</v>
      </c>
      <c r="E23" s="63" t="s">
        <v>78</v>
      </c>
      <c r="F23" s="60" t="s">
        <v>33</v>
      </c>
      <c r="G23" s="47">
        <v>2</v>
      </c>
      <c r="H23" s="135">
        <f>IF(B$17=0,0,G23/B$17)</f>
        <v>3.6900369003690036E-3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-7997.4763406940065</v>
      </c>
      <c r="C24" s="45">
        <v>-2535200</v>
      </c>
      <c r="E24" s="63" t="s">
        <v>93</v>
      </c>
      <c r="F24" s="60" t="s">
        <v>48</v>
      </c>
      <c r="G24" s="47">
        <v>2</v>
      </c>
      <c r="H24" s="135">
        <f>IF(B$17=0,0,G24/B$17)</f>
        <v>3.6900369003690036E-3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-39.486734693877551</v>
      </c>
      <c r="P24" s="121">
        <v>98</v>
      </c>
      <c r="Q24" s="109">
        <v>-3869.7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>IF(B$17=0,0,G25/B$17)</f>
        <v>1.8450184501845018E-3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>IF(B$17=0,0,G26/B$17)</f>
        <v>1.8450184501845018E-3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3.8631346578366448E-3</v>
      </c>
      <c r="E27" s="63" t="s">
        <v>88</v>
      </c>
      <c r="F27" s="60" t="s">
        <v>43</v>
      </c>
      <c r="G27" s="47">
        <v>1</v>
      </c>
      <c r="H27" s="135">
        <f>IF(B$17=0,0,G27/B$17)</f>
        <v>1.8450184501845018E-3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>IF(B$17=0,0,G28/B$17)</f>
        <v>1.8450184501845018E-3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1.8450184501845018E-3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>IF(B$17=0,0,G30/B$17)</f>
        <v>1.8450184501845018E-3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CA187-5EC6-47C5-BD07-C50A43EE0BE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49</v>
      </c>
      <c r="C2" s="149"/>
      <c r="E2" s="62" t="s">
        <v>67</v>
      </c>
      <c r="F2" s="59" t="s">
        <v>23</v>
      </c>
      <c r="G2" s="46">
        <v>135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4481.6326530612241</v>
      </c>
      <c r="P2" s="120">
        <v>49</v>
      </c>
      <c r="Q2" s="104">
        <v>219600</v>
      </c>
    </row>
    <row r="3" spans="1:17" x14ac:dyDescent="0.4">
      <c r="A3" s="55" t="s">
        <v>8</v>
      </c>
      <c r="B3" s="150">
        <v>383</v>
      </c>
      <c r="C3" s="151"/>
      <c r="E3" s="63" t="s">
        <v>73</v>
      </c>
      <c r="F3" s="60" t="s">
        <v>28</v>
      </c>
      <c r="G3" s="47">
        <v>90</v>
      </c>
      <c r="H3" s="135">
        <f>IF(B$17=0,0,G3/B$17)</f>
        <v>0.55555555555555558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3891.6666666666665</v>
      </c>
      <c r="P3" s="121">
        <v>48</v>
      </c>
      <c r="Q3" s="105">
        <v>186800</v>
      </c>
    </row>
    <row r="4" spans="1:17" x14ac:dyDescent="0.4">
      <c r="A4" s="55" t="s">
        <v>6</v>
      </c>
      <c r="B4" s="152">
        <v>1289.8999999999999</v>
      </c>
      <c r="C4" s="153"/>
      <c r="E4" s="63" t="s">
        <v>65</v>
      </c>
      <c r="F4" s="60" t="s">
        <v>21</v>
      </c>
      <c r="G4" s="47">
        <v>83</v>
      </c>
      <c r="H4" s="135">
        <f>IF(B$17=0,0,G4/B$17)</f>
        <v>0.51234567901234573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0"/>
        <v>3204.5454545454545</v>
      </c>
      <c r="P4" s="121">
        <v>44</v>
      </c>
      <c r="Q4" s="105">
        <v>141000</v>
      </c>
    </row>
    <row r="5" spans="1:17" x14ac:dyDescent="0.4">
      <c r="A5" s="55" t="s">
        <v>7</v>
      </c>
      <c r="B5" s="154">
        <f>IF(B$2=0,0,B$4/B$2)</f>
        <v>26.324489795918364</v>
      </c>
      <c r="C5" s="155"/>
      <c r="E5" s="63" t="s">
        <v>182</v>
      </c>
      <c r="F5" s="60" t="s">
        <v>183</v>
      </c>
      <c r="G5" s="47">
        <v>70</v>
      </c>
      <c r="H5" s="135">
        <f>IF(B$17=0,0,G5/B$17)</f>
        <v>0.43209876543209874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3826.3157894736842</v>
      </c>
      <c r="P5" s="121">
        <v>38</v>
      </c>
      <c r="Q5" s="105">
        <v>145400</v>
      </c>
    </row>
    <row r="6" spans="1:17" x14ac:dyDescent="0.4">
      <c r="A6" s="55" t="s">
        <v>1</v>
      </c>
      <c r="B6" s="144">
        <f>IF(B$2=0,0,(B$7*1+B$8*2+B$9*3)/B$2)</f>
        <v>1.489795918367347</v>
      </c>
      <c r="C6" s="145"/>
      <c r="E6" s="63" t="s">
        <v>68</v>
      </c>
      <c r="F6" s="60" t="s">
        <v>24</v>
      </c>
      <c r="G6" s="47">
        <v>54</v>
      </c>
      <c r="H6" s="135">
        <f>IF(B$17=0,0,G6/B$17)</f>
        <v>0.33333333333333331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0"/>
        <v>2145.7142857142858</v>
      </c>
      <c r="P6" s="121">
        <v>35</v>
      </c>
      <c r="Q6" s="105">
        <v>75100</v>
      </c>
    </row>
    <row r="7" spans="1:17" x14ac:dyDescent="0.4">
      <c r="A7" s="55" t="s">
        <v>2</v>
      </c>
      <c r="B7" s="47">
        <v>31</v>
      </c>
      <c r="C7" s="39">
        <f>IF(B$2=0,0,B7/B$2)</f>
        <v>0.63265306122448983</v>
      </c>
      <c r="E7" s="63" t="s">
        <v>69</v>
      </c>
      <c r="F7" s="60" t="s">
        <v>12</v>
      </c>
      <c r="G7" s="47">
        <v>36</v>
      </c>
      <c r="H7" s="135">
        <f>IF(B$17=0,0,G7/B$17)</f>
        <v>0.22222222222222221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515.15151515151513</v>
      </c>
      <c r="P7" s="122">
        <v>33</v>
      </c>
      <c r="Q7" s="106">
        <v>17000</v>
      </c>
    </row>
    <row r="8" spans="1:17" x14ac:dyDescent="0.4">
      <c r="A8" s="55" t="s">
        <v>3</v>
      </c>
      <c r="B8" s="47">
        <v>12</v>
      </c>
      <c r="C8" s="39">
        <f>IF(B$2=0,0,B8/B$2)</f>
        <v>0.24489795918367346</v>
      </c>
      <c r="E8" s="63" t="s">
        <v>90</v>
      </c>
      <c r="F8" s="60" t="s">
        <v>45</v>
      </c>
      <c r="G8" s="47">
        <v>30</v>
      </c>
      <c r="H8" s="135">
        <f>IF(B$17=0,0,G8/B$17)</f>
        <v>0.18518518518518517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0.12244897959183673</v>
      </c>
      <c r="E9" s="63" t="s">
        <v>70</v>
      </c>
      <c r="F9" s="60" t="s">
        <v>25</v>
      </c>
      <c r="G9" s="47">
        <v>29</v>
      </c>
      <c r="H9" s="135">
        <f>IF(B$17=0,0,G9/B$17)</f>
        <v>0.17901234567901234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2.0408163265306121E-2</v>
      </c>
      <c r="E10" s="63" t="s">
        <v>66</v>
      </c>
      <c r="F10" s="60" t="s">
        <v>22</v>
      </c>
      <c r="G10" s="47">
        <v>23</v>
      </c>
      <c r="H10" s="135">
        <f>IF(B$17=0,0,G10/B$17)</f>
        <v>0.1419753086419753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17.606666666666666</v>
      </c>
      <c r="P10" s="120">
        <v>15</v>
      </c>
      <c r="Q10" s="108">
        <v>264.09999999999997</v>
      </c>
    </row>
    <row r="11" spans="1:17" x14ac:dyDescent="0.4">
      <c r="A11" s="56" t="s">
        <v>140</v>
      </c>
      <c r="B11" s="48">
        <v>11</v>
      </c>
      <c r="C11" s="40">
        <f>IF(B$2=0,0,B11/B$2)</f>
        <v>0.22448979591836735</v>
      </c>
      <c r="E11" s="63" t="s">
        <v>87</v>
      </c>
      <c r="F11" s="60" t="s">
        <v>42</v>
      </c>
      <c r="G11" s="47">
        <v>15</v>
      </c>
      <c r="H11" s="135">
        <f>IF(B$17=0,0,G11/B$17)</f>
        <v>9.2592592592592587E-2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19.166666666666668</v>
      </c>
      <c r="P11" s="121">
        <v>15</v>
      </c>
      <c r="Q11" s="109">
        <v>287.5</v>
      </c>
    </row>
    <row r="12" spans="1:17" x14ac:dyDescent="0.4">
      <c r="A12" s="57" t="s">
        <v>160</v>
      </c>
      <c r="B12" s="49">
        <v>10</v>
      </c>
      <c r="C12" s="42">
        <f>IF(B$2=0,0,B12/B$2)</f>
        <v>0.20408163265306123</v>
      </c>
      <c r="E12" s="63" t="s">
        <v>71</v>
      </c>
      <c r="F12" s="60" t="s">
        <v>26</v>
      </c>
      <c r="G12" s="47">
        <v>13</v>
      </c>
      <c r="H12" s="135">
        <f>IF(B$17=0,0,G12/B$17)</f>
        <v>8.0246913580246909E-2</v>
      </c>
      <c r="I12" s="96">
        <v>7</v>
      </c>
      <c r="K12" s="38">
        <v>10</v>
      </c>
      <c r="L12" s="101">
        <v>246.20000000000005</v>
      </c>
      <c r="N12" s="118" t="s">
        <v>167</v>
      </c>
      <c r="O12" s="128">
        <f>IF(P12=0,0,Q12/P12)</f>
        <v>38.857894736842105</v>
      </c>
      <c r="P12" s="122">
        <v>19</v>
      </c>
      <c r="Q12" s="110">
        <v>738.30000000000007</v>
      </c>
    </row>
    <row r="13" spans="1:17" x14ac:dyDescent="0.4">
      <c r="A13" s="58" t="s">
        <v>122</v>
      </c>
      <c r="B13" s="50">
        <v>128</v>
      </c>
      <c r="C13" s="44">
        <f>IF(B$3=0,0,B13/B$3)</f>
        <v>0.33420365535248042</v>
      </c>
      <c r="E13" s="63" t="s">
        <v>72</v>
      </c>
      <c r="F13" s="60" t="s">
        <v>27</v>
      </c>
      <c r="G13" s="47">
        <v>10</v>
      </c>
      <c r="H13" s="135">
        <f>IF(B$17=0,0,G13/B$17)</f>
        <v>6.1728395061728392E-2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98</v>
      </c>
      <c r="C14" s="39">
        <f>IF(B$3=0,0,B14/B$3)</f>
        <v>0.25587467362924282</v>
      </c>
      <c r="E14" s="63" t="s">
        <v>84</v>
      </c>
      <c r="F14" s="60" t="s">
        <v>39</v>
      </c>
      <c r="G14" s="47">
        <v>9</v>
      </c>
      <c r="H14" s="135">
        <f>IF(B$17=0,0,G14/B$17)</f>
        <v>5.5555555555555552E-2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84</v>
      </c>
      <c r="C15" s="37">
        <f>IF(B$13=0,0,B15/B$13)</f>
        <v>0.65625</v>
      </c>
      <c r="E15" s="63" t="s">
        <v>82</v>
      </c>
      <c r="F15" s="60" t="s">
        <v>37</v>
      </c>
      <c r="G15" s="47">
        <v>4</v>
      </c>
      <c r="H15" s="135">
        <f>IF(B$17=0,0,G15/B$17)</f>
        <v>2.4691358024691357E-2</v>
      </c>
      <c r="I15" s="96">
        <v>5</v>
      </c>
      <c r="K15" s="38">
        <v>13</v>
      </c>
      <c r="L15" s="101">
        <v>418.90000000000003</v>
      </c>
      <c r="N15" s="116" t="s">
        <v>174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125</v>
      </c>
      <c r="B16" s="46">
        <v>53</v>
      </c>
      <c r="C16" s="37">
        <f>IF(B$14=0,0,B16/B$14)</f>
        <v>0.54081632653061229</v>
      </c>
      <c r="E16" s="63" t="s">
        <v>79</v>
      </c>
      <c r="F16" s="60" t="s">
        <v>34</v>
      </c>
      <c r="G16" s="47">
        <v>3</v>
      </c>
      <c r="H16" s="135">
        <f>IF(B$17=0,0,G16/B$17)</f>
        <v>1.8518518518518517E-2</v>
      </c>
      <c r="I16" s="96">
        <v>4</v>
      </c>
      <c r="K16" s="38">
        <v>14</v>
      </c>
      <c r="L16" s="101">
        <v>473.50000000000006</v>
      </c>
      <c r="N16" s="117" t="s">
        <v>186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162</v>
      </c>
      <c r="C17" s="37">
        <f>IF(B$3=0,0,B17/B$3)</f>
        <v>0.42297650130548303</v>
      </c>
      <c r="E17" s="63" t="s">
        <v>74</v>
      </c>
      <c r="F17" s="60" t="s">
        <v>29</v>
      </c>
      <c r="G17" s="47">
        <v>2</v>
      </c>
      <c r="H17" s="135">
        <f>IF(B$17=0,0,G17/B$17)</f>
        <v>1.2345679012345678E-2</v>
      </c>
      <c r="I17" s="96">
        <v>1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64</v>
      </c>
      <c r="C18" s="39">
        <f>IF(B$17=0,0,B18/B$17)</f>
        <v>0.39506172839506171</v>
      </c>
      <c r="E18" s="63" t="s">
        <v>92</v>
      </c>
      <c r="F18" s="60" t="s">
        <v>47</v>
      </c>
      <c r="G18" s="47">
        <v>2</v>
      </c>
      <c r="H18" s="135">
        <f>IF(B$17=0,0,G18/B$17)</f>
        <v>1.2345679012345678E-2</v>
      </c>
      <c r="I18" s="96">
        <v>5</v>
      </c>
      <c r="K18" s="38">
        <v>16</v>
      </c>
      <c r="L18" s="101">
        <v>425.50000000000006</v>
      </c>
      <c r="N18" s="117" t="s">
        <v>129</v>
      </c>
      <c r="O18" s="127">
        <f>IF(P18=0,0,Q18/P18)</f>
        <v>54.900000000000006</v>
      </c>
      <c r="P18" s="121">
        <v>13</v>
      </c>
      <c r="Q18" s="109">
        <v>713.7</v>
      </c>
    </row>
    <row r="19" spans="1:17" x14ac:dyDescent="0.4">
      <c r="A19" s="55" t="s">
        <v>11</v>
      </c>
      <c r="B19" s="47">
        <v>98</v>
      </c>
      <c r="C19" s="39">
        <f>IF(B$17=0,0,B19/B$17)</f>
        <v>0.60493827160493829</v>
      </c>
      <c r="E19" s="63" t="s">
        <v>76</v>
      </c>
      <c r="F19" s="60" t="s">
        <v>31</v>
      </c>
      <c r="G19" s="47">
        <v>1</v>
      </c>
      <c r="H19" s="135">
        <f>IF(B$17=0,0,G19/B$17)</f>
        <v>6.1728395061728392E-3</v>
      </c>
      <c r="I19" s="96">
        <v>5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55</v>
      </c>
      <c r="C20" s="39">
        <f>IF(B$3=0,0,B20/B$3)</f>
        <v>0.14360313315926893</v>
      </c>
      <c r="E20" s="63" t="s">
        <v>78</v>
      </c>
      <c r="F20" s="60" t="s">
        <v>33</v>
      </c>
      <c r="G20" s="47">
        <v>1</v>
      </c>
      <c r="H20" s="135">
        <f>IF(B$17=0,0,G20/B$17)</f>
        <v>6.1728395061728392E-3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80</v>
      </c>
      <c r="F21" s="60" t="s">
        <v>35</v>
      </c>
      <c r="G21" s="47">
        <v>1</v>
      </c>
      <c r="H21" s="135">
        <f>IF(B$17=0,0,G21/B$17)</f>
        <v>6.1728395061728392E-3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9</v>
      </c>
      <c r="E22" s="63" t="s">
        <v>88</v>
      </c>
      <c r="F22" s="60" t="s">
        <v>43</v>
      </c>
      <c r="G22" s="47">
        <v>1</v>
      </c>
      <c r="H22" s="135">
        <f>IF(B$17=0,0,G22/B$17)</f>
        <v>6.1728395061728392E-3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>IF(P22=0,0,Q22/P22)</f>
        <v>26.352777777777778</v>
      </c>
      <c r="P22" s="121">
        <v>36</v>
      </c>
      <c r="Q22" s="109">
        <v>948.7</v>
      </c>
    </row>
    <row r="23" spans="1:17" x14ac:dyDescent="0.4">
      <c r="A23" s="55" t="s">
        <v>5</v>
      </c>
      <c r="B23" s="51">
        <f>IF(B$17=0,0,C23/B$17)</f>
        <v>9259.2592592592591</v>
      </c>
      <c r="C23" s="41">
        <v>1500000</v>
      </c>
      <c r="E23" s="63" t="s">
        <v>91</v>
      </c>
      <c r="F23" s="60" t="s">
        <v>46</v>
      </c>
      <c r="G23" s="47">
        <v>1</v>
      </c>
      <c r="H23" s="135">
        <f>IF(B$17=0,0,G23/B$17)</f>
        <v>6.1728395061728392E-3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-8087.272727272727</v>
      </c>
      <c r="C24" s="45">
        <v>-444800</v>
      </c>
      <c r="E24" s="63" t="s">
        <v>96</v>
      </c>
      <c r="F24" s="60" t="s">
        <v>51</v>
      </c>
      <c r="G24" s="47">
        <v>1</v>
      </c>
      <c r="H24" s="135">
        <f>IF(B$17=0,0,G24/B$17)</f>
        <v>6.1728395061728392E-3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75</v>
      </c>
      <c r="F25" s="60" t="s">
        <v>30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77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38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40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596.30000000000007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89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93</v>
      </c>
      <c r="F32" s="60" t="s">
        <v>48</v>
      </c>
      <c r="G32" s="47">
        <v>0</v>
      </c>
      <c r="H32" s="135">
        <f>IF(B$17=0,0,G32/B$17)</f>
        <v>0</v>
      </c>
      <c r="I32" s="96">
        <v>4</v>
      </c>
      <c r="K32" s="38">
        <v>30</v>
      </c>
      <c r="L32" s="101">
        <v>733.6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796.80000000000007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  <c r="K51" s="38">
        <v>49</v>
      </c>
      <c r="L51" s="101">
        <v>1289.8999999999999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2BBF-4BF6-44AC-97C5-E1F0943E7CC8}">
  <sheetPr codeName="Sheet9"/>
  <dimension ref="A1:Q52"/>
  <sheetViews>
    <sheetView showGridLines="0" topLeftCell="G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50</v>
      </c>
      <c r="C2" s="149"/>
      <c r="E2" s="62" t="s">
        <v>67</v>
      </c>
      <c r="F2" s="59" t="s">
        <v>23</v>
      </c>
      <c r="G2" s="46">
        <v>78</v>
      </c>
      <c r="H2" s="134">
        <f>IF(B$17=0,0,G2/B$17)</f>
        <v>0.65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754</v>
      </c>
      <c r="P2" s="120">
        <v>50</v>
      </c>
      <c r="Q2" s="104">
        <v>37700</v>
      </c>
    </row>
    <row r="3" spans="1:17" x14ac:dyDescent="0.4">
      <c r="A3" s="55" t="s">
        <v>8</v>
      </c>
      <c r="B3" s="150">
        <v>418</v>
      </c>
      <c r="C3" s="151"/>
      <c r="E3" s="63" t="s">
        <v>65</v>
      </c>
      <c r="F3" s="60" t="s">
        <v>21</v>
      </c>
      <c r="G3" s="47">
        <v>71</v>
      </c>
      <c r="H3" s="135">
        <f>IF(B$17=0,0,G3/B$17)</f>
        <v>0.59166666666666667</v>
      </c>
      <c r="I3" s="96">
        <v>2</v>
      </c>
      <c r="K3" s="38">
        <v>1</v>
      </c>
      <c r="L3" s="101">
        <v>45.5</v>
      </c>
      <c r="N3" s="117" t="s">
        <v>133</v>
      </c>
      <c r="O3" s="124">
        <f t="shared" si="0"/>
        <v>-579.59183673469386</v>
      </c>
      <c r="P3" s="121">
        <v>49</v>
      </c>
      <c r="Q3" s="105">
        <v>-28400</v>
      </c>
    </row>
    <row r="4" spans="1:17" x14ac:dyDescent="0.4">
      <c r="A4" s="55" t="s">
        <v>6</v>
      </c>
      <c r="B4" s="152">
        <v>-0.70000000000004015</v>
      </c>
      <c r="C4" s="153"/>
      <c r="E4" s="63" t="s">
        <v>73</v>
      </c>
      <c r="F4" s="60" t="s">
        <v>28</v>
      </c>
      <c r="G4" s="47">
        <v>50</v>
      </c>
      <c r="H4" s="135">
        <f>IF(B$17=0,0,G4/B$17)</f>
        <v>0.41666666666666669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-1148.936170212766</v>
      </c>
      <c r="P4" s="121">
        <v>47</v>
      </c>
      <c r="Q4" s="105">
        <v>-54000</v>
      </c>
    </row>
    <row r="5" spans="1:17" x14ac:dyDescent="0.4">
      <c r="A5" s="55" t="s">
        <v>7</v>
      </c>
      <c r="B5" s="154">
        <f>IF(B$2=0,0,B$4/B$2)</f>
        <v>-1.4000000000000803E-2</v>
      </c>
      <c r="C5" s="155"/>
      <c r="E5" s="63" t="s">
        <v>182</v>
      </c>
      <c r="F5" s="60" t="s">
        <v>183</v>
      </c>
      <c r="G5" s="47">
        <v>49</v>
      </c>
      <c r="H5" s="135">
        <f>IF(B$17=0,0,G5/B$17)</f>
        <v>0.40833333333333333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126.82926829268293</v>
      </c>
      <c r="P5" s="121">
        <v>41</v>
      </c>
      <c r="Q5" s="105">
        <v>5200</v>
      </c>
    </row>
    <row r="6" spans="1:17" x14ac:dyDescent="0.4">
      <c r="A6" s="55" t="s">
        <v>1</v>
      </c>
      <c r="B6" s="144">
        <f>IF(B$2=0,0,(B$7*1+B$8*2+B$9*3)/B$2)</f>
        <v>2.02</v>
      </c>
      <c r="C6" s="145"/>
      <c r="E6" s="63" t="s">
        <v>68</v>
      </c>
      <c r="F6" s="60" t="s">
        <v>24</v>
      </c>
      <c r="G6" s="47">
        <v>44</v>
      </c>
      <c r="H6" s="135">
        <f>IF(B$17=0,0,G6/B$17)</f>
        <v>0.36666666666666664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0"/>
        <v>825.64102564102564</v>
      </c>
      <c r="P6" s="121">
        <v>39</v>
      </c>
      <c r="Q6" s="105">
        <v>32200</v>
      </c>
    </row>
    <row r="7" spans="1:17" x14ac:dyDescent="0.4">
      <c r="A7" s="55" t="s">
        <v>2</v>
      </c>
      <c r="B7" s="47">
        <v>14</v>
      </c>
      <c r="C7" s="39">
        <f>IF(B$2=0,0,B7/B$2)</f>
        <v>0.28000000000000003</v>
      </c>
      <c r="E7" s="63" t="s">
        <v>69</v>
      </c>
      <c r="F7" s="60" t="s">
        <v>12</v>
      </c>
      <c r="G7" s="47">
        <v>43</v>
      </c>
      <c r="H7" s="135">
        <f>IF(B$17=0,0,G7/B$17)</f>
        <v>0.35833333333333334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718.91891891891896</v>
      </c>
      <c r="P7" s="122">
        <v>37</v>
      </c>
      <c r="Q7" s="106">
        <v>26600</v>
      </c>
    </row>
    <row r="8" spans="1:17" x14ac:dyDescent="0.4">
      <c r="A8" s="55" t="s">
        <v>3</v>
      </c>
      <c r="B8" s="47">
        <v>21</v>
      </c>
      <c r="C8" s="39">
        <f>IF(B$2=0,0,B8/B$2)</f>
        <v>0.42</v>
      </c>
      <c r="E8" s="63" t="s">
        <v>70</v>
      </c>
      <c r="F8" s="60" t="s">
        <v>25</v>
      </c>
      <c r="G8" s="47">
        <v>26</v>
      </c>
      <c r="H8" s="135">
        <f>IF(B$17=0,0,G8/B$17)</f>
        <v>0.21666666666666667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15</v>
      </c>
      <c r="C9" s="40">
        <f t="shared" ref="C9" si="1">IF(B$2=0,0,B9/B$2)</f>
        <v>0.3</v>
      </c>
      <c r="E9" s="63" t="s">
        <v>71</v>
      </c>
      <c r="F9" s="60" t="s">
        <v>26</v>
      </c>
      <c r="G9" s="47">
        <v>19</v>
      </c>
      <c r="H9" s="135">
        <f>IF(B$17=0,0,G9/B$17)</f>
        <v>0.15833333333333333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0.14000000000000001</v>
      </c>
      <c r="E10" s="63" t="s">
        <v>66</v>
      </c>
      <c r="F10" s="60" t="s">
        <v>22</v>
      </c>
      <c r="G10" s="47">
        <v>16</v>
      </c>
      <c r="H10" s="135">
        <f>IF(B$17=0,0,G10/B$17)</f>
        <v>0.13333333333333333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0.69999999999999818</v>
      </c>
      <c r="P10" s="120">
        <v>26</v>
      </c>
      <c r="Q10" s="108">
        <v>18.199999999999953</v>
      </c>
    </row>
    <row r="11" spans="1:17" x14ac:dyDescent="0.4">
      <c r="A11" s="56" t="s">
        <v>140</v>
      </c>
      <c r="B11" s="48">
        <v>4</v>
      </c>
      <c r="C11" s="40">
        <f>IF(B$2=0,0,B11/B$2)</f>
        <v>0.08</v>
      </c>
      <c r="E11" s="63" t="s">
        <v>90</v>
      </c>
      <c r="F11" s="60" t="s">
        <v>45</v>
      </c>
      <c r="G11" s="47">
        <v>10</v>
      </c>
      <c r="H11" s="135">
        <f>IF(B$17=0,0,G11/B$17)</f>
        <v>8.3333333333333329E-2</v>
      </c>
      <c r="I11" s="96">
        <v>10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0.08</v>
      </c>
      <c r="E12" s="63" t="s">
        <v>87</v>
      </c>
      <c r="F12" s="60" t="s">
        <v>42</v>
      </c>
      <c r="G12" s="47">
        <v>8</v>
      </c>
      <c r="H12" s="135">
        <f>IF(B$17=0,0,G12/B$17)</f>
        <v>6.6666666666666666E-2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122</v>
      </c>
      <c r="B13" s="50">
        <v>119</v>
      </c>
      <c r="C13" s="44">
        <f>IF(B$3=0,0,B13/B$3)</f>
        <v>0.28468899521531099</v>
      </c>
      <c r="E13" s="63" t="s">
        <v>82</v>
      </c>
      <c r="F13" s="60" t="s">
        <v>37</v>
      </c>
      <c r="G13" s="47">
        <v>5</v>
      </c>
      <c r="H13" s="135">
        <f>IF(B$17=0,0,G13/B$17)</f>
        <v>4.1666666666666664E-2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72</v>
      </c>
      <c r="C14" s="39">
        <f>IF(B$3=0,0,B14/B$3)</f>
        <v>0.17224880382775121</v>
      </c>
      <c r="E14" s="63" t="s">
        <v>92</v>
      </c>
      <c r="F14" s="60" t="s">
        <v>47</v>
      </c>
      <c r="G14" s="47">
        <v>5</v>
      </c>
      <c r="H14" s="135">
        <f>IF(B$17=0,0,G14/B$17)</f>
        <v>4.1666666666666664E-2</v>
      </c>
      <c r="I14" s="96">
        <v>2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76</v>
      </c>
      <c r="C15" s="37">
        <f>IF(B$13=0,0,B15/B$13)</f>
        <v>0.6386554621848739</v>
      </c>
      <c r="E15" s="63" t="s">
        <v>72</v>
      </c>
      <c r="F15" s="60" t="s">
        <v>27</v>
      </c>
      <c r="G15" s="47">
        <v>4</v>
      </c>
      <c r="H15" s="135">
        <f>IF(B$17=0,0,G15/B$17)</f>
        <v>3.3333333333333333E-2</v>
      </c>
      <c r="I15" s="96">
        <v>8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17</v>
      </c>
      <c r="C16" s="37">
        <f>IF(B$14=0,0,B16/B$14)</f>
        <v>0.2361111111111111</v>
      </c>
      <c r="E16" s="63" t="s">
        <v>181</v>
      </c>
      <c r="F16" s="60" t="s">
        <v>184</v>
      </c>
      <c r="G16" s="47">
        <v>3</v>
      </c>
      <c r="H16" s="135">
        <f>IF(B$17=0,0,G16/B$17)</f>
        <v>2.5000000000000001E-2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0.28708133971291866</v>
      </c>
      <c r="E17" s="63" t="s">
        <v>75</v>
      </c>
      <c r="F17" s="60" t="s">
        <v>30</v>
      </c>
      <c r="G17" s="47">
        <v>2</v>
      </c>
      <c r="H17" s="135">
        <f>IF(B$17=0,0,G17/B$17)</f>
        <v>1.6666666666666666E-2</v>
      </c>
      <c r="I17" s="96">
        <v>1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47</v>
      </c>
      <c r="C18" s="39">
        <f>IF(B$17=0,0,B18/B$17)</f>
        <v>0.39166666666666666</v>
      </c>
      <c r="E18" s="63" t="s">
        <v>80</v>
      </c>
      <c r="F18" s="60" t="s">
        <v>35</v>
      </c>
      <c r="G18" s="47">
        <v>2</v>
      </c>
      <c r="H18" s="135">
        <f>IF(B$17=0,0,G18/B$17)</f>
        <v>1.6666666666666666E-2</v>
      </c>
      <c r="I18" s="96">
        <v>3</v>
      </c>
      <c r="K18" s="38">
        <v>16</v>
      </c>
      <c r="L18" s="101">
        <v>41.699999999999989</v>
      </c>
      <c r="N18" s="117" t="s">
        <v>174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73</v>
      </c>
      <c r="C19" s="39">
        <f>IF(B$17=0,0,B19/B$17)</f>
        <v>0.60833333333333328</v>
      </c>
      <c r="E19" s="63" t="s">
        <v>84</v>
      </c>
      <c r="F19" s="60" t="s">
        <v>39</v>
      </c>
      <c r="G19" s="47">
        <v>2</v>
      </c>
      <c r="H19" s="135">
        <f>IF(B$17=0,0,G19/B$17)</f>
        <v>1.6666666666666666E-2</v>
      </c>
      <c r="I19" s="96">
        <v>9</v>
      </c>
      <c r="K19" s="38">
        <v>17</v>
      </c>
      <c r="L19" s="101">
        <v>94.6</v>
      </c>
      <c r="N19" s="117" t="s">
        <v>178</v>
      </c>
      <c r="O19" s="127">
        <f>IF(P19=0,0,Q19/P19)</f>
        <v>-0.75</v>
      </c>
      <c r="P19" s="121">
        <v>10</v>
      </c>
      <c r="Q19" s="109">
        <v>-7.5</v>
      </c>
    </row>
    <row r="20" spans="1:17" x14ac:dyDescent="0.4">
      <c r="A20" s="55" t="s">
        <v>13</v>
      </c>
      <c r="B20" s="47">
        <v>71</v>
      </c>
      <c r="C20" s="39">
        <f>IF(B$3=0,0,B20/B$3)</f>
        <v>0.16985645933014354</v>
      </c>
      <c r="E20" s="63" t="s">
        <v>74</v>
      </c>
      <c r="F20" s="60" t="s">
        <v>29</v>
      </c>
      <c r="G20" s="47">
        <v>1</v>
      </c>
      <c r="H20" s="135">
        <f>IF(B$17=0,0,G20/B$17)</f>
        <v>8.3333333333333332E-3</v>
      </c>
      <c r="I20" s="96">
        <v>2</v>
      </c>
      <c r="K20" s="38">
        <v>18</v>
      </c>
      <c r="L20" s="101">
        <v>116.69999999999999</v>
      </c>
      <c r="N20" s="117" t="s">
        <v>173</v>
      </c>
      <c r="O20" s="127">
        <f>IF(P20=0,0,Q20/P20)</f>
        <v>-4.6749999999999998</v>
      </c>
      <c r="P20" s="121">
        <v>12</v>
      </c>
      <c r="Q20" s="109">
        <v>-56.099999999999994</v>
      </c>
    </row>
    <row r="21" spans="1:17" x14ac:dyDescent="0.4">
      <c r="A21" s="55" t="s">
        <v>194</v>
      </c>
      <c r="B21" s="47">
        <v>5</v>
      </c>
      <c r="C21" s="137">
        <v>1</v>
      </c>
      <c r="E21" s="63" t="s">
        <v>76</v>
      </c>
      <c r="F21" s="60" t="s">
        <v>31</v>
      </c>
      <c r="G21" s="47">
        <v>1</v>
      </c>
      <c r="H21" s="135">
        <f>IF(B$17=0,0,G21/B$17)</f>
        <v>8.3333333333333332E-3</v>
      </c>
      <c r="I21" s="96">
        <v>4</v>
      </c>
      <c r="K21" s="38">
        <v>19</v>
      </c>
      <c r="L21" s="101">
        <v>138.79999999999998</v>
      </c>
      <c r="N21" s="117" t="s">
        <v>127</v>
      </c>
      <c r="O21" s="127">
        <f>IF(P21=0,0,Q21/P21)</f>
        <v>-26.352777777777778</v>
      </c>
      <c r="P21" s="121">
        <v>36</v>
      </c>
      <c r="Q21" s="109">
        <v>-948.7</v>
      </c>
    </row>
    <row r="22" spans="1:17" x14ac:dyDescent="0.4">
      <c r="A22" s="55" t="s">
        <v>195</v>
      </c>
      <c r="B22" s="47">
        <v>24</v>
      </c>
      <c r="C22" s="137">
        <v>2</v>
      </c>
      <c r="E22" s="63" t="s">
        <v>78</v>
      </c>
      <c r="F22" s="60" t="s">
        <v>33</v>
      </c>
      <c r="G22" s="47">
        <v>1</v>
      </c>
      <c r="H22" s="135">
        <f>IF(B$17=0,0,G22/B$17)</f>
        <v>8.3333333333333332E-3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9155</v>
      </c>
      <c r="C23" s="41">
        <v>1098600</v>
      </c>
      <c r="E23" s="63" t="s">
        <v>79</v>
      </c>
      <c r="F23" s="60" t="s">
        <v>34</v>
      </c>
      <c r="G23" s="47">
        <v>1</v>
      </c>
      <c r="H23" s="135">
        <f>IF(B$17=0,0,G23/B$17)</f>
        <v>8.3333333333333332E-3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-7530.9859154929582</v>
      </c>
      <c r="C24" s="45">
        <v>-534700</v>
      </c>
      <c r="E24" s="63" t="s">
        <v>85</v>
      </c>
      <c r="F24" s="60" t="s">
        <v>40</v>
      </c>
      <c r="G24" s="47">
        <v>1</v>
      </c>
      <c r="H24" s="135">
        <f>IF(B$17=0,0,G24/B$17)</f>
        <v>8.3333333333333332E-3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8.3333333333333332E-3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88600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8.3333333333333332E-3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9.5693779904306216E-3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A6A65-F2BF-48A8-A5EC-FB6C71EDD15F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>IF(B$17=0,0,G3/B$17)</f>
        <v>0.5714285714285714</v>
      </c>
      <c r="I3" s="96">
        <v>3</v>
      </c>
      <c r="K3" s="38">
        <v>1</v>
      </c>
      <c r="L3" s="101">
        <v>-40.4</v>
      </c>
      <c r="N3" s="117" t="s">
        <v>133</v>
      </c>
      <c r="O3" s="124">
        <f t="shared" si="0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>IF(B$17=0,0,G4/B$17)</f>
        <v>0.37142857142857144</v>
      </c>
      <c r="I4" s="96">
        <v>3</v>
      </c>
      <c r="K4" s="38">
        <v>2</v>
      </c>
      <c r="L4" s="101">
        <v>-3.3999999999999986</v>
      </c>
      <c r="N4" s="117" t="s">
        <v>134</v>
      </c>
      <c r="O4" s="124">
        <f t="shared" si="0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>IF(B$17=0,0,G5/B$17)</f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0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>IF(B$17=0,0,G6/B$17)</f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0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>IF(B$17=0,0,G7/B$17)</f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>IF(B$17=0,0,G8/B$17)</f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0.63636363636363635</v>
      </c>
      <c r="E9" s="63" t="s">
        <v>70</v>
      </c>
      <c r="F9" s="60" t="s">
        <v>25</v>
      </c>
      <c r="G9" s="47">
        <v>7</v>
      </c>
      <c r="H9" s="135">
        <f>IF(B$17=0,0,G9/B$17)</f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>IF(B$17=0,0,G10/B$17)</f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0.14285714285714285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>IF(B$17=0,0,G12/B$17)</f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>IF(B$17=0,0,G13/B$17)</f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>IF(B$17=0,0,G14/B$17)</f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>IF(B$17=0,0,G15/B$17)</f>
        <v>2.8571428571428571E-2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>IF(P18=0,0,Q18/P18)</f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A60F8-3F4D-4E7A-BF03-A9816F920CB0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6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6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4D469-AF6D-4949-985B-A2CB9620D6D4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-363.63636363636363</v>
      </c>
      <c r="P2" s="120">
        <v>22</v>
      </c>
      <c r="Q2" s="104">
        <v>-8000</v>
      </c>
    </row>
    <row r="3" spans="1:17" x14ac:dyDescent="0.4">
      <c r="A3" s="55" t="s">
        <v>8</v>
      </c>
      <c r="B3" s="150">
        <v>182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1918.1818181818182</v>
      </c>
      <c r="P3" s="121">
        <v>22</v>
      </c>
      <c r="Q3" s="105">
        <v>42200</v>
      </c>
    </row>
    <row r="4" spans="1:17" x14ac:dyDescent="0.4">
      <c r="A4" s="55" t="s">
        <v>6</v>
      </c>
      <c r="B4" s="152">
        <v>54.7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44.444444444444443</v>
      </c>
      <c r="P4" s="121">
        <v>18</v>
      </c>
      <c r="Q4" s="105">
        <v>800</v>
      </c>
    </row>
    <row r="5" spans="1:17" x14ac:dyDescent="0.4">
      <c r="A5" s="55" t="s">
        <v>7</v>
      </c>
      <c r="B5" s="154">
        <f>IF(B$2=0,0,B$4/B$2)</f>
        <v>2.4863636363636363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9</v>
      </c>
      <c r="K5" s="38">
        <v>3</v>
      </c>
      <c r="L5" s="101">
        <v>1.7999999999999989</v>
      </c>
      <c r="N5" s="117" t="s">
        <v>135</v>
      </c>
      <c r="O5" s="124">
        <f t="shared" si="0"/>
        <v>2100</v>
      </c>
      <c r="P5" s="121">
        <v>16</v>
      </c>
      <c r="Q5" s="105">
        <v>33600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-3562.5</v>
      </c>
      <c r="P6" s="121">
        <v>16</v>
      </c>
      <c r="Q6" s="105">
        <v>-57000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0.36363636363636365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11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0.31818181818181818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-12.014285714285718</v>
      </c>
      <c r="P10" s="120">
        <v>7</v>
      </c>
      <c r="Q10" s="108">
        <v>-84.100000000000023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40</v>
      </c>
      <c r="C13" s="44">
        <f>IF(B$3=0,0,B13/B$3)</f>
        <v>0.21978021978021978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64</v>
      </c>
      <c r="C14" s="39">
        <f>IF(B$3=0,0,B14/B$3)</f>
        <v>0.35164835164835168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0.421875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0.34615384615384615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4</v>
      </c>
      <c r="K18" s="38">
        <v>16</v>
      </c>
      <c r="L18" s="101">
        <v>-87.6</v>
      </c>
      <c r="N18" s="117" t="s">
        <v>128</v>
      </c>
      <c r="O18" s="127">
        <f>IF(P18=0,0,Q18/P18)</f>
        <v>4.6749999999999963</v>
      </c>
      <c r="P18" s="121">
        <v>12</v>
      </c>
      <c r="Q18" s="109">
        <v>56.099999999999959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25</v>
      </c>
      <c r="C20" s="39">
        <f>IF(B$3=0,0,B20/B$3)</f>
        <v>0.13736263736263737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195</v>
      </c>
      <c r="B22" s="47">
        <v>23</v>
      </c>
      <c r="C22" s="137">
        <v>6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-8384</v>
      </c>
      <c r="C24" s="45">
        <v>-209600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2DBE0-6EFD-4451-899F-560EB7F96D3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17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0.81818181818181823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0">
        <v>155</v>
      </c>
      <c r="C3" s="151"/>
      <c r="E3" s="63" t="s">
        <v>73</v>
      </c>
      <c r="F3" s="60" t="s">
        <v>28</v>
      </c>
      <c r="G3" s="47">
        <v>20</v>
      </c>
      <c r="H3" s="135">
        <f>IF(B$17=0,0,G3/B$17)</f>
        <v>0.45454545454545453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2">
        <v>-248.89999999999995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0.38636363636363635</v>
      </c>
      <c r="I4" s="96">
        <v>2</v>
      </c>
      <c r="K4" s="38">
        <v>2</v>
      </c>
      <c r="L4" s="101">
        <v>-122.3</v>
      </c>
      <c r="N4" s="117" t="s">
        <v>134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4">
        <f>IF(B$2=0,0,B$4/B$2)</f>
        <v>-14.641176470588233</v>
      </c>
      <c r="C5" s="155"/>
      <c r="E5" s="63" t="s">
        <v>65</v>
      </c>
      <c r="F5" s="60" t="s">
        <v>21</v>
      </c>
      <c r="G5" s="47">
        <v>16</v>
      </c>
      <c r="H5" s="135">
        <f>IF(B$17=0,0,G5/B$17)</f>
        <v>0.36363636363636365</v>
      </c>
      <c r="I5" s="96">
        <v>11</v>
      </c>
      <c r="K5" s="38">
        <v>3</v>
      </c>
      <c r="L5" s="101">
        <v>-149</v>
      </c>
      <c r="N5" s="117" t="s">
        <v>135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4">
        <f>IF(B$2=0,0,(B$7*1+B$8*2+B$9*3)/B$2)</f>
        <v>2.2352941176470589</v>
      </c>
      <c r="C6" s="145"/>
      <c r="E6" s="63" t="s">
        <v>182</v>
      </c>
      <c r="F6" s="60" t="s">
        <v>183</v>
      </c>
      <c r="G6" s="47">
        <v>12</v>
      </c>
      <c r="H6" s="135">
        <f>IF(B$17=0,0,G6/B$17)</f>
        <v>0.27272727272727271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68</v>
      </c>
      <c r="F7" s="60" t="s">
        <v>24</v>
      </c>
      <c r="G7" s="47">
        <v>7</v>
      </c>
      <c r="H7" s="135">
        <f>IF(B$17=0,0,G7/B$17)</f>
        <v>0.15909090909090909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90</v>
      </c>
      <c r="F8" s="60" t="s">
        <v>45</v>
      </c>
      <c r="G8" s="47">
        <v>7</v>
      </c>
      <c r="H8" s="135">
        <f>IF(B$17=0,0,G8/B$17)</f>
        <v>0.15909090909090909</v>
      </c>
      <c r="I8" s="96">
        <v>5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71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70</v>
      </c>
      <c r="F10" s="60" t="s">
        <v>25</v>
      </c>
      <c r="G10" s="47">
        <v>5</v>
      </c>
      <c r="H10" s="135">
        <f>IF(B$17=0,0,G10/B$17)</f>
        <v>0.11363636363636363</v>
      </c>
      <c r="I10" s="96">
        <v>10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3</v>
      </c>
      <c r="H11" s="135">
        <f>IF(B$17=0,0,G11/B$17)</f>
        <v>6.8181818181818177E-2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160</v>
      </c>
      <c r="B12" s="49">
        <v>1</v>
      </c>
      <c r="C12" s="42">
        <f>IF(B$2=0,0,B12/B$2)</f>
        <v>5.8823529411764705E-2</v>
      </c>
      <c r="E12" s="63" t="s">
        <v>84</v>
      </c>
      <c r="F12" s="60" t="s">
        <v>39</v>
      </c>
      <c r="G12" s="47">
        <v>2</v>
      </c>
      <c r="H12" s="135">
        <f>IF(B$17=0,0,G12/B$17)</f>
        <v>4.5454545454545456E-2</v>
      </c>
      <c r="I12" s="96">
        <v>4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29</v>
      </c>
      <c r="C13" s="44">
        <f>IF(B$3=0,0,B13/B$3)</f>
        <v>0.18709677419354839</v>
      </c>
      <c r="E13" s="63" t="s">
        <v>87</v>
      </c>
      <c r="F13" s="60" t="s">
        <v>42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35</v>
      </c>
      <c r="C14" s="39">
        <f>IF(B$3=0,0,B14/B$3)</f>
        <v>0.22580645161290322</v>
      </c>
      <c r="E14" s="63" t="s">
        <v>66</v>
      </c>
      <c r="F14" s="60" t="s">
        <v>22</v>
      </c>
      <c r="G14" s="47">
        <v>1</v>
      </c>
      <c r="H14" s="135">
        <f>IF(B$17=0,0,G14/B$17)</f>
        <v>2.2727272727272728E-2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0.55172413793103448</v>
      </c>
      <c r="E15" s="63" t="s">
        <v>80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11</v>
      </c>
      <c r="C16" s="37">
        <f>IF(B$14=0,0,B16/B$14)</f>
        <v>0.31428571428571428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128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127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195</v>
      </c>
      <c r="B22" s="47">
        <v>11</v>
      </c>
      <c r="C22" s="137">
        <v>1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142</v>
      </c>
      <c r="B25" s="142">
        <v>6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58900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342A6-94EF-4F7A-8772-93255FE4EC67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7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EC41A-B822-47BA-9E58-BAAEF2A01696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2B04-DA9F-4369-AE68-8593187709FE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C416C-501D-4F54-9A62-4614B7C3A9FA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6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914AA-29BC-4F37-8B67-0A289EEBD5DB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0.18181818181818182</v>
      </c>
      <c r="G4" s="67">
        <v>0.18181818181818182</v>
      </c>
      <c r="H4" s="68">
        <v>12000</v>
      </c>
      <c r="I4" s="68">
        <v>-3250</v>
      </c>
      <c r="J4" s="67">
        <v>0</v>
      </c>
      <c r="K4" s="67">
        <v>0</v>
      </c>
      <c r="L4" s="67">
        <v>0.18181818181818182</v>
      </c>
      <c r="M4" s="67">
        <v>0.18181818181818182</v>
      </c>
      <c r="N4" s="67">
        <v>0.5</v>
      </c>
      <c r="O4" s="67">
        <v>0.5</v>
      </c>
      <c r="P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E403E-A763-4834-9A84-647B49DF47A0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1C940-C4DA-478F-9B29-023B82E8AA02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CAAC-E7E0-4E89-A6B7-DA720BCFCE58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0.23404255319148937</v>
      </c>
      <c r="G16" s="67">
        <v>0.20212765957446807</v>
      </c>
      <c r="H16" s="68">
        <v>6218.181818181818</v>
      </c>
      <c r="I16" s="68">
        <v>-7426.3157894736842</v>
      </c>
      <c r="J16" s="67">
        <v>0.23076923076923078</v>
      </c>
      <c r="K16" s="67">
        <v>0</v>
      </c>
      <c r="L16" s="67">
        <v>0.18085106382978725</v>
      </c>
      <c r="M16" s="67">
        <v>0.25531914893617019</v>
      </c>
      <c r="N16" s="67">
        <v>0.52941176470588236</v>
      </c>
      <c r="O16" s="67">
        <v>0.375</v>
      </c>
      <c r="P16" s="67">
        <v>0.40909090909090912</v>
      </c>
    </row>
    <row r="17" spans="1:16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0.25242718446601942</v>
      </c>
      <c r="G17" s="67">
        <v>0.18446601941747573</v>
      </c>
      <c r="H17" s="68">
        <v>6103.8461538461543</v>
      </c>
      <c r="I17" s="68">
        <v>-7426.3157894736842</v>
      </c>
      <c r="J17" s="67">
        <v>0.21428571428571427</v>
      </c>
      <c r="K17" s="67">
        <v>0</v>
      </c>
      <c r="L17" s="67">
        <v>0.18446601941747573</v>
      </c>
      <c r="M17" s="67">
        <v>0.25242718446601942</v>
      </c>
      <c r="N17" s="67">
        <v>0.57894736842105265</v>
      </c>
      <c r="O17" s="67">
        <v>0.38461538461538464</v>
      </c>
      <c r="P17" s="67">
        <v>0.38461538461538464</v>
      </c>
    </row>
    <row r="18" spans="1:16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0.25663716814159293</v>
      </c>
      <c r="G18" s="67">
        <v>0.17699115044247787</v>
      </c>
      <c r="H18" s="68">
        <v>6362.0689655172409</v>
      </c>
      <c r="I18" s="68">
        <v>-7250</v>
      </c>
      <c r="J18" s="67">
        <v>0.2</v>
      </c>
      <c r="K18" s="67">
        <v>0</v>
      </c>
      <c r="L18" s="67">
        <v>0.17699115044247787</v>
      </c>
      <c r="M18" s="67">
        <v>0.29203539823008851</v>
      </c>
      <c r="N18" s="67">
        <v>0.55000000000000004</v>
      </c>
      <c r="O18" s="67">
        <v>0.39393939393939392</v>
      </c>
      <c r="P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8EB8-D05F-493E-8A2B-EC036910EF6D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  <row r="18" spans="1:16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0.19402985074626866</v>
      </c>
      <c r="M18" s="67">
        <v>0.23134328358208955</v>
      </c>
      <c r="N18" s="67">
        <v>0.53846153846153844</v>
      </c>
      <c r="O18" s="67">
        <v>0.32258064516129031</v>
      </c>
      <c r="P18" s="67">
        <v>0.52631578947368418</v>
      </c>
    </row>
    <row r="19" spans="1:16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0.18571428571428572</v>
      </c>
      <c r="M19" s="67">
        <v>0.22857142857142856</v>
      </c>
      <c r="N19" s="67">
        <v>0.53846153846153844</v>
      </c>
      <c r="O19" s="67">
        <v>0.3125</v>
      </c>
      <c r="P19" s="67">
        <v>0.5</v>
      </c>
    </row>
    <row r="20" spans="1:16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0.28387096774193549</v>
      </c>
      <c r="G20" s="67">
        <v>0.23870967741935484</v>
      </c>
      <c r="H20" s="68">
        <v>6311.363636363636</v>
      </c>
      <c r="I20" s="68">
        <v>-8067.5675675675675</v>
      </c>
      <c r="J20" s="67">
        <v>0.11764705882352941</v>
      </c>
      <c r="K20" s="67">
        <v>5.8823529411764705E-2</v>
      </c>
      <c r="L20" s="67">
        <v>0.18709677419354839</v>
      </c>
      <c r="M20" s="67">
        <v>0.22580645161290322</v>
      </c>
      <c r="N20" s="67">
        <v>0.55172413793103448</v>
      </c>
      <c r="O20" s="67">
        <v>0.31428571428571428</v>
      </c>
      <c r="P20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03E40-5988-4C61-9649-D6F47D673AE7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  <row r="19" spans="1:16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0.20161290322580644</v>
      </c>
      <c r="M19" s="67">
        <v>0.35483870967741937</v>
      </c>
      <c r="N19" s="67">
        <v>0.64</v>
      </c>
      <c r="O19" s="67">
        <v>0.40909090909090912</v>
      </c>
      <c r="P19" s="67">
        <v>0.35</v>
      </c>
    </row>
    <row r="20" spans="1:16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0.20454545454545456</v>
      </c>
      <c r="M20" s="67">
        <v>0.34090909090909088</v>
      </c>
      <c r="N20" s="67">
        <v>0.62962962962962965</v>
      </c>
      <c r="O20" s="67">
        <v>0.42222222222222222</v>
      </c>
      <c r="P20" s="67">
        <v>0.34883720930232559</v>
      </c>
    </row>
    <row r="21" spans="1:16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0.2</v>
      </c>
      <c r="M21" s="67">
        <v>0.35714285714285715</v>
      </c>
      <c r="N21" s="67">
        <v>0.6071428571428571</v>
      </c>
      <c r="O21" s="67">
        <v>0.44</v>
      </c>
      <c r="P21" s="67">
        <v>0.34042553191489361</v>
      </c>
    </row>
    <row r="22" spans="1:16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0.34693877551020408</v>
      </c>
      <c r="G22" s="67">
        <v>0.1360544217687075</v>
      </c>
      <c r="H22" s="68">
        <v>6884.3137254901958</v>
      </c>
      <c r="I22" s="68">
        <v>-8670</v>
      </c>
      <c r="J22" s="67">
        <v>5.2631578947368418E-2</v>
      </c>
      <c r="K22" s="67">
        <v>0.10526315789473684</v>
      </c>
      <c r="L22" s="67">
        <v>0.21088435374149661</v>
      </c>
      <c r="M22" s="67">
        <v>0.35374149659863946</v>
      </c>
      <c r="N22" s="67">
        <v>0.64516129032258063</v>
      </c>
      <c r="O22" s="67">
        <v>0.44230769230769229</v>
      </c>
      <c r="P22" s="67">
        <v>0.37254901960784315</v>
      </c>
    </row>
    <row r="23" spans="1:16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0.35802469135802467</v>
      </c>
      <c r="G23" s="67">
        <v>0.13580246913580246</v>
      </c>
      <c r="H23" s="68">
        <v>6710.3448275862065</v>
      </c>
      <c r="I23" s="68">
        <v>-8440.9090909090901</v>
      </c>
      <c r="J23" s="67">
        <v>0.05</v>
      </c>
      <c r="K23" s="67">
        <v>0.1</v>
      </c>
      <c r="L23" s="67">
        <v>0.20987654320987653</v>
      </c>
      <c r="M23" s="67">
        <v>0.36419753086419754</v>
      </c>
      <c r="N23" s="67">
        <v>0.6470588235294118</v>
      </c>
      <c r="O23" s="67">
        <v>0.44067796610169491</v>
      </c>
      <c r="P23" s="67">
        <v>0.37931034482758619</v>
      </c>
    </row>
    <row r="24" spans="1:16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0.35260115606936415</v>
      </c>
      <c r="G24" s="67">
        <v>0.13294797687861271</v>
      </c>
      <c r="H24" s="68">
        <v>6804.9180327868853</v>
      </c>
      <c r="I24" s="68">
        <v>-8160.869565217391</v>
      </c>
      <c r="J24" s="67">
        <v>4.7619047619047616E-2</v>
      </c>
      <c r="K24" s="67">
        <v>9.5238095238095233E-2</v>
      </c>
      <c r="L24" s="67">
        <v>0.2138728323699422</v>
      </c>
      <c r="M24" s="67">
        <v>0.36416184971098264</v>
      </c>
      <c r="N24" s="67">
        <v>0.64864864864864868</v>
      </c>
      <c r="O24" s="67">
        <v>0.41269841269841268</v>
      </c>
      <c r="P24" s="67">
        <v>0.39344262295081966</v>
      </c>
    </row>
    <row r="25" spans="1:16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0.34615384615384615</v>
      </c>
      <c r="G25" s="67">
        <v>0.13736263736263737</v>
      </c>
      <c r="H25" s="68">
        <v>6749.2063492063489</v>
      </c>
      <c r="I25" s="68">
        <v>-8384</v>
      </c>
      <c r="J25" s="67">
        <v>4.5454545454545456E-2</v>
      </c>
      <c r="K25" s="67">
        <v>9.0909090909090912E-2</v>
      </c>
      <c r="L25" s="67">
        <v>0.21978021978021978</v>
      </c>
      <c r="M25" s="67">
        <v>0.35164835164835168</v>
      </c>
      <c r="N25" s="67">
        <v>0.625</v>
      </c>
      <c r="O25" s="67">
        <v>0.421875</v>
      </c>
      <c r="P25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02DA9-D8CC-4EBC-8D15-EAAA055F05EC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  <row r="31" spans="1:16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0.24390243902439024</v>
      </c>
      <c r="M31" s="67">
        <v>0.17886178861788618</v>
      </c>
      <c r="N31" s="67">
        <v>0.5</v>
      </c>
      <c r="O31" s="67">
        <v>0.34090909090909088</v>
      </c>
      <c r="P31" s="67">
        <v>0.31034482758620691</v>
      </c>
    </row>
    <row r="32" spans="1:16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0.23809523809523808</v>
      </c>
      <c r="M32" s="67">
        <v>0.17460317460317459</v>
      </c>
      <c r="N32" s="67">
        <v>0.5</v>
      </c>
      <c r="O32" s="67">
        <v>0.34090909090909088</v>
      </c>
      <c r="P32" s="67">
        <v>0.32203389830508472</v>
      </c>
    </row>
    <row r="33" spans="1:16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0.23574144486692014</v>
      </c>
      <c r="G33" s="67">
        <v>0.17110266159695817</v>
      </c>
      <c r="H33" s="68">
        <v>8224.1935483870966</v>
      </c>
      <c r="I33" s="68">
        <v>-7300</v>
      </c>
      <c r="J33" s="67">
        <v>3.3333333333333333E-2</v>
      </c>
      <c r="K33" s="67">
        <v>6.6666666666666666E-2</v>
      </c>
      <c r="L33" s="67">
        <v>0.23574144486692014</v>
      </c>
      <c r="M33" s="67">
        <v>0.17490494296577946</v>
      </c>
      <c r="N33" s="67">
        <v>0.5161290322580645</v>
      </c>
      <c r="O33" s="67">
        <v>0.34782608695652173</v>
      </c>
      <c r="P33" s="67">
        <v>0.32258064516129031</v>
      </c>
    </row>
    <row r="34" spans="1:16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0.23985239852398524</v>
      </c>
      <c r="G34" s="67">
        <v>0.16974169741697417</v>
      </c>
      <c r="H34" s="68">
        <v>8490.7692307692305</v>
      </c>
      <c r="I34" s="68">
        <v>-7226.086956521739</v>
      </c>
      <c r="J34" s="67">
        <v>3.2258064516129031E-2</v>
      </c>
      <c r="K34" s="67">
        <v>9.6774193548387094E-2</v>
      </c>
      <c r="L34" s="67">
        <v>0.23985239852398524</v>
      </c>
      <c r="M34" s="67">
        <v>0.17712177121771217</v>
      </c>
      <c r="N34" s="67">
        <v>0.53846153846153844</v>
      </c>
      <c r="O34" s="67">
        <v>0.33333333333333331</v>
      </c>
      <c r="P34" s="67">
        <v>0.33846153846153848</v>
      </c>
    </row>
    <row r="35" spans="1:16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0.23843416370106763</v>
      </c>
      <c r="G35" s="67">
        <v>0.16725978647686832</v>
      </c>
      <c r="H35" s="68">
        <v>8447.7611940298502</v>
      </c>
      <c r="I35" s="68">
        <v>-7195.744680851064</v>
      </c>
      <c r="J35" s="67">
        <v>3.125E-2</v>
      </c>
      <c r="K35" s="67">
        <v>9.375E-2</v>
      </c>
      <c r="L35" s="67">
        <v>0.23843416370106763</v>
      </c>
      <c r="M35" s="67">
        <v>0.18149466192170818</v>
      </c>
      <c r="N35" s="67">
        <v>0.53731343283582089</v>
      </c>
      <c r="O35" s="67">
        <v>0.31372549019607843</v>
      </c>
      <c r="P35" s="67">
        <v>0.34328358208955223</v>
      </c>
    </row>
    <row r="36" spans="1:16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0.24305555555555555</v>
      </c>
      <c r="G36" s="67">
        <v>0.16666666666666666</v>
      </c>
      <c r="H36" s="68">
        <v>8422.8571428571431</v>
      </c>
      <c r="I36" s="68">
        <v>-7206.25</v>
      </c>
      <c r="J36" s="67">
        <v>3.0303030303030304E-2</v>
      </c>
      <c r="K36" s="67">
        <v>9.0909090909090912E-2</v>
      </c>
      <c r="L36" s="67">
        <v>0.24305555555555555</v>
      </c>
      <c r="M36" s="67">
        <v>0.17708333333333334</v>
      </c>
      <c r="N36" s="67">
        <v>0.55714285714285716</v>
      </c>
      <c r="O36" s="67">
        <v>0.31372549019607843</v>
      </c>
      <c r="P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F5D12-F0BB-49C0-B32F-19FFF5DCAB86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  <row r="20" spans="1:16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0.18954248366013071</v>
      </c>
      <c r="G20" s="67">
        <v>0.21568627450980393</v>
      </c>
      <c r="H20" s="68">
        <v>7362.0689655172409</v>
      </c>
      <c r="I20" s="68">
        <v>-9654.545454545454</v>
      </c>
      <c r="J20" s="67">
        <v>0.23529411764705882</v>
      </c>
      <c r="K20" s="67">
        <v>0</v>
      </c>
      <c r="L20" s="67">
        <v>0.22875816993464052</v>
      </c>
      <c r="M20" s="67">
        <v>0.11764705882352941</v>
      </c>
      <c r="N20" s="67">
        <v>0.45714285714285713</v>
      </c>
      <c r="O20" s="67">
        <v>0.22222222222222221</v>
      </c>
      <c r="P20" s="67">
        <v>0.41379310344827586</v>
      </c>
    </row>
    <row r="21" spans="1:16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0.19875776397515527</v>
      </c>
      <c r="G21" s="67">
        <v>0.21739130434782608</v>
      </c>
      <c r="H21" s="68">
        <v>7112.5</v>
      </c>
      <c r="I21" s="68">
        <v>-9422.8571428571431</v>
      </c>
      <c r="J21" s="67">
        <v>0.22222222222222221</v>
      </c>
      <c r="K21" s="67">
        <v>0</v>
      </c>
      <c r="L21" s="67">
        <v>0.24223602484472051</v>
      </c>
      <c r="M21" s="67">
        <v>0.11180124223602485</v>
      </c>
      <c r="N21" s="67">
        <v>0.46153846153846156</v>
      </c>
      <c r="O21" s="67">
        <v>0.22222222222222221</v>
      </c>
      <c r="P21" s="67">
        <v>0.46875</v>
      </c>
    </row>
    <row r="22" spans="1:16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0.19526627218934911</v>
      </c>
      <c r="G22" s="67">
        <v>0.21893491124260356</v>
      </c>
      <c r="H22" s="68">
        <v>7260.606060606061</v>
      </c>
      <c r="I22" s="68">
        <v>-9345.9459459459467</v>
      </c>
      <c r="J22" s="67">
        <v>0.21052631578947367</v>
      </c>
      <c r="K22" s="67">
        <v>0</v>
      </c>
      <c r="L22" s="67">
        <v>0.23668639053254437</v>
      </c>
      <c r="M22" s="67">
        <v>0.11242603550295859</v>
      </c>
      <c r="N22" s="67">
        <v>0.47499999999999998</v>
      </c>
      <c r="O22" s="67">
        <v>0.21052631578947367</v>
      </c>
      <c r="P22" s="67">
        <v>0.45454545454545453</v>
      </c>
    </row>
    <row r="23" spans="1:16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0.19075144508670519</v>
      </c>
      <c r="G23" s="67">
        <v>0.22543352601156069</v>
      </c>
      <c r="H23" s="68">
        <v>7260.606060606061</v>
      </c>
      <c r="I23" s="68">
        <v>-9892.3076923076915</v>
      </c>
      <c r="J23" s="67">
        <v>0.25</v>
      </c>
      <c r="K23" s="67">
        <v>0</v>
      </c>
      <c r="L23" s="67">
        <v>0.23121387283236994</v>
      </c>
      <c r="M23" s="67">
        <v>0.11560693641618497</v>
      </c>
      <c r="N23" s="67">
        <v>0.47499999999999998</v>
      </c>
      <c r="O23" s="67">
        <v>0.2</v>
      </c>
      <c r="P23" s="67">
        <v>0.45454545454545453</v>
      </c>
    </row>
    <row r="24" spans="1:16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0.18994413407821228</v>
      </c>
      <c r="G24" s="67">
        <v>0.21787709497206703</v>
      </c>
      <c r="H24" s="68">
        <v>7282.3529411764703</v>
      </c>
      <c r="I24" s="68">
        <v>-9892.3076923076915</v>
      </c>
      <c r="J24" s="67">
        <v>0.23809523809523808</v>
      </c>
      <c r="K24" s="67">
        <v>0</v>
      </c>
      <c r="L24" s="67">
        <v>0.24022346368715083</v>
      </c>
      <c r="M24" s="67">
        <v>0.11731843575418995</v>
      </c>
      <c r="N24" s="67">
        <v>0.46511627906976744</v>
      </c>
      <c r="O24" s="67">
        <v>0.19047619047619047</v>
      </c>
      <c r="P24" s="67">
        <v>0.47058823529411764</v>
      </c>
    </row>
    <row r="25" spans="1:16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0.18817204301075269</v>
      </c>
      <c r="G25" s="67">
        <v>0.22043010752688172</v>
      </c>
      <c r="H25" s="68">
        <v>7302.8571428571431</v>
      </c>
      <c r="I25" s="68">
        <v>-9748.7804878048773</v>
      </c>
      <c r="J25" s="67">
        <v>0.22727272727272727</v>
      </c>
      <c r="K25" s="67">
        <v>0</v>
      </c>
      <c r="L25" s="67">
        <v>0.24193548387096775</v>
      </c>
      <c r="M25" s="67">
        <v>0.11827956989247312</v>
      </c>
      <c r="N25" s="67">
        <v>0.46666666666666667</v>
      </c>
      <c r="O25" s="67">
        <v>0.18181818181818182</v>
      </c>
      <c r="P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577B0-F157-4CD3-AA9B-A8CF6B6D27DB}">
  <sheetPr codeName="Sheet10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  <row r="44" spans="1:16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0.3045977011494253</v>
      </c>
      <c r="G44" s="67">
        <v>0.16379310344827586</v>
      </c>
      <c r="H44" s="68">
        <v>9120.7547169811314</v>
      </c>
      <c r="I44" s="68">
        <v>-7191.2280701754389</v>
      </c>
      <c r="J44" s="67">
        <v>4.878048780487805E-2</v>
      </c>
      <c r="K44" s="67">
        <v>7.3170731707317069E-2</v>
      </c>
      <c r="L44" s="67">
        <v>0.29597701149425287</v>
      </c>
      <c r="M44" s="67">
        <v>0.18103448275862069</v>
      </c>
      <c r="N44" s="67">
        <v>0.65048543689320393</v>
      </c>
      <c r="O44" s="67">
        <v>0.23809523809523808</v>
      </c>
      <c r="P44" s="67">
        <v>0.40566037735849059</v>
      </c>
    </row>
    <row r="45" spans="1:16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0.300561797752809</v>
      </c>
      <c r="G45" s="67">
        <v>0.16292134831460675</v>
      </c>
      <c r="H45" s="68">
        <v>9065.4205607476633</v>
      </c>
      <c r="I45" s="68">
        <v>-7101.7241379310344</v>
      </c>
      <c r="J45" s="67">
        <v>4.7619047619047616E-2</v>
      </c>
      <c r="K45" s="67">
        <v>7.1428571428571425E-2</v>
      </c>
      <c r="L45" s="67">
        <v>0.300561797752809</v>
      </c>
      <c r="M45" s="67">
        <v>0.17696629213483145</v>
      </c>
      <c r="N45" s="67">
        <v>0.63551401869158874</v>
      </c>
      <c r="O45" s="67">
        <v>0.23809523809523808</v>
      </c>
      <c r="P45" s="67">
        <v>0.40186915887850466</v>
      </c>
    </row>
    <row r="46" spans="1:16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0.30662983425414364</v>
      </c>
      <c r="G46" s="67">
        <v>0.16298342541436464</v>
      </c>
      <c r="H46" s="68">
        <v>8973.8738738738739</v>
      </c>
      <c r="I46" s="68">
        <v>-7184.7457627118647</v>
      </c>
      <c r="J46" s="67">
        <v>4.6511627906976744E-2</v>
      </c>
      <c r="K46" s="67">
        <v>6.9767441860465115E-2</v>
      </c>
      <c r="L46" s="67">
        <v>0.30110497237569062</v>
      </c>
      <c r="M46" s="67">
        <v>0.17679558011049723</v>
      </c>
      <c r="N46" s="67">
        <v>0.64220183486238536</v>
      </c>
      <c r="O46" s="67">
        <v>0.25</v>
      </c>
      <c r="P46" s="67">
        <v>0.4144144144144144</v>
      </c>
    </row>
    <row r="47" spans="1:16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0.30352303523035229</v>
      </c>
      <c r="G47" s="67">
        <v>0.16260162601626016</v>
      </c>
      <c r="H47" s="68">
        <v>9000.8928571428569</v>
      </c>
      <c r="I47" s="68">
        <v>-7113.333333333333</v>
      </c>
      <c r="J47" s="67">
        <v>6.8181818181818177E-2</v>
      </c>
      <c r="K47" s="67">
        <v>6.8181818181818177E-2</v>
      </c>
      <c r="L47" s="67">
        <v>0.29539295392953929</v>
      </c>
      <c r="M47" s="67">
        <v>0.18157181571815717</v>
      </c>
      <c r="N47" s="67">
        <v>0.64220183486238536</v>
      </c>
      <c r="O47" s="67">
        <v>0.2537313432835821</v>
      </c>
      <c r="P47" s="67">
        <v>0.4107142857142857</v>
      </c>
    </row>
    <row r="48" spans="1:16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0.296875</v>
      </c>
      <c r="G48" s="67">
        <v>0.16145833333333334</v>
      </c>
      <c r="H48" s="68">
        <v>8982.4561403508778</v>
      </c>
      <c r="I48" s="68">
        <v>-7075.8064516129034</v>
      </c>
      <c r="J48" s="67">
        <v>8.8888888888888892E-2</v>
      </c>
      <c r="K48" s="67">
        <v>6.6666666666666666E-2</v>
      </c>
      <c r="L48" s="67">
        <v>0.28645833333333331</v>
      </c>
      <c r="M48" s="67">
        <v>0.17708333333333334</v>
      </c>
      <c r="N48" s="67">
        <v>0.6454545454545455</v>
      </c>
      <c r="O48" s="67">
        <v>0.25</v>
      </c>
      <c r="P48" s="67">
        <v>0.40350877192982454</v>
      </c>
    </row>
    <row r="49" spans="1:16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0.29411764705882354</v>
      </c>
      <c r="G49" s="67">
        <v>0.16624040920716113</v>
      </c>
      <c r="H49" s="68">
        <v>9008.6956521739139</v>
      </c>
      <c r="I49" s="68">
        <v>-7395.3846153846152</v>
      </c>
      <c r="J49" s="67">
        <v>0.10869565217391304</v>
      </c>
      <c r="K49" s="67">
        <v>6.5217391304347824E-2</v>
      </c>
      <c r="L49" s="67">
        <v>0.28644501278772377</v>
      </c>
      <c r="M49" s="67">
        <v>0.17391304347826086</v>
      </c>
      <c r="N49" s="67">
        <v>0.6428571428571429</v>
      </c>
      <c r="O49" s="67">
        <v>0.25</v>
      </c>
      <c r="P49" s="67">
        <v>0.4</v>
      </c>
    </row>
    <row r="50" spans="1:16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0.2907268170426065</v>
      </c>
      <c r="G50" s="67">
        <v>0.16791979949874686</v>
      </c>
      <c r="H50" s="68">
        <v>8953.4482758620688</v>
      </c>
      <c r="I50" s="68">
        <v>-7468.6567164179105</v>
      </c>
      <c r="J50" s="67">
        <v>0.1276595744680851</v>
      </c>
      <c r="K50" s="67">
        <v>6.3829787234042548E-2</v>
      </c>
      <c r="L50" s="67">
        <v>0.2832080200501253</v>
      </c>
      <c r="M50" s="67">
        <v>0.17794486215538846</v>
      </c>
      <c r="N50" s="67">
        <v>0.64601769911504425</v>
      </c>
      <c r="O50" s="67">
        <v>0.23943661971830985</v>
      </c>
      <c r="P50" s="67">
        <v>0.39655172413793105</v>
      </c>
    </row>
    <row r="51" spans="1:16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0.29280397022332505</v>
      </c>
      <c r="G51" s="67">
        <v>0.16625310173697269</v>
      </c>
      <c r="H51" s="68">
        <v>9089.8305084745771</v>
      </c>
      <c r="I51" s="68">
        <v>-7468.6567164179105</v>
      </c>
      <c r="J51" s="67">
        <v>0.125</v>
      </c>
      <c r="K51" s="67">
        <v>8.3333333333333329E-2</v>
      </c>
      <c r="L51" s="67">
        <v>0.28287841191066998</v>
      </c>
      <c r="M51" s="67">
        <v>0.17617866004962779</v>
      </c>
      <c r="N51" s="67">
        <v>0.64912280701754388</v>
      </c>
      <c r="O51" s="67">
        <v>0.23943661971830985</v>
      </c>
      <c r="P51" s="67">
        <v>0.38983050847457629</v>
      </c>
    </row>
    <row r="52" spans="1:16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0.28850855745721271</v>
      </c>
      <c r="G52" s="67">
        <v>0.1687041564792176</v>
      </c>
      <c r="H52" s="68">
        <v>9089.8305084745771</v>
      </c>
      <c r="I52" s="68">
        <v>-7600</v>
      </c>
      <c r="J52" s="67">
        <v>0.14285714285714285</v>
      </c>
      <c r="K52" s="67">
        <v>8.1632653061224483E-2</v>
      </c>
      <c r="L52" s="67">
        <v>0.27872860635696822</v>
      </c>
      <c r="M52" s="67">
        <v>0.17603911980440098</v>
      </c>
      <c r="N52" s="67">
        <v>0.64912280701754388</v>
      </c>
      <c r="O52" s="67">
        <v>0.2361111111111111</v>
      </c>
      <c r="P52" s="67">
        <v>0.38983050847457629</v>
      </c>
    </row>
    <row r="53" spans="1:16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0.28708133971291866</v>
      </c>
      <c r="G53" s="67">
        <v>0.16985645933014354</v>
      </c>
      <c r="H53" s="68">
        <v>9155</v>
      </c>
      <c r="I53" s="68">
        <v>-7530.9859154929582</v>
      </c>
      <c r="J53" s="67">
        <v>0.14000000000000001</v>
      </c>
      <c r="K53" s="67">
        <v>0.08</v>
      </c>
      <c r="L53" s="67">
        <v>0.28468899521531099</v>
      </c>
      <c r="M53" s="67">
        <v>0.17224880382775121</v>
      </c>
      <c r="N53" s="67">
        <v>0.6386554621848739</v>
      </c>
      <c r="O53" s="67">
        <v>0.2361111111111111</v>
      </c>
      <c r="P53" s="67">
        <v>0.39166666666666666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19C01-C060-4524-8191-589907D59585}">
  <sheetPr codeName="Sheet8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  <row r="44" spans="1:16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0.33841463414634149</v>
      </c>
      <c r="M44" s="67">
        <v>0.24390243902439024</v>
      </c>
      <c r="N44" s="67">
        <v>0.63963963963963966</v>
      </c>
      <c r="O44" s="67">
        <v>0.5625</v>
      </c>
      <c r="P44" s="67">
        <v>0.39855072463768115</v>
      </c>
    </row>
    <row r="45" spans="1:16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0.33832335329341318</v>
      </c>
      <c r="M45" s="67">
        <v>0.23952095808383234</v>
      </c>
      <c r="N45" s="67">
        <v>0.63716814159292035</v>
      </c>
      <c r="O45" s="67">
        <v>0.5625</v>
      </c>
      <c r="P45" s="67">
        <v>0.3971631205673759</v>
      </c>
    </row>
    <row r="46" spans="1:16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0.41935483870967744</v>
      </c>
      <c r="G46" s="67">
        <v>0.1466275659824047</v>
      </c>
      <c r="H46" s="68">
        <v>9323.0769230769238</v>
      </c>
      <c r="I46" s="68">
        <v>-7844</v>
      </c>
      <c r="J46" s="67">
        <v>2.3255813953488372E-2</v>
      </c>
      <c r="K46" s="67">
        <v>0.20930232558139536</v>
      </c>
      <c r="L46" s="67">
        <v>0.33724340175953077</v>
      </c>
      <c r="M46" s="67">
        <v>0.2404692082111437</v>
      </c>
      <c r="N46" s="67">
        <v>0.63478260869565217</v>
      </c>
      <c r="O46" s="67">
        <v>0.56097560975609762</v>
      </c>
      <c r="P46" s="67">
        <v>0.40559440559440557</v>
      </c>
    </row>
    <row r="47" spans="1:16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0.42241379310344829</v>
      </c>
      <c r="G47" s="67">
        <v>0.14655172413793102</v>
      </c>
      <c r="H47" s="68">
        <v>9407.4829931972781</v>
      </c>
      <c r="I47" s="68">
        <v>-7925.4901960784309</v>
      </c>
      <c r="J47" s="67">
        <v>2.2727272727272728E-2</v>
      </c>
      <c r="K47" s="67">
        <v>0.22727272727272727</v>
      </c>
      <c r="L47" s="67">
        <v>0.33908045977011492</v>
      </c>
      <c r="M47" s="67">
        <v>0.2413793103448276</v>
      </c>
      <c r="N47" s="67">
        <v>0.64406779661016944</v>
      </c>
      <c r="O47" s="67">
        <v>0.55952380952380953</v>
      </c>
      <c r="P47" s="67">
        <v>0.39455782312925169</v>
      </c>
    </row>
    <row r="48" spans="1:16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0.42134831460674155</v>
      </c>
      <c r="G48" s="67">
        <v>0.14606741573033707</v>
      </c>
      <c r="H48" s="68">
        <v>9310.6666666666661</v>
      </c>
      <c r="I48" s="68">
        <v>-7823.0769230769229</v>
      </c>
      <c r="J48" s="67">
        <v>2.2222222222222223E-2</v>
      </c>
      <c r="K48" s="67">
        <v>0.22222222222222221</v>
      </c>
      <c r="L48" s="67">
        <v>0.3398876404494382</v>
      </c>
      <c r="M48" s="67">
        <v>0.2443820224719101</v>
      </c>
      <c r="N48" s="67">
        <v>0.64462809917355368</v>
      </c>
      <c r="O48" s="67">
        <v>0.55172413793103448</v>
      </c>
      <c r="P48" s="67">
        <v>0.39333333333333331</v>
      </c>
    </row>
    <row r="49" spans="1:16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0.41944444444444445</v>
      </c>
      <c r="G49" s="67">
        <v>0.14722222222222223</v>
      </c>
      <c r="H49" s="68">
        <v>9407.9470198675499</v>
      </c>
      <c r="I49" s="68">
        <v>-8015.0943396226412</v>
      </c>
      <c r="J49" s="67">
        <v>2.1739130434782608E-2</v>
      </c>
      <c r="K49" s="67">
        <v>0.21739130434782608</v>
      </c>
      <c r="L49" s="67">
        <v>0.33888888888888891</v>
      </c>
      <c r="M49" s="67">
        <v>0.25</v>
      </c>
      <c r="N49" s="67">
        <v>0.64754098360655743</v>
      </c>
      <c r="O49" s="67">
        <v>0.53333333333333333</v>
      </c>
      <c r="P49" s="67">
        <v>0.39072847682119205</v>
      </c>
    </row>
    <row r="50" spans="1:16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0.42349726775956287</v>
      </c>
      <c r="G50" s="67">
        <v>0.1448087431693989</v>
      </c>
      <c r="H50" s="68">
        <v>9387.0967741935492</v>
      </c>
      <c r="I50" s="68">
        <v>-8015.0943396226412</v>
      </c>
      <c r="J50" s="67">
        <v>2.1276595744680851E-2</v>
      </c>
      <c r="K50" s="67">
        <v>0.23404255319148937</v>
      </c>
      <c r="L50" s="67">
        <v>0.33606557377049179</v>
      </c>
      <c r="M50" s="67">
        <v>0.25409836065573771</v>
      </c>
      <c r="N50" s="67">
        <v>0.65040650406504064</v>
      </c>
      <c r="O50" s="67">
        <v>0.54838709677419351</v>
      </c>
      <c r="P50" s="67">
        <v>0.3935483870967742</v>
      </c>
    </row>
    <row r="51" spans="1:16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0.42021276595744683</v>
      </c>
      <c r="G51" s="67">
        <v>0.14627659574468085</v>
      </c>
      <c r="H51" s="68">
        <v>9332.9113924050635</v>
      </c>
      <c r="I51" s="68">
        <v>-8087.272727272727</v>
      </c>
      <c r="J51" s="67">
        <v>2.0833333333333332E-2</v>
      </c>
      <c r="K51" s="67">
        <v>0.22916666666666666</v>
      </c>
      <c r="L51" s="67">
        <v>0.33510638297872342</v>
      </c>
      <c r="M51" s="67">
        <v>0.25797872340425532</v>
      </c>
      <c r="N51" s="67">
        <v>0.65079365079365081</v>
      </c>
      <c r="O51" s="67">
        <v>0.53608247422680411</v>
      </c>
      <c r="P51" s="67">
        <v>0.39873417721518989</v>
      </c>
    </row>
    <row r="52" spans="1:16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0.42297650130548303</v>
      </c>
      <c r="G52" s="67">
        <v>0.14360313315926893</v>
      </c>
      <c r="H52" s="68">
        <v>9259.2592592592591</v>
      </c>
      <c r="I52" s="68">
        <v>-8087.272727272727</v>
      </c>
      <c r="J52" s="67">
        <v>2.0408163265306121E-2</v>
      </c>
      <c r="K52" s="67">
        <v>0.22448979591836735</v>
      </c>
      <c r="L52" s="67">
        <v>0.33420365535248042</v>
      </c>
      <c r="M52" s="67">
        <v>0.25587467362924282</v>
      </c>
      <c r="N52" s="67">
        <v>0.65625</v>
      </c>
      <c r="O52" s="67">
        <v>0.54081632653061229</v>
      </c>
      <c r="P52" s="67">
        <v>0.39506172839506171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E69B-EE86-48EF-93F6-252BE66C61B3}">
  <sheetPr codeName="Sheet6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147</v>
      </c>
      <c r="G2" s="70" t="s">
        <v>146</v>
      </c>
      <c r="H2" s="70" t="s">
        <v>5</v>
      </c>
      <c r="I2" s="70" t="s">
        <v>17</v>
      </c>
      <c r="J2" s="70" t="s">
        <v>18</v>
      </c>
      <c r="K2" s="70" t="s">
        <v>141</v>
      </c>
      <c r="L2" s="70" t="s">
        <v>123</v>
      </c>
      <c r="M2" s="70" t="s">
        <v>120</v>
      </c>
      <c r="N2" s="70" t="s">
        <v>126</v>
      </c>
      <c r="O2" s="70" t="s">
        <v>148</v>
      </c>
      <c r="P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  <row r="62" spans="1:16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0.29878048780487804</v>
      </c>
      <c r="G62" s="67">
        <v>0.17886178861788618</v>
      </c>
      <c r="H62" s="68">
        <v>8188.4353741496598</v>
      </c>
      <c r="I62" s="68">
        <v>-7929.545454545455</v>
      </c>
      <c r="J62" s="67">
        <v>8.4745762711864403E-2</v>
      </c>
      <c r="K62" s="67">
        <v>8.4745762711864403E-2</v>
      </c>
      <c r="L62" s="67">
        <v>0.26016260162601629</v>
      </c>
      <c r="M62" s="67">
        <v>0.21409214092140921</v>
      </c>
      <c r="N62" s="67">
        <v>0.59114583333333337</v>
      </c>
      <c r="O62" s="67">
        <v>0.379746835443038</v>
      </c>
      <c r="P62" s="67">
        <v>0.39455782312925169</v>
      </c>
    </row>
    <row r="63" spans="1:16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0.29866666666666669</v>
      </c>
      <c r="G63" s="67">
        <v>0.17799999999999999</v>
      </c>
      <c r="H63" s="68">
        <v>8133.2589285714284</v>
      </c>
      <c r="I63" s="68">
        <v>-7889.8876404494385</v>
      </c>
      <c r="J63" s="67">
        <v>8.3333333333333329E-2</v>
      </c>
      <c r="K63" s="67">
        <v>8.3333333333333329E-2</v>
      </c>
      <c r="L63" s="67">
        <v>0.26266666666666666</v>
      </c>
      <c r="M63" s="67">
        <v>0.21133333333333335</v>
      </c>
      <c r="N63" s="67">
        <v>0.58629441624365486</v>
      </c>
      <c r="O63" s="67">
        <v>0.38170347003154576</v>
      </c>
      <c r="P63" s="67">
        <v>0.39732142857142855</v>
      </c>
    </row>
    <row r="64" spans="1:16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0.29921259842519687</v>
      </c>
      <c r="G64" s="67">
        <v>0.17847769028871391</v>
      </c>
      <c r="H64" s="68">
        <v>8106.5789473684208</v>
      </c>
      <c r="I64" s="68">
        <v>-7872.7941176470586</v>
      </c>
      <c r="J64" s="67">
        <v>8.1967213114754092E-2</v>
      </c>
      <c r="K64" s="67">
        <v>8.1967213114754092E-2</v>
      </c>
      <c r="L64" s="67">
        <v>0.26181102362204722</v>
      </c>
      <c r="M64" s="67">
        <v>0.2125984251968504</v>
      </c>
      <c r="N64" s="67">
        <v>0.58897243107769426</v>
      </c>
      <c r="O64" s="67">
        <v>0.38271604938271603</v>
      </c>
      <c r="P64" s="67">
        <v>0.39692982456140352</v>
      </c>
    </row>
    <row r="65" spans="1:16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0.29961089494163423</v>
      </c>
      <c r="G65" s="67">
        <v>0.17833981841763943</v>
      </c>
      <c r="H65" s="68">
        <v>8109.7402597402597</v>
      </c>
      <c r="I65" s="68">
        <v>-7903.272727272727</v>
      </c>
      <c r="J65" s="67">
        <v>8.0645161290322578E-2</v>
      </c>
      <c r="K65" s="67">
        <v>8.0645161290322578E-2</v>
      </c>
      <c r="L65" s="67">
        <v>0.26134889753566798</v>
      </c>
      <c r="M65" s="67">
        <v>0.21141374837872892</v>
      </c>
      <c r="N65" s="67">
        <v>0.59057071960297769</v>
      </c>
      <c r="O65" s="67">
        <v>0.38650306748466257</v>
      </c>
      <c r="P65" s="67">
        <v>0.39826839826839827</v>
      </c>
    </row>
    <row r="66" spans="1:16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</v>
      </c>
      <c r="G66" s="67">
        <v>0.17884615384615385</v>
      </c>
      <c r="H66" s="68">
        <v>8095.2991452991455</v>
      </c>
      <c r="I66" s="68">
        <v>-7883.8709677419356</v>
      </c>
      <c r="J66" s="67">
        <v>7.9365079365079361E-2</v>
      </c>
      <c r="K66" s="67">
        <v>7.9365079365079361E-2</v>
      </c>
      <c r="L66" s="67">
        <v>0.25961538461538464</v>
      </c>
      <c r="M66" s="67">
        <v>0.20961538461538462</v>
      </c>
      <c r="N66" s="67">
        <v>0.59012345679012346</v>
      </c>
      <c r="O66" s="67">
        <v>0.38532110091743121</v>
      </c>
      <c r="P66" s="67">
        <v>0.39743589743589741</v>
      </c>
    </row>
    <row r="67" spans="1:16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0.30044275774826057</v>
      </c>
      <c r="G67" s="67">
        <v>0.17773561037318153</v>
      </c>
      <c r="H67" s="68">
        <v>8209.4736842105267</v>
      </c>
      <c r="I67" s="68">
        <v>-7880.7829181494662</v>
      </c>
      <c r="J67" s="67">
        <v>8.3333333333333329E-2</v>
      </c>
      <c r="K67" s="67">
        <v>8.3333333333333329E-2</v>
      </c>
      <c r="L67" s="67">
        <v>0.25932953826691968</v>
      </c>
      <c r="M67" s="67">
        <v>0.21125869702719799</v>
      </c>
      <c r="N67" s="67">
        <v>0.59268292682926826</v>
      </c>
      <c r="O67" s="67">
        <v>0.38622754491017963</v>
      </c>
      <c r="P67" s="67">
        <v>0.40210526315789474</v>
      </c>
    </row>
    <row r="68" spans="1:16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0.30012300123001229</v>
      </c>
      <c r="G68" s="67">
        <v>0.17712177121771217</v>
      </c>
      <c r="H68" s="68">
        <v>8204.7131147540986</v>
      </c>
      <c r="I68" s="68">
        <v>-7851.7361111111113</v>
      </c>
      <c r="J68" s="67">
        <v>8.7179487179487175E-2</v>
      </c>
      <c r="K68" s="67">
        <v>8.7179487179487175E-2</v>
      </c>
      <c r="L68" s="67">
        <v>0.25645756457564578</v>
      </c>
      <c r="M68" s="67">
        <v>0.21217712177121772</v>
      </c>
      <c r="N68" s="67">
        <v>0.59472422062350117</v>
      </c>
      <c r="O68" s="67">
        <v>0.38550724637681161</v>
      </c>
      <c r="P68" s="67">
        <v>0.40163934426229508</v>
      </c>
    </row>
    <row r="69" spans="1:16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0.30054644808743169</v>
      </c>
      <c r="G69" s="67">
        <v>0.17789921068609593</v>
      </c>
      <c r="H69" s="68">
        <v>8227.878787878788</v>
      </c>
      <c r="I69" s="68">
        <v>-7928.3276450511948</v>
      </c>
      <c r="J69" s="67">
        <v>9.0909090909090912E-2</v>
      </c>
      <c r="K69" s="67">
        <v>9.0909090909090912E-2</v>
      </c>
      <c r="L69" s="67">
        <v>0.25622343655130542</v>
      </c>
      <c r="M69" s="67">
        <v>0.21250758955676988</v>
      </c>
      <c r="N69" s="67">
        <v>0.59715639810426535</v>
      </c>
      <c r="O69" s="67">
        <v>0.38857142857142857</v>
      </c>
      <c r="P69" s="67">
        <v>0.4</v>
      </c>
    </row>
    <row r="70" spans="1:16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0.2994047619047619</v>
      </c>
      <c r="G70" s="67">
        <v>0.1767857142857143</v>
      </c>
      <c r="H70" s="68">
        <v>8229.224652087476</v>
      </c>
      <c r="I70" s="68">
        <v>-7890.5723905723908</v>
      </c>
      <c r="J70" s="67">
        <v>8.9552238805970144E-2</v>
      </c>
      <c r="K70" s="67">
        <v>8.9552238805970144E-2</v>
      </c>
      <c r="L70" s="67">
        <v>0.25535714285714284</v>
      </c>
      <c r="M70" s="67">
        <v>0.21309523809523809</v>
      </c>
      <c r="N70" s="67">
        <v>0.5990675990675991</v>
      </c>
      <c r="O70" s="67">
        <v>0.38547486033519551</v>
      </c>
      <c r="P70" s="67">
        <v>0.40159045725646125</v>
      </c>
    </row>
    <row r="71" spans="1:16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0.29929577464788731</v>
      </c>
      <c r="G71" s="67">
        <v>0.17664319248826291</v>
      </c>
      <c r="H71" s="68">
        <v>8230.5882352941171</v>
      </c>
      <c r="I71" s="68">
        <v>-7872.7574750830563</v>
      </c>
      <c r="J71" s="67">
        <v>9.3137254901960786E-2</v>
      </c>
      <c r="K71" s="67">
        <v>9.3137254901960786E-2</v>
      </c>
      <c r="L71" s="67">
        <v>0.25586854460093894</v>
      </c>
      <c r="M71" s="67">
        <v>0.21478873239436619</v>
      </c>
      <c r="N71" s="67">
        <v>0.60321100917431192</v>
      </c>
      <c r="O71" s="67">
        <v>0.3797814207650273</v>
      </c>
      <c r="P71" s="67">
        <v>0.40196078431372551</v>
      </c>
    </row>
    <row r="72" spans="1:16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0.29895104895104896</v>
      </c>
      <c r="G72" s="67">
        <v>0.17715617715617715</v>
      </c>
      <c r="H72" s="68">
        <v>8295.5165692007795</v>
      </c>
      <c r="I72" s="68">
        <v>-7985.855263157895</v>
      </c>
      <c r="J72" s="67">
        <v>9.6618357487922704E-2</v>
      </c>
      <c r="K72" s="67">
        <v>9.6618357487922704E-2</v>
      </c>
      <c r="L72" s="67">
        <v>0.25524475524475526</v>
      </c>
      <c r="M72" s="67">
        <v>0.21561771561771562</v>
      </c>
      <c r="N72" s="67">
        <v>0.60502283105022836</v>
      </c>
      <c r="O72" s="67">
        <v>0.37567567567567567</v>
      </c>
      <c r="P72" s="67">
        <v>0.39961013645224169</v>
      </c>
    </row>
    <row r="73" spans="1:16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0.29873125720876587</v>
      </c>
      <c r="G73" s="67">
        <v>0.17647058823529413</v>
      </c>
      <c r="H73" s="68">
        <v>8297.2972972972966</v>
      </c>
      <c r="I73" s="68">
        <v>-8012.0915032679741</v>
      </c>
      <c r="J73" s="67">
        <v>0.1</v>
      </c>
      <c r="K73" s="67">
        <v>0.1</v>
      </c>
      <c r="L73" s="67">
        <v>0.25490196078431371</v>
      </c>
      <c r="M73" s="67">
        <v>0.21626297577854672</v>
      </c>
      <c r="N73" s="67">
        <v>0.60407239819004521</v>
      </c>
      <c r="O73" s="67">
        <v>0.37866666666666665</v>
      </c>
      <c r="P73" s="67">
        <v>0.40154440154440152</v>
      </c>
    </row>
    <row r="74" spans="1:16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0.29869392390687111</v>
      </c>
      <c r="G74" s="67">
        <v>0.17603634298693924</v>
      </c>
      <c r="H74" s="68">
        <v>8281.3688212927755</v>
      </c>
      <c r="I74" s="68">
        <v>-8012.5806451612907</v>
      </c>
      <c r="J74" s="67">
        <v>9.8591549295774641E-2</v>
      </c>
      <c r="K74" s="67">
        <v>9.8591549295774641E-2</v>
      </c>
      <c r="L74" s="67">
        <v>0.2566723452583759</v>
      </c>
      <c r="M74" s="67">
        <v>0.21465076660988075</v>
      </c>
      <c r="N74" s="67">
        <v>0.60176991150442483</v>
      </c>
      <c r="O74" s="67">
        <v>0.38095238095238093</v>
      </c>
      <c r="P74" s="67">
        <v>0.40304182509505704</v>
      </c>
    </row>
    <row r="75" spans="1:16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0.2981574539363484</v>
      </c>
      <c r="G75" s="67">
        <v>0.17532104969290899</v>
      </c>
      <c r="H75" s="68">
        <v>8268.7265917602999</v>
      </c>
      <c r="I75" s="68">
        <v>-8005.0955414012742</v>
      </c>
      <c r="J75" s="67">
        <v>9.7222222222222224E-2</v>
      </c>
      <c r="K75" s="67">
        <v>9.7222222222222224E-2</v>
      </c>
      <c r="L75" s="67">
        <v>0.25572305974316023</v>
      </c>
      <c r="M75" s="67">
        <v>0.21887213847012843</v>
      </c>
      <c r="N75" s="67">
        <v>0.60043668122270744</v>
      </c>
      <c r="O75" s="67">
        <v>0.37755102040816324</v>
      </c>
      <c r="P75" s="67">
        <v>0.4044943820224719</v>
      </c>
    </row>
    <row r="76" spans="1:16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0.29911699779249445</v>
      </c>
      <c r="G76" s="67">
        <v>0.17494481236203091</v>
      </c>
      <c r="H76" s="68">
        <v>8251.8450184501853</v>
      </c>
      <c r="I76" s="68">
        <v>-7997.4763406940065</v>
      </c>
      <c r="J76" s="67">
        <v>9.5890410958904104E-2</v>
      </c>
      <c r="K76" s="67">
        <v>9.5890410958904104E-2</v>
      </c>
      <c r="L76" s="67">
        <v>0.25662251655629137</v>
      </c>
      <c r="M76" s="67">
        <v>0.217439293598234</v>
      </c>
      <c r="N76" s="67">
        <v>0.60430107526881716</v>
      </c>
      <c r="O76" s="67">
        <v>0.37817258883248733</v>
      </c>
      <c r="P76" s="67">
        <v>0.4059040590405904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</vt:vector>
  </HeadingPairs>
  <TitlesOfParts>
    <vt:vector size="42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2019-04-18T16:33:21Z</dcterms:modified>
</cp:coreProperties>
</file>