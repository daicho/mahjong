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10C2F72-2313-4ED1-A4E2-B9415435AB54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573" l="1"/>
  <c r="O18" i="5587"/>
  <c r="O16" i="5581"/>
  <c r="O15" i="5587"/>
  <c r="O15" i="5567" l="1"/>
  <c r="O15" i="5575"/>
  <c r="O15" i="5561"/>
  <c r="O16" i="5587"/>
  <c r="O17" i="5587"/>
  <c r="C27" i="5587"/>
  <c r="B24" i="5587"/>
  <c r="C20" i="5587"/>
  <c r="B17" i="5587"/>
  <c r="H50" i="5587" s="1"/>
  <c r="C16" i="5587"/>
  <c r="C15" i="5587"/>
  <c r="C14" i="5587"/>
  <c r="C13" i="5587"/>
  <c r="O12" i="5587"/>
  <c r="C12" i="5587"/>
  <c r="O11" i="5587"/>
  <c r="C11" i="5587"/>
  <c r="O10" i="5587"/>
  <c r="C10" i="5587"/>
  <c r="C9" i="5587"/>
  <c r="C8" i="5587"/>
  <c r="O7" i="5587"/>
  <c r="C7" i="5587"/>
  <c r="O6" i="5587"/>
  <c r="B6" i="5587"/>
  <c r="O5" i="5587"/>
  <c r="B5" i="5587"/>
  <c r="O4" i="5587"/>
  <c r="O3" i="5587"/>
  <c r="O2" i="5587"/>
  <c r="H2" i="5587" l="1"/>
  <c r="H16" i="5587"/>
  <c r="H25" i="5587"/>
  <c r="H9" i="5587"/>
  <c r="H39" i="5587"/>
  <c r="H4" i="5587"/>
  <c r="H40" i="5587"/>
  <c r="H22" i="5587"/>
  <c r="H8" i="5587"/>
  <c r="H10" i="5587"/>
  <c r="H17" i="5587"/>
  <c r="B23" i="5587"/>
  <c r="H31" i="5587"/>
  <c r="H48" i="5587"/>
  <c r="H5" i="5587"/>
  <c r="C18" i="5587"/>
  <c r="H32" i="5587"/>
  <c r="H47" i="5587"/>
  <c r="H12" i="5587"/>
  <c r="H14" i="5587"/>
  <c r="H19" i="5587"/>
  <c r="H35" i="5587"/>
  <c r="H43" i="5587"/>
  <c r="H51" i="5587"/>
  <c r="H27" i="5587"/>
  <c r="H3" i="5587"/>
  <c r="H6" i="5587"/>
  <c r="H11" i="5587"/>
  <c r="C17" i="5587"/>
  <c r="H24" i="5587"/>
  <c r="H28" i="5587"/>
  <c r="H36" i="5587"/>
  <c r="H44" i="5587"/>
  <c r="H52" i="5587"/>
  <c r="H18" i="5587"/>
  <c r="H20" i="5587"/>
  <c r="H23" i="5587"/>
  <c r="H26" i="5587"/>
  <c r="H29" i="5587"/>
  <c r="H33" i="5587"/>
  <c r="H37" i="5587"/>
  <c r="H41" i="5587"/>
  <c r="H45" i="5587"/>
  <c r="H49" i="5587"/>
  <c r="H7" i="5587"/>
  <c r="H13" i="5587"/>
  <c r="H15" i="5587"/>
  <c r="C19" i="5587"/>
  <c r="H21" i="5587"/>
  <c r="H30" i="5587"/>
  <c r="H34" i="5587"/>
  <c r="H38" i="5587"/>
  <c r="H42" i="5587"/>
  <c r="H46" i="5587"/>
  <c r="O23" i="5579" l="1"/>
  <c r="O15" i="5585"/>
  <c r="O22" i="5581" l="1"/>
  <c r="O17" i="5567"/>
  <c r="O24" i="5573" l="1"/>
  <c r="O15" i="5579"/>
  <c r="O25" i="5563" l="1"/>
  <c r="O17" i="5585"/>
  <c r="O16" i="5567" l="1"/>
  <c r="O23" i="5571"/>
  <c r="O26" i="5561"/>
  <c r="O18" i="5585"/>
  <c r="O16" i="5585"/>
  <c r="C27" i="5585"/>
  <c r="B24" i="5585"/>
  <c r="C20" i="5585"/>
  <c r="B17" i="5585"/>
  <c r="H52" i="5585" s="1"/>
  <c r="C16" i="5585"/>
  <c r="C15" i="5585"/>
  <c r="C14" i="5585"/>
  <c r="C13" i="5585"/>
  <c r="O12" i="5585"/>
  <c r="C12" i="5585"/>
  <c r="O11" i="5585"/>
  <c r="C11" i="5585"/>
  <c r="O10" i="5585"/>
  <c r="H10" i="5585"/>
  <c r="C10" i="5585"/>
  <c r="C9" i="5585"/>
  <c r="H8" i="5585"/>
  <c r="C8" i="5585"/>
  <c r="O7" i="5585"/>
  <c r="C7" i="5585"/>
  <c r="O6" i="5585"/>
  <c r="B6" i="5585"/>
  <c r="O5" i="5585"/>
  <c r="B5" i="5585"/>
  <c r="O4" i="5585"/>
  <c r="H4" i="5585"/>
  <c r="O3" i="5585"/>
  <c r="O2" i="5585"/>
  <c r="H2" i="5585"/>
  <c r="O15" i="5583"/>
  <c r="O16" i="5583"/>
  <c r="C27" i="5583"/>
  <c r="B24" i="5583"/>
  <c r="C20" i="5583"/>
  <c r="B17" i="5583"/>
  <c r="H52" i="5583" s="1"/>
  <c r="C16" i="5583"/>
  <c r="C15" i="5583"/>
  <c r="C14" i="5583"/>
  <c r="C13" i="5583"/>
  <c r="O12" i="5583"/>
  <c r="C12" i="5583"/>
  <c r="O11" i="5583"/>
  <c r="C11" i="5583"/>
  <c r="O10" i="5583"/>
  <c r="C10" i="5583"/>
  <c r="C9" i="5583"/>
  <c r="C8" i="5583"/>
  <c r="O7" i="5583"/>
  <c r="C7" i="5583"/>
  <c r="O6" i="5583"/>
  <c r="B6" i="5583"/>
  <c r="O5" i="5583"/>
  <c r="B5" i="5583"/>
  <c r="O4" i="5583"/>
  <c r="O3" i="5583"/>
  <c r="O2" i="5583"/>
  <c r="O23" i="5569"/>
  <c r="O16" i="5563"/>
  <c r="O25" i="5561"/>
  <c r="C17" i="5585" l="1"/>
  <c r="H20" i="5585"/>
  <c r="H26" i="5585"/>
  <c r="H33" i="5585"/>
  <c r="H37" i="5585"/>
  <c r="H45" i="5585"/>
  <c r="H15" i="5585"/>
  <c r="C19" i="5585"/>
  <c r="H30" i="5585"/>
  <c r="H34" i="5585"/>
  <c r="H38" i="5585"/>
  <c r="H42" i="5585"/>
  <c r="H50" i="5585"/>
  <c r="H3" i="5585"/>
  <c r="H6" i="5585"/>
  <c r="H9" i="5585"/>
  <c r="H12" i="5585"/>
  <c r="H17" i="5585"/>
  <c r="H19" i="5585"/>
  <c r="H22" i="5585"/>
  <c r="H24" i="5585"/>
  <c r="H27" i="5585"/>
  <c r="H31" i="5585"/>
  <c r="H35" i="5585"/>
  <c r="H39" i="5585"/>
  <c r="H43" i="5585"/>
  <c r="H47" i="5585"/>
  <c r="H51" i="5585"/>
  <c r="H18" i="5585"/>
  <c r="H23" i="5585"/>
  <c r="H29" i="5585"/>
  <c r="H41" i="5585"/>
  <c r="H49" i="5585"/>
  <c r="H7" i="5585"/>
  <c r="H13" i="5585"/>
  <c r="H21" i="5585"/>
  <c r="H46" i="5585"/>
  <c r="H5" i="5585"/>
  <c r="H11" i="5585"/>
  <c r="H14" i="5585"/>
  <c r="H16" i="5585"/>
  <c r="C18" i="5585"/>
  <c r="B23" i="5585"/>
  <c r="H25" i="5585"/>
  <c r="H28" i="5585"/>
  <c r="H32" i="5585"/>
  <c r="H36" i="5585"/>
  <c r="H40" i="5585"/>
  <c r="H44" i="5585"/>
  <c r="H48" i="5585"/>
  <c r="C17" i="5583"/>
  <c r="H4" i="5583"/>
  <c r="H10" i="5583"/>
  <c r="H2" i="5583"/>
  <c r="H8" i="5583"/>
  <c r="H18" i="5583"/>
  <c r="H20" i="5583"/>
  <c r="H23" i="5583"/>
  <c r="H26" i="5583"/>
  <c r="H29" i="5583"/>
  <c r="H33" i="5583"/>
  <c r="H37" i="5583"/>
  <c r="H41" i="5583"/>
  <c r="H45" i="5583"/>
  <c r="H49" i="5583"/>
  <c r="H7" i="5583"/>
  <c r="H13" i="5583"/>
  <c r="H15" i="5583"/>
  <c r="C19" i="5583"/>
  <c r="H21" i="5583"/>
  <c r="H30" i="5583"/>
  <c r="H34" i="5583"/>
  <c r="H38" i="5583"/>
  <c r="H42" i="5583"/>
  <c r="H46" i="5583"/>
  <c r="H50" i="5583"/>
  <c r="H3" i="5583"/>
  <c r="H6" i="5583"/>
  <c r="H9" i="5583"/>
  <c r="H12" i="5583"/>
  <c r="H17" i="5583"/>
  <c r="H19" i="5583"/>
  <c r="H22" i="5583"/>
  <c r="H24" i="5583"/>
  <c r="H27" i="5583"/>
  <c r="H31" i="5583"/>
  <c r="H35" i="5583"/>
  <c r="H39" i="5583"/>
  <c r="H43" i="5583"/>
  <c r="H47" i="5583"/>
  <c r="H51" i="5583"/>
  <c r="H5" i="5583"/>
  <c r="H11" i="5583"/>
  <c r="H14" i="5583"/>
  <c r="H16" i="5583"/>
  <c r="C18" i="5583"/>
  <c r="B23" i="5583"/>
  <c r="H25" i="5583"/>
  <c r="H28" i="5583"/>
  <c r="H32" i="5583"/>
  <c r="H36" i="5583"/>
  <c r="H40" i="5583"/>
  <c r="H44" i="5583"/>
  <c r="H48" i="5583"/>
  <c r="O15" i="5571" l="1"/>
  <c r="O21" i="5579"/>
  <c r="O21" i="5581" l="1"/>
  <c r="O20" i="5581"/>
  <c r="O18" i="5575"/>
  <c r="O21" i="5565"/>
  <c r="O24" i="5563" l="1"/>
  <c r="O18" i="5581"/>
  <c r="O23" i="5573"/>
  <c r="O15" i="5581"/>
  <c r="O19" i="5581" l="1"/>
  <c r="O17" i="5581"/>
  <c r="C27" i="5581"/>
  <c r="B24" i="5581"/>
  <c r="C20" i="5581"/>
  <c r="B17" i="5581"/>
  <c r="H51" i="5581" s="1"/>
  <c r="C16" i="5581"/>
  <c r="C15" i="5581"/>
  <c r="C14" i="5581"/>
  <c r="C13" i="5581"/>
  <c r="O12" i="5581"/>
  <c r="C12" i="5581"/>
  <c r="O11" i="5581"/>
  <c r="C11" i="5581"/>
  <c r="O10" i="5581"/>
  <c r="C10" i="5581"/>
  <c r="C9" i="5581"/>
  <c r="C8" i="5581"/>
  <c r="O7" i="5581"/>
  <c r="C7" i="5581"/>
  <c r="O6" i="5581"/>
  <c r="B6" i="5581"/>
  <c r="O5" i="5581"/>
  <c r="B5" i="5581"/>
  <c r="O4" i="5581"/>
  <c r="O3" i="5581"/>
  <c r="O2" i="5581"/>
  <c r="O21" i="5569"/>
  <c r="O21" i="5571"/>
  <c r="O23" i="5561"/>
  <c r="H8" i="5581" l="1"/>
  <c r="H2" i="5581"/>
  <c r="H14" i="5581"/>
  <c r="H52" i="5581"/>
  <c r="H25" i="5581"/>
  <c r="C18" i="5581"/>
  <c r="H11" i="5581"/>
  <c r="H36" i="5581"/>
  <c r="H4" i="5581"/>
  <c r="H10" i="5581"/>
  <c r="H16" i="5581"/>
  <c r="H40" i="5581"/>
  <c r="B23" i="5581"/>
  <c r="H44" i="5581"/>
  <c r="H28" i="5581"/>
  <c r="H5" i="5581"/>
  <c r="C17" i="5581"/>
  <c r="H32" i="5581"/>
  <c r="H48" i="5581"/>
  <c r="H20" i="5581"/>
  <c r="H26" i="5581"/>
  <c r="H29" i="5581"/>
  <c r="H37" i="5581"/>
  <c r="H41" i="5581"/>
  <c r="H45" i="5581"/>
  <c r="H7" i="5581"/>
  <c r="H13" i="5581"/>
  <c r="H15" i="5581"/>
  <c r="C19" i="5581"/>
  <c r="H21" i="5581"/>
  <c r="H30" i="5581"/>
  <c r="H34" i="5581"/>
  <c r="H38" i="5581"/>
  <c r="H42" i="5581"/>
  <c r="H46" i="5581"/>
  <c r="H50" i="5581"/>
  <c r="H18" i="5581"/>
  <c r="H23" i="5581"/>
  <c r="H33" i="5581"/>
  <c r="H49" i="5581"/>
  <c r="H3" i="5581"/>
  <c r="H6" i="5581"/>
  <c r="H9" i="5581"/>
  <c r="H12" i="5581"/>
  <c r="H17" i="5581"/>
  <c r="H19" i="5581"/>
  <c r="H22" i="5581"/>
  <c r="H24" i="5581"/>
  <c r="H27" i="5581"/>
  <c r="H31" i="5581"/>
  <c r="H35" i="5581"/>
  <c r="H39" i="5581"/>
  <c r="H43" i="5581"/>
  <c r="H47" i="5581"/>
  <c r="O18" i="5571" l="1"/>
  <c r="O18" i="5567"/>
  <c r="O22" i="5575"/>
  <c r="O21" i="5575"/>
  <c r="O17" i="5563" l="1"/>
  <c r="O20" i="5579"/>
  <c r="O18" i="5579" l="1"/>
  <c r="O16" i="5579"/>
  <c r="O16" i="5569"/>
  <c r="O24" i="5567"/>
  <c r="O17" i="5577" l="1"/>
  <c r="O22" i="5573"/>
  <c r="O15" i="5577"/>
  <c r="O22" i="5579"/>
  <c r="O15" i="5565"/>
  <c r="O19" i="5575"/>
  <c r="O16" i="5561"/>
  <c r="O19" i="5579"/>
  <c r="O17" i="5579"/>
  <c r="C27" i="5579"/>
  <c r="B24" i="5579"/>
  <c r="C20" i="5579"/>
  <c r="B17" i="5579"/>
  <c r="H52" i="5579" s="1"/>
  <c r="C16" i="5579"/>
  <c r="C15" i="5579"/>
  <c r="C14" i="5579"/>
  <c r="C13" i="5579"/>
  <c r="O12" i="5579"/>
  <c r="C12" i="5579"/>
  <c r="O11" i="5579"/>
  <c r="C11" i="5579"/>
  <c r="O10" i="5579"/>
  <c r="C10" i="5579"/>
  <c r="C9" i="5579"/>
  <c r="C8" i="5579"/>
  <c r="O7" i="5579"/>
  <c r="C7" i="5579"/>
  <c r="O6" i="5579"/>
  <c r="B6" i="5579"/>
  <c r="O5" i="5579"/>
  <c r="B5" i="5579"/>
  <c r="O4" i="5579"/>
  <c r="O3" i="5579"/>
  <c r="O2" i="5579"/>
  <c r="O16" i="5577"/>
  <c r="O18" i="5577"/>
  <c r="C27" i="5577"/>
  <c r="B24" i="5577"/>
  <c r="C20" i="5577"/>
  <c r="B17" i="5577"/>
  <c r="H50" i="5577" s="1"/>
  <c r="C16" i="5577"/>
  <c r="C15" i="5577"/>
  <c r="C14" i="5577"/>
  <c r="C13" i="5577"/>
  <c r="O12" i="5577"/>
  <c r="C12" i="5577"/>
  <c r="O11" i="5577"/>
  <c r="C11" i="5577"/>
  <c r="O10" i="5577"/>
  <c r="C10" i="5577"/>
  <c r="C9" i="5577"/>
  <c r="C8" i="5577"/>
  <c r="O7" i="5577"/>
  <c r="C7" i="5577"/>
  <c r="O6" i="5577"/>
  <c r="B6" i="5577"/>
  <c r="O5" i="5577"/>
  <c r="B5" i="5577"/>
  <c r="O4" i="5577"/>
  <c r="O3" i="5577"/>
  <c r="O2" i="5577"/>
  <c r="O23" i="5575"/>
  <c r="O24" i="5575"/>
  <c r="O15" i="5563"/>
  <c r="O20" i="5563"/>
  <c r="O27" i="5561"/>
  <c r="H10" i="5579" l="1"/>
  <c r="H4" i="5579"/>
  <c r="H2" i="5579"/>
  <c r="H8" i="5579"/>
  <c r="H32" i="5577"/>
  <c r="H40" i="5577"/>
  <c r="H2" i="5577"/>
  <c r="H9" i="5577"/>
  <c r="B23" i="5577"/>
  <c r="H16" i="5577"/>
  <c r="H48" i="5577"/>
  <c r="H4" i="5577"/>
  <c r="H12" i="5577"/>
  <c r="C18" i="5577"/>
  <c r="H27" i="5577"/>
  <c r="H51" i="5577"/>
  <c r="H14" i="5577"/>
  <c r="H19" i="5577"/>
  <c r="H43" i="5577"/>
  <c r="H3" i="5577"/>
  <c r="H11" i="5577"/>
  <c r="H36" i="5577"/>
  <c r="H52" i="5577"/>
  <c r="H35" i="5577"/>
  <c r="H6" i="5577"/>
  <c r="C17" i="5577"/>
  <c r="H24" i="5577"/>
  <c r="H28" i="5577"/>
  <c r="H44" i="5577"/>
  <c r="H5" i="5577"/>
  <c r="H8" i="5577"/>
  <c r="H10" i="5577"/>
  <c r="H17" i="5577"/>
  <c r="H22" i="5577"/>
  <c r="H25" i="5577"/>
  <c r="H31" i="5577"/>
  <c r="H39" i="5577"/>
  <c r="H47" i="5577"/>
  <c r="C17" i="5579"/>
  <c r="H20" i="5579"/>
  <c r="H29" i="5579"/>
  <c r="H37" i="5579"/>
  <c r="H41" i="5579"/>
  <c r="H7" i="5579"/>
  <c r="H13" i="5579"/>
  <c r="H15" i="5579"/>
  <c r="C19" i="5579"/>
  <c r="H21" i="5579"/>
  <c r="H30" i="5579"/>
  <c r="H34" i="5579"/>
  <c r="H38" i="5579"/>
  <c r="H42" i="5579"/>
  <c r="H46" i="5579"/>
  <c r="H50" i="5579"/>
  <c r="H23" i="5579"/>
  <c r="H33" i="5579"/>
  <c r="H45" i="5579"/>
  <c r="H3" i="5579"/>
  <c r="H6" i="5579"/>
  <c r="H9" i="5579"/>
  <c r="H12" i="5579"/>
  <c r="H17" i="5579"/>
  <c r="H19" i="5579"/>
  <c r="H22" i="5579"/>
  <c r="H24" i="5579"/>
  <c r="H27" i="5579"/>
  <c r="H31" i="5579"/>
  <c r="H35" i="5579"/>
  <c r="H39" i="5579"/>
  <c r="H43" i="5579"/>
  <c r="H47" i="5579"/>
  <c r="H51" i="5579"/>
  <c r="H18" i="5579"/>
  <c r="H26" i="5579"/>
  <c r="H49" i="5579"/>
  <c r="H5" i="5579"/>
  <c r="H11" i="5579"/>
  <c r="H14" i="5579"/>
  <c r="H16" i="5579"/>
  <c r="C18" i="5579"/>
  <c r="B23" i="5579"/>
  <c r="H25" i="5579"/>
  <c r="H28" i="5579"/>
  <c r="H32" i="5579"/>
  <c r="H36" i="5579"/>
  <c r="H40" i="5579"/>
  <c r="H44" i="5579"/>
  <c r="H48" i="5579"/>
  <c r="H18" i="5577"/>
  <c r="H20" i="5577"/>
  <c r="H23" i="5577"/>
  <c r="H26" i="5577"/>
  <c r="H29" i="5577"/>
  <c r="H33" i="5577"/>
  <c r="H37" i="5577"/>
  <c r="H41" i="5577"/>
  <c r="H45" i="5577"/>
  <c r="H49" i="5577"/>
  <c r="H7" i="5577"/>
  <c r="H13" i="5577"/>
  <c r="H15" i="5577"/>
  <c r="C19" i="5577"/>
  <c r="H21" i="5577"/>
  <c r="H30" i="5577"/>
  <c r="H34" i="5577"/>
  <c r="H38" i="5577"/>
  <c r="H42" i="5577"/>
  <c r="H46" i="5577"/>
  <c r="O17" i="5575" l="1"/>
  <c r="O20" i="5573"/>
  <c r="O18" i="5573"/>
  <c r="O16" i="5565"/>
  <c r="O17" i="5571" l="1"/>
  <c r="O17" i="5569"/>
  <c r="O17" i="5573"/>
  <c r="O19" i="5573"/>
  <c r="O16" i="5571" l="1"/>
  <c r="O15" i="5569"/>
  <c r="O21" i="5567"/>
  <c r="O20" i="5567"/>
  <c r="O16" i="5575"/>
  <c r="O20" i="5575"/>
  <c r="C27" i="5575"/>
  <c r="B24" i="5575"/>
  <c r="C20" i="5575"/>
  <c r="B17" i="5575"/>
  <c r="H52" i="5575" s="1"/>
  <c r="C16" i="5575"/>
  <c r="C15" i="5575"/>
  <c r="C14" i="5575"/>
  <c r="C13" i="5575"/>
  <c r="O12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O22" i="5569"/>
  <c r="O18" i="5565"/>
  <c r="O21" i="5561"/>
  <c r="H6" i="5575" l="1"/>
  <c r="H11" i="5575"/>
  <c r="H3" i="5575"/>
  <c r="H8" i="5575"/>
  <c r="C17" i="5575"/>
  <c r="H2" i="5575"/>
  <c r="H4" i="5575"/>
  <c r="H29" i="5575"/>
  <c r="H30" i="5575"/>
  <c r="H18" i="5575"/>
  <c r="H33" i="5575"/>
  <c r="H16" i="5575"/>
  <c r="H35" i="5575"/>
  <c r="H39" i="5575"/>
  <c r="H42" i="5575"/>
  <c r="H46" i="5575"/>
  <c r="H50" i="5575"/>
  <c r="H20" i="5575"/>
  <c r="H21" i="5575"/>
  <c r="C19" i="5575"/>
  <c r="H13" i="5575"/>
  <c r="H24" i="5575"/>
  <c r="H36" i="5575"/>
  <c r="H40" i="5575"/>
  <c r="H43" i="5575"/>
  <c r="H47" i="5575"/>
  <c r="H51" i="5575"/>
  <c r="H9" i="5575"/>
  <c r="H7" i="5575"/>
  <c r="H12" i="5575"/>
  <c r="H23" i="5575"/>
  <c r="H19" i="5575"/>
  <c r="H17" i="5575"/>
  <c r="H31" i="5575"/>
  <c r="H14" i="5575"/>
  <c r="H10" i="5575"/>
  <c r="H25" i="5575"/>
  <c r="H37" i="5575"/>
  <c r="H26" i="5575"/>
  <c r="H44" i="5575"/>
  <c r="H48" i="5575"/>
  <c r="H5" i="5575"/>
  <c r="H27" i="5575"/>
  <c r="H28" i="5575"/>
  <c r="H15" i="5575"/>
  <c r="C18" i="5575"/>
  <c r="B23" i="5575"/>
  <c r="H32" i="5575"/>
  <c r="H22" i="5575"/>
  <c r="H34" i="5575"/>
  <c r="H38" i="5575"/>
  <c r="H41" i="5575"/>
  <c r="H45" i="5575"/>
  <c r="H49" i="5575"/>
  <c r="O22" i="5567" l="1"/>
  <c r="O21" i="5573"/>
  <c r="O16" i="5573"/>
  <c r="C27" i="5573"/>
  <c r="B24" i="5573"/>
  <c r="C20" i="5573"/>
  <c r="B17" i="5573"/>
  <c r="H52" i="5573" s="1"/>
  <c r="C16" i="5573"/>
  <c r="C15" i="5573"/>
  <c r="C14" i="5573"/>
  <c r="C13" i="5573"/>
  <c r="O12" i="5573"/>
  <c r="C12" i="5573"/>
  <c r="O11" i="5573"/>
  <c r="C11" i="5573"/>
  <c r="O10" i="5573"/>
  <c r="C10" i="5573"/>
  <c r="C9" i="5573"/>
  <c r="C8" i="5573"/>
  <c r="O7" i="5573"/>
  <c r="C7" i="5573"/>
  <c r="O6" i="5573"/>
  <c r="B6" i="5573"/>
  <c r="O5" i="5573"/>
  <c r="B5" i="5573"/>
  <c r="O4" i="5573"/>
  <c r="O3" i="5573"/>
  <c r="O2" i="5573"/>
  <c r="O22" i="5563"/>
  <c r="O18" i="5561"/>
  <c r="O19" i="5571"/>
  <c r="O19" i="5565"/>
  <c r="O20" i="5565"/>
  <c r="O20" i="5569"/>
  <c r="O20" i="5571"/>
  <c r="O22" i="5571"/>
  <c r="C27" i="5571"/>
  <c r="B24" i="5571"/>
  <c r="C20" i="5571"/>
  <c r="B17" i="5571"/>
  <c r="H50" i="5571" s="1"/>
  <c r="C16" i="5571"/>
  <c r="C15" i="5571"/>
  <c r="C14" i="5571"/>
  <c r="C13" i="5571"/>
  <c r="O12" i="5571"/>
  <c r="C12" i="5571"/>
  <c r="O11" i="5571"/>
  <c r="C11" i="5571"/>
  <c r="O10" i="5571"/>
  <c r="C10" i="5571"/>
  <c r="C9" i="5571"/>
  <c r="C8" i="5571"/>
  <c r="O7" i="5571"/>
  <c r="C7" i="5571"/>
  <c r="O6" i="5571"/>
  <c r="B6" i="5571"/>
  <c r="O5" i="5571"/>
  <c r="B5" i="5571"/>
  <c r="O4" i="5571"/>
  <c r="O3" i="5571"/>
  <c r="O2" i="5571"/>
  <c r="O19" i="5569"/>
  <c r="O18" i="5569"/>
  <c r="C27" i="5569"/>
  <c r="B24" i="5569"/>
  <c r="C20" i="5569"/>
  <c r="B17" i="5569"/>
  <c r="H50" i="5569" s="1"/>
  <c r="C16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O18" i="5563"/>
  <c r="O23" i="5563"/>
  <c r="O19" i="5561"/>
  <c r="O22" i="5561"/>
  <c r="H2" i="5569" l="1"/>
  <c r="C17" i="5573"/>
  <c r="H10" i="5573"/>
  <c r="H4" i="5573"/>
  <c r="H2" i="5573"/>
  <c r="H8" i="5573"/>
  <c r="H39" i="5571"/>
  <c r="H5" i="5571"/>
  <c r="H32" i="5571"/>
  <c r="H8" i="5571"/>
  <c r="H16" i="5571"/>
  <c r="H25" i="5571"/>
  <c r="H4" i="5571"/>
  <c r="C18" i="5571"/>
  <c r="H23" i="5573"/>
  <c r="H33" i="5573"/>
  <c r="H49" i="5573"/>
  <c r="H7" i="5573"/>
  <c r="H15" i="5573"/>
  <c r="C19" i="5573"/>
  <c r="H30" i="5573"/>
  <c r="H38" i="5573"/>
  <c r="H42" i="5573"/>
  <c r="H50" i="5573"/>
  <c r="H3" i="5573"/>
  <c r="H6" i="5573"/>
  <c r="H9" i="5573"/>
  <c r="H12" i="5573"/>
  <c r="H17" i="5573"/>
  <c r="H19" i="5573"/>
  <c r="H22" i="5573"/>
  <c r="H24" i="5573"/>
  <c r="H27" i="5573"/>
  <c r="H31" i="5573"/>
  <c r="H35" i="5573"/>
  <c r="H39" i="5573"/>
  <c r="H43" i="5573"/>
  <c r="H47" i="5573"/>
  <c r="H51" i="5573"/>
  <c r="H18" i="5573"/>
  <c r="H20" i="5573"/>
  <c r="H26" i="5573"/>
  <c r="H29" i="5573"/>
  <c r="H37" i="5573"/>
  <c r="H41" i="5573"/>
  <c r="H45" i="5573"/>
  <c r="H13" i="5573"/>
  <c r="H21" i="5573"/>
  <c r="H34" i="5573"/>
  <c r="H46" i="5573"/>
  <c r="H5" i="5573"/>
  <c r="H11" i="5573"/>
  <c r="H14" i="5573"/>
  <c r="H16" i="5573"/>
  <c r="C18" i="5573"/>
  <c r="B23" i="5573"/>
  <c r="H25" i="5573"/>
  <c r="H28" i="5573"/>
  <c r="H32" i="5573"/>
  <c r="H36" i="5573"/>
  <c r="H40" i="5573"/>
  <c r="H44" i="5573"/>
  <c r="H48" i="5573"/>
  <c r="H47" i="5571"/>
  <c r="H22" i="5571"/>
  <c r="H2" i="5571"/>
  <c r="H10" i="5571"/>
  <c r="H17" i="5571"/>
  <c r="B23" i="5571"/>
  <c r="H31" i="5571"/>
  <c r="H31" i="5569"/>
  <c r="H22" i="5569"/>
  <c r="H32" i="5569"/>
  <c r="H8" i="5569"/>
  <c r="H10" i="5569"/>
  <c r="H17" i="5569"/>
  <c r="B23" i="5569"/>
  <c r="H5" i="5569"/>
  <c r="C18" i="5569"/>
  <c r="H4" i="5569"/>
  <c r="H9" i="5569"/>
  <c r="H16" i="5569"/>
  <c r="H25" i="5569"/>
  <c r="H39" i="5569"/>
  <c r="H40" i="5571"/>
  <c r="H48" i="5571"/>
  <c r="H27" i="5571"/>
  <c r="H35" i="5571"/>
  <c r="H43" i="5571"/>
  <c r="H51" i="5571"/>
  <c r="H9" i="5571"/>
  <c r="H12" i="5571"/>
  <c r="H14" i="5571"/>
  <c r="H19" i="5571"/>
  <c r="H3" i="5571"/>
  <c r="H6" i="5571"/>
  <c r="H11" i="5571"/>
  <c r="C17" i="5571"/>
  <c r="H24" i="5571"/>
  <c r="H28" i="5571"/>
  <c r="H36" i="5571"/>
  <c r="H44" i="5571"/>
  <c r="H52" i="5571"/>
  <c r="H18" i="5571"/>
  <c r="H20" i="5571"/>
  <c r="H23" i="5571"/>
  <c r="H26" i="5571"/>
  <c r="H29" i="5571"/>
  <c r="H33" i="5571"/>
  <c r="H37" i="5571"/>
  <c r="H41" i="5571"/>
  <c r="H45" i="5571"/>
  <c r="H49" i="5571"/>
  <c r="H7" i="5571"/>
  <c r="H13" i="5571"/>
  <c r="H15" i="5571"/>
  <c r="C19" i="5571"/>
  <c r="H21" i="5571"/>
  <c r="H30" i="5571"/>
  <c r="H34" i="5571"/>
  <c r="H38" i="5571"/>
  <c r="H42" i="5571"/>
  <c r="H46" i="5571"/>
  <c r="H47" i="5569"/>
  <c r="H40" i="5569"/>
  <c r="H48" i="5569"/>
  <c r="H12" i="5569"/>
  <c r="H14" i="5569"/>
  <c r="H19" i="5569"/>
  <c r="H27" i="5569"/>
  <c r="H35" i="5569"/>
  <c r="H43" i="5569"/>
  <c r="H51" i="5569"/>
  <c r="H3" i="5569"/>
  <c r="H6" i="5569"/>
  <c r="H11" i="5569"/>
  <c r="C17" i="5569"/>
  <c r="H24" i="5569"/>
  <c r="H28" i="5569"/>
  <c r="H36" i="5569"/>
  <c r="H44" i="5569"/>
  <c r="H52" i="5569"/>
  <c r="H18" i="5569"/>
  <c r="H20" i="5569"/>
  <c r="H23" i="5569"/>
  <c r="H26" i="5569"/>
  <c r="H29" i="5569"/>
  <c r="H33" i="5569"/>
  <c r="H37" i="5569"/>
  <c r="H41" i="5569"/>
  <c r="H45" i="5569"/>
  <c r="H49" i="5569"/>
  <c r="H7" i="5569"/>
  <c r="H13" i="5569"/>
  <c r="H15" i="5569"/>
  <c r="C19" i="5569"/>
  <c r="H21" i="5569"/>
  <c r="H30" i="5569"/>
  <c r="H34" i="5569"/>
  <c r="H38" i="5569"/>
  <c r="H42" i="5569"/>
  <c r="H46" i="5569"/>
  <c r="O19" i="5567" l="1"/>
  <c r="O23" i="5567"/>
  <c r="C27" i="5567"/>
  <c r="B24" i="5567"/>
  <c r="C20" i="5567"/>
  <c r="B17" i="5567"/>
  <c r="H51" i="5567" s="1"/>
  <c r="C16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O22" i="5565"/>
  <c r="O17" i="5565"/>
  <c r="C27" i="5565"/>
  <c r="B24" i="5565"/>
  <c r="C20" i="5565"/>
  <c r="B17" i="5565"/>
  <c r="H50" i="5565" s="1"/>
  <c r="C16" i="5565"/>
  <c r="C15" i="5565"/>
  <c r="C14" i="5565"/>
  <c r="C13" i="5565"/>
  <c r="O12" i="5565"/>
  <c r="C12" i="5565"/>
  <c r="O1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O24" i="5561"/>
  <c r="O19" i="5563"/>
  <c r="O21" i="5563"/>
  <c r="C27" i="5563"/>
  <c r="B24" i="5563"/>
  <c r="C20" i="5563"/>
  <c r="B17" i="5563"/>
  <c r="H15" i="5563" s="1"/>
  <c r="C16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17" i="5561"/>
  <c r="O20" i="5561"/>
  <c r="C27" i="5561"/>
  <c r="B24" i="5561"/>
  <c r="C20" i="5561"/>
  <c r="B17" i="5561"/>
  <c r="H51" i="5561" s="1"/>
  <c r="C16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9" i="5567" l="1"/>
  <c r="H4" i="5567"/>
  <c r="H31" i="5563"/>
  <c r="H13" i="5567"/>
  <c r="H45" i="5567"/>
  <c r="H50" i="5567"/>
  <c r="H7" i="5567"/>
  <c r="C18" i="5567"/>
  <c r="H2" i="5567"/>
  <c r="H11" i="5567"/>
  <c r="H34" i="5567"/>
  <c r="H20" i="5567"/>
  <c r="H3" i="5567"/>
  <c r="H15" i="5567"/>
  <c r="H36" i="5567"/>
  <c r="H14" i="5567"/>
  <c r="H10" i="5567"/>
  <c r="H40" i="5567"/>
  <c r="H30" i="5567"/>
  <c r="H12" i="5567"/>
  <c r="H6" i="5567"/>
  <c r="H29" i="5567"/>
  <c r="H18" i="5567"/>
  <c r="H33" i="5567"/>
  <c r="H41" i="5567"/>
  <c r="B23" i="5563"/>
  <c r="H26" i="5563"/>
  <c r="H7" i="5563"/>
  <c r="H19" i="5563"/>
  <c r="H35" i="5563"/>
  <c r="H21" i="5563"/>
  <c r="H3" i="5563"/>
  <c r="H42" i="5563"/>
  <c r="H13" i="5563"/>
  <c r="H32" i="5563"/>
  <c r="H10" i="5563"/>
  <c r="H6" i="5563"/>
  <c r="H11" i="5563"/>
  <c r="C18" i="5563"/>
  <c r="H29" i="5563"/>
  <c r="H4" i="5563"/>
  <c r="H2" i="5563"/>
  <c r="H16" i="5563"/>
  <c r="H46" i="5567"/>
  <c r="H28" i="5567"/>
  <c r="C19" i="5567"/>
  <c r="H21" i="5567"/>
  <c r="H22" i="5567"/>
  <c r="H27" i="5567"/>
  <c r="H37" i="5567"/>
  <c r="H42" i="5567"/>
  <c r="H48" i="5567"/>
  <c r="H5" i="5567"/>
  <c r="H8" i="5567"/>
  <c r="H24" i="5567"/>
  <c r="H17" i="5567"/>
  <c r="C17" i="5567"/>
  <c r="H16" i="5567"/>
  <c r="B23" i="5567"/>
  <c r="H23" i="5567"/>
  <c r="H38" i="5567"/>
  <c r="H44" i="5567"/>
  <c r="H49" i="5567"/>
  <c r="H52" i="5567"/>
  <c r="H31" i="5567"/>
  <c r="H32" i="5567"/>
  <c r="H25" i="5567"/>
  <c r="H26" i="5567"/>
  <c r="H19" i="5567"/>
  <c r="H35" i="5567"/>
  <c r="H39" i="5567"/>
  <c r="H43" i="5567"/>
  <c r="H47" i="5567"/>
  <c r="H10" i="5565"/>
  <c r="H8" i="5565"/>
  <c r="H5" i="5565"/>
  <c r="H16" i="5565"/>
  <c r="H25" i="5565"/>
  <c r="H39" i="5565"/>
  <c r="H40" i="5565"/>
  <c r="H22" i="5565"/>
  <c r="H17" i="5565"/>
  <c r="H31" i="5565"/>
  <c r="H47" i="5565"/>
  <c r="H12" i="5565"/>
  <c r="H14" i="5565"/>
  <c r="H4" i="5565"/>
  <c r="H9" i="5565"/>
  <c r="B23" i="5565"/>
  <c r="H2" i="5565"/>
  <c r="C18" i="5565"/>
  <c r="H32" i="5565"/>
  <c r="H48" i="5565"/>
  <c r="H19" i="5565"/>
  <c r="H27" i="5565"/>
  <c r="H35" i="5565"/>
  <c r="H43" i="5565"/>
  <c r="H51" i="5565"/>
  <c r="H3" i="5565"/>
  <c r="H6" i="5565"/>
  <c r="H11" i="5565"/>
  <c r="C17" i="5565"/>
  <c r="H24" i="5565"/>
  <c r="H28" i="5565"/>
  <c r="H36" i="5565"/>
  <c r="H44" i="5565"/>
  <c r="H52" i="5565"/>
  <c r="H18" i="5565"/>
  <c r="H20" i="5565"/>
  <c r="H23" i="5565"/>
  <c r="H26" i="5565"/>
  <c r="H29" i="5565"/>
  <c r="H33" i="5565"/>
  <c r="H37" i="5565"/>
  <c r="H41" i="5565"/>
  <c r="H45" i="5565"/>
  <c r="H49" i="5565"/>
  <c r="H7" i="5565"/>
  <c r="H13" i="5565"/>
  <c r="H15" i="5565"/>
  <c r="C19" i="5565"/>
  <c r="H21" i="5565"/>
  <c r="H30" i="5565"/>
  <c r="H34" i="5565"/>
  <c r="H38" i="5565"/>
  <c r="H42" i="5565"/>
  <c r="H46" i="5565"/>
  <c r="H10" i="5561"/>
  <c r="H28" i="5563"/>
  <c r="H50" i="5563"/>
  <c r="H41" i="5563"/>
  <c r="H49" i="5563"/>
  <c r="H18" i="5563"/>
  <c r="H8" i="5563"/>
  <c r="H37" i="5563"/>
  <c r="H45" i="5563"/>
  <c r="H5" i="5563"/>
  <c r="C17" i="5563"/>
  <c r="H12" i="5563"/>
  <c r="H23" i="5563"/>
  <c r="H38" i="5563"/>
  <c r="H46" i="5563"/>
  <c r="H52" i="5563"/>
  <c r="H33" i="5563"/>
  <c r="H34" i="5563"/>
  <c r="H20" i="5563"/>
  <c r="H25" i="5563"/>
  <c r="H17" i="5563"/>
  <c r="H30" i="5563"/>
  <c r="H39" i="5563"/>
  <c r="H43" i="5563"/>
  <c r="H47" i="5563"/>
  <c r="H51" i="5563"/>
  <c r="H9" i="5563"/>
  <c r="H27" i="5563"/>
  <c r="H22" i="5563"/>
  <c r="C19" i="5563"/>
  <c r="H14" i="5563"/>
  <c r="H24" i="5563"/>
  <c r="H36" i="5563"/>
  <c r="H40" i="5563"/>
  <c r="H44" i="5563"/>
  <c r="H48" i="5563"/>
  <c r="H4" i="5561"/>
  <c r="H2" i="5561"/>
  <c r="H3" i="5561"/>
  <c r="H11" i="5561"/>
  <c r="H6" i="5561"/>
  <c r="H12" i="5561"/>
  <c r="H24" i="5561"/>
  <c r="H19" i="5561"/>
  <c r="H9" i="5561"/>
  <c r="H38" i="5561"/>
  <c r="H42" i="5561"/>
  <c r="H46" i="5561"/>
  <c r="H50" i="5561"/>
  <c r="H7" i="5561"/>
  <c r="H21" i="5561"/>
  <c r="H35" i="5561"/>
  <c r="H15" i="5561"/>
  <c r="C18" i="5561"/>
  <c r="H14" i="5561"/>
  <c r="H13" i="5561"/>
  <c r="H29" i="5561"/>
  <c r="H39" i="5561"/>
  <c r="H33" i="5561"/>
  <c r="H34" i="5561"/>
  <c r="H18" i="5561"/>
  <c r="C19" i="5561"/>
  <c r="H27" i="5561"/>
  <c r="H28" i="5561"/>
  <c r="H25" i="5561"/>
  <c r="H32" i="5561"/>
  <c r="H43" i="5561"/>
  <c r="H48" i="5561"/>
  <c r="H5" i="5561"/>
  <c r="H8" i="5561"/>
  <c r="H22" i="5561"/>
  <c r="H20" i="5561"/>
  <c r="C17" i="5561"/>
  <c r="H16" i="5561"/>
  <c r="B23" i="5561"/>
  <c r="H26" i="5561"/>
  <c r="H40" i="5561"/>
  <c r="H45" i="5561"/>
  <c r="H49" i="5561"/>
  <c r="H52" i="5561"/>
  <c r="H36" i="5561"/>
  <c r="H37" i="5561"/>
  <c r="H23" i="5561"/>
  <c r="H30" i="5561"/>
  <c r="H17" i="5561"/>
  <c r="H31" i="5561"/>
  <c r="H41" i="5561"/>
  <c r="H44" i="5561"/>
  <c r="H47" i="556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1" i="2228" l="1"/>
  <c r="H52" i="2228"/>
  <c r="H5" i="2228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<sst xmlns="http://schemas.openxmlformats.org/spreadsheetml/2006/main" count="3653" uniqueCount="292">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</sst>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全体!$K$2:$K$947</c:f>
              <c:numCache>
                <c:formatCode>General</c:formatCode>
                <c:ptCount val="9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</c:numCache>
            </c:numRef>
          </c:xVal>
          <c:yVal>
            <c:numRef>
              <c:f>全体!$L$2:$L$947</c:f>
              <c:numCache>
                <c:formatCode>\+0.0;\-0.0;\±0</c:formatCode>
                <c:ptCount val="94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-17.989417989417991</c:v>
                </c:pt>
                <c:pt idx="1">
                  <c:v>-7.5757575757575761</c:v>
                </c:pt>
                <c:pt idx="2">
                  <c:v>16.203703703703702</c:v>
                </c:pt>
                <c:pt idx="3">
                  <c:v>3.7735849056603774</c:v>
                </c:pt>
                <c:pt idx="4">
                  <c:v>-12.552301255230125</c:v>
                </c:pt>
                <c:pt idx="5">
                  <c:v>25.518341307814993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だいち!$K$2:$K$203</c:f>
              <c:numCache>
                <c:formatCode>General</c:formatCode>
                <c:ptCount val="2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</c:numCache>
            </c:numRef>
          </c:xVal>
          <c:yVal>
            <c:numRef>
              <c:f>だいち!$L$2:$L$203</c:f>
              <c:numCache>
                <c:formatCode>\+0.0;\-0.0;\±0</c:formatCode>
                <c:ptCount val="20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1042.2885572139303</c:v>
                </c:pt>
                <c:pt idx="1">
                  <c:v>1976.0204081632653</c:v>
                </c:pt>
                <c:pt idx="2">
                  <c:v>924.59893048128345</c:v>
                </c:pt>
                <c:pt idx="3">
                  <c:v>2316.8604651162791</c:v>
                </c:pt>
                <c:pt idx="4">
                  <c:v>1368.8311688311687</c:v>
                </c:pt>
                <c:pt idx="5">
                  <c:v>1243.939393939394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りくと!$K$2:$K$162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</c:numCache>
            </c:numRef>
          </c:xVal>
          <c:yVal>
            <c:numRef>
              <c:f>りくと!$L$2:$L$162</c:f>
              <c:numCache>
                <c:formatCode>\+0.0;\-0.0;\±0</c:formatCode>
                <c:ptCount val="16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665.625</c:v>
                </c:pt>
                <c:pt idx="1">
                  <c:v>-1427.741935483871</c:v>
                </c:pt>
                <c:pt idx="2">
                  <c:v>-333.7837837837838</c:v>
                </c:pt>
                <c:pt idx="3">
                  <c:v>-204.51127819548873</c:v>
                </c:pt>
                <c:pt idx="4">
                  <c:v>527.96610169491521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xVal>
          <c:yVal>
            <c:numRef>
              <c:f>ただ!$L$2:$L$156</c:f>
              <c:numCache>
                <c:formatCode>\+0.0;\-0.0;\±0</c:formatCode>
                <c:ptCount val="15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-2008.4415584415585</c:v>
                </c:pt>
                <c:pt idx="1">
                  <c:v>-1630</c:v>
                </c:pt>
                <c:pt idx="2">
                  <c:v>673.23943661971828</c:v>
                </c:pt>
                <c:pt idx="3">
                  <c:v>-3000.78125</c:v>
                </c:pt>
                <c:pt idx="4">
                  <c:v>-635.89743589743591</c:v>
                </c:pt>
                <c:pt idx="5">
                  <c:v>-389.52380952380952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れんたろう!$L$2:$L$108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826.41509433962267</c:v>
                </c:pt>
                <c:pt idx="1">
                  <c:v>639.80582524271847</c:v>
                </c:pt>
                <c:pt idx="2">
                  <c:v>1893.6170212765958</c:v>
                </c:pt>
                <c:pt idx="3">
                  <c:v>-187.95180722891567</c:v>
                </c:pt>
                <c:pt idx="4">
                  <c:v>-2070.2702702702704</c:v>
                </c:pt>
                <c:pt idx="5">
                  <c:v>-551.5151515151515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たかの!$L$2:$L$105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178.64077669902912</c:v>
                </c:pt>
                <c:pt idx="1">
                  <c:v>-1133.009708737864</c:v>
                </c:pt>
                <c:pt idx="2">
                  <c:v>-993.54838709677415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ぱぱ!$L$2:$L$57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-2616.3636363636365</c:v>
                </c:pt>
                <c:pt idx="1">
                  <c:v>1610.909090909091</c:v>
                </c:pt>
                <c:pt idx="2">
                  <c:v>-1119.2307692307693</c:v>
                </c:pt>
                <c:pt idx="3">
                  <c:v>-3756.25</c:v>
                </c:pt>
                <c:pt idx="4">
                  <c:v>213.95348837209303</c:v>
                </c:pt>
                <c:pt idx="5">
                  <c:v>14.634146341463415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833.98058252427188</c:v>
                </c:pt>
                <c:pt idx="1">
                  <c:v>489.8989898989899</c:v>
                </c:pt>
                <c:pt idx="2">
                  <c:v>-752.17391304347825</c:v>
                </c:pt>
                <c:pt idx="3">
                  <c:v>1512.6436781609195</c:v>
                </c:pt>
                <c:pt idx="4">
                  <c:v>-1945</c:v>
                </c:pt>
                <c:pt idx="5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-5362.5</c:v>
                </c:pt>
                <c:pt idx="1">
                  <c:v>-4025</c:v>
                </c:pt>
                <c:pt idx="2">
                  <c:v>-300</c:v>
                </c:pt>
                <c:pt idx="3">
                  <c:v>3914.2857142857142</c:v>
                </c:pt>
                <c:pt idx="4">
                  <c:v>-6466.666666666667</c:v>
                </c:pt>
                <c:pt idx="5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まっつん2!$B$3:$B$106</c:f>
              <c:numCache>
                <c:formatCode>\+0.0;\-0.0;\±0</c:formatCode>
                <c:ptCount val="10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まっつん2!$C$3:$C$106</c:f>
              <c:numCache>
                <c:formatCode>\+0.0;\-0.0;\±0</c:formatCode>
                <c:ptCount val="104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  <c:pt idx="97">
                  <c:v>0.20412371134020543</c:v>
                </c:pt>
                <c:pt idx="98">
                  <c:v>0.88877551020408085</c:v>
                </c:pt>
                <c:pt idx="99">
                  <c:v>1.2050505050505043</c:v>
                </c:pt>
                <c:pt idx="100">
                  <c:v>1.1559999999999993</c:v>
                </c:pt>
                <c:pt idx="101">
                  <c:v>1.1049504950495042</c:v>
                </c:pt>
                <c:pt idx="102">
                  <c:v>1.1029411764705876</c:v>
                </c:pt>
                <c:pt idx="103">
                  <c:v>0.65728155339805761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27845612317619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まっつん2!$D$3:$D$106</c:f>
              <c:numCache>
                <c:formatCode>0.00\ "位"</c:formatCode>
                <c:ptCount val="104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  <c:pt idx="97">
                  <c:v>1.9896907216494846</c:v>
                </c:pt>
                <c:pt idx="98">
                  <c:v>1.9795918367346939</c:v>
                </c:pt>
                <c:pt idx="99">
                  <c:v>1.9696969696969697</c:v>
                </c:pt>
                <c:pt idx="100">
                  <c:v>1.97</c:v>
                </c:pt>
                <c:pt idx="101">
                  <c:v>1.9702970297029703</c:v>
                </c:pt>
                <c:pt idx="102">
                  <c:v>1.9705882352941178</c:v>
                </c:pt>
                <c:pt idx="103">
                  <c:v>1.9805825242718447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まっつん2!$E$3:$E$106</c:f>
              <c:numCache>
                <c:formatCode>0.0%</c:formatCode>
                <c:ptCount val="10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  <c:pt idx="97">
                  <c:v>0.34020618556701032</c:v>
                </c:pt>
                <c:pt idx="98">
                  <c:v>0.34693877551020408</c:v>
                </c:pt>
                <c:pt idx="99">
                  <c:v>0.35353535353535354</c:v>
                </c:pt>
                <c:pt idx="100">
                  <c:v>0.35</c:v>
                </c:pt>
                <c:pt idx="101">
                  <c:v>0.34653465346534651</c:v>
                </c:pt>
                <c:pt idx="102">
                  <c:v>0.34313725490196079</c:v>
                </c:pt>
                <c:pt idx="103">
                  <c:v>0.33980582524271846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まっつん2!$F$3:$F$106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0.32989690721649484</c:v>
                </c:pt>
                <c:pt idx="98">
                  <c:v>0.32653061224489793</c:v>
                </c:pt>
                <c:pt idx="99">
                  <c:v>0.32323232323232326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0.32038834951456313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まっつん2!$G$3:$G$106</c:f>
              <c:numCache>
                <c:formatCode>0.0%</c:formatCode>
                <c:ptCount val="104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  <c:pt idx="97">
                  <c:v>0.27490542244640603</c:v>
                </c:pt>
                <c:pt idx="98">
                  <c:v>0.27750000000000002</c:v>
                </c:pt>
                <c:pt idx="99">
                  <c:v>0.27935723114956734</c:v>
                </c:pt>
                <c:pt idx="100">
                  <c:v>0.27892813641900122</c:v>
                </c:pt>
                <c:pt idx="101">
                  <c:v>0.27677496991576411</c:v>
                </c:pt>
                <c:pt idx="102">
                  <c:v>0.27824019024970276</c:v>
                </c:pt>
                <c:pt idx="103">
                  <c:v>0.2752941176470588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83715012722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まっつん2!$H$3:$H$106</c:f>
              <c:numCache>
                <c:formatCode>0.0%</c:formatCode>
                <c:ptCount val="104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  <c:pt idx="97">
                  <c:v>0.15006305170239598</c:v>
                </c:pt>
                <c:pt idx="98">
                  <c:v>0.15</c:v>
                </c:pt>
                <c:pt idx="99">
                  <c:v>0.14956736711990112</c:v>
                </c:pt>
                <c:pt idx="100">
                  <c:v>0.15103532277710111</c:v>
                </c:pt>
                <c:pt idx="101">
                  <c:v>0.15042117930204574</c:v>
                </c:pt>
                <c:pt idx="102">
                  <c:v>0.14982164090368608</c:v>
                </c:pt>
                <c:pt idx="103">
                  <c:v>0.14941176470588236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39440203562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まっつん2!$I$3:$I$106</c:f>
              <c:numCache>
                <c:formatCode>0</c:formatCode>
                <c:ptCount val="104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  <c:pt idx="97">
                  <c:v>8802.2935779816507</c:v>
                </c:pt>
                <c:pt idx="98">
                  <c:v>8856.7567567567567</c:v>
                </c:pt>
                <c:pt idx="99">
                  <c:v>8835.3982300884963</c:v>
                </c:pt>
                <c:pt idx="100">
                  <c:v>8838.427947598253</c:v>
                </c:pt>
                <c:pt idx="101">
                  <c:v>8806.95652173913</c:v>
                </c:pt>
                <c:pt idx="102">
                  <c:v>8729.9145299145293</c:v>
                </c:pt>
                <c:pt idx="103">
                  <c:v>8729.9145299145293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6.15548910721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まっつん2!$J$3:$J$106</c:f>
              <c:numCache>
                <c:formatCode>0</c:formatCode>
                <c:ptCount val="104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  <c:pt idx="97">
                  <c:v>-7187.3949579831933</c:v>
                </c:pt>
                <c:pt idx="98">
                  <c:v>-7135.833333333333</c:v>
                </c:pt>
                <c:pt idx="99">
                  <c:v>-7172.727272727273</c:v>
                </c:pt>
                <c:pt idx="100">
                  <c:v>-7139.5161290322585</c:v>
                </c:pt>
                <c:pt idx="101">
                  <c:v>-7092.8</c:v>
                </c:pt>
                <c:pt idx="102">
                  <c:v>-7128.5714285714284</c:v>
                </c:pt>
                <c:pt idx="103">
                  <c:v>-7113.3858267716532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72.4980901451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まっつん2!$K$3:$K$106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  <c:pt idx="97">
                  <c:v>0.13402061855670103</c:v>
                </c:pt>
                <c:pt idx="98">
                  <c:v>0.1326530612244898</c:v>
                </c:pt>
                <c:pt idx="99">
                  <c:v>0.13131313131313133</c:v>
                </c:pt>
                <c:pt idx="100">
                  <c:v>0.13</c:v>
                </c:pt>
                <c:pt idx="101">
                  <c:v>0.12871287128712872</c:v>
                </c:pt>
                <c:pt idx="102">
                  <c:v>0.12745098039215685</c:v>
                </c:pt>
                <c:pt idx="103">
                  <c:v>0.12621359223300971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4021164021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まっつん2!$L$3:$L$106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4021164021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まっつん2!$M$3:$M$106</c:f>
              <c:numCache>
                <c:formatCode>0.0%</c:formatCode>
                <c:ptCount val="104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  <c:pt idx="97">
                  <c:v>0.27742749054224464</c:v>
                </c:pt>
                <c:pt idx="98">
                  <c:v>0.28000000000000003</c:v>
                </c:pt>
                <c:pt idx="99">
                  <c:v>0.27812113720642767</c:v>
                </c:pt>
                <c:pt idx="100">
                  <c:v>0.27771010962241172</c:v>
                </c:pt>
                <c:pt idx="101">
                  <c:v>0.27557160048134777</c:v>
                </c:pt>
                <c:pt idx="102">
                  <c:v>0.27586206896551724</c:v>
                </c:pt>
                <c:pt idx="103">
                  <c:v>0.27294117647058824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06615776081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まっつん2!$N$3:$N$106</c:f>
              <c:numCache>
                <c:formatCode>0.0%</c:formatCode>
                <c:ptCount val="104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  <c:pt idx="97">
                  <c:v>0.1828499369482976</c:v>
                </c:pt>
                <c:pt idx="98">
                  <c:v>0.1825</c:v>
                </c:pt>
                <c:pt idx="99">
                  <c:v>0.18665018541409148</c:v>
                </c:pt>
                <c:pt idx="100">
                  <c:v>0.18635809987819732</c:v>
                </c:pt>
                <c:pt idx="101">
                  <c:v>0.18772563176895307</c:v>
                </c:pt>
                <c:pt idx="102">
                  <c:v>0.18549346016646848</c:v>
                </c:pt>
                <c:pt idx="103">
                  <c:v>0.18588235294117647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376590330788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まっつん2!$O$3:$O$106</c:f>
              <c:numCache>
                <c:formatCode>0.0%</c:formatCode>
                <c:ptCount val="104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  <c:pt idx="97">
                  <c:v>0.60909090909090913</c:v>
                </c:pt>
                <c:pt idx="98">
                  <c:v>0.6116071428571429</c:v>
                </c:pt>
                <c:pt idx="99">
                  <c:v>0.61333333333333329</c:v>
                </c:pt>
                <c:pt idx="100">
                  <c:v>0.61403508771929827</c:v>
                </c:pt>
                <c:pt idx="101">
                  <c:v>0.611353711790393</c:v>
                </c:pt>
                <c:pt idx="102">
                  <c:v>0.61637931034482762</c:v>
                </c:pt>
                <c:pt idx="103">
                  <c:v>0.61637931034482762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64926435690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まっつん2!$P$3:$P$106</c:f>
              <c:numCache>
                <c:formatCode>0.0%</c:formatCode>
                <c:ptCount val="104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  <c:pt idx="97">
                  <c:v>0.33793103448275863</c:v>
                </c:pt>
                <c:pt idx="98">
                  <c:v>0.34246575342465752</c:v>
                </c:pt>
                <c:pt idx="99">
                  <c:v>0.35099337748344372</c:v>
                </c:pt>
                <c:pt idx="100">
                  <c:v>0.34640522875816993</c:v>
                </c:pt>
                <c:pt idx="101">
                  <c:v>0.34615384615384615</c:v>
                </c:pt>
                <c:pt idx="102">
                  <c:v>0.34615384615384615</c:v>
                </c:pt>
                <c:pt idx="103">
                  <c:v>0.34177215189873417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8219584569732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まっつん2!$Q$3:$Q$106</c:f>
              <c:numCache>
                <c:formatCode>0.0%</c:formatCode>
                <c:ptCount val="104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  <c:pt idx="97">
                  <c:v>0.45871559633027525</c:v>
                </c:pt>
                <c:pt idx="98">
                  <c:v>0.45945945945945948</c:v>
                </c:pt>
                <c:pt idx="99">
                  <c:v>0.45132743362831856</c:v>
                </c:pt>
                <c:pt idx="100">
                  <c:v>0.45851528384279477</c:v>
                </c:pt>
                <c:pt idx="101">
                  <c:v>0.46086956521739131</c:v>
                </c:pt>
                <c:pt idx="102">
                  <c:v>0.45726495726495725</c:v>
                </c:pt>
                <c:pt idx="103">
                  <c:v>0.45726495726495725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148227253310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43663.617199074077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43666.939143518517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43668.854745370372</v>
      </c>
      <c r="C96" s="30" t="s">
        <v>130</v>
      </c>
      <c r="D96" s="30" t="s">
        <v>131</v>
      </c>
      <c r="E96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945</v>
      </c>
    </row>
    <row r="2" spans="1:2" x14ac:dyDescent="0.4">
      <c r="A2" t="s">
        <v>127</v>
      </c>
      <c r="B2">
        <v>201</v>
      </c>
    </row>
    <row r="3" spans="1:2" x14ac:dyDescent="0.4">
      <c r="A3" t="s">
        <v>128</v>
      </c>
      <c r="B3">
        <v>160</v>
      </c>
    </row>
    <row r="4" spans="1:2" x14ac:dyDescent="0.4">
      <c r="A4" t="s">
        <v>129</v>
      </c>
      <c r="B4">
        <v>154</v>
      </c>
    </row>
    <row r="5" spans="1:2" x14ac:dyDescent="0.4">
      <c r="A5" t="s">
        <v>171</v>
      </c>
      <c r="B5">
        <v>106</v>
      </c>
    </row>
    <row r="6" spans="1:2" x14ac:dyDescent="0.4">
      <c r="A6" t="s">
        <v>172</v>
      </c>
      <c r="B6">
        <v>103</v>
      </c>
    </row>
    <row r="7" spans="1:2" x14ac:dyDescent="0.4">
      <c r="A7" t="s">
        <v>173</v>
      </c>
      <c r="B7">
        <v>55</v>
      </c>
    </row>
    <row r="8" spans="1:2" x14ac:dyDescent="0.4">
      <c r="A8" t="s">
        <v>177</v>
      </c>
      <c r="B8">
        <v>103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0.97051131002105628</v>
      </c>
      <c r="G2" s="159"/>
      <c r="H2" s="158">
        <v>0.68261410925572885</v>
      </c>
      <c r="I2" s="159"/>
      <c r="J2" s="158">
        <v>0.87435011851942324</v>
      </c>
      <c r="K2" s="159"/>
      <c r="L2" s="158">
        <v>0.68573862120671258</v>
      </c>
      <c r="M2" s="159"/>
      <c r="N2" s="158">
        <v>0.70400947874582798</v>
      </c>
      <c r="O2" s="159"/>
      <c r="P2" s="158">
        <v>0.36782899000333746</v>
      </c>
      <c r="Q2" s="159"/>
      <c r="R2" s="158">
        <v>0.462271798005291</v>
      </c>
      <c r="S2" s="159"/>
      <c r="T2" s="158">
        <v>0.66625663083147924</v>
      </c>
      <c r="U2" s="159"/>
      <c r="V2" s="158">
        <v>0.51587272775982418</v>
      </c>
      <c r="W2" s="159"/>
      <c r="X2" s="158">
        <v>0.6197551335414706</v>
      </c>
      <c r="Y2" s="159"/>
      <c r="Z2" s="158">
        <v>7.927335328073383E-2</v>
      </c>
      <c r="AA2" s="159"/>
      <c r="AB2" s="158">
        <v>-0.10409542769287854</v>
      </c>
      <c r="AC2" s="159"/>
      <c r="AD2" s="158">
        <v>0.73493079681683882</v>
      </c>
      <c r="AE2" s="159"/>
      <c r="AF2" s="158">
        <v>-9.1944678922795842E-2</v>
      </c>
      <c r="AG2" s="159"/>
      <c r="AH2" s="158">
        <v>0.61221151959659703</v>
      </c>
      <c r="AI2" s="159"/>
    </row>
    <row r="3" spans="1:35" x14ac:dyDescent="0.4">
      <c r="A3" s="74">
        <v>1</v>
      </c>
      <c r="B3" s="75" t="s">
        <v>127</v>
      </c>
      <c r="C3" s="76">
        <v>2528.5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0.30242424242424243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140.5</v>
      </c>
      <c r="D4" s="85" t="s">
        <v>223</v>
      </c>
      <c r="E4" s="97">
        <v>16.733333333333331</v>
      </c>
      <c r="F4" s="85" t="s">
        <v>127</v>
      </c>
      <c r="G4" s="86">
        <v>1.7562189054726369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-7089.4736842105267</v>
      </c>
      <c r="T4" s="85" t="s">
        <v>222</v>
      </c>
      <c r="U4" s="87">
        <v>0</v>
      </c>
      <c r="V4" s="85" t="s">
        <v>127</v>
      </c>
      <c r="W4" s="87">
        <v>0.16417910447761194</v>
      </c>
      <c r="X4" s="85" t="s">
        <v>128</v>
      </c>
      <c r="Y4" s="88">
        <v>0.29590288315629742</v>
      </c>
      <c r="Z4" s="85" t="s">
        <v>271</v>
      </c>
      <c r="AA4" s="88">
        <v>0.33333333333333331</v>
      </c>
      <c r="AB4" s="85" t="s">
        <v>271</v>
      </c>
      <c r="AC4" s="88">
        <v>0.69230769230769229</v>
      </c>
      <c r="AD4" s="85" t="s">
        <v>127</v>
      </c>
      <c r="AE4" s="88">
        <v>0.50828729281767959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0.48258706467661694</v>
      </c>
      <c r="J5" s="85" t="s">
        <v>200</v>
      </c>
      <c r="K5" s="87">
        <v>0.19047619047619047</v>
      </c>
      <c r="L5" s="85" t="s">
        <v>127</v>
      </c>
      <c r="M5" s="88">
        <v>0.33818181818181819</v>
      </c>
      <c r="N5" s="85" t="s">
        <v>223</v>
      </c>
      <c r="O5" s="88">
        <v>0.13043478260869565</v>
      </c>
      <c r="P5" s="85" t="s">
        <v>171</v>
      </c>
      <c r="Q5" s="89">
        <v>9913.671875</v>
      </c>
      <c r="R5" s="85" t="s">
        <v>177</v>
      </c>
      <c r="S5" s="89">
        <v>-7113.3858267716532</v>
      </c>
      <c r="T5" s="85" t="s">
        <v>223</v>
      </c>
      <c r="U5" s="87">
        <v>0</v>
      </c>
      <c r="V5" s="85" t="s">
        <v>171</v>
      </c>
      <c r="W5" s="87">
        <v>0.15094339622641509</v>
      </c>
      <c r="X5" s="85" t="s">
        <v>171</v>
      </c>
      <c r="Y5" s="88">
        <v>0.28409090909090912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12.579601990049751</v>
      </c>
      <c r="F6" s="85" t="s">
        <v>200</v>
      </c>
      <c r="G6" s="86">
        <v>1.8571428571428572</v>
      </c>
      <c r="H6" s="85" t="s">
        <v>177</v>
      </c>
      <c r="I6" s="87">
        <v>0.33980582524271846</v>
      </c>
      <c r="J6" s="85" t="s">
        <v>127</v>
      </c>
      <c r="K6" s="87">
        <v>0.23880597014925373</v>
      </c>
      <c r="L6" s="85" t="s">
        <v>172</v>
      </c>
      <c r="M6" s="88">
        <v>0.33564814814814814</v>
      </c>
      <c r="N6" s="85" t="s">
        <v>172</v>
      </c>
      <c r="O6" s="88">
        <v>0.14351851851851852</v>
      </c>
      <c r="P6" s="85" t="s">
        <v>127</v>
      </c>
      <c r="Q6" s="89">
        <v>9182.2580645161288</v>
      </c>
      <c r="R6" s="85" t="s">
        <v>128</v>
      </c>
      <c r="S6" s="89">
        <v>-7447.8991596638652</v>
      </c>
      <c r="T6" s="85" t="s">
        <v>172</v>
      </c>
      <c r="U6" s="87">
        <v>5.8252427184466021E-2</v>
      </c>
      <c r="V6" s="85" t="s">
        <v>145</v>
      </c>
      <c r="W6" s="87">
        <v>0.1164021164021164</v>
      </c>
      <c r="X6" s="85" t="s">
        <v>177</v>
      </c>
      <c r="Y6" s="88">
        <v>0.27294117647058824</v>
      </c>
      <c r="Z6" s="85" t="s">
        <v>172</v>
      </c>
      <c r="AA6" s="88">
        <v>0.28703703703703703</v>
      </c>
      <c r="AB6" s="85" t="s">
        <v>177</v>
      </c>
      <c r="AC6" s="88">
        <v>0.61637931034482762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177</v>
      </c>
      <c r="C7" s="84">
        <v>67.699999999999932</v>
      </c>
      <c r="D7" s="85" t="s">
        <v>200</v>
      </c>
      <c r="E7" s="97">
        <v>3.9428571428571422</v>
      </c>
      <c r="F7" s="85" t="s">
        <v>177</v>
      </c>
      <c r="G7" s="86">
        <v>1.9805825242718447</v>
      </c>
      <c r="H7" s="85" t="s">
        <v>184</v>
      </c>
      <c r="I7" s="87">
        <v>0.33333333333333331</v>
      </c>
      <c r="J7" s="85" t="s">
        <v>172</v>
      </c>
      <c r="K7" s="87">
        <v>0.31067961165048541</v>
      </c>
      <c r="L7" s="85" t="s">
        <v>145</v>
      </c>
      <c r="M7" s="88">
        <v>0.29783715012722645</v>
      </c>
      <c r="N7" s="85" t="s">
        <v>177</v>
      </c>
      <c r="O7" s="88">
        <v>0.14941176470588236</v>
      </c>
      <c r="P7" s="85" t="s">
        <v>128</v>
      </c>
      <c r="Q7" s="89">
        <v>8947.9564032697544</v>
      </c>
      <c r="R7" s="85" t="s">
        <v>145</v>
      </c>
      <c r="S7" s="89">
        <v>-8072.498090145149</v>
      </c>
      <c r="T7" s="85" t="s">
        <v>127</v>
      </c>
      <c r="U7" s="87">
        <v>8.45771144278607E-2</v>
      </c>
      <c r="V7" s="85" t="s">
        <v>177</v>
      </c>
      <c r="W7" s="87">
        <v>0.10679611650485436</v>
      </c>
      <c r="X7" s="85" t="s">
        <v>145</v>
      </c>
      <c r="Y7" s="88">
        <v>0.26806615776081427</v>
      </c>
      <c r="Z7" s="85" t="s">
        <v>184</v>
      </c>
      <c r="AA7" s="88">
        <v>0.24861878453038674</v>
      </c>
      <c r="AB7" s="85" t="s">
        <v>200</v>
      </c>
      <c r="AC7" s="88">
        <v>0.60416666666666663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183</v>
      </c>
      <c r="C8" s="84">
        <v>61</v>
      </c>
      <c r="D8" s="85" t="s">
        <v>171</v>
      </c>
      <c r="E8" s="97">
        <v>1.3254716981132075</v>
      </c>
      <c r="F8" s="85" t="s">
        <v>145</v>
      </c>
      <c r="G8" s="86">
        <v>2</v>
      </c>
      <c r="H8" s="85" t="s">
        <v>200</v>
      </c>
      <c r="I8" s="87">
        <v>0.33333333333333331</v>
      </c>
      <c r="J8" s="85" t="s">
        <v>177</v>
      </c>
      <c r="K8" s="87">
        <v>0.32038834951456313</v>
      </c>
      <c r="L8" s="85" t="s">
        <v>171</v>
      </c>
      <c r="M8" s="88">
        <v>0.29090909090909089</v>
      </c>
      <c r="N8" s="85" t="s">
        <v>127</v>
      </c>
      <c r="O8" s="88">
        <v>0.1503030303030303</v>
      </c>
      <c r="P8" s="85" t="s">
        <v>177</v>
      </c>
      <c r="Q8" s="89">
        <v>8729.9145299145293</v>
      </c>
      <c r="R8" s="85" t="s">
        <v>127</v>
      </c>
      <c r="S8" s="89">
        <v>-8100.8064516129034</v>
      </c>
      <c r="T8" s="85" t="s">
        <v>171</v>
      </c>
      <c r="U8" s="87">
        <v>0.10377358490566038</v>
      </c>
      <c r="V8" s="85" t="s">
        <v>128</v>
      </c>
      <c r="W8" s="87">
        <v>0.1</v>
      </c>
      <c r="X8" s="85" t="s">
        <v>183</v>
      </c>
      <c r="Y8" s="88">
        <v>0.26315789473684209</v>
      </c>
      <c r="Z8" s="85" t="s">
        <v>173</v>
      </c>
      <c r="AA8" s="88">
        <v>0.23173277661795408</v>
      </c>
      <c r="AB8" s="85" t="s">
        <v>183</v>
      </c>
      <c r="AC8" s="88">
        <v>0.6</v>
      </c>
      <c r="AD8" s="85" t="s">
        <v>171</v>
      </c>
      <c r="AE8" s="88">
        <v>0.41714285714285715</v>
      </c>
      <c r="AF8" s="85" t="s">
        <v>177</v>
      </c>
      <c r="AG8" s="88">
        <v>0.45726495726495725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0.65728155339805761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173</v>
      </c>
      <c r="M9" s="88">
        <v>0.2881002087682672</v>
      </c>
      <c r="N9" s="85" t="s">
        <v>200</v>
      </c>
      <c r="O9" s="88">
        <v>0.16230366492146597</v>
      </c>
      <c r="P9" s="85" t="s">
        <v>145</v>
      </c>
      <c r="Q9" s="89">
        <v>8596.1554891072192</v>
      </c>
      <c r="R9" s="85" t="s">
        <v>173</v>
      </c>
      <c r="S9" s="89">
        <v>-8275.5813953488378</v>
      </c>
      <c r="T9" s="85" t="s">
        <v>145</v>
      </c>
      <c r="U9" s="87">
        <v>0.1164021164021164</v>
      </c>
      <c r="V9" s="85" t="s">
        <v>129</v>
      </c>
      <c r="W9" s="87">
        <v>9.7402597402597407E-2</v>
      </c>
      <c r="X9" s="85" t="s">
        <v>129</v>
      </c>
      <c r="Y9" s="88">
        <v>0.25366229760986891</v>
      </c>
      <c r="Z9" s="85" t="s">
        <v>127</v>
      </c>
      <c r="AA9" s="88">
        <v>0.21939393939393939</v>
      </c>
      <c r="AB9" s="85" t="s">
        <v>128</v>
      </c>
      <c r="AC9" s="88">
        <v>0.58974358974358976</v>
      </c>
      <c r="AD9" s="85" t="s">
        <v>145</v>
      </c>
      <c r="AE9" s="88">
        <v>0.39821958456973294</v>
      </c>
      <c r="AF9" s="85" t="s">
        <v>128</v>
      </c>
      <c r="AG9" s="88">
        <v>0.44141689373297005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-1.0658141036401503E-14</v>
      </c>
      <c r="D10" s="85" t="s">
        <v>145</v>
      </c>
      <c r="E10" s="97">
        <v>-1.1278456123176193E-17</v>
      </c>
      <c r="F10" s="85" t="s">
        <v>171</v>
      </c>
      <c r="G10" s="86">
        <v>2.0188679245283021</v>
      </c>
      <c r="H10" s="85" t="s">
        <v>171</v>
      </c>
      <c r="I10" s="87">
        <v>0.32075471698113206</v>
      </c>
      <c r="J10" s="85" t="s">
        <v>223</v>
      </c>
      <c r="K10" s="87">
        <v>0.33333333333333331</v>
      </c>
      <c r="L10" s="85" t="s">
        <v>128</v>
      </c>
      <c r="M10" s="88">
        <v>0.27845220030349016</v>
      </c>
      <c r="N10" s="85" t="s">
        <v>145</v>
      </c>
      <c r="O10" s="88">
        <v>0.16653944020356234</v>
      </c>
      <c r="P10" s="85" t="s">
        <v>184</v>
      </c>
      <c r="Q10" s="89">
        <v>8434</v>
      </c>
      <c r="R10" s="85" t="s">
        <v>172</v>
      </c>
      <c r="S10" s="89">
        <v>-8308.0645161290322</v>
      </c>
      <c r="T10" s="85" t="s">
        <v>128</v>
      </c>
      <c r="U10" s="87">
        <v>0.125</v>
      </c>
      <c r="V10" s="85" t="s">
        <v>172</v>
      </c>
      <c r="W10" s="87">
        <v>9.7087378640776698E-2</v>
      </c>
      <c r="X10" s="85" t="s">
        <v>200</v>
      </c>
      <c r="Y10" s="88">
        <v>0.2513089005235602</v>
      </c>
      <c r="Z10" s="85" t="s">
        <v>145</v>
      </c>
      <c r="AA10" s="88">
        <v>0.21437659033078879</v>
      </c>
      <c r="AB10" s="85" t="s">
        <v>127</v>
      </c>
      <c r="AC10" s="88">
        <v>0.58116232464929862</v>
      </c>
      <c r="AD10" s="85" t="s">
        <v>184</v>
      </c>
      <c r="AE10" s="88">
        <v>0.37777777777777777</v>
      </c>
      <c r="AF10" s="85" t="s">
        <v>145</v>
      </c>
      <c r="AG10" s="88">
        <v>0.43314822725331054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-259.40000000000003</v>
      </c>
      <c r="D11" s="85" t="s">
        <v>128</v>
      </c>
      <c r="E11" s="97">
        <v>-2.2650000000000001</v>
      </c>
      <c r="F11" s="85" t="s">
        <v>128</v>
      </c>
      <c r="G11" s="86">
        <v>2.0625</v>
      </c>
      <c r="H11" s="85" t="s">
        <v>173</v>
      </c>
      <c r="I11" s="87">
        <v>0.29090909090909089</v>
      </c>
      <c r="J11" s="85" t="s">
        <v>128</v>
      </c>
      <c r="K11" s="87">
        <v>0.33750000000000002</v>
      </c>
      <c r="L11" s="85" t="s">
        <v>184</v>
      </c>
      <c r="M11" s="88">
        <v>0.27624309392265195</v>
      </c>
      <c r="N11" s="85" t="s">
        <v>171</v>
      </c>
      <c r="O11" s="88">
        <v>0.17613636363636365</v>
      </c>
      <c r="P11" s="85" t="s">
        <v>129</v>
      </c>
      <c r="Q11" s="89">
        <v>8198.8338192419833</v>
      </c>
      <c r="R11" s="85" t="s">
        <v>171</v>
      </c>
      <c r="S11" s="89">
        <v>-8313.5483870967746</v>
      </c>
      <c r="T11" s="85" t="s">
        <v>271</v>
      </c>
      <c r="U11" s="87">
        <v>0.125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0.57664926435690556</v>
      </c>
      <c r="AD11" s="85" t="s">
        <v>173</v>
      </c>
      <c r="AE11" s="88">
        <v>0.34234234234234234</v>
      </c>
      <c r="AF11" s="85" t="s">
        <v>129</v>
      </c>
      <c r="AG11" s="88">
        <v>0.42274052478134111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-289.8</v>
      </c>
      <c r="D12" s="85" t="s">
        <v>172</v>
      </c>
      <c r="E12" s="97">
        <v>-2.518446601941748</v>
      </c>
      <c r="F12" s="85" t="s">
        <v>172</v>
      </c>
      <c r="G12" s="86">
        <v>2.0679611650485437</v>
      </c>
      <c r="H12" s="85" t="s">
        <v>129</v>
      </c>
      <c r="I12" s="87">
        <v>0.2857142857142857</v>
      </c>
      <c r="J12" s="85" t="s">
        <v>171</v>
      </c>
      <c r="K12" s="87">
        <v>0.33962264150943394</v>
      </c>
      <c r="L12" s="85" t="s">
        <v>177</v>
      </c>
      <c r="M12" s="88">
        <v>0.2752941176470588</v>
      </c>
      <c r="N12" s="85" t="s">
        <v>129</v>
      </c>
      <c r="O12" s="88">
        <v>0.17810331534309945</v>
      </c>
      <c r="P12" s="85" t="s">
        <v>200</v>
      </c>
      <c r="Q12" s="89">
        <v>8000</v>
      </c>
      <c r="R12" s="85" t="s">
        <v>129</v>
      </c>
      <c r="S12" s="89">
        <v>-8475.757575757576</v>
      </c>
      <c r="T12" s="85" t="s">
        <v>177</v>
      </c>
      <c r="U12" s="87">
        <v>0.12621359223300971</v>
      </c>
      <c r="V12" s="85" t="s">
        <v>173</v>
      </c>
      <c r="W12" s="87">
        <v>7.2727272727272724E-2</v>
      </c>
      <c r="X12" s="85" t="s">
        <v>222</v>
      </c>
      <c r="Y12" s="88">
        <v>0.23076923076923078</v>
      </c>
      <c r="Z12" s="85" t="s">
        <v>171</v>
      </c>
      <c r="AA12" s="88">
        <v>0.19886363636363635</v>
      </c>
      <c r="AB12" s="85" t="s">
        <v>171</v>
      </c>
      <c r="AC12" s="88">
        <v>0.56799999999999995</v>
      </c>
      <c r="AD12" s="85" t="s">
        <v>177</v>
      </c>
      <c r="AE12" s="88">
        <v>0.34177215189873417</v>
      </c>
      <c r="AF12" s="85" t="s">
        <v>127</v>
      </c>
      <c r="AG12" s="88">
        <v>0.41935483870967744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-6.3545454545454545</v>
      </c>
      <c r="F13" s="85" t="s">
        <v>173</v>
      </c>
      <c r="G13" s="86">
        <v>2.0909090909090908</v>
      </c>
      <c r="H13" s="85" t="s">
        <v>128</v>
      </c>
      <c r="I13" s="87">
        <v>0.27500000000000002</v>
      </c>
      <c r="J13" s="85" t="s">
        <v>173</v>
      </c>
      <c r="K13" s="87">
        <v>0.38181818181818183</v>
      </c>
      <c r="L13" s="85" t="s">
        <v>129</v>
      </c>
      <c r="M13" s="88">
        <v>0.26445643793369311</v>
      </c>
      <c r="N13" s="85" t="s">
        <v>173</v>
      </c>
      <c r="O13" s="88">
        <v>0.17954070981210857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200</v>
      </c>
      <c r="U13" s="87">
        <v>0.14285714285714285</v>
      </c>
      <c r="V13" s="85" t="s">
        <v>200</v>
      </c>
      <c r="W13" s="87">
        <v>4.7619047619047616E-2</v>
      </c>
      <c r="X13" s="85" t="s">
        <v>173</v>
      </c>
      <c r="Y13" s="88">
        <v>0.22129436325678498</v>
      </c>
      <c r="Z13" s="85" t="s">
        <v>129</v>
      </c>
      <c r="AA13" s="88">
        <v>0.19352351580570548</v>
      </c>
      <c r="AB13" s="85" t="s">
        <v>173</v>
      </c>
      <c r="AC13" s="88">
        <v>0.56603773584905659</v>
      </c>
      <c r="AD13" s="85" t="s">
        <v>129</v>
      </c>
      <c r="AE13" s="88">
        <v>0.33067729083665337</v>
      </c>
      <c r="AF13" s="85" t="s">
        <v>271</v>
      </c>
      <c r="AG13" s="88">
        <v>0.41176470588235292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-349.5</v>
      </c>
      <c r="D14" s="85" t="s">
        <v>129</v>
      </c>
      <c r="E14" s="97">
        <v>-9.3025974025974012</v>
      </c>
      <c r="F14" s="85" t="s">
        <v>129</v>
      </c>
      <c r="G14" s="86">
        <v>2.1428571428571428</v>
      </c>
      <c r="H14" s="85" t="s">
        <v>172</v>
      </c>
      <c r="I14" s="87">
        <v>0.24271844660194175</v>
      </c>
      <c r="J14" s="85" t="s">
        <v>129</v>
      </c>
      <c r="K14" s="87">
        <v>0.42857142857142855</v>
      </c>
      <c r="L14" s="85" t="s">
        <v>183</v>
      </c>
      <c r="M14" s="88">
        <v>0.26315789473684209</v>
      </c>
      <c r="N14" s="85" t="s">
        <v>128</v>
      </c>
      <c r="O14" s="88">
        <v>0.18057663125948406</v>
      </c>
      <c r="P14" s="85" t="s">
        <v>173</v>
      </c>
      <c r="Q14" s="89">
        <v>7540.579710144928</v>
      </c>
      <c r="R14" s="85" t="s">
        <v>184</v>
      </c>
      <c r="S14" s="89">
        <v>-9878.0487804878048</v>
      </c>
      <c r="T14" s="85" t="s">
        <v>173</v>
      </c>
      <c r="U14" s="87">
        <v>0.14545454545454545</v>
      </c>
      <c r="V14" s="85" t="s">
        <v>183</v>
      </c>
      <c r="W14" s="87">
        <v>0</v>
      </c>
      <c r="X14" s="85" t="s">
        <v>172</v>
      </c>
      <c r="Y14" s="88">
        <v>0.21180555555555555</v>
      </c>
      <c r="Z14" s="85" t="s">
        <v>177</v>
      </c>
      <c r="AA14" s="88">
        <v>0.18588235294117647</v>
      </c>
      <c r="AB14" s="85" t="s">
        <v>172</v>
      </c>
      <c r="AC14" s="88">
        <v>0.55737704918032782</v>
      </c>
      <c r="AD14" s="85" t="s">
        <v>128</v>
      </c>
      <c r="AE14" s="88">
        <v>0.32158590308370044</v>
      </c>
      <c r="AF14" s="85" t="s">
        <v>171</v>
      </c>
      <c r="AG14" s="88">
        <v>0.40234375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-362.40000000000003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0.2361111111111111</v>
      </c>
      <c r="N15" s="85" t="s">
        <v>184</v>
      </c>
      <c r="O15" s="88">
        <v>0.22651933701657459</v>
      </c>
      <c r="P15" s="85" t="s">
        <v>271</v>
      </c>
      <c r="Q15" s="89">
        <v>6776.4705882352937</v>
      </c>
      <c r="R15" s="85" t="s">
        <v>223</v>
      </c>
      <c r="S15" s="89">
        <v>-10583.333333333334</v>
      </c>
      <c r="T15" s="85" t="s">
        <v>129</v>
      </c>
      <c r="U15" s="87">
        <v>0.15584415584415584</v>
      </c>
      <c r="V15" s="85" t="s">
        <v>222</v>
      </c>
      <c r="W15" s="87">
        <v>0</v>
      </c>
      <c r="X15" s="85" t="s">
        <v>271</v>
      </c>
      <c r="Y15" s="88">
        <v>0.18055555555555555</v>
      </c>
      <c r="Z15" s="85" t="s">
        <v>128</v>
      </c>
      <c r="AA15" s="88">
        <v>0.17223065250379363</v>
      </c>
      <c r="AB15" s="85" t="s">
        <v>129</v>
      </c>
      <c r="AC15" s="88">
        <v>0.52583586626139822</v>
      </c>
      <c r="AD15" s="85" t="s">
        <v>271</v>
      </c>
      <c r="AE15" s="88">
        <v>0.25</v>
      </c>
      <c r="AF15" s="85" t="s">
        <v>172</v>
      </c>
      <c r="AG15" s="88">
        <v>0.39655172413793105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-1432.6</v>
      </c>
      <c r="D16" s="85" t="s">
        <v>271</v>
      </c>
      <c r="E16" s="97">
        <v>-36.225000000000001</v>
      </c>
      <c r="F16" s="85" t="s">
        <v>271</v>
      </c>
      <c r="G16" s="86">
        <v>2.75</v>
      </c>
      <c r="H16" s="85" t="s">
        <v>271</v>
      </c>
      <c r="I16" s="87">
        <v>0</v>
      </c>
      <c r="J16" s="85" t="s">
        <v>271</v>
      </c>
      <c r="K16" s="87">
        <v>0.75</v>
      </c>
      <c r="L16" s="85" t="s">
        <v>222</v>
      </c>
      <c r="M16" s="88">
        <v>0.15384615384615385</v>
      </c>
      <c r="N16" s="85" t="s">
        <v>271</v>
      </c>
      <c r="O16" s="88">
        <v>0.2638888888888889</v>
      </c>
      <c r="P16" s="85" t="s">
        <v>172</v>
      </c>
      <c r="Q16" s="89">
        <v>6773.7931034482763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xmlns:xlrd2="http://schemas.microsoft.com/office/spreadsheetml/2017/richdata2"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945</v>
      </c>
      <c r="C2" s="151"/>
      <c r="E2" s="62" t="s">
        <v>67</v>
      </c>
      <c r="F2" s="59" t="s">
        <v>23</v>
      </c>
      <c r="G2" s="46">
        <v>1671</v>
      </c>
      <c r="H2" s="132">
        <f>IF(B$17=0,0,G2/B$17)</f>
        <v>0.71379752242631356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-17.989417989417991</v>
      </c>
      <c r="P2" s="118">
        <v>945</v>
      </c>
      <c r="Q2" s="102">
        <v>-17000</v>
      </c>
    </row>
    <row r="3" spans="1:17" x14ac:dyDescent="0.4">
      <c r="A3" s="55" t="s">
        <v>8</v>
      </c>
      <c r="B3" s="152">
        <v>7860</v>
      </c>
      <c r="C3" s="153"/>
      <c r="E3" s="63" t="s">
        <v>73</v>
      </c>
      <c r="F3" s="60" t="s">
        <v>28</v>
      </c>
      <c r="G3" s="47">
        <v>1216</v>
      </c>
      <c r="H3" s="133">
        <f>IF(B$17=0,0,G3/B$17)</f>
        <v>0.51943613840239211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-7.5757575757575761</v>
      </c>
      <c r="P3" s="119">
        <v>924</v>
      </c>
      <c r="Q3" s="103">
        <v>-7000</v>
      </c>
    </row>
    <row r="4" spans="1:17" x14ac:dyDescent="0.4">
      <c r="A4" s="55" t="s">
        <v>6</v>
      </c>
      <c r="B4" s="154">
        <v>-1.0658141036401503E-14</v>
      </c>
      <c r="C4" s="155"/>
      <c r="E4" s="63" t="s">
        <v>65</v>
      </c>
      <c r="F4" s="60" t="s">
        <v>21</v>
      </c>
      <c r="G4" s="47">
        <v>1156</v>
      </c>
      <c r="H4" s="133">
        <f>IF(B$17=0,0,G4/B$17)</f>
        <v>0.49380606578385305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16.203703703703702</v>
      </c>
      <c r="P4" s="119">
        <v>864</v>
      </c>
      <c r="Q4" s="103">
        <v>14000</v>
      </c>
    </row>
    <row r="5" spans="1:17" x14ac:dyDescent="0.4">
      <c r="A5" s="55" t="s">
        <v>7</v>
      </c>
      <c r="B5" s="156">
        <f>IF(B$2=0,0,B$4/B$2)</f>
        <v>-1.1278456123176193E-17</v>
      </c>
      <c r="C5" s="157"/>
      <c r="E5" s="63" t="s">
        <v>245</v>
      </c>
      <c r="F5" s="60" t="s">
        <v>246</v>
      </c>
      <c r="G5" s="47">
        <v>945</v>
      </c>
      <c r="H5" s="133">
        <f>IF(B$17=0,0,G5/B$17)</f>
        <v>0.40367364374199061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3.7735849056603774</v>
      </c>
      <c r="P5" s="119">
        <v>795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727</v>
      </c>
      <c r="H6" s="133">
        <f>IF(B$17=0,0,G6/B$17)</f>
        <v>0.31055104656129862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-12.552301255230125</v>
      </c>
      <c r="P6" s="119">
        <v>717</v>
      </c>
      <c r="Q6" s="103">
        <v>-9000</v>
      </c>
    </row>
    <row r="7" spans="1:17" x14ac:dyDescent="0.4">
      <c r="A7" s="55" t="s">
        <v>2</v>
      </c>
      <c r="B7" s="47">
        <v>315</v>
      </c>
      <c r="C7" s="39">
        <f>IF(B$2=0,0,B7/B$2)</f>
        <v>0.33333333333333331</v>
      </c>
      <c r="E7" s="63" t="s">
        <v>68</v>
      </c>
      <c r="F7" s="60" t="s">
        <v>24</v>
      </c>
      <c r="G7" s="47">
        <v>701</v>
      </c>
      <c r="H7" s="133">
        <f>IF(B$17=0,0,G7/B$17)</f>
        <v>0.29944468175993166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25.518341307814993</v>
      </c>
      <c r="P7" s="120">
        <v>627</v>
      </c>
      <c r="Q7" s="104">
        <v>16000</v>
      </c>
    </row>
    <row r="8" spans="1:17" x14ac:dyDescent="0.4">
      <c r="A8" s="55" t="s">
        <v>3</v>
      </c>
      <c r="B8" s="47">
        <v>315</v>
      </c>
      <c r="C8" s="39">
        <f>IF(B$2=0,0,B8/B$2)</f>
        <v>0.33333333333333331</v>
      </c>
      <c r="E8" s="63" t="s">
        <v>70</v>
      </c>
      <c r="F8" s="60" t="s">
        <v>25</v>
      </c>
      <c r="G8" s="47">
        <v>397</v>
      </c>
      <c r="H8" s="133">
        <f>IF(B$17=0,0,G8/B$17)</f>
        <v>0.16958564715933361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315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306</v>
      </c>
      <c r="H9" s="133">
        <f>IF(B$17=0,0,G9/B$17)</f>
        <v>0.13071337035454933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110</v>
      </c>
      <c r="C10" s="40">
        <f>IF(B$2=0,0,B10/B$2)</f>
        <v>0.1164021164021164</v>
      </c>
      <c r="E10" s="63" t="s">
        <v>66</v>
      </c>
      <c r="F10" s="60" t="s">
        <v>22</v>
      </c>
      <c r="G10" s="47">
        <v>256</v>
      </c>
      <c r="H10" s="133">
        <f>IF(B$17=0,0,G10/B$17)</f>
        <v>0.10935497650576677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-2.800634920634919</v>
      </c>
      <c r="P10" s="118">
        <v>315</v>
      </c>
      <c r="Q10" s="106">
        <v>-882.19999999999948</v>
      </c>
    </row>
    <row r="11" spans="1:17" x14ac:dyDescent="0.4">
      <c r="A11" s="56" t="s">
        <v>140</v>
      </c>
      <c r="B11" s="48">
        <v>110</v>
      </c>
      <c r="C11" s="40">
        <f>IF(B$2=0,0,B11/B$2)</f>
        <v>0.1164021164021164</v>
      </c>
      <c r="E11" s="63" t="s">
        <v>71</v>
      </c>
      <c r="F11" s="60" t="s">
        <v>26</v>
      </c>
      <c r="G11" s="47">
        <v>238</v>
      </c>
      <c r="H11" s="133">
        <f>IF(B$17=0,0,G11/B$17)</f>
        <v>0.10166595472020504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1.6774603174603182</v>
      </c>
      <c r="P11" s="119">
        <v>315</v>
      </c>
      <c r="Q11" s="107">
        <v>528.4000000000002</v>
      </c>
    </row>
    <row r="12" spans="1:17" x14ac:dyDescent="0.4">
      <c r="A12" s="57" t="s">
        <v>160</v>
      </c>
      <c r="B12" s="49">
        <v>84</v>
      </c>
      <c r="C12" s="42">
        <f>IF(B$2=0,0,B12/B$2)</f>
        <v>8.8888888888888892E-2</v>
      </c>
      <c r="E12" s="63" t="s">
        <v>72</v>
      </c>
      <c r="F12" s="60" t="s">
        <v>27</v>
      </c>
      <c r="G12" s="47">
        <v>155</v>
      </c>
      <c r="H12" s="133">
        <f>IF(B$17=0,0,G12/B$17)</f>
        <v>6.6211020931225967E-2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1.1231746031746026</v>
      </c>
      <c r="P12" s="120">
        <v>315</v>
      </c>
      <c r="Q12" s="108">
        <v>353.79999999999984</v>
      </c>
    </row>
    <row r="13" spans="1:17" x14ac:dyDescent="0.4">
      <c r="A13" s="58" t="s">
        <v>122</v>
      </c>
      <c r="B13" s="50">
        <v>2107</v>
      </c>
      <c r="C13" s="44">
        <f>IF(B$3=0,0,B13/B$3)</f>
        <v>0.26806615776081427</v>
      </c>
      <c r="E13" s="63" t="s">
        <v>87</v>
      </c>
      <c r="F13" s="60" t="s">
        <v>42</v>
      </c>
      <c r="G13" s="47">
        <v>136</v>
      </c>
      <c r="H13" s="133">
        <f>IF(B$17=0,0,G13/B$17)</f>
        <v>5.8094831268688592E-2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1685</v>
      </c>
      <c r="C14" s="39">
        <f>IF(B$3=0,0,B14/B$3)</f>
        <v>0.21437659033078879</v>
      </c>
      <c r="E14" s="63" t="s">
        <v>84</v>
      </c>
      <c r="F14" s="60" t="s">
        <v>39</v>
      </c>
      <c r="G14" s="47">
        <v>113</v>
      </c>
      <c r="H14" s="133">
        <f>IF(B$17=0,0,G14/B$17)</f>
        <v>4.8269970098248613E-2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1215</v>
      </c>
      <c r="C15" s="37">
        <f>IF(B$13=0,0,B15/B$13)</f>
        <v>0.57664926435690556</v>
      </c>
      <c r="E15" s="63" t="s">
        <v>79</v>
      </c>
      <c r="F15" s="60" t="s">
        <v>34</v>
      </c>
      <c r="G15" s="47">
        <v>64</v>
      </c>
      <c r="H15" s="133">
        <f>IF(B$17=0,0,G15/B$17)</f>
        <v>2.7338744126441692E-2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54.337499999999999</v>
      </c>
      <c r="P15" s="118">
        <v>16</v>
      </c>
      <c r="Q15" s="106">
        <v>869.4</v>
      </c>
    </row>
    <row r="16" spans="1:17" x14ac:dyDescent="0.4">
      <c r="A16" s="54" t="s">
        <v>125</v>
      </c>
      <c r="B16" s="46">
        <v>671</v>
      </c>
      <c r="C16" s="37">
        <f>IF(B$14=0,0,B16/B$14)</f>
        <v>0.39821958456973294</v>
      </c>
      <c r="E16" s="63" t="s">
        <v>82</v>
      </c>
      <c r="F16" s="60" t="s">
        <v>37</v>
      </c>
      <c r="G16" s="47">
        <v>60</v>
      </c>
      <c r="H16" s="133">
        <f>IF(B$17=0,0,G16/B$17)</f>
        <v>2.5630072618539085E-2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2341</v>
      </c>
      <c r="C17" s="37">
        <f>IF(B$3=0,0,B17/B$3)</f>
        <v>0.29783715012722645</v>
      </c>
      <c r="E17" s="63" t="s">
        <v>92</v>
      </c>
      <c r="F17" s="60" t="s">
        <v>47</v>
      </c>
      <c r="G17" s="47">
        <v>46</v>
      </c>
      <c r="H17" s="133">
        <f>IF(B$17=0,0,G17/B$17)</f>
        <v>1.9649722340879965E-2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13.953896103896136</v>
      </c>
      <c r="P17" s="119">
        <v>308</v>
      </c>
      <c r="Q17" s="107">
        <v>4297.8000000000102</v>
      </c>
    </row>
    <row r="18" spans="1:17" x14ac:dyDescent="0.4">
      <c r="A18" s="55" t="s">
        <v>12</v>
      </c>
      <c r="B18" s="47">
        <v>1014</v>
      </c>
      <c r="C18" s="39">
        <f>IF(B$17=0,0,B18/B$17)</f>
        <v>0.43314822725331054</v>
      </c>
      <c r="E18" s="63" t="s">
        <v>180</v>
      </c>
      <c r="F18" s="60" t="s">
        <v>181</v>
      </c>
      <c r="G18" s="47">
        <v>41</v>
      </c>
      <c r="H18" s="133">
        <f>IF(B$17=0,0,G18/B$17)</f>
        <v>1.751388295600171E-2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9.5318181818181795</v>
      </c>
      <c r="P18" s="119">
        <v>110</v>
      </c>
      <c r="Q18" s="107">
        <v>1048.4999999999998</v>
      </c>
    </row>
    <row r="19" spans="1:17" x14ac:dyDescent="0.4">
      <c r="A19" s="55" t="s">
        <v>11</v>
      </c>
      <c r="B19" s="47">
        <v>1327</v>
      </c>
      <c r="C19" s="39">
        <f>IF(B$17=0,0,B19/B$17)</f>
        <v>0.56685177274668941</v>
      </c>
      <c r="E19" s="63" t="s">
        <v>80</v>
      </c>
      <c r="F19" s="60" t="s">
        <v>35</v>
      </c>
      <c r="G19" s="47">
        <v>39</v>
      </c>
      <c r="H19" s="133">
        <f>IF(B$17=0,0,G19/B$17)</f>
        <v>1.6659547202050404E-2</v>
      </c>
      <c r="I19" s="94">
        <v>6</v>
      </c>
      <c r="K19" s="38">
        <v>17</v>
      </c>
      <c r="L19" s="99">
        <v>8.2999999999999972</v>
      </c>
      <c r="N19" s="115" t="s">
        <v>172</v>
      </c>
      <c r="O19" s="125">
        <f>IF(P19=0,0,Q19/P19)</f>
        <v>3.7776699029126211</v>
      </c>
      <c r="P19" s="119">
        <v>206</v>
      </c>
      <c r="Q19" s="107">
        <v>778.19999999999993</v>
      </c>
    </row>
    <row r="20" spans="1:17" x14ac:dyDescent="0.4">
      <c r="A20" s="55" t="s">
        <v>13</v>
      </c>
      <c r="B20" s="47">
        <v>1309</v>
      </c>
      <c r="C20" s="39">
        <f>IF(B$3=0,0,B20/B$3)</f>
        <v>0.16653944020356234</v>
      </c>
      <c r="E20" s="63" t="s">
        <v>78</v>
      </c>
      <c r="F20" s="60" t="s">
        <v>33</v>
      </c>
      <c r="G20" s="47">
        <v>19</v>
      </c>
      <c r="H20" s="133">
        <f>IF(B$17=0,0,G20/B$17)</f>
        <v>8.1161896625373767E-3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3.3975000000000017</v>
      </c>
      <c r="P20" s="119">
        <v>320</v>
      </c>
      <c r="Q20" s="107">
        <v>1087.2000000000005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15</v>
      </c>
      <c r="H21" s="133">
        <f>IF(B$17=0,0,G21/B$17)</f>
        <v>6.4075181546347712E-3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-0.98592233009708918</v>
      </c>
      <c r="P21" s="119">
        <v>206</v>
      </c>
      <c r="Q21" s="107">
        <v>-203.10000000000036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13</v>
      </c>
      <c r="H22" s="133">
        <f>IF(B$17=0,0,G22/B$17)</f>
        <v>5.5531824006834684E-3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-1.9882075471698091</v>
      </c>
      <c r="P22" s="119">
        <v>212</v>
      </c>
      <c r="Q22" s="107">
        <v>-421.49999999999955</v>
      </c>
    </row>
    <row r="23" spans="1:17" x14ac:dyDescent="0.4">
      <c r="A23" s="55" t="s">
        <v>5</v>
      </c>
      <c r="B23" s="51">
        <f>IF(B$17=0,0,C23/B$17)</f>
        <v>8596.1554891072192</v>
      </c>
      <c r="C23" s="41">
        <v>20123600</v>
      </c>
      <c r="E23" s="63" t="s">
        <v>86</v>
      </c>
      <c r="F23" s="60" t="s">
        <v>41</v>
      </c>
      <c r="G23" s="47">
        <v>12</v>
      </c>
      <c r="H23" s="133">
        <f>IF(B$17=0,0,G23/B$17)</f>
        <v>5.1260145237078175E-3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-5.9142857142857093</v>
      </c>
      <c r="P23" s="119">
        <v>42</v>
      </c>
      <c r="Q23" s="107">
        <v>-248.39999999999981</v>
      </c>
    </row>
    <row r="24" spans="1:17" x14ac:dyDescent="0.4">
      <c r="A24" s="57" t="s">
        <v>14</v>
      </c>
      <c r="B24" s="52">
        <f>IF(B$20=0,0,C24/B$20)</f>
        <v>-8072.498090145149</v>
      </c>
      <c r="C24" s="45">
        <v>-10566900</v>
      </c>
      <c r="E24" s="63" t="s">
        <v>75</v>
      </c>
      <c r="F24" s="60" t="s">
        <v>30</v>
      </c>
      <c r="G24" s="47">
        <v>9</v>
      </c>
      <c r="H24" s="133">
        <f>IF(B$17=0,0,G24/B$17)</f>
        <v>3.8445108927808629E-3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-18.869402985074618</v>
      </c>
      <c r="P24" s="119">
        <v>402</v>
      </c>
      <c r="Q24" s="107">
        <v>-7585.4999999999973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3.4173430158052115E-3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2.9901751388295601E-3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20</v>
      </c>
      <c r="C27" s="42">
        <f>IF(B$3=0,0,B27/B$3)</f>
        <v>2.5445292620865142E-3</v>
      </c>
      <c r="E27" s="63" t="s">
        <v>85</v>
      </c>
      <c r="F27" s="60" t="s">
        <v>40</v>
      </c>
      <c r="G27" s="47">
        <v>6</v>
      </c>
      <c r="H27" s="133">
        <f>IF(B$17=0,0,G27/B$17)</f>
        <v>2.5630072618539087E-3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2.5630072618539087E-3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2.5630072618539087E-3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1.7086715079026058E-3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8.5433575395130288E-4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4.2716787697565144E-4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4.2716787697565144E-4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4.2716787697565144E-4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</sheetData>
  <sortState xmlns:xlrd2="http://schemas.microsoft.com/office/spreadsheetml/2017/richdata2"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0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201</v>
      </c>
      <c r="C2" s="151"/>
      <c r="E2" s="62" t="s">
        <v>67</v>
      </c>
      <c r="F2" s="59" t="s">
        <v>23</v>
      </c>
      <c r="G2" s="46">
        <v>420</v>
      </c>
      <c r="H2" s="132">
        <f>IF(B$17=0,0,G2/B$17)</f>
        <v>0.75268817204301075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1042.2885572139303</v>
      </c>
      <c r="P2" s="118">
        <v>201</v>
      </c>
      <c r="Q2" s="102">
        <v>209500</v>
      </c>
    </row>
    <row r="3" spans="1:17" x14ac:dyDescent="0.4">
      <c r="A3" s="55" t="s">
        <v>8</v>
      </c>
      <c r="B3" s="152">
        <v>1650</v>
      </c>
      <c r="C3" s="153"/>
      <c r="E3" s="63" t="s">
        <v>73</v>
      </c>
      <c r="F3" s="60" t="s">
        <v>28</v>
      </c>
      <c r="G3" s="47">
        <v>314</v>
      </c>
      <c r="H3" s="133">
        <f>IF(B$17=0,0,G3/B$17)</f>
        <v>0.56272401433691754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1976.0204081632653</v>
      </c>
      <c r="P3" s="119">
        <v>196</v>
      </c>
      <c r="Q3" s="103">
        <v>387300</v>
      </c>
    </row>
    <row r="4" spans="1:17" x14ac:dyDescent="0.4">
      <c r="A4" s="55" t="s">
        <v>6</v>
      </c>
      <c r="B4" s="154">
        <v>2528.5</v>
      </c>
      <c r="C4" s="155"/>
      <c r="E4" s="63" t="s">
        <v>65</v>
      </c>
      <c r="F4" s="60" t="s">
        <v>21</v>
      </c>
      <c r="G4" s="47">
        <v>263</v>
      </c>
      <c r="H4" s="133">
        <f>IF(B$17=0,0,G4/B$17)</f>
        <v>0.47132616487455198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924.59893048128345</v>
      </c>
      <c r="P4" s="119">
        <v>187</v>
      </c>
      <c r="Q4" s="103">
        <v>172900</v>
      </c>
    </row>
    <row r="5" spans="1:17" x14ac:dyDescent="0.4">
      <c r="A5" s="55" t="s">
        <v>7</v>
      </c>
      <c r="B5" s="156">
        <f>IF(B$2=0,0,B$4/B$2)</f>
        <v>12.579601990049751</v>
      </c>
      <c r="C5" s="157"/>
      <c r="E5" s="63" t="s">
        <v>245</v>
      </c>
      <c r="F5" s="60" t="s">
        <v>246</v>
      </c>
      <c r="G5" s="47">
        <v>222</v>
      </c>
      <c r="H5" s="133">
        <f>IF(B$17=0,0,G5/B$17)</f>
        <v>0.39784946236559138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2316.8604651162791</v>
      </c>
      <c r="P5" s="119">
        <v>172</v>
      </c>
      <c r="Q5" s="103">
        <v>398500</v>
      </c>
    </row>
    <row r="6" spans="1:17" x14ac:dyDescent="0.4">
      <c r="A6" s="55" t="s">
        <v>1</v>
      </c>
      <c r="B6" s="146">
        <f>IF(B$2=0,0,(B$7*1+B$8*2+B$9*3)/B$2)</f>
        <v>1.7562189054726369</v>
      </c>
      <c r="C6" s="147"/>
      <c r="E6" s="63" t="s">
        <v>68</v>
      </c>
      <c r="F6" s="60" t="s">
        <v>24</v>
      </c>
      <c r="G6" s="47">
        <v>168</v>
      </c>
      <c r="H6" s="133">
        <f>IF(B$17=0,0,G6/B$17)</f>
        <v>0.30107526881720431</v>
      </c>
      <c r="I6" s="94">
        <v>7</v>
      </c>
      <c r="K6" s="38">
        <v>4</v>
      </c>
      <c r="L6" s="99">
        <v>110.5</v>
      </c>
      <c r="N6" s="115" t="s">
        <v>136</v>
      </c>
      <c r="O6" s="122">
        <f t="shared" si="0"/>
        <v>1368.8311688311687</v>
      </c>
      <c r="P6" s="119">
        <v>154</v>
      </c>
      <c r="Q6" s="103">
        <v>210800</v>
      </c>
    </row>
    <row r="7" spans="1:17" x14ac:dyDescent="0.4">
      <c r="A7" s="55" t="s">
        <v>2</v>
      </c>
      <c r="B7" s="47">
        <v>97</v>
      </c>
      <c r="C7" s="39">
        <f>IF(B$2=0,0,B7/B$2)</f>
        <v>0.48258706467661694</v>
      </c>
      <c r="E7" s="63" t="s">
        <v>69</v>
      </c>
      <c r="F7" s="60" t="s">
        <v>12</v>
      </c>
      <c r="G7" s="47">
        <v>153</v>
      </c>
      <c r="H7" s="133">
        <f>IF(B$17=0,0,G7/B$17)</f>
        <v>0.27419354838709675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1243.939393939394</v>
      </c>
      <c r="P7" s="120">
        <v>132</v>
      </c>
      <c r="Q7" s="104">
        <v>164200</v>
      </c>
    </row>
    <row r="8" spans="1:17" x14ac:dyDescent="0.4">
      <c r="A8" s="55" t="s">
        <v>3</v>
      </c>
      <c r="B8" s="47">
        <v>56</v>
      </c>
      <c r="C8" s="39">
        <f>IF(B$2=0,0,B8/B$2)</f>
        <v>0.27860696517412936</v>
      </c>
      <c r="E8" s="63" t="s">
        <v>90</v>
      </c>
      <c r="F8" s="60" t="s">
        <v>45</v>
      </c>
      <c r="G8" s="47">
        <v>93</v>
      </c>
      <c r="H8" s="133">
        <f>IF(B$17=0,0,G8/B$17)</f>
        <v>0.16666666666666666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48</v>
      </c>
      <c r="C9" s="40">
        <f t="shared" ref="C9" si="1">IF(B$2=0,0,B9/B$2)</f>
        <v>0.23880597014925373</v>
      </c>
      <c r="E9" s="63" t="s">
        <v>70</v>
      </c>
      <c r="F9" s="60" t="s">
        <v>25</v>
      </c>
      <c r="G9" s="47">
        <v>91</v>
      </c>
      <c r="H9" s="133">
        <f>IF(B$17=0,0,G9/B$17)</f>
        <v>0.16308243727598568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8.45771144278607E-2</v>
      </c>
      <c r="E10" s="63" t="s">
        <v>66</v>
      </c>
      <c r="F10" s="60" t="s">
        <v>22</v>
      </c>
      <c r="G10" s="47">
        <v>67</v>
      </c>
      <c r="H10" s="133">
        <f>IF(B$17=0,0,G10/B$17)</f>
        <v>0.12007168458781362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16.108196721311479</v>
      </c>
      <c r="P10" s="118">
        <v>61</v>
      </c>
      <c r="Q10" s="106">
        <v>982.60000000000014</v>
      </c>
    </row>
    <row r="11" spans="1:17" x14ac:dyDescent="0.4">
      <c r="A11" s="56" t="s">
        <v>140</v>
      </c>
      <c r="B11" s="48">
        <v>33</v>
      </c>
      <c r="C11" s="40">
        <f>IF(B$2=0,0,B11/B$2)</f>
        <v>0.16417910447761194</v>
      </c>
      <c r="E11" s="63" t="s">
        <v>71</v>
      </c>
      <c r="F11" s="60" t="s">
        <v>26</v>
      </c>
      <c r="G11" s="47">
        <v>46</v>
      </c>
      <c r="H11" s="133">
        <f>IF(B$17=0,0,G11/B$17)</f>
        <v>8.2437275985663083E-2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11.327692307692306</v>
      </c>
      <c r="P11" s="119">
        <v>65</v>
      </c>
      <c r="Q11" s="107">
        <v>736.3</v>
      </c>
    </row>
    <row r="12" spans="1:17" x14ac:dyDescent="0.4">
      <c r="A12" s="57" t="s">
        <v>160</v>
      </c>
      <c r="B12" s="49">
        <v>28</v>
      </c>
      <c r="C12" s="42">
        <f>IF(B$2=0,0,B12/B$2)</f>
        <v>0.13930348258706468</v>
      </c>
      <c r="E12" s="63" t="s">
        <v>87</v>
      </c>
      <c r="F12" s="60" t="s">
        <v>42</v>
      </c>
      <c r="G12" s="47">
        <v>38</v>
      </c>
      <c r="H12" s="133">
        <f>IF(B$17=0,0,G12/B$17)</f>
        <v>6.8100358422939072E-2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10.794666666666672</v>
      </c>
      <c r="P12" s="120">
        <v>75</v>
      </c>
      <c r="Q12" s="108">
        <v>809.60000000000036</v>
      </c>
    </row>
    <row r="13" spans="1:17" x14ac:dyDescent="0.4">
      <c r="A13" s="58" t="s">
        <v>122</v>
      </c>
      <c r="B13" s="50">
        <v>499</v>
      </c>
      <c r="C13" s="44">
        <f>IF(B$3=0,0,B13/B$3)</f>
        <v>0.30242424242424243</v>
      </c>
      <c r="E13" s="63" t="s">
        <v>72</v>
      </c>
      <c r="F13" s="60" t="s">
        <v>27</v>
      </c>
      <c r="G13" s="47">
        <v>35</v>
      </c>
      <c r="H13" s="133">
        <f>IF(B$17=0,0,G13/B$17)</f>
        <v>6.2724014336917558E-2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362</v>
      </c>
      <c r="C14" s="39">
        <f>IF(B$3=0,0,B14/B$3)</f>
        <v>0.21939393939393939</v>
      </c>
      <c r="E14" s="63" t="s">
        <v>84</v>
      </c>
      <c r="F14" s="60" t="s">
        <v>39</v>
      </c>
      <c r="G14" s="47">
        <v>28</v>
      </c>
      <c r="H14" s="133">
        <f>IF(B$17=0,0,G14/B$17)</f>
        <v>5.0179211469534052E-2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290</v>
      </c>
      <c r="C15" s="37">
        <f>IF(B$13=0,0,B15/B$13)</f>
        <v>0.58116232464929862</v>
      </c>
      <c r="E15" s="63" t="s">
        <v>180</v>
      </c>
      <c r="F15" s="60" t="s">
        <v>181</v>
      </c>
      <c r="G15" s="47">
        <v>23</v>
      </c>
      <c r="H15" s="133">
        <f>IF(B$17=0,0,G15/B$17)</f>
        <v>4.1218637992831542E-2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184</v>
      </c>
      <c r="C16" s="37">
        <f>IF(B$14=0,0,B16/B$14)</f>
        <v>0.50828729281767959</v>
      </c>
      <c r="E16" s="63" t="s">
        <v>79</v>
      </c>
      <c r="F16" s="60" t="s">
        <v>34</v>
      </c>
      <c r="G16" s="47">
        <v>13</v>
      </c>
      <c r="H16" s="133">
        <f>IF(B$17=0,0,G16/B$17)</f>
        <v>2.3297491039426525E-2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558</v>
      </c>
      <c r="C17" s="37">
        <f>IF(B$3=0,0,B17/B$3)</f>
        <v>0.33818181818181819</v>
      </c>
      <c r="E17" s="63" t="s">
        <v>92</v>
      </c>
      <c r="F17" s="60" t="s">
        <v>47</v>
      </c>
      <c r="G17" s="47">
        <v>13</v>
      </c>
      <c r="H17" s="133">
        <f>IF(B$17=0,0,G17/B$17)</f>
        <v>2.3297491039426525E-2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234</v>
      </c>
      <c r="C18" s="39">
        <f>IF(B$17=0,0,B18/B$17)</f>
        <v>0.41935483870967744</v>
      </c>
      <c r="E18" s="63" t="s">
        <v>82</v>
      </c>
      <c r="F18" s="60" t="s">
        <v>37</v>
      </c>
      <c r="G18" s="47">
        <v>12</v>
      </c>
      <c r="H18" s="133">
        <f>IF(B$17=0,0,G18/B$17)</f>
        <v>2.1505376344086023E-2</v>
      </c>
      <c r="I18" s="94">
        <v>8</v>
      </c>
      <c r="K18" s="38">
        <v>16</v>
      </c>
      <c r="L18" s="99">
        <v>425.50000000000006</v>
      </c>
      <c r="N18" s="115" t="s">
        <v>172</v>
      </c>
      <c r="O18" s="125">
        <f>IF(P18=0,0,Q18/P18)</f>
        <v>27.732075471698106</v>
      </c>
      <c r="P18" s="119">
        <v>53</v>
      </c>
      <c r="Q18" s="107">
        <v>1469.7999999999997</v>
      </c>
    </row>
    <row r="19" spans="1:17" x14ac:dyDescent="0.4">
      <c r="A19" s="55" t="s">
        <v>11</v>
      </c>
      <c r="B19" s="47">
        <v>324</v>
      </c>
      <c r="C19" s="39">
        <f>IF(B$17=0,0,B19/B$17)</f>
        <v>0.58064516129032262</v>
      </c>
      <c r="E19" s="63" t="s">
        <v>80</v>
      </c>
      <c r="F19" s="60" t="s">
        <v>35</v>
      </c>
      <c r="G19" s="47">
        <v>8</v>
      </c>
      <c r="H19" s="133">
        <f>IF(B$17=0,0,G19/B$17)</f>
        <v>1.4336917562724014E-2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26.634782608695652</v>
      </c>
      <c r="P19" s="119">
        <v>92</v>
      </c>
      <c r="Q19" s="107">
        <v>2450.4</v>
      </c>
    </row>
    <row r="20" spans="1:17" x14ac:dyDescent="0.4">
      <c r="A20" s="55" t="s">
        <v>13</v>
      </c>
      <c r="B20" s="47">
        <v>248</v>
      </c>
      <c r="C20" s="39">
        <f>IF(B$3=0,0,B20/B$3)</f>
        <v>0.1503030303030303</v>
      </c>
      <c r="E20" s="63" t="s">
        <v>86</v>
      </c>
      <c r="F20" s="60" t="s">
        <v>41</v>
      </c>
      <c r="G20" s="47">
        <v>6</v>
      </c>
      <c r="H20" s="133">
        <f>IF(B$17=0,0,G20/B$17)</f>
        <v>1.0752688172043012E-2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20.985714285714295</v>
      </c>
      <c r="P20" s="119">
        <v>42</v>
      </c>
      <c r="Q20" s="107">
        <v>881.40000000000032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7.1684587813620072E-3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18.368181818181817</v>
      </c>
      <c r="P21" s="119">
        <v>110</v>
      </c>
      <c r="Q21" s="107">
        <v>2020.5</v>
      </c>
    </row>
    <row r="22" spans="1:17" x14ac:dyDescent="0.4">
      <c r="A22" s="55" t="s">
        <v>192</v>
      </c>
      <c r="B22" s="47">
        <v>39</v>
      </c>
      <c r="C22" s="135">
        <v>11</v>
      </c>
      <c r="E22" s="63" t="s">
        <v>78</v>
      </c>
      <c r="F22" s="60" t="s">
        <v>33</v>
      </c>
      <c r="G22" s="47">
        <v>4</v>
      </c>
      <c r="H22" s="133">
        <f>IF(B$17=0,0,G22/B$17)</f>
        <v>7.1684587813620072E-3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18.170833333333331</v>
      </c>
      <c r="P22" s="119">
        <v>24</v>
      </c>
      <c r="Q22" s="107">
        <v>436.09999999999997</v>
      </c>
    </row>
    <row r="23" spans="1:17" x14ac:dyDescent="0.4">
      <c r="A23" s="55" t="s">
        <v>5</v>
      </c>
      <c r="B23" s="51">
        <f>IF(B$17=0,0,C23/B$17)</f>
        <v>9182.2580645161288</v>
      </c>
      <c r="C23" s="41">
        <v>5123700</v>
      </c>
      <c r="E23" s="63" t="s">
        <v>91</v>
      </c>
      <c r="F23" s="60" t="s">
        <v>46</v>
      </c>
      <c r="G23" s="47">
        <v>3</v>
      </c>
      <c r="H23" s="133">
        <f>IF(B$17=0,0,G23/B$17)</f>
        <v>5.3763440860215058E-3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-1.0600000000000021</v>
      </c>
      <c r="P23" s="119">
        <v>60</v>
      </c>
      <c r="Q23" s="107">
        <v>-63.600000000000122</v>
      </c>
    </row>
    <row r="24" spans="1:17" x14ac:dyDescent="0.4">
      <c r="A24" s="57" t="s">
        <v>14</v>
      </c>
      <c r="B24" s="52">
        <f>IF(B$20=0,0,C24/B$20)</f>
        <v>-8100.8064516129034</v>
      </c>
      <c r="C24" s="45">
        <v>-2009000</v>
      </c>
      <c r="E24" s="63" t="s">
        <v>93</v>
      </c>
      <c r="F24" s="60" t="s">
        <v>48</v>
      </c>
      <c r="G24" s="47">
        <v>3</v>
      </c>
      <c r="H24" s="133">
        <f>IF(B$17=0,0,G24/B$17)</f>
        <v>5.3763440860215058E-3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3.5842293906810036E-3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3.5842293906810036E-3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6.0606060606060606E-4</v>
      </c>
      <c r="E27" s="63" t="s">
        <v>76</v>
      </c>
      <c r="F27" s="60" t="s">
        <v>31</v>
      </c>
      <c r="G27" s="47">
        <v>1</v>
      </c>
      <c r="H27" s="133">
        <f>IF(B$17=0,0,G27/B$17)</f>
        <v>1.7921146953405018E-3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1.7921146953405018E-3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1.7921146953405018E-3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1.7921146953405018E-3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160</v>
      </c>
      <c r="C2" s="151"/>
      <c r="E2" s="62" t="s">
        <v>65</v>
      </c>
      <c r="F2" s="59" t="s">
        <v>21</v>
      </c>
      <c r="G2" s="46">
        <v>217</v>
      </c>
      <c r="H2" s="132">
        <f>IF(B$17=0,0,G2/B$17)</f>
        <v>0.59128065395095364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665.625</v>
      </c>
      <c r="P2" s="118">
        <v>160</v>
      </c>
      <c r="Q2" s="102">
        <v>106500</v>
      </c>
    </row>
    <row r="3" spans="1:17" x14ac:dyDescent="0.4">
      <c r="A3" s="55" t="s">
        <v>8</v>
      </c>
      <c r="B3" s="152">
        <v>1318</v>
      </c>
      <c r="C3" s="153"/>
      <c r="E3" s="63" t="s">
        <v>66</v>
      </c>
      <c r="F3" s="60" t="s">
        <v>22</v>
      </c>
      <c r="G3" s="47">
        <v>52</v>
      </c>
      <c r="H3" s="133">
        <f>IF(B$17=0,0,G3/B$17)</f>
        <v>0.14168937329700274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-1427.741935483871</v>
      </c>
      <c r="P3" s="119">
        <v>155</v>
      </c>
      <c r="Q3" s="103">
        <v>-221300</v>
      </c>
    </row>
    <row r="4" spans="1:17" x14ac:dyDescent="0.4">
      <c r="A4" s="55" t="s">
        <v>6</v>
      </c>
      <c r="B4" s="154">
        <v>-362.40000000000003</v>
      </c>
      <c r="C4" s="155"/>
      <c r="E4" s="63" t="s">
        <v>67</v>
      </c>
      <c r="F4" s="60" t="s">
        <v>23</v>
      </c>
      <c r="G4" s="47">
        <v>266</v>
      </c>
      <c r="H4" s="133">
        <f>IF(B$17=0,0,G4/B$17)</f>
        <v>0.72479564032697552</v>
      </c>
      <c r="I4" s="94">
        <v>7</v>
      </c>
      <c r="K4" s="38">
        <v>2</v>
      </c>
      <c r="L4" s="99">
        <v>6.2999999999999972</v>
      </c>
      <c r="N4" s="115" t="s">
        <v>134</v>
      </c>
      <c r="O4" s="122">
        <f t="shared" si="0"/>
        <v>-333.7837837837838</v>
      </c>
      <c r="P4" s="119">
        <v>148</v>
      </c>
      <c r="Q4" s="103">
        <v>-49400</v>
      </c>
    </row>
    <row r="5" spans="1:17" x14ac:dyDescent="0.4">
      <c r="A5" s="55" t="s">
        <v>7</v>
      </c>
      <c r="B5" s="156">
        <f>IF(B$2=0,0,B$4/B$2)</f>
        <v>-2.2650000000000001</v>
      </c>
      <c r="C5" s="157"/>
      <c r="E5" s="63" t="s">
        <v>68</v>
      </c>
      <c r="F5" s="60" t="s">
        <v>24</v>
      </c>
      <c r="G5" s="47">
        <v>142</v>
      </c>
      <c r="H5" s="133">
        <f>IF(B$17=0,0,G5/B$17)</f>
        <v>0.38692098092643051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-204.51127819548873</v>
      </c>
      <c r="P5" s="119">
        <v>133</v>
      </c>
      <c r="Q5" s="103">
        <v>-27200</v>
      </c>
    </row>
    <row r="6" spans="1:17" x14ac:dyDescent="0.4">
      <c r="A6" s="55" t="s">
        <v>1</v>
      </c>
      <c r="B6" s="146">
        <f>IF(B$2=0,0,(B$7*1+B$8*2+B$9*3)/B$2)</f>
        <v>2.0625</v>
      </c>
      <c r="C6" s="147"/>
      <c r="E6" s="63" t="s">
        <v>69</v>
      </c>
      <c r="F6" s="60" t="s">
        <v>12</v>
      </c>
      <c r="G6" s="47">
        <v>130</v>
      </c>
      <c r="H6" s="133">
        <f>IF(B$17=0,0,G6/B$17)</f>
        <v>0.35422343324250682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527.96610169491521</v>
      </c>
      <c r="P6" s="119">
        <v>118</v>
      </c>
      <c r="Q6" s="103">
        <v>62300</v>
      </c>
    </row>
    <row r="7" spans="1:17" x14ac:dyDescent="0.4">
      <c r="A7" s="55" t="s">
        <v>2</v>
      </c>
      <c r="B7" s="47">
        <v>44</v>
      </c>
      <c r="C7" s="39">
        <f>IF(B$2=0,0,B7/B$2)</f>
        <v>0.27500000000000002</v>
      </c>
      <c r="E7" s="63" t="s">
        <v>70</v>
      </c>
      <c r="F7" s="60" t="s">
        <v>25</v>
      </c>
      <c r="G7" s="47">
        <v>81</v>
      </c>
      <c r="H7" s="133">
        <f>IF(B$17=0,0,G7/B$17)</f>
        <v>0.22070844686648503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>IF(B$2=0,0,B8/B$2)</f>
        <v>0.38750000000000001</v>
      </c>
      <c r="E8" s="63" t="s">
        <v>71</v>
      </c>
      <c r="F8" s="60" t="s">
        <v>26</v>
      </c>
      <c r="G8" s="47">
        <v>48</v>
      </c>
      <c r="H8" s="133">
        <f>IF(B$17=0,0,G8/B$17)</f>
        <v>0.13079019073569481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1">IF(B$2=0,0,B9/B$2)</f>
        <v>0.33750000000000002</v>
      </c>
      <c r="E9" s="63" t="s">
        <v>72</v>
      </c>
      <c r="F9" s="60" t="s">
        <v>27</v>
      </c>
      <c r="G9" s="47">
        <v>18</v>
      </c>
      <c r="H9" s="133">
        <f>IF(B$17=0,0,G9/B$17)</f>
        <v>4.9046321525885561E-2</v>
      </c>
      <c r="I9" s="94">
        <v>11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0.125</v>
      </c>
      <c r="E10" s="63" t="s">
        <v>73</v>
      </c>
      <c r="F10" s="60" t="s">
        <v>28</v>
      </c>
      <c r="G10" s="47">
        <v>165</v>
      </c>
      <c r="H10" s="133">
        <f>IF(B$17=0,0,G10/B$17)</f>
        <v>0.44959128065395093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</v>
      </c>
      <c r="E11" s="63" t="s">
        <v>74</v>
      </c>
      <c r="F11" s="60" t="s">
        <v>29</v>
      </c>
      <c r="G11" s="47">
        <v>3</v>
      </c>
      <c r="H11" s="133">
        <f>IF(B$17=0,0,G11/B$17)</f>
        <v>8.1743869209809257E-3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-2.17906976744186</v>
      </c>
      <c r="P11" s="119">
        <v>43</v>
      </c>
      <c r="Q11" s="107">
        <v>-93.699999999999974</v>
      </c>
    </row>
    <row r="12" spans="1:17" x14ac:dyDescent="0.4">
      <c r="A12" s="57" t="s">
        <v>160</v>
      </c>
      <c r="B12" s="49">
        <v>9</v>
      </c>
      <c r="C12" s="42">
        <f>IF(B$2=0,0,B12/B$2)</f>
        <v>5.6250000000000001E-2</v>
      </c>
      <c r="E12" s="63" t="s">
        <v>75</v>
      </c>
      <c r="F12" s="60" t="s">
        <v>30</v>
      </c>
      <c r="G12" s="47">
        <v>2</v>
      </c>
      <c r="H12" s="133">
        <f>IF(B$17=0,0,G12/B$17)</f>
        <v>5.4495912806539508E-3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390</v>
      </c>
      <c r="C13" s="44">
        <f>IF(B$3=0,0,B13/B$3)</f>
        <v>0.29590288315629742</v>
      </c>
      <c r="E13" s="63" t="s">
        <v>76</v>
      </c>
      <c r="F13" s="60" t="s">
        <v>31</v>
      </c>
      <c r="G13" s="47">
        <v>4</v>
      </c>
      <c r="H13" s="133">
        <f>IF(B$17=0,0,G13/B$17)</f>
        <v>1.0899182561307902E-2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227</v>
      </c>
      <c r="C14" s="39">
        <f>IF(B$3=0,0,B14/B$3)</f>
        <v>0.17223065250379363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230</v>
      </c>
      <c r="C15" s="37">
        <f>IF(B$13=0,0,B15/B$13)</f>
        <v>0.58974358974358976</v>
      </c>
      <c r="E15" s="63" t="s">
        <v>78</v>
      </c>
      <c r="F15" s="60" t="s">
        <v>33</v>
      </c>
      <c r="G15" s="47">
        <v>1</v>
      </c>
      <c r="H15" s="133">
        <f>IF(B$17=0,0,G15/B$17)</f>
        <v>2.7247956403269754E-3</v>
      </c>
      <c r="I15" s="94">
        <v>8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0.32158590308370044</v>
      </c>
      <c r="E16" s="63" t="s">
        <v>79</v>
      </c>
      <c r="F16" s="60" t="s">
        <v>34</v>
      </c>
      <c r="G16" s="47">
        <v>8</v>
      </c>
      <c r="H16" s="133">
        <f>IF(B$17=0,0,G16/B$17)</f>
        <v>2.1798365122615803E-2</v>
      </c>
      <c r="I16" s="94">
        <v>9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367</v>
      </c>
      <c r="C17" s="37">
        <f>IF(B$3=0,0,B17/B$3)</f>
        <v>0.27845220030349016</v>
      </c>
      <c r="E17" s="63" t="s">
        <v>80</v>
      </c>
      <c r="F17" s="60" t="s">
        <v>35</v>
      </c>
      <c r="G17" s="47">
        <v>7</v>
      </c>
      <c r="H17" s="133">
        <f>IF(B$17=0,0,G17/B$17)</f>
        <v>1.9073569482288829E-2</v>
      </c>
      <c r="I17" s="94">
        <v>5</v>
      </c>
      <c r="K17" s="38">
        <v>15</v>
      </c>
      <c r="L17" s="99">
        <v>47.999999999999986</v>
      </c>
      <c r="N17" s="115" t="s">
        <v>129</v>
      </c>
      <c r="O17" s="125">
        <f>IF(P17=0,0,Q17/P17)</f>
        <v>7.8249999999999993</v>
      </c>
      <c r="P17" s="119">
        <v>64</v>
      </c>
      <c r="Q17" s="107">
        <v>500.79999999999995</v>
      </c>
    </row>
    <row r="18" spans="1:17" x14ac:dyDescent="0.4">
      <c r="A18" s="55" t="s">
        <v>12</v>
      </c>
      <c r="B18" s="47">
        <v>162</v>
      </c>
      <c r="C18" s="39">
        <f>IF(B$17=0,0,B18/B$17)</f>
        <v>0.44141689373297005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177</v>
      </c>
      <c r="O18" s="125">
        <f>IF(P18=0,0,Q18/P18)</f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205</v>
      </c>
      <c r="C19" s="39">
        <f>IF(B$17=0,0,B19/B$17)</f>
        <v>0.55858310626703001</v>
      </c>
      <c r="E19" s="63" t="s">
        <v>82</v>
      </c>
      <c r="F19" s="60" t="s">
        <v>37</v>
      </c>
      <c r="G19" s="47">
        <v>11</v>
      </c>
      <c r="H19" s="133">
        <f>IF(B$17=0,0,G19/B$17)</f>
        <v>2.9972752043596729E-2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>IF(P19=0,0,Q19/P19)</f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238</v>
      </c>
      <c r="C20" s="39">
        <f>IF(B$3=0,0,B20/B$3)</f>
        <v>0.18057663125948406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172</v>
      </c>
      <c r="O20" s="125">
        <f>IF(P20=0,0,Q20/P20)</f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15</v>
      </c>
      <c r="H21" s="133">
        <f>IF(B$17=0,0,G21/B$17)</f>
        <v>4.0871934604904632E-2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3</v>
      </c>
      <c r="E22" s="63" t="s">
        <v>85</v>
      </c>
      <c r="F22" s="60" t="s">
        <v>40</v>
      </c>
      <c r="G22" s="47">
        <v>1</v>
      </c>
      <c r="H22" s="133">
        <f>IF(B$17=0,0,G22/B$17)</f>
        <v>2.7247956403269754E-3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-18.368181818181817</v>
      </c>
      <c r="P22" s="119">
        <v>110</v>
      </c>
      <c r="Q22" s="107">
        <v>-2020.5</v>
      </c>
    </row>
    <row r="23" spans="1:17" x14ac:dyDescent="0.4">
      <c r="A23" s="55" t="s">
        <v>5</v>
      </c>
      <c r="B23" s="51">
        <f>IF(B$17=0,0,C23/B$17)</f>
        <v>8947.9564032697544</v>
      </c>
      <c r="C23" s="41">
        <v>3283900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-7447.8991596638652</v>
      </c>
      <c r="C24" s="45">
        <v>-1772600</v>
      </c>
      <c r="E24" s="63" t="s">
        <v>87</v>
      </c>
      <c r="F24" s="60" t="s">
        <v>42</v>
      </c>
      <c r="G24" s="47">
        <v>20</v>
      </c>
      <c r="H24" s="133">
        <f>IF(B$17=0,0,G24/B$17)</f>
        <v>5.4495912806539509E-2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2.7247956403269754E-3</v>
      </c>
      <c r="I26" s="94">
        <v>3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4.552352048558422E-3</v>
      </c>
      <c r="E27" s="63" t="s">
        <v>90</v>
      </c>
      <c r="F27" s="60" t="s">
        <v>45</v>
      </c>
      <c r="G27" s="47">
        <v>42</v>
      </c>
      <c r="H27" s="133">
        <f>IF(B$17=0,0,G27/B$17)</f>
        <v>0.11444141689373297</v>
      </c>
      <c r="I27" s="94">
        <v>8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1.6348773841961851E-2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2.7247956403269754E-3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2.7247956403269754E-3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2.7247956403269754E-3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8</v>
      </c>
      <c r="H50" s="133">
        <f>IF(B$17=0,0,G50/B$17)</f>
        <v>2.1798365122615803E-2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156</v>
      </c>
      <c r="H51" s="138">
        <f>IF(B$17=0,0,G51/B$17)</f>
        <v>0.42506811989100818</v>
      </c>
      <c r="I51" s="139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</sheetData>
  <sortState xmlns:xlrd2="http://schemas.microsoft.com/office/spreadsheetml/2017/richdata2" ref="E2:I16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154</v>
      </c>
      <c r="C2" s="151"/>
      <c r="E2" s="62" t="s">
        <v>67</v>
      </c>
      <c r="F2" s="59" t="s">
        <v>23</v>
      </c>
      <c r="G2" s="46">
        <v>277</v>
      </c>
      <c r="H2" s="132">
        <f>IF(B$17=0,0,G2/B$17)</f>
        <v>0.80758017492711365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-2008.4415584415585</v>
      </c>
      <c r="P2" s="118">
        <v>154</v>
      </c>
      <c r="Q2" s="102">
        <v>-309300</v>
      </c>
    </row>
    <row r="3" spans="1:17" x14ac:dyDescent="0.4">
      <c r="A3" s="55" t="s">
        <v>8</v>
      </c>
      <c r="B3" s="152">
        <v>1297</v>
      </c>
      <c r="C3" s="153"/>
      <c r="E3" s="63" t="s">
        <v>65</v>
      </c>
      <c r="F3" s="60" t="s">
        <v>21</v>
      </c>
      <c r="G3" s="47">
        <v>165</v>
      </c>
      <c r="H3" s="133">
        <f>IF(B$17=0,0,G3/B$17)</f>
        <v>0.48104956268221577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-1630</v>
      </c>
      <c r="P3" s="119">
        <v>150</v>
      </c>
      <c r="Q3" s="103">
        <v>-244500</v>
      </c>
    </row>
    <row r="4" spans="1:17" x14ac:dyDescent="0.4">
      <c r="A4" s="55" t="s">
        <v>6</v>
      </c>
      <c r="B4" s="154">
        <v>-1432.6</v>
      </c>
      <c r="C4" s="155"/>
      <c r="E4" s="63" t="s">
        <v>73</v>
      </c>
      <c r="F4" s="60" t="s">
        <v>28</v>
      </c>
      <c r="G4" s="47">
        <v>152</v>
      </c>
      <c r="H4" s="133">
        <f>IF(B$17=0,0,G4/B$17)</f>
        <v>0.44314868804664725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673.23943661971828</v>
      </c>
      <c r="P4" s="119">
        <v>142</v>
      </c>
      <c r="Q4" s="103">
        <v>95600</v>
      </c>
    </row>
    <row r="5" spans="1:17" x14ac:dyDescent="0.4">
      <c r="A5" s="55" t="s">
        <v>7</v>
      </c>
      <c r="B5" s="156">
        <f>IF(B$2=0,0,B$4/B$2)</f>
        <v>-9.3025974025974012</v>
      </c>
      <c r="C5" s="157"/>
      <c r="E5" s="63" t="s">
        <v>245</v>
      </c>
      <c r="F5" s="60" t="s">
        <v>246</v>
      </c>
      <c r="G5" s="47">
        <v>137</v>
      </c>
      <c r="H5" s="133">
        <f>IF(B$17=0,0,G5/B$17)</f>
        <v>0.39941690962099125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-3000.78125</v>
      </c>
      <c r="P5" s="119">
        <v>128</v>
      </c>
      <c r="Q5" s="103">
        <v>-384100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116</v>
      </c>
      <c r="H6" s="133">
        <f>IF(B$17=0,0,G6/B$17)</f>
        <v>0.33819241982507287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-635.89743589743591</v>
      </c>
      <c r="P6" s="119">
        <v>117</v>
      </c>
      <c r="Q6" s="103">
        <v>-74400</v>
      </c>
    </row>
    <row r="7" spans="1:17" x14ac:dyDescent="0.4">
      <c r="A7" s="55" t="s">
        <v>2</v>
      </c>
      <c r="B7" s="47">
        <v>44</v>
      </c>
      <c r="C7" s="39">
        <f>IF(B$2=0,0,B7/B$2)</f>
        <v>0.2857142857142857</v>
      </c>
      <c r="E7" s="63" t="s">
        <v>68</v>
      </c>
      <c r="F7" s="60" t="s">
        <v>24</v>
      </c>
      <c r="G7" s="47">
        <v>90</v>
      </c>
      <c r="H7" s="133">
        <f>IF(B$17=0,0,G7/B$17)</f>
        <v>0.26239067055393583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-389.52380952380952</v>
      </c>
      <c r="P7" s="120">
        <v>105</v>
      </c>
      <c r="Q7" s="104">
        <v>-40900</v>
      </c>
    </row>
    <row r="8" spans="1:17" x14ac:dyDescent="0.4">
      <c r="A8" s="55" t="s">
        <v>3</v>
      </c>
      <c r="B8" s="47">
        <v>44</v>
      </c>
      <c r="C8" s="39">
        <f>IF(B$2=0,0,B8/B$2)</f>
        <v>0.2857142857142857</v>
      </c>
      <c r="E8" s="63" t="s">
        <v>70</v>
      </c>
      <c r="F8" s="60" t="s">
        <v>25</v>
      </c>
      <c r="G8" s="47">
        <v>55</v>
      </c>
      <c r="H8" s="133">
        <f>IF(B$17=0,0,G8/B$17)</f>
        <v>0.16034985422740525</v>
      </c>
      <c r="I8" s="94">
        <v>6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66</v>
      </c>
      <c r="C9" s="40">
        <f t="shared" ref="C9" si="1">IF(B$2=0,0,B9/B$2)</f>
        <v>0.42857142857142855</v>
      </c>
      <c r="E9" s="63" t="s">
        <v>71</v>
      </c>
      <c r="F9" s="60" t="s">
        <v>26</v>
      </c>
      <c r="G9" s="47">
        <v>50</v>
      </c>
      <c r="H9" s="133">
        <f>IF(B$17=0,0,G9/B$17)</f>
        <v>0.1457725947521866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0.15584415584415584</v>
      </c>
      <c r="E10" s="63" t="s">
        <v>90</v>
      </c>
      <c r="F10" s="60" t="s">
        <v>45</v>
      </c>
      <c r="G10" s="47">
        <v>39</v>
      </c>
      <c r="H10" s="133">
        <f>IF(B$17=0,0,G10/B$17)</f>
        <v>0.11370262390670553</v>
      </c>
      <c r="I10" s="94">
        <v>9</v>
      </c>
      <c r="K10" s="38">
        <v>8</v>
      </c>
      <c r="L10" s="99">
        <v>-79.599999999999994</v>
      </c>
      <c r="N10" s="114" t="s">
        <v>164</v>
      </c>
      <c r="O10" s="124">
        <f>IF(P10=0,0,Q10/P10)</f>
        <v>-13.097777777777772</v>
      </c>
      <c r="P10" s="118">
        <v>45</v>
      </c>
      <c r="Q10" s="106">
        <v>-589.39999999999975</v>
      </c>
    </row>
    <row r="11" spans="1:17" x14ac:dyDescent="0.4">
      <c r="A11" s="56" t="s">
        <v>140</v>
      </c>
      <c r="B11" s="48">
        <v>15</v>
      </c>
      <c r="C11" s="40">
        <f>IF(B$2=0,0,B11/B$2)</f>
        <v>9.7402597402597407E-2</v>
      </c>
      <c r="E11" s="63" t="s">
        <v>72</v>
      </c>
      <c r="F11" s="60" t="s">
        <v>27</v>
      </c>
      <c r="G11" s="47">
        <v>33</v>
      </c>
      <c r="H11" s="133">
        <f>IF(B$17=0,0,G11/B$17)</f>
        <v>9.6209912536443148E-2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-7.0947368421052657</v>
      </c>
      <c r="P11" s="119">
        <v>57</v>
      </c>
      <c r="Q11" s="107">
        <v>-404.40000000000015</v>
      </c>
    </row>
    <row r="12" spans="1:17" x14ac:dyDescent="0.4">
      <c r="A12" s="57" t="s">
        <v>160</v>
      </c>
      <c r="B12" s="49">
        <v>15</v>
      </c>
      <c r="C12" s="42">
        <f>IF(B$2=0,0,B12/B$2)</f>
        <v>9.7402597402597407E-2</v>
      </c>
      <c r="E12" s="63" t="s">
        <v>66</v>
      </c>
      <c r="F12" s="60" t="s">
        <v>22</v>
      </c>
      <c r="G12" s="47">
        <v>28</v>
      </c>
      <c r="H12" s="133">
        <f>IF(B$17=0,0,G12/B$17)</f>
        <v>8.1632653061224483E-2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-8.4384615384615351</v>
      </c>
      <c r="P12" s="120">
        <v>52</v>
      </c>
      <c r="Q12" s="108">
        <v>-438.79999999999984</v>
      </c>
    </row>
    <row r="13" spans="1:17" x14ac:dyDescent="0.4">
      <c r="A13" s="58" t="s">
        <v>122</v>
      </c>
      <c r="B13" s="50">
        <v>329</v>
      </c>
      <c r="C13" s="44">
        <f>IF(B$3=0,0,B13/B$3)</f>
        <v>0.25366229760986891</v>
      </c>
      <c r="E13" s="63" t="s">
        <v>87</v>
      </c>
      <c r="F13" s="60" t="s">
        <v>42</v>
      </c>
      <c r="G13" s="47">
        <v>20</v>
      </c>
      <c r="H13" s="133">
        <f>IF(B$17=0,0,G13/B$17)</f>
        <v>5.8309037900874633E-2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251</v>
      </c>
      <c r="C14" s="39">
        <f>IF(B$3=0,0,B14/B$3)</f>
        <v>0.19352351580570548</v>
      </c>
      <c r="E14" s="63" t="s">
        <v>84</v>
      </c>
      <c r="F14" s="60" t="s">
        <v>39</v>
      </c>
      <c r="G14" s="47">
        <v>12</v>
      </c>
      <c r="H14" s="133">
        <f>IF(B$17=0,0,G14/B$17)</f>
        <v>3.4985422740524783E-2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173</v>
      </c>
      <c r="C15" s="37">
        <f>IF(B$13=0,0,B15/B$13)</f>
        <v>0.52583586626139822</v>
      </c>
      <c r="E15" s="63" t="s">
        <v>79</v>
      </c>
      <c r="F15" s="60" t="s">
        <v>34</v>
      </c>
      <c r="G15" s="47">
        <v>11</v>
      </c>
      <c r="H15" s="133">
        <f>IF(B$17=0,0,G15/B$17)</f>
        <v>3.2069970845481049E-2</v>
      </c>
      <c r="I15" s="94">
        <v>6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83</v>
      </c>
      <c r="C16" s="37">
        <f>IF(B$14=0,0,B16/B$14)</f>
        <v>0.33067729083665337</v>
      </c>
      <c r="E16" s="63" t="s">
        <v>82</v>
      </c>
      <c r="F16" s="60" t="s">
        <v>37</v>
      </c>
      <c r="G16" s="47">
        <v>9</v>
      </c>
      <c r="H16" s="133">
        <f>IF(B$17=0,0,G16/B$17)</f>
        <v>2.6239067055393587E-2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343</v>
      </c>
      <c r="C17" s="37">
        <f>IF(B$3=0,0,B17/B$3)</f>
        <v>0.26445643793369311</v>
      </c>
      <c r="E17" s="63" t="s">
        <v>78</v>
      </c>
      <c r="F17" s="60" t="s">
        <v>33</v>
      </c>
      <c r="G17" s="47">
        <v>5</v>
      </c>
      <c r="H17" s="133">
        <f>IF(B$17=0,0,G17/B$17)</f>
        <v>1.4577259475218658E-2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145</v>
      </c>
      <c r="C18" s="39">
        <f>IF(B$17=0,0,B18/B$17)</f>
        <v>0.42274052478134111</v>
      </c>
      <c r="E18" s="63" t="s">
        <v>80</v>
      </c>
      <c r="F18" s="60" t="s">
        <v>35</v>
      </c>
      <c r="G18" s="47">
        <v>4</v>
      </c>
      <c r="H18" s="133">
        <f>IF(B$17=0,0,G18/B$17)</f>
        <v>1.1661807580174927E-2</v>
      </c>
      <c r="I18" s="94">
        <v>10</v>
      </c>
      <c r="K18" s="38">
        <v>16</v>
      </c>
      <c r="L18" s="99">
        <v>-472</v>
      </c>
      <c r="N18" s="115" t="s">
        <v>177</v>
      </c>
      <c r="O18" s="125">
        <f>IF(P18=0,0,Q18/P18)</f>
        <v>1.4837209302325594</v>
      </c>
      <c r="P18" s="119">
        <v>43</v>
      </c>
      <c r="Q18" s="107">
        <v>63.800000000000054</v>
      </c>
    </row>
    <row r="19" spans="1:17" x14ac:dyDescent="0.4">
      <c r="A19" s="55" t="s">
        <v>11</v>
      </c>
      <c r="B19" s="47">
        <v>198</v>
      </c>
      <c r="C19" s="39">
        <f>IF(B$17=0,0,B19/B$17)</f>
        <v>0.57725947521865895</v>
      </c>
      <c r="E19" s="63" t="s">
        <v>92</v>
      </c>
      <c r="F19" s="60" t="s">
        <v>47</v>
      </c>
      <c r="G19" s="47">
        <v>4</v>
      </c>
      <c r="H19" s="133">
        <f>IF(B$17=0,0,G19/B$17)</f>
        <v>1.1661807580174927E-2</v>
      </c>
      <c r="I19" s="94">
        <v>9</v>
      </c>
      <c r="K19" s="38">
        <v>17</v>
      </c>
      <c r="L19" s="99">
        <v>-538.29999999999995</v>
      </c>
      <c r="N19" s="115" t="s">
        <v>128</v>
      </c>
      <c r="O19" s="125">
        <f>IF(P19=0,0,Q19/P19)</f>
        <v>-7.8249999999999993</v>
      </c>
      <c r="P19" s="119">
        <v>64</v>
      </c>
      <c r="Q19" s="107">
        <v>-500.79999999999995</v>
      </c>
    </row>
    <row r="20" spans="1:17" x14ac:dyDescent="0.4">
      <c r="A20" s="55" t="s">
        <v>13</v>
      </c>
      <c r="B20" s="47">
        <v>231</v>
      </c>
      <c r="C20" s="39">
        <f>IF(B$3=0,0,B20/B$3)</f>
        <v>0.17810331534309945</v>
      </c>
      <c r="E20" s="63" t="s">
        <v>75</v>
      </c>
      <c r="F20" s="60" t="s">
        <v>30</v>
      </c>
      <c r="G20" s="47">
        <v>3</v>
      </c>
      <c r="H20" s="133">
        <f>IF(B$17=0,0,G20/B$17)</f>
        <v>8.7463556851311956E-3</v>
      </c>
      <c r="I20" s="94">
        <v>2</v>
      </c>
      <c r="K20" s="38">
        <v>18</v>
      </c>
      <c r="L20" s="99">
        <v>-537.19999999999993</v>
      </c>
      <c r="N20" s="115" t="s">
        <v>171</v>
      </c>
      <c r="O20" s="125">
        <f>IF(P20=0,0,Q20/P20)</f>
        <v>-20.797499999999992</v>
      </c>
      <c r="P20" s="119">
        <v>40</v>
      </c>
      <c r="Q20" s="107">
        <v>-831.89999999999975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5.8309037900874635E-3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-20.858333333333327</v>
      </c>
      <c r="P21" s="119">
        <v>36</v>
      </c>
      <c r="Q21" s="107">
        <v>-750.89999999999975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88</v>
      </c>
      <c r="F22" s="60" t="s">
        <v>43</v>
      </c>
      <c r="G22" s="47">
        <v>2</v>
      </c>
      <c r="H22" s="133">
        <f>IF(B$17=0,0,G22/B$17)</f>
        <v>5.8309037900874635E-3</v>
      </c>
      <c r="I22" s="94">
        <v>2</v>
      </c>
      <c r="K22" s="38">
        <v>20</v>
      </c>
      <c r="L22" s="99">
        <v>-632.99999999999989</v>
      </c>
      <c r="N22" s="115" t="s">
        <v>173</v>
      </c>
      <c r="O22" s="125">
        <f>IF(P22=0,0,Q22/P22)</f>
        <v>-24.541666666666661</v>
      </c>
      <c r="P22" s="119">
        <v>12</v>
      </c>
      <c r="Q22" s="107">
        <v>-294.49999999999994</v>
      </c>
    </row>
    <row r="23" spans="1:17" x14ac:dyDescent="0.4">
      <c r="A23" s="55" t="s">
        <v>5</v>
      </c>
      <c r="B23" s="51">
        <f>IF(B$17=0,0,C23/B$17)</f>
        <v>8198.8338192419833</v>
      </c>
      <c r="C23" s="41">
        <v>2812200</v>
      </c>
      <c r="E23" s="63" t="s">
        <v>94</v>
      </c>
      <c r="F23" s="60" t="s">
        <v>49</v>
      </c>
      <c r="G23" s="47">
        <v>2</v>
      </c>
      <c r="H23" s="133">
        <f>IF(B$17=0,0,G23/B$17)</f>
        <v>5.8309037900874635E-3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-26.634782608695659</v>
      </c>
      <c r="P23" s="119">
        <v>92</v>
      </c>
      <c r="Q23" s="107">
        <v>-2450.4000000000005</v>
      </c>
    </row>
    <row r="24" spans="1:17" x14ac:dyDescent="0.4">
      <c r="A24" s="57" t="s">
        <v>14</v>
      </c>
      <c r="B24" s="52">
        <f>IF(B$20=0,0,C24/B$20)</f>
        <v>-8475.757575757576</v>
      </c>
      <c r="C24" s="45">
        <v>-1957900</v>
      </c>
      <c r="E24" s="63" t="s">
        <v>76</v>
      </c>
      <c r="F24" s="60" t="s">
        <v>31</v>
      </c>
      <c r="G24" s="47">
        <v>1</v>
      </c>
      <c r="H24" s="133">
        <f>IF(B$17=0,0,G24/B$17)</f>
        <v>2.9154518950437317E-3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2.9154518950437317E-3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2.9154518950437317E-3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1.5420200462606013E-3</v>
      </c>
      <c r="E27" s="63" t="s">
        <v>93</v>
      </c>
      <c r="F27" s="60" t="s">
        <v>48</v>
      </c>
      <c r="G27" s="47">
        <v>1</v>
      </c>
      <c r="H27" s="133">
        <f>IF(B$17=0,0,G27/B$17)</f>
        <v>2.9154518950437317E-3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2.9154518950437317E-3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106</v>
      </c>
      <c r="C2" s="151"/>
      <c r="E2" s="62" t="s">
        <v>65</v>
      </c>
      <c r="F2" s="59" t="s">
        <v>21</v>
      </c>
      <c r="G2" s="46">
        <v>134</v>
      </c>
      <c r="H2" s="132">
        <f>IF(B$17=0,0,G2/B$17)</f>
        <v>0.5234375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826.41509433962267</v>
      </c>
      <c r="P2" s="118">
        <v>106</v>
      </c>
      <c r="Q2" s="102">
        <v>87600</v>
      </c>
    </row>
    <row r="3" spans="1:17" x14ac:dyDescent="0.4">
      <c r="A3" s="55" t="s">
        <v>8</v>
      </c>
      <c r="B3" s="152">
        <v>880</v>
      </c>
      <c r="C3" s="153"/>
      <c r="E3" s="63" t="s">
        <v>66</v>
      </c>
      <c r="F3" s="60" t="s">
        <v>22</v>
      </c>
      <c r="G3" s="47">
        <v>30</v>
      </c>
      <c r="H3" s="133">
        <f>IF(B$17=0,0,G3/B$17)</f>
        <v>0.1171875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639.80582524271847</v>
      </c>
      <c r="P3" s="119">
        <v>103</v>
      </c>
      <c r="Q3" s="103">
        <v>65900</v>
      </c>
    </row>
    <row r="4" spans="1:17" x14ac:dyDescent="0.4">
      <c r="A4" s="55" t="s">
        <v>6</v>
      </c>
      <c r="B4" s="154">
        <v>140.5</v>
      </c>
      <c r="C4" s="155"/>
      <c r="E4" s="63" t="s">
        <v>67</v>
      </c>
      <c r="F4" s="60" t="s">
        <v>23</v>
      </c>
      <c r="G4" s="47">
        <v>201</v>
      </c>
      <c r="H4" s="133">
        <f>IF(B$17=0,0,G4/B$17)</f>
        <v>0.78515625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1893.6170212765958</v>
      </c>
      <c r="P4" s="119">
        <v>94</v>
      </c>
      <c r="Q4" s="103">
        <v>178000</v>
      </c>
    </row>
    <row r="5" spans="1:17" x14ac:dyDescent="0.4">
      <c r="A5" s="55" t="s">
        <v>7</v>
      </c>
      <c r="B5" s="156">
        <f>IF(B$2=0,0,B$4/B$2)</f>
        <v>1.3254716981132075</v>
      </c>
      <c r="C5" s="157"/>
      <c r="E5" s="63" t="s">
        <v>68</v>
      </c>
      <c r="F5" s="60" t="s">
        <v>24</v>
      </c>
      <c r="G5" s="47">
        <v>86</v>
      </c>
      <c r="H5" s="133">
        <f>IF(B$17=0,0,G5/B$17)</f>
        <v>0.3359375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-187.95180722891567</v>
      </c>
      <c r="P5" s="119">
        <v>83</v>
      </c>
      <c r="Q5" s="103">
        <v>-15600</v>
      </c>
    </row>
    <row r="6" spans="1:17" x14ac:dyDescent="0.4">
      <c r="A6" s="55" t="s">
        <v>1</v>
      </c>
      <c r="B6" s="146">
        <f>IF(B$2=0,0,(B$7*1+B$8*2+B$9*3)/B$2)</f>
        <v>2.0188679245283021</v>
      </c>
      <c r="C6" s="147"/>
      <c r="E6" s="63" t="s">
        <v>69</v>
      </c>
      <c r="F6" s="60" t="s">
        <v>12</v>
      </c>
      <c r="G6" s="47">
        <v>74</v>
      </c>
      <c r="H6" s="133">
        <f>IF(B$17=0,0,G6/B$17)</f>
        <v>0.2890625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-2070.2702702702704</v>
      </c>
      <c r="P6" s="119">
        <v>74</v>
      </c>
      <c r="Q6" s="103">
        <v>-153200</v>
      </c>
    </row>
    <row r="7" spans="1:17" x14ac:dyDescent="0.4">
      <c r="A7" s="55" t="s">
        <v>2</v>
      </c>
      <c r="B7" s="47">
        <v>34</v>
      </c>
      <c r="C7" s="39">
        <f>IF(B$2=0,0,B7/B$2)</f>
        <v>0.32075471698113206</v>
      </c>
      <c r="E7" s="63" t="s">
        <v>70</v>
      </c>
      <c r="F7" s="60" t="s">
        <v>25</v>
      </c>
      <c r="G7" s="47">
        <v>47</v>
      </c>
      <c r="H7" s="133">
        <f>IF(B$17=0,0,G7/B$17)</f>
        <v>0.18359375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-551.5151515151515</v>
      </c>
      <c r="P7" s="120">
        <v>66</v>
      </c>
      <c r="Q7" s="104">
        <v>-36400</v>
      </c>
    </row>
    <row r="8" spans="1:17" x14ac:dyDescent="0.4">
      <c r="A8" s="55" t="s">
        <v>3</v>
      </c>
      <c r="B8" s="47">
        <v>36</v>
      </c>
      <c r="C8" s="39">
        <f>IF(B$2=0,0,B8/B$2)</f>
        <v>0.33962264150943394</v>
      </c>
      <c r="E8" s="63" t="s">
        <v>71</v>
      </c>
      <c r="F8" s="60" t="s">
        <v>26</v>
      </c>
      <c r="G8" s="47">
        <v>26</v>
      </c>
      <c r="H8" s="133">
        <f>IF(B$17=0,0,G8/B$17)</f>
        <v>0.1015625</v>
      </c>
      <c r="I8" s="94">
        <v>6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0.33962264150943394</v>
      </c>
      <c r="E9" s="63" t="s">
        <v>72</v>
      </c>
      <c r="F9" s="60" t="s">
        <v>27</v>
      </c>
      <c r="G9" s="47">
        <v>15</v>
      </c>
      <c r="H9" s="133">
        <f>IF(B$17=0,0,G9/B$17)</f>
        <v>5.859375E-2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0.10377358490566038</v>
      </c>
      <c r="E10" s="63" t="s">
        <v>73</v>
      </c>
      <c r="F10" s="60" t="s">
        <v>28</v>
      </c>
      <c r="G10" s="47">
        <v>145</v>
      </c>
      <c r="H10" s="133">
        <f>IF(B$17=0,0,G10/B$17)</f>
        <v>0.56640625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16</v>
      </c>
      <c r="C11" s="40">
        <f>IF(B$2=0,0,B11/B$2)</f>
        <v>0.15094339622641509</v>
      </c>
      <c r="E11" s="63" t="s">
        <v>74</v>
      </c>
      <c r="F11" s="60" t="s">
        <v>29</v>
      </c>
      <c r="G11" s="47">
        <v>3</v>
      </c>
      <c r="H11" s="133">
        <f>IF(B$17=0,0,G11/B$17)</f>
        <v>1.171875E-2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">
      <c r="A12" s="57" t="s">
        <v>160</v>
      </c>
      <c r="B12" s="49">
        <v>7</v>
      </c>
      <c r="C12" s="42">
        <f>IF(B$2=0,0,B12/B$2)</f>
        <v>6.6037735849056603E-2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0.18249999999999994</v>
      </c>
      <c r="P12" s="120">
        <v>40</v>
      </c>
      <c r="Q12" s="108">
        <v>7.2999999999999972</v>
      </c>
    </row>
    <row r="13" spans="1:17" x14ac:dyDescent="0.4">
      <c r="A13" s="58" t="s">
        <v>122</v>
      </c>
      <c r="B13" s="50">
        <v>250</v>
      </c>
      <c r="C13" s="44">
        <f>IF(B$3=0,0,B13/B$3)</f>
        <v>0.28409090909090912</v>
      </c>
      <c r="E13" s="63" t="s">
        <v>76</v>
      </c>
      <c r="F13" s="60" t="s">
        <v>31</v>
      </c>
      <c r="G13" s="47">
        <v>3</v>
      </c>
      <c r="H13" s="133">
        <f>IF(B$17=0,0,G13/B$17)</f>
        <v>1.171875E-2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175</v>
      </c>
      <c r="C14" s="39">
        <f>IF(B$3=0,0,B14/B$3)</f>
        <v>0.19886363636363635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142</v>
      </c>
      <c r="C15" s="37">
        <f>IF(B$13=0,0,B15/B$13)</f>
        <v>0.56799999999999995</v>
      </c>
      <c r="E15" s="63" t="s">
        <v>78</v>
      </c>
      <c r="F15" s="60" t="s">
        <v>33</v>
      </c>
      <c r="G15" s="47">
        <v>3</v>
      </c>
      <c r="H15" s="133">
        <f>IF(B$17=0,0,G15/B$17)</f>
        <v>1.171875E-2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20.797499999999992</v>
      </c>
      <c r="P15" s="118">
        <v>40</v>
      </c>
      <c r="Q15" s="106">
        <v>831.89999999999964</v>
      </c>
    </row>
    <row r="16" spans="1:17" x14ac:dyDescent="0.4">
      <c r="A16" s="54" t="s">
        <v>125</v>
      </c>
      <c r="B16" s="46">
        <v>73</v>
      </c>
      <c r="C16" s="37">
        <f>IF(B$14=0,0,B16/B$14)</f>
        <v>0.41714285714285715</v>
      </c>
      <c r="E16" s="63" t="s">
        <v>79</v>
      </c>
      <c r="F16" s="60" t="s">
        <v>34</v>
      </c>
      <c r="G16" s="47">
        <v>11</v>
      </c>
      <c r="H16" s="133">
        <f>IF(B$17=0,0,G16/B$17)</f>
        <v>4.296875E-2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256</v>
      </c>
      <c r="C17" s="37">
        <f>IF(B$3=0,0,B17/B$3)</f>
        <v>0.29090909090909089</v>
      </c>
      <c r="E17" s="63" t="s">
        <v>80</v>
      </c>
      <c r="F17" s="60" t="s">
        <v>35</v>
      </c>
      <c r="G17" s="47">
        <v>6</v>
      </c>
      <c r="H17" s="133">
        <f>IF(B$17=0,0,G17/B$17)</f>
        <v>2.34375E-2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103</v>
      </c>
      <c r="C18" s="39">
        <f>IF(B$17=0,0,B18/B$17)</f>
        <v>0.40234375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153</v>
      </c>
      <c r="C19" s="39">
        <f>IF(B$17=0,0,B19/B$17)</f>
        <v>0.59765625</v>
      </c>
      <c r="E19" s="63" t="s">
        <v>82</v>
      </c>
      <c r="F19" s="60" t="s">
        <v>37</v>
      </c>
      <c r="G19" s="47">
        <v>8</v>
      </c>
      <c r="H19" s="133">
        <f>IF(B$17=0,0,G19/B$17)</f>
        <v>3.125E-2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>IF(P19=0,0,Q19/P19)</f>
        <v>1.0600000000000032</v>
      </c>
      <c r="P19" s="119">
        <v>60</v>
      </c>
      <c r="Q19" s="107">
        <v>63.600000000000193</v>
      </c>
    </row>
    <row r="20" spans="1:17" x14ac:dyDescent="0.4">
      <c r="A20" s="55" t="s">
        <v>13</v>
      </c>
      <c r="B20" s="47">
        <v>155</v>
      </c>
      <c r="C20" s="39">
        <f>IF(B$3=0,0,B20/B$3)</f>
        <v>0.17613636363636365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11</v>
      </c>
      <c r="H21" s="133">
        <f>IF(B$17=0,0,G21/B$17)</f>
        <v>4.296875E-2</v>
      </c>
      <c r="I21" s="94">
        <v>8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3</v>
      </c>
      <c r="E22" s="63" t="s">
        <v>85</v>
      </c>
      <c r="F22" s="60" t="s">
        <v>40</v>
      </c>
      <c r="G22" s="47">
        <v>2</v>
      </c>
      <c r="H22" s="133">
        <f>IF(B$17=0,0,G22/B$17)</f>
        <v>7.8125E-3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-34.543478260869563</v>
      </c>
      <c r="P22" s="119">
        <v>23</v>
      </c>
      <c r="Q22" s="107">
        <v>-794.5</v>
      </c>
    </row>
    <row r="23" spans="1:17" x14ac:dyDescent="0.4">
      <c r="A23" s="55" t="s">
        <v>5</v>
      </c>
      <c r="B23" s="51">
        <f>IF(B$17=0,0,C23/B$17)</f>
        <v>9913.671875</v>
      </c>
      <c r="C23" s="41">
        <v>2537900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-8313.5483870967746</v>
      </c>
      <c r="C24" s="45">
        <v>-1288600</v>
      </c>
      <c r="E24" s="63" t="s">
        <v>87</v>
      </c>
      <c r="F24" s="60" t="s">
        <v>42</v>
      </c>
      <c r="G24" s="47">
        <v>20</v>
      </c>
      <c r="H24" s="133">
        <f>IF(B$17=0,0,G24/B$17)</f>
        <v>7.8125E-2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3.90625E-3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2.2727272727272726E-3</v>
      </c>
      <c r="E27" s="63" t="s">
        <v>90</v>
      </c>
      <c r="F27" s="60" t="s">
        <v>45</v>
      </c>
      <c r="G27" s="47">
        <v>44</v>
      </c>
      <c r="H27" s="133">
        <f>IF(B$17=0,0,G27/B$17)</f>
        <v>0.171875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3.125E-2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7.8125E-3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3.90625E-3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1.953125E-2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102</v>
      </c>
      <c r="H51" s="138">
        <f>IF(B$17=0,0,G51/B$17)</f>
        <v>0.3984375</v>
      </c>
      <c r="I51" s="139">
        <v>9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</sheetData>
  <sortState xmlns:xlrd2="http://schemas.microsoft.com/office/spreadsheetml/2017/richdata2" ref="E2:I10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103</v>
      </c>
      <c r="H2" s="132">
        <f>IF(B$17=0,0,G2/B$17)</f>
        <v>0.35517241379310344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178.64077669902912</v>
      </c>
      <c r="P2" s="118">
        <v>103</v>
      </c>
      <c r="Q2" s="102">
        <v>18400</v>
      </c>
    </row>
    <row r="3" spans="1:17" x14ac:dyDescent="0.4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31</v>
      </c>
      <c r="H3" s="133">
        <f>IF(B$17=0,0,G3/B$17)</f>
        <v>0.10689655172413794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-1133.009708737864</v>
      </c>
      <c r="P3" s="119">
        <v>103</v>
      </c>
      <c r="Q3" s="103">
        <v>-116700</v>
      </c>
    </row>
    <row r="4" spans="1:17" x14ac:dyDescent="0.4">
      <c r="A4" s="55" t="s">
        <v>6</v>
      </c>
      <c r="B4" s="154">
        <v>-259.40000000000003</v>
      </c>
      <c r="C4" s="155"/>
      <c r="E4" s="63" t="s">
        <v>67</v>
      </c>
      <c r="F4" s="60" t="s">
        <v>23</v>
      </c>
      <c r="G4" s="47">
        <v>186</v>
      </c>
      <c r="H4" s="133">
        <f>IF(B$17=0,0,G4/B$17)</f>
        <v>0.64137931034482754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-993.54838709677415</v>
      </c>
      <c r="P4" s="119">
        <v>93</v>
      </c>
      <c r="Q4" s="103">
        <v>-92400</v>
      </c>
    </row>
    <row r="5" spans="1:17" x14ac:dyDescent="0.4">
      <c r="A5" s="55" t="s">
        <v>7</v>
      </c>
      <c r="B5" s="156">
        <f>IF(B$2=0,0,B$4/B$2)</f>
        <v>-2.518446601941748</v>
      </c>
      <c r="C5" s="157"/>
      <c r="E5" s="63" t="s">
        <v>68</v>
      </c>
      <c r="F5" s="60" t="s">
        <v>24</v>
      </c>
      <c r="G5" s="47">
        <v>50</v>
      </c>
      <c r="H5" s="133">
        <f>IF(B$17=0,0,G5/B$17)</f>
        <v>0.17241379310344829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978.40909090909088</v>
      </c>
      <c r="P5" s="119">
        <v>88</v>
      </c>
      <c r="Q5" s="103">
        <v>86100</v>
      </c>
    </row>
    <row r="6" spans="1:17" x14ac:dyDescent="0.4">
      <c r="A6" s="55" t="s">
        <v>1</v>
      </c>
      <c r="B6" s="146">
        <f>IF(B$2=0,0,(B$7*1+B$8*2+B$9*3)/B$2)</f>
        <v>2.0679611650485437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0.24827586206896551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-159.7560975609756</v>
      </c>
      <c r="P6" s="119">
        <v>82</v>
      </c>
      <c r="Q6" s="103">
        <v>-13100</v>
      </c>
    </row>
    <row r="7" spans="1:17" x14ac:dyDescent="0.4">
      <c r="A7" s="55" t="s">
        <v>2</v>
      </c>
      <c r="B7" s="47">
        <v>25</v>
      </c>
      <c r="C7" s="39">
        <f>IF(B$2=0,0,B7/B$2)</f>
        <v>0.24271844660194175</v>
      </c>
      <c r="E7" s="63" t="s">
        <v>70</v>
      </c>
      <c r="F7" s="60" t="s">
        <v>25</v>
      </c>
      <c r="G7" s="47">
        <v>46</v>
      </c>
      <c r="H7" s="133">
        <f>IF(B$17=0,0,G7/B$17)</f>
        <v>0.15862068965517243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-671.42857142857144</v>
      </c>
      <c r="P7" s="120">
        <v>70</v>
      </c>
      <c r="Q7" s="104">
        <v>-47000</v>
      </c>
    </row>
    <row r="8" spans="1:17" x14ac:dyDescent="0.4">
      <c r="A8" s="55" t="s">
        <v>3</v>
      </c>
      <c r="B8" s="47">
        <v>46</v>
      </c>
      <c r="C8" s="39">
        <f>IF(B$2=0,0,B8/B$2)</f>
        <v>0.44660194174757284</v>
      </c>
      <c r="E8" s="63" t="s">
        <v>71</v>
      </c>
      <c r="F8" s="60" t="s">
        <v>26</v>
      </c>
      <c r="G8" s="47">
        <v>21</v>
      </c>
      <c r="H8" s="133">
        <f>IF(B$17=0,0,G8/B$17)</f>
        <v>7.2413793103448282E-2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0.31067961165048541</v>
      </c>
      <c r="E9" s="63" t="s">
        <v>72</v>
      </c>
      <c r="F9" s="60" t="s">
        <v>27</v>
      </c>
      <c r="G9" s="47">
        <v>23</v>
      </c>
      <c r="H9" s="133">
        <f>IF(B$17=0,0,G9/B$17)</f>
        <v>7.9310344827586213E-2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5.8252427184466021E-2</v>
      </c>
      <c r="E10" s="63" t="s">
        <v>73</v>
      </c>
      <c r="F10" s="60" t="s">
        <v>28</v>
      </c>
      <c r="G10" s="47">
        <v>165</v>
      </c>
      <c r="H10" s="133">
        <f>IF(B$17=0,0,G10/B$17)</f>
        <v>0.56896551724137934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-5.0515151515151535</v>
      </c>
      <c r="P10" s="118">
        <v>33</v>
      </c>
      <c r="Q10" s="106">
        <v>-166.70000000000007</v>
      </c>
    </row>
    <row r="11" spans="1:17" x14ac:dyDescent="0.4">
      <c r="A11" s="56" t="s">
        <v>140</v>
      </c>
      <c r="B11" s="48">
        <v>10</v>
      </c>
      <c r="C11" s="40">
        <f>IF(B$2=0,0,B11/B$2)</f>
        <v>9.7087378640776698E-2</v>
      </c>
      <c r="E11" s="63" t="s">
        <v>74</v>
      </c>
      <c r="F11" s="60" t="s">
        <v>29</v>
      </c>
      <c r="G11" s="47">
        <v>1</v>
      </c>
      <c r="H11" s="133">
        <f>IF(B$17=0,0,G11/B$17)</f>
        <v>3.4482758620689655E-3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>IF(B$2=0,0,B12/B$2)</f>
        <v>7.7669902912621352E-2</v>
      </c>
      <c r="E12" s="63" t="s">
        <v>75</v>
      </c>
      <c r="F12" s="60" t="s">
        <v>30</v>
      </c>
      <c r="G12" s="47">
        <v>2</v>
      </c>
      <c r="H12" s="133">
        <f>IF(B$17=0,0,G12/B$17)</f>
        <v>6.8965517241379309E-3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183</v>
      </c>
      <c r="C13" s="44">
        <f>IF(B$3=0,0,B13/B$3)</f>
        <v>0.21180555555555555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0.28703703703703703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</v>
      </c>
      <c r="C15" s="37">
        <f>IF(B$13=0,0,B15/B$13)</f>
        <v>0.55737704918032782</v>
      </c>
      <c r="E15" s="63" t="s">
        <v>78</v>
      </c>
      <c r="F15" s="60" t="s">
        <v>33</v>
      </c>
      <c r="G15" s="47">
        <v>1</v>
      </c>
      <c r="H15" s="133">
        <f>IF(B$17=0,0,G15/B$17)</f>
        <v>3.4482758620689655E-3</v>
      </c>
      <c r="I15" s="94">
        <v>7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>IF(B$17=0,0,G16/B$17)</f>
        <v>1.3793103448275862E-2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20.858333333333324</v>
      </c>
      <c r="P16" s="119">
        <v>36</v>
      </c>
      <c r="Q16" s="107">
        <v>750.89999999999964</v>
      </c>
    </row>
    <row r="17" spans="1:17" x14ac:dyDescent="0.4">
      <c r="A17" s="54" t="s">
        <v>10</v>
      </c>
      <c r="B17" s="46">
        <f>B19+B18</f>
        <v>290</v>
      </c>
      <c r="C17" s="37">
        <f>IF(B$3=0,0,B17/B$3)</f>
        <v>0.33564814814814814</v>
      </c>
      <c r="E17" s="63" t="s">
        <v>80</v>
      </c>
      <c r="F17" s="60" t="s">
        <v>35</v>
      </c>
      <c r="G17" s="47">
        <v>3</v>
      </c>
      <c r="H17" s="133">
        <f>IF(B$17=0,0,G17/B$17)</f>
        <v>1.0344827586206896E-2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>IF(P17=0,0,Q17/P17)</f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115</v>
      </c>
      <c r="C18" s="39">
        <f>IF(B$17=0,0,B18/B$17)</f>
        <v>0.39655172413793105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>IF(P18=0,0,Q18/P18)</f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175</v>
      </c>
      <c r="C19" s="39">
        <f>IF(B$17=0,0,B19/B$17)</f>
        <v>0.60344827586206895</v>
      </c>
      <c r="E19" s="63" t="s">
        <v>82</v>
      </c>
      <c r="F19" s="60" t="s">
        <v>37</v>
      </c>
      <c r="G19" s="47">
        <v>9</v>
      </c>
      <c r="H19" s="133">
        <f>IF(B$17=0,0,G19/B$17)</f>
        <v>3.1034482758620689E-2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124</v>
      </c>
      <c r="C20" s="39">
        <f>IF(B$3=0,0,B20/B$3)</f>
        <v>0.14351851851851852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>IF(P20=0,0,Q20/P20)</f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21</v>
      </c>
      <c r="H21" s="133">
        <f>IF(B$17=0,0,G21/B$17)</f>
        <v>7.2413793103448282E-2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>IF(P22=0,0,Q22/P22)</f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6773.7931034482763</v>
      </c>
      <c r="C23" s="41">
        <v>1964400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-8308.0645161290322</v>
      </c>
      <c r="C24" s="45">
        <v>-1030200</v>
      </c>
      <c r="E24" s="63" t="s">
        <v>87</v>
      </c>
      <c r="F24" s="60" t="s">
        <v>42</v>
      </c>
      <c r="G24" s="47">
        <v>12</v>
      </c>
      <c r="H24" s="133">
        <f>IF(B$17=0,0,G24/B$17)</f>
        <v>4.1379310344827586E-2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3.4482758620689655E-3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1.1574074074074073E-3</v>
      </c>
      <c r="E27" s="63" t="s">
        <v>90</v>
      </c>
      <c r="F27" s="60" t="s">
        <v>45</v>
      </c>
      <c r="G27" s="47">
        <v>23</v>
      </c>
      <c r="H27" s="133">
        <f>IF(B$17=0,0,G27/B$17)</f>
        <v>7.9310344827586213E-2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3.4482758620689655E-3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1.3793103448275862E-2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123</v>
      </c>
      <c r="H51" s="138">
        <f>IF(B$17=0,0,G51/B$17)</f>
        <v>0.42413793103448277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55</v>
      </c>
      <c r="C2" s="151"/>
      <c r="E2" s="62" t="s">
        <v>65</v>
      </c>
      <c r="F2" s="59" t="s">
        <v>21</v>
      </c>
      <c r="G2" s="46">
        <v>58</v>
      </c>
      <c r="H2" s="132">
        <f>IF(B$17=0,0,G2/B$17)</f>
        <v>0.42028985507246375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-2616.3636363636365</v>
      </c>
      <c r="P2" s="118">
        <v>55</v>
      </c>
      <c r="Q2" s="102">
        <v>-143900</v>
      </c>
    </row>
    <row r="3" spans="1:17" x14ac:dyDescent="0.4">
      <c r="A3" s="55" t="s">
        <v>8</v>
      </c>
      <c r="B3" s="152">
        <v>479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7.2463768115942032E-2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1610.909090909091</v>
      </c>
      <c r="P3" s="119">
        <v>55</v>
      </c>
      <c r="Q3" s="103">
        <v>88600</v>
      </c>
    </row>
    <row r="4" spans="1:17" x14ac:dyDescent="0.4">
      <c r="A4" s="55" t="s">
        <v>6</v>
      </c>
      <c r="B4" s="154">
        <v>-349.5</v>
      </c>
      <c r="C4" s="155"/>
      <c r="E4" s="63" t="s">
        <v>67</v>
      </c>
      <c r="F4" s="60" t="s">
        <v>23</v>
      </c>
      <c r="G4" s="47">
        <v>88</v>
      </c>
      <c r="H4" s="133">
        <f>IF(B$17=0,0,G4/B$17)</f>
        <v>0.6376811594202898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-1119.2307692307693</v>
      </c>
      <c r="P4" s="119">
        <v>52</v>
      </c>
      <c r="Q4" s="103">
        <v>-58200</v>
      </c>
    </row>
    <row r="5" spans="1:17" x14ac:dyDescent="0.4">
      <c r="A5" s="55" t="s">
        <v>7</v>
      </c>
      <c r="B5" s="156">
        <f>IF(B$2=0,0,B$4/B$2)</f>
        <v>-6.3545454545454545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0.21014492753623187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-3756.25</v>
      </c>
      <c r="P5" s="119">
        <v>48</v>
      </c>
      <c r="Q5" s="103">
        <v>-180300</v>
      </c>
    </row>
    <row r="6" spans="1:17" x14ac:dyDescent="0.4">
      <c r="A6" s="55" t="s">
        <v>1</v>
      </c>
      <c r="B6" s="146">
        <f>IF(B$2=0,0,(B$7*1+B$8*2+B$9*3)/B$2)</f>
        <v>2.0909090909090908</v>
      </c>
      <c r="C6" s="147"/>
      <c r="E6" s="63" t="s">
        <v>69</v>
      </c>
      <c r="F6" s="60" t="s">
        <v>12</v>
      </c>
      <c r="G6" s="47">
        <v>53</v>
      </c>
      <c r="H6" s="133">
        <f>IF(B$17=0,0,G6/B$17)</f>
        <v>0.38405797101449274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0"/>
        <v>213.95348837209303</v>
      </c>
      <c r="P6" s="119">
        <v>43</v>
      </c>
      <c r="Q6" s="103">
        <v>9200</v>
      </c>
    </row>
    <row r="7" spans="1:17" x14ac:dyDescent="0.4">
      <c r="A7" s="55" t="s">
        <v>2</v>
      </c>
      <c r="B7" s="47">
        <v>16</v>
      </c>
      <c r="C7" s="39">
        <f>IF(B$2=0,0,B7/B$2)</f>
        <v>0.29090909090909089</v>
      </c>
      <c r="E7" s="63" t="s">
        <v>70</v>
      </c>
      <c r="F7" s="60" t="s">
        <v>25</v>
      </c>
      <c r="G7" s="47">
        <v>19</v>
      </c>
      <c r="H7" s="133">
        <f>IF(B$17=0,0,G7/B$17)</f>
        <v>0.13768115942028986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14.634146341463415</v>
      </c>
      <c r="P7" s="120">
        <v>41</v>
      </c>
      <c r="Q7" s="104">
        <v>600</v>
      </c>
    </row>
    <row r="8" spans="1:17" x14ac:dyDescent="0.4">
      <c r="A8" s="55" t="s">
        <v>3</v>
      </c>
      <c r="B8" s="47">
        <v>18</v>
      </c>
      <c r="C8" s="39">
        <f>IF(B$2=0,0,B8/B$2)</f>
        <v>0.32727272727272727</v>
      </c>
      <c r="E8" s="63" t="s">
        <v>71</v>
      </c>
      <c r="F8" s="60" t="s">
        <v>26</v>
      </c>
      <c r="G8" s="47">
        <v>17</v>
      </c>
      <c r="H8" s="133">
        <f>IF(B$17=0,0,G8/B$17)</f>
        <v>0.12318840579710146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0.38181818181818183</v>
      </c>
      <c r="E9" s="63" t="s">
        <v>72</v>
      </c>
      <c r="F9" s="60" t="s">
        <v>27</v>
      </c>
      <c r="G9" s="47">
        <v>7</v>
      </c>
      <c r="H9" s="133">
        <f>IF(B$17=0,0,G9/B$17)</f>
        <v>5.0724637681159424E-2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0.14545454545454545</v>
      </c>
      <c r="E10" s="63" t="s">
        <v>73</v>
      </c>
      <c r="F10" s="60" t="s">
        <v>28</v>
      </c>
      <c r="G10" s="47">
        <v>69</v>
      </c>
      <c r="H10" s="133">
        <f>IF(B$17=0,0,G10/B$17)</f>
        <v>0.5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7.2727272727272724E-2</v>
      </c>
      <c r="E11" s="63" t="s">
        <v>74</v>
      </c>
      <c r="F11" s="60" t="s">
        <v>29</v>
      </c>
      <c r="G11" s="47">
        <v>3</v>
      </c>
      <c r="H11" s="133">
        <f>IF(B$17=0,0,G11/B$17)</f>
        <v>2.1739130434782608E-2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-2.2629629629629622</v>
      </c>
      <c r="P11" s="119">
        <v>27</v>
      </c>
      <c r="Q11" s="107">
        <v>-61.099999999999973</v>
      </c>
    </row>
    <row r="12" spans="1:17" x14ac:dyDescent="0.4">
      <c r="A12" s="57" t="s">
        <v>160</v>
      </c>
      <c r="B12" s="49">
        <v>3</v>
      </c>
      <c r="C12" s="42">
        <f>IF(B$2=0,0,B12/B$2)</f>
        <v>5.4545454545454543E-2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106</v>
      </c>
      <c r="C13" s="44">
        <f>IF(B$3=0,0,B13/B$3)</f>
        <v>0.22129436325678498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111</v>
      </c>
      <c r="C14" s="39">
        <f>IF(B$3=0,0,B14/B$3)</f>
        <v>0.23173277661795408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0.34234234234234234</v>
      </c>
      <c r="E16" s="63" t="s">
        <v>79</v>
      </c>
      <c r="F16" s="60" t="s">
        <v>34</v>
      </c>
      <c r="G16" s="47">
        <v>3</v>
      </c>
      <c r="H16" s="133">
        <f>IF(B$17=0,0,G16/B$17)</f>
        <v>2.1739130434782608E-2</v>
      </c>
      <c r="I16" s="94">
        <v>10</v>
      </c>
      <c r="K16" s="38">
        <v>14</v>
      </c>
      <c r="L16" s="99">
        <v>-269.99999999999994</v>
      </c>
      <c r="N16" s="115" t="s">
        <v>129</v>
      </c>
      <c r="O16" s="125">
        <f>IF(P16=0,0,Q16/P16)</f>
        <v>24.541666666666668</v>
      </c>
      <c r="P16" s="119">
        <v>12</v>
      </c>
      <c r="Q16" s="107">
        <v>294.5</v>
      </c>
    </row>
    <row r="17" spans="1:17" x14ac:dyDescent="0.4">
      <c r="A17" s="54" t="s">
        <v>10</v>
      </c>
      <c r="B17" s="46">
        <f>B19+B18</f>
        <v>138</v>
      </c>
      <c r="C17" s="37">
        <f>IF(B$3=0,0,B17/B$3)</f>
        <v>0.2881002087682672</v>
      </c>
      <c r="E17" s="63" t="s">
        <v>80</v>
      </c>
      <c r="F17" s="60" t="s">
        <v>35</v>
      </c>
      <c r="G17" s="47">
        <v>3</v>
      </c>
      <c r="H17" s="133">
        <f>IF(B$17=0,0,G17/B$17)</f>
        <v>2.1739130434782608E-2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>IF(P17=0,0,Q17/P17)</f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69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69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7.246376811594203E-3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>IF(P19=0,0,Q19/P19)</f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86</v>
      </c>
      <c r="C20" s="39">
        <f>IF(B$3=0,0,B20/B$3)</f>
        <v>0.17954070981210857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>IF(P20=0,0,Q20/P20)</f>
        <v>-16.7</v>
      </c>
      <c r="P20" s="119">
        <v>10</v>
      </c>
      <c r="Q20" s="107">
        <v>-167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2.1739130434782608E-2</v>
      </c>
      <c r="I21" s="94">
        <v>11</v>
      </c>
      <c r="K21" s="38">
        <v>19</v>
      </c>
      <c r="L21" s="99">
        <v>-188.59999999999994</v>
      </c>
      <c r="N21" s="115" t="s">
        <v>127</v>
      </c>
      <c r="O21" s="125">
        <f>IF(P21=0,0,Q21/P21)</f>
        <v>-18.170833333333331</v>
      </c>
      <c r="P21" s="119">
        <v>24</v>
      </c>
      <c r="Q21" s="107">
        <v>-436.09999999999997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7540.579710144928</v>
      </c>
      <c r="C23" s="41">
        <v>1040600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>IF(P23=0,0,Q23/P23)</f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-8275.5813953488378</v>
      </c>
      <c r="C24" s="45">
        <v>-711700</v>
      </c>
      <c r="E24" s="63" t="s">
        <v>87</v>
      </c>
      <c r="F24" s="60" t="s">
        <v>42</v>
      </c>
      <c r="G24" s="47">
        <v>6</v>
      </c>
      <c r="H24" s="133">
        <f>IF(B$17=0,0,G24/B$17)</f>
        <v>4.3478260869565216E-2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7.246376811594203E-3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4.1753653444676405E-3</v>
      </c>
      <c r="E27" s="63" t="s">
        <v>90</v>
      </c>
      <c r="F27" s="60" t="s">
        <v>45</v>
      </c>
      <c r="G27" s="47">
        <v>18</v>
      </c>
      <c r="H27" s="133">
        <f>IF(B$17=0,0,G27/B$17)</f>
        <v>0.13043478260869565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1.4492753623188406E-2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7.246376811594203E-3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1.4492753623188406E-2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51</v>
      </c>
      <c r="H51" s="138">
        <f>IF(B$17=0,0,G51/B$17)</f>
        <v>0.36956521739130432</v>
      </c>
      <c r="I51" s="139">
        <v>12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</sheetData>
  <sortState xmlns:xlrd2="http://schemas.microsoft.com/office/spreadsheetml/2017/richdata2" ref="E2:I5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143</v>
      </c>
      <c r="H2" s="132">
        <f>IF(B$17=0,0,G2/B$17)</f>
        <v>0.61111111111111116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833.98058252427188</v>
      </c>
      <c r="P2" s="118">
        <v>103</v>
      </c>
      <c r="Q2" s="102">
        <v>85900</v>
      </c>
    </row>
    <row r="3" spans="1:17" x14ac:dyDescent="0.4">
      <c r="A3" s="55" t="s">
        <v>8</v>
      </c>
      <c r="B3" s="152">
        <v>850</v>
      </c>
      <c r="C3" s="153"/>
      <c r="E3" s="63" t="s">
        <v>67</v>
      </c>
      <c r="F3" s="60" t="s">
        <v>23</v>
      </c>
      <c r="G3" s="47">
        <v>125</v>
      </c>
      <c r="H3" s="133">
        <f>IF(B$17=0,0,G3/B$17)</f>
        <v>0.53418803418803418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489.8989898989899</v>
      </c>
      <c r="P3" s="119">
        <v>99</v>
      </c>
      <c r="Q3" s="103">
        <v>48500</v>
      </c>
    </row>
    <row r="4" spans="1:17" x14ac:dyDescent="0.4">
      <c r="A4" s="55" t="s">
        <v>6</v>
      </c>
      <c r="B4" s="154">
        <v>67.699999999999932</v>
      </c>
      <c r="C4" s="155"/>
      <c r="E4" s="63" t="s">
        <v>73</v>
      </c>
      <c r="F4" s="60" t="s">
        <v>28</v>
      </c>
      <c r="G4" s="47">
        <v>104</v>
      </c>
      <c r="H4" s="133">
        <f>IF(B$17=0,0,G4/B$17)</f>
        <v>0.44444444444444442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-752.17391304347825</v>
      </c>
      <c r="P4" s="119">
        <v>92</v>
      </c>
      <c r="Q4" s="103">
        <v>-69200</v>
      </c>
    </row>
    <row r="5" spans="1:17" x14ac:dyDescent="0.4">
      <c r="A5" s="55" t="s">
        <v>7</v>
      </c>
      <c r="B5" s="156">
        <f>IF(B$2=0,0,B$4/B$2)</f>
        <v>0.65728155339805761</v>
      </c>
      <c r="C5" s="157"/>
      <c r="E5" s="63" t="s">
        <v>245</v>
      </c>
      <c r="F5" s="60" t="s">
        <v>246</v>
      </c>
      <c r="G5" s="47">
        <v>99</v>
      </c>
      <c r="H5" s="133">
        <f>IF(B$17=0,0,G5/B$17)</f>
        <v>0.42307692307692307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0"/>
        <v>1512.6436781609195</v>
      </c>
      <c r="P5" s="119">
        <v>87</v>
      </c>
      <c r="Q5" s="103">
        <v>131600</v>
      </c>
    </row>
    <row r="6" spans="1:17" x14ac:dyDescent="0.4">
      <c r="A6" s="55" t="s">
        <v>1</v>
      </c>
      <c r="B6" s="146">
        <f>IF(B$2=0,0,(B$7*1+B$8*2+B$9*3)/B$2)</f>
        <v>1.9805825242718447</v>
      </c>
      <c r="C6" s="147"/>
      <c r="E6" s="63" t="s">
        <v>68</v>
      </c>
      <c r="F6" s="60" t="s">
        <v>24</v>
      </c>
      <c r="G6" s="47">
        <v>97</v>
      </c>
      <c r="H6" s="133">
        <f>IF(B$17=0,0,G6/B$17)</f>
        <v>0.41452991452991456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-1945</v>
      </c>
      <c r="P6" s="119">
        <v>80</v>
      </c>
      <c r="Q6" s="103">
        <v>-155600</v>
      </c>
    </row>
    <row r="7" spans="1:17" x14ac:dyDescent="0.4">
      <c r="A7" s="55" t="s">
        <v>2</v>
      </c>
      <c r="B7" s="47">
        <v>35</v>
      </c>
      <c r="C7" s="39">
        <f>IF(B$2=0,0,B7/B$2)</f>
        <v>0.33980582524271846</v>
      </c>
      <c r="E7" s="63" t="s">
        <v>69</v>
      </c>
      <c r="F7" s="60" t="s">
        <v>12</v>
      </c>
      <c r="G7" s="47">
        <v>80</v>
      </c>
      <c r="H7" s="133">
        <f>IF(B$17=0,0,G7/B$17)</f>
        <v>0.34188034188034189</v>
      </c>
      <c r="I7" s="94">
        <v>5</v>
      </c>
      <c r="K7" s="38">
        <v>5</v>
      </c>
      <c r="L7" s="99">
        <v>35.4</v>
      </c>
      <c r="N7" s="116" t="s">
        <v>137</v>
      </c>
      <c r="O7" s="123">
        <f t="shared" si="0"/>
        <v>700</v>
      </c>
      <c r="P7" s="120">
        <v>65</v>
      </c>
      <c r="Q7" s="104">
        <v>45500</v>
      </c>
    </row>
    <row r="8" spans="1:17" x14ac:dyDescent="0.4">
      <c r="A8" s="55" t="s">
        <v>3</v>
      </c>
      <c r="B8" s="47">
        <v>35</v>
      </c>
      <c r="C8" s="39">
        <f>IF(B$2=0,0,B8/B$2)</f>
        <v>0.33980582524271846</v>
      </c>
      <c r="E8" s="63" t="s">
        <v>70</v>
      </c>
      <c r="F8" s="60" t="s">
        <v>25</v>
      </c>
      <c r="G8" s="47">
        <v>36</v>
      </c>
      <c r="H8" s="133">
        <f>IF(B$17=0,0,G8/B$17)</f>
        <v>0.15384615384615385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0.32038834951456313</v>
      </c>
      <c r="E9" s="63" t="s">
        <v>66</v>
      </c>
      <c r="F9" s="60" t="s">
        <v>22</v>
      </c>
      <c r="G9" s="47">
        <v>27</v>
      </c>
      <c r="H9" s="133">
        <f>IF(B$17=0,0,G9/B$17)</f>
        <v>0.11538461538461539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0.12621359223300971</v>
      </c>
      <c r="E10" s="63" t="s">
        <v>90</v>
      </c>
      <c r="F10" s="60" t="s">
        <v>45</v>
      </c>
      <c r="G10" s="47">
        <v>26</v>
      </c>
      <c r="H10" s="133">
        <f>IF(B$17=0,0,G10/B$17)</f>
        <v>0.1111111111111111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-8.2171428571428571</v>
      </c>
      <c r="P10" s="118">
        <v>35</v>
      </c>
      <c r="Q10" s="106">
        <v>-287.60000000000002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0.10679611650485436</v>
      </c>
      <c r="E11" s="63" t="s">
        <v>71</v>
      </c>
      <c r="F11" s="60" t="s">
        <v>26</v>
      </c>
      <c r="G11" s="47">
        <v>17</v>
      </c>
      <c r="H11" s="133">
        <f>IF(B$17=0,0,G11/B$17)</f>
        <v>7.2649572649572655E-2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5.4972972972972967</v>
      </c>
      <c r="P11" s="119">
        <v>37</v>
      </c>
      <c r="Q11" s="107">
        <v>203.39999999999998</v>
      </c>
    </row>
    <row r="12" spans="1:17" x14ac:dyDescent="0.4">
      <c r="A12" s="57" t="s">
        <v>160</v>
      </c>
      <c r="B12" s="49">
        <v>8</v>
      </c>
      <c r="C12" s="42">
        <f>IF(B$2=0,0,B12/B$2)</f>
        <v>7.7669902912621352E-2</v>
      </c>
      <c r="E12" s="63" t="s">
        <v>72</v>
      </c>
      <c r="F12" s="60" t="s">
        <v>27</v>
      </c>
      <c r="G12" s="47">
        <v>17</v>
      </c>
      <c r="H12" s="133">
        <f>IF(B$17=0,0,G12/B$17)</f>
        <v>7.2649572649572655E-2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4.8999999999999995</v>
      </c>
      <c r="P12" s="120">
        <v>31</v>
      </c>
      <c r="Q12" s="108">
        <v>151.89999999999998</v>
      </c>
    </row>
    <row r="13" spans="1:17" x14ac:dyDescent="0.4">
      <c r="A13" s="58" t="s">
        <v>122</v>
      </c>
      <c r="B13" s="50">
        <v>232</v>
      </c>
      <c r="C13" s="44">
        <f>IF(B$3=0,0,B13/B$3)</f>
        <v>0.27294117647058824</v>
      </c>
      <c r="E13" s="63" t="s">
        <v>84</v>
      </c>
      <c r="F13" s="60" t="s">
        <v>39</v>
      </c>
      <c r="G13" s="47">
        <v>13</v>
      </c>
      <c r="H13" s="133">
        <f>IF(B$17=0,0,G13/B$17)</f>
        <v>5.5555555555555552E-2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0.18588235294117647</v>
      </c>
      <c r="E14" s="63" t="s">
        <v>87</v>
      </c>
      <c r="F14" s="60" t="s">
        <v>42</v>
      </c>
      <c r="G14" s="47">
        <v>10</v>
      </c>
      <c r="H14" s="133">
        <f>IF(B$17=0,0,G14/B$17)</f>
        <v>4.2735042735042736E-2</v>
      </c>
      <c r="I14" s="94">
        <v>10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143</v>
      </c>
      <c r="C15" s="37">
        <f>IF(B$13=0,0,B15/B$13)</f>
        <v>0.61637931034482762</v>
      </c>
      <c r="E15" s="63" t="s">
        <v>79</v>
      </c>
      <c r="F15" s="60" t="s">
        <v>34</v>
      </c>
      <c r="G15" s="47">
        <v>8</v>
      </c>
      <c r="H15" s="133">
        <f>IF(B$17=0,0,G15/B$17)</f>
        <v>3.4188034188034191E-2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>IF(P15=0,0,Q15/P15)</f>
        <v>69.774999999999991</v>
      </c>
      <c r="P15" s="118">
        <v>4</v>
      </c>
      <c r="Q15" s="106">
        <v>279.09999999999997</v>
      </c>
    </row>
    <row r="16" spans="1:17" x14ac:dyDescent="0.4">
      <c r="A16" s="54" t="s">
        <v>125</v>
      </c>
      <c r="B16" s="46">
        <v>54</v>
      </c>
      <c r="C16" s="37">
        <f>IF(B$14=0,0,B16/B$14)</f>
        <v>0.34177215189873417</v>
      </c>
      <c r="E16" s="63" t="s">
        <v>92</v>
      </c>
      <c r="F16" s="60" t="s">
        <v>47</v>
      </c>
      <c r="G16" s="47">
        <v>8</v>
      </c>
      <c r="H16" s="133">
        <f>IF(B$17=0,0,G16/B$17)</f>
        <v>3.4188034188034191E-2</v>
      </c>
      <c r="I16" s="94">
        <v>2</v>
      </c>
      <c r="K16" s="38">
        <v>14</v>
      </c>
      <c r="L16" s="99">
        <v>-178.49999999999997</v>
      </c>
      <c r="N16" s="115" t="s">
        <v>171</v>
      </c>
      <c r="O16" s="125">
        <f>IF(P16=0,0,Q16/P16)</f>
        <v>34.54347826086957</v>
      </c>
      <c r="P16" s="119">
        <v>23</v>
      </c>
      <c r="Q16" s="107">
        <v>794.50000000000011</v>
      </c>
    </row>
    <row r="17" spans="1:17" x14ac:dyDescent="0.4">
      <c r="A17" s="54" t="s">
        <v>10</v>
      </c>
      <c r="B17" s="46">
        <f>B19+B18</f>
        <v>234</v>
      </c>
      <c r="C17" s="37">
        <f>IF(B$3=0,0,B17/B$3)</f>
        <v>0.2752941176470588</v>
      </c>
      <c r="E17" s="63" t="s">
        <v>82</v>
      </c>
      <c r="F17" s="60" t="s">
        <v>37</v>
      </c>
      <c r="G17" s="47">
        <v>7</v>
      </c>
      <c r="H17" s="133">
        <f>IF(B$17=0,0,G17/B$17)</f>
        <v>2.9914529914529916E-2</v>
      </c>
      <c r="I17" s="94">
        <v>5</v>
      </c>
      <c r="K17" s="38">
        <v>15</v>
      </c>
      <c r="L17" s="99">
        <v>-146.19999999999999</v>
      </c>
      <c r="N17" s="115" t="s">
        <v>173</v>
      </c>
      <c r="O17" s="125">
        <f>IF(P17=0,0,Q17/P17)</f>
        <v>16.700000000000003</v>
      </c>
      <c r="P17" s="119">
        <v>10</v>
      </c>
      <c r="Q17" s="107">
        <v>167.00000000000003</v>
      </c>
    </row>
    <row r="18" spans="1:17" x14ac:dyDescent="0.4">
      <c r="A18" s="55" t="s">
        <v>12</v>
      </c>
      <c r="B18" s="47">
        <v>107</v>
      </c>
      <c r="C18" s="39">
        <f>IF(B$17=0,0,B18/B$17)</f>
        <v>0.45726495726495725</v>
      </c>
      <c r="E18" s="63" t="s">
        <v>86</v>
      </c>
      <c r="F18" s="60" t="s">
        <v>41</v>
      </c>
      <c r="G18" s="47">
        <v>5</v>
      </c>
      <c r="H18" s="133">
        <f>IF(B$17=0,0,G18/B$17)</f>
        <v>2.1367521367521368E-2</v>
      </c>
      <c r="I18" s="94">
        <v>1</v>
      </c>
      <c r="K18" s="38">
        <v>16</v>
      </c>
      <c r="L18" s="99">
        <v>-153.29999999999998</v>
      </c>
      <c r="N18" s="115" t="s">
        <v>200</v>
      </c>
      <c r="O18" s="125">
        <f>IF(P18=0,0,Q18/P18)</f>
        <v>9.3545454545454572</v>
      </c>
      <c r="P18" s="119">
        <v>11</v>
      </c>
      <c r="Q18" s="107">
        <v>102.90000000000002</v>
      </c>
    </row>
    <row r="19" spans="1:17" x14ac:dyDescent="0.4">
      <c r="A19" s="55" t="s">
        <v>11</v>
      </c>
      <c r="B19" s="47">
        <v>127</v>
      </c>
      <c r="C19" s="39">
        <f>IF(B$17=0,0,B19/B$17)</f>
        <v>0.54273504273504269</v>
      </c>
      <c r="E19" s="63" t="s">
        <v>80</v>
      </c>
      <c r="F19" s="60" t="s">
        <v>35</v>
      </c>
      <c r="G19" s="47">
        <v>3</v>
      </c>
      <c r="H19" s="133">
        <f>IF(B$17=0,0,G19/B$17)</f>
        <v>1.282051282051282E-2</v>
      </c>
      <c r="I19" s="94">
        <v>9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127</v>
      </c>
      <c r="C20" s="39">
        <f>IF(B$3=0,0,B20/B$3)</f>
        <v>0.14941176470588236</v>
      </c>
      <c r="E20" s="63" t="s">
        <v>76</v>
      </c>
      <c r="F20" s="60" t="s">
        <v>31</v>
      </c>
      <c r="G20" s="47">
        <v>2</v>
      </c>
      <c r="H20" s="133">
        <f>IF(B$17=0,0,G20/B$17)</f>
        <v>8.5470085470085479E-3</v>
      </c>
      <c r="I20" s="94">
        <v>4</v>
      </c>
      <c r="K20" s="38">
        <v>18</v>
      </c>
      <c r="L20" s="99">
        <v>-159</v>
      </c>
      <c r="N20" s="115" t="s">
        <v>128</v>
      </c>
      <c r="O20" s="125">
        <f>IF(P20=0,0,Q20/P20)</f>
        <v>-0.50909090909090871</v>
      </c>
      <c r="P20" s="119">
        <v>33</v>
      </c>
      <c r="Q20" s="107">
        <v>-16.799999999999986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8.5470085470085479E-3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>IF(P21=0,0,Q21/P21)</f>
        <v>-1.4837209302325587</v>
      </c>
      <c r="P21" s="119">
        <v>43</v>
      </c>
      <c r="Q21" s="107">
        <v>-63.800000000000026</v>
      </c>
    </row>
    <row r="22" spans="1:17" x14ac:dyDescent="0.4">
      <c r="A22" s="55" t="s">
        <v>192</v>
      </c>
      <c r="B22" s="47">
        <v>45</v>
      </c>
      <c r="C22" s="135">
        <v>1</v>
      </c>
      <c r="E22" s="63" t="s">
        <v>91</v>
      </c>
      <c r="F22" s="60" t="s">
        <v>46</v>
      </c>
      <c r="G22" s="47">
        <v>2</v>
      </c>
      <c r="H22" s="133">
        <f>IF(B$17=0,0,G22/B$17)</f>
        <v>8.5470085470085479E-3</v>
      </c>
      <c r="I22" s="94">
        <v>1</v>
      </c>
      <c r="K22" s="38">
        <v>20</v>
      </c>
      <c r="L22" s="99">
        <v>-200.8</v>
      </c>
      <c r="N22" s="115" t="s">
        <v>172</v>
      </c>
      <c r="O22" s="125">
        <f>IF(P22=0,0,Q22/P22)</f>
        <v>-2.2741935483870979</v>
      </c>
      <c r="P22" s="119">
        <v>31</v>
      </c>
      <c r="Q22" s="107">
        <v>-70.500000000000028</v>
      </c>
    </row>
    <row r="23" spans="1:17" x14ac:dyDescent="0.4">
      <c r="A23" s="55" t="s">
        <v>5</v>
      </c>
      <c r="B23" s="51">
        <f>IF(B$17=0,0,C23/B$17)</f>
        <v>8729.9145299145293</v>
      </c>
      <c r="C23" s="41">
        <v>2042800</v>
      </c>
      <c r="E23" s="63" t="s">
        <v>75</v>
      </c>
      <c r="F23" s="60" t="s">
        <v>30</v>
      </c>
      <c r="G23" s="47">
        <v>1</v>
      </c>
      <c r="H23" s="133">
        <f>IF(B$17=0,0,G23/B$17)</f>
        <v>4.2735042735042739E-3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-20.985714285714295</v>
      </c>
      <c r="P23" s="119">
        <v>42</v>
      </c>
      <c r="Q23" s="107">
        <v>-881.40000000000032</v>
      </c>
    </row>
    <row r="24" spans="1:17" x14ac:dyDescent="0.4">
      <c r="A24" s="57" t="s">
        <v>14</v>
      </c>
      <c r="B24" s="52">
        <f>IF(B$20=0,0,C24/B$20)</f>
        <v>-7113.3858267716532</v>
      </c>
      <c r="C24" s="45">
        <v>-903400</v>
      </c>
      <c r="E24" s="63" t="s">
        <v>93</v>
      </c>
      <c r="F24" s="60" t="s">
        <v>48</v>
      </c>
      <c r="G24" s="47">
        <v>1</v>
      </c>
      <c r="H24" s="133">
        <f>IF(B$17=0,0,G24/B$17)</f>
        <v>4.2735042735042739E-3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4.2735042735042739E-3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4.2735042735042739E-3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3.5294117647058825E-3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29</v>
      </c>
      <c r="H2" s="132">
        <f>IF(B$17=0,0,G2/B$17)</f>
        <v>0.44615384615384618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7.6923076923076927E-2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67</v>
      </c>
      <c r="F4" s="60" t="s">
        <v>23</v>
      </c>
      <c r="G4" s="47">
        <v>34</v>
      </c>
      <c r="H4" s="133">
        <f>IF(B$17=0,0,G4/B$17)</f>
        <v>0.52307692307692311</v>
      </c>
      <c r="I4" s="94">
        <v>14</v>
      </c>
      <c r="K4" s="38">
        <v>2</v>
      </c>
      <c r="L4" s="99">
        <v>-28.1</v>
      </c>
      <c r="N4" s="115" t="s">
        <v>134</v>
      </c>
      <c r="O4" s="122">
        <f t="shared" si="0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68</v>
      </c>
      <c r="F5" s="60" t="s">
        <v>24</v>
      </c>
      <c r="G5" s="47">
        <v>20</v>
      </c>
      <c r="H5" s="133">
        <f>IF(B$17=0,0,G5/B$17)</f>
        <v>0.30769230769230771</v>
      </c>
      <c r="I5" s="94">
        <v>6</v>
      </c>
      <c r="K5" s="38">
        <v>3</v>
      </c>
      <c r="L5" s="99">
        <v>-20.400000000000002</v>
      </c>
      <c r="N5" s="115" t="s">
        <v>135</v>
      </c>
      <c r="O5" s="122">
        <f t="shared" si="0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0.35384615384615387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0.15384615384615385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0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>IF(B$2=0,0,B8/B$2)</f>
        <v>0.47619047619047616</v>
      </c>
      <c r="E8" s="63" t="s">
        <v>71</v>
      </c>
      <c r="F8" s="60" t="s">
        <v>26</v>
      </c>
      <c r="G8" s="47">
        <v>3</v>
      </c>
      <c r="H8" s="133">
        <f>IF(B$17=0,0,G8/B$17)</f>
        <v>4.6153846153846156E-2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0.19047619047619047</v>
      </c>
      <c r="E9" s="63" t="s">
        <v>72</v>
      </c>
      <c r="F9" s="60" t="s">
        <v>27</v>
      </c>
      <c r="G9" s="47">
        <v>1</v>
      </c>
      <c r="H9" s="133">
        <f>IF(B$17=0,0,G9/B$17)</f>
        <v>1.5384615384615385E-2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0.14285714285714285</v>
      </c>
      <c r="E10" s="63" t="s">
        <v>73</v>
      </c>
      <c r="F10" s="60" t="s">
        <v>28</v>
      </c>
      <c r="G10" s="47">
        <v>48</v>
      </c>
      <c r="H10" s="133">
        <f>IF(B$17=0,0,G10/B$17)</f>
        <v>0.7384615384615385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4.7619047619047616E-2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>IF(B$2=0,0,B12/B$2)</f>
        <v>9.5238095238095233E-2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78</v>
      </c>
      <c r="F15" s="60" t="s">
        <v>33</v>
      </c>
      <c r="G15" s="47">
        <v>3</v>
      </c>
      <c r="H15" s="133">
        <f>IF(B$17=0,0,G15/B$17)</f>
        <v>4.6153846153846156E-2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79</v>
      </c>
      <c r="F16" s="60" t="s">
        <v>34</v>
      </c>
      <c r="G16" s="47">
        <v>4</v>
      </c>
      <c r="H16" s="133">
        <f>IF(B$17=0,0,G16/B$17)</f>
        <v>6.1538461538461542E-2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>IF(P16=0,0,Q16/P16)</f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>IF(B$17=0,0,G17/B$17)</f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>IF(P17=0,0,Q17/P17)</f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>IF(P18=0,0,Q18/P18)</f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82</v>
      </c>
      <c r="F19" s="60" t="s">
        <v>37</v>
      </c>
      <c r="G19" s="47">
        <v>1</v>
      </c>
      <c r="H19" s="133">
        <f>IF(B$17=0,0,G19/B$17)</f>
        <v>1.5384615384615385E-2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>IF(P19=0,0,Q19/P19)</f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>IF(P20=0,0,Q20/P20)</f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4.6153846153846156E-2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>IF(P21=0,0,Q21/P21)</f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80.999999999999986</v>
      </c>
      <c r="N22" s="115" t="s">
        <v>129</v>
      </c>
      <c r="O22" s="125">
        <f>IF(P22=0,0,Q22/P22)</f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87</v>
      </c>
      <c r="F24" s="60" t="s">
        <v>42</v>
      </c>
      <c r="G24" s="47">
        <v>7</v>
      </c>
      <c r="H24" s="133">
        <f>IF(B$17=0,0,G24/B$17)</f>
        <v>0.1076923076923077</v>
      </c>
      <c r="I24" s="94">
        <v>3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90</v>
      </c>
      <c r="F27" s="60" t="s">
        <v>45</v>
      </c>
      <c r="G27" s="47">
        <v>10</v>
      </c>
      <c r="H27" s="133">
        <f>IF(B$17=0,0,G27/B$17)</f>
        <v>0.15384615384615385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21</v>
      </c>
      <c r="H51" s="138">
        <f>IF(B$17=0,0,G51/B$17)</f>
        <v>0.32307692307692309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0.52941176470588236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-5362.5</v>
      </c>
      <c r="P2" s="118">
        <v>8</v>
      </c>
      <c r="Q2" s="102">
        <v>-42900</v>
      </c>
    </row>
    <row r="3" spans="1:17" x14ac:dyDescent="0.4">
      <c r="A3" s="55" t="s">
        <v>8</v>
      </c>
      <c r="B3" s="152">
        <v>72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5.8823529411764705E-2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-4025</v>
      </c>
      <c r="P3" s="119">
        <v>8</v>
      </c>
      <c r="Q3" s="103">
        <v>-32200</v>
      </c>
    </row>
    <row r="4" spans="1:17" x14ac:dyDescent="0.4">
      <c r="A4" s="55" t="s">
        <v>6</v>
      </c>
      <c r="B4" s="154">
        <v>-289.8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0.52941176470588236</v>
      </c>
      <c r="I4" s="94">
        <v>13</v>
      </c>
      <c r="K4" s="38">
        <v>2</v>
      </c>
      <c r="L4" s="99">
        <v>-96.5</v>
      </c>
      <c r="N4" s="115" t="s">
        <v>134</v>
      </c>
      <c r="O4" s="122">
        <f t="shared" si="0"/>
        <v>-300</v>
      </c>
      <c r="P4" s="119">
        <v>7</v>
      </c>
      <c r="Q4" s="103">
        <v>-2100</v>
      </c>
    </row>
    <row r="5" spans="1:17" x14ac:dyDescent="0.4">
      <c r="A5" s="55" t="s">
        <v>7</v>
      </c>
      <c r="B5" s="156">
        <f>IF(B$2=0,0,B$4/B$2)</f>
        <v>-36.225000000000001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3914.2857142857142</v>
      </c>
      <c r="P5" s="119">
        <v>7</v>
      </c>
      <c r="Q5" s="103">
        <v>27400</v>
      </c>
    </row>
    <row r="6" spans="1:17" x14ac:dyDescent="0.4">
      <c r="A6" s="55" t="s">
        <v>1</v>
      </c>
      <c r="B6" s="146">
        <f>IF(B$2=0,0,(B$7*1+B$8*2+B$9*3)/B$2)</f>
        <v>2.75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0.23529411764705882</v>
      </c>
      <c r="I6" s="94">
        <v>13</v>
      </c>
      <c r="K6" s="38">
        <v>4</v>
      </c>
      <c r="L6" s="99">
        <v>-134.1</v>
      </c>
      <c r="N6" s="115" t="s">
        <v>136</v>
      </c>
      <c r="O6" s="122">
        <f t="shared" si="0"/>
        <v>-6466.666666666667</v>
      </c>
      <c r="P6" s="119">
        <v>6</v>
      </c>
      <c r="Q6" s="103">
        <v>-38800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2</v>
      </c>
      <c r="H7" s="133">
        <f>IF(B$17=0,0,G7/B$17)</f>
        <v>0.11764705882352941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-6140</v>
      </c>
      <c r="P7" s="120">
        <v>5</v>
      </c>
      <c r="Q7" s="104">
        <v>-30700</v>
      </c>
    </row>
    <row r="8" spans="1:17" x14ac:dyDescent="0.4">
      <c r="A8" s="55" t="s">
        <v>3</v>
      </c>
      <c r="B8" s="47">
        <v>2</v>
      </c>
      <c r="C8" s="39">
        <f>IF(B$2=0,0,B8/B$2)</f>
        <v>0.25</v>
      </c>
      <c r="E8" s="63" t="s">
        <v>71</v>
      </c>
      <c r="F8" s="60" t="s">
        <v>26</v>
      </c>
      <c r="G8" s="47">
        <v>1</v>
      </c>
      <c r="H8" s="133">
        <f>IF(B$17=0,0,G8/B$17)</f>
        <v>5.8823529411764705E-2</v>
      </c>
      <c r="I8" s="94">
        <v>11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0.75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73</v>
      </c>
      <c r="F10" s="60" t="s">
        <v>28</v>
      </c>
      <c r="G10" s="47">
        <v>7</v>
      </c>
      <c r="H10" s="133">
        <f>IF(B$17=0,0,G10/B$17)</f>
        <v>0.41176470588235292</v>
      </c>
      <c r="I10" s="94">
        <v>13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0.18055555555555555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</v>
      </c>
      <c r="C15" s="37">
        <f>IF(B$13=0,0,B15/B$13)</f>
        <v>0.69230769230769229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5.8823529411764705E-2</v>
      </c>
      <c r="I16" s="94">
        <v>3</v>
      </c>
      <c r="N16" s="115" t="s">
        <v>129</v>
      </c>
      <c r="O16" s="125">
        <f>IF(P16=0,0,Q16/P16)</f>
        <v>-52.959999999999994</v>
      </c>
      <c r="P16" s="119">
        <v>5</v>
      </c>
      <c r="Q16" s="107">
        <v>-264.79999999999995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0.2361111111111111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177</v>
      </c>
      <c r="O17" s="125">
        <f>IF(P17=0,0,Q17/P17)</f>
        <v>-69.775000000000006</v>
      </c>
      <c r="P17" s="119">
        <v>4</v>
      </c>
      <c r="Q17" s="107">
        <v>-279.10000000000002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19</v>
      </c>
      <c r="C20" s="39">
        <f>IF(B$3=0,0,B20/B$3)</f>
        <v>0.2638888888888889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6776.4705882352937</v>
      </c>
      <c r="C23" s="41">
        <v>115200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-7089.4736842105267</v>
      </c>
      <c r="C24" s="45">
        <v>-134700</v>
      </c>
      <c r="E24" s="63" t="s">
        <v>87</v>
      </c>
      <c r="F24" s="60" t="s">
        <v>42</v>
      </c>
      <c r="G24" s="47">
        <v>2</v>
      </c>
      <c r="H24" s="133">
        <f>IF(B$17=0,0,G24/B$17)</f>
        <v>0.11764705882352941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1</v>
      </c>
      <c r="H27" s="133">
        <f>IF(B$17=0,0,G27/B$17)</f>
        <v>5.8823529411764705E-2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5.8823529411764705E-2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0.52941176470588236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0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0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2019-07-22T11:31:04Z</dcterms:modified>
</cp:coreProperties>
</file>