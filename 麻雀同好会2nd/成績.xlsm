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188C3DA-60AA-4FB1-9572-22B99A3F10A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20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8" i="4622"/>
  <c r="O19" i="4622"/>
  <c r="O17" i="4614"/>
  <c r="O17" i="4620" l="1"/>
  <c r="O19" i="4618"/>
  <c r="O16" i="4622"/>
  <c r="O17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18" i="4620"/>
  <c r="O16" i="4614"/>
  <c r="O19" i="4614"/>
  <c r="O20" i="4618"/>
  <c r="O19" i="4620"/>
  <c r="O20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8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0" i="4612"/>
  <c r="O21" i="4612"/>
  <c r="O19" i="4610"/>
  <c r="O20" i="4610"/>
  <c r="H10" i="4622" l="1"/>
  <c r="H19" i="4622"/>
  <c r="H16" i="4622"/>
  <c r="H52" i="4622"/>
  <c r="H8" i="4622"/>
  <c r="C18" i="4622"/>
  <c r="H2" i="4622"/>
  <c r="H29" i="4622"/>
  <c r="H5" i="4622"/>
  <c r="H3" i="4622"/>
  <c r="H21" i="4622"/>
  <c r="H25" i="4622"/>
  <c r="H36" i="4622"/>
  <c r="H44" i="4622"/>
  <c r="H15" i="4620"/>
  <c r="H3" i="4618"/>
  <c r="H5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1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4" i="4620"/>
  <c r="H16" i="4620"/>
  <c r="C17" i="4620"/>
  <c r="H32" i="4620"/>
  <c r="H48" i="4620"/>
  <c r="H21" i="4620"/>
  <c r="H29" i="4620"/>
  <c r="H6" i="4620"/>
  <c r="H3" i="4620"/>
  <c r="H18" i="4620"/>
  <c r="C18" i="4620"/>
  <c r="H27" i="4620"/>
  <c r="H36" i="4620"/>
  <c r="H52" i="4620"/>
  <c r="H23" i="4620"/>
  <c r="H13" i="4620"/>
  <c r="B23" i="4620"/>
  <c r="H9" i="4620"/>
  <c r="H10" i="4620"/>
  <c r="H33" i="4620"/>
  <c r="H37" i="4620"/>
  <c r="H41" i="4620"/>
  <c r="H45" i="4620"/>
  <c r="H49" i="4620"/>
  <c r="H4" i="4620"/>
  <c r="H8" i="4620"/>
  <c r="H20" i="4620"/>
  <c r="H22" i="4620"/>
  <c r="C19" i="4620"/>
  <c r="H25" i="4620"/>
  <c r="H26" i="4620"/>
  <c r="H28" i="4620"/>
  <c r="H30" i="4620"/>
  <c r="H34" i="4620"/>
  <c r="H38" i="4620"/>
  <c r="H42" i="4620"/>
  <c r="H46" i="4620"/>
  <c r="H50" i="4620"/>
  <c r="H11" i="4620"/>
  <c r="H7" i="4620"/>
  <c r="H17" i="4620"/>
  <c r="H19" i="4620"/>
  <c r="H12" i="4620"/>
  <c r="H24" i="4620"/>
  <c r="H31" i="4620"/>
  <c r="H35" i="4620"/>
  <c r="H39" i="4620"/>
  <c r="H43" i="4620"/>
  <c r="H47" i="4620"/>
  <c r="H40" i="4618"/>
  <c r="H44" i="4618"/>
  <c r="H13" i="4618"/>
  <c r="H30" i="4618"/>
  <c r="H8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7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9" i="4618"/>
  <c r="H12" i="4618"/>
  <c r="H20" i="4618"/>
  <c r="H23" i="4618"/>
  <c r="H25" i="4618"/>
  <c r="H32" i="4618"/>
  <c r="H35" i="4618"/>
  <c r="H39" i="4618"/>
  <c r="H43" i="4618"/>
  <c r="H47" i="4618"/>
  <c r="O17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8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9" i="4616"/>
  <c r="C18" i="4616"/>
  <c r="H32" i="4612"/>
  <c r="H14" i="4612"/>
  <c r="H16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3" i="4616"/>
  <c r="H11" i="4616"/>
  <c r="H33" i="4616"/>
  <c r="H37" i="4616"/>
  <c r="H41" i="4616"/>
  <c r="H45" i="4616"/>
  <c r="H49" i="4616"/>
  <c r="H7" i="4616"/>
  <c r="H8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2" i="4616"/>
  <c r="H4" i="4616"/>
  <c r="H10" i="4616"/>
  <c r="H17" i="4616"/>
  <c r="H21" i="4616"/>
  <c r="H23" i="4616"/>
  <c r="H31" i="4616"/>
  <c r="H35" i="4616"/>
  <c r="H39" i="4616"/>
  <c r="H43" i="4616"/>
  <c r="H47" i="4616"/>
  <c r="H3" i="4614"/>
  <c r="H4" i="4614"/>
  <c r="H20" i="4614"/>
  <c r="H41" i="4614"/>
  <c r="H9" i="4614"/>
  <c r="H24" i="4614"/>
  <c r="H16" i="4614"/>
  <c r="H32" i="4614"/>
  <c r="C17" i="4614"/>
  <c r="H49" i="4614"/>
  <c r="H45" i="4614"/>
  <c r="H6" i="4614"/>
  <c r="H22" i="4614"/>
  <c r="H2" i="4614"/>
  <c r="H17" i="4614"/>
  <c r="C18" i="4614"/>
  <c r="H30" i="4614"/>
  <c r="H37" i="4614"/>
  <c r="H23" i="4614"/>
  <c r="H26" i="4614"/>
  <c r="H13" i="4614"/>
  <c r="B23" i="4614"/>
  <c r="H11" i="4614"/>
  <c r="H12" i="4614"/>
  <c r="H34" i="4614"/>
  <c r="H38" i="4614"/>
  <c r="H42" i="4614"/>
  <c r="H46" i="4614"/>
  <c r="H50" i="4614"/>
  <c r="H5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10" i="4614"/>
  <c r="H7" i="4614"/>
  <c r="H15" i="4614"/>
  <c r="H18" i="4614"/>
  <c r="H21" i="4614"/>
  <c r="H27" i="4614"/>
  <c r="H14" i="4614"/>
  <c r="H36" i="4614"/>
  <c r="H40" i="4614"/>
  <c r="H44" i="4614"/>
  <c r="H48" i="4614"/>
  <c r="H36" i="4612"/>
  <c r="H13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5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2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20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19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<sst xmlns="http://schemas.openxmlformats.org/spreadsheetml/2006/main" count="2431" uniqueCount="202">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</sst>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全体!$L$2:$L$173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-29.239766081871345</c:v>
                </c:pt>
                <c:pt idx="1">
                  <c:v>-11.904761904761905</c:v>
                </c:pt>
                <c:pt idx="2">
                  <c:v>45.751633986928105</c:v>
                </c:pt>
                <c:pt idx="3">
                  <c:v>-6.9444444444444446</c:v>
                </c:pt>
                <c:pt idx="4">
                  <c:v>-37.037037037037038</c:v>
                </c:pt>
                <c:pt idx="5">
                  <c:v>47.61904761904762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5128.2051282051279</c:v>
                </c:pt>
                <c:pt idx="1">
                  <c:v>5371.0526315789475</c:v>
                </c:pt>
                <c:pt idx="2">
                  <c:v>2471.4285714285716</c:v>
                </c:pt>
                <c:pt idx="3">
                  <c:v>4009.375</c:v>
                </c:pt>
                <c:pt idx="4">
                  <c:v>2468.9655172413795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りくと!$L$2:$L$41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1102.5641025641025</c:v>
                </c:pt>
                <c:pt idx="1">
                  <c:v>-1284.2105263157894</c:v>
                </c:pt>
                <c:pt idx="2">
                  <c:v>-1051.3513513513512</c:v>
                </c:pt>
                <c:pt idx="3">
                  <c:v>1657.1428571428571</c:v>
                </c:pt>
                <c:pt idx="4">
                  <c:v>2221.212121212121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-5443.75</c:v>
                </c:pt>
                <c:pt idx="1">
                  <c:v>-3981.25</c:v>
                </c:pt>
                <c:pt idx="2">
                  <c:v>-4484.6153846153848</c:v>
                </c:pt>
                <c:pt idx="3">
                  <c:v>-2653.8461538461538</c:v>
                </c:pt>
                <c:pt idx="4">
                  <c:v>-2153.8461538461538</c:v>
                </c:pt>
                <c:pt idx="5">
                  <c:v>-1653.8461538461538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れんたろう!$L$2:$L$28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92.307692307692307</c:v>
                </c:pt>
                <c:pt idx="1">
                  <c:v>1938.4615384615386</c:v>
                </c:pt>
                <c:pt idx="2">
                  <c:v>400</c:v>
                </c:pt>
                <c:pt idx="3">
                  <c:v>-3643.478260869565</c:v>
                </c:pt>
                <c:pt idx="4">
                  <c:v>-295.23809523809524</c:v>
                </c:pt>
                <c:pt idx="5">
                  <c:v>236.84210526315789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-1153.3333333333333</c:v>
                </c:pt>
                <c:pt idx="1">
                  <c:v>-740</c:v>
                </c:pt>
                <c:pt idx="2">
                  <c:v>-491.66666666666669</c:v>
                </c:pt>
                <c:pt idx="3">
                  <c:v>3018.181818181818</c:v>
                </c:pt>
                <c:pt idx="4">
                  <c:v>-4709.090909090909</c:v>
                </c:pt>
                <c:pt idx="5">
                  <c:v>-1611.1111111111111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-3700</c:v>
                </c:pt>
                <c:pt idx="1">
                  <c:v>-4442.8571428571431</c:v>
                </c:pt>
                <c:pt idx="2">
                  <c:v>141.66666666666666</c:v>
                </c:pt>
                <c:pt idx="3">
                  <c:v>-5663.636363636364</c:v>
                </c:pt>
                <c:pt idx="4">
                  <c:v>-3510</c:v>
                </c:pt>
                <c:pt idx="5">
                  <c:v>2188.8888888888887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0.98814633379400685</v>
      </c>
      <c r="G2" s="161"/>
      <c r="H2" s="160">
        <v>0.92375245306066189</v>
      </c>
      <c r="I2" s="161"/>
      <c r="J2" s="160">
        <v>0.93390864920359695</v>
      </c>
      <c r="K2" s="161"/>
      <c r="L2" s="160">
        <v>0.88362127234769161</v>
      </c>
      <c r="M2" s="161"/>
      <c r="N2" s="160">
        <v>0.81579473176440342</v>
      </c>
      <c r="O2" s="161"/>
      <c r="P2" s="160">
        <v>0.72650319209940606</v>
      </c>
      <c r="Q2" s="161"/>
      <c r="R2" s="160">
        <v>0.57759770137997624</v>
      </c>
      <c r="S2" s="161"/>
      <c r="T2" s="160">
        <v>0.77442335596334821</v>
      </c>
      <c r="U2" s="161"/>
      <c r="V2" s="160">
        <v>0.94285326158040961</v>
      </c>
      <c r="W2" s="161"/>
      <c r="X2" s="160">
        <v>0.84670379133585105</v>
      </c>
      <c r="Y2" s="161"/>
      <c r="Z2" s="160">
        <v>0.32156340015468465</v>
      </c>
      <c r="AA2" s="161"/>
      <c r="AB2" s="160">
        <v>0.78061984074461799</v>
      </c>
      <c r="AC2" s="161"/>
      <c r="AD2" s="160">
        <v>0.74372193622611082</v>
      </c>
      <c r="AE2" s="161"/>
      <c r="AF2" s="160">
        <v>-0.19396520865886829</v>
      </c>
      <c r="AG2" s="161"/>
      <c r="AH2" s="160">
        <v>0.88368656311198635</v>
      </c>
      <c r="AI2" s="161"/>
      <c r="AJ2" s="160">
        <v>9.68682384357092E-2</v>
      </c>
      <c r="AK2" s="161"/>
    </row>
    <row r="3" spans="1:37" x14ac:dyDescent="0.4">
      <c r="A3" s="74">
        <v>1</v>
      </c>
      <c r="B3" s="75" t="s">
        <v>129</v>
      </c>
      <c r="C3" s="76">
        <v>1131.0999999999999</v>
      </c>
      <c r="D3" s="77" t="s">
        <v>129</v>
      </c>
      <c r="E3" s="98">
        <v>29.002564102564101</v>
      </c>
      <c r="F3" s="77" t="s">
        <v>188</v>
      </c>
      <c r="G3" s="78">
        <v>1.3333333333333333</v>
      </c>
      <c r="H3" s="77" t="s">
        <v>129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0.42718446601941745</v>
      </c>
      <c r="N3" s="77" t="s">
        <v>188</v>
      </c>
      <c r="O3" s="80">
        <v>0.10526315789473684</v>
      </c>
      <c r="P3" s="77" t="s">
        <v>129</v>
      </c>
      <c r="Q3" s="81">
        <v>9225</v>
      </c>
      <c r="R3" s="77" t="s">
        <v>188</v>
      </c>
      <c r="S3" s="81">
        <v>-5150</v>
      </c>
      <c r="T3" s="77" t="s">
        <v>188</v>
      </c>
      <c r="U3" s="79">
        <v>0</v>
      </c>
      <c r="V3" s="77" t="s">
        <v>129</v>
      </c>
      <c r="W3" s="79">
        <v>0.23076923076923078</v>
      </c>
      <c r="X3" s="77" t="s">
        <v>129</v>
      </c>
      <c r="Y3" s="80">
        <v>0.34627831715210355</v>
      </c>
      <c r="Z3" s="77" t="s">
        <v>175</v>
      </c>
      <c r="AA3" s="80">
        <v>0.36974789915966388</v>
      </c>
      <c r="AB3" s="77" t="s">
        <v>189</v>
      </c>
      <c r="AC3" s="80">
        <v>0.7142857142857143</v>
      </c>
      <c r="AD3" s="77" t="s">
        <v>129</v>
      </c>
      <c r="AE3" s="80">
        <v>0.55128205128205132</v>
      </c>
      <c r="AF3" s="77" t="s">
        <v>176</v>
      </c>
      <c r="AG3" s="80">
        <v>0.51428571428571423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127.59999999999997</v>
      </c>
      <c r="D4" s="86" t="s">
        <v>188</v>
      </c>
      <c r="E4" s="99">
        <v>20.333333333333332</v>
      </c>
      <c r="F4" s="86" t="s">
        <v>129</v>
      </c>
      <c r="G4" s="87">
        <v>1.4615384615384615</v>
      </c>
      <c r="H4" s="86" t="s">
        <v>188</v>
      </c>
      <c r="I4" s="88">
        <v>0.66666666666666663</v>
      </c>
      <c r="J4" s="86" t="s">
        <v>129</v>
      </c>
      <c r="K4" s="88">
        <v>0.12820512820512819</v>
      </c>
      <c r="L4" s="86" t="s">
        <v>175</v>
      </c>
      <c r="M4" s="89">
        <v>0.32773109243697479</v>
      </c>
      <c r="N4" s="86" t="s">
        <v>129</v>
      </c>
      <c r="O4" s="89">
        <v>0.14563106796116504</v>
      </c>
      <c r="P4" s="86" t="s">
        <v>130</v>
      </c>
      <c r="Q4" s="90">
        <v>8963.1578947368416</v>
      </c>
      <c r="R4" s="86" t="s">
        <v>130</v>
      </c>
      <c r="S4" s="90">
        <v>-6980</v>
      </c>
      <c r="T4" s="86" t="s">
        <v>129</v>
      </c>
      <c r="U4" s="88">
        <v>2.564102564102564E-2</v>
      </c>
      <c r="V4" s="86" t="s">
        <v>147</v>
      </c>
      <c r="W4" s="88">
        <v>8.1871345029239762E-2</v>
      </c>
      <c r="X4" s="86" t="s">
        <v>130</v>
      </c>
      <c r="Y4" s="89">
        <v>0.28484848484848485</v>
      </c>
      <c r="Z4" s="86" t="s">
        <v>129</v>
      </c>
      <c r="AA4" s="89">
        <v>0.25242718446601942</v>
      </c>
      <c r="AB4" s="86" t="s">
        <v>129</v>
      </c>
      <c r="AC4" s="89">
        <v>0.63551401869158874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3.2717948717948708</v>
      </c>
      <c r="F5" s="86" t="s">
        <v>130</v>
      </c>
      <c r="G5" s="87">
        <v>1.9487179487179487</v>
      </c>
      <c r="H5" s="86" t="s">
        <v>147</v>
      </c>
      <c r="I5" s="88">
        <v>0.33333333333333331</v>
      </c>
      <c r="J5" s="86" t="s">
        <v>130</v>
      </c>
      <c r="K5" s="88">
        <v>0.23076923076923078</v>
      </c>
      <c r="L5" s="86" t="s">
        <v>147</v>
      </c>
      <c r="M5" s="89">
        <v>0.29676511954992968</v>
      </c>
      <c r="N5" s="86" t="s">
        <v>175</v>
      </c>
      <c r="O5" s="89">
        <v>0.15966386554621848</v>
      </c>
      <c r="P5" s="86" t="s">
        <v>174</v>
      </c>
      <c r="Q5" s="90">
        <v>8101.818181818182</v>
      </c>
      <c r="R5" s="86" t="s">
        <v>180</v>
      </c>
      <c r="S5" s="90">
        <v>-7411.1111111111113</v>
      </c>
      <c r="T5" s="86" t="s">
        <v>174</v>
      </c>
      <c r="U5" s="88">
        <v>3.8461538461538464E-2</v>
      </c>
      <c r="V5" s="86" t="s">
        <v>174</v>
      </c>
      <c r="W5" s="88">
        <v>7.6923076923076927E-2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0.62765957446808507</v>
      </c>
      <c r="AD5" s="86" t="s">
        <v>175</v>
      </c>
      <c r="AE5" s="89">
        <v>0.40909090909090912</v>
      </c>
      <c r="AF5" s="86" t="s">
        <v>131</v>
      </c>
      <c r="AG5" s="89">
        <v>0.41379310344827586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147</v>
      </c>
      <c r="C6" s="85">
        <v>1.4210854715202004E-14</v>
      </c>
      <c r="D6" s="86" t="s">
        <v>147</v>
      </c>
      <c r="E6" s="99">
        <v>8.3104413539193E-17</v>
      </c>
      <c r="F6" s="86" t="s">
        <v>147</v>
      </c>
      <c r="G6" s="87">
        <v>2</v>
      </c>
      <c r="H6" s="86" t="s">
        <v>130</v>
      </c>
      <c r="I6" s="88">
        <v>0.28205128205128205</v>
      </c>
      <c r="J6" s="86" t="s">
        <v>147</v>
      </c>
      <c r="K6" s="88">
        <v>0.33333333333333331</v>
      </c>
      <c r="L6" s="86" t="s">
        <v>130</v>
      </c>
      <c r="M6" s="89">
        <v>0.2878787878787879</v>
      </c>
      <c r="N6" s="86" t="s">
        <v>174</v>
      </c>
      <c r="O6" s="89">
        <v>0.16299559471365638</v>
      </c>
      <c r="P6" s="86" t="s">
        <v>147</v>
      </c>
      <c r="Q6" s="90">
        <v>8092.1800947867296</v>
      </c>
      <c r="R6" s="86" t="s">
        <v>174</v>
      </c>
      <c r="S6" s="90">
        <v>-7472.9729729729734</v>
      </c>
      <c r="T6" s="86" t="s">
        <v>130</v>
      </c>
      <c r="U6" s="88">
        <v>5.128205128205128E-2</v>
      </c>
      <c r="V6" s="86" t="s">
        <v>175</v>
      </c>
      <c r="W6" s="88">
        <v>6.6666666666666666E-2</v>
      </c>
      <c r="X6" s="86" t="s">
        <v>147</v>
      </c>
      <c r="Y6" s="89">
        <v>0.25668073136427566</v>
      </c>
      <c r="Z6" s="86" t="s">
        <v>176</v>
      </c>
      <c r="AA6" s="89">
        <v>0.23809523809523808</v>
      </c>
      <c r="AB6" s="86" t="s">
        <v>175</v>
      </c>
      <c r="AC6" s="89">
        <v>0.625</v>
      </c>
      <c r="AD6" s="86" t="s">
        <v>189</v>
      </c>
      <c r="AE6" s="89">
        <v>0.38461538461538464</v>
      </c>
      <c r="AF6" s="86" t="s">
        <v>130</v>
      </c>
      <c r="AG6" s="89">
        <v>0.41052631578947368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174</v>
      </c>
      <c r="C7" s="85">
        <v>-71.099999999999994</v>
      </c>
      <c r="D7" s="86" t="s">
        <v>174</v>
      </c>
      <c r="E7" s="99">
        <v>-2.7346153846153842</v>
      </c>
      <c r="F7" s="86" t="s">
        <v>174</v>
      </c>
      <c r="G7" s="87">
        <v>2.0769230769230771</v>
      </c>
      <c r="H7" s="86" t="s">
        <v>174</v>
      </c>
      <c r="I7" s="88">
        <v>0.26923076923076922</v>
      </c>
      <c r="J7" s="86" t="s">
        <v>174</v>
      </c>
      <c r="K7" s="88">
        <v>0.34615384615384615</v>
      </c>
      <c r="L7" s="86" t="s">
        <v>176</v>
      </c>
      <c r="M7" s="89">
        <v>0.27777777777777779</v>
      </c>
      <c r="N7" s="86" t="s">
        <v>130</v>
      </c>
      <c r="O7" s="89">
        <v>0.16666666666666666</v>
      </c>
      <c r="P7" s="86" t="s">
        <v>188</v>
      </c>
      <c r="Q7" s="90">
        <v>7860</v>
      </c>
      <c r="R7" s="86" t="s">
        <v>129</v>
      </c>
      <c r="S7" s="90">
        <v>-7571.1111111111113</v>
      </c>
      <c r="T7" s="86" t="s">
        <v>175</v>
      </c>
      <c r="U7" s="88">
        <v>6.6666666666666666E-2</v>
      </c>
      <c r="V7" s="86" t="s">
        <v>130</v>
      </c>
      <c r="W7" s="88">
        <v>5.128205128205128E-2</v>
      </c>
      <c r="X7" s="86" t="s">
        <v>174</v>
      </c>
      <c r="Y7" s="89">
        <v>0.23788546255506607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147</v>
      </c>
      <c r="AE7" s="89">
        <v>0.38387096774193546</v>
      </c>
      <c r="AF7" s="86" t="s">
        <v>129</v>
      </c>
      <c r="AG7" s="89">
        <v>0.40151515151515149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175</v>
      </c>
      <c r="C8" s="85">
        <v>-80.3</v>
      </c>
      <c r="D8" s="86" t="s">
        <v>175</v>
      </c>
      <c r="E8" s="99">
        <v>-5.3533333333333335</v>
      </c>
      <c r="F8" s="86" t="s">
        <v>175</v>
      </c>
      <c r="G8" s="87">
        <v>2.2000000000000002</v>
      </c>
      <c r="H8" s="86" t="s">
        <v>180</v>
      </c>
      <c r="I8" s="88">
        <v>0.25</v>
      </c>
      <c r="J8" s="86" t="s">
        <v>175</v>
      </c>
      <c r="K8" s="88">
        <v>0.4</v>
      </c>
      <c r="L8" s="86" t="s">
        <v>188</v>
      </c>
      <c r="M8" s="89">
        <v>0.26315789473684209</v>
      </c>
      <c r="N8" s="86" t="s">
        <v>147</v>
      </c>
      <c r="O8" s="89">
        <v>0.17791842475386779</v>
      </c>
      <c r="P8" s="86" t="s">
        <v>131</v>
      </c>
      <c r="Q8" s="90">
        <v>7362.0689655172409</v>
      </c>
      <c r="R8" s="86" t="s">
        <v>147</v>
      </c>
      <c r="S8" s="90">
        <v>-7834.387351778656</v>
      </c>
      <c r="T8" s="86" t="s">
        <v>147</v>
      </c>
      <c r="U8" s="88">
        <v>8.1871345029239762E-2</v>
      </c>
      <c r="V8" s="86" t="s">
        <v>131</v>
      </c>
      <c r="W8" s="88">
        <v>0</v>
      </c>
      <c r="X8" s="86" t="s">
        <v>131</v>
      </c>
      <c r="Y8" s="89">
        <v>0.22972972972972974</v>
      </c>
      <c r="Z8" s="86" t="s">
        <v>147</v>
      </c>
      <c r="AA8" s="89">
        <v>0.21800281293952181</v>
      </c>
      <c r="AB8" s="86" t="s">
        <v>147</v>
      </c>
      <c r="AC8" s="89">
        <v>0.58356164383561648</v>
      </c>
      <c r="AD8" s="86" t="s">
        <v>174</v>
      </c>
      <c r="AE8" s="89">
        <v>0.34883720930232559</v>
      </c>
      <c r="AF8" s="86" t="s">
        <v>147</v>
      </c>
      <c r="AG8" s="89">
        <v>0.39573459715639808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176</v>
      </c>
      <c r="G9" s="87">
        <v>2.2857142857142856</v>
      </c>
      <c r="H9" s="86" t="s">
        <v>175</v>
      </c>
      <c r="I9" s="88">
        <v>0.2</v>
      </c>
      <c r="J9" s="86" t="s">
        <v>176</v>
      </c>
      <c r="K9" s="88">
        <v>0.42857142857142855</v>
      </c>
      <c r="L9" s="86" t="s">
        <v>174</v>
      </c>
      <c r="M9" s="89">
        <v>0.24229074889867841</v>
      </c>
      <c r="N9" s="86" t="s">
        <v>180</v>
      </c>
      <c r="O9" s="89">
        <v>0.20689655172413793</v>
      </c>
      <c r="P9" s="86" t="s">
        <v>189</v>
      </c>
      <c r="Q9" s="90">
        <v>6500</v>
      </c>
      <c r="R9" s="86" t="s">
        <v>176</v>
      </c>
      <c r="S9" s="90">
        <v>-8170</v>
      </c>
      <c r="T9" s="86" t="s">
        <v>176</v>
      </c>
      <c r="U9" s="88">
        <v>0.14285714285714285</v>
      </c>
      <c r="V9" s="86" t="s">
        <v>176</v>
      </c>
      <c r="W9" s="88">
        <v>0</v>
      </c>
      <c r="X9" s="86" t="s">
        <v>175</v>
      </c>
      <c r="Y9" s="89">
        <v>0.20168067226890757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176</v>
      </c>
      <c r="AE9" s="89">
        <v>0.33333333333333331</v>
      </c>
      <c r="AF9" s="86" t="s">
        <v>175</v>
      </c>
      <c r="AG9" s="89">
        <v>0.35897435897435898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-19.285714285714281</v>
      </c>
      <c r="F10" s="86" t="s">
        <v>180</v>
      </c>
      <c r="G10" s="87">
        <v>2.3333333333333335</v>
      </c>
      <c r="H10" s="86" t="s">
        <v>176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0.20945945945945946</v>
      </c>
      <c r="P10" s="86" t="s">
        <v>180</v>
      </c>
      <c r="Q10" s="90">
        <v>6480</v>
      </c>
      <c r="R10" s="86" t="s">
        <v>175</v>
      </c>
      <c r="S10" s="90">
        <v>-8494.7368421052633</v>
      </c>
      <c r="T10" s="86" t="s">
        <v>189</v>
      </c>
      <c r="U10" s="88">
        <v>0.14285714285714285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0.1894273127753304</v>
      </c>
      <c r="AB10" s="86" t="s">
        <v>174</v>
      </c>
      <c r="AC10" s="89">
        <v>0.5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-269.99999999999994</v>
      </c>
      <c r="D11" s="86" t="s">
        <v>131</v>
      </c>
      <c r="E11" s="99">
        <v>-29.5</v>
      </c>
      <c r="F11" s="86" t="s">
        <v>131</v>
      </c>
      <c r="G11" s="87">
        <v>2.5</v>
      </c>
      <c r="H11" s="86" t="s">
        <v>189</v>
      </c>
      <c r="I11" s="88">
        <v>0.14285714285714285</v>
      </c>
      <c r="J11" s="86" t="s">
        <v>131</v>
      </c>
      <c r="K11" s="88">
        <v>0.625</v>
      </c>
      <c r="L11" s="86" t="s">
        <v>189</v>
      </c>
      <c r="M11" s="89">
        <v>0.21052631578947367</v>
      </c>
      <c r="N11" s="86" t="s">
        <v>176</v>
      </c>
      <c r="O11" s="89">
        <v>0.23809523809523808</v>
      </c>
      <c r="P11" s="86" t="s">
        <v>175</v>
      </c>
      <c r="Q11" s="90">
        <v>6382.0512820512822</v>
      </c>
      <c r="R11" s="86" t="s">
        <v>189</v>
      </c>
      <c r="S11" s="90">
        <v>-8762.5</v>
      </c>
      <c r="T11" s="86" t="s">
        <v>131</v>
      </c>
      <c r="U11" s="88">
        <v>0.1875</v>
      </c>
      <c r="V11" s="86" t="s">
        <v>188</v>
      </c>
      <c r="W11" s="88">
        <v>0</v>
      </c>
      <c r="X11" s="86" t="s">
        <v>176</v>
      </c>
      <c r="Y11" s="89">
        <v>0.18253968253968253</v>
      </c>
      <c r="Z11" s="86" t="s">
        <v>130</v>
      </c>
      <c r="AA11" s="89">
        <v>0.18484848484848485</v>
      </c>
      <c r="AB11" s="86" t="s">
        <v>176</v>
      </c>
      <c r="AC11" s="89">
        <v>0.47826086956521741</v>
      </c>
      <c r="AD11" s="86" t="s">
        <v>131</v>
      </c>
      <c r="AE11" s="89">
        <v>0.25</v>
      </c>
      <c r="AF11" s="86" t="s">
        <v>174</v>
      </c>
      <c r="AG11" s="89">
        <v>0.30909090909090908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-472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131</v>
      </c>
      <c r="I12" s="88">
        <v>0.125</v>
      </c>
      <c r="J12" s="86" t="s">
        <v>189</v>
      </c>
      <c r="K12" s="88">
        <v>0.7142857142857143</v>
      </c>
      <c r="L12" s="86" t="s">
        <v>131</v>
      </c>
      <c r="M12" s="89">
        <v>0.19594594594594594</v>
      </c>
      <c r="N12" s="86" t="s">
        <v>189</v>
      </c>
      <c r="O12" s="89">
        <v>0.2807017543859649</v>
      </c>
      <c r="P12" s="86" t="s">
        <v>176</v>
      </c>
      <c r="Q12" s="90">
        <v>5451.4285714285716</v>
      </c>
      <c r="R12" s="86" t="s">
        <v>131</v>
      </c>
      <c r="S12" s="90">
        <v>-9374.1935483870966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0.10810810810810811</v>
      </c>
      <c r="AB12" s="86" t="s">
        <v>131</v>
      </c>
      <c r="AC12" s="89">
        <v>0.47058823529411764</v>
      </c>
      <c r="AD12" s="86" t="s">
        <v>130</v>
      </c>
      <c r="AE12" s="89">
        <v>0.24590163934426229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171</v>
      </c>
      <c r="C2" s="149"/>
      <c r="E2" s="62" t="s">
        <v>68</v>
      </c>
      <c r="F2" s="59" t="s">
        <v>23</v>
      </c>
      <c r="G2" s="46">
        <v>316</v>
      </c>
      <c r="H2" s="134">
        <f>IF(B$17=0,0,G2/B$17)</f>
        <v>0.74881516587677721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-29.239766081871345</v>
      </c>
      <c r="P2" s="120">
        <v>171</v>
      </c>
      <c r="Q2" s="104">
        <v>-5000</v>
      </c>
    </row>
    <row r="3" spans="1:17" x14ac:dyDescent="0.4">
      <c r="A3" s="55" t="s">
        <v>8</v>
      </c>
      <c r="B3" s="150">
        <v>1422</v>
      </c>
      <c r="C3" s="151"/>
      <c r="E3" s="63" t="s">
        <v>74</v>
      </c>
      <c r="F3" s="60" t="s">
        <v>28</v>
      </c>
      <c r="G3" s="47">
        <v>227</v>
      </c>
      <c r="H3" s="135">
        <f>IF(B$17=0,0,G3/B$17)</f>
        <v>0.53791469194312791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-11.904761904761905</v>
      </c>
      <c r="P3" s="121">
        <v>168</v>
      </c>
      <c r="Q3" s="105">
        <v>-2000</v>
      </c>
    </row>
    <row r="4" spans="1:17" x14ac:dyDescent="0.4">
      <c r="A4" s="55" t="s">
        <v>6</v>
      </c>
      <c r="B4" s="152">
        <v>1.4210854715202004E-14</v>
      </c>
      <c r="C4" s="153"/>
      <c r="E4" s="63" t="s">
        <v>66</v>
      </c>
      <c r="F4" s="60" t="s">
        <v>21</v>
      </c>
      <c r="G4" s="47">
        <v>206</v>
      </c>
      <c r="H4" s="135">
        <f>IF(B$17=0,0,G4/B$17)</f>
        <v>0.4881516587677725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45.751633986928105</v>
      </c>
      <c r="P4" s="121">
        <v>153</v>
      </c>
      <c r="Q4" s="105">
        <v>7000</v>
      </c>
    </row>
    <row r="5" spans="1:17" x14ac:dyDescent="0.4">
      <c r="A5" s="55" t="s">
        <v>7</v>
      </c>
      <c r="B5" s="154">
        <f>IF(B$2=0,0,B$4/B$2)</f>
        <v>8.3104413539193E-17</v>
      </c>
      <c r="C5" s="155"/>
      <c r="E5" s="63" t="s">
        <v>184</v>
      </c>
      <c r="F5" s="60" t="s">
        <v>185</v>
      </c>
      <c r="G5" s="47">
        <v>152</v>
      </c>
      <c r="H5" s="135">
        <f>IF(B$17=0,0,G5/B$17)</f>
        <v>0.36018957345971564</v>
      </c>
      <c r="I5" s="96">
        <v>4</v>
      </c>
      <c r="K5" s="38">
        <v>3</v>
      </c>
      <c r="L5" s="101">
        <v>0</v>
      </c>
      <c r="N5" s="117" t="s">
        <v>137</v>
      </c>
      <c r="O5" s="124">
        <f t="shared" si="0"/>
        <v>-6.9444444444444446</v>
      </c>
      <c r="P5" s="121">
        <v>144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116</v>
      </c>
      <c r="H6" s="135">
        <f>IF(B$17=0,0,G6/B$17)</f>
        <v>0.27488151658767773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0"/>
        <v>-37.037037037037038</v>
      </c>
      <c r="P6" s="121">
        <v>135</v>
      </c>
      <c r="Q6" s="105">
        <v>-5000</v>
      </c>
    </row>
    <row r="7" spans="1:17" x14ac:dyDescent="0.4">
      <c r="A7" s="55" t="s">
        <v>2</v>
      </c>
      <c r="B7" s="47">
        <v>57</v>
      </c>
      <c r="C7" s="39">
        <f>IF(B$2=0,0,B7/B$2)</f>
        <v>0.33333333333333331</v>
      </c>
      <c r="E7" s="63" t="s">
        <v>70</v>
      </c>
      <c r="F7" s="60" t="s">
        <v>12</v>
      </c>
      <c r="G7" s="47">
        <v>114</v>
      </c>
      <c r="H7" s="135">
        <f>IF(B$17=0,0,G7/B$17)</f>
        <v>0.27014218009478674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0"/>
        <v>47.61904761904762</v>
      </c>
      <c r="P7" s="122">
        <v>126</v>
      </c>
      <c r="Q7" s="106">
        <v>6000</v>
      </c>
    </row>
    <row r="8" spans="1:17" x14ac:dyDescent="0.4">
      <c r="A8" s="55" t="s">
        <v>3</v>
      </c>
      <c r="B8" s="47">
        <v>57</v>
      </c>
      <c r="C8" s="39">
        <f>IF(B$2=0,0,B8/B$2)</f>
        <v>0.33333333333333331</v>
      </c>
      <c r="E8" s="63" t="s">
        <v>71</v>
      </c>
      <c r="F8" s="60" t="s">
        <v>25</v>
      </c>
      <c r="G8" s="47">
        <v>76</v>
      </c>
      <c r="H8" s="135">
        <f>IF(B$17=0,0,G8/B$17)</f>
        <v>0.18009478672985782</v>
      </c>
      <c r="I8" s="96">
        <v>5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57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59</v>
      </c>
      <c r="H9" s="135">
        <f>IF(B$17=0,0,G9/B$17)</f>
        <v>0.13981042654028436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14</v>
      </c>
      <c r="C10" s="40">
        <f>IF(B$2=0,0,B10/B$2)</f>
        <v>8.1871345029239762E-2</v>
      </c>
      <c r="E10" s="63" t="s">
        <v>67</v>
      </c>
      <c r="F10" s="60" t="s">
        <v>22</v>
      </c>
      <c r="G10" s="47">
        <v>44</v>
      </c>
      <c r="H10" s="135">
        <f>IF(B$17=0,0,G10/B$17)</f>
        <v>0.10426540284360189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-1.8403508771929826</v>
      </c>
      <c r="P10" s="120">
        <v>57</v>
      </c>
      <c r="Q10" s="108">
        <v>-104.9</v>
      </c>
    </row>
    <row r="11" spans="1:17" x14ac:dyDescent="0.4">
      <c r="A11" s="56" t="s">
        <v>142</v>
      </c>
      <c r="B11" s="48">
        <v>14</v>
      </c>
      <c r="C11" s="40">
        <f>IF(B$2=0,0,B11/B$2)</f>
        <v>8.1871345029239762E-2</v>
      </c>
      <c r="E11" s="63" t="s">
        <v>72</v>
      </c>
      <c r="F11" s="60" t="s">
        <v>26</v>
      </c>
      <c r="G11" s="47">
        <v>38</v>
      </c>
      <c r="H11" s="135">
        <f>IF(B$17=0,0,G11/B$17)</f>
        <v>9.004739336492891E-2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-7.5824561403508772</v>
      </c>
      <c r="P11" s="121">
        <v>57</v>
      </c>
      <c r="Q11" s="109">
        <v>-432.2</v>
      </c>
    </row>
    <row r="12" spans="1:17" x14ac:dyDescent="0.4">
      <c r="A12" s="57" t="s">
        <v>162</v>
      </c>
      <c r="B12" s="49">
        <v>17</v>
      </c>
      <c r="C12" s="42">
        <f>IF(B$2=0,0,B12/B$2)</f>
        <v>9.9415204678362568E-2</v>
      </c>
      <c r="E12" s="63" t="s">
        <v>89</v>
      </c>
      <c r="F12" s="60" t="s">
        <v>43</v>
      </c>
      <c r="G12" s="47">
        <v>29</v>
      </c>
      <c r="H12" s="135">
        <f>IF(B$17=0,0,G12/B$17)</f>
        <v>6.8720379146919433E-2</v>
      </c>
      <c r="I12" s="96">
        <v>5</v>
      </c>
      <c r="K12" s="38">
        <v>10</v>
      </c>
      <c r="L12" s="101">
        <v>40.099999999999994</v>
      </c>
      <c r="N12" s="118" t="s">
        <v>169</v>
      </c>
      <c r="O12" s="128">
        <f>IF(P12=0,0,Q12/P12)</f>
        <v>9.4228070175438603</v>
      </c>
      <c r="P12" s="122">
        <v>57</v>
      </c>
      <c r="Q12" s="110">
        <v>537.1</v>
      </c>
    </row>
    <row r="13" spans="1:17" x14ac:dyDescent="0.4">
      <c r="A13" s="58" t="s">
        <v>124</v>
      </c>
      <c r="B13" s="50">
        <v>365</v>
      </c>
      <c r="C13" s="44">
        <f>IF(B$3=0,0,B13/B$3)</f>
        <v>0.25668073136427566</v>
      </c>
      <c r="E13" s="63" t="s">
        <v>73</v>
      </c>
      <c r="F13" s="60" t="s">
        <v>27</v>
      </c>
      <c r="G13" s="47">
        <v>25</v>
      </c>
      <c r="H13" s="135">
        <f>IF(B$17=0,0,G13/B$17)</f>
        <v>5.9241706161137442E-2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310</v>
      </c>
      <c r="C14" s="39">
        <f>IF(B$3=0,0,B14/B$3)</f>
        <v>0.21800281293952181</v>
      </c>
      <c r="E14" s="63" t="s">
        <v>86</v>
      </c>
      <c r="F14" s="60" t="s">
        <v>40</v>
      </c>
      <c r="G14" s="47">
        <v>19</v>
      </c>
      <c r="H14" s="135">
        <f>IF(B$17=0,0,G14/B$17)</f>
        <v>4.5023696682464455E-2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213</v>
      </c>
      <c r="C15" s="37">
        <f>IF(B$13=0,0,B15/B$13)</f>
        <v>0.58356164383561648</v>
      </c>
      <c r="E15" s="63" t="s">
        <v>84</v>
      </c>
      <c r="F15" s="60" t="s">
        <v>38</v>
      </c>
      <c r="G15" s="47">
        <v>12</v>
      </c>
      <c r="H15" s="135">
        <f>IF(B$17=0,0,G15/B$17)</f>
        <v>2.843601895734597E-2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119</v>
      </c>
      <c r="C16" s="37">
        <f>IF(B$14=0,0,B16/B$14)</f>
        <v>0.38387096774193546</v>
      </c>
      <c r="E16" s="63" t="s">
        <v>80</v>
      </c>
      <c r="F16" s="60" t="s">
        <v>34</v>
      </c>
      <c r="G16" s="47">
        <v>8</v>
      </c>
      <c r="H16" s="135">
        <f>IF(B$17=0,0,G16/B$17)</f>
        <v>1.8957345971563982E-2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44.25</v>
      </c>
      <c r="P16" s="121">
        <v>32</v>
      </c>
      <c r="Q16" s="109">
        <v>1416</v>
      </c>
    </row>
    <row r="17" spans="1:17" x14ac:dyDescent="0.4">
      <c r="A17" s="54" t="s">
        <v>10</v>
      </c>
      <c r="B17" s="46">
        <f>B19+B18</f>
        <v>422</v>
      </c>
      <c r="C17" s="37">
        <f>IF(B$3=0,0,B17/B$3)</f>
        <v>0.29676511954992968</v>
      </c>
      <c r="E17" s="63" t="s">
        <v>94</v>
      </c>
      <c r="F17" s="60" t="s">
        <v>48</v>
      </c>
      <c r="G17" s="47">
        <v>7</v>
      </c>
      <c r="H17" s="135">
        <f>IF(B$17=0,0,G17/B$17)</f>
        <v>1.6587677725118485E-2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>IF(P17=0,0,Q17/P17)</f>
        <v>28.928571428571423</v>
      </c>
      <c r="P17" s="121">
        <v>28</v>
      </c>
      <c r="Q17" s="109">
        <v>809.99999999999989</v>
      </c>
    </row>
    <row r="18" spans="1:17" x14ac:dyDescent="0.4">
      <c r="A18" s="55" t="s">
        <v>12</v>
      </c>
      <c r="B18" s="47">
        <v>167</v>
      </c>
      <c r="C18" s="39">
        <f>IF(B$17=0,0,B18/B$17)</f>
        <v>0.39573459715639808</v>
      </c>
      <c r="E18" s="63" t="s">
        <v>77</v>
      </c>
      <c r="F18" s="60" t="s">
        <v>31</v>
      </c>
      <c r="G18" s="47">
        <v>5</v>
      </c>
      <c r="H18" s="135">
        <f>IF(B$17=0,0,G18/B$17)</f>
        <v>1.1848341232227487E-2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>IF(P18=0,0,Q18/P18)</f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255</v>
      </c>
      <c r="C19" s="39">
        <f>IF(B$17=0,0,B19/B$17)</f>
        <v>0.60426540284360186</v>
      </c>
      <c r="E19" s="63" t="s">
        <v>81</v>
      </c>
      <c r="F19" s="60" t="s">
        <v>35</v>
      </c>
      <c r="G19" s="47">
        <v>4</v>
      </c>
      <c r="H19" s="135">
        <f>IF(B$17=0,0,G19/B$17)</f>
        <v>9.4786729857819912E-3</v>
      </c>
      <c r="I19" s="96">
        <v>4</v>
      </c>
      <c r="K19" s="38">
        <v>17</v>
      </c>
      <c r="L19" s="101">
        <v>8.2999999999999972</v>
      </c>
      <c r="N19" s="117" t="s">
        <v>175</v>
      </c>
      <c r="O19" s="127">
        <f>IF(P19=0,0,Q19/P19)</f>
        <v>8.0299999999999976</v>
      </c>
      <c r="P19" s="121">
        <v>30</v>
      </c>
      <c r="Q19" s="109">
        <v>240.89999999999992</v>
      </c>
    </row>
    <row r="20" spans="1:17" x14ac:dyDescent="0.4">
      <c r="A20" s="55" t="s">
        <v>13</v>
      </c>
      <c r="B20" s="47">
        <v>253</v>
      </c>
      <c r="C20" s="39">
        <f>IF(B$3=0,0,B20/B$3)</f>
        <v>0.17791842475386779</v>
      </c>
      <c r="E20" s="63" t="s">
        <v>75</v>
      </c>
      <c r="F20" s="60" t="s">
        <v>29</v>
      </c>
      <c r="G20" s="47">
        <v>3</v>
      </c>
      <c r="H20" s="135">
        <f>IF(B$17=0,0,G20/B$17)</f>
        <v>7.1090047393364926E-3</v>
      </c>
      <c r="I20" s="96">
        <v>3</v>
      </c>
      <c r="K20" s="38">
        <v>18</v>
      </c>
      <c r="L20" s="101">
        <v>-3.5527136788005009E-15</v>
      </c>
      <c r="N20" s="117" t="s">
        <v>174</v>
      </c>
      <c r="O20" s="127">
        <f>IF(P20=0,0,Q20/P20)</f>
        <v>4.1019230769230779</v>
      </c>
      <c r="P20" s="121">
        <v>52</v>
      </c>
      <c r="Q20" s="109">
        <v>213.30000000000004</v>
      </c>
    </row>
    <row r="21" spans="1:17" x14ac:dyDescent="0.4">
      <c r="A21" s="55" t="s">
        <v>196</v>
      </c>
      <c r="B21" s="47">
        <v>7</v>
      </c>
      <c r="C21" s="137">
        <v>2</v>
      </c>
      <c r="E21" s="63" t="s">
        <v>95</v>
      </c>
      <c r="F21" s="60" t="s">
        <v>49</v>
      </c>
      <c r="G21" s="47">
        <v>2</v>
      </c>
      <c r="H21" s="135">
        <f>IF(B$17=0,0,G21/B$17)</f>
        <v>4.7393364928909956E-3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-4.9076923076923107</v>
      </c>
      <c r="P21" s="121">
        <v>78</v>
      </c>
      <c r="Q21" s="109">
        <v>-382.80000000000024</v>
      </c>
    </row>
    <row r="22" spans="1:17" x14ac:dyDescent="0.4">
      <c r="A22" s="55" t="s">
        <v>197</v>
      </c>
      <c r="B22" s="47">
        <v>31</v>
      </c>
      <c r="C22" s="137">
        <v>5</v>
      </c>
      <c r="E22" s="63" t="s">
        <v>76</v>
      </c>
      <c r="F22" s="60" t="s">
        <v>30</v>
      </c>
      <c r="G22" s="47">
        <v>1</v>
      </c>
      <c r="H22" s="135">
        <f>IF(B$17=0,0,G22/B$17)</f>
        <v>2.3696682464454978E-3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8092.1800947867296</v>
      </c>
      <c r="C23" s="41">
        <v>3414900</v>
      </c>
      <c r="E23" s="63" t="s">
        <v>79</v>
      </c>
      <c r="F23" s="60" t="s">
        <v>33</v>
      </c>
      <c r="G23" s="47">
        <v>1</v>
      </c>
      <c r="H23" s="135">
        <f>IF(B$17=0,0,G23/B$17)</f>
        <v>2.3696682464454978E-3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-43.503846153846162</v>
      </c>
      <c r="P23" s="121">
        <v>78</v>
      </c>
      <c r="Q23" s="109">
        <v>-3393.3000000000006</v>
      </c>
    </row>
    <row r="24" spans="1:17" x14ac:dyDescent="0.4">
      <c r="A24" s="57" t="s">
        <v>14</v>
      </c>
      <c r="B24" s="52">
        <f>IF(B$20=0,0,C24/B$20)</f>
        <v>-7834.387351778656</v>
      </c>
      <c r="C24" s="45">
        <v>-1982100</v>
      </c>
      <c r="E24" s="63" t="s">
        <v>88</v>
      </c>
      <c r="F24" s="60" t="s">
        <v>42</v>
      </c>
      <c r="G24" s="47">
        <v>1</v>
      </c>
      <c r="H24" s="135">
        <f>IF(B$17=0,0,G24/B$17)</f>
        <v>2.3696682464454978E-3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>IF(B$17=0,0,G25/B$17)</f>
        <v>2.3696682464454978E-3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>IF(B$17=0,0,G26/B$17)</f>
        <v>2.3696682464454978E-3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4.9226441631504926E-3</v>
      </c>
      <c r="E27" s="63" t="s">
        <v>98</v>
      </c>
      <c r="F27" s="60" t="s">
        <v>52</v>
      </c>
      <c r="G27" s="47">
        <v>1</v>
      </c>
      <c r="H27" s="135">
        <f>IF(B$17=0,0,G27/B$17)</f>
        <v>2.3696682464454978E-3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>IF(B$17=0,0,G28/B$17)</f>
        <v>2.3696682464454978E-3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39</v>
      </c>
      <c r="C2" s="149"/>
      <c r="E2" s="62" t="s">
        <v>68</v>
      </c>
      <c r="F2" s="59" t="s">
        <v>23</v>
      </c>
      <c r="G2" s="46">
        <v>108</v>
      </c>
      <c r="H2" s="134">
        <f>IF(B$17=0,0,G2/B$17)</f>
        <v>0.81818181818181823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5128.2051282051279</v>
      </c>
      <c r="P2" s="120">
        <v>39</v>
      </c>
      <c r="Q2" s="104">
        <v>200000</v>
      </c>
    </row>
    <row r="3" spans="1:17" x14ac:dyDescent="0.4">
      <c r="A3" s="55" t="s">
        <v>8</v>
      </c>
      <c r="B3" s="150">
        <v>309</v>
      </c>
      <c r="C3" s="151"/>
      <c r="E3" s="63" t="s">
        <v>74</v>
      </c>
      <c r="F3" s="60" t="s">
        <v>28</v>
      </c>
      <c r="G3" s="47">
        <v>74</v>
      </c>
      <c r="H3" s="135">
        <f>IF(B$17=0,0,G3/B$17)</f>
        <v>0.56060606060606055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0"/>
        <v>5371.0526315789475</v>
      </c>
      <c r="P3" s="121">
        <v>38</v>
      </c>
      <c r="Q3" s="105">
        <v>204100</v>
      </c>
    </row>
    <row r="4" spans="1:17" x14ac:dyDescent="0.4">
      <c r="A4" s="55" t="s">
        <v>6</v>
      </c>
      <c r="B4" s="152">
        <v>1131.0999999999999</v>
      </c>
      <c r="C4" s="153"/>
      <c r="E4" s="63" t="s">
        <v>66</v>
      </c>
      <c r="F4" s="60" t="s">
        <v>21</v>
      </c>
      <c r="G4" s="47">
        <v>67</v>
      </c>
      <c r="H4" s="135">
        <f>IF(B$17=0,0,G4/B$17)</f>
        <v>0.50757575757575757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2471.4285714285716</v>
      </c>
      <c r="P4" s="121">
        <v>35</v>
      </c>
      <c r="Q4" s="105">
        <v>86500</v>
      </c>
    </row>
    <row r="5" spans="1:17" x14ac:dyDescent="0.4">
      <c r="A5" s="55" t="s">
        <v>7</v>
      </c>
      <c r="B5" s="154">
        <f>IF(B$2=0,0,B$4/B$2)</f>
        <v>29.002564102564101</v>
      </c>
      <c r="C5" s="155"/>
      <c r="E5" s="63" t="s">
        <v>184</v>
      </c>
      <c r="F5" s="60" t="s">
        <v>185</v>
      </c>
      <c r="G5" s="47">
        <v>56</v>
      </c>
      <c r="H5" s="135">
        <f>IF(B$17=0,0,G5/B$17)</f>
        <v>0.42424242424242425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4009.375</v>
      </c>
      <c r="P5" s="121">
        <v>32</v>
      </c>
      <c r="Q5" s="105">
        <v>128300</v>
      </c>
    </row>
    <row r="6" spans="1:17" x14ac:dyDescent="0.4">
      <c r="A6" s="55" t="s">
        <v>1</v>
      </c>
      <c r="B6" s="144">
        <f>IF(B$2=0,0,(B$7*1+B$8*2+B$9*3)/B$2)</f>
        <v>1.4615384615384615</v>
      </c>
      <c r="C6" s="145"/>
      <c r="E6" s="63" t="s">
        <v>69</v>
      </c>
      <c r="F6" s="60" t="s">
        <v>24</v>
      </c>
      <c r="G6" s="47">
        <v>43</v>
      </c>
      <c r="H6" s="135">
        <f>IF(B$17=0,0,G6/B$17)</f>
        <v>0.32575757575757575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2468.9655172413795</v>
      </c>
      <c r="P6" s="121">
        <v>29</v>
      </c>
      <c r="Q6" s="105">
        <v>71600</v>
      </c>
    </row>
    <row r="7" spans="1:17" x14ac:dyDescent="0.4">
      <c r="A7" s="55" t="s">
        <v>2</v>
      </c>
      <c r="B7" s="47">
        <v>26</v>
      </c>
      <c r="C7" s="39">
        <f>IF(B$2=0,0,B7/B$2)</f>
        <v>0.66666666666666663</v>
      </c>
      <c r="E7" s="63" t="s">
        <v>70</v>
      </c>
      <c r="F7" s="60" t="s">
        <v>12</v>
      </c>
      <c r="G7" s="47">
        <v>32</v>
      </c>
      <c r="H7" s="135">
        <f>IF(B$17=0,0,G7/B$17)</f>
        <v>0.24242424242424243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96.296296296296291</v>
      </c>
      <c r="P7" s="122">
        <v>27</v>
      </c>
      <c r="Q7" s="106">
        <v>2600</v>
      </c>
    </row>
    <row r="8" spans="1:17" x14ac:dyDescent="0.4">
      <c r="A8" s="55" t="s">
        <v>3</v>
      </c>
      <c r="B8" s="47">
        <v>8</v>
      </c>
      <c r="C8" s="39">
        <f>IF(B$2=0,0,B8/B$2)</f>
        <v>0.20512820512820512</v>
      </c>
      <c r="E8" s="63" t="s">
        <v>71</v>
      </c>
      <c r="F8" s="60" t="s">
        <v>25</v>
      </c>
      <c r="G8" s="47">
        <v>23</v>
      </c>
      <c r="H8" s="135">
        <f>IF(B$17=0,0,G8/B$17)</f>
        <v>0.17424242424242425</v>
      </c>
      <c r="I8" s="96">
        <v>6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0.12820512820512819</v>
      </c>
      <c r="E9" s="63" t="s">
        <v>92</v>
      </c>
      <c r="F9" s="60" t="s">
        <v>46</v>
      </c>
      <c r="G9" s="47">
        <v>23</v>
      </c>
      <c r="H9" s="135">
        <f>IF(B$17=0,0,G9/B$17)</f>
        <v>0.17424242424242425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67</v>
      </c>
      <c r="F10" s="60" t="s">
        <v>22</v>
      </c>
      <c r="G10" s="47">
        <v>19</v>
      </c>
      <c r="H10" s="135">
        <f>IF(B$17=0,0,G10/B$17)</f>
        <v>0.14393939393939395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26.063636363636363</v>
      </c>
      <c r="P10" s="120">
        <v>11</v>
      </c>
      <c r="Q10" s="108">
        <v>286.7</v>
      </c>
    </row>
    <row r="11" spans="1:17" x14ac:dyDescent="0.4">
      <c r="A11" s="56" t="s">
        <v>142</v>
      </c>
      <c r="B11" s="48">
        <v>9</v>
      </c>
      <c r="C11" s="40">
        <f>IF(B$2=0,0,B11/B$2)</f>
        <v>0.23076923076923078</v>
      </c>
      <c r="E11" s="63" t="s">
        <v>89</v>
      </c>
      <c r="F11" s="60" t="s">
        <v>43</v>
      </c>
      <c r="G11" s="47">
        <v>13</v>
      </c>
      <c r="H11" s="135">
        <f>IF(B$17=0,0,G11/B$17)</f>
        <v>9.8484848484848481E-2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7</v>
      </c>
      <c r="C12" s="42">
        <f>IF(B$2=0,0,B12/B$2)</f>
        <v>0.17948717948717949</v>
      </c>
      <c r="E12" s="63" t="s">
        <v>73</v>
      </c>
      <c r="F12" s="60" t="s">
        <v>27</v>
      </c>
      <c r="G12" s="47">
        <v>9</v>
      </c>
      <c r="H12" s="135">
        <f>IF(B$17=0,0,G12/B$17)</f>
        <v>6.8181818181818177E-2</v>
      </c>
      <c r="I12" s="96">
        <v>5</v>
      </c>
      <c r="K12" s="38">
        <v>10</v>
      </c>
      <c r="L12" s="101">
        <v>246.20000000000005</v>
      </c>
      <c r="N12" s="118" t="s">
        <v>169</v>
      </c>
      <c r="O12" s="128">
        <f>IF(P12=0,0,Q12/P12)</f>
        <v>40.580000000000005</v>
      </c>
      <c r="P12" s="122">
        <v>15</v>
      </c>
      <c r="Q12" s="110">
        <v>608.70000000000005</v>
      </c>
    </row>
    <row r="13" spans="1:17" x14ac:dyDescent="0.4">
      <c r="A13" s="58" t="s">
        <v>124</v>
      </c>
      <c r="B13" s="50">
        <v>107</v>
      </c>
      <c r="C13" s="44">
        <f>IF(B$3=0,0,B13/B$3)</f>
        <v>0.34627831715210355</v>
      </c>
      <c r="E13" s="63" t="s">
        <v>72</v>
      </c>
      <c r="F13" s="60" t="s">
        <v>26</v>
      </c>
      <c r="G13" s="47">
        <v>8</v>
      </c>
      <c r="H13" s="135">
        <f>IF(B$17=0,0,G13/B$17)</f>
        <v>6.0606060606060608E-2</v>
      </c>
      <c r="I13" s="96">
        <v>7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78</v>
      </c>
      <c r="C14" s="39">
        <f>IF(B$3=0,0,B14/B$3)</f>
        <v>0.25242718446601942</v>
      </c>
      <c r="E14" s="63" t="s">
        <v>86</v>
      </c>
      <c r="F14" s="60" t="s">
        <v>40</v>
      </c>
      <c r="G14" s="47">
        <v>7</v>
      </c>
      <c r="H14" s="135">
        <f>IF(B$17=0,0,G14/B$17)</f>
        <v>5.3030303030303032E-2</v>
      </c>
      <c r="I14" s="96">
        <v>4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68</v>
      </c>
      <c r="C15" s="37">
        <f>IF(B$13=0,0,B15/B$13)</f>
        <v>0.63551401869158874</v>
      </c>
      <c r="E15" s="63" t="s">
        <v>84</v>
      </c>
      <c r="F15" s="60" t="s">
        <v>38</v>
      </c>
      <c r="G15" s="47">
        <v>4</v>
      </c>
      <c r="H15" s="135">
        <f>IF(B$17=0,0,G15/B$17)</f>
        <v>3.0303030303030304E-2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110.5</v>
      </c>
      <c r="P15" s="120">
        <v>4</v>
      </c>
      <c r="Q15" s="108">
        <v>442</v>
      </c>
    </row>
    <row r="16" spans="1:17" x14ac:dyDescent="0.4">
      <c r="A16" s="54" t="s">
        <v>127</v>
      </c>
      <c r="B16" s="46">
        <v>43</v>
      </c>
      <c r="C16" s="37">
        <f>IF(B$14=0,0,B16/B$14)</f>
        <v>0.55128205128205132</v>
      </c>
      <c r="E16" s="63" t="s">
        <v>80</v>
      </c>
      <c r="F16" s="60" t="s">
        <v>34</v>
      </c>
      <c r="G16" s="47">
        <v>3</v>
      </c>
      <c r="H16" s="135">
        <f>IF(B$17=0,0,G16/B$17)</f>
        <v>2.2727272727272728E-2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132</v>
      </c>
      <c r="C17" s="37">
        <f>IF(B$3=0,0,B17/B$3)</f>
        <v>0.42718446601941745</v>
      </c>
      <c r="E17" s="63" t="s">
        <v>75</v>
      </c>
      <c r="F17" s="60" t="s">
        <v>29</v>
      </c>
      <c r="G17" s="47">
        <v>2</v>
      </c>
      <c r="H17" s="135">
        <f>IF(B$17=0,0,G17/B$17)</f>
        <v>1.5151515151515152E-2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53</v>
      </c>
      <c r="C18" s="39">
        <f>IF(B$17=0,0,B18/B$17)</f>
        <v>0.40151515151515149</v>
      </c>
      <c r="E18" s="63" t="s">
        <v>94</v>
      </c>
      <c r="F18" s="60" t="s">
        <v>48</v>
      </c>
      <c r="G18" s="47">
        <v>2</v>
      </c>
      <c r="H18" s="135">
        <f>IF(B$17=0,0,G18/B$17)</f>
        <v>1.5151515151515152E-2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79</v>
      </c>
      <c r="C19" s="39">
        <f>IF(B$17=0,0,B19/B$17)</f>
        <v>0.59848484848484851</v>
      </c>
      <c r="E19" s="63" t="s">
        <v>77</v>
      </c>
      <c r="F19" s="60" t="s">
        <v>31</v>
      </c>
      <c r="G19" s="47">
        <v>1</v>
      </c>
      <c r="H19" s="135">
        <f>IF(B$17=0,0,G19/B$17)</f>
        <v>7.575757575757576E-3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45</v>
      </c>
      <c r="C20" s="39">
        <f>IF(B$3=0,0,B20/B$3)</f>
        <v>0.14563106796116504</v>
      </c>
      <c r="E20" s="63" t="s">
        <v>79</v>
      </c>
      <c r="F20" s="60" t="s">
        <v>33</v>
      </c>
      <c r="G20" s="47">
        <v>1</v>
      </c>
      <c r="H20" s="135">
        <f>IF(B$17=0,0,G20/B$17)</f>
        <v>7.575757575757576E-3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50.211111111111116</v>
      </c>
      <c r="P20" s="121">
        <v>9</v>
      </c>
      <c r="Q20" s="109">
        <v>451.90000000000003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90</v>
      </c>
      <c r="F21" s="60" t="s">
        <v>44</v>
      </c>
      <c r="G21" s="47">
        <v>1</v>
      </c>
      <c r="H21" s="135">
        <f>IF(B$17=0,0,G21/B$17)</f>
        <v>7.575757575757576E-3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38.459999999999994</v>
      </c>
      <c r="P21" s="121">
        <v>15</v>
      </c>
      <c r="Q21" s="109">
        <v>576.89999999999986</v>
      </c>
    </row>
    <row r="22" spans="1:17" x14ac:dyDescent="0.4">
      <c r="A22" s="55" t="s">
        <v>197</v>
      </c>
      <c r="B22" s="47">
        <v>27</v>
      </c>
      <c r="C22" s="137">
        <v>2</v>
      </c>
      <c r="E22" s="63" t="s">
        <v>93</v>
      </c>
      <c r="F22" s="60" t="s">
        <v>47</v>
      </c>
      <c r="G22" s="47">
        <v>1</v>
      </c>
      <c r="H22" s="135">
        <f>IF(B$17=0,0,G22/B$17)</f>
        <v>7.575757575757576E-3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25.313793103448276</v>
      </c>
      <c r="P22" s="121">
        <v>29</v>
      </c>
      <c r="Q22" s="109">
        <v>734.1</v>
      </c>
    </row>
    <row r="23" spans="1:17" x14ac:dyDescent="0.4">
      <c r="A23" s="55" t="s">
        <v>5</v>
      </c>
      <c r="B23" s="51">
        <f>IF(B$17=0,0,C23/B$17)</f>
        <v>9225</v>
      </c>
      <c r="C23" s="41">
        <v>1217700</v>
      </c>
      <c r="E23" s="63" t="s">
        <v>98</v>
      </c>
      <c r="F23" s="60" t="s">
        <v>52</v>
      </c>
      <c r="G23" s="47">
        <v>1</v>
      </c>
      <c r="H23" s="135">
        <f>IF(B$17=0,0,G23/B$17)</f>
        <v>7.575757575757576E-3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-7571.1111111111113</v>
      </c>
      <c r="C24" s="45">
        <v>-340700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39</v>
      </c>
      <c r="C2" s="149"/>
      <c r="E2" s="62" t="s">
        <v>68</v>
      </c>
      <c r="F2" s="59" t="s">
        <v>23</v>
      </c>
      <c r="G2" s="46">
        <v>67</v>
      </c>
      <c r="H2" s="134">
        <f>IF(B$17=0,0,G2/B$17)</f>
        <v>0.70526315789473681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1102.5641025641025</v>
      </c>
      <c r="P2" s="120">
        <v>39</v>
      </c>
      <c r="Q2" s="104">
        <v>43000</v>
      </c>
    </row>
    <row r="3" spans="1:17" x14ac:dyDescent="0.4">
      <c r="A3" s="55" t="s">
        <v>8</v>
      </c>
      <c r="B3" s="150">
        <v>330</v>
      </c>
      <c r="C3" s="151"/>
      <c r="E3" s="63" t="s">
        <v>66</v>
      </c>
      <c r="F3" s="60" t="s">
        <v>21</v>
      </c>
      <c r="G3" s="47">
        <v>57</v>
      </c>
      <c r="H3" s="135">
        <f>IF(B$17=0,0,G3/B$17)</f>
        <v>0.6</v>
      </c>
      <c r="I3" s="96">
        <v>1</v>
      </c>
      <c r="K3" s="38">
        <v>1</v>
      </c>
      <c r="L3" s="101">
        <v>45.5</v>
      </c>
      <c r="N3" s="117" t="s">
        <v>135</v>
      </c>
      <c r="O3" s="124">
        <f t="shared" si="0"/>
        <v>-1284.2105263157894</v>
      </c>
      <c r="P3" s="121">
        <v>38</v>
      </c>
      <c r="Q3" s="105">
        <v>-48800</v>
      </c>
    </row>
    <row r="4" spans="1:17" x14ac:dyDescent="0.4">
      <c r="A4" s="55" t="s">
        <v>6</v>
      </c>
      <c r="B4" s="152">
        <v>127.59999999999997</v>
      </c>
      <c r="C4" s="153"/>
      <c r="E4" s="63" t="s">
        <v>74</v>
      </c>
      <c r="F4" s="60" t="s">
        <v>28</v>
      </c>
      <c r="G4" s="47">
        <v>39</v>
      </c>
      <c r="H4" s="135">
        <f>IF(B$17=0,0,G4/B$17)</f>
        <v>0.41052631578947368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-1051.3513513513512</v>
      </c>
      <c r="P4" s="121">
        <v>37</v>
      </c>
      <c r="Q4" s="105">
        <v>-38900</v>
      </c>
    </row>
    <row r="5" spans="1:17" x14ac:dyDescent="0.4">
      <c r="A5" s="55" t="s">
        <v>7</v>
      </c>
      <c r="B5" s="154">
        <f>IF(B$2=0,0,B$4/B$2)</f>
        <v>3.2717948717948708</v>
      </c>
      <c r="C5" s="155"/>
      <c r="E5" s="63" t="s">
        <v>184</v>
      </c>
      <c r="F5" s="60" t="s">
        <v>185</v>
      </c>
      <c r="G5" s="47">
        <v>38</v>
      </c>
      <c r="H5" s="135">
        <f>IF(B$17=0,0,G5/B$17)</f>
        <v>0.4</v>
      </c>
      <c r="I5" s="96">
        <v>2</v>
      </c>
      <c r="K5" s="38">
        <v>3</v>
      </c>
      <c r="L5" s="101">
        <v>-47.300000000000004</v>
      </c>
      <c r="N5" s="117" t="s">
        <v>137</v>
      </c>
      <c r="O5" s="124">
        <f t="shared" si="0"/>
        <v>1657.1428571428571</v>
      </c>
      <c r="P5" s="121">
        <v>35</v>
      </c>
      <c r="Q5" s="105">
        <v>58000</v>
      </c>
    </row>
    <row r="6" spans="1:17" x14ac:dyDescent="0.4">
      <c r="A6" s="55" t="s">
        <v>1</v>
      </c>
      <c r="B6" s="144">
        <f>IF(B$2=0,0,(B$7*1+B$8*2+B$9*3)/B$2)</f>
        <v>1.9487179487179487</v>
      </c>
      <c r="C6" s="145"/>
      <c r="E6" s="63" t="s">
        <v>69</v>
      </c>
      <c r="F6" s="60" t="s">
        <v>24</v>
      </c>
      <c r="G6" s="47">
        <v>37</v>
      </c>
      <c r="H6" s="135">
        <f>IF(B$17=0,0,G6/B$17)</f>
        <v>0.38947368421052631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2221.212121212121</v>
      </c>
      <c r="P6" s="121">
        <v>33</v>
      </c>
      <c r="Q6" s="105">
        <v>73300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12</v>
      </c>
      <c r="G7" s="47">
        <v>35</v>
      </c>
      <c r="H7" s="135">
        <f>IF(B$17=0,0,G7/B$17)</f>
        <v>0.36842105263157893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19</v>
      </c>
      <c r="C8" s="39">
        <f>IF(B$2=0,0,B8/B$2)</f>
        <v>0.48717948717948717</v>
      </c>
      <c r="E8" s="63" t="s">
        <v>71</v>
      </c>
      <c r="F8" s="60" t="s">
        <v>25</v>
      </c>
      <c r="G8" s="47">
        <v>23</v>
      </c>
      <c r="H8" s="135">
        <f>IF(B$17=0,0,G8/B$17)</f>
        <v>0.24210526315789474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0.23076923076923078</v>
      </c>
      <c r="E9" s="63" t="s">
        <v>72</v>
      </c>
      <c r="F9" s="60" t="s">
        <v>26</v>
      </c>
      <c r="G9" s="47">
        <v>13</v>
      </c>
      <c r="H9" s="135">
        <f>IF(B$17=0,0,G9/B$17)</f>
        <v>0.1368421052631579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5.128205128205128E-2</v>
      </c>
      <c r="E10" s="63" t="s">
        <v>67</v>
      </c>
      <c r="F10" s="60" t="s">
        <v>22</v>
      </c>
      <c r="G10" s="47">
        <v>11</v>
      </c>
      <c r="H10" s="135">
        <f>IF(B$17=0,0,G10/B$17)</f>
        <v>0.11578947368421053</v>
      </c>
      <c r="I10" s="96">
        <v>3</v>
      </c>
      <c r="K10" s="38">
        <v>8</v>
      </c>
      <c r="L10" s="101">
        <v>-49.6</v>
      </c>
      <c r="N10" s="116" t="s">
        <v>167</v>
      </c>
      <c r="O10" s="126">
        <f>IF(P10=0,0,Q10/P10)</f>
        <v>7.5399999999999974</v>
      </c>
      <c r="P10" s="120">
        <v>20</v>
      </c>
      <c r="Q10" s="108">
        <v>150.79999999999995</v>
      </c>
    </row>
    <row r="11" spans="1:17" x14ac:dyDescent="0.4">
      <c r="A11" s="56" t="s">
        <v>142</v>
      </c>
      <c r="B11" s="48">
        <v>2</v>
      </c>
      <c r="C11" s="40">
        <f>IF(B$2=0,0,B11/B$2)</f>
        <v>5.128205128205128E-2</v>
      </c>
      <c r="E11" s="63" t="s">
        <v>89</v>
      </c>
      <c r="F11" s="60" t="s">
        <v>43</v>
      </c>
      <c r="G11" s="47">
        <v>6</v>
      </c>
      <c r="H11" s="135">
        <f>IF(B$17=0,0,G11/B$17)</f>
        <v>6.3157894736842107E-2</v>
      </c>
      <c r="I11" s="96">
        <v>6</v>
      </c>
      <c r="K11" s="38">
        <v>9</v>
      </c>
      <c r="L11" s="101">
        <v>-79.5</v>
      </c>
      <c r="N11" s="117" t="s">
        <v>168</v>
      </c>
      <c r="O11" s="127">
        <f>IF(P11=0,0,Q11/P11)</f>
        <v>-8.3749999999999982</v>
      </c>
      <c r="P11" s="121">
        <v>12</v>
      </c>
      <c r="Q11" s="109">
        <v>-100.49999999999999</v>
      </c>
    </row>
    <row r="12" spans="1:17" x14ac:dyDescent="0.4">
      <c r="A12" s="57" t="s">
        <v>162</v>
      </c>
      <c r="B12" s="49">
        <v>4</v>
      </c>
      <c r="C12" s="42">
        <f>IF(B$2=0,0,B12/B$2)</f>
        <v>0.10256410256410256</v>
      </c>
      <c r="E12" s="63" t="s">
        <v>92</v>
      </c>
      <c r="F12" s="60" t="s">
        <v>46</v>
      </c>
      <c r="G12" s="47">
        <v>5</v>
      </c>
      <c r="H12" s="135">
        <f>IF(B$17=0,0,G12/B$17)</f>
        <v>5.2631578947368418E-2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11.042857142857144</v>
      </c>
      <c r="P12" s="122">
        <v>7</v>
      </c>
      <c r="Q12" s="110">
        <v>77.300000000000011</v>
      </c>
    </row>
    <row r="13" spans="1:17" x14ac:dyDescent="0.4">
      <c r="A13" s="58" t="s">
        <v>124</v>
      </c>
      <c r="B13" s="50">
        <v>94</v>
      </c>
      <c r="C13" s="44">
        <f>IF(B$3=0,0,B13/B$3)</f>
        <v>0.28484848484848485</v>
      </c>
      <c r="E13" s="63" t="s">
        <v>84</v>
      </c>
      <c r="F13" s="60" t="s">
        <v>38</v>
      </c>
      <c r="G13" s="47">
        <v>4</v>
      </c>
      <c r="H13" s="135">
        <f>IF(B$17=0,0,G13/B$17)</f>
        <v>4.2105263157894736E-2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61</v>
      </c>
      <c r="C14" s="39">
        <f>IF(B$3=0,0,B14/B$3)</f>
        <v>0.18484848484848485</v>
      </c>
      <c r="E14" s="63" t="s">
        <v>94</v>
      </c>
      <c r="F14" s="60" t="s">
        <v>48</v>
      </c>
      <c r="G14" s="47">
        <v>4</v>
      </c>
      <c r="H14" s="135">
        <f>IF(B$17=0,0,G14/B$17)</f>
        <v>4.2105263157894736E-2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59</v>
      </c>
      <c r="C15" s="37">
        <f>IF(B$13=0,0,B15/B$13)</f>
        <v>0.62765957446808507</v>
      </c>
      <c r="E15" s="63" t="s">
        <v>73</v>
      </c>
      <c r="F15" s="60" t="s">
        <v>27</v>
      </c>
      <c r="G15" s="47">
        <v>2</v>
      </c>
      <c r="H15" s="135">
        <f>IF(B$17=0,0,G15/B$17)</f>
        <v>2.1052631578947368E-2</v>
      </c>
      <c r="I15" s="96">
        <v>7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15</v>
      </c>
      <c r="C16" s="37">
        <f>IF(B$14=0,0,B16/B$14)</f>
        <v>0.24590163934426229</v>
      </c>
      <c r="E16" s="63" t="s">
        <v>86</v>
      </c>
      <c r="F16" s="60" t="s">
        <v>40</v>
      </c>
      <c r="G16" s="47">
        <v>2</v>
      </c>
      <c r="H16" s="135">
        <f>IF(B$17=0,0,G16/B$17)</f>
        <v>2.1052631578947368E-2</v>
      </c>
      <c r="I16" s="96">
        <v>9</v>
      </c>
      <c r="K16" s="38">
        <v>14</v>
      </c>
      <c r="L16" s="101">
        <v>-25.600000000000009</v>
      </c>
      <c r="N16" s="117" t="s">
        <v>174</v>
      </c>
      <c r="O16" s="127">
        <f>IF(P16=0,0,Q16/P16)</f>
        <v>27.938461538461546</v>
      </c>
      <c r="P16" s="121">
        <v>13</v>
      </c>
      <c r="Q16" s="109">
        <v>363.2000000000001</v>
      </c>
    </row>
    <row r="17" spans="1:17" x14ac:dyDescent="0.4">
      <c r="A17" s="54" t="s">
        <v>10</v>
      </c>
      <c r="B17" s="46">
        <f>B19+B18</f>
        <v>95</v>
      </c>
      <c r="C17" s="37">
        <f>IF(B$3=0,0,B17/B$3)</f>
        <v>0.2878787878787879</v>
      </c>
      <c r="E17" s="63" t="s">
        <v>75</v>
      </c>
      <c r="F17" s="60" t="s">
        <v>29</v>
      </c>
      <c r="G17" s="47">
        <v>1</v>
      </c>
      <c r="H17" s="135">
        <f>IF(B$17=0,0,G17/B$17)</f>
        <v>1.0526315789473684E-2</v>
      </c>
      <c r="I17" s="96">
        <v>2</v>
      </c>
      <c r="K17" s="38">
        <v>15</v>
      </c>
      <c r="L17" s="101">
        <v>47.999999999999986</v>
      </c>
      <c r="N17" s="117" t="s">
        <v>176</v>
      </c>
      <c r="O17" s="127">
        <f>IF(P17=0,0,Q17/P17)</f>
        <v>26.471428571428568</v>
      </c>
      <c r="P17" s="121">
        <v>7</v>
      </c>
      <c r="Q17" s="109">
        <v>185.29999999999998</v>
      </c>
    </row>
    <row r="18" spans="1:17" x14ac:dyDescent="0.4">
      <c r="A18" s="55" t="s">
        <v>12</v>
      </c>
      <c r="B18" s="47">
        <v>39</v>
      </c>
      <c r="C18" s="39">
        <f>IF(B$17=0,0,B18/B$17)</f>
        <v>0.41052631578947368</v>
      </c>
      <c r="E18" s="63" t="s">
        <v>76</v>
      </c>
      <c r="F18" s="60" t="s">
        <v>30</v>
      </c>
      <c r="G18" s="47">
        <v>1</v>
      </c>
      <c r="H18" s="135">
        <f>IF(B$17=0,0,G18/B$17)</f>
        <v>1.0526315789473684E-2</v>
      </c>
      <c r="I18" s="96">
        <v>1</v>
      </c>
      <c r="K18" s="38">
        <v>16</v>
      </c>
      <c r="L18" s="101">
        <v>41.699999999999989</v>
      </c>
      <c r="N18" s="117" t="s">
        <v>131</v>
      </c>
      <c r="O18" s="127">
        <f>IF(P18=0,0,Q18/P18)</f>
        <v>15.76</v>
      </c>
      <c r="P18" s="121">
        <v>10</v>
      </c>
      <c r="Q18" s="109">
        <v>157.6</v>
      </c>
    </row>
    <row r="19" spans="1:17" x14ac:dyDescent="0.4">
      <c r="A19" s="55" t="s">
        <v>11</v>
      </c>
      <c r="B19" s="47">
        <v>56</v>
      </c>
      <c r="C19" s="39">
        <f>IF(B$17=0,0,B19/B$17)</f>
        <v>0.58947368421052626</v>
      </c>
      <c r="E19" s="63" t="s">
        <v>77</v>
      </c>
      <c r="F19" s="60" t="s">
        <v>31</v>
      </c>
      <c r="G19" s="47">
        <v>1</v>
      </c>
      <c r="H19" s="135">
        <f>IF(B$17=0,0,G19/B$17)</f>
        <v>1.0526315789473684E-2</v>
      </c>
      <c r="I19" s="96">
        <v>4</v>
      </c>
      <c r="K19" s="38">
        <v>17</v>
      </c>
      <c r="L19" s="101">
        <v>94.6</v>
      </c>
      <c r="N19" s="117" t="s">
        <v>175</v>
      </c>
      <c r="O19" s="127">
        <f>IF(P19=0,0,Q19/P19)</f>
        <v>11.37142857142857</v>
      </c>
      <c r="P19" s="121">
        <v>7</v>
      </c>
      <c r="Q19" s="109">
        <v>79.599999999999994</v>
      </c>
    </row>
    <row r="20" spans="1:17" x14ac:dyDescent="0.4">
      <c r="A20" s="55" t="s">
        <v>13</v>
      </c>
      <c r="B20" s="47">
        <v>55</v>
      </c>
      <c r="C20" s="39">
        <f>IF(B$3=0,0,B20/B$3)</f>
        <v>0.16666666666666666</v>
      </c>
      <c r="E20" s="63" t="s">
        <v>80</v>
      </c>
      <c r="F20" s="60" t="s">
        <v>34</v>
      </c>
      <c r="G20" s="47">
        <v>1</v>
      </c>
      <c r="H20" s="135">
        <f>IF(B$17=0,0,G20/B$17)</f>
        <v>1.0526315789473684E-2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>IF(P20=0,0,Q20/P20)</f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>IF(B$17=0,0,G21/B$17)</f>
        <v>1.0526315789473684E-2</v>
      </c>
      <c r="I21" s="96">
        <v>3</v>
      </c>
      <c r="K21" s="38">
        <v>19</v>
      </c>
      <c r="L21" s="101">
        <v>138.79999999999998</v>
      </c>
      <c r="N21" s="117" t="s">
        <v>129</v>
      </c>
      <c r="O21" s="127">
        <f>IF(P21=0,0,Q21/P21)</f>
        <v>-25.313793103448276</v>
      </c>
      <c r="P21" s="121">
        <v>29</v>
      </c>
      <c r="Q21" s="109">
        <v>-734.1</v>
      </c>
    </row>
    <row r="22" spans="1:17" x14ac:dyDescent="0.4">
      <c r="A22" s="55" t="s">
        <v>197</v>
      </c>
      <c r="B22" s="47">
        <v>24</v>
      </c>
      <c r="C22" s="137">
        <v>0</v>
      </c>
      <c r="E22" s="63" t="s">
        <v>95</v>
      </c>
      <c r="F22" s="60" t="s">
        <v>49</v>
      </c>
      <c r="G22" s="47">
        <v>1</v>
      </c>
      <c r="H22" s="135">
        <f>IF(B$17=0,0,G22/B$17)</f>
        <v>1.0526315789473684E-2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8963.1578947368416</v>
      </c>
      <c r="C23" s="41">
        <v>851500</v>
      </c>
      <c r="E23" s="63" t="s">
        <v>183</v>
      </c>
      <c r="F23" s="60" t="s">
        <v>186</v>
      </c>
      <c r="G23" s="47">
        <v>1</v>
      </c>
      <c r="H23" s="135">
        <f>IF(B$17=0,0,G23/B$17)</f>
        <v>1.0526315789473684E-2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-6980</v>
      </c>
      <c r="C24" s="45">
        <v>-383900</v>
      </c>
      <c r="E24" s="63" t="s">
        <v>78</v>
      </c>
      <c r="F24" s="60" t="s">
        <v>32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1.2121212121212121E-2</v>
      </c>
      <c r="E27" s="63" t="s">
        <v>83</v>
      </c>
      <c r="F27" s="60" t="s">
        <v>37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1.0344827586206897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-5443.75</v>
      </c>
      <c r="P2" s="120">
        <v>16</v>
      </c>
      <c r="Q2" s="104">
        <v>-87100</v>
      </c>
    </row>
    <row r="3" spans="1:17" x14ac:dyDescent="0.4">
      <c r="A3" s="55" t="s">
        <v>8</v>
      </c>
      <c r="B3" s="150">
        <v>148</v>
      </c>
      <c r="C3" s="151"/>
      <c r="E3" s="63" t="s">
        <v>66</v>
      </c>
      <c r="F3" s="60" t="s">
        <v>21</v>
      </c>
      <c r="G3" s="47">
        <v>15</v>
      </c>
      <c r="H3" s="135">
        <f>IF(B$17=0,0,G3/B$17)</f>
        <v>0.51724137931034486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-3981.25</v>
      </c>
      <c r="P3" s="121">
        <v>16</v>
      </c>
      <c r="Q3" s="105">
        <v>-63700</v>
      </c>
    </row>
    <row r="4" spans="1:17" x14ac:dyDescent="0.4">
      <c r="A4" s="55" t="s">
        <v>6</v>
      </c>
      <c r="B4" s="152">
        <v>-472</v>
      </c>
      <c r="C4" s="153"/>
      <c r="E4" s="63" t="s">
        <v>70</v>
      </c>
      <c r="F4" s="60" t="s">
        <v>12</v>
      </c>
      <c r="G4" s="47">
        <v>10</v>
      </c>
      <c r="H4" s="135">
        <f>IF(B$17=0,0,G4/B$17)</f>
        <v>0.34482758620689657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-4484.6153846153848</v>
      </c>
      <c r="P4" s="121">
        <v>13</v>
      </c>
      <c r="Q4" s="105">
        <v>-58300</v>
      </c>
    </row>
    <row r="5" spans="1:17" x14ac:dyDescent="0.4">
      <c r="A5" s="55" t="s">
        <v>7</v>
      </c>
      <c r="B5" s="154">
        <f>IF(B$2=0,0,B$4/B$2)</f>
        <v>-29.5</v>
      </c>
      <c r="C5" s="155"/>
      <c r="E5" s="63" t="s">
        <v>69</v>
      </c>
      <c r="F5" s="60" t="s">
        <v>24</v>
      </c>
      <c r="G5" s="47">
        <v>9</v>
      </c>
      <c r="H5" s="135">
        <f>IF(B$17=0,0,G5/B$17)</f>
        <v>0.31034482758620691</v>
      </c>
      <c r="I5" s="96">
        <v>4</v>
      </c>
      <c r="K5" s="38">
        <v>3</v>
      </c>
      <c r="L5" s="101">
        <v>-23.099999999999998</v>
      </c>
      <c r="N5" s="117" t="s">
        <v>137</v>
      </c>
      <c r="O5" s="124">
        <f t="shared" si="0"/>
        <v>-2653.8461538461538</v>
      </c>
      <c r="P5" s="121">
        <v>13</v>
      </c>
      <c r="Q5" s="105">
        <v>-34500</v>
      </c>
    </row>
    <row r="6" spans="1:17" x14ac:dyDescent="0.4">
      <c r="A6" s="55" t="s">
        <v>1</v>
      </c>
      <c r="B6" s="144">
        <f>IF(B$2=0,0,(B$7*1+B$8*2+B$9*3)/B$2)</f>
        <v>2.5</v>
      </c>
      <c r="C6" s="145"/>
      <c r="E6" s="63" t="s">
        <v>74</v>
      </c>
      <c r="F6" s="60" t="s">
        <v>28</v>
      </c>
      <c r="G6" s="47">
        <v>8</v>
      </c>
      <c r="H6" s="135">
        <f>IF(B$17=0,0,G6/B$17)</f>
        <v>0.27586206896551724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0"/>
        <v>-2153.8461538461538</v>
      </c>
      <c r="P6" s="121">
        <v>13</v>
      </c>
      <c r="Q6" s="105">
        <v>-28000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184</v>
      </c>
      <c r="F7" s="60" t="s">
        <v>185</v>
      </c>
      <c r="G7" s="47">
        <v>8</v>
      </c>
      <c r="H7" s="135">
        <f>IF(B$17=0,0,G7/B$17)</f>
        <v>0.27586206896551724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0"/>
        <v>-1653.8461538461538</v>
      </c>
      <c r="P7" s="122">
        <v>13</v>
      </c>
      <c r="Q7" s="106">
        <v>-21500</v>
      </c>
    </row>
    <row r="8" spans="1:17" x14ac:dyDescent="0.4">
      <c r="A8" s="55" t="s">
        <v>3</v>
      </c>
      <c r="B8" s="47">
        <v>4</v>
      </c>
      <c r="C8" s="39">
        <f>IF(B$2=0,0,B8/B$2)</f>
        <v>0.25</v>
      </c>
      <c r="E8" s="63" t="s">
        <v>71</v>
      </c>
      <c r="F8" s="60" t="s">
        <v>25</v>
      </c>
      <c r="G8" s="47">
        <v>5</v>
      </c>
      <c r="H8" s="135">
        <f>IF(B$17=0,0,G8/B$17)</f>
        <v>0.17241379310344829</v>
      </c>
      <c r="I8" s="96">
        <v>7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0.625</v>
      </c>
      <c r="E9" s="63" t="s">
        <v>72</v>
      </c>
      <c r="F9" s="60" t="s">
        <v>26</v>
      </c>
      <c r="G9" s="47">
        <v>5</v>
      </c>
      <c r="H9" s="135">
        <f>IF(B$17=0,0,G9/B$17)</f>
        <v>0.17241379310344829</v>
      </c>
      <c r="I9" s="96">
        <v>1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27</v>
      </c>
      <c r="G10" s="47">
        <v>4</v>
      </c>
      <c r="H10" s="135">
        <f>IF(B$17=0,0,G10/B$17)</f>
        <v>0.13793103448275862</v>
      </c>
      <c r="I10" s="96">
        <v>2</v>
      </c>
      <c r="K10" s="38">
        <v>8</v>
      </c>
      <c r="L10" s="101">
        <v>-79.599999999999994</v>
      </c>
      <c r="N10" s="116" t="s">
        <v>167</v>
      </c>
      <c r="O10" s="126">
        <f>IF(P10=0,0,Q10/P10)</f>
        <v>-33.68333333333333</v>
      </c>
      <c r="P10" s="120">
        <v>6</v>
      </c>
      <c r="Q10" s="108">
        <v>-202.1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4</v>
      </c>
      <c r="H11" s="135">
        <f>IF(B$17=0,0,G11/B$17)</f>
        <v>0.13793103448275862</v>
      </c>
      <c r="I11" s="96">
        <v>7</v>
      </c>
      <c r="K11" s="38">
        <v>9</v>
      </c>
      <c r="L11" s="101">
        <v>-127.6</v>
      </c>
      <c r="N11" s="117" t="s">
        <v>168</v>
      </c>
      <c r="O11" s="127">
        <f>IF(P11=0,0,Q11/P11)</f>
        <v>-35.216666666666669</v>
      </c>
      <c r="P11" s="121">
        <v>6</v>
      </c>
      <c r="Q11" s="109">
        <v>-211.3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67</v>
      </c>
      <c r="F12" s="60" t="s">
        <v>22</v>
      </c>
      <c r="G12" s="47">
        <v>3</v>
      </c>
      <c r="H12" s="135">
        <f>IF(B$17=0,0,G12/B$17)</f>
        <v>0.10344827586206896</v>
      </c>
      <c r="I12" s="96">
        <v>6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34</v>
      </c>
      <c r="C13" s="44">
        <f>IF(B$3=0,0,B13/B$3)</f>
        <v>0.22972972972972974</v>
      </c>
      <c r="E13" s="63" t="s">
        <v>89</v>
      </c>
      <c r="F13" s="60" t="s">
        <v>43</v>
      </c>
      <c r="G13" s="47">
        <v>2</v>
      </c>
      <c r="H13" s="135">
        <f>IF(B$17=0,0,G13/B$17)</f>
        <v>6.8965517241379309E-2</v>
      </c>
      <c r="I13" s="96">
        <v>4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16</v>
      </c>
      <c r="C14" s="39">
        <f>IF(B$3=0,0,B14/B$3)</f>
        <v>0.10810810810810811</v>
      </c>
      <c r="E14" s="63" t="s">
        <v>80</v>
      </c>
      <c r="F14" s="60" t="s">
        <v>34</v>
      </c>
      <c r="G14" s="47">
        <v>1</v>
      </c>
      <c r="H14" s="135">
        <f>IF(B$17=0,0,G14/B$17)</f>
        <v>3.4482758620689655E-2</v>
      </c>
      <c r="I14" s="96">
        <v>2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0.47058823529411764</v>
      </c>
      <c r="E15" s="63" t="s">
        <v>86</v>
      </c>
      <c r="F15" s="60" t="s">
        <v>40</v>
      </c>
      <c r="G15" s="47">
        <v>1</v>
      </c>
      <c r="H15" s="135">
        <f>IF(B$17=0,0,G15/B$17)</f>
        <v>3.4482758620689655E-2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0.25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0.19594594594594594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-15.760000000000002</v>
      </c>
      <c r="P17" s="121">
        <v>10</v>
      </c>
      <c r="Q17" s="109">
        <v>-157.60000000000002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0.41379310344827586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17</v>
      </c>
      <c r="C19" s="39">
        <f>IF(B$17=0,0,B19/B$17)</f>
        <v>0.58620689655172409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189</v>
      </c>
      <c r="O19" s="127">
        <f>IF(P19=0,0,Q19/P19)</f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31</v>
      </c>
      <c r="C20" s="39">
        <f>IF(B$3=0,0,B20/B$3)</f>
        <v>0.20945945945945946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175</v>
      </c>
      <c r="O20" s="127">
        <f>IF(P20=0,0,Q20/P20)</f>
        <v>-90.5</v>
      </c>
      <c r="P20" s="121">
        <v>3</v>
      </c>
      <c r="Q20" s="109">
        <v>-271.5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9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7362.0689655172409</v>
      </c>
      <c r="C23" s="41">
        <v>213500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-9374.1935483870966</v>
      </c>
      <c r="C24" s="45">
        <v>-290600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26</v>
      </c>
      <c r="C2" s="149"/>
      <c r="E2" s="62" t="s">
        <v>68</v>
      </c>
      <c r="F2" s="59" t="s">
        <v>23</v>
      </c>
      <c r="G2" s="46">
        <v>34</v>
      </c>
      <c r="H2" s="134">
        <f>IF(B$17=0,0,G2/B$17)</f>
        <v>0.61818181818181817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92.307692307692307</v>
      </c>
      <c r="P2" s="120">
        <v>26</v>
      </c>
      <c r="Q2" s="104">
        <v>2400</v>
      </c>
    </row>
    <row r="3" spans="1:17" x14ac:dyDescent="0.4">
      <c r="A3" s="55" t="s">
        <v>8</v>
      </c>
      <c r="B3" s="150">
        <v>227</v>
      </c>
      <c r="C3" s="151"/>
      <c r="E3" s="63" t="s">
        <v>74</v>
      </c>
      <c r="F3" s="60" t="s">
        <v>28</v>
      </c>
      <c r="G3" s="47">
        <v>33</v>
      </c>
      <c r="H3" s="135">
        <f>IF(B$17=0,0,G3/B$17)</f>
        <v>0.6</v>
      </c>
      <c r="I3" s="96">
        <v>3</v>
      </c>
      <c r="K3" s="38">
        <v>1</v>
      </c>
      <c r="L3" s="101">
        <v>-51.2</v>
      </c>
      <c r="N3" s="117" t="s">
        <v>135</v>
      </c>
      <c r="O3" s="124">
        <f t="shared" si="0"/>
        <v>1938.4615384615386</v>
      </c>
      <c r="P3" s="121">
        <v>26</v>
      </c>
      <c r="Q3" s="105">
        <v>50400</v>
      </c>
    </row>
    <row r="4" spans="1:17" x14ac:dyDescent="0.4">
      <c r="A4" s="55" t="s">
        <v>6</v>
      </c>
      <c r="B4" s="152">
        <v>-71.099999999999994</v>
      </c>
      <c r="C4" s="153"/>
      <c r="E4" s="63" t="s">
        <v>66</v>
      </c>
      <c r="F4" s="60" t="s">
        <v>21</v>
      </c>
      <c r="G4" s="47">
        <v>26</v>
      </c>
      <c r="H4" s="135">
        <f>IF(B$17=0,0,G4/B$17)</f>
        <v>0.47272727272727272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400</v>
      </c>
      <c r="P4" s="121">
        <v>24</v>
      </c>
      <c r="Q4" s="105">
        <v>9600</v>
      </c>
    </row>
    <row r="5" spans="1:17" x14ac:dyDescent="0.4">
      <c r="A5" s="55" t="s">
        <v>7</v>
      </c>
      <c r="B5" s="154">
        <f>IF(B$2=0,0,B$4/B$2)</f>
        <v>-2.7346153846153842</v>
      </c>
      <c r="C5" s="155"/>
      <c r="E5" s="63" t="s">
        <v>184</v>
      </c>
      <c r="F5" s="60" t="s">
        <v>185</v>
      </c>
      <c r="G5" s="47">
        <v>17</v>
      </c>
      <c r="H5" s="135">
        <f>IF(B$17=0,0,G5/B$17)</f>
        <v>0.30909090909090908</v>
      </c>
      <c r="I5" s="96">
        <v>7</v>
      </c>
      <c r="K5" s="38">
        <v>3</v>
      </c>
      <c r="L5" s="101">
        <v>-60.100000000000009</v>
      </c>
      <c r="N5" s="117" t="s">
        <v>137</v>
      </c>
      <c r="O5" s="124">
        <f t="shared" si="0"/>
        <v>-3643.478260869565</v>
      </c>
      <c r="P5" s="121">
        <v>23</v>
      </c>
      <c r="Q5" s="105">
        <v>-83800</v>
      </c>
    </row>
    <row r="6" spans="1:17" x14ac:dyDescent="0.4">
      <c r="A6" s="55" t="s">
        <v>1</v>
      </c>
      <c r="B6" s="144">
        <f>IF(B$2=0,0,(B$7*1+B$8*2+B$9*3)/B$2)</f>
        <v>2.0769230769230771</v>
      </c>
      <c r="C6" s="145"/>
      <c r="E6" s="63" t="s">
        <v>71</v>
      </c>
      <c r="F6" s="60" t="s">
        <v>25</v>
      </c>
      <c r="G6" s="47">
        <v>11</v>
      </c>
      <c r="H6" s="135">
        <f>IF(B$17=0,0,G6/B$17)</f>
        <v>0.2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0"/>
        <v>-295.23809523809524</v>
      </c>
      <c r="P6" s="121">
        <v>21</v>
      </c>
      <c r="Q6" s="105">
        <v>-6200</v>
      </c>
    </row>
    <row r="7" spans="1:17" x14ac:dyDescent="0.4">
      <c r="A7" s="55" t="s">
        <v>2</v>
      </c>
      <c r="B7" s="47">
        <v>7</v>
      </c>
      <c r="C7" s="39">
        <f>IF(B$2=0,0,B7/B$2)</f>
        <v>0.26923076923076922</v>
      </c>
      <c r="E7" s="63" t="s">
        <v>92</v>
      </c>
      <c r="F7" s="60" t="s">
        <v>46</v>
      </c>
      <c r="G7" s="47">
        <v>11</v>
      </c>
      <c r="H7" s="135">
        <f>IF(B$17=0,0,G7/B$17)</f>
        <v>0.2</v>
      </c>
      <c r="I7" s="96">
        <v>3</v>
      </c>
      <c r="K7" s="38">
        <v>5</v>
      </c>
      <c r="L7" s="101">
        <v>-36.100000000000009</v>
      </c>
      <c r="N7" s="118" t="s">
        <v>139</v>
      </c>
      <c r="O7" s="125">
        <f t="shared" si="0"/>
        <v>236.84210526315789</v>
      </c>
      <c r="P7" s="122">
        <v>19</v>
      </c>
      <c r="Q7" s="106">
        <v>4500</v>
      </c>
    </row>
    <row r="8" spans="1:17" x14ac:dyDescent="0.4">
      <c r="A8" s="55" t="s">
        <v>3</v>
      </c>
      <c r="B8" s="47">
        <v>10</v>
      </c>
      <c r="C8" s="39">
        <f>IF(B$2=0,0,B8/B$2)</f>
        <v>0.38461538461538464</v>
      </c>
      <c r="E8" s="63" t="s">
        <v>69</v>
      </c>
      <c r="F8" s="60" t="s">
        <v>24</v>
      </c>
      <c r="G8" s="47">
        <v>9</v>
      </c>
      <c r="H8" s="135">
        <f>IF(B$17=0,0,G8/B$17)</f>
        <v>0.16363636363636364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0.34615384615384615</v>
      </c>
      <c r="E9" s="63" t="s">
        <v>70</v>
      </c>
      <c r="F9" s="60" t="s">
        <v>12</v>
      </c>
      <c r="G9" s="47">
        <v>9</v>
      </c>
      <c r="H9" s="135">
        <f>IF(B$17=0,0,G9/B$17)</f>
        <v>0.16363636363636364</v>
      </c>
      <c r="I9" s="96">
        <v>10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3.8461538461538464E-2</v>
      </c>
      <c r="E10" s="63" t="s">
        <v>67</v>
      </c>
      <c r="F10" s="60" t="s">
        <v>22</v>
      </c>
      <c r="G10" s="47">
        <v>6</v>
      </c>
      <c r="H10" s="135">
        <f>IF(B$17=0,0,G10/B$17)</f>
        <v>0.10909090909090909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7.6923076923076927E-2</v>
      </c>
      <c r="E11" s="63" t="s">
        <v>72</v>
      </c>
      <c r="F11" s="60" t="s">
        <v>26</v>
      </c>
      <c r="G11" s="47">
        <v>6</v>
      </c>
      <c r="H11" s="135">
        <f>IF(B$17=0,0,G11/B$17)</f>
        <v>0.10909090909090909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-1.9777777777777779</v>
      </c>
      <c r="P11" s="121">
        <v>9</v>
      </c>
      <c r="Q11" s="109">
        <v>-17.8</v>
      </c>
    </row>
    <row r="12" spans="1:17" x14ac:dyDescent="0.4">
      <c r="A12" s="57" t="s">
        <v>162</v>
      </c>
      <c r="B12" s="49">
        <v>2</v>
      </c>
      <c r="C12" s="42">
        <f>IF(B$2=0,0,B12/B$2)</f>
        <v>7.6923076923076927E-2</v>
      </c>
      <c r="E12" s="63" t="s">
        <v>73</v>
      </c>
      <c r="F12" s="60" t="s">
        <v>27</v>
      </c>
      <c r="G12" s="47">
        <v>6</v>
      </c>
      <c r="H12" s="135">
        <f>IF(B$17=0,0,G12/B$17)</f>
        <v>0.10909090909090909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54</v>
      </c>
      <c r="C13" s="44">
        <f>IF(B$3=0,0,B13/B$3)</f>
        <v>0.23788546255506607</v>
      </c>
      <c r="E13" s="63" t="s">
        <v>86</v>
      </c>
      <c r="F13" s="60" t="s">
        <v>40</v>
      </c>
      <c r="G13" s="47">
        <v>4</v>
      </c>
      <c r="H13" s="135">
        <f>IF(B$17=0,0,G13/B$17)</f>
        <v>7.2727272727272724E-2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43</v>
      </c>
      <c r="C14" s="39">
        <f>IF(B$3=0,0,B14/B$3)</f>
        <v>0.1894273127753304</v>
      </c>
      <c r="E14" s="63" t="s">
        <v>89</v>
      </c>
      <c r="F14" s="60" t="s">
        <v>43</v>
      </c>
      <c r="G14" s="47">
        <v>3</v>
      </c>
      <c r="H14" s="135">
        <f>IF(B$17=0,0,G14/B$17)</f>
        <v>5.4545454545454543E-2</v>
      </c>
      <c r="I14" s="96">
        <v>7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27</v>
      </c>
      <c r="C15" s="37">
        <f>IF(B$13=0,0,B15/B$13)</f>
        <v>0.5</v>
      </c>
      <c r="E15" s="63" t="s">
        <v>77</v>
      </c>
      <c r="F15" s="60" t="s">
        <v>31</v>
      </c>
      <c r="G15" s="47">
        <v>2</v>
      </c>
      <c r="H15" s="135">
        <f>IF(B$17=0,0,G15/B$17)</f>
        <v>3.6363636363636362E-2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0.34883720930232559</v>
      </c>
      <c r="E16" s="63" t="s">
        <v>80</v>
      </c>
      <c r="F16" s="60" t="s">
        <v>34</v>
      </c>
      <c r="G16" s="47">
        <v>2</v>
      </c>
      <c r="H16" s="135">
        <f>IF(B$17=0,0,G16/B$17)</f>
        <v>3.6363636363636362E-2</v>
      </c>
      <c r="I16" s="96">
        <v>1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0.24229074889867841</v>
      </c>
      <c r="E17" s="63" t="s">
        <v>84</v>
      </c>
      <c r="F17" s="60" t="s">
        <v>38</v>
      </c>
      <c r="G17" s="47">
        <v>1</v>
      </c>
      <c r="H17" s="135">
        <f>IF(B$17=0,0,G17/B$17)</f>
        <v>1.8181818181818181E-2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17</v>
      </c>
      <c r="C18" s="39">
        <f>IF(B$17=0,0,B18/B$17)</f>
        <v>0.30909090909090908</v>
      </c>
      <c r="E18" s="63" t="s">
        <v>95</v>
      </c>
      <c r="F18" s="60" t="s">
        <v>49</v>
      </c>
      <c r="G18" s="47">
        <v>1</v>
      </c>
      <c r="H18" s="135">
        <f>IF(B$17=0,0,G18/B$17)</f>
        <v>1.8181818181818181E-2</v>
      </c>
      <c r="I18" s="96">
        <v>1</v>
      </c>
      <c r="K18" s="38">
        <v>16</v>
      </c>
      <c r="L18" s="101">
        <v>-50.3</v>
      </c>
      <c r="N18" s="117" t="s">
        <v>175</v>
      </c>
      <c r="O18" s="127">
        <f>IF(P18=0,0,Q18/P18)</f>
        <v>16.074999999999999</v>
      </c>
      <c r="P18" s="121">
        <v>8</v>
      </c>
      <c r="Q18" s="109">
        <v>128.6</v>
      </c>
    </row>
    <row r="19" spans="1:17" x14ac:dyDescent="0.4">
      <c r="A19" s="55" t="s">
        <v>11</v>
      </c>
      <c r="B19" s="47">
        <v>38</v>
      </c>
      <c r="C19" s="39">
        <f>IF(B$17=0,0,B19/B$17)</f>
        <v>0.69090909090909092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-74.3</v>
      </c>
      <c r="N19" s="117" t="s">
        <v>176</v>
      </c>
      <c r="O19" s="127">
        <f>IF(P19=0,0,Q19/P19)</f>
        <v>14.333333333333334</v>
      </c>
      <c r="P19" s="121">
        <v>9</v>
      </c>
      <c r="Q19" s="109">
        <v>129</v>
      </c>
    </row>
    <row r="20" spans="1:17" x14ac:dyDescent="0.4">
      <c r="A20" s="55" t="s">
        <v>13</v>
      </c>
      <c r="B20" s="47">
        <v>37</v>
      </c>
      <c r="C20" s="39">
        <f>IF(B$3=0,0,B20/B$3)</f>
        <v>0.16299559471365638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>IF(P20=0,0,Q20/P20)</f>
        <v>-27.938461538461546</v>
      </c>
      <c r="P20" s="121">
        <v>13</v>
      </c>
      <c r="Q20" s="109">
        <v>-363.2000000000001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>IF(P21=0,0,Q21/P21)</f>
        <v>-38.46</v>
      </c>
      <c r="P21" s="121">
        <v>15</v>
      </c>
      <c r="Q21" s="109">
        <v>-576.9</v>
      </c>
    </row>
    <row r="22" spans="1:17" x14ac:dyDescent="0.4">
      <c r="A22" s="55" t="s">
        <v>197</v>
      </c>
      <c r="B22" s="47">
        <v>20</v>
      </c>
      <c r="C22" s="137">
        <v>2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8101.818181818182</v>
      </c>
      <c r="C23" s="41">
        <v>445600</v>
      </c>
      <c r="E23" s="63" t="s">
        <v>81</v>
      </c>
      <c r="F23" s="60" t="s">
        <v>35</v>
      </c>
      <c r="G23" s="47">
        <v>0</v>
      </c>
      <c r="H23" s="135">
        <f>IF(B$17=0,0,G23/B$17)</f>
        <v>0</v>
      </c>
      <c r="I23" s="96">
        <v>5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-7472.9729729729734</v>
      </c>
      <c r="C24" s="45">
        <v>-276500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4.4052863436123352E-3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>IF(B$17=0,0,G32/B$17)</f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15</v>
      </c>
      <c r="C2" s="149"/>
      <c r="E2" s="62" t="s">
        <v>74</v>
      </c>
      <c r="F2" s="59" t="s">
        <v>28</v>
      </c>
      <c r="G2" s="46">
        <v>33</v>
      </c>
      <c r="H2" s="134">
        <f>IF(B$17=0,0,G2/B$17)</f>
        <v>0.84615384615384615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-1153.3333333333333</v>
      </c>
      <c r="P2" s="120">
        <v>15</v>
      </c>
      <c r="Q2" s="104">
        <v>-17300</v>
      </c>
    </row>
    <row r="3" spans="1:17" x14ac:dyDescent="0.4">
      <c r="A3" s="55" t="s">
        <v>8</v>
      </c>
      <c r="B3" s="150">
        <v>119</v>
      </c>
      <c r="C3" s="151"/>
      <c r="E3" s="63" t="s">
        <v>68</v>
      </c>
      <c r="F3" s="60" t="s">
        <v>23</v>
      </c>
      <c r="G3" s="47">
        <v>26</v>
      </c>
      <c r="H3" s="135">
        <f>IF(B$17=0,0,G3/B$17)</f>
        <v>0.66666666666666663</v>
      </c>
      <c r="I3" s="96">
        <v>7</v>
      </c>
      <c r="K3" s="38">
        <v>1</v>
      </c>
      <c r="L3" s="101">
        <v>11.1</v>
      </c>
      <c r="N3" s="117" t="s">
        <v>135</v>
      </c>
      <c r="O3" s="124">
        <f t="shared" si="0"/>
        <v>-740</v>
      </c>
      <c r="P3" s="121">
        <v>15</v>
      </c>
      <c r="Q3" s="105">
        <v>-11100</v>
      </c>
    </row>
    <row r="4" spans="1:17" x14ac:dyDescent="0.4">
      <c r="A4" s="55" t="s">
        <v>6</v>
      </c>
      <c r="B4" s="152">
        <v>-80.3</v>
      </c>
      <c r="C4" s="153"/>
      <c r="E4" s="63" t="s">
        <v>184</v>
      </c>
      <c r="F4" s="60" t="s">
        <v>185</v>
      </c>
      <c r="G4" s="47">
        <v>14</v>
      </c>
      <c r="H4" s="135">
        <f>IF(B$17=0,0,G4/B$17)</f>
        <v>0.35897435897435898</v>
      </c>
      <c r="I4" s="96">
        <v>5</v>
      </c>
      <c r="K4" s="38">
        <v>2</v>
      </c>
      <c r="L4" s="101">
        <v>-7.7000000000000011</v>
      </c>
      <c r="N4" s="117" t="s">
        <v>136</v>
      </c>
      <c r="O4" s="124">
        <f t="shared" si="0"/>
        <v>-491.66666666666669</v>
      </c>
      <c r="P4" s="121">
        <v>12</v>
      </c>
      <c r="Q4" s="105">
        <v>-5900</v>
      </c>
    </row>
    <row r="5" spans="1:17" x14ac:dyDescent="0.4">
      <c r="A5" s="55" t="s">
        <v>7</v>
      </c>
      <c r="B5" s="154">
        <f>IF(B$2=0,0,B$4/B$2)</f>
        <v>-5.3533333333333335</v>
      </c>
      <c r="C5" s="155"/>
      <c r="E5" s="63" t="s">
        <v>66</v>
      </c>
      <c r="F5" s="60" t="s">
        <v>21</v>
      </c>
      <c r="G5" s="47">
        <v>13</v>
      </c>
      <c r="H5" s="135">
        <f>IF(B$17=0,0,G5/B$17)</f>
        <v>0.33333333333333331</v>
      </c>
      <c r="I5" s="96">
        <v>9</v>
      </c>
      <c r="K5" s="38">
        <v>3</v>
      </c>
      <c r="L5" s="101">
        <v>1.7999999999999989</v>
      </c>
      <c r="N5" s="117" t="s">
        <v>137</v>
      </c>
      <c r="O5" s="124">
        <f t="shared" si="0"/>
        <v>3018.181818181818</v>
      </c>
      <c r="P5" s="121">
        <v>11</v>
      </c>
      <c r="Q5" s="105">
        <v>33200</v>
      </c>
    </row>
    <row r="6" spans="1:17" x14ac:dyDescent="0.4">
      <c r="A6" s="55" t="s">
        <v>1</v>
      </c>
      <c r="B6" s="144">
        <f>IF(B$2=0,0,(B$7*1+B$8*2+B$9*3)/B$2)</f>
        <v>2.2000000000000002</v>
      </c>
      <c r="C6" s="145"/>
      <c r="E6" s="63" t="s">
        <v>69</v>
      </c>
      <c r="F6" s="60" t="s">
        <v>24</v>
      </c>
      <c r="G6" s="47">
        <v>9</v>
      </c>
      <c r="H6" s="135">
        <f>IF(B$17=0,0,G6/B$17)</f>
        <v>0.23076923076923078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-4709.090909090909</v>
      </c>
      <c r="P6" s="121">
        <v>11</v>
      </c>
      <c r="Q6" s="105">
        <v>-51800</v>
      </c>
    </row>
    <row r="7" spans="1:17" x14ac:dyDescent="0.4">
      <c r="A7" s="55" t="s">
        <v>2</v>
      </c>
      <c r="B7" s="47">
        <v>3</v>
      </c>
      <c r="C7" s="39">
        <f>IF(B$2=0,0,B7/B$2)</f>
        <v>0.2</v>
      </c>
      <c r="E7" s="63" t="s">
        <v>70</v>
      </c>
      <c r="F7" s="60" t="s">
        <v>12</v>
      </c>
      <c r="G7" s="47">
        <v>7</v>
      </c>
      <c r="H7" s="135">
        <f>IF(B$17=0,0,G7/B$17)</f>
        <v>0.17948717948717949</v>
      </c>
      <c r="I7" s="96">
        <v>8</v>
      </c>
      <c r="K7" s="38">
        <v>5</v>
      </c>
      <c r="L7" s="101">
        <v>29.4</v>
      </c>
      <c r="N7" s="118" t="s">
        <v>139</v>
      </c>
      <c r="O7" s="125">
        <f t="shared" si="0"/>
        <v>-1611.1111111111111</v>
      </c>
      <c r="P7" s="122">
        <v>9</v>
      </c>
      <c r="Q7" s="106">
        <v>-14500</v>
      </c>
    </row>
    <row r="8" spans="1:17" x14ac:dyDescent="0.4">
      <c r="A8" s="55" t="s">
        <v>3</v>
      </c>
      <c r="B8" s="47">
        <v>6</v>
      </c>
      <c r="C8" s="39">
        <f>IF(B$2=0,0,B8/B$2)</f>
        <v>0.4</v>
      </c>
      <c r="E8" s="63" t="s">
        <v>71</v>
      </c>
      <c r="F8" s="60" t="s">
        <v>25</v>
      </c>
      <c r="G8" s="47">
        <v>3</v>
      </c>
      <c r="H8" s="135">
        <f>IF(B$17=0,0,G8/B$17)</f>
        <v>7.6923076923076927E-2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0.4</v>
      </c>
      <c r="E9" s="63" t="s">
        <v>89</v>
      </c>
      <c r="F9" s="60" t="s">
        <v>43</v>
      </c>
      <c r="G9" s="47">
        <v>3</v>
      </c>
      <c r="H9" s="135">
        <f>IF(B$17=0,0,G9/B$17)</f>
        <v>7.6923076923076927E-2</v>
      </c>
      <c r="I9" s="96">
        <v>3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6.6666666666666666E-2</v>
      </c>
      <c r="E10" s="63" t="s">
        <v>92</v>
      </c>
      <c r="F10" s="60" t="s">
        <v>46</v>
      </c>
      <c r="G10" s="47">
        <v>3</v>
      </c>
      <c r="H10" s="135">
        <f>IF(B$17=0,0,G10/B$17)</f>
        <v>7.6923076923076927E-2</v>
      </c>
      <c r="I10" s="96">
        <v>9</v>
      </c>
      <c r="K10" s="38">
        <v>8</v>
      </c>
      <c r="L10" s="101">
        <v>-29.5</v>
      </c>
      <c r="N10" s="116" t="s">
        <v>167</v>
      </c>
      <c r="O10" s="126">
        <f>IF(P10=0,0,Q10/P10)</f>
        <v>-30.675000000000001</v>
      </c>
      <c r="P10" s="120">
        <v>4</v>
      </c>
      <c r="Q10" s="108">
        <v>-122.7</v>
      </c>
    </row>
    <row r="11" spans="1:17" x14ac:dyDescent="0.4">
      <c r="A11" s="56" t="s">
        <v>142</v>
      </c>
      <c r="B11" s="48">
        <v>1</v>
      </c>
      <c r="C11" s="40">
        <f>IF(B$2=0,0,B11/B$2)</f>
        <v>6.6666666666666666E-2</v>
      </c>
      <c r="E11" s="63" t="s">
        <v>67</v>
      </c>
      <c r="F11" s="60" t="s">
        <v>22</v>
      </c>
      <c r="G11" s="47">
        <v>2</v>
      </c>
      <c r="H11" s="135">
        <f>IF(B$17=0,0,G11/B$17)</f>
        <v>5.128205128205128E-2</v>
      </c>
      <c r="I11" s="96">
        <v>7</v>
      </c>
      <c r="K11" s="38">
        <v>9</v>
      </c>
      <c r="L11" s="101">
        <v>-56.5</v>
      </c>
      <c r="N11" s="117" t="s">
        <v>168</v>
      </c>
      <c r="O11" s="127">
        <f>IF(P11=0,0,Q11/P11)</f>
        <v>18.524999999999999</v>
      </c>
      <c r="P11" s="121">
        <v>4</v>
      </c>
      <c r="Q11" s="109">
        <v>74.099999999999994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81</v>
      </c>
      <c r="F12" s="60" t="s">
        <v>35</v>
      </c>
      <c r="G12" s="47">
        <v>2</v>
      </c>
      <c r="H12" s="135">
        <f>IF(B$17=0,0,G12/B$17)</f>
        <v>5.128205128205128E-2</v>
      </c>
      <c r="I12" s="96">
        <v>1</v>
      </c>
      <c r="K12" s="38">
        <v>10</v>
      </c>
      <c r="L12" s="101">
        <v>24.200000000000003</v>
      </c>
      <c r="N12" s="118" t="s">
        <v>169</v>
      </c>
      <c r="O12" s="128">
        <f>IF(P12=0,0,Q12/P12)</f>
        <v>-4.5285714285714276</v>
      </c>
      <c r="P12" s="122">
        <v>7</v>
      </c>
      <c r="Q12" s="110">
        <v>-31.699999999999996</v>
      </c>
    </row>
    <row r="13" spans="1:17" x14ac:dyDescent="0.4">
      <c r="A13" s="58" t="s">
        <v>124</v>
      </c>
      <c r="B13" s="50">
        <v>24</v>
      </c>
      <c r="C13" s="44">
        <f>IF(B$3=0,0,B13/B$3)</f>
        <v>0.20168067226890757</v>
      </c>
      <c r="E13" s="63" t="s">
        <v>84</v>
      </c>
      <c r="F13" s="60" t="s">
        <v>38</v>
      </c>
      <c r="G13" s="47">
        <v>2</v>
      </c>
      <c r="H13" s="135">
        <f>IF(B$17=0,0,G13/B$17)</f>
        <v>5.128205128205128E-2</v>
      </c>
      <c r="I13" s="96">
        <v>2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0.36974789915966388</v>
      </c>
      <c r="E14" s="63" t="s">
        <v>72</v>
      </c>
      <c r="F14" s="60" t="s">
        <v>26</v>
      </c>
      <c r="G14" s="47">
        <v>1</v>
      </c>
      <c r="H14" s="135">
        <f>IF(B$17=0,0,G14/B$17)</f>
        <v>2.564102564102564E-2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15</v>
      </c>
      <c r="C15" s="37">
        <f>IF(B$13=0,0,B15/B$13)</f>
        <v>0.625</v>
      </c>
      <c r="E15" s="63" t="s">
        <v>80</v>
      </c>
      <c r="F15" s="60" t="s">
        <v>34</v>
      </c>
      <c r="G15" s="47">
        <v>1</v>
      </c>
      <c r="H15" s="135">
        <f>IF(B$17=0,0,G15/B$17)</f>
        <v>2.564102564102564E-2</v>
      </c>
      <c r="I15" s="96">
        <v>3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18</v>
      </c>
      <c r="C16" s="37">
        <f>IF(B$14=0,0,B16/B$14)</f>
        <v>0.40909090909090912</v>
      </c>
      <c r="E16" s="63" t="s">
        <v>86</v>
      </c>
      <c r="F16" s="60" t="s">
        <v>40</v>
      </c>
      <c r="G16" s="47">
        <v>1</v>
      </c>
      <c r="H16" s="135">
        <f>IF(B$17=0,0,G16/B$17)</f>
        <v>2.564102564102564E-2</v>
      </c>
      <c r="I16" s="96">
        <v>8</v>
      </c>
      <c r="K16" s="38">
        <v>14</v>
      </c>
      <c r="L16" s="101">
        <v>-12.3</v>
      </c>
      <c r="N16" s="117" t="s">
        <v>131</v>
      </c>
      <c r="O16" s="127">
        <f>IF(P16=0,0,Q16/P16)</f>
        <v>90.5</v>
      </c>
      <c r="P16" s="121">
        <v>3</v>
      </c>
      <c r="Q16" s="109">
        <v>271.5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0.32773109243697479</v>
      </c>
      <c r="E17" s="63" t="s">
        <v>73</v>
      </c>
      <c r="F17" s="60" t="s">
        <v>27</v>
      </c>
      <c r="G17" s="47">
        <v>0</v>
      </c>
      <c r="H17" s="135">
        <f>IF(B$17=0,0,G17/B$17)</f>
        <v>0</v>
      </c>
      <c r="I17" s="96">
        <v>8</v>
      </c>
      <c r="K17" s="38">
        <v>15</v>
      </c>
      <c r="L17" s="101">
        <v>-80.3</v>
      </c>
      <c r="N17" s="117" t="s">
        <v>176</v>
      </c>
      <c r="O17" s="127">
        <f>IF(P17=0,0,Q17/P17)</f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14</v>
      </c>
      <c r="C18" s="39">
        <f>IF(B$17=0,0,B18/B$17)</f>
        <v>0.35897435897435898</v>
      </c>
      <c r="E18" s="63" t="s">
        <v>75</v>
      </c>
      <c r="F18" s="60" t="s">
        <v>29</v>
      </c>
      <c r="G18" s="47">
        <v>0</v>
      </c>
      <c r="H18" s="135">
        <f>IF(B$17=0,0,G18/B$17)</f>
        <v>0</v>
      </c>
      <c r="I18" s="96">
        <v>4</v>
      </c>
      <c r="N18" s="117" t="s">
        <v>130</v>
      </c>
      <c r="O18" s="127">
        <f>IF(P18=0,0,Q18/P18)</f>
        <v>-11.371428571428577</v>
      </c>
      <c r="P18" s="121">
        <v>7</v>
      </c>
      <c r="Q18" s="109">
        <v>-79.600000000000037</v>
      </c>
    </row>
    <row r="19" spans="1:17" x14ac:dyDescent="0.4">
      <c r="A19" s="55" t="s">
        <v>11</v>
      </c>
      <c r="B19" s="47">
        <v>25</v>
      </c>
      <c r="C19" s="39">
        <f>IF(B$17=0,0,B19/B$17)</f>
        <v>0.64102564102564108</v>
      </c>
      <c r="E19" s="63" t="s">
        <v>76</v>
      </c>
      <c r="F19" s="60" t="s">
        <v>30</v>
      </c>
      <c r="G19" s="47">
        <v>0</v>
      </c>
      <c r="H19" s="135">
        <f>IF(B$17=0,0,G19/B$17)</f>
        <v>0</v>
      </c>
      <c r="I19" s="96">
        <v>3</v>
      </c>
      <c r="N19" s="117" t="s">
        <v>174</v>
      </c>
      <c r="O19" s="127">
        <f>IF(P19=0,0,Q19/P19)</f>
        <v>-16.075000000000003</v>
      </c>
      <c r="P19" s="121">
        <v>8</v>
      </c>
      <c r="Q19" s="109">
        <v>-128.60000000000002</v>
      </c>
    </row>
    <row r="20" spans="1:17" x14ac:dyDescent="0.4">
      <c r="A20" s="55" t="s">
        <v>13</v>
      </c>
      <c r="B20" s="47">
        <v>19</v>
      </c>
      <c r="C20" s="39">
        <f>IF(B$3=0,0,B20/B$3)</f>
        <v>0.15966386554621848</v>
      </c>
      <c r="E20" s="63" t="s">
        <v>77</v>
      </c>
      <c r="F20" s="60" t="s">
        <v>31</v>
      </c>
      <c r="G20" s="47">
        <v>0</v>
      </c>
      <c r="H20" s="135">
        <f>IF(B$17=0,0,G20/B$17)</f>
        <v>0</v>
      </c>
      <c r="I20" s="96">
        <v>6</v>
      </c>
      <c r="N20" s="117" t="s">
        <v>129</v>
      </c>
      <c r="O20" s="127">
        <f>IF(P20=0,0,Q20/P20)</f>
        <v>-50.211111111111109</v>
      </c>
      <c r="P20" s="121">
        <v>9</v>
      </c>
      <c r="Q20" s="109">
        <v>-451.9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0</v>
      </c>
      <c r="E22" s="63" t="s">
        <v>79</v>
      </c>
      <c r="F22" s="60" t="s">
        <v>33</v>
      </c>
      <c r="G22" s="47">
        <v>0</v>
      </c>
      <c r="H22" s="135">
        <f>IF(B$17=0,0,G22/B$17)</f>
        <v>0</v>
      </c>
      <c r="I22" s="96">
        <v>3</v>
      </c>
    </row>
    <row r="23" spans="1:17" x14ac:dyDescent="0.4">
      <c r="A23" s="55" t="s">
        <v>5</v>
      </c>
      <c r="B23" s="51">
        <f>IF(B$17=0,0,C23/B$17)</f>
        <v>6382.0512820512822</v>
      </c>
      <c r="C23" s="41">
        <v>248900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-8494.7368421052633</v>
      </c>
      <c r="C24" s="45">
        <v>-161400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</v>
      </c>
      <c r="C2" s="149"/>
      <c r="E2" s="62" t="s">
        <v>68</v>
      </c>
      <c r="F2" s="59" t="s">
        <v>23</v>
      </c>
      <c r="G2" s="46">
        <v>27</v>
      </c>
      <c r="H2" s="134">
        <f>IF(B$17=0,0,G2/B$17)</f>
        <v>0.77142857142857146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-3700</v>
      </c>
      <c r="P2" s="120">
        <v>14</v>
      </c>
      <c r="Q2" s="104">
        <v>-51800</v>
      </c>
    </row>
    <row r="3" spans="1:17" x14ac:dyDescent="0.4">
      <c r="A3" s="55" t="s">
        <v>8</v>
      </c>
      <c r="B3" s="150">
        <v>126</v>
      </c>
      <c r="C3" s="151"/>
      <c r="E3" s="63" t="s">
        <v>74</v>
      </c>
      <c r="F3" s="60" t="s">
        <v>28</v>
      </c>
      <c r="G3" s="47">
        <v>16</v>
      </c>
      <c r="H3" s="135">
        <f>IF(B$17=0,0,G3/B$17)</f>
        <v>0.45714285714285713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-4442.8571428571431</v>
      </c>
      <c r="P3" s="121">
        <v>14</v>
      </c>
      <c r="Q3" s="105">
        <v>-62200</v>
      </c>
    </row>
    <row r="4" spans="1:17" x14ac:dyDescent="0.4">
      <c r="A4" s="55" t="s">
        <v>6</v>
      </c>
      <c r="B4" s="152">
        <v>-269.99999999999994</v>
      </c>
      <c r="C4" s="153"/>
      <c r="E4" s="63" t="s">
        <v>70</v>
      </c>
      <c r="F4" s="60" t="s">
        <v>12</v>
      </c>
      <c r="G4" s="47">
        <v>13</v>
      </c>
      <c r="H4" s="135">
        <f>IF(B$17=0,0,G4/B$17)</f>
        <v>0.37142857142857144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141.66666666666666</v>
      </c>
      <c r="P4" s="121">
        <v>12</v>
      </c>
      <c r="Q4" s="105">
        <v>1700</v>
      </c>
    </row>
    <row r="5" spans="1:17" x14ac:dyDescent="0.4">
      <c r="A5" s="55" t="s">
        <v>7</v>
      </c>
      <c r="B5" s="154">
        <f>IF(B$2=0,0,B$4/B$2)</f>
        <v>-19.285714285714281</v>
      </c>
      <c r="C5" s="155"/>
      <c r="E5" s="63" t="s">
        <v>66</v>
      </c>
      <c r="F5" s="60" t="s">
        <v>21</v>
      </c>
      <c r="G5" s="47">
        <v>11</v>
      </c>
      <c r="H5" s="135">
        <f>IF(B$17=0,0,G5/B$17)</f>
        <v>0.31428571428571428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0"/>
        <v>-5663.636363636364</v>
      </c>
      <c r="P5" s="121">
        <v>11</v>
      </c>
      <c r="Q5" s="105">
        <v>-62300</v>
      </c>
    </row>
    <row r="6" spans="1:17" x14ac:dyDescent="0.4">
      <c r="A6" s="55" t="s">
        <v>1</v>
      </c>
      <c r="B6" s="144">
        <f>IF(B$2=0,0,(B$7*1+B$8*2+B$9*3)/B$2)</f>
        <v>2.2857142857142856</v>
      </c>
      <c r="C6" s="145"/>
      <c r="E6" s="63" t="s">
        <v>184</v>
      </c>
      <c r="F6" s="60" t="s">
        <v>185</v>
      </c>
      <c r="G6" s="47">
        <v>7</v>
      </c>
      <c r="H6" s="135">
        <f>IF(B$17=0,0,G6/B$17)</f>
        <v>0.2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-3510</v>
      </c>
      <c r="P6" s="121">
        <v>10</v>
      </c>
      <c r="Q6" s="105">
        <v>-35100</v>
      </c>
    </row>
    <row r="7" spans="1:17" x14ac:dyDescent="0.4">
      <c r="A7" s="55" t="s">
        <v>2</v>
      </c>
      <c r="B7" s="47">
        <v>2</v>
      </c>
      <c r="C7" s="39">
        <f>IF(B$2=0,0,B7/B$2)</f>
        <v>0.14285714285714285</v>
      </c>
      <c r="E7" s="63" t="s">
        <v>92</v>
      </c>
      <c r="F7" s="60" t="s">
        <v>46</v>
      </c>
      <c r="G7" s="47">
        <v>6</v>
      </c>
      <c r="H7" s="135">
        <f>IF(B$17=0,0,G7/B$17)</f>
        <v>0.17142857142857143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0"/>
        <v>2188.8888888888887</v>
      </c>
      <c r="P7" s="122">
        <v>9</v>
      </c>
      <c r="Q7" s="106">
        <v>19700</v>
      </c>
    </row>
    <row r="8" spans="1:17" x14ac:dyDescent="0.4">
      <c r="A8" s="55" t="s">
        <v>3</v>
      </c>
      <c r="B8" s="47">
        <v>6</v>
      </c>
      <c r="C8" s="39">
        <f>IF(B$2=0,0,B8/B$2)</f>
        <v>0.42857142857142855</v>
      </c>
      <c r="E8" s="63" t="s">
        <v>69</v>
      </c>
      <c r="F8" s="60" t="s">
        <v>24</v>
      </c>
      <c r="G8" s="47">
        <v>4</v>
      </c>
      <c r="H8" s="135">
        <f>IF(B$17=0,0,G8/B$17)</f>
        <v>0.11428571428571428</v>
      </c>
      <c r="I8" s="96">
        <v>9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0.42857142857142855</v>
      </c>
      <c r="E9" s="63" t="s">
        <v>71</v>
      </c>
      <c r="F9" s="60" t="s">
        <v>25</v>
      </c>
      <c r="G9" s="47">
        <v>4</v>
      </c>
      <c r="H9" s="135">
        <f>IF(B$17=0,0,G9/B$17)</f>
        <v>0.11428571428571428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72</v>
      </c>
      <c r="F10" s="60" t="s">
        <v>26</v>
      </c>
      <c r="G10" s="47">
        <v>4</v>
      </c>
      <c r="H10" s="135">
        <f>IF(B$17=0,0,G10/B$17)</f>
        <v>0.11428571428571428</v>
      </c>
      <c r="I10" s="96">
        <v>3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3</v>
      </c>
      <c r="H11" s="135">
        <f>IF(B$17=0,0,G11/B$17)</f>
        <v>8.5714285714285715E-2</v>
      </c>
      <c r="I11" s="96">
        <v>4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1</v>
      </c>
      <c r="C12" s="42">
        <f>IF(B$2=0,0,B12/B$2)</f>
        <v>7.1428571428571425E-2</v>
      </c>
      <c r="E12" s="63" t="s">
        <v>86</v>
      </c>
      <c r="F12" s="60" t="s">
        <v>40</v>
      </c>
      <c r="G12" s="47">
        <v>2</v>
      </c>
      <c r="H12" s="135">
        <f>IF(B$17=0,0,G12/B$17)</f>
        <v>5.7142857142857141E-2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23</v>
      </c>
      <c r="C13" s="44">
        <f>IF(B$3=0,0,B13/B$3)</f>
        <v>0.18253968253968253</v>
      </c>
      <c r="E13" s="63" t="s">
        <v>81</v>
      </c>
      <c r="F13" s="60" t="s">
        <v>35</v>
      </c>
      <c r="G13" s="47">
        <v>1</v>
      </c>
      <c r="H13" s="135">
        <f>IF(B$17=0,0,G13/B$17)</f>
        <v>2.8571428571428571E-2</v>
      </c>
      <c r="I13" s="96">
        <v>2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30</v>
      </c>
      <c r="C14" s="39">
        <f>IF(B$3=0,0,B14/B$3)</f>
        <v>0.23809523809523808</v>
      </c>
      <c r="E14" s="63" t="s">
        <v>89</v>
      </c>
      <c r="F14" s="60" t="s">
        <v>43</v>
      </c>
      <c r="G14" s="47">
        <v>1</v>
      </c>
      <c r="H14" s="135">
        <f>IF(B$17=0,0,G14/B$17)</f>
        <v>2.8571428571428571E-2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11</v>
      </c>
      <c r="C15" s="37">
        <f>IF(B$13=0,0,B15/B$13)</f>
        <v>0.47826086956521741</v>
      </c>
      <c r="E15" s="63" t="s">
        <v>67</v>
      </c>
      <c r="F15" s="60" t="s">
        <v>22</v>
      </c>
      <c r="G15" s="47">
        <v>0</v>
      </c>
      <c r="H15" s="135">
        <f>IF(B$17=0,0,G15/B$17)</f>
        <v>0</v>
      </c>
      <c r="I15" s="96">
        <v>8</v>
      </c>
      <c r="K15" s="38">
        <v>13</v>
      </c>
      <c r="L15" s="101">
        <v>-302.59999999999997</v>
      </c>
      <c r="N15" s="116" t="s">
        <v>131</v>
      </c>
      <c r="O15" s="126">
        <f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0.27777777777777779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N17" s="117" t="s">
        <v>174</v>
      </c>
      <c r="O17" s="127">
        <f>IF(P17=0,0,Q17/P17)</f>
        <v>-14.333333333333334</v>
      </c>
      <c r="P17" s="121">
        <v>9</v>
      </c>
      <c r="Q17" s="109">
        <v>-129</v>
      </c>
    </row>
    <row r="18" spans="1:17" x14ac:dyDescent="0.4">
      <c r="A18" s="55" t="s">
        <v>12</v>
      </c>
      <c r="B18" s="47">
        <v>18</v>
      </c>
      <c r="C18" s="39">
        <f>IF(B$17=0,0,B18/B$17)</f>
        <v>0.51428571428571423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N18" s="117" t="s">
        <v>180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17</v>
      </c>
      <c r="C19" s="39">
        <f>IF(B$17=0,0,B19/B$17)</f>
        <v>0.48571428571428571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130</v>
      </c>
      <c r="O19" s="127">
        <f>IF(P19=0,0,Q19/P19)</f>
        <v>-26.471428571428568</v>
      </c>
      <c r="P19" s="121">
        <v>7</v>
      </c>
      <c r="Q19" s="109">
        <v>-185.29999999999998</v>
      </c>
    </row>
    <row r="20" spans="1:17" x14ac:dyDescent="0.4">
      <c r="A20" s="55" t="s">
        <v>13</v>
      </c>
      <c r="B20" s="47">
        <v>30</v>
      </c>
      <c r="C20" s="39">
        <f>IF(B$3=0,0,B20/B$3)</f>
        <v>0.23809523809523808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2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-110.49999999999999</v>
      </c>
      <c r="P21" s="121">
        <v>4</v>
      </c>
      <c r="Q21" s="109">
        <v>-441.99999999999994</v>
      </c>
    </row>
    <row r="22" spans="1:17" x14ac:dyDescent="0.4">
      <c r="A22" s="55" t="s">
        <v>197</v>
      </c>
      <c r="B22" s="47">
        <v>11</v>
      </c>
      <c r="C22" s="137">
        <v>5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5451.4285714285716</v>
      </c>
      <c r="C23" s="41">
        <v>190800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-8170</v>
      </c>
      <c r="C24" s="45">
        <v>-245100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7.9365079365079361E-3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8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2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5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8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2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2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9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2019-04-13T17:25:53Z</dcterms:modified>
</cp:coreProperties>
</file>