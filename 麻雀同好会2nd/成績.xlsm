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1CEC809-C32E-4BF3-A952-EB412159071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10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7" i="5455"/>
  <c r="O25" i="5453"/>
  <c r="H18" i="5477" l="1"/>
  <c r="H3" i="5477"/>
  <c r="H4" i="5477"/>
  <c r="H13" i="5477"/>
  <c r="H12" i="5477"/>
  <c r="H8" i="5477"/>
  <c r="H41" i="5477"/>
  <c r="B23" i="5477"/>
  <c r="H29" i="5477"/>
  <c r="H45" i="5477"/>
  <c r="H11" i="5477"/>
  <c r="H6" i="5477"/>
  <c r="H15" i="5477"/>
  <c r="C17" i="5477"/>
  <c r="H33" i="5477"/>
  <c r="H49" i="5477"/>
  <c r="H5" i="5477"/>
  <c r="H2" i="5477"/>
  <c r="H17" i="5477"/>
  <c r="C18" i="5477"/>
  <c r="H27" i="5477"/>
  <c r="H37" i="5477"/>
  <c r="H52" i="5477"/>
  <c r="H21" i="5477"/>
  <c r="H23" i="5477"/>
  <c r="H25" i="5477"/>
  <c r="H28" i="5477"/>
  <c r="H30" i="5477"/>
  <c r="H34" i="5477"/>
  <c r="H38" i="5477"/>
  <c r="H42" i="5477"/>
  <c r="H46" i="5477"/>
  <c r="H50" i="5477"/>
  <c r="H19" i="5477"/>
  <c r="C19" i="5477"/>
  <c r="H9" i="5477"/>
  <c r="H31" i="5477"/>
  <c r="H35" i="5477"/>
  <c r="H39" i="5477"/>
  <c r="H43" i="5477"/>
  <c r="H47" i="5477"/>
  <c r="H51" i="5477"/>
  <c r="H14" i="5477"/>
  <c r="H16" i="5477"/>
  <c r="H20" i="5477"/>
  <c r="H22" i="5477"/>
  <c r="H24" i="5477"/>
  <c r="H26" i="5477"/>
  <c r="H7" i="5477"/>
  <c r="H32" i="5477"/>
  <c r="H36" i="5477"/>
  <c r="H40" i="5477"/>
  <c r="H44" i="5477"/>
  <c r="H48" i="5477"/>
  <c r="H16" i="5475"/>
  <c r="H10" i="5475"/>
  <c r="B23" i="5475"/>
  <c r="H26" i="5475"/>
  <c r="H4" i="5475"/>
  <c r="C17" i="5475"/>
  <c r="H2" i="5475"/>
  <c r="H13" i="5475"/>
  <c r="C18" i="5475"/>
  <c r="H3" i="5475"/>
  <c r="H12" i="5475"/>
  <c r="H18" i="5475"/>
  <c r="H21" i="5475"/>
  <c r="H27" i="5475"/>
  <c r="H34" i="5475"/>
  <c r="H46" i="5475"/>
  <c r="H15" i="5475"/>
  <c r="H17" i="5475"/>
  <c r="C19" i="5475"/>
  <c r="H22" i="5475"/>
  <c r="H31" i="5475"/>
  <c r="H35" i="5475"/>
  <c r="H39" i="5475"/>
  <c r="H43" i="5475"/>
  <c r="H47" i="5475"/>
  <c r="H51" i="5475"/>
  <c r="H20" i="5475"/>
  <c r="H24" i="5475"/>
  <c r="H30" i="5475"/>
  <c r="H38" i="5475"/>
  <c r="H42" i="5475"/>
  <c r="H50" i="5475"/>
  <c r="H9" i="5475"/>
  <c r="H8" i="5475"/>
  <c r="H5" i="5475"/>
  <c r="H11" i="5475"/>
  <c r="H14" i="5475"/>
  <c r="H19" i="5475"/>
  <c r="H6" i="5475"/>
  <c r="H23" i="5475"/>
  <c r="H25" i="5475"/>
  <c r="H28" i="5475"/>
  <c r="H32" i="5475"/>
  <c r="H36" i="5475"/>
  <c r="H40" i="5475"/>
  <c r="H44" i="5475"/>
  <c r="H48" i="5475"/>
  <c r="H7" i="5475"/>
  <c r="H29" i="5475"/>
  <c r="H33" i="5475"/>
  <c r="H37" i="5475"/>
  <c r="H41" i="5475"/>
  <c r="H45" i="5475"/>
  <c r="H49" i="5475"/>
  <c r="O17" i="5463" l="1"/>
  <c r="O16" i="5471"/>
  <c r="O20" i="5473" l="1"/>
  <c r="O18" i="5473"/>
  <c r="O15" i="5467"/>
  <c r="O20" i="5457"/>
  <c r="O24" i="5455" l="1"/>
  <c r="O16" i="5473"/>
  <c r="O21" i="5465"/>
  <c r="O15" i="5473"/>
  <c r="O17" i="5473" l="1"/>
  <c r="O19" i="5473"/>
  <c r="C27" i="5473"/>
  <c r="B24" i="5473"/>
  <c r="C20" i="5473"/>
  <c r="B17" i="5473"/>
  <c r="H7" i="5473" s="1"/>
  <c r="C16" i="5473"/>
  <c r="C15" i="5473"/>
  <c r="C14" i="5473"/>
  <c r="C13" i="5473"/>
  <c r="O12" i="5473"/>
  <c r="C12" i="5473"/>
  <c r="O11" i="5473"/>
  <c r="H16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H4" i="5473"/>
  <c r="O3" i="5473"/>
  <c r="O2" i="5473"/>
  <c r="H3" i="5473"/>
  <c r="O21" i="5461"/>
  <c r="O18" i="5463"/>
  <c r="O19" i="5453"/>
  <c r="H2" i="5473" l="1"/>
  <c r="H10" i="5473"/>
  <c r="H14" i="5473"/>
  <c r="H19" i="5473"/>
  <c r="H5" i="5473"/>
  <c r="C19" i="5473"/>
  <c r="H31" i="5473"/>
  <c r="H39" i="5473"/>
  <c r="H47" i="5473"/>
  <c r="H27" i="5473"/>
  <c r="H49" i="5473"/>
  <c r="H33" i="5473"/>
  <c r="H8" i="5473"/>
  <c r="H20" i="5473"/>
  <c r="H43" i="5473"/>
  <c r="H51" i="5473"/>
  <c r="H41" i="5473"/>
  <c r="H18" i="5473"/>
  <c r="C17" i="5473"/>
  <c r="H13" i="5473"/>
  <c r="H35" i="5473"/>
  <c r="H12" i="5473"/>
  <c r="H6" i="5473"/>
  <c r="H15" i="5473"/>
  <c r="H17" i="5473"/>
  <c r="C18" i="5473"/>
  <c r="B23" i="5473"/>
  <c r="H29" i="5473"/>
  <c r="H37" i="5473"/>
  <c r="H45" i="5473"/>
  <c r="H52" i="5473"/>
  <c r="H22" i="5473"/>
  <c r="H24" i="5473"/>
  <c r="H26" i="5473"/>
  <c r="H28" i="5473"/>
  <c r="H30" i="5473"/>
  <c r="H34" i="5473"/>
  <c r="H38" i="5473"/>
  <c r="H42" i="5473"/>
  <c r="H46" i="5473"/>
  <c r="H50" i="5473"/>
  <c r="H21" i="5473"/>
  <c r="H23" i="5473"/>
  <c r="H25" i="5473"/>
  <c r="H11" i="5473"/>
  <c r="H9" i="5473"/>
  <c r="H32" i="5473"/>
  <c r="H36" i="5473"/>
  <c r="H40" i="5473"/>
  <c r="H44" i="5473"/>
  <c r="H48" i="5473"/>
  <c r="O20" i="5463" l="1"/>
  <c r="O16" i="5459"/>
  <c r="O21" i="5467"/>
  <c r="O20" i="5467"/>
  <c r="O21" i="5455" l="1"/>
  <c r="O17" i="5471"/>
  <c r="O20" i="5471" l="1"/>
  <c r="O15" i="5471"/>
  <c r="O16" i="5461"/>
  <c r="O22" i="5459"/>
  <c r="O17" i="5469" l="1"/>
  <c r="O22" i="5465"/>
  <c r="O15" i="5469"/>
  <c r="O21" i="5471"/>
  <c r="O15" i="5457"/>
  <c r="O17" i="5467"/>
  <c r="O17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7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16" i="5455"/>
  <c r="O26" i="5453"/>
  <c r="H8" i="5469" l="1"/>
  <c r="H19" i="5469"/>
  <c r="H29" i="5469"/>
  <c r="H12" i="5469"/>
  <c r="B23" i="5469"/>
  <c r="H45" i="5469"/>
  <c r="H5" i="5469"/>
  <c r="H15" i="5469"/>
  <c r="H17" i="5469"/>
  <c r="H33" i="5469"/>
  <c r="H10" i="5469"/>
  <c r="H14" i="5469"/>
  <c r="C18" i="5469"/>
  <c r="H2" i="5469"/>
  <c r="C19" i="5469"/>
  <c r="H49" i="5469"/>
  <c r="H27" i="5469"/>
  <c r="H37" i="5469"/>
  <c r="H52" i="5469"/>
  <c r="H3" i="5469"/>
  <c r="H13" i="5469"/>
  <c r="H4" i="5469"/>
  <c r="H9" i="5469"/>
  <c r="H16" i="5469"/>
  <c r="H18" i="5469"/>
  <c r="C17" i="5469"/>
  <c r="H24" i="5469"/>
  <c r="H41" i="5469"/>
  <c r="H4" i="5471"/>
  <c r="H16" i="5471"/>
  <c r="C17" i="5471"/>
  <c r="H11" i="5471"/>
  <c r="H2" i="5471"/>
  <c r="H10" i="5471"/>
  <c r="H3" i="5471"/>
  <c r="H14" i="5471"/>
  <c r="C18" i="5471"/>
  <c r="H8" i="5471"/>
  <c r="H20" i="5471"/>
  <c r="H5" i="5471"/>
  <c r="H12" i="5471"/>
  <c r="H18" i="5471"/>
  <c r="H7" i="5471"/>
  <c r="H15" i="5471"/>
  <c r="H19" i="5471"/>
  <c r="H21" i="5471"/>
  <c r="C19" i="5471"/>
  <c r="H22" i="5471"/>
  <c r="H23" i="5471"/>
  <c r="H25" i="5471"/>
  <c r="H28" i="5471"/>
  <c r="H30" i="5471"/>
  <c r="H34" i="5471"/>
  <c r="H38" i="5471"/>
  <c r="H42" i="5471"/>
  <c r="H46" i="5471"/>
  <c r="H50" i="5471"/>
  <c r="H31" i="5471"/>
  <c r="H35" i="5471"/>
  <c r="H39" i="5471"/>
  <c r="H43" i="5471"/>
  <c r="H47" i="5471"/>
  <c r="H51" i="5471"/>
  <c r="H13" i="5471"/>
  <c r="H17" i="5471"/>
  <c r="H24" i="5471"/>
  <c r="H26" i="5471"/>
  <c r="H9" i="5471"/>
  <c r="H32" i="5471"/>
  <c r="H36" i="5471"/>
  <c r="H40" i="5471"/>
  <c r="H44" i="5471"/>
  <c r="H48" i="5471"/>
  <c r="H6" i="5471"/>
  <c r="B23" i="5471"/>
  <c r="H27" i="5471"/>
  <c r="H29" i="5471"/>
  <c r="H33" i="5471"/>
  <c r="H37" i="5471"/>
  <c r="H41" i="5471"/>
  <c r="H45" i="5471"/>
  <c r="H49" i="5471"/>
  <c r="H21" i="5469"/>
  <c r="H23" i="5469"/>
  <c r="H26" i="5469"/>
  <c r="H28" i="5469"/>
  <c r="H30" i="5469"/>
  <c r="H34" i="5469"/>
  <c r="H38" i="5469"/>
  <c r="H42" i="5469"/>
  <c r="H46" i="5469"/>
  <c r="H50" i="5469"/>
  <c r="H31" i="5469"/>
  <c r="H35" i="5469"/>
  <c r="H39" i="5469"/>
  <c r="H43" i="5469"/>
  <c r="H47" i="5469"/>
  <c r="H51" i="5469"/>
  <c r="H20" i="5469"/>
  <c r="H22" i="5469"/>
  <c r="H25" i="5469"/>
  <c r="H11" i="5469"/>
  <c r="H6" i="5469"/>
  <c r="H32" i="5469"/>
  <c r="H36" i="5469"/>
  <c r="H40" i="5469"/>
  <c r="H44" i="5469"/>
  <c r="H48" i="5469"/>
  <c r="O19" i="5467" l="1"/>
  <c r="O18" i="5465"/>
  <c r="O16" i="5465"/>
  <c r="O17" i="5457"/>
  <c r="O19" i="5463" l="1"/>
  <c r="O17" i="5461"/>
  <c r="O17" i="5465"/>
  <c r="O19" i="5465"/>
  <c r="O15" i="5463" l="1"/>
  <c r="O15" i="5461"/>
  <c r="O21" i="5459"/>
  <c r="O20" i="5459"/>
  <c r="O16" i="5467"/>
  <c r="O18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2" i="5453"/>
  <c r="H11" i="5467" l="1"/>
  <c r="H2" i="5467"/>
  <c r="C17" i="5467"/>
  <c r="H3" i="5467"/>
  <c r="H4" i="5467"/>
  <c r="H28" i="5467"/>
  <c r="H29" i="5467"/>
  <c r="H19" i="5467"/>
  <c r="H32" i="5467"/>
  <c r="H15" i="5467"/>
  <c r="H35" i="5467"/>
  <c r="H39" i="5467"/>
  <c r="H42" i="5467"/>
  <c r="H46" i="5467"/>
  <c r="H50" i="5467"/>
  <c r="H8" i="5467"/>
  <c r="H21" i="5467"/>
  <c r="H27" i="5467"/>
  <c r="C19" i="5467"/>
  <c r="H14" i="5467"/>
  <c r="H23" i="5467"/>
  <c r="H36" i="5467"/>
  <c r="H40" i="5467"/>
  <c r="H43" i="5467"/>
  <c r="H47" i="5467"/>
  <c r="H51" i="5467"/>
  <c r="H9" i="5467"/>
  <c r="H7" i="5467"/>
  <c r="H12" i="5467"/>
  <c r="H20" i="5467"/>
  <c r="H18" i="5467"/>
  <c r="H16" i="5467"/>
  <c r="H30" i="5467"/>
  <c r="H17" i="5467"/>
  <c r="H10" i="5467"/>
  <c r="H33" i="5467"/>
  <c r="H37" i="5467"/>
  <c r="H24" i="5467"/>
  <c r="H44" i="5467"/>
  <c r="H48" i="5467"/>
  <c r="H5" i="5467"/>
  <c r="H6" i="5467"/>
  <c r="H25" i="5467"/>
  <c r="H26" i="5467"/>
  <c r="H13" i="5467"/>
  <c r="C18" i="5467"/>
  <c r="B23" i="5467"/>
  <c r="H31" i="5467"/>
  <c r="H22" i="5467"/>
  <c r="H34" i="5467"/>
  <c r="H38" i="5467"/>
  <c r="H41" i="5467"/>
  <c r="H45" i="5467"/>
  <c r="H49" i="5467"/>
  <c r="O18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8" i="5453"/>
  <c r="O21" i="5463"/>
  <c r="O19" i="5457"/>
  <c r="O18" i="5457"/>
  <c r="O19" i="5461"/>
  <c r="O22" i="5463"/>
  <c r="O23" i="5463"/>
  <c r="C27" i="5463"/>
  <c r="B24" i="5463"/>
  <c r="C20" i="5463"/>
  <c r="B17" i="5463"/>
  <c r="H51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18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9" i="5455"/>
  <c r="O23" i="5455"/>
  <c r="O21" i="5453"/>
  <c r="O23" i="5453"/>
  <c r="C17" i="5465" l="1"/>
  <c r="H2" i="5465"/>
  <c r="H3" i="5465"/>
  <c r="H4" i="5465"/>
  <c r="H8" i="5465"/>
  <c r="H2" i="5463"/>
  <c r="H5" i="5463"/>
  <c r="H2" i="5461"/>
  <c r="H3" i="5461"/>
  <c r="H30" i="5465"/>
  <c r="H43" i="5465"/>
  <c r="H22" i="5465"/>
  <c r="H24" i="5465"/>
  <c r="C19" i="5465"/>
  <c r="H17" i="5465"/>
  <c r="H32" i="5465"/>
  <c r="H36" i="5465"/>
  <c r="H40" i="5465"/>
  <c r="H44" i="5465"/>
  <c r="H48" i="5465"/>
  <c r="H19" i="5465"/>
  <c r="H27" i="5465"/>
  <c r="H35" i="5465"/>
  <c r="H51" i="5465"/>
  <c r="H11" i="5465"/>
  <c r="H6" i="5465"/>
  <c r="H12" i="5465"/>
  <c r="H21" i="5465"/>
  <c r="H16" i="5465"/>
  <c r="H26" i="5465"/>
  <c r="H28" i="5465"/>
  <c r="H13" i="5465"/>
  <c r="H9" i="5465"/>
  <c r="H33" i="5465"/>
  <c r="H37" i="5465"/>
  <c r="H41" i="5465"/>
  <c r="H45" i="5465"/>
  <c r="H49" i="5465"/>
  <c r="H5" i="5465"/>
  <c r="H25" i="5465"/>
  <c r="H29" i="5465"/>
  <c r="H18" i="5465"/>
  <c r="H39" i="5465"/>
  <c r="H47" i="5465"/>
  <c r="H10" i="5465"/>
  <c r="H7" i="5465"/>
  <c r="H14" i="5465"/>
  <c r="H23" i="5465"/>
  <c r="H15" i="5465"/>
  <c r="C18" i="5465"/>
  <c r="B23" i="5465"/>
  <c r="H20" i="5465"/>
  <c r="H31" i="5465"/>
  <c r="H34" i="5465"/>
  <c r="H38" i="5465"/>
  <c r="H42" i="5465"/>
  <c r="H46" i="5465"/>
  <c r="H50" i="5465"/>
  <c r="H28" i="5463"/>
  <c r="C17" i="5463"/>
  <c r="H40" i="5463"/>
  <c r="H32" i="5463"/>
  <c r="H22" i="5463"/>
  <c r="H10" i="5463"/>
  <c r="H20" i="5463"/>
  <c r="H24" i="5463"/>
  <c r="H9" i="5463"/>
  <c r="H6" i="5463"/>
  <c r="H19" i="5463"/>
  <c r="H17" i="5463"/>
  <c r="H48" i="5463"/>
  <c r="H7" i="5463"/>
  <c r="H12" i="5463"/>
  <c r="H3" i="5463"/>
  <c r="H4" i="5461"/>
  <c r="H16" i="5463"/>
  <c r="C18" i="5463"/>
  <c r="B23" i="5463"/>
  <c r="H33" i="5463"/>
  <c r="H41" i="5463"/>
  <c r="H49" i="5463"/>
  <c r="H15" i="5463"/>
  <c r="H11" i="5463"/>
  <c r="H36" i="5463"/>
  <c r="H44" i="5463"/>
  <c r="H4" i="5463"/>
  <c r="H14" i="5463"/>
  <c r="H23" i="5463"/>
  <c r="H37" i="5463"/>
  <c r="H45" i="5463"/>
  <c r="H52" i="5463"/>
  <c r="H26" i="5463"/>
  <c r="H27" i="5463"/>
  <c r="H29" i="5463"/>
  <c r="H30" i="5463"/>
  <c r="H18" i="5463"/>
  <c r="H34" i="5463"/>
  <c r="H38" i="5463"/>
  <c r="H42" i="5463"/>
  <c r="H46" i="5463"/>
  <c r="H50" i="5463"/>
  <c r="H8" i="5463"/>
  <c r="H21" i="5463"/>
  <c r="H25" i="5463"/>
  <c r="C19" i="5463"/>
  <c r="H13" i="5463"/>
  <c r="H31" i="5463"/>
  <c r="H35" i="5463"/>
  <c r="H39" i="5463"/>
  <c r="H43" i="5463"/>
  <c r="H47" i="5463"/>
  <c r="H11" i="5461"/>
  <c r="H21" i="5461"/>
  <c r="H24" i="5461"/>
  <c r="H25" i="5461"/>
  <c r="H41" i="5461"/>
  <c r="H49" i="5461"/>
  <c r="H28" i="5461"/>
  <c r="H50" i="5461"/>
  <c r="C17" i="5461"/>
  <c r="H16" i="5461"/>
  <c r="H34" i="5461"/>
  <c r="H10" i="5461"/>
  <c r="H13" i="5461"/>
  <c r="H37" i="5461"/>
  <c r="H45" i="5461"/>
  <c r="H5" i="5461"/>
  <c r="C19" i="5461"/>
  <c r="H8" i="5461"/>
  <c r="H19" i="5461"/>
  <c r="B23" i="5461"/>
  <c r="H42" i="5461"/>
  <c r="H7" i="5461"/>
  <c r="H26" i="5461"/>
  <c r="H20" i="5461"/>
  <c r="H9" i="5461"/>
  <c r="H6" i="5461"/>
  <c r="H23" i="5461"/>
  <c r="H27" i="5461"/>
  <c r="H15" i="5461"/>
  <c r="C18" i="5461"/>
  <c r="H14" i="5461"/>
  <c r="H12" i="5461"/>
  <c r="H33" i="5461"/>
  <c r="H38" i="5461"/>
  <c r="H46" i="5461"/>
  <c r="H52" i="5461"/>
  <c r="H29" i="5461"/>
  <c r="H30" i="5461"/>
  <c r="H31" i="5461"/>
  <c r="H32" i="5461"/>
  <c r="H17" i="5461"/>
  <c r="H35" i="5461"/>
  <c r="H39" i="5461"/>
  <c r="H43" i="5461"/>
  <c r="H47" i="5461"/>
  <c r="H51" i="5461"/>
  <c r="H22" i="5461"/>
  <c r="H36" i="5461"/>
  <c r="H40" i="5461"/>
  <c r="H44" i="5461"/>
  <c r="H48" i="5461"/>
  <c r="O17" i="5459" l="1"/>
  <c r="O19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8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20" i="5453"/>
  <c r="C27" i="5453"/>
  <c r="B24" i="5453"/>
  <c r="C20" i="5453"/>
  <c r="B17" i="5453"/>
  <c r="H18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9" i="5457" l="1"/>
  <c r="H2" i="5457"/>
  <c r="H14" i="5457"/>
  <c r="H3" i="5457"/>
  <c r="H12" i="5459"/>
  <c r="H7" i="5459"/>
  <c r="H44" i="5459"/>
  <c r="H11" i="5459"/>
  <c r="H4" i="5459"/>
  <c r="H30" i="5459"/>
  <c r="H9" i="5459"/>
  <c r="C17" i="5459"/>
  <c r="H23" i="5455"/>
  <c r="H12" i="5455"/>
  <c r="H38" i="5455"/>
  <c r="H4" i="5455"/>
  <c r="H2" i="5455"/>
  <c r="H7" i="5455"/>
  <c r="H30" i="5455"/>
  <c r="B23" i="5455"/>
  <c r="H10" i="5455"/>
  <c r="H40" i="5459"/>
  <c r="H17" i="5459"/>
  <c r="H21" i="5459"/>
  <c r="H19" i="5459"/>
  <c r="H48" i="5459"/>
  <c r="H3" i="5459"/>
  <c r="H2" i="5459"/>
  <c r="H10" i="5459"/>
  <c r="H16" i="5459"/>
  <c r="H13" i="5459"/>
  <c r="H36" i="5459"/>
  <c r="H6" i="5459"/>
  <c r="H28" i="5459"/>
  <c r="H29" i="5459"/>
  <c r="H31" i="5459"/>
  <c r="H22" i="5459"/>
  <c r="H23" i="5459"/>
  <c r="H34" i="5459"/>
  <c r="H38" i="5459"/>
  <c r="H42" i="5459"/>
  <c r="H46" i="5459"/>
  <c r="H50" i="5459"/>
  <c r="H8" i="5459"/>
  <c r="H26" i="5459"/>
  <c r="H20" i="5459"/>
  <c r="C19" i="5459"/>
  <c r="H15" i="5459"/>
  <c r="H24" i="5459"/>
  <c r="H35" i="5459"/>
  <c r="H39" i="5459"/>
  <c r="H43" i="5459"/>
  <c r="H47" i="5459"/>
  <c r="H51" i="5459"/>
  <c r="H5" i="5459"/>
  <c r="H25" i="5459"/>
  <c r="H27" i="5459"/>
  <c r="H14" i="5459"/>
  <c r="C18" i="5459"/>
  <c r="B23" i="5459"/>
  <c r="H18" i="5459"/>
  <c r="H32" i="5459"/>
  <c r="H33" i="5459"/>
  <c r="H37" i="5459"/>
  <c r="H41" i="5459"/>
  <c r="H45" i="5459"/>
  <c r="H49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7" i="5457"/>
  <c r="H13" i="5457"/>
  <c r="H37" i="5457"/>
  <c r="H5" i="5457"/>
  <c r="H30" i="5457"/>
  <c r="H31" i="5457"/>
  <c r="H32" i="5457"/>
  <c r="H25" i="5457"/>
  <c r="H16" i="5457"/>
  <c r="H28" i="5457"/>
  <c r="H39" i="5457"/>
  <c r="H43" i="5457"/>
  <c r="H47" i="5457"/>
  <c r="H51" i="5457"/>
  <c r="H26" i="5457"/>
  <c r="H36" i="5457"/>
  <c r="H40" i="5457"/>
  <c r="H44" i="5457"/>
  <c r="H48" i="5457"/>
  <c r="H18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6" i="5453"/>
  <c r="H11" i="5453"/>
  <c r="H32" i="5453"/>
  <c r="H12" i="5453"/>
  <c r="H16" i="5453"/>
  <c r="H24" i="5453"/>
  <c r="H7" i="5453"/>
  <c r="H23" i="5453"/>
  <c r="C18" i="5453"/>
  <c r="H46" i="5455"/>
  <c r="H6" i="5455"/>
  <c r="H11" i="5455"/>
  <c r="H3" i="5455"/>
  <c r="C18" i="5455"/>
  <c r="H52" i="5455"/>
  <c r="H20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1" i="5455"/>
  <c r="C17" i="5455"/>
  <c r="H14" i="5455"/>
  <c r="H36" i="5455"/>
  <c r="H44" i="5455"/>
  <c r="H15" i="5455"/>
  <c r="H32" i="5455"/>
  <c r="H33" i="5455"/>
  <c r="H22" i="5455"/>
  <c r="H34" i="5455"/>
  <c r="H18" i="5455"/>
  <c r="H29" i="5455"/>
  <c r="H39" i="5455"/>
  <c r="H43" i="5455"/>
  <c r="H47" i="5455"/>
  <c r="H51" i="5455"/>
  <c r="H19" i="5455"/>
  <c r="H16" i="5455"/>
  <c r="H26" i="5455"/>
  <c r="H13" i="5455"/>
  <c r="H9" i="5455"/>
  <c r="H28" i="5455"/>
  <c r="H37" i="5455"/>
  <c r="H41" i="5455"/>
  <c r="H45" i="5455"/>
  <c r="H49" i="5455"/>
  <c r="H33" i="5453"/>
  <c r="H27" i="5453"/>
  <c r="H42" i="5453"/>
  <c r="H10" i="5453"/>
  <c r="H6" i="5453"/>
  <c r="H20" i="5453"/>
  <c r="H19" i="5453"/>
  <c r="B23" i="5453"/>
  <c r="H25" i="5453"/>
  <c r="H49" i="5453"/>
  <c r="H50" i="5453"/>
  <c r="H15" i="5453"/>
  <c r="H9" i="5453"/>
  <c r="H38" i="5453"/>
  <c r="H45" i="5453"/>
  <c r="H5" i="5453"/>
  <c r="C17" i="5453"/>
  <c r="H13" i="5453"/>
  <c r="H29" i="5453"/>
  <c r="H39" i="5453"/>
  <c r="H46" i="5453"/>
  <c r="H52" i="5453"/>
  <c r="H34" i="5453"/>
  <c r="H35" i="5453"/>
  <c r="H28" i="5453"/>
  <c r="H30" i="5453"/>
  <c r="H17" i="5453"/>
  <c r="H31" i="5453"/>
  <c r="H40" i="5453"/>
  <c r="H43" i="5453"/>
  <c r="H47" i="5453"/>
  <c r="H51" i="5453"/>
  <c r="H8" i="5453"/>
  <c r="H21" i="5453"/>
  <c r="H26" i="5453"/>
  <c r="C19" i="5453"/>
  <c r="H14" i="5453"/>
  <c r="H22" i="5453"/>
  <c r="H37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<sst xmlns="http://schemas.openxmlformats.org/spreadsheetml/2006/main" count="3278" uniqueCount="249">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</sst>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全体!$K$2:$K$611</c:f>
              <c:numCache>
                <c:formatCode>General</c:formatCode>
                <c:ptCount val="6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</c:numCache>
            </c:numRef>
          </c:xVal>
          <c:yVal>
            <c:numRef>
              <c:f>全体!$L$2:$L$611</c:f>
              <c:numCache>
                <c:formatCode>\+0.0;\-0.0;\±0</c:formatCode>
                <c:ptCount val="61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-13.136288998357964</c:v>
                </c:pt>
                <c:pt idx="1">
                  <c:v>-10.1010101010101</c:v>
                </c:pt>
                <c:pt idx="2">
                  <c:v>8.9126559714795004</c:v>
                </c:pt>
                <c:pt idx="3">
                  <c:v>11.695906432748538</c:v>
                </c:pt>
                <c:pt idx="4">
                  <c:v>-15.151515151515152</c:v>
                </c:pt>
                <c:pt idx="5">
                  <c:v>24.154589371980677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だいち!$L$2:$L$140</c:f>
              <c:numCache>
                <c:formatCode>\+0.0;\-0.0;\±0</c:formatCode>
                <c:ptCount val="13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1723.1884057971015</c:v>
                </c:pt>
                <c:pt idx="1">
                  <c:v>1202.9850746268658</c:v>
                </c:pt>
                <c:pt idx="2">
                  <c:v>1134.6456692913387</c:v>
                </c:pt>
                <c:pt idx="3">
                  <c:v>2609.4017094017095</c:v>
                </c:pt>
                <c:pt idx="4">
                  <c:v>355.33980582524271</c:v>
                </c:pt>
                <c:pt idx="5">
                  <c:v>664.44444444444446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ただ!$L$2:$L$80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-2541.0256410256411</c:v>
                </c:pt>
                <c:pt idx="1">
                  <c:v>-1084.2105263157894</c:v>
                </c:pt>
                <c:pt idx="2">
                  <c:v>-220.83333333333334</c:v>
                </c:pt>
                <c:pt idx="3">
                  <c:v>-4645.3125</c:v>
                </c:pt>
                <c:pt idx="4">
                  <c:v>-1567.2413793103449</c:v>
                </c:pt>
                <c:pt idx="5">
                  <c:v>-1477.3584905660377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-372.94117647058823</c:v>
                </c:pt>
                <c:pt idx="1">
                  <c:v>791.56626506024099</c:v>
                </c:pt>
                <c:pt idx="2">
                  <c:v>1650.6493506493507</c:v>
                </c:pt>
                <c:pt idx="3">
                  <c:v>1331.3432835820895</c:v>
                </c:pt>
                <c:pt idx="4">
                  <c:v>-522.03389830508479</c:v>
                </c:pt>
                <c:pt idx="5">
                  <c:v>-285.18518518518516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704.3478260869565</c:v>
                </c:pt>
                <c:pt idx="1">
                  <c:v>-755.07246376811599</c:v>
                </c:pt>
                <c:pt idx="2">
                  <c:v>-1608.0645161290322</c:v>
                </c:pt>
                <c:pt idx="3">
                  <c:v>715.25423728813564</c:v>
                </c:pt>
                <c:pt idx="4">
                  <c:v>943.85964912280701</c:v>
                </c:pt>
                <c:pt idx="5">
                  <c:v>-255.10204081632654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やがさき2!$C$3:$C$5</c:f>
              <c:numCache>
                <c:formatCode>\+0.0;\-0.0;\±0</c:formatCode>
                <c:ptCount val="3"/>
                <c:pt idx="1">
                  <c:v>-37</c:v>
                </c:pt>
                <c:pt idx="2">
                  <c:v>-12.35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00210520985715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やがさき2!$G$3:$G$5</c:f>
              <c:numCache>
                <c:formatCode>0.0%</c:formatCode>
                <c:ptCount val="3"/>
                <c:pt idx="1">
                  <c:v>0.375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842395587076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やがさき2!$H$3:$H$5</c:f>
              <c:numCache>
                <c:formatCode>0.0%</c:formatCode>
                <c:ptCount val="3"/>
                <c:pt idx="1">
                  <c:v>0.375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04570527974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やがさき2!$I$3:$I$5</c:f>
              <c:numCache>
                <c:formatCode>0</c:formatCode>
                <c:ptCount val="3"/>
                <c:pt idx="1">
                  <c:v>8666.6666666666661</c:v>
                </c:pt>
                <c:pt idx="2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0.30223390275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やがさき2!$J$3:$J$5</c:f>
              <c:numCache>
                <c:formatCode>0</c:formatCode>
                <c:ptCount val="3"/>
                <c:pt idx="1">
                  <c:v>-14000</c:v>
                </c:pt>
                <c:pt idx="2">
                  <c:v>-12425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00.93786635404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やがさき2!$M$3:$M$5</c:f>
              <c:numCache>
                <c:formatCode>0.0%</c:formatCode>
                <c:ptCount val="3"/>
                <c:pt idx="1">
                  <c:v>0.375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53585500394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やがさき2!$N$3:$N$5</c:f>
              <c:numCache>
                <c:formatCode>0.0%</c:formatCode>
                <c:ptCount val="3"/>
                <c:pt idx="1">
                  <c:v>0.125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431836091410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05617977528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1947069943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やがさき2!$Q$3:$Q$5</c:f>
              <c:numCache>
                <c:formatCode>0.0%</c:formatCode>
                <c:ptCount val="3"/>
                <c:pt idx="1">
                  <c:v>0.66666666666666663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98291721419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29D417-FC1A-4BB0-BBBE-3F52337D7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B2CFE1-7CB8-40E9-8554-3F5C1E477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E3847E-DADF-4129-97AD-525AAF33E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0F935F3-8482-477A-A01B-9A4D5723E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BA259B-BABE-4180-B156-DDB918990A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98E19C-45E8-45E1-9945-C0F5871D0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D57AD1-C534-43FB-BEEE-96487A47A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2E3A22-5CD8-405D-88EF-2D5440CE1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32D52E-1C8A-42D2-8B17-D63C24D0C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07582E-E1A4-4B82-B70A-6D4E1E723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C2339F-4292-4EC2-BC03-EC035239F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F820B7-C3EF-4674-A366-EA47DE2C5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96E0DB-40A5-48FC-B2FF-8A1873936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E711C8-FDCA-4039-A08E-A683E26DB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4928AC-AA82-4C8C-B412-91ACBC38F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25FDE5-3CD2-4CFD-9AFF-D6A24BABC8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C45345-E028-4190-A40F-DAEFC3206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2BFC52-93AE-4748-8789-5E888B62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4E06E6-D73E-4F2C-894E-037411B66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7F828E-C89E-421C-B656-6C118EC21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27B132-2781-4C73-9EF6-6F51DD7CE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B37778-F480-424B-AA17-E53C9F3D2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3DFC133-71CE-4F56-90B9-E2157F2E1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D7513E9-4165-457A-A34A-4ABE1DF9D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BB7AD2-C3CB-43C3-888C-4FA244C16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13C126-C6A5-4371-8728-577EE7884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2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60" t="s">
        <v>245</v>
      </c>
      <c r="F51" s="161" t="s">
        <v>246</v>
      </c>
      <c r="G51" s="48">
        <v>0</v>
      </c>
      <c r="H51" s="162">
        <f t="shared" ref="H51" si="3">IF(B$17=0,0,G51/B$17)</f>
        <v>0</v>
      </c>
      <c r="I51" s="163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8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43620.812199074076</v>
      </c>
      <c r="C58" s="30" t="s">
        <v>130</v>
      </c>
      <c r="D58" s="30" t="s">
        <v>131</v>
      </c>
      <c r="E58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609</v>
      </c>
    </row>
    <row r="2" spans="1:2" x14ac:dyDescent="0.4">
      <c r="A2" t="s">
        <v>127</v>
      </c>
      <c r="B2">
        <v>138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78</v>
      </c>
    </row>
    <row r="5" spans="1:2" x14ac:dyDescent="0.4">
      <c r="A5" t="s">
        <v>171</v>
      </c>
      <c r="B5">
        <v>85</v>
      </c>
    </row>
    <row r="6" spans="1:2" x14ac:dyDescent="0.4">
      <c r="A6" t="s">
        <v>172</v>
      </c>
      <c r="B6">
        <v>69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14</v>
      </c>
    </row>
    <row r="11" spans="1:2" x14ac:dyDescent="0.4">
      <c r="A11" t="s">
        <v>200</v>
      </c>
      <c r="B11">
        <v>7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0.96779973912752137</v>
      </c>
      <c r="G2" s="159"/>
      <c r="H2" s="158">
        <v>0.71077677876077283</v>
      </c>
      <c r="I2" s="159"/>
      <c r="J2" s="158">
        <v>0.93398711396257839</v>
      </c>
      <c r="K2" s="159"/>
      <c r="L2" s="158">
        <v>0.74914015973745862</v>
      </c>
      <c r="M2" s="159"/>
      <c r="N2" s="158">
        <v>0.63323225624000268</v>
      </c>
      <c r="O2" s="159"/>
      <c r="P2" s="158">
        <v>0.30444910754433724</v>
      </c>
      <c r="Q2" s="159"/>
      <c r="R2" s="158">
        <v>0.3171165181426297</v>
      </c>
      <c r="S2" s="159"/>
      <c r="T2" s="158">
        <v>0.48123868032008615</v>
      </c>
      <c r="U2" s="159"/>
      <c r="V2" s="158">
        <v>0.71576095807785889</v>
      </c>
      <c r="W2" s="159"/>
      <c r="X2" s="158">
        <v>0.43943512878607566</v>
      </c>
      <c r="Y2" s="159"/>
      <c r="Z2" s="158">
        <v>0.26416629196453173</v>
      </c>
      <c r="AA2" s="159"/>
      <c r="AB2" s="158">
        <v>2.9297938367988732E-2</v>
      </c>
      <c r="AC2" s="159"/>
      <c r="AD2" s="158">
        <v>0.7288729708576247</v>
      </c>
      <c r="AE2" s="159"/>
      <c r="AF2" s="158">
        <v>-0.66040611005483318</v>
      </c>
      <c r="AG2" s="159"/>
      <c r="AH2" s="158">
        <v>0.63993448956442422</v>
      </c>
      <c r="AI2" s="159"/>
    </row>
    <row r="3" spans="1:35" x14ac:dyDescent="0.4">
      <c r="A3" s="74">
        <v>1</v>
      </c>
      <c r="B3" s="75" t="s">
        <v>127</v>
      </c>
      <c r="C3" s="76">
        <v>1633.8000000000009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0.35175879396984927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0.17391304347826086</v>
      </c>
      <c r="X3" s="77" t="s">
        <v>127</v>
      </c>
      <c r="Y3" s="80">
        <v>0.32146037399821903</v>
      </c>
      <c r="Z3" s="77" t="s">
        <v>172</v>
      </c>
      <c r="AA3" s="80">
        <v>0.29145728643216079</v>
      </c>
      <c r="AB3" s="77" t="s">
        <v>223</v>
      </c>
      <c r="AC3" s="80">
        <v>1</v>
      </c>
      <c r="AD3" s="77" t="s">
        <v>127</v>
      </c>
      <c r="AE3" s="80">
        <v>0.50813008130081305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213.10000000000002</v>
      </c>
      <c r="D4" s="85" t="s">
        <v>222</v>
      </c>
      <c r="E4" s="97">
        <v>13.3</v>
      </c>
      <c r="F4" s="85" t="s">
        <v>127</v>
      </c>
      <c r="G4" s="86">
        <v>1.7536231884057971</v>
      </c>
      <c r="H4" s="85" t="s">
        <v>127</v>
      </c>
      <c r="I4" s="87">
        <v>0.48550724637681159</v>
      </c>
      <c r="J4" s="85" t="s">
        <v>222</v>
      </c>
      <c r="K4" s="87">
        <v>0</v>
      </c>
      <c r="L4" s="85" t="s">
        <v>127</v>
      </c>
      <c r="M4" s="88">
        <v>0.34550311665182548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-6683.333333333333</v>
      </c>
      <c r="T4" s="85" t="s">
        <v>200</v>
      </c>
      <c r="U4" s="87">
        <v>0</v>
      </c>
      <c r="V4" s="85" t="s">
        <v>171</v>
      </c>
      <c r="W4" s="87">
        <v>0.14117647058823529</v>
      </c>
      <c r="X4" s="85" t="s">
        <v>128</v>
      </c>
      <c r="Y4" s="88">
        <v>0.30051813471502592</v>
      </c>
      <c r="Z4" s="85" t="s">
        <v>200</v>
      </c>
      <c r="AA4" s="88">
        <v>0.27536231884057971</v>
      </c>
      <c r="AB4" s="85" t="s">
        <v>200</v>
      </c>
      <c r="AC4" s="88">
        <v>0.70588235294117652</v>
      </c>
      <c r="AD4" s="85" t="s">
        <v>183</v>
      </c>
      <c r="AE4" s="88">
        <v>0.5</v>
      </c>
      <c r="AF4" s="85" t="s">
        <v>200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11.839130434782614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200</v>
      </c>
      <c r="K5" s="87">
        <v>0.14285714285714285</v>
      </c>
      <c r="L5" s="85" t="s">
        <v>200</v>
      </c>
      <c r="M5" s="88">
        <v>0.30434782608695654</v>
      </c>
      <c r="N5" s="85" t="s">
        <v>172</v>
      </c>
      <c r="O5" s="88">
        <v>0.13400335008375208</v>
      </c>
      <c r="P5" s="85" t="s">
        <v>171</v>
      </c>
      <c r="Q5" s="89">
        <v>10064.039408866995</v>
      </c>
      <c r="R5" s="85" t="s">
        <v>128</v>
      </c>
      <c r="S5" s="89">
        <v>-7742.6829268292686</v>
      </c>
      <c r="T5" s="85" t="s">
        <v>222</v>
      </c>
      <c r="U5" s="87">
        <v>0</v>
      </c>
      <c r="V5" s="85" t="s">
        <v>145</v>
      </c>
      <c r="W5" s="87">
        <v>0.11494252873563218</v>
      </c>
      <c r="X5" s="85" t="s">
        <v>171</v>
      </c>
      <c r="Y5" s="88">
        <v>0.2923728813559322</v>
      </c>
      <c r="Z5" s="85" t="s">
        <v>173</v>
      </c>
      <c r="AA5" s="88">
        <v>0.25654450261780104</v>
      </c>
      <c r="AB5" s="85" t="s">
        <v>184</v>
      </c>
      <c r="AC5" s="88">
        <v>0.6785714285714286</v>
      </c>
      <c r="AD5" s="85" t="s">
        <v>184</v>
      </c>
      <c r="AE5" s="88">
        <v>0.44</v>
      </c>
      <c r="AF5" s="85" t="s">
        <v>184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2.507058823529412</v>
      </c>
      <c r="F6" s="85" t="s">
        <v>145</v>
      </c>
      <c r="G6" s="86">
        <v>2</v>
      </c>
      <c r="H6" s="85" t="s">
        <v>184</v>
      </c>
      <c r="I6" s="87">
        <v>0.35714285714285715</v>
      </c>
      <c r="J6" s="85" t="s">
        <v>127</v>
      </c>
      <c r="K6" s="87">
        <v>0.2391304347826087</v>
      </c>
      <c r="L6" s="85" t="s">
        <v>145</v>
      </c>
      <c r="M6" s="88">
        <v>0.29984239558707643</v>
      </c>
      <c r="N6" s="85" t="s">
        <v>177</v>
      </c>
      <c r="O6" s="88">
        <v>0.16144578313253011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223</v>
      </c>
      <c r="U6" s="87">
        <v>0</v>
      </c>
      <c r="V6" s="85" t="s">
        <v>129</v>
      </c>
      <c r="W6" s="87">
        <v>0.10256410256410256</v>
      </c>
      <c r="X6" s="85" t="s">
        <v>129</v>
      </c>
      <c r="Y6" s="88">
        <v>0.28153846153846152</v>
      </c>
      <c r="Z6" s="85" t="s">
        <v>223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0.43103448275862066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177</v>
      </c>
      <c r="E7" s="97">
        <v>0.41176470588235281</v>
      </c>
      <c r="F7" s="85" t="s">
        <v>200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0.30434782608695654</v>
      </c>
      <c r="L7" s="85" t="s">
        <v>177</v>
      </c>
      <c r="M7" s="88">
        <v>0.29879518072289157</v>
      </c>
      <c r="N7" s="85" t="s">
        <v>127</v>
      </c>
      <c r="O7" s="88">
        <v>0.16206589492430989</v>
      </c>
      <c r="P7" s="85" t="s">
        <v>127</v>
      </c>
      <c r="Q7" s="89">
        <v>9176.8041237113393</v>
      </c>
      <c r="R7" s="85" t="s">
        <v>177</v>
      </c>
      <c r="S7" s="89">
        <v>-7931.3432835820895</v>
      </c>
      <c r="T7" s="85" t="s">
        <v>172</v>
      </c>
      <c r="U7" s="87">
        <v>4.3478260869565216E-2</v>
      </c>
      <c r="V7" s="85" t="s">
        <v>172</v>
      </c>
      <c r="W7" s="87">
        <v>0.10144927536231885</v>
      </c>
      <c r="X7" s="85" t="s">
        <v>145</v>
      </c>
      <c r="Y7" s="88">
        <v>0.28053585500394013</v>
      </c>
      <c r="Z7" s="85" t="s">
        <v>127</v>
      </c>
      <c r="AA7" s="88">
        <v>0.21905609973285842</v>
      </c>
      <c r="AB7" s="85" t="s">
        <v>183</v>
      </c>
      <c r="AC7" s="88">
        <v>0.6</v>
      </c>
      <c r="AD7" s="85" t="s">
        <v>200</v>
      </c>
      <c r="AE7" s="88">
        <v>0.42105263157894735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-2.1316282072803006E-14</v>
      </c>
      <c r="D8" s="85" t="s">
        <v>145</v>
      </c>
      <c r="E8" s="97">
        <v>-3.5002105209857152E-17</v>
      </c>
      <c r="F8" s="85" t="s">
        <v>222</v>
      </c>
      <c r="G8" s="86">
        <v>2</v>
      </c>
      <c r="H8" s="85" t="s">
        <v>171</v>
      </c>
      <c r="I8" s="87">
        <v>0.31764705882352939</v>
      </c>
      <c r="J8" s="85" t="s">
        <v>171</v>
      </c>
      <c r="K8" s="87">
        <v>0.32941176470588235</v>
      </c>
      <c r="L8" s="85" t="s">
        <v>173</v>
      </c>
      <c r="M8" s="88">
        <v>0.29842931937172773</v>
      </c>
      <c r="N8" s="85" t="s">
        <v>145</v>
      </c>
      <c r="O8" s="88">
        <v>0.16804570527974783</v>
      </c>
      <c r="P8" s="85" t="s">
        <v>129</v>
      </c>
      <c r="Q8" s="89">
        <v>8882.3529411764703</v>
      </c>
      <c r="R8" s="85" t="s">
        <v>184</v>
      </c>
      <c r="S8" s="89">
        <v>-8107.6923076923076</v>
      </c>
      <c r="T8" s="85" t="s">
        <v>171</v>
      </c>
      <c r="U8" s="87">
        <v>8.2352941176470587E-2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184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0.45751633986928103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-7.6000000000000298</v>
      </c>
      <c r="D9" s="85" t="s">
        <v>172</v>
      </c>
      <c r="E9" s="97">
        <v>-0.11014492753623231</v>
      </c>
      <c r="F9" s="85" t="s">
        <v>171</v>
      </c>
      <c r="G9" s="86">
        <v>2.0117647058823529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223</v>
      </c>
      <c r="M9" s="88">
        <v>0.29411764705882354</v>
      </c>
      <c r="N9" s="85" t="s">
        <v>171</v>
      </c>
      <c r="O9" s="88">
        <v>0.16949152542372881</v>
      </c>
      <c r="P9" s="85" t="s">
        <v>145</v>
      </c>
      <c r="Q9" s="89">
        <v>8670.3022339027593</v>
      </c>
      <c r="R9" s="85" t="s">
        <v>127</v>
      </c>
      <c r="S9" s="89">
        <v>-8232.9670329670334</v>
      </c>
      <c r="T9" s="85" t="s">
        <v>127</v>
      </c>
      <c r="U9" s="87">
        <v>0.10869565217391304</v>
      </c>
      <c r="V9" s="85" t="s">
        <v>128</v>
      </c>
      <c r="W9" s="87">
        <v>9.4017094017094016E-2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0.58275862068965523</v>
      </c>
      <c r="AD9" s="85" t="s">
        <v>145</v>
      </c>
      <c r="AE9" s="88">
        <v>0.3931947069943289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2.0289855072463769</v>
      </c>
      <c r="H10" s="85" t="s">
        <v>172</v>
      </c>
      <c r="I10" s="87">
        <v>0.27536231884057971</v>
      </c>
      <c r="J10" s="85" t="s">
        <v>145</v>
      </c>
      <c r="K10" s="87">
        <v>0.33333333333333331</v>
      </c>
      <c r="L10" s="85" t="s">
        <v>184</v>
      </c>
      <c r="M10" s="88">
        <v>0.28813559322033899</v>
      </c>
      <c r="N10" s="85" t="s">
        <v>128</v>
      </c>
      <c r="O10" s="88">
        <v>0.16994818652849741</v>
      </c>
      <c r="P10" s="85" t="s">
        <v>177</v>
      </c>
      <c r="Q10" s="89">
        <v>8587.0967741935492</v>
      </c>
      <c r="R10" s="85" t="s">
        <v>171</v>
      </c>
      <c r="S10" s="89">
        <v>-8291.6666666666661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200</v>
      </c>
      <c r="Y10" s="88">
        <v>0.24637681159420291</v>
      </c>
      <c r="Z10" s="85" t="s">
        <v>145</v>
      </c>
      <c r="AA10" s="88">
        <v>0.20843183609141056</v>
      </c>
      <c r="AB10" s="85" t="s">
        <v>145</v>
      </c>
      <c r="AC10" s="88">
        <v>0.5800561797752809</v>
      </c>
      <c r="AD10" s="85" t="s">
        <v>177</v>
      </c>
      <c r="AE10" s="88">
        <v>0.37179487179487181</v>
      </c>
      <c r="AF10" s="85" t="s">
        <v>145</v>
      </c>
      <c r="AG10" s="88">
        <v>0.43298291721419185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200</v>
      </c>
      <c r="C11" s="84">
        <v>-25.300000000000004</v>
      </c>
      <c r="D11" s="85" t="s">
        <v>200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171</v>
      </c>
      <c r="M11" s="88">
        <v>0.2867231638418079</v>
      </c>
      <c r="N11" s="85" t="s">
        <v>200</v>
      </c>
      <c r="O11" s="88">
        <v>0.17391304347826086</v>
      </c>
      <c r="P11" s="85" t="s">
        <v>183</v>
      </c>
      <c r="Q11" s="89">
        <v>7860</v>
      </c>
      <c r="R11" s="85" t="s">
        <v>145</v>
      </c>
      <c r="S11" s="89">
        <v>-8300.9378663540447</v>
      </c>
      <c r="T11" s="85" t="s">
        <v>145</v>
      </c>
      <c r="U11" s="87">
        <v>0.11494252873563218</v>
      </c>
      <c r="V11" s="85" t="s">
        <v>184</v>
      </c>
      <c r="W11" s="87">
        <v>0</v>
      </c>
      <c r="X11" s="85" t="s">
        <v>184</v>
      </c>
      <c r="Y11" s="88">
        <v>0.23728813559322035</v>
      </c>
      <c r="Z11" s="85" t="s">
        <v>171</v>
      </c>
      <c r="AA11" s="88">
        <v>0.18926553672316385</v>
      </c>
      <c r="AB11" s="85" t="s">
        <v>127</v>
      </c>
      <c r="AC11" s="88">
        <v>0.57617728531855961</v>
      </c>
      <c r="AD11" s="85" t="s">
        <v>173</v>
      </c>
      <c r="AE11" s="88">
        <v>0.33673469387755101</v>
      </c>
      <c r="AF11" s="85" t="s">
        <v>128</v>
      </c>
      <c r="AG11" s="88">
        <v>0.4220532319391635</v>
      </c>
      <c r="AH11" s="85" t="s">
        <v>184</v>
      </c>
      <c r="AI11" s="92">
        <v>62700</v>
      </c>
    </row>
    <row r="12" spans="1:35" x14ac:dyDescent="0.4">
      <c r="A12" s="82">
        <v>10</v>
      </c>
      <c r="B12" s="83" t="s">
        <v>184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0.24358974358974358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184</v>
      </c>
      <c r="Q12" s="89">
        <v>7494.1176470588234</v>
      </c>
      <c r="R12" s="85" t="s">
        <v>172</v>
      </c>
      <c r="S12" s="89">
        <v>-8927.5</v>
      </c>
      <c r="T12" s="85" t="s">
        <v>128</v>
      </c>
      <c r="U12" s="87">
        <v>0.12820512820512819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0.18795180722891566</v>
      </c>
      <c r="AB12" s="85" t="s">
        <v>171</v>
      </c>
      <c r="AC12" s="88">
        <v>0.5748792270531401</v>
      </c>
      <c r="AD12" s="85" t="s">
        <v>128</v>
      </c>
      <c r="AE12" s="88">
        <v>0.2988505747126437</v>
      </c>
      <c r="AF12" s="85" t="s">
        <v>172</v>
      </c>
      <c r="AG12" s="88">
        <v>0.41904761904761906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184</v>
      </c>
      <c r="E13" s="97">
        <v>-9.9071428571428566</v>
      </c>
      <c r="F13" s="85" t="s">
        <v>184</v>
      </c>
      <c r="G13" s="86">
        <v>2.1428571428571428</v>
      </c>
      <c r="H13" s="85" t="s">
        <v>200</v>
      </c>
      <c r="I13" s="87">
        <v>0.14285714285714285</v>
      </c>
      <c r="J13" s="85" t="s">
        <v>129</v>
      </c>
      <c r="K13" s="87">
        <v>0.5</v>
      </c>
      <c r="L13" s="85" t="s">
        <v>183</v>
      </c>
      <c r="M13" s="88">
        <v>0.26315789473684209</v>
      </c>
      <c r="N13" s="85" t="s">
        <v>129</v>
      </c>
      <c r="O13" s="88">
        <v>0.19076923076923077</v>
      </c>
      <c r="P13" s="85" t="s">
        <v>200</v>
      </c>
      <c r="Q13" s="89">
        <v>7438.0952380952385</v>
      </c>
      <c r="R13" s="85" t="s">
        <v>129</v>
      </c>
      <c r="S13" s="89">
        <v>-9277.4193548387102</v>
      </c>
      <c r="T13" s="85" t="s">
        <v>184</v>
      </c>
      <c r="U13" s="87">
        <v>0.14285714285714285</v>
      </c>
      <c r="V13" s="85" t="s">
        <v>200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0.55813953488372092</v>
      </c>
      <c r="AD13" s="85" t="s">
        <v>223</v>
      </c>
      <c r="AE13" s="88">
        <v>0.25</v>
      </c>
      <c r="AF13" s="85" t="s">
        <v>127</v>
      </c>
      <c r="AG13" s="88">
        <v>0.41237113402061853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223</v>
      </c>
      <c r="E14" s="97">
        <v>-12.35</v>
      </c>
      <c r="F14" s="85" t="s">
        <v>129</v>
      </c>
      <c r="G14" s="86">
        <v>2.2564102564102564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0.23538461538461539</v>
      </c>
      <c r="N14" s="85" t="s">
        <v>184</v>
      </c>
      <c r="O14" s="88">
        <v>0.22033898305084745</v>
      </c>
      <c r="P14" s="85" t="s">
        <v>173</v>
      </c>
      <c r="Q14" s="89">
        <v>6998.2456140350878</v>
      </c>
      <c r="R14" s="85" t="s">
        <v>222</v>
      </c>
      <c r="S14" s="89">
        <v>-12000</v>
      </c>
      <c r="T14" s="85" t="s">
        <v>177</v>
      </c>
      <c r="U14" s="87">
        <v>0.17647058823529413</v>
      </c>
      <c r="V14" s="85" t="s">
        <v>222</v>
      </c>
      <c r="W14" s="87">
        <v>0</v>
      </c>
      <c r="X14" s="85" t="s">
        <v>172</v>
      </c>
      <c r="Y14" s="88">
        <v>0.21608040201005024</v>
      </c>
      <c r="Z14" s="85" t="s">
        <v>129</v>
      </c>
      <c r="AA14" s="88">
        <v>0.15538461538461537</v>
      </c>
      <c r="AB14" s="85" t="s">
        <v>129</v>
      </c>
      <c r="AC14" s="88">
        <v>0.51912568306010931</v>
      </c>
      <c r="AD14" s="85" t="s">
        <v>129</v>
      </c>
      <c r="AE14" s="88">
        <v>0.23762376237623761</v>
      </c>
      <c r="AF14" s="85" t="s">
        <v>171</v>
      </c>
      <c r="AG14" s="88">
        <v>0.40886699507389163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-1169.8999999999999</v>
      </c>
      <c r="D15" s="85" t="s">
        <v>129</v>
      </c>
      <c r="E15" s="97">
        <v>-14.998717948717948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6635.7142857142853</v>
      </c>
      <c r="R15" s="85" t="s">
        <v>223</v>
      </c>
      <c r="S15" s="89">
        <v>-12425</v>
      </c>
      <c r="T15" s="85" t="s">
        <v>129</v>
      </c>
      <c r="U15" s="87">
        <v>0.17948717948717949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1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609</v>
      </c>
      <c r="C2" s="147"/>
      <c r="E2" s="62" t="s">
        <v>67</v>
      </c>
      <c r="F2" s="59" t="s">
        <v>23</v>
      </c>
      <c r="G2" s="46">
        <v>1130</v>
      </c>
      <c r="H2" s="132">
        <f>IF(B$17=0,0,G2/B$17)</f>
        <v>0.74244415243101181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-13.136288998357964</v>
      </c>
      <c r="P2" s="118">
        <v>609</v>
      </c>
      <c r="Q2" s="102">
        <v>-8000</v>
      </c>
    </row>
    <row r="3" spans="1:17" x14ac:dyDescent="0.4">
      <c r="A3" s="55" t="s">
        <v>8</v>
      </c>
      <c r="B3" s="148">
        <v>5076</v>
      </c>
      <c r="C3" s="149"/>
      <c r="E3" s="63" t="s">
        <v>65</v>
      </c>
      <c r="F3" s="60" t="s">
        <v>21</v>
      </c>
      <c r="G3" s="47">
        <v>787</v>
      </c>
      <c r="H3" s="133">
        <f>IF(B$17=0,0,G3/B$17)</f>
        <v>0.51708278580814715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-10.1010101010101</v>
      </c>
      <c r="P3" s="119">
        <v>594</v>
      </c>
      <c r="Q3" s="103">
        <v>-6000</v>
      </c>
    </row>
    <row r="4" spans="1:17" x14ac:dyDescent="0.4">
      <c r="A4" s="55" t="s">
        <v>6</v>
      </c>
      <c r="B4" s="150">
        <v>-2.1316282072803006E-14</v>
      </c>
      <c r="C4" s="151"/>
      <c r="E4" s="63" t="s">
        <v>73</v>
      </c>
      <c r="F4" s="60" t="s">
        <v>28</v>
      </c>
      <c r="G4" s="47">
        <v>767</v>
      </c>
      <c r="H4" s="133">
        <f>IF(B$17=0,0,G4/B$17)</f>
        <v>0.50394218134034163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8.9126559714795004</v>
      </c>
      <c r="P4" s="119">
        <v>561</v>
      </c>
      <c r="Q4" s="103">
        <v>5000</v>
      </c>
    </row>
    <row r="5" spans="1:17" x14ac:dyDescent="0.4">
      <c r="A5" s="55" t="s">
        <v>7</v>
      </c>
      <c r="B5" s="152">
        <f>IF(B$2=0,0,B$4/B$2)</f>
        <v>-3.5002105209857152E-17</v>
      </c>
      <c r="C5" s="153"/>
      <c r="E5" s="63" t="s">
        <v>245</v>
      </c>
      <c r="F5" s="60" t="s">
        <v>246</v>
      </c>
      <c r="G5" s="47">
        <v>628</v>
      </c>
      <c r="H5" s="133">
        <f>IF(B$17=0,0,G5/B$17)</f>
        <v>0.41261498028909332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11.695906432748538</v>
      </c>
      <c r="P5" s="119">
        <v>513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477</v>
      </c>
      <c r="H6" s="133">
        <f>IF(B$17=0,0,G6/B$17)</f>
        <v>0.31340341655716164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-15.151515151515152</v>
      </c>
      <c r="P6" s="119">
        <v>462</v>
      </c>
      <c r="Q6" s="103">
        <v>-7000</v>
      </c>
    </row>
    <row r="7" spans="1:17" x14ac:dyDescent="0.4">
      <c r="A7" s="55" t="s">
        <v>2</v>
      </c>
      <c r="B7" s="47">
        <v>203</v>
      </c>
      <c r="C7" s="39">
        <f>IF(B$2=0,0,B7/B$2)</f>
        <v>0.33333333333333331</v>
      </c>
      <c r="E7" s="63" t="s">
        <v>68</v>
      </c>
      <c r="F7" s="60" t="s">
        <v>24</v>
      </c>
      <c r="G7" s="47">
        <v>470</v>
      </c>
      <c r="H7" s="133">
        <f>IF(B$17=0,0,G7/B$17)</f>
        <v>0.3088042049934297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24.154589371980677</v>
      </c>
      <c r="P7" s="120">
        <v>414</v>
      </c>
      <c r="Q7" s="104">
        <v>10000</v>
      </c>
    </row>
    <row r="8" spans="1:17" x14ac:dyDescent="0.4">
      <c r="A8" s="55" t="s">
        <v>3</v>
      </c>
      <c r="B8" s="47">
        <v>203</v>
      </c>
      <c r="C8" s="39">
        <f>IF(B$2=0,0,B8/B$2)</f>
        <v>0.33333333333333331</v>
      </c>
      <c r="E8" s="63" t="s">
        <v>70</v>
      </c>
      <c r="F8" s="60" t="s">
        <v>25</v>
      </c>
      <c r="G8" s="47">
        <v>271</v>
      </c>
      <c r="H8" s="133">
        <f>IF(B$17=0,0,G8/B$17)</f>
        <v>0.17805519053876478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203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190</v>
      </c>
      <c r="H9" s="133">
        <f>IF(B$17=0,0,G9/B$17)</f>
        <v>0.12483574244415244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70</v>
      </c>
      <c r="C10" s="40">
        <f>IF(B$2=0,0,B10/B$2)</f>
        <v>0.11494252873563218</v>
      </c>
      <c r="E10" s="63" t="s">
        <v>66</v>
      </c>
      <c r="F10" s="60" t="s">
        <v>22</v>
      </c>
      <c r="G10" s="47">
        <v>186</v>
      </c>
      <c r="H10" s="133">
        <f>IF(B$17=0,0,G10/B$17)</f>
        <v>0.12220762155059132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-2.2748768472906402</v>
      </c>
      <c r="P10" s="118">
        <v>203</v>
      </c>
      <c r="Q10" s="106">
        <v>-461.79999999999995</v>
      </c>
    </row>
    <row r="11" spans="1:17" x14ac:dyDescent="0.4">
      <c r="A11" s="56" t="s">
        <v>140</v>
      </c>
      <c r="B11" s="48">
        <v>70</v>
      </c>
      <c r="C11" s="40">
        <f>IF(B$2=0,0,B11/B$2)</f>
        <v>0.11494252873563218</v>
      </c>
      <c r="E11" s="63" t="s">
        <v>71</v>
      </c>
      <c r="F11" s="60" t="s">
        <v>26</v>
      </c>
      <c r="G11" s="47">
        <v>149</v>
      </c>
      <c r="H11" s="133">
        <f>IF(B$17=0,0,G11/B$17)</f>
        <v>9.7897503285151122E-2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-0.21330049261083756</v>
      </c>
      <c r="P11" s="119">
        <v>203</v>
      </c>
      <c r="Q11" s="107">
        <v>-43.300000000000026</v>
      </c>
    </row>
    <row r="12" spans="1:17" x14ac:dyDescent="0.4">
      <c r="A12" s="57" t="s">
        <v>160</v>
      </c>
      <c r="B12" s="49">
        <v>52</v>
      </c>
      <c r="C12" s="42">
        <f>IF(B$2=0,0,B12/B$2)</f>
        <v>8.5385878489326772E-2</v>
      </c>
      <c r="E12" s="63" t="s">
        <v>72</v>
      </c>
      <c r="F12" s="60" t="s">
        <v>27</v>
      </c>
      <c r="G12" s="47">
        <v>103</v>
      </c>
      <c r="H12" s="133">
        <f>IF(B$17=0,0,G12/B$17)</f>
        <v>6.7674113009198428E-2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2.4881773399014779</v>
      </c>
      <c r="P12" s="120">
        <v>203</v>
      </c>
      <c r="Q12" s="108">
        <v>505.1</v>
      </c>
    </row>
    <row r="13" spans="1:17" x14ac:dyDescent="0.4">
      <c r="A13" s="58" t="s">
        <v>122</v>
      </c>
      <c r="B13" s="50">
        <v>1424</v>
      </c>
      <c r="C13" s="44">
        <f>IF(B$3=0,0,B13/B$3)</f>
        <v>0.28053585500394013</v>
      </c>
      <c r="E13" s="63" t="s">
        <v>87</v>
      </c>
      <c r="F13" s="60" t="s">
        <v>42</v>
      </c>
      <c r="G13" s="47">
        <v>84</v>
      </c>
      <c r="H13" s="133">
        <f>IF(B$17=0,0,G13/B$17)</f>
        <v>5.5190538764783179E-2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1058</v>
      </c>
      <c r="C14" s="39">
        <f>IF(B$3=0,0,B14/B$3)</f>
        <v>0.20843183609141056</v>
      </c>
      <c r="E14" s="63" t="s">
        <v>84</v>
      </c>
      <c r="F14" s="60" t="s">
        <v>39</v>
      </c>
      <c r="G14" s="47">
        <v>70</v>
      </c>
      <c r="H14" s="133">
        <f>IF(B$17=0,0,G14/B$17)</f>
        <v>4.5992115637319315E-2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826</v>
      </c>
      <c r="C15" s="37">
        <f>IF(B$13=0,0,B15/B$13)</f>
        <v>0.5800561797752809</v>
      </c>
      <c r="E15" s="63" t="s">
        <v>82</v>
      </c>
      <c r="F15" s="60" t="s">
        <v>37</v>
      </c>
      <c r="G15" s="47">
        <v>42</v>
      </c>
      <c r="H15" s="133">
        <f>IF(B$17=0,0,G15/B$17)</f>
        <v>2.7595269382391589E-2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22.498076923076955</v>
      </c>
      <c r="P15" s="118">
        <v>156</v>
      </c>
      <c r="Q15" s="106">
        <v>3509.7000000000048</v>
      </c>
    </row>
    <row r="16" spans="1:17" x14ac:dyDescent="0.4">
      <c r="A16" s="54" t="s">
        <v>125</v>
      </c>
      <c r="B16" s="46">
        <v>416</v>
      </c>
      <c r="C16" s="37">
        <f>IF(B$14=0,0,B16/B$14)</f>
        <v>0.3931947069943289</v>
      </c>
      <c r="E16" s="63" t="s">
        <v>79</v>
      </c>
      <c r="F16" s="60" t="s">
        <v>34</v>
      </c>
      <c r="G16" s="47">
        <v>40</v>
      </c>
      <c r="H16" s="133">
        <f>IF(B$17=0,0,G16/B$17)</f>
        <v>2.6281208935611037E-2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1522</v>
      </c>
      <c r="C17" s="37">
        <f>IF(B$3=0,0,B17/B$3)</f>
        <v>0.29984239558707643</v>
      </c>
      <c r="E17" s="63" t="s">
        <v>92</v>
      </c>
      <c r="F17" s="60" t="s">
        <v>47</v>
      </c>
      <c r="G17" s="47">
        <v>30</v>
      </c>
      <c r="H17" s="133">
        <f>IF(B$17=0,0,G17/B$17)</f>
        <v>1.9710906701708279E-2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659</v>
      </c>
      <c r="C18" s="39">
        <f>IF(B$17=0,0,B18/B$17)</f>
        <v>0.43298291721419185</v>
      </c>
      <c r="E18" s="63" t="s">
        <v>180</v>
      </c>
      <c r="F18" s="60" t="s">
        <v>181</v>
      </c>
      <c r="G18" s="47">
        <v>24</v>
      </c>
      <c r="H18" s="133">
        <f>IF(B$17=0,0,G18/B$17)</f>
        <v>1.5768725361366621E-2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863</v>
      </c>
      <c r="C19" s="39">
        <f>IF(B$17=0,0,B19/B$17)</f>
        <v>0.5670170827858082</v>
      </c>
      <c r="E19" s="63" t="s">
        <v>80</v>
      </c>
      <c r="F19" s="60" t="s">
        <v>35</v>
      </c>
      <c r="G19" s="47">
        <v>23</v>
      </c>
      <c r="H19" s="133">
        <f>IF(B$17=0,0,G19/B$17)</f>
        <v>1.5111695137976347E-2</v>
      </c>
      <c r="I19" s="94">
        <v>5</v>
      </c>
      <c r="K19" s="38">
        <v>17</v>
      </c>
      <c r="L19" s="99">
        <v>8.2999999999999972</v>
      </c>
      <c r="N19" s="115" t="s">
        <v>200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853</v>
      </c>
      <c r="C20" s="39">
        <f>IF(B$3=0,0,B20/B$3)</f>
        <v>0.16804570527974783</v>
      </c>
      <c r="E20" s="63" t="s">
        <v>74</v>
      </c>
      <c r="F20" s="60" t="s">
        <v>29</v>
      </c>
      <c r="G20" s="47">
        <v>9</v>
      </c>
      <c r="H20" s="133">
        <f>IF(B$17=0,0,G20/B$17)</f>
        <v>5.9132720105124839E-3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5.9132720105124839E-3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0.16521739130434679</v>
      </c>
      <c r="P21" s="119">
        <v>138</v>
      </c>
      <c r="Q21" s="107">
        <v>22.799999999999855</v>
      </c>
    </row>
    <row r="22" spans="1:17" x14ac:dyDescent="0.4">
      <c r="A22" s="55" t="s">
        <v>192</v>
      </c>
      <c r="B22" s="47">
        <v>31</v>
      </c>
      <c r="C22" s="135">
        <v>8</v>
      </c>
      <c r="E22" s="63" t="s">
        <v>93</v>
      </c>
      <c r="F22" s="60" t="s">
        <v>48</v>
      </c>
      <c r="G22" s="47">
        <v>7</v>
      </c>
      <c r="H22" s="133">
        <f>IF(B$17=0,0,G22/B$17)</f>
        <v>4.5992115637319315E-3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8670.3022339027593</v>
      </c>
      <c r="C23" s="41">
        <v>13196200</v>
      </c>
      <c r="E23" s="63" t="s">
        <v>75</v>
      </c>
      <c r="F23" s="60" t="s">
        <v>30</v>
      </c>
      <c r="G23" s="47">
        <v>6</v>
      </c>
      <c r="H23" s="133">
        <f>IF(B$17=0,0,G23/B$17)</f>
        <v>3.9421813403416554E-3</v>
      </c>
      <c r="I23" s="94">
        <v>5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-3.7605882352941156</v>
      </c>
      <c r="P23" s="119">
        <v>170</v>
      </c>
      <c r="Q23" s="107">
        <v>-639.29999999999961</v>
      </c>
    </row>
    <row r="24" spans="1:17" x14ac:dyDescent="0.4">
      <c r="A24" s="57" t="s">
        <v>14</v>
      </c>
      <c r="B24" s="52">
        <f>IF(B$20=0,0,C24/B$20)</f>
        <v>-8300.9378663540447</v>
      </c>
      <c r="C24" s="45">
        <v>-7080700</v>
      </c>
      <c r="E24" s="63" t="s">
        <v>88</v>
      </c>
      <c r="F24" s="60" t="s">
        <v>43</v>
      </c>
      <c r="G24" s="47">
        <v>6</v>
      </c>
      <c r="H24" s="133">
        <f>IF(B$17=0,0,G24/B$17)</f>
        <v>3.9421813403416554E-3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-17.758695652173891</v>
      </c>
      <c r="P24" s="119">
        <v>276</v>
      </c>
      <c r="Q24" s="107">
        <v>-4901.3999999999942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3.2851511169513796E-3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4</v>
      </c>
      <c r="H26" s="133">
        <f>IF(B$17=0,0,G26/B$17)</f>
        <v>2.6281208935611039E-3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2.7580772261623326E-3</v>
      </c>
      <c r="E27" s="63" t="s">
        <v>85</v>
      </c>
      <c r="F27" s="60" t="s">
        <v>40</v>
      </c>
      <c r="G27" s="47">
        <v>4</v>
      </c>
      <c r="H27" s="133">
        <f>IF(B$17=0,0,G27/B$17)</f>
        <v>2.6281208935611039E-3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4</v>
      </c>
      <c r="H28" s="133">
        <f>IF(B$17=0,0,G28/B$17)</f>
        <v>2.6281208935611039E-3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2.6281208935611039E-3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1.3140604467805519E-3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1.3140604467805519E-3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6.5703022339027597E-4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60" t="s">
        <v>112</v>
      </c>
      <c r="F51" s="161" t="s">
        <v>64</v>
      </c>
      <c r="G51" s="48">
        <v>0</v>
      </c>
      <c r="H51" s="162">
        <f>IF(B$17=0,0,G51/B$17)</f>
        <v>0</v>
      </c>
      <c r="I51" s="163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4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138</v>
      </c>
      <c r="C2" s="147"/>
      <c r="E2" s="62" t="s">
        <v>67</v>
      </c>
      <c r="F2" s="59" t="s">
        <v>23</v>
      </c>
      <c r="G2" s="46">
        <v>286</v>
      </c>
      <c r="H2" s="132">
        <f>IF(B$17=0,0,G2/B$17)</f>
        <v>0.73711340206185572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1723.1884057971015</v>
      </c>
      <c r="P2" s="118">
        <v>138</v>
      </c>
      <c r="Q2" s="102">
        <v>237800</v>
      </c>
    </row>
    <row r="3" spans="1:17" x14ac:dyDescent="0.4">
      <c r="A3" s="55" t="s">
        <v>8</v>
      </c>
      <c r="B3" s="148">
        <v>1123</v>
      </c>
      <c r="C3" s="149"/>
      <c r="E3" s="63" t="s">
        <v>73</v>
      </c>
      <c r="F3" s="60" t="s">
        <v>28</v>
      </c>
      <c r="G3" s="47">
        <v>219</v>
      </c>
      <c r="H3" s="133">
        <f>IF(B$17=0,0,G3/B$17)</f>
        <v>0.56443298969072164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1202.9850746268658</v>
      </c>
      <c r="P3" s="119">
        <v>134</v>
      </c>
      <c r="Q3" s="103">
        <v>161200</v>
      </c>
    </row>
    <row r="4" spans="1:17" x14ac:dyDescent="0.4">
      <c r="A4" s="55" t="s">
        <v>6</v>
      </c>
      <c r="B4" s="150">
        <v>1633.8000000000009</v>
      </c>
      <c r="C4" s="151"/>
      <c r="E4" s="63" t="s">
        <v>65</v>
      </c>
      <c r="F4" s="60" t="s">
        <v>21</v>
      </c>
      <c r="G4" s="47">
        <v>191</v>
      </c>
      <c r="H4" s="133">
        <f>IF(B$17=0,0,G4/B$17)</f>
        <v>0.49226804123711343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1134.6456692913387</v>
      </c>
      <c r="P4" s="119">
        <v>127</v>
      </c>
      <c r="Q4" s="103">
        <v>144100</v>
      </c>
    </row>
    <row r="5" spans="1:17" x14ac:dyDescent="0.4">
      <c r="A5" s="55" t="s">
        <v>7</v>
      </c>
      <c r="B5" s="152">
        <f>IF(B$2=0,0,B$4/B$2)</f>
        <v>11.839130434782614</v>
      </c>
      <c r="C5" s="153"/>
      <c r="E5" s="63" t="s">
        <v>245</v>
      </c>
      <c r="F5" s="60" t="s">
        <v>246</v>
      </c>
      <c r="G5" s="47">
        <v>162</v>
      </c>
      <c r="H5" s="133">
        <f>IF(B$17=0,0,G5/B$17)</f>
        <v>0.4175257731958763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2609.4017094017095</v>
      </c>
      <c r="P5" s="119">
        <v>117</v>
      </c>
      <c r="Q5" s="103">
        <v>305300</v>
      </c>
    </row>
    <row r="6" spans="1:17" x14ac:dyDescent="0.4">
      <c r="A6" s="55" t="s">
        <v>1</v>
      </c>
      <c r="B6" s="142">
        <f>IF(B$2=0,0,(B$7*1+B$8*2+B$9*3)/B$2)</f>
        <v>1.7536231884057971</v>
      </c>
      <c r="C6" s="143"/>
      <c r="E6" s="63" t="s">
        <v>68</v>
      </c>
      <c r="F6" s="60" t="s">
        <v>24</v>
      </c>
      <c r="G6" s="47">
        <v>115</v>
      </c>
      <c r="H6" s="133">
        <f>IF(B$17=0,0,G6/B$17)</f>
        <v>0.29639175257731959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355.33980582524271</v>
      </c>
      <c r="P6" s="119">
        <v>103</v>
      </c>
      <c r="Q6" s="103">
        <v>36600</v>
      </c>
    </row>
    <row r="7" spans="1:17" x14ac:dyDescent="0.4">
      <c r="A7" s="55" t="s">
        <v>2</v>
      </c>
      <c r="B7" s="47">
        <v>67</v>
      </c>
      <c r="C7" s="39">
        <f>IF(B$2=0,0,B7/B$2)</f>
        <v>0.48550724637681159</v>
      </c>
      <c r="E7" s="63" t="s">
        <v>69</v>
      </c>
      <c r="F7" s="60" t="s">
        <v>12</v>
      </c>
      <c r="G7" s="47">
        <v>104</v>
      </c>
      <c r="H7" s="133">
        <f>IF(B$17=0,0,G7/B$17)</f>
        <v>0.26804123711340205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664.44444444444446</v>
      </c>
      <c r="P7" s="120">
        <v>90</v>
      </c>
      <c r="Q7" s="104">
        <v>59800</v>
      </c>
    </row>
    <row r="8" spans="1:17" x14ac:dyDescent="0.4">
      <c r="A8" s="55" t="s">
        <v>3</v>
      </c>
      <c r="B8" s="47">
        <v>38</v>
      </c>
      <c r="C8" s="39">
        <f>IF(B$2=0,0,B8/B$2)</f>
        <v>0.27536231884057971</v>
      </c>
      <c r="E8" s="63" t="s">
        <v>70</v>
      </c>
      <c r="F8" s="60" t="s">
        <v>25</v>
      </c>
      <c r="G8" s="47">
        <v>64</v>
      </c>
      <c r="H8" s="133">
        <f>IF(B$17=0,0,G8/B$17)</f>
        <v>0.16494845360824742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0.2391304347826087</v>
      </c>
      <c r="E9" s="63" t="s">
        <v>90</v>
      </c>
      <c r="F9" s="60" t="s">
        <v>45</v>
      </c>
      <c r="G9" s="47">
        <v>60</v>
      </c>
      <c r="H9" s="133">
        <f>IF(B$17=0,0,G9/B$17)</f>
        <v>0.15463917525773196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0.10869565217391304</v>
      </c>
      <c r="E10" s="63" t="s">
        <v>66</v>
      </c>
      <c r="F10" s="60" t="s">
        <v>22</v>
      </c>
      <c r="G10" s="47">
        <v>51</v>
      </c>
      <c r="H10" s="133">
        <f>IF(B$17=0,0,G10/B$17)</f>
        <v>0.13144329896907217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12.740476190476191</v>
      </c>
      <c r="P10" s="118">
        <v>42</v>
      </c>
      <c r="Q10" s="106">
        <v>535.1</v>
      </c>
    </row>
    <row r="11" spans="1:17" x14ac:dyDescent="0.4">
      <c r="A11" s="56" t="s">
        <v>140</v>
      </c>
      <c r="B11" s="48">
        <v>24</v>
      </c>
      <c r="C11" s="40">
        <f>IF(B$2=0,0,B11/B$2)</f>
        <v>0.17391304347826086</v>
      </c>
      <c r="E11" s="63" t="s">
        <v>71</v>
      </c>
      <c r="F11" s="60" t="s">
        <v>26</v>
      </c>
      <c r="G11" s="47">
        <v>35</v>
      </c>
      <c r="H11" s="133">
        <f>IF(B$17=0,0,G11/B$17)</f>
        <v>9.0206185567010308E-2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9.7666666666666657</v>
      </c>
      <c r="P11" s="119">
        <v>42</v>
      </c>
      <c r="Q11" s="107">
        <v>410.2</v>
      </c>
    </row>
    <row r="12" spans="1:17" x14ac:dyDescent="0.4">
      <c r="A12" s="57" t="s">
        <v>160</v>
      </c>
      <c r="B12" s="49">
        <v>20</v>
      </c>
      <c r="C12" s="42">
        <f>IF(B$2=0,0,B12/B$2)</f>
        <v>0.14492753623188406</v>
      </c>
      <c r="E12" s="63" t="s">
        <v>72</v>
      </c>
      <c r="F12" s="60" t="s">
        <v>27</v>
      </c>
      <c r="G12" s="47">
        <v>28</v>
      </c>
      <c r="H12" s="133">
        <f>IF(B$17=0,0,G12/B$17)</f>
        <v>7.2164948453608241E-2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361</v>
      </c>
      <c r="C13" s="44">
        <f>IF(B$3=0,0,B13/B$3)</f>
        <v>0.32146037399821903</v>
      </c>
      <c r="E13" s="63" t="s">
        <v>87</v>
      </c>
      <c r="F13" s="60" t="s">
        <v>42</v>
      </c>
      <c r="G13" s="47">
        <v>27</v>
      </c>
      <c r="H13" s="133">
        <f>IF(B$17=0,0,G13/B$17)</f>
        <v>6.9587628865979384E-2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246</v>
      </c>
      <c r="C14" s="39">
        <f>IF(B$3=0,0,B14/B$3)</f>
        <v>0.21905609973285842</v>
      </c>
      <c r="E14" s="63" t="s">
        <v>84</v>
      </c>
      <c r="F14" s="60" t="s">
        <v>39</v>
      </c>
      <c r="G14" s="47">
        <v>19</v>
      </c>
      <c r="H14" s="133">
        <f>IF(B$17=0,0,G14/B$17)</f>
        <v>4.8969072164948453E-2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208</v>
      </c>
      <c r="C15" s="37">
        <f>IF(B$13=0,0,B15/B$13)</f>
        <v>0.57617728531855961</v>
      </c>
      <c r="E15" s="63" t="s">
        <v>180</v>
      </c>
      <c r="F15" s="60" t="s">
        <v>181</v>
      </c>
      <c r="G15" s="47">
        <v>13</v>
      </c>
      <c r="H15" s="133">
        <f>IF(B$17=0,0,G15/B$17)</f>
        <v>3.3505154639175257E-2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125</v>
      </c>
      <c r="C16" s="37">
        <f>IF(B$14=0,0,B16/B$14)</f>
        <v>0.50813008130081305</v>
      </c>
      <c r="E16" s="63" t="s">
        <v>82</v>
      </c>
      <c r="F16" s="60" t="s">
        <v>37</v>
      </c>
      <c r="G16" s="47">
        <v>11</v>
      </c>
      <c r="H16" s="133">
        <f>IF(B$17=0,0,G16/B$17)</f>
        <v>2.8350515463917526E-2</v>
      </c>
      <c r="I16" s="94">
        <v>6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388</v>
      </c>
      <c r="C17" s="37">
        <f>IF(B$3=0,0,B17/B$3)</f>
        <v>0.34550311665182548</v>
      </c>
      <c r="E17" s="63" t="s">
        <v>79</v>
      </c>
      <c r="F17" s="60" t="s">
        <v>34</v>
      </c>
      <c r="G17" s="47">
        <v>9</v>
      </c>
      <c r="H17" s="133">
        <f>IF(B$17=0,0,G17/B$17)</f>
        <v>2.3195876288659795E-2</v>
      </c>
      <c r="I17" s="94">
        <v>7</v>
      </c>
      <c r="K17" s="38">
        <v>15</v>
      </c>
      <c r="L17" s="99">
        <v>481.50000000000006</v>
      </c>
      <c r="N17" s="115" t="s">
        <v>222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160</v>
      </c>
      <c r="C18" s="39">
        <f>IF(B$17=0,0,B18/B$17)</f>
        <v>0.41237113402061853</v>
      </c>
      <c r="E18" s="63" t="s">
        <v>92</v>
      </c>
      <c r="F18" s="60" t="s">
        <v>47</v>
      </c>
      <c r="G18" s="47">
        <v>8</v>
      </c>
      <c r="H18" s="133">
        <f>IF(B$17=0,0,G18/B$17)</f>
        <v>2.0618556701030927E-2</v>
      </c>
      <c r="I18" s="94">
        <v>4</v>
      </c>
      <c r="K18" s="38">
        <v>16</v>
      </c>
      <c r="L18" s="99">
        <v>425.50000000000006</v>
      </c>
      <c r="N18" s="115" t="s">
        <v>129</v>
      </c>
      <c r="O18" s="125">
        <f>IF(P18=0,0,Q18/P18)</f>
        <v>27.670833333333334</v>
      </c>
      <c r="P18" s="119">
        <v>48</v>
      </c>
      <c r="Q18" s="107">
        <v>1328.2</v>
      </c>
    </row>
    <row r="19" spans="1:17" x14ac:dyDescent="0.4">
      <c r="A19" s="55" t="s">
        <v>11</v>
      </c>
      <c r="B19" s="47">
        <v>228</v>
      </c>
      <c r="C19" s="39">
        <f>IF(B$17=0,0,B19/B$17)</f>
        <v>0.58762886597938147</v>
      </c>
      <c r="E19" s="63" t="s">
        <v>80</v>
      </c>
      <c r="F19" s="60" t="s">
        <v>35</v>
      </c>
      <c r="G19" s="47">
        <v>5</v>
      </c>
      <c r="H19" s="133">
        <f>IF(B$17=0,0,G19/B$17)</f>
        <v>1.2886597938144329E-2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22.883783783783784</v>
      </c>
      <c r="P19" s="119">
        <v>37</v>
      </c>
      <c r="Q19" s="107">
        <v>846.7</v>
      </c>
    </row>
    <row r="20" spans="1:17" x14ac:dyDescent="0.4">
      <c r="A20" s="55" t="s">
        <v>13</v>
      </c>
      <c r="B20" s="47">
        <v>182</v>
      </c>
      <c r="C20" s="39">
        <f>IF(B$3=0,0,B20/B$3)</f>
        <v>0.16206589492430989</v>
      </c>
      <c r="E20" s="63" t="s">
        <v>74</v>
      </c>
      <c r="F20" s="60" t="s">
        <v>29</v>
      </c>
      <c r="G20" s="47">
        <v>2</v>
      </c>
      <c r="H20" s="133">
        <f>IF(B$17=0,0,G20/B$17)</f>
        <v>5.1546391752577319E-3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78</v>
      </c>
      <c r="F21" s="60" t="s">
        <v>33</v>
      </c>
      <c r="G21" s="47">
        <v>2</v>
      </c>
      <c r="H21" s="133">
        <f>IF(B$17=0,0,G21/B$17)</f>
        <v>5.1546391752577319E-3</v>
      </c>
      <c r="I21" s="94">
        <v>2</v>
      </c>
      <c r="K21" s="38">
        <v>19</v>
      </c>
      <c r="L21" s="99">
        <v>405.40000000000003</v>
      </c>
      <c r="N21" s="115" t="s">
        <v>184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192</v>
      </c>
      <c r="B22" s="47">
        <v>39</v>
      </c>
      <c r="C22" s="135">
        <v>1</v>
      </c>
      <c r="E22" s="63" t="s">
        <v>86</v>
      </c>
      <c r="F22" s="60" t="s">
        <v>41</v>
      </c>
      <c r="G22" s="47">
        <v>2</v>
      </c>
      <c r="H22" s="133">
        <f>IF(B$17=0,0,G22/B$17)</f>
        <v>5.1546391752577319E-3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9176.8041237113393</v>
      </c>
      <c r="C23" s="41">
        <v>3560600</v>
      </c>
      <c r="E23" s="63" t="s">
        <v>91</v>
      </c>
      <c r="F23" s="60" t="s">
        <v>46</v>
      </c>
      <c r="G23" s="47">
        <v>2</v>
      </c>
      <c r="H23" s="133">
        <f>IF(B$17=0,0,G23/B$17)</f>
        <v>5.1546391752577319E-3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-8232.9670329670334</v>
      </c>
      <c r="C24" s="45">
        <v>-1498400</v>
      </c>
      <c r="E24" s="63" t="s">
        <v>93</v>
      </c>
      <c r="F24" s="60" t="s">
        <v>48</v>
      </c>
      <c r="G24" s="47">
        <v>2</v>
      </c>
      <c r="H24" s="133">
        <f>IF(B$17=0,0,G24/B$17)</f>
        <v>5.1546391752577319E-3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1</v>
      </c>
      <c r="H25" s="133">
        <f>IF(B$17=0,0,G25/B$17)</f>
        <v>2.5773195876288659E-3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2.5773195876288659E-3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8.9047195013357077E-4</v>
      </c>
      <c r="E27" s="63" t="s">
        <v>88</v>
      </c>
      <c r="F27" s="60" t="s">
        <v>43</v>
      </c>
      <c r="G27" s="47">
        <v>1</v>
      </c>
      <c r="H27" s="133">
        <f>IF(B$17=0,0,G27/B$17)</f>
        <v>2.5773195876288659E-3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2.5773195876288659E-3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2.5773195876288659E-3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60" t="s">
        <v>112</v>
      </c>
      <c r="F51" s="161" t="s">
        <v>64</v>
      </c>
      <c r="G51" s="48">
        <v>0</v>
      </c>
      <c r="H51" s="162">
        <f>IF(B$17=0,0,G51/B$17)</f>
        <v>0</v>
      </c>
      <c r="I51" s="163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67</v>
      </c>
      <c r="F2" s="59" t="s">
        <v>23</v>
      </c>
      <c r="G2" s="46">
        <v>200</v>
      </c>
      <c r="H2" s="132">
        <f>IF(B$17=0,0,G2/B$17)</f>
        <v>0.76045627376425851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65</v>
      </c>
      <c r="F3" s="60" t="s">
        <v>21</v>
      </c>
      <c r="G3" s="47">
        <v>160</v>
      </c>
      <c r="H3" s="133">
        <f>IF(B$17=0,0,G3/B$17)</f>
        <v>0.60836501901140683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73</v>
      </c>
      <c r="F4" s="60" t="s">
        <v>28</v>
      </c>
      <c r="G4" s="47">
        <v>121</v>
      </c>
      <c r="H4" s="133">
        <f>IF(B$17=0,0,G4/B$17)</f>
        <v>0.46007604562737642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245</v>
      </c>
      <c r="F5" s="60" t="s">
        <v>246</v>
      </c>
      <c r="G5" s="47">
        <v>117</v>
      </c>
      <c r="H5" s="133">
        <f>IF(B$17=0,0,G5/B$17)</f>
        <v>0.44486692015209123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0.37642585551330798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69</v>
      </c>
      <c r="F7" s="60" t="s">
        <v>12</v>
      </c>
      <c r="G7" s="47">
        <v>89</v>
      </c>
      <c r="H7" s="133">
        <f>IF(B$17=0,0,G7/B$17)</f>
        <v>0.33840304182509506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70</v>
      </c>
      <c r="F8" s="60" t="s">
        <v>25</v>
      </c>
      <c r="G8" s="47">
        <v>60</v>
      </c>
      <c r="H8" s="133">
        <f>IF(B$17=0,0,G8/B$17)</f>
        <v>0.22813688212927757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66</v>
      </c>
      <c r="F9" s="60" t="s">
        <v>22</v>
      </c>
      <c r="G9" s="47">
        <v>43</v>
      </c>
      <c r="H9" s="133">
        <f>IF(B$17=0,0,G9/B$17)</f>
        <v>0.1634980988593156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71</v>
      </c>
      <c r="F10" s="60" t="s">
        <v>26</v>
      </c>
      <c r="G10" s="47">
        <v>32</v>
      </c>
      <c r="H10" s="133">
        <f>IF(B$17=0,0,G10/B$17)</f>
        <v>0.12167300380228137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90</v>
      </c>
      <c r="F11" s="60" t="s">
        <v>45</v>
      </c>
      <c r="G11" s="47">
        <v>26</v>
      </c>
      <c r="H11" s="133">
        <f>IF(B$17=0,0,G11/B$17)</f>
        <v>9.8859315589353611E-2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72</v>
      </c>
      <c r="F12" s="60" t="s">
        <v>27</v>
      </c>
      <c r="G12" s="47">
        <v>15</v>
      </c>
      <c r="H12" s="133">
        <f>IF(B$17=0,0,G12/B$17)</f>
        <v>5.7034220532319393E-2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87</v>
      </c>
      <c r="F13" s="60" t="s">
        <v>42</v>
      </c>
      <c r="G13" s="47">
        <v>14</v>
      </c>
      <c r="H13" s="133">
        <f>IF(B$17=0,0,G13/B$17)</f>
        <v>5.3231939163498096E-2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84</v>
      </c>
      <c r="F14" s="60" t="s">
        <v>39</v>
      </c>
      <c r="G14" s="47">
        <v>10</v>
      </c>
      <c r="H14" s="133">
        <f>IF(B$17=0,0,G14/B$17)</f>
        <v>3.8022813688212927E-2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82</v>
      </c>
      <c r="F15" s="60" t="s">
        <v>37</v>
      </c>
      <c r="G15" s="47">
        <v>8</v>
      </c>
      <c r="H15" s="133">
        <f>IF(B$17=0,0,G15/B$17)</f>
        <v>3.0418250950570342E-2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92</v>
      </c>
      <c r="F16" s="60" t="s">
        <v>47</v>
      </c>
      <c r="G16" s="47">
        <v>6</v>
      </c>
      <c r="H16" s="133">
        <f>IF(B$17=0,0,G16/B$17)</f>
        <v>2.2813688212927757E-2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180</v>
      </c>
      <c r="F18" s="60" t="s">
        <v>181</v>
      </c>
      <c r="G18" s="47">
        <v>5</v>
      </c>
      <c r="H18" s="133">
        <f>IF(B$17=0,0,G18/B$17)</f>
        <v>1.9011406844106463E-2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79</v>
      </c>
      <c r="F19" s="60" t="s">
        <v>34</v>
      </c>
      <c r="G19" s="47">
        <v>4</v>
      </c>
      <c r="H19" s="133">
        <f>IF(B$17=0,0,G19/B$17)</f>
        <v>1.5209125475285171E-2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74</v>
      </c>
      <c r="F20" s="60" t="s">
        <v>29</v>
      </c>
      <c r="G20" s="47">
        <v>2</v>
      </c>
      <c r="H20" s="133">
        <f>IF(B$17=0,0,G20/B$17)</f>
        <v>7.6045627376425855E-3</v>
      </c>
      <c r="I20" s="94">
        <v>3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75</v>
      </c>
      <c r="F21" s="60" t="s">
        <v>30</v>
      </c>
      <c r="G21" s="47">
        <v>2</v>
      </c>
      <c r="H21" s="133">
        <f>IF(B$17=0,0,G21/B$17)</f>
        <v>7.6045627376425855E-3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-12.139130434782608</v>
      </c>
      <c r="P21" s="119">
        <v>23</v>
      </c>
      <c r="Q21" s="107">
        <v>-279.2</v>
      </c>
    </row>
    <row r="22" spans="1:17" x14ac:dyDescent="0.4">
      <c r="A22" s="55" t="s">
        <v>192</v>
      </c>
      <c r="B22" s="47">
        <v>24</v>
      </c>
      <c r="C22" s="135">
        <v>12</v>
      </c>
      <c r="E22" s="63" t="s">
        <v>76</v>
      </c>
      <c r="F22" s="60" t="s">
        <v>31</v>
      </c>
      <c r="G22" s="47">
        <v>2</v>
      </c>
      <c r="H22" s="133">
        <f>IF(B$17=0,0,G22/B$17)</f>
        <v>7.6045627376425855E-3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78</v>
      </c>
      <c r="F23" s="60" t="s">
        <v>33</v>
      </c>
      <c r="G23" s="47">
        <v>1</v>
      </c>
      <c r="H23" s="133">
        <f>IF(B$17=0,0,G23/B$17)</f>
        <v>3.8022813688212928E-3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85</v>
      </c>
      <c r="F24" s="60" t="s">
        <v>40</v>
      </c>
      <c r="G24" s="47">
        <v>1</v>
      </c>
      <c r="H24" s="133">
        <f>IF(B$17=0,0,G24/B$17)</f>
        <v>3.8022813688212928E-3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3.8022813688212928E-3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3.8022813688212928E-3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94</v>
      </c>
      <c r="F27" s="60" t="s">
        <v>49</v>
      </c>
      <c r="G27" s="47">
        <v>1</v>
      </c>
      <c r="H27" s="133">
        <f>IF(B$17=0,0,G27/B$17)</f>
        <v>3.8022813688212928E-3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3.8022813688212928E-3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60" t="s">
        <v>112</v>
      </c>
      <c r="F51" s="161" t="s">
        <v>64</v>
      </c>
      <c r="G51" s="48">
        <v>0</v>
      </c>
      <c r="H51" s="162">
        <f>IF(B$17=0,0,G51/B$17)</f>
        <v>0</v>
      </c>
      <c r="I51" s="163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78</v>
      </c>
      <c r="C2" s="147"/>
      <c r="E2" s="62" t="s">
        <v>67</v>
      </c>
      <c r="F2" s="59" t="s">
        <v>23</v>
      </c>
      <c r="G2" s="46">
        <v>136</v>
      </c>
      <c r="H2" s="132">
        <f>IF(B$17=0,0,G2/B$17)</f>
        <v>0.88888888888888884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-2541.0256410256411</v>
      </c>
      <c r="P2" s="118">
        <v>78</v>
      </c>
      <c r="Q2" s="102">
        <v>-198200</v>
      </c>
    </row>
    <row r="3" spans="1:17" x14ac:dyDescent="0.4">
      <c r="A3" s="55" t="s">
        <v>8</v>
      </c>
      <c r="B3" s="148">
        <v>650</v>
      </c>
      <c r="C3" s="149"/>
      <c r="E3" s="63" t="s">
        <v>65</v>
      </c>
      <c r="F3" s="60" t="s">
        <v>21</v>
      </c>
      <c r="G3" s="47">
        <v>92</v>
      </c>
      <c r="H3" s="133">
        <f>IF(B$17=0,0,G3/B$17)</f>
        <v>0.60130718954248363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-1084.2105263157894</v>
      </c>
      <c r="P3" s="119">
        <v>76</v>
      </c>
      <c r="Q3" s="103">
        <v>-82400</v>
      </c>
    </row>
    <row r="4" spans="1:17" x14ac:dyDescent="0.4">
      <c r="A4" s="55" t="s">
        <v>6</v>
      </c>
      <c r="B4" s="150">
        <v>-1169.8999999999999</v>
      </c>
      <c r="C4" s="151"/>
      <c r="E4" s="63" t="s">
        <v>69</v>
      </c>
      <c r="F4" s="60" t="s">
        <v>12</v>
      </c>
      <c r="G4" s="47">
        <v>62</v>
      </c>
      <c r="H4" s="133">
        <f>IF(B$17=0,0,G4/B$17)</f>
        <v>0.40522875816993464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-220.83333333333334</v>
      </c>
      <c r="P4" s="119">
        <v>72</v>
      </c>
      <c r="Q4" s="103">
        <v>-15900</v>
      </c>
    </row>
    <row r="5" spans="1:17" x14ac:dyDescent="0.4">
      <c r="A5" s="55" t="s">
        <v>7</v>
      </c>
      <c r="B5" s="152">
        <f>IF(B$2=0,0,B$4/B$2)</f>
        <v>-14.998717948717948</v>
      </c>
      <c r="C5" s="153"/>
      <c r="E5" s="63" t="s">
        <v>68</v>
      </c>
      <c r="F5" s="60" t="s">
        <v>24</v>
      </c>
      <c r="G5" s="47">
        <v>58</v>
      </c>
      <c r="H5" s="133">
        <f>IF(B$17=0,0,G5/B$17)</f>
        <v>0.37908496732026142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-4645.3125</v>
      </c>
      <c r="P5" s="119">
        <v>64</v>
      </c>
      <c r="Q5" s="103">
        <v>-297300</v>
      </c>
    </row>
    <row r="6" spans="1:17" x14ac:dyDescent="0.4">
      <c r="A6" s="55" t="s">
        <v>1</v>
      </c>
      <c r="B6" s="142">
        <f>IF(B$2=0,0,(B$7*1+B$8*2+B$9*3)/B$2)</f>
        <v>2.2564102564102564</v>
      </c>
      <c r="C6" s="143"/>
      <c r="E6" s="63" t="s">
        <v>245</v>
      </c>
      <c r="F6" s="60" t="s">
        <v>246</v>
      </c>
      <c r="G6" s="47">
        <v>58</v>
      </c>
      <c r="H6" s="133">
        <f>IF(B$17=0,0,G6/B$17)</f>
        <v>0.37908496732026142</v>
      </c>
      <c r="I6" s="94">
        <v>10</v>
      </c>
      <c r="K6" s="38">
        <v>4</v>
      </c>
      <c r="L6" s="99">
        <v>-31.4</v>
      </c>
      <c r="N6" s="115" t="s">
        <v>136</v>
      </c>
      <c r="O6" s="122">
        <f t="shared" si="0"/>
        <v>-1567.2413793103449</v>
      </c>
      <c r="P6" s="119">
        <v>58</v>
      </c>
      <c r="Q6" s="103">
        <v>-90900</v>
      </c>
    </row>
    <row r="7" spans="1:17" x14ac:dyDescent="0.4">
      <c r="A7" s="55" t="s">
        <v>2</v>
      </c>
      <c r="B7" s="47">
        <v>19</v>
      </c>
      <c r="C7" s="39">
        <f>IF(B$2=0,0,B7/B$2)</f>
        <v>0.24358974358974358</v>
      </c>
      <c r="E7" s="63" t="s">
        <v>73</v>
      </c>
      <c r="F7" s="60" t="s">
        <v>28</v>
      </c>
      <c r="G7" s="47">
        <v>47</v>
      </c>
      <c r="H7" s="133">
        <f>IF(B$17=0,0,G7/B$17)</f>
        <v>0.30718954248366015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-1477.3584905660377</v>
      </c>
      <c r="P7" s="120">
        <v>53</v>
      </c>
      <c r="Q7" s="104">
        <v>-78300</v>
      </c>
    </row>
    <row r="8" spans="1:17" x14ac:dyDescent="0.4">
      <c r="A8" s="55" t="s">
        <v>3</v>
      </c>
      <c r="B8" s="47">
        <v>20</v>
      </c>
      <c r="C8" s="39">
        <f>IF(B$2=0,0,B8/B$2)</f>
        <v>0.25641025641025639</v>
      </c>
      <c r="E8" s="63" t="s">
        <v>70</v>
      </c>
      <c r="F8" s="60" t="s">
        <v>25</v>
      </c>
      <c r="G8" s="47">
        <v>31</v>
      </c>
      <c r="H8" s="133">
        <f>IF(B$17=0,0,G8/B$17)</f>
        <v>0.20261437908496732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22</v>
      </c>
      <c r="H9" s="133">
        <f>IF(B$17=0,0,G9/B$17)</f>
        <v>0.1437908496732026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0.17948717948717949</v>
      </c>
      <c r="E10" s="63" t="s">
        <v>72</v>
      </c>
      <c r="F10" s="60" t="s">
        <v>27</v>
      </c>
      <c r="G10" s="47">
        <v>16</v>
      </c>
      <c r="H10" s="133">
        <f>IF(B$17=0,0,G10/B$17)</f>
        <v>0.10457516339869281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-18.191666666666663</v>
      </c>
      <c r="P10" s="118">
        <v>24</v>
      </c>
      <c r="Q10" s="106">
        <v>-436.59999999999991</v>
      </c>
    </row>
    <row r="11" spans="1:17" x14ac:dyDescent="0.4">
      <c r="A11" s="56" t="s">
        <v>140</v>
      </c>
      <c r="B11" s="48">
        <v>8</v>
      </c>
      <c r="C11" s="40">
        <f>IF(B$2=0,0,B11/B$2)</f>
        <v>0.10256410256410256</v>
      </c>
      <c r="E11" s="63" t="s">
        <v>66</v>
      </c>
      <c r="F11" s="60" t="s">
        <v>22</v>
      </c>
      <c r="G11" s="47">
        <v>14</v>
      </c>
      <c r="H11" s="133">
        <f>IF(B$17=0,0,G11/B$17)</f>
        <v>9.1503267973856203E-2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-12.496875000000005</v>
      </c>
      <c r="P11" s="119">
        <v>32</v>
      </c>
      <c r="Q11" s="107">
        <v>-399.90000000000015</v>
      </c>
    </row>
    <row r="12" spans="1:17" x14ac:dyDescent="0.4">
      <c r="A12" s="57" t="s">
        <v>160</v>
      </c>
      <c r="B12" s="49">
        <v>5</v>
      </c>
      <c r="C12" s="42">
        <f>IF(B$2=0,0,B12/B$2)</f>
        <v>6.4102564102564097E-2</v>
      </c>
      <c r="E12" s="63" t="s">
        <v>90</v>
      </c>
      <c r="F12" s="60" t="s">
        <v>45</v>
      </c>
      <c r="G12" s="47">
        <v>12</v>
      </c>
      <c r="H12" s="133">
        <f>IF(B$17=0,0,G12/B$17)</f>
        <v>7.8431372549019607E-2</v>
      </c>
      <c r="I12" s="94">
        <v>12</v>
      </c>
      <c r="K12" s="38">
        <v>10</v>
      </c>
      <c r="L12" s="99">
        <v>-231.39999999999998</v>
      </c>
      <c r="N12" s="116" t="s">
        <v>166</v>
      </c>
      <c r="O12" s="126">
        <f>IF(P12=0,0,Q12/P12)</f>
        <v>-15.154545454545451</v>
      </c>
      <c r="P12" s="120">
        <v>22</v>
      </c>
      <c r="Q12" s="108">
        <v>-333.39999999999992</v>
      </c>
    </row>
    <row r="13" spans="1:17" x14ac:dyDescent="0.4">
      <c r="A13" s="58" t="s">
        <v>122</v>
      </c>
      <c r="B13" s="50">
        <v>183</v>
      </c>
      <c r="C13" s="44">
        <f>IF(B$3=0,0,B13/B$3)</f>
        <v>0.28153846153846152</v>
      </c>
      <c r="E13" s="63" t="s">
        <v>87</v>
      </c>
      <c r="F13" s="60" t="s">
        <v>42</v>
      </c>
      <c r="G13" s="47">
        <v>10</v>
      </c>
      <c r="H13" s="133">
        <f>IF(B$17=0,0,G13/B$17)</f>
        <v>6.535947712418301E-2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</v>
      </c>
      <c r="C14" s="39">
        <f>IF(B$3=0,0,B14/B$3)</f>
        <v>0.15538461538461537</v>
      </c>
      <c r="E14" s="63" t="s">
        <v>79</v>
      </c>
      <c r="F14" s="60" t="s">
        <v>34</v>
      </c>
      <c r="G14" s="47">
        <v>5</v>
      </c>
      <c r="H14" s="133">
        <f>IF(B$17=0,0,G14/B$17)</f>
        <v>3.2679738562091505E-2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95</v>
      </c>
      <c r="C15" s="37">
        <f>IF(B$13=0,0,B15/B$13)</f>
        <v>0.51912568306010931</v>
      </c>
      <c r="E15" s="63" t="s">
        <v>84</v>
      </c>
      <c r="F15" s="60" t="s">
        <v>39</v>
      </c>
      <c r="G15" s="47">
        <v>5</v>
      </c>
      <c r="H15" s="133">
        <f>IF(B$17=0,0,G15/B$17)</f>
        <v>3.2679738562091505E-2</v>
      </c>
      <c r="I15" s="94">
        <v>10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24</v>
      </c>
      <c r="C16" s="37">
        <f>IF(B$14=0,0,B16/B$14)</f>
        <v>0.23762376237623761</v>
      </c>
      <c r="E16" s="63" t="s">
        <v>82</v>
      </c>
      <c r="F16" s="60" t="s">
        <v>37</v>
      </c>
      <c r="G16" s="47">
        <v>3</v>
      </c>
      <c r="H16" s="133">
        <f>IF(B$17=0,0,G16/B$17)</f>
        <v>1.9607843137254902E-2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153</v>
      </c>
      <c r="C17" s="37">
        <f>IF(B$3=0,0,B17/B$3)</f>
        <v>0.23538461538461539</v>
      </c>
      <c r="E17" s="63" t="s">
        <v>75</v>
      </c>
      <c r="F17" s="60" t="s">
        <v>30</v>
      </c>
      <c r="G17" s="47">
        <v>2</v>
      </c>
      <c r="H17" s="133">
        <f>IF(B$17=0,0,G17/B$17)</f>
        <v>1.3071895424836602E-2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70</v>
      </c>
      <c r="C18" s="39">
        <f>IF(B$17=0,0,B18/B$17)</f>
        <v>0.45751633986928103</v>
      </c>
      <c r="E18" s="63" t="s">
        <v>88</v>
      </c>
      <c r="F18" s="60" t="s">
        <v>43</v>
      </c>
      <c r="G18" s="47">
        <v>2</v>
      </c>
      <c r="H18" s="133">
        <f>IF(B$17=0,0,G18/B$17)</f>
        <v>1.3071895424836602E-2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83</v>
      </c>
      <c r="C19" s="39">
        <f>IF(B$17=0,0,B19/B$17)</f>
        <v>0.54248366013071891</v>
      </c>
      <c r="E19" s="63" t="s">
        <v>94</v>
      </c>
      <c r="F19" s="60" t="s">
        <v>49</v>
      </c>
      <c r="G19" s="47">
        <v>2</v>
      </c>
      <c r="H19" s="133">
        <f>IF(B$17=0,0,G19/B$17)</f>
        <v>1.3071895424836602E-2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-27.670833333333338</v>
      </c>
      <c r="P19" s="119">
        <v>48</v>
      </c>
      <c r="Q19" s="107">
        <v>-1328.2000000000003</v>
      </c>
    </row>
    <row r="20" spans="1:17" x14ac:dyDescent="0.4">
      <c r="A20" s="55" t="s">
        <v>13</v>
      </c>
      <c r="B20" s="47">
        <v>124</v>
      </c>
      <c r="C20" s="39">
        <f>IF(B$3=0,0,B20/B$3)</f>
        <v>0.19076923076923077</v>
      </c>
      <c r="E20" s="63" t="s">
        <v>78</v>
      </c>
      <c r="F20" s="60" t="s">
        <v>33</v>
      </c>
      <c r="G20" s="47">
        <v>1</v>
      </c>
      <c r="H20" s="133">
        <f>IF(B$17=0,0,G20/B$17)</f>
        <v>6.5359477124183009E-3</v>
      </c>
      <c r="I20" s="94">
        <v>1</v>
      </c>
      <c r="K20" s="38">
        <v>18</v>
      </c>
      <c r="L20" s="99">
        <v>-537.19999999999993</v>
      </c>
      <c r="N20" s="115" t="s">
        <v>171</v>
      </c>
      <c r="O20" s="125">
        <f>IF(P20=0,0,Q20/P20)</f>
        <v>-28.057692307692303</v>
      </c>
      <c r="P20" s="119">
        <v>26</v>
      </c>
      <c r="Q20" s="107">
        <v>-729.49999999999989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6.5359477124183009E-3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-34.278947368421044</v>
      </c>
      <c r="P21" s="119">
        <v>19</v>
      </c>
      <c r="Q21" s="107">
        <v>-651.29999999999984</v>
      </c>
    </row>
    <row r="22" spans="1:17" x14ac:dyDescent="0.4">
      <c r="A22" s="55" t="s">
        <v>192</v>
      </c>
      <c r="B22" s="47">
        <v>31</v>
      </c>
      <c r="C22" s="135">
        <v>8</v>
      </c>
      <c r="E22" s="63" t="s">
        <v>89</v>
      </c>
      <c r="F22" s="60" t="s">
        <v>44</v>
      </c>
      <c r="G22" s="47">
        <v>1</v>
      </c>
      <c r="H22" s="133">
        <f>IF(B$17=0,0,G22/B$17)</f>
        <v>6.5359477124183009E-3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8882.3529411764703</v>
      </c>
      <c r="C23" s="41">
        <v>1359000</v>
      </c>
      <c r="E23" s="63" t="s">
        <v>92</v>
      </c>
      <c r="F23" s="60" t="s">
        <v>47</v>
      </c>
      <c r="G23" s="47">
        <v>1</v>
      </c>
      <c r="H23" s="133">
        <f>IF(B$17=0,0,G23/B$17)</f>
        <v>6.5359477124183009E-3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-9277.4193548387102</v>
      </c>
      <c r="C24" s="45">
        <v>-1150400</v>
      </c>
      <c r="E24" s="63" t="s">
        <v>93</v>
      </c>
      <c r="F24" s="60" t="s">
        <v>48</v>
      </c>
      <c r="G24" s="47">
        <v>1</v>
      </c>
      <c r="H24" s="133">
        <f>IF(B$17=0,0,G24/B$17)</f>
        <v>6.5359477124183009E-3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1.5384615384615385E-3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85</v>
      </c>
      <c r="C2" s="147"/>
      <c r="E2" s="62" t="s">
        <v>67</v>
      </c>
      <c r="F2" s="59" t="s">
        <v>23</v>
      </c>
      <c r="G2" s="46">
        <v>172</v>
      </c>
      <c r="H2" s="132">
        <f>IF(B$17=0,0,G2/B$17)</f>
        <v>0.84729064039408863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-372.94117647058823</v>
      </c>
      <c r="P2" s="118">
        <v>85</v>
      </c>
      <c r="Q2" s="102">
        <v>-31700</v>
      </c>
    </row>
    <row r="3" spans="1:17" x14ac:dyDescent="0.4">
      <c r="A3" s="55" t="s">
        <v>8</v>
      </c>
      <c r="B3" s="148">
        <v>708</v>
      </c>
      <c r="C3" s="149"/>
      <c r="E3" s="63" t="s">
        <v>65</v>
      </c>
      <c r="F3" s="60" t="s">
        <v>21</v>
      </c>
      <c r="G3" s="47">
        <v>111</v>
      </c>
      <c r="H3" s="133">
        <f>IF(B$17=0,0,G3/B$17)</f>
        <v>0.54679802955665024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791.56626506024099</v>
      </c>
      <c r="P3" s="119">
        <v>83</v>
      </c>
      <c r="Q3" s="103">
        <v>65700</v>
      </c>
    </row>
    <row r="4" spans="1:17" x14ac:dyDescent="0.4">
      <c r="A4" s="55" t="s">
        <v>6</v>
      </c>
      <c r="B4" s="150">
        <v>213.10000000000002</v>
      </c>
      <c r="C4" s="151"/>
      <c r="E4" s="63" t="s">
        <v>73</v>
      </c>
      <c r="F4" s="60" t="s">
        <v>28</v>
      </c>
      <c r="G4" s="47">
        <v>105</v>
      </c>
      <c r="H4" s="133">
        <f>IF(B$17=0,0,G4/B$17)</f>
        <v>0.51724137931034486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1650.6493506493507</v>
      </c>
      <c r="P4" s="119">
        <v>77</v>
      </c>
      <c r="Q4" s="103">
        <v>127100</v>
      </c>
    </row>
    <row r="5" spans="1:17" x14ac:dyDescent="0.4">
      <c r="A5" s="55" t="s">
        <v>7</v>
      </c>
      <c r="B5" s="152">
        <f>IF(B$2=0,0,B$4/B$2)</f>
        <v>2.507058823529412</v>
      </c>
      <c r="C5" s="153"/>
      <c r="E5" s="63" t="s">
        <v>245</v>
      </c>
      <c r="F5" s="60" t="s">
        <v>246</v>
      </c>
      <c r="G5" s="47">
        <v>79</v>
      </c>
      <c r="H5" s="133">
        <f>IF(B$17=0,0,G5/B$17)</f>
        <v>0.3891625615763547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1331.3432835820895</v>
      </c>
      <c r="P5" s="119">
        <v>67</v>
      </c>
      <c r="Q5" s="103">
        <v>89200</v>
      </c>
    </row>
    <row r="6" spans="1:17" x14ac:dyDescent="0.4">
      <c r="A6" s="55" t="s">
        <v>1</v>
      </c>
      <c r="B6" s="142">
        <f>IF(B$2=0,0,(B$7*1+B$8*2+B$9*3)/B$2)</f>
        <v>2.0117647058823529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0.34482758620689657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-522.03389830508479</v>
      </c>
      <c r="P6" s="119">
        <v>59</v>
      </c>
      <c r="Q6" s="103">
        <v>-30800</v>
      </c>
    </row>
    <row r="7" spans="1:17" x14ac:dyDescent="0.4">
      <c r="A7" s="55" t="s">
        <v>2</v>
      </c>
      <c r="B7" s="47">
        <v>27</v>
      </c>
      <c r="C7" s="39">
        <f>IF(B$2=0,0,B7/B$2)</f>
        <v>0.31764705882352939</v>
      </c>
      <c r="E7" s="63" t="s">
        <v>69</v>
      </c>
      <c r="F7" s="60" t="s">
        <v>12</v>
      </c>
      <c r="G7" s="47">
        <v>60</v>
      </c>
      <c r="H7" s="133">
        <f>IF(B$17=0,0,G7/B$17)</f>
        <v>0.29556650246305421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-285.18518518518516</v>
      </c>
      <c r="P7" s="120">
        <v>54</v>
      </c>
      <c r="Q7" s="104">
        <v>-15400</v>
      </c>
    </row>
    <row r="8" spans="1:17" x14ac:dyDescent="0.4">
      <c r="A8" s="55" t="s">
        <v>3</v>
      </c>
      <c r="B8" s="47">
        <v>30</v>
      </c>
      <c r="C8" s="39">
        <f>IF(B$2=0,0,B8/B$2)</f>
        <v>0.35294117647058826</v>
      </c>
      <c r="E8" s="63" t="s">
        <v>70</v>
      </c>
      <c r="F8" s="60" t="s">
        <v>25</v>
      </c>
      <c r="G8" s="47">
        <v>39</v>
      </c>
      <c r="H8" s="133">
        <f>IF(B$17=0,0,G8/B$17)</f>
        <v>0.19211822660098521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0.32941176470588235</v>
      </c>
      <c r="E9" s="63" t="s">
        <v>90</v>
      </c>
      <c r="F9" s="60" t="s">
        <v>45</v>
      </c>
      <c r="G9" s="47">
        <v>35</v>
      </c>
      <c r="H9" s="133">
        <f>IF(B$17=0,0,G9/B$17)</f>
        <v>0.17241379310344829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8.2352941176470587E-2</v>
      </c>
      <c r="E10" s="63" t="s">
        <v>66</v>
      </c>
      <c r="F10" s="60" t="s">
        <v>22</v>
      </c>
      <c r="G10" s="47">
        <v>28</v>
      </c>
      <c r="H10" s="133">
        <f>IF(B$17=0,0,G10/B$17)</f>
        <v>0.13793103448275862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0.14117647058823529</v>
      </c>
      <c r="E11" s="63" t="s">
        <v>71</v>
      </c>
      <c r="F11" s="60" t="s">
        <v>26</v>
      </c>
      <c r="G11" s="47">
        <v>21</v>
      </c>
      <c r="H11" s="133">
        <f>IF(B$17=0,0,G11/B$17)</f>
        <v>0.10344827586206896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7.0588235294117646E-2</v>
      </c>
      <c r="E12" s="63" t="s">
        <v>87</v>
      </c>
      <c r="F12" s="60" t="s">
        <v>42</v>
      </c>
      <c r="G12" s="47">
        <v>15</v>
      </c>
      <c r="H12" s="133">
        <f>IF(B$17=0,0,G12/B$17)</f>
        <v>7.3891625615763554E-2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3.1206896551724137</v>
      </c>
      <c r="P12" s="120">
        <v>29</v>
      </c>
      <c r="Q12" s="108">
        <v>90.5</v>
      </c>
    </row>
    <row r="13" spans="1:17" x14ac:dyDescent="0.4">
      <c r="A13" s="58" t="s">
        <v>122</v>
      </c>
      <c r="B13" s="50">
        <v>207</v>
      </c>
      <c r="C13" s="44">
        <f>IF(B$3=0,0,B13/B$3)</f>
        <v>0.2923728813559322</v>
      </c>
      <c r="E13" s="63" t="s">
        <v>72</v>
      </c>
      <c r="F13" s="60" t="s">
        <v>27</v>
      </c>
      <c r="G13" s="47">
        <v>12</v>
      </c>
      <c r="H13" s="133">
        <f>IF(B$17=0,0,G13/B$17)</f>
        <v>5.9113300492610835E-2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0.18926553672316385</v>
      </c>
      <c r="E14" s="63" t="s">
        <v>84</v>
      </c>
      <c r="F14" s="60" t="s">
        <v>39</v>
      </c>
      <c r="G14" s="47">
        <v>11</v>
      </c>
      <c r="H14" s="133">
        <f>IF(B$17=0,0,G14/B$17)</f>
        <v>5.4187192118226604E-2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119</v>
      </c>
      <c r="C15" s="37">
        <f>IF(B$13=0,0,B15/B$13)</f>
        <v>0.5748792270531401</v>
      </c>
      <c r="E15" s="63" t="s">
        <v>79</v>
      </c>
      <c r="F15" s="60" t="s">
        <v>34</v>
      </c>
      <c r="G15" s="47">
        <v>9</v>
      </c>
      <c r="H15" s="133">
        <f>IF(B$17=0,0,G15/B$17)</f>
        <v>4.4334975369458129E-2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28.057692307692299</v>
      </c>
      <c r="P15" s="118">
        <v>26</v>
      </c>
      <c r="Q15" s="106">
        <v>729.49999999999977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82</v>
      </c>
      <c r="F16" s="60" t="s">
        <v>37</v>
      </c>
      <c r="G16" s="47">
        <v>8</v>
      </c>
      <c r="H16" s="133">
        <f>IF(B$17=0,0,G16/B$17)</f>
        <v>3.9408866995073892E-2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203</v>
      </c>
      <c r="C17" s="37">
        <f>IF(B$3=0,0,B17/B$3)</f>
        <v>0.2867231638418079</v>
      </c>
      <c r="E17" s="63" t="s">
        <v>92</v>
      </c>
      <c r="F17" s="60" t="s">
        <v>47</v>
      </c>
      <c r="G17" s="47">
        <v>6</v>
      </c>
      <c r="H17" s="133">
        <f>IF(B$17=0,0,G17/B$17)</f>
        <v>2.9556650246305417E-2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83</v>
      </c>
      <c r="C18" s="39">
        <f>IF(B$17=0,0,B18/B$17)</f>
        <v>0.40886699507389163</v>
      </c>
      <c r="E18" s="63" t="s">
        <v>180</v>
      </c>
      <c r="F18" s="60" t="s">
        <v>181</v>
      </c>
      <c r="G18" s="47">
        <v>4</v>
      </c>
      <c r="H18" s="133">
        <f>IF(B$17=0,0,G18/B$17)</f>
        <v>1.9704433497536946E-2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0.59113300492610843</v>
      </c>
      <c r="E19" s="63" t="s">
        <v>76</v>
      </c>
      <c r="F19" s="60" t="s">
        <v>31</v>
      </c>
      <c r="G19" s="47">
        <v>3</v>
      </c>
      <c r="H19" s="133">
        <f>IF(B$17=0,0,G19/B$17)</f>
        <v>1.4778325123152709E-2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120</v>
      </c>
      <c r="C20" s="39">
        <f>IF(B$3=0,0,B20/B$3)</f>
        <v>0.16949152542372881</v>
      </c>
      <c r="E20" s="63" t="s">
        <v>80</v>
      </c>
      <c r="F20" s="60" t="s">
        <v>35</v>
      </c>
      <c r="G20" s="47">
        <v>3</v>
      </c>
      <c r="H20" s="133">
        <f>IF(B$17=0,0,G20/B$17)</f>
        <v>1.4778325123152709E-2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9.852216748768473E-3</v>
      </c>
      <c r="I21" s="94">
        <v>1</v>
      </c>
      <c r="K21" s="38">
        <v>19</v>
      </c>
      <c r="L21" s="99">
        <v>0.60000000000000853</v>
      </c>
      <c r="N21" s="115" t="s">
        <v>200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93</v>
      </c>
      <c r="F22" s="60" t="s">
        <v>48</v>
      </c>
      <c r="G22" s="47">
        <v>2</v>
      </c>
      <c r="H22" s="133">
        <f>IF(B$17=0,0,G22/B$17)</f>
        <v>9.852216748768473E-3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10064.039408866995</v>
      </c>
      <c r="C23" s="41">
        <v>2043000</v>
      </c>
      <c r="E23" s="63" t="s">
        <v>74</v>
      </c>
      <c r="F23" s="60" t="s">
        <v>29</v>
      </c>
      <c r="G23" s="47">
        <v>1</v>
      </c>
      <c r="H23" s="133">
        <f>IF(B$17=0,0,G23/B$17)</f>
        <v>4.9261083743842365E-3</v>
      </c>
      <c r="I23" s="94">
        <v>6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-8291.6666666666661</v>
      </c>
      <c r="C24" s="45">
        <v>-995000</v>
      </c>
      <c r="E24" s="63" t="s">
        <v>88</v>
      </c>
      <c r="F24" s="60" t="s">
        <v>43</v>
      </c>
      <c r="G24" s="47">
        <v>1</v>
      </c>
      <c r="H24" s="133">
        <f>IF(B$17=0,0,G24/B$17)</f>
        <v>4.9261083743842365E-3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4.9261083743842365E-3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1.4124293785310734E-3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60" t="s">
        <v>112</v>
      </c>
      <c r="F51" s="161" t="s">
        <v>64</v>
      </c>
      <c r="G51" s="48">
        <v>0</v>
      </c>
      <c r="H51" s="162">
        <f>IF(B$17=0,0,G51/B$17)</f>
        <v>0</v>
      </c>
      <c r="I51" s="163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139</v>
      </c>
      <c r="H2" s="132">
        <f>IF(B$17=0,0,G2/B$17)</f>
        <v>0.66190476190476188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704.3478260869565</v>
      </c>
      <c r="P2" s="118">
        <v>69</v>
      </c>
      <c r="Q2" s="102">
        <v>48600</v>
      </c>
    </row>
    <row r="3" spans="1:17" x14ac:dyDescent="0.4">
      <c r="A3" s="55" t="s">
        <v>8</v>
      </c>
      <c r="B3" s="148">
        <v>597</v>
      </c>
      <c r="C3" s="149"/>
      <c r="E3" s="63" t="s">
        <v>73</v>
      </c>
      <c r="F3" s="60" t="s">
        <v>28</v>
      </c>
      <c r="G3" s="47">
        <v>118</v>
      </c>
      <c r="H3" s="133">
        <f>IF(B$17=0,0,G3/B$17)</f>
        <v>0.56190476190476191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-755.07246376811599</v>
      </c>
      <c r="P3" s="119">
        <v>69</v>
      </c>
      <c r="Q3" s="103">
        <v>-52100</v>
      </c>
    </row>
    <row r="4" spans="1:17" x14ac:dyDescent="0.4">
      <c r="A4" s="55" t="s">
        <v>6</v>
      </c>
      <c r="B4" s="150">
        <v>-7.6000000000000298</v>
      </c>
      <c r="C4" s="151"/>
      <c r="E4" s="63" t="s">
        <v>245</v>
      </c>
      <c r="F4" s="60" t="s">
        <v>246</v>
      </c>
      <c r="G4" s="47">
        <v>93</v>
      </c>
      <c r="H4" s="133">
        <f>IF(B$17=0,0,G4/B$17)</f>
        <v>0.44285714285714284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-1608.0645161290322</v>
      </c>
      <c r="P4" s="119">
        <v>62</v>
      </c>
      <c r="Q4" s="103">
        <v>-99700</v>
      </c>
    </row>
    <row r="5" spans="1:17" x14ac:dyDescent="0.4">
      <c r="A5" s="55" t="s">
        <v>7</v>
      </c>
      <c r="B5" s="152">
        <f>IF(B$2=0,0,B$4/B$2)</f>
        <v>-0.11014492753623231</v>
      </c>
      <c r="C5" s="153"/>
      <c r="E5" s="63" t="s">
        <v>65</v>
      </c>
      <c r="F5" s="60" t="s">
        <v>21</v>
      </c>
      <c r="G5" s="47">
        <v>72</v>
      </c>
      <c r="H5" s="133">
        <f>IF(B$17=0,0,G5/B$17)</f>
        <v>0.34285714285714286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715.25423728813564</v>
      </c>
      <c r="P5" s="119">
        <v>59</v>
      </c>
      <c r="Q5" s="103">
        <v>42200</v>
      </c>
    </row>
    <row r="6" spans="1:17" x14ac:dyDescent="0.4">
      <c r="A6" s="55" t="s">
        <v>1</v>
      </c>
      <c r="B6" s="142">
        <f>IF(B$2=0,0,(B$7*1+B$8*2+B$9*3)/B$2)</f>
        <v>2.0289855072463769</v>
      </c>
      <c r="C6" s="143"/>
      <c r="E6" s="63" t="s">
        <v>69</v>
      </c>
      <c r="F6" s="60" t="s">
        <v>12</v>
      </c>
      <c r="G6" s="47">
        <v>55</v>
      </c>
      <c r="H6" s="133">
        <f>IF(B$17=0,0,G6/B$17)</f>
        <v>0.26190476190476192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943.85964912280701</v>
      </c>
      <c r="P6" s="119">
        <v>57</v>
      </c>
      <c r="Q6" s="103">
        <v>53800</v>
      </c>
    </row>
    <row r="7" spans="1:17" x14ac:dyDescent="0.4">
      <c r="A7" s="55" t="s">
        <v>2</v>
      </c>
      <c r="B7" s="47">
        <v>19</v>
      </c>
      <c r="C7" s="39">
        <f>IF(B$2=0,0,B7/B$2)</f>
        <v>0.27536231884057971</v>
      </c>
      <c r="E7" s="63" t="s">
        <v>68</v>
      </c>
      <c r="F7" s="60" t="s">
        <v>24</v>
      </c>
      <c r="G7" s="47">
        <v>35</v>
      </c>
      <c r="H7" s="133">
        <f>IF(B$17=0,0,G7/B$17)</f>
        <v>0.16666666666666666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-255.10204081632654</v>
      </c>
      <c r="P7" s="120">
        <v>49</v>
      </c>
      <c r="Q7" s="104">
        <v>-12500</v>
      </c>
    </row>
    <row r="8" spans="1:17" x14ac:dyDescent="0.4">
      <c r="A8" s="55" t="s">
        <v>3</v>
      </c>
      <c r="B8" s="47">
        <v>29</v>
      </c>
      <c r="C8" s="39">
        <f>IF(B$2=0,0,B8/B$2)</f>
        <v>0.42028985507246375</v>
      </c>
      <c r="E8" s="63" t="s">
        <v>70</v>
      </c>
      <c r="F8" s="60" t="s">
        <v>25</v>
      </c>
      <c r="G8" s="47">
        <v>31</v>
      </c>
      <c r="H8" s="133">
        <f>IF(B$17=0,0,G8/B$17)</f>
        <v>0.14761904761904762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0.30434782608695654</v>
      </c>
      <c r="E9" s="63" t="s">
        <v>66</v>
      </c>
      <c r="F9" s="60" t="s">
        <v>22</v>
      </c>
      <c r="G9" s="47">
        <v>24</v>
      </c>
      <c r="H9" s="133">
        <f>IF(B$17=0,0,G9/B$17)</f>
        <v>0.11428571428571428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72</v>
      </c>
      <c r="F10" s="60" t="s">
        <v>27</v>
      </c>
      <c r="G10" s="47">
        <v>17</v>
      </c>
      <c r="H10" s="133">
        <f>IF(B$17=0,0,G10/B$17)</f>
        <v>8.0952380952380956E-2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0.10144927536231885</v>
      </c>
      <c r="E11" s="63" t="s">
        <v>90</v>
      </c>
      <c r="F11" s="60" t="s">
        <v>45</v>
      </c>
      <c r="G11" s="47">
        <v>17</v>
      </c>
      <c r="H11" s="133">
        <f>IF(B$17=0,0,G11/B$17)</f>
        <v>8.0952380952380956E-2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71</v>
      </c>
      <c r="F12" s="60" t="s">
        <v>26</v>
      </c>
      <c r="G12" s="47">
        <v>13</v>
      </c>
      <c r="H12" s="133">
        <f>IF(B$17=0,0,G12/B$17)</f>
        <v>6.1904761904761907E-2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0.45185185185185184</v>
      </c>
      <c r="P12" s="120">
        <v>27</v>
      </c>
      <c r="Q12" s="108">
        <v>12.2</v>
      </c>
    </row>
    <row r="13" spans="1:17" x14ac:dyDescent="0.4">
      <c r="A13" s="58" t="s">
        <v>122</v>
      </c>
      <c r="B13" s="50">
        <v>129</v>
      </c>
      <c r="C13" s="44">
        <f>IF(B$3=0,0,B13/B$3)</f>
        <v>0.21608040201005024</v>
      </c>
      <c r="E13" s="63" t="s">
        <v>84</v>
      </c>
      <c r="F13" s="60" t="s">
        <v>39</v>
      </c>
      <c r="G13" s="47">
        <v>12</v>
      </c>
      <c r="H13" s="133">
        <f>IF(B$17=0,0,G13/B$17)</f>
        <v>5.7142857142857141E-2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0.29145728643216079</v>
      </c>
      <c r="E14" s="63" t="s">
        <v>87</v>
      </c>
      <c r="F14" s="60" t="s">
        <v>42</v>
      </c>
      <c r="G14" s="47">
        <v>8</v>
      </c>
      <c r="H14" s="133">
        <f>IF(B$17=0,0,G14/B$17)</f>
        <v>3.8095238095238099E-2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72</v>
      </c>
      <c r="C15" s="37">
        <f>IF(B$13=0,0,B15/B$13)</f>
        <v>0.55813953488372092</v>
      </c>
      <c r="E15" s="63" t="s">
        <v>82</v>
      </c>
      <c r="F15" s="60" t="s">
        <v>37</v>
      </c>
      <c r="G15" s="47">
        <v>7</v>
      </c>
      <c r="H15" s="133">
        <f>IF(B$17=0,0,G15/B$17)</f>
        <v>3.3333333333333333E-2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34.278947368421036</v>
      </c>
      <c r="P15" s="118">
        <v>19</v>
      </c>
      <c r="Q15" s="106">
        <v>651.29999999999973</v>
      </c>
    </row>
    <row r="16" spans="1:17" x14ac:dyDescent="0.4">
      <c r="A16" s="54" t="s">
        <v>125</v>
      </c>
      <c r="B16" s="46">
        <v>75</v>
      </c>
      <c r="C16" s="37">
        <f>IF(B$14=0,0,B16/B$14)</f>
        <v>0.43103448275862066</v>
      </c>
      <c r="E16" s="63" t="s">
        <v>79</v>
      </c>
      <c r="F16" s="60" t="s">
        <v>34</v>
      </c>
      <c r="G16" s="47">
        <v>3</v>
      </c>
      <c r="H16" s="133">
        <f>IF(B$17=0,0,G16/B$17)</f>
        <v>1.4285714285714285E-2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210</v>
      </c>
      <c r="C17" s="37">
        <f>IF(B$3=0,0,B17/B$3)</f>
        <v>0.35175879396984927</v>
      </c>
      <c r="E17" s="63" t="s">
        <v>80</v>
      </c>
      <c r="F17" s="60" t="s">
        <v>35</v>
      </c>
      <c r="G17" s="47">
        <v>3</v>
      </c>
      <c r="H17" s="133">
        <f>IF(B$17=0,0,G17/B$17)</f>
        <v>1.4285714285714285E-2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88</v>
      </c>
      <c r="C18" s="39">
        <f>IF(B$17=0,0,B18/B$17)</f>
        <v>0.41904761904761906</v>
      </c>
      <c r="E18" s="63" t="s">
        <v>92</v>
      </c>
      <c r="F18" s="60" t="s">
        <v>47</v>
      </c>
      <c r="G18" s="47">
        <v>2</v>
      </c>
      <c r="H18" s="133">
        <f>IF(B$17=0,0,G18/B$17)</f>
        <v>9.5238095238095247E-3</v>
      </c>
      <c r="I18" s="94">
        <v>7</v>
      </c>
      <c r="K18" s="38">
        <v>16</v>
      </c>
      <c r="L18" s="99">
        <v>-87.6</v>
      </c>
      <c r="N18" s="115" t="s">
        <v>200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122</v>
      </c>
      <c r="C19" s="39">
        <f>IF(B$17=0,0,B19/B$17)</f>
        <v>0.580952380952381</v>
      </c>
      <c r="E19" s="63" t="s">
        <v>74</v>
      </c>
      <c r="F19" s="60" t="s">
        <v>29</v>
      </c>
      <c r="G19" s="47">
        <v>1</v>
      </c>
      <c r="H19" s="133">
        <f>IF(B$17=0,0,G19/B$17)</f>
        <v>4.7619047619047623E-3</v>
      </c>
      <c r="I19" s="94">
        <v>7</v>
      </c>
      <c r="K19" s="38">
        <v>17</v>
      </c>
      <c r="L19" s="99">
        <v>-55.099999999999994</v>
      </c>
      <c r="N19" s="115" t="s">
        <v>173</v>
      </c>
      <c r="O19" s="125">
        <f>IF(P19=0,0,Q19/P19)</f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80</v>
      </c>
      <c r="C20" s="39">
        <f>IF(B$3=0,0,B20/B$3)</f>
        <v>0.13400335008375208</v>
      </c>
      <c r="E20" s="63" t="s">
        <v>75</v>
      </c>
      <c r="F20" s="60" t="s">
        <v>30</v>
      </c>
      <c r="G20" s="47">
        <v>1</v>
      </c>
      <c r="H20" s="133">
        <f>IF(B$17=0,0,G20/B$17)</f>
        <v>4.7619047619047623E-3</v>
      </c>
      <c r="I20" s="94">
        <v>4</v>
      </c>
      <c r="K20" s="38">
        <v>18</v>
      </c>
      <c r="L20" s="99">
        <v>-28.199999999999996</v>
      </c>
      <c r="N20" s="115" t="s">
        <v>177</v>
      </c>
      <c r="O20" s="125">
        <f>IF(P20=0,0,Q20/P20)</f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4.7619047619047623E-3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192</v>
      </c>
      <c r="B22" s="47">
        <v>23</v>
      </c>
      <c r="C22" s="135">
        <v>2</v>
      </c>
      <c r="E22" s="63" t="s">
        <v>88</v>
      </c>
      <c r="F22" s="60" t="s">
        <v>43</v>
      </c>
      <c r="G22" s="47">
        <v>1</v>
      </c>
      <c r="H22" s="133">
        <f>IF(B$17=0,0,G22/B$17)</f>
        <v>4.7619047619047623E-3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6635.7142857142853</v>
      </c>
      <c r="C23" s="41">
        <v>1393500</v>
      </c>
      <c r="E23" s="63" t="s">
        <v>91</v>
      </c>
      <c r="F23" s="60" t="s">
        <v>46</v>
      </c>
      <c r="G23" s="47">
        <v>1</v>
      </c>
      <c r="H23" s="133">
        <f>IF(B$17=0,0,G23/B$17)</f>
        <v>4.7619047619047623E-3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-22.883783783783784</v>
      </c>
      <c r="P23" s="119">
        <v>37</v>
      </c>
      <c r="Q23" s="107">
        <v>-846.7</v>
      </c>
    </row>
    <row r="24" spans="1:17" x14ac:dyDescent="0.4">
      <c r="A24" s="57" t="s">
        <v>14</v>
      </c>
      <c r="B24" s="52">
        <f>IF(B$20=0,0,C24/B$20)</f>
        <v>-8927.5</v>
      </c>
      <c r="C24" s="45">
        <v>-714200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1.6750418760469012E-3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67</v>
      </c>
      <c r="F2" s="59" t="s">
        <v>23</v>
      </c>
      <c r="G2" s="46">
        <v>77</v>
      </c>
      <c r="H2" s="132">
        <f>IF(B$17=0,0,G2/B$17)</f>
        <v>0.67543859649122806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73</v>
      </c>
      <c r="F3" s="60" t="s">
        <v>28</v>
      </c>
      <c r="G3" s="47">
        <v>59</v>
      </c>
      <c r="H3" s="133">
        <f>IF(B$17=0,0,G3/B$17)</f>
        <v>0.51754385964912286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65</v>
      </c>
      <c r="F4" s="60" t="s">
        <v>21</v>
      </c>
      <c r="G4" s="47">
        <v>50</v>
      </c>
      <c r="H4" s="133">
        <f>IF(B$17=0,0,G4/B$17)</f>
        <v>0.43859649122807015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245</v>
      </c>
      <c r="F5" s="60" t="s">
        <v>246</v>
      </c>
      <c r="G5" s="47">
        <v>45</v>
      </c>
      <c r="H5" s="133">
        <f>IF(B$17=0,0,G5/B$17)</f>
        <v>0.39473684210526316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68</v>
      </c>
      <c r="F7" s="60" t="s">
        <v>24</v>
      </c>
      <c r="G7" s="47">
        <v>28</v>
      </c>
      <c r="H7" s="133">
        <f>IF(B$17=0,0,G7/B$17)</f>
        <v>0.24561403508771928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14</v>
      </c>
      <c r="H9" s="133">
        <f>IF(B$17=0,0,G9/B$17)</f>
        <v>0.12280701754385964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70</v>
      </c>
      <c r="F10" s="60" t="s">
        <v>25</v>
      </c>
      <c r="G10" s="47">
        <v>13</v>
      </c>
      <c r="H10" s="133">
        <f>IF(B$17=0,0,G10/B$17)</f>
        <v>0.11403508771929824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66</v>
      </c>
      <c r="F11" s="60" t="s">
        <v>22</v>
      </c>
      <c r="G11" s="47">
        <v>9</v>
      </c>
      <c r="H11" s="133">
        <f>IF(B$17=0,0,G11/B$17)</f>
        <v>7.8947368421052627E-2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72</v>
      </c>
      <c r="F12" s="60" t="s">
        <v>27</v>
      </c>
      <c r="G12" s="47">
        <v>6</v>
      </c>
      <c r="H12" s="133">
        <f>IF(B$17=0,0,G12/B$17)</f>
        <v>5.2631578947368418E-2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87</v>
      </c>
      <c r="F13" s="60" t="s">
        <v>42</v>
      </c>
      <c r="G13" s="47">
        <v>4</v>
      </c>
      <c r="H13" s="133">
        <f>IF(B$17=0,0,G13/B$17)</f>
        <v>3.5087719298245612E-2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74</v>
      </c>
      <c r="F14" s="60" t="s">
        <v>29</v>
      </c>
      <c r="G14" s="47">
        <v>2</v>
      </c>
      <c r="H14" s="133">
        <f>IF(B$17=0,0,G14/B$17)</f>
        <v>1.7543859649122806E-2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79</v>
      </c>
      <c r="F15" s="60" t="s">
        <v>34</v>
      </c>
      <c r="G15" s="47">
        <v>2</v>
      </c>
      <c r="H15" s="133">
        <f>IF(B$17=0,0,G15/B$17)</f>
        <v>1.7543859649122806E-2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1.7543859649122806E-2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84</v>
      </c>
      <c r="F17" s="60" t="s">
        <v>39</v>
      </c>
      <c r="G17" s="47">
        <v>2</v>
      </c>
      <c r="H17" s="133">
        <f>IF(B$17=0,0,G17/B$17)</f>
        <v>1.7543859649122806E-2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92</v>
      </c>
      <c r="F18" s="60" t="s">
        <v>47</v>
      </c>
      <c r="G18" s="47">
        <v>2</v>
      </c>
      <c r="H18" s="133">
        <f>IF(B$17=0,0,G18/B$17)</f>
        <v>1.7543859649122806E-2</v>
      </c>
      <c r="I18" s="94">
        <v>6</v>
      </c>
      <c r="K18" s="38">
        <v>16</v>
      </c>
      <c r="L18" s="99">
        <v>-292.79999999999995</v>
      </c>
      <c r="N18" s="115" t="s">
        <v>177</v>
      </c>
      <c r="O18" s="125">
        <f>IF(P18=0,0,Q18/P18)</f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180</v>
      </c>
      <c r="F19" s="60" t="s">
        <v>181</v>
      </c>
      <c r="G19" s="47">
        <v>2</v>
      </c>
      <c r="H19" s="133">
        <f>IF(B$17=0,0,G19/B$17)</f>
        <v>1.7543859649122806E-2</v>
      </c>
      <c r="I19" s="94">
        <v>4</v>
      </c>
      <c r="K19" s="38">
        <v>17</v>
      </c>
      <c r="L19" s="99">
        <v>-248.89999999999995</v>
      </c>
      <c r="N19" s="115" t="s">
        <v>171</v>
      </c>
      <c r="O19" s="125">
        <f>IF(P19=0,0,Q19/P19)</f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2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60" t="s">
        <v>112</v>
      </c>
      <c r="F51" s="161" t="s">
        <v>64</v>
      </c>
      <c r="G51" s="48">
        <v>0</v>
      </c>
      <c r="H51" s="162">
        <f>IF(B$17=0,0,G51/B$17)</f>
        <v>0</v>
      </c>
      <c r="I51" s="163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67</v>
      </c>
      <c r="F3" s="60" t="s">
        <v>23</v>
      </c>
      <c r="G3" s="47">
        <v>71</v>
      </c>
      <c r="H3" s="133">
        <f>IF(B$17=0,0,G3/B$17)</f>
        <v>0.57258064516129037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73</v>
      </c>
      <c r="F4" s="60" t="s">
        <v>28</v>
      </c>
      <c r="G4" s="47">
        <v>56</v>
      </c>
      <c r="H4" s="133">
        <f>IF(B$17=0,0,G4/B$17)</f>
        <v>0.45161290322580644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245</v>
      </c>
      <c r="F5" s="60" t="s">
        <v>246</v>
      </c>
      <c r="G5" s="47">
        <v>51</v>
      </c>
      <c r="H5" s="133">
        <f>IF(B$17=0,0,G5/B$17)</f>
        <v>0.41129032258064518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68</v>
      </c>
      <c r="F6" s="60" t="s">
        <v>24</v>
      </c>
      <c r="G6" s="47">
        <v>44</v>
      </c>
      <c r="H6" s="133">
        <f>IF(B$17=0,0,G6/B$17)</f>
        <v>0.35483870967741937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69</v>
      </c>
      <c r="F7" s="60" t="s">
        <v>12</v>
      </c>
      <c r="G7" s="47">
        <v>38</v>
      </c>
      <c r="H7" s="133">
        <f>IF(B$17=0,0,G7/B$17)</f>
        <v>0.30645161290322581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70</v>
      </c>
      <c r="F8" s="60" t="s">
        <v>25</v>
      </c>
      <c r="G8" s="47">
        <v>21</v>
      </c>
      <c r="H8" s="133">
        <f>IF(B$17=0,0,G8/B$17)</f>
        <v>0.16935483870967741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15</v>
      </c>
      <c r="H9" s="133">
        <f>IF(B$17=0,0,G9/B$17)</f>
        <v>0.12096774193548387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90</v>
      </c>
      <c r="F10" s="60" t="s">
        <v>45</v>
      </c>
      <c r="G10" s="47">
        <v>13</v>
      </c>
      <c r="H10" s="133">
        <f>IF(B$17=0,0,G10/B$17)</f>
        <v>0.10483870967741936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71</v>
      </c>
      <c r="F11" s="60" t="s">
        <v>26</v>
      </c>
      <c r="G11" s="47">
        <v>8</v>
      </c>
      <c r="H11" s="133">
        <f>IF(B$17=0,0,G11/B$17)</f>
        <v>6.4516129032258063E-2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72</v>
      </c>
      <c r="F12" s="60" t="s">
        <v>27</v>
      </c>
      <c r="G12" s="47">
        <v>6</v>
      </c>
      <c r="H12" s="133">
        <f>IF(B$17=0,0,G12/B$17)</f>
        <v>4.8387096774193547E-2</v>
      </c>
      <c r="I12" s="94">
        <v>10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79</v>
      </c>
      <c r="F13" s="60" t="s">
        <v>34</v>
      </c>
      <c r="G13" s="47">
        <v>5</v>
      </c>
      <c r="H13" s="133">
        <f>IF(B$17=0,0,G13/B$17)</f>
        <v>4.0322580645161289E-2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84</v>
      </c>
      <c r="F14" s="60" t="s">
        <v>39</v>
      </c>
      <c r="G14" s="47">
        <v>5</v>
      </c>
      <c r="H14" s="133">
        <f>IF(B$17=0,0,G14/B$17)</f>
        <v>4.0322580645161289E-2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92</v>
      </c>
      <c r="F15" s="60" t="s">
        <v>47</v>
      </c>
      <c r="G15" s="47">
        <v>5</v>
      </c>
      <c r="H15" s="133">
        <f>IF(B$17=0,0,G15/B$17)</f>
        <v>4.0322580645161289E-2</v>
      </c>
      <c r="I15" s="94">
        <v>1</v>
      </c>
      <c r="K15" s="38">
        <v>13</v>
      </c>
      <c r="L15" s="99">
        <v>-209.59999999999997</v>
      </c>
      <c r="N15" s="114" t="s">
        <v>200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82</v>
      </c>
      <c r="F16" s="60" t="s">
        <v>37</v>
      </c>
      <c r="G16" s="47">
        <v>3</v>
      </c>
      <c r="H16" s="133">
        <f>IF(B$17=0,0,G16/B$17)</f>
        <v>2.4193548387096774E-2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87</v>
      </c>
      <c r="F17" s="60" t="s">
        <v>42</v>
      </c>
      <c r="G17" s="47">
        <v>3</v>
      </c>
      <c r="H17" s="133">
        <f>IF(B$17=0,0,G17/B$17)</f>
        <v>2.4193548387096774E-2</v>
      </c>
      <c r="I17" s="94">
        <v>10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80</v>
      </c>
      <c r="F18" s="60" t="s">
        <v>35</v>
      </c>
      <c r="G18" s="47">
        <v>2</v>
      </c>
      <c r="H18" s="133">
        <f>IF(B$17=0,0,G18/B$17)</f>
        <v>1.6129032258064516E-2</v>
      </c>
      <c r="I18" s="94">
        <v>4</v>
      </c>
      <c r="K18" s="38">
        <v>16</v>
      </c>
      <c r="L18" s="99">
        <v>-153.29999999999998</v>
      </c>
      <c r="N18" s="115" t="s">
        <v>128</v>
      </c>
      <c r="O18" s="125">
        <f>IF(P18=0,0,Q18/P18)</f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86</v>
      </c>
      <c r="F19" s="60" t="s">
        <v>41</v>
      </c>
      <c r="G19" s="47">
        <v>2</v>
      </c>
      <c r="H19" s="133">
        <f>IF(B$17=0,0,G19/B$17)</f>
        <v>1.6129032258064516E-2</v>
      </c>
      <c r="I19" s="94">
        <v>1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75</v>
      </c>
      <c r="F20" s="60" t="s">
        <v>30</v>
      </c>
      <c r="G20" s="47">
        <v>1</v>
      </c>
      <c r="H20" s="133">
        <f>IF(B$17=0,0,G20/B$17)</f>
        <v>8.0645161290322578E-3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8.0645161290322578E-3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192</v>
      </c>
      <c r="B22" s="47">
        <v>22</v>
      </c>
      <c r="C22" s="135">
        <v>13</v>
      </c>
      <c r="E22" s="63" t="s">
        <v>91</v>
      </c>
      <c r="F22" s="60" t="s">
        <v>46</v>
      </c>
      <c r="G22" s="47">
        <v>1</v>
      </c>
      <c r="H22" s="133">
        <f>IF(B$17=0,0,G22/B$17)</f>
        <v>8.0645161290322578E-3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93</v>
      </c>
      <c r="F23" s="60" t="s">
        <v>48</v>
      </c>
      <c r="G23" s="47">
        <v>1</v>
      </c>
      <c r="H23" s="133">
        <f>IF(B$17=0,0,G23/B$17)</f>
        <v>8.0645161290322578E-3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102</v>
      </c>
      <c r="F24" s="60" t="s">
        <v>57</v>
      </c>
      <c r="G24" s="47">
        <v>1</v>
      </c>
      <c r="H24" s="133">
        <f>IF(B$17=0,0,G24/B$17)</f>
        <v>8.0645161290322578E-3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67</v>
      </c>
      <c r="F2" s="59" t="s">
        <v>23</v>
      </c>
      <c r="G2" s="46">
        <v>28</v>
      </c>
      <c r="H2" s="132">
        <f>IF(B$17=0,0,G2/B$17)</f>
        <v>0.82352941176470584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73</v>
      </c>
      <c r="F3" s="60" t="s">
        <v>28</v>
      </c>
      <c r="G3" s="47">
        <v>21</v>
      </c>
      <c r="H3" s="133">
        <f>IF(B$17=0,0,G3/B$17)</f>
        <v>0.61764705882352944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65</v>
      </c>
      <c r="F4" s="60" t="s">
        <v>21</v>
      </c>
      <c r="G4" s="47">
        <v>19</v>
      </c>
      <c r="H4" s="133">
        <f>IF(B$17=0,0,G4/B$17)</f>
        <v>0.55882352941176472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69</v>
      </c>
      <c r="F5" s="60" t="s">
        <v>12</v>
      </c>
      <c r="G5" s="47">
        <v>12</v>
      </c>
      <c r="H5" s="133">
        <f>IF(B$17=0,0,G5/B$17)</f>
        <v>0.35294117647058826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245</v>
      </c>
      <c r="F6" s="60" t="s">
        <v>246</v>
      </c>
      <c r="G6" s="47">
        <v>12</v>
      </c>
      <c r="H6" s="133">
        <f>IF(B$17=0,0,G6/B$17)</f>
        <v>0.35294117647058826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70</v>
      </c>
      <c r="F8" s="60" t="s">
        <v>25</v>
      </c>
      <c r="G8" s="47">
        <v>6</v>
      </c>
      <c r="H8" s="133">
        <f>IF(B$17=0,0,G8/B$17)</f>
        <v>0.17647058823529413</v>
      </c>
      <c r="I8" s="94">
        <v>7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90</v>
      </c>
      <c r="F9" s="60" t="s">
        <v>45</v>
      </c>
      <c r="G9" s="47">
        <v>5</v>
      </c>
      <c r="H9" s="133">
        <f>IF(B$17=0,0,G9/B$17)</f>
        <v>0.14705882352941177</v>
      </c>
      <c r="I9" s="94">
        <v>6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71</v>
      </c>
      <c r="F10" s="60" t="s">
        <v>26</v>
      </c>
      <c r="G10" s="47">
        <v>4</v>
      </c>
      <c r="H10" s="133">
        <f>IF(B$17=0,0,G10/B$17)</f>
        <v>0.11764705882352941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4</v>
      </c>
      <c r="H11" s="133">
        <f>IF(B$17=0,0,G11/B$17)</f>
        <v>0.11764705882352941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72</v>
      </c>
      <c r="F12" s="60" t="s">
        <v>27</v>
      </c>
      <c r="G12" s="47">
        <v>2</v>
      </c>
      <c r="H12" s="133">
        <f>IF(B$17=0,0,G12/B$17)</f>
        <v>5.8823529411764705E-2</v>
      </c>
      <c r="I12" s="94">
        <v>7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80</v>
      </c>
      <c r="F13" s="60" t="s">
        <v>35</v>
      </c>
      <c r="G13" s="47">
        <v>2</v>
      </c>
      <c r="H13" s="133">
        <f>IF(B$17=0,0,G13/B$17)</f>
        <v>5.8823529411764705E-2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66</v>
      </c>
      <c r="F14" s="60" t="s">
        <v>22</v>
      </c>
      <c r="G14" s="47">
        <v>1</v>
      </c>
      <c r="H14" s="133">
        <f>IF(B$17=0,0,G14/B$17)</f>
        <v>2.9411764705882353E-2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74</v>
      </c>
      <c r="F15" s="60" t="s">
        <v>29</v>
      </c>
      <c r="G15" s="47">
        <v>1</v>
      </c>
      <c r="H15" s="133">
        <f>IF(B$17=0,0,G15/B$17)</f>
        <v>2.9411764705882353E-2</v>
      </c>
      <c r="I15" s="94">
        <v>1</v>
      </c>
      <c r="K15" s="38">
        <v>13</v>
      </c>
      <c r="L15" s="99">
        <v>-144.79999999999998</v>
      </c>
      <c r="N15" s="114" t="s">
        <v>129</v>
      </c>
      <c r="O15" s="124">
        <f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76</v>
      </c>
      <c r="F16" s="60" t="s">
        <v>31</v>
      </c>
      <c r="G16" s="47">
        <v>1</v>
      </c>
      <c r="H16" s="133">
        <f>IF(B$17=0,0,G16/B$17)</f>
        <v>2.9411764705882353E-2</v>
      </c>
      <c r="I16" s="94">
        <v>1</v>
      </c>
      <c r="K16" s="38">
        <v>14</v>
      </c>
      <c r="L16" s="99">
        <v>-138.69999999999999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82</v>
      </c>
      <c r="F17" s="60" t="s">
        <v>37</v>
      </c>
      <c r="G17" s="47">
        <v>1</v>
      </c>
      <c r="H17" s="133">
        <f>IF(B$17=0,0,G17/B$17)</f>
        <v>2.9411764705882353E-2</v>
      </c>
      <c r="I17" s="94">
        <v>5</v>
      </c>
      <c r="N17" s="115" t="s">
        <v>127</v>
      </c>
      <c r="O17" s="125">
        <f>IF(P17=0,0,Q17/P17)</f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183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200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6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245</v>
      </c>
      <c r="F7" s="60" t="s">
        <v>246</v>
      </c>
      <c r="G7" s="47">
        <v>7</v>
      </c>
      <c r="H7" s="133">
        <f>IF(B$17=0,0,G7/B$17)</f>
        <v>0.33333333333333331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8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6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73</v>
      </c>
      <c r="F2" s="59" t="s">
        <v>28</v>
      </c>
      <c r="G2" s="46">
        <v>5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67</v>
      </c>
      <c r="F3" s="60" t="s">
        <v>23</v>
      </c>
      <c r="G3" s="47">
        <v>4</v>
      </c>
      <c r="H3" s="133">
        <f>IF(B$17=0,0,G3/B$17)</f>
        <v>0.8</v>
      </c>
      <c r="I3" s="94">
        <v>5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65</v>
      </c>
      <c r="F4" s="60" t="s">
        <v>21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2</v>
      </c>
      <c r="H7" s="133">
        <f>IF(B$17=0,0,G7/B$17)</f>
        <v>0.4</v>
      </c>
      <c r="I7" s="94">
        <v>1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79</v>
      </c>
      <c r="F8" s="60" t="s">
        <v>34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245</v>
      </c>
      <c r="F10" s="60" t="s">
        <v>246</v>
      </c>
      <c r="G10" s="47">
        <v>1</v>
      </c>
      <c r="H10" s="133">
        <f>IF(B$17=0,0,G10/B$17)</f>
        <v>0.2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6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8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47300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60" t="s">
        <v>180</v>
      </c>
      <c r="F51" s="161" t="s">
        <v>181</v>
      </c>
      <c r="G51" s="48">
        <v>0</v>
      </c>
      <c r="H51" s="162">
        <f>IF(B$17=0,0,G51/B$17)</f>
        <v>0</v>
      </c>
      <c r="I51" s="163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2019-06-04T13:23:17Z</dcterms:modified>
</cp:coreProperties>
</file>