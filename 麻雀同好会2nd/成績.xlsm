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2375208-13CF-4303-B9D2-7D2709B8383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35" r:id="rId6"/>
    <sheet name="だいち" sheetId="5137" r:id="rId7"/>
    <sheet name="りくと" sheetId="5139" r:id="rId8"/>
    <sheet name="ただ" sheetId="5141" r:id="rId9"/>
    <sheet name="れんたろう" sheetId="5143" r:id="rId10"/>
    <sheet name="たかの" sheetId="5145" r:id="rId11"/>
    <sheet name="ぱぱ" sheetId="5147" r:id="rId12"/>
    <sheet name="まっつん" sheetId="5149" r:id="rId13"/>
    <sheet name="あさひ" sheetId="5151" r:id="rId14"/>
    <sheet name="いっしー" sheetId="5153" r:id="rId15"/>
    <sheet name="ほたに" sheetId="5155" r:id="rId16"/>
    <sheet name="かわたつ" sheetId="5157" r:id="rId17"/>
    <sheet name="やがさき" sheetId="5159" r:id="rId18"/>
    <sheet name="やがさき2" sheetId="5160" state="hidden" r:id="rId19"/>
    <sheet name="かわたつ2" sheetId="5158" state="hidden" r:id="rId20"/>
    <sheet name="ほたに2" sheetId="5156" state="hidden" r:id="rId21"/>
    <sheet name="いっしー2" sheetId="5154" state="hidden" r:id="rId22"/>
    <sheet name="あさひ2" sheetId="5152" state="hidden" r:id="rId23"/>
    <sheet name="まっつん2" sheetId="5150" state="hidden" r:id="rId24"/>
    <sheet name="ぱぱ2" sheetId="5148" state="hidden" r:id="rId25"/>
    <sheet name="たかの2" sheetId="5146" state="hidden" r:id="rId26"/>
    <sheet name="れんたろう2" sheetId="5144" state="hidden" r:id="rId27"/>
    <sheet name="ただ2" sheetId="5142" state="hidden" r:id="rId28"/>
    <sheet name="りくと2" sheetId="5140" state="hidden" r:id="rId29"/>
    <sheet name="だいち2" sheetId="5138" state="hidden" r:id="rId30"/>
    <sheet name="全体2" sheetId="513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41" l="1"/>
  <c r="O16" i="5145"/>
  <c r="O15" i="5135"/>
  <c r="O16" i="5159"/>
  <c r="O15" i="5159"/>
  <c r="C27" i="5159"/>
  <c r="B24" i="5159"/>
  <c r="C20" i="5159"/>
  <c r="C17" i="5159"/>
  <c r="B17" i="5159"/>
  <c r="H49" i="5159" s="1"/>
  <c r="C16" i="5159"/>
  <c r="C15" i="5159"/>
  <c r="C14" i="5159"/>
  <c r="C13" i="5159"/>
  <c r="O12" i="5159"/>
  <c r="C12" i="5159"/>
  <c r="O11" i="5159"/>
  <c r="C11" i="5159"/>
  <c r="O10" i="5159"/>
  <c r="H5" i="5159"/>
  <c r="C10" i="5159"/>
  <c r="C9" i="5159"/>
  <c r="H12" i="5159"/>
  <c r="C8" i="5159"/>
  <c r="O7" i="5159"/>
  <c r="C7" i="5159"/>
  <c r="O6" i="5159"/>
  <c r="B6" i="5159"/>
  <c r="O5" i="5159"/>
  <c r="B5" i="5159"/>
  <c r="O4" i="5159"/>
  <c r="H10" i="5159"/>
  <c r="O3" i="5159"/>
  <c r="O2" i="5159"/>
  <c r="H2" i="5159"/>
  <c r="O15" i="5157"/>
  <c r="O16" i="5157"/>
  <c r="C27" i="5157"/>
  <c r="B24" i="5157"/>
  <c r="C20" i="5157"/>
  <c r="C17" i="5157"/>
  <c r="B17" i="5157"/>
  <c r="H49" i="5157" s="1"/>
  <c r="C16" i="5157"/>
  <c r="C15" i="5157"/>
  <c r="C14" i="5157"/>
  <c r="C13" i="5157"/>
  <c r="O12" i="5157"/>
  <c r="C12" i="5157"/>
  <c r="O11" i="5157"/>
  <c r="C11" i="5157"/>
  <c r="O10" i="5157"/>
  <c r="H12" i="5157"/>
  <c r="C10" i="5157"/>
  <c r="C9" i="5157"/>
  <c r="H10" i="5157"/>
  <c r="C8" i="5157"/>
  <c r="O7" i="5157"/>
  <c r="C7" i="5157"/>
  <c r="O6" i="5157"/>
  <c r="B6" i="5157"/>
  <c r="O5" i="5157"/>
  <c r="B5" i="5157"/>
  <c r="O4" i="5157"/>
  <c r="H2" i="5157"/>
  <c r="O3" i="5157"/>
  <c r="O2" i="5157"/>
  <c r="H3" i="5157"/>
  <c r="O23" i="5143"/>
  <c r="O19" i="5137"/>
  <c r="O24" i="5135"/>
  <c r="H20" i="5159" l="1"/>
  <c r="H22" i="5159"/>
  <c r="H25" i="5159"/>
  <c r="H28" i="5159"/>
  <c r="H30" i="5159"/>
  <c r="H34" i="5159"/>
  <c r="H38" i="5159"/>
  <c r="H42" i="5159"/>
  <c r="H46" i="5159"/>
  <c r="H50" i="5159"/>
  <c r="H11" i="5159"/>
  <c r="H16" i="5159"/>
  <c r="H18" i="5159"/>
  <c r="C19" i="5159"/>
  <c r="H23" i="5159"/>
  <c r="H31" i="5159"/>
  <c r="H35" i="5159"/>
  <c r="H39" i="5159"/>
  <c r="H43" i="5159"/>
  <c r="H47" i="5159"/>
  <c r="H51" i="5159"/>
  <c r="H9" i="5159"/>
  <c r="H4" i="5159"/>
  <c r="H13" i="5159"/>
  <c r="H15" i="5159"/>
  <c r="H19" i="5159"/>
  <c r="H21" i="5159"/>
  <c r="H24" i="5159"/>
  <c r="H26" i="5159"/>
  <c r="H7" i="5159"/>
  <c r="H32" i="5159"/>
  <c r="H36" i="5159"/>
  <c r="H40" i="5159"/>
  <c r="H44" i="5159"/>
  <c r="H48" i="5159"/>
  <c r="H8" i="5159"/>
  <c r="H3" i="5159"/>
  <c r="H14" i="5159"/>
  <c r="H17" i="5159"/>
  <c r="H6" i="5159"/>
  <c r="C18" i="5159"/>
  <c r="B23" i="5159"/>
  <c r="H27" i="5159"/>
  <c r="H29" i="5159"/>
  <c r="H33" i="5159"/>
  <c r="H37" i="5159"/>
  <c r="H41" i="5159"/>
  <c r="H45" i="5159"/>
  <c r="H20" i="5157"/>
  <c r="H21" i="5157"/>
  <c r="H24" i="5157"/>
  <c r="H27" i="5157"/>
  <c r="H30" i="5157"/>
  <c r="H34" i="5157"/>
  <c r="H38" i="5157"/>
  <c r="H42" i="5157"/>
  <c r="H46" i="5157"/>
  <c r="H50" i="5157"/>
  <c r="H9" i="5157"/>
  <c r="H15" i="5157"/>
  <c r="H17" i="5157"/>
  <c r="C19" i="5157"/>
  <c r="H22" i="5157"/>
  <c r="H31" i="5157"/>
  <c r="H35" i="5157"/>
  <c r="H39" i="5157"/>
  <c r="H43" i="5157"/>
  <c r="H47" i="5157"/>
  <c r="H51" i="5157"/>
  <c r="H8" i="5157"/>
  <c r="H5" i="5157"/>
  <c r="H11" i="5157"/>
  <c r="H14" i="5157"/>
  <c r="H19" i="5157"/>
  <c r="H6" i="5157"/>
  <c r="H23" i="5157"/>
  <c r="H25" i="5157"/>
  <c r="H28" i="5157"/>
  <c r="H32" i="5157"/>
  <c r="H36" i="5157"/>
  <c r="H40" i="5157"/>
  <c r="H44" i="5157"/>
  <c r="H48" i="5157"/>
  <c r="H7" i="5157"/>
  <c r="H4" i="5157"/>
  <c r="H13" i="5157"/>
  <c r="H16" i="5157"/>
  <c r="H18" i="5157"/>
  <c r="C18" i="5157"/>
  <c r="B23" i="5157"/>
  <c r="H26" i="5157"/>
  <c r="H29" i="5157"/>
  <c r="H33" i="5157"/>
  <c r="H37" i="5157"/>
  <c r="H41" i="5157"/>
  <c r="H45" i="5157"/>
  <c r="O18" i="5145" l="1"/>
  <c r="O16" i="5153"/>
  <c r="O20" i="5155" l="1"/>
  <c r="O19" i="5155"/>
  <c r="O15" i="5149"/>
  <c r="O15" i="5139"/>
  <c r="O20" i="5137" l="1"/>
  <c r="O18" i="5155"/>
  <c r="O21" i="5147"/>
  <c r="O16" i="5155"/>
  <c r="O15" i="5155" l="1"/>
  <c r="O17" i="5155"/>
  <c r="C27" i="5155"/>
  <c r="B24" i="5155"/>
  <c r="C20" i="5155"/>
  <c r="B17" i="5155"/>
  <c r="H50" i="5155" s="1"/>
  <c r="C16" i="5155"/>
  <c r="C15" i="5155"/>
  <c r="C14" i="5155"/>
  <c r="C13" i="5155"/>
  <c r="O12" i="5155"/>
  <c r="C12" i="5155"/>
  <c r="O11" i="5155"/>
  <c r="C11" i="5155"/>
  <c r="O10" i="5155"/>
  <c r="C10" i="5155"/>
  <c r="C9" i="5155"/>
  <c r="C8" i="5155"/>
  <c r="O7" i="5155"/>
  <c r="C7" i="5155"/>
  <c r="O6" i="5155"/>
  <c r="B6" i="5155"/>
  <c r="O5" i="5155"/>
  <c r="B5" i="5155"/>
  <c r="O4" i="5155"/>
  <c r="O3" i="5155"/>
  <c r="O2" i="5155"/>
  <c r="O22" i="5143"/>
  <c r="O19" i="5145"/>
  <c r="O21" i="5135"/>
  <c r="H2" i="5155" l="1"/>
  <c r="H13" i="5155"/>
  <c r="H9" i="5155"/>
  <c r="H4" i="5155"/>
  <c r="H10" i="5155"/>
  <c r="H48" i="5155"/>
  <c r="H15" i="5155"/>
  <c r="H39" i="5155"/>
  <c r="H3" i="5155"/>
  <c r="H16" i="5155"/>
  <c r="H18" i="5155"/>
  <c r="B23" i="5155"/>
  <c r="H32" i="5155"/>
  <c r="H49" i="5155"/>
  <c r="H14" i="5155"/>
  <c r="H20" i="5155"/>
  <c r="H11" i="5155"/>
  <c r="H6" i="5155"/>
  <c r="C18" i="5155"/>
  <c r="H40" i="5155"/>
  <c r="H33" i="5155"/>
  <c r="H43" i="5155"/>
  <c r="H5" i="5155"/>
  <c r="H12" i="5155"/>
  <c r="H7" i="5155"/>
  <c r="H17" i="5155"/>
  <c r="H19" i="5155"/>
  <c r="C17" i="5155"/>
  <c r="H24" i="5155"/>
  <c r="H35" i="5155"/>
  <c r="H45" i="5155"/>
  <c r="H22" i="5155"/>
  <c r="H29" i="5155"/>
  <c r="H37" i="5155"/>
  <c r="H44" i="5155"/>
  <c r="H51" i="5155"/>
  <c r="C19" i="5155"/>
  <c r="H25" i="5155"/>
  <c r="H27" i="5155"/>
  <c r="H31" i="5155"/>
  <c r="H36" i="5155"/>
  <c r="H41" i="5155"/>
  <c r="H47" i="5155"/>
  <c r="H8" i="5155"/>
  <c r="H21" i="5155"/>
  <c r="H23" i="5155"/>
  <c r="H26" i="5155"/>
  <c r="H28" i="5155"/>
  <c r="H30" i="5155"/>
  <c r="H34" i="5155"/>
  <c r="H38" i="5155"/>
  <c r="H42" i="5155"/>
  <c r="H46" i="5155"/>
  <c r="O17" i="5145" l="1"/>
  <c r="O16" i="5141"/>
  <c r="O20" i="5149"/>
  <c r="O22" i="5149"/>
  <c r="O17" i="5137" l="1"/>
  <c r="O19" i="5153"/>
  <c r="O18" i="5153" l="1"/>
  <c r="O15" i="5153"/>
  <c r="O16" i="5143"/>
  <c r="O22" i="5141"/>
  <c r="O17" i="5151" l="1"/>
  <c r="O22" i="5147"/>
  <c r="O15" i="5151"/>
  <c r="O21" i="5153"/>
  <c r="O16" i="5139"/>
  <c r="O16" i="5149"/>
  <c r="O16" i="5135"/>
  <c r="O17" i="5153"/>
  <c r="O20" i="5153"/>
  <c r="C27" i="5153"/>
  <c r="B24" i="5153"/>
  <c r="C20" i="5153"/>
  <c r="B17" i="5153"/>
  <c r="H49" i="5153" s="1"/>
  <c r="C16" i="5153"/>
  <c r="C15" i="5153"/>
  <c r="C14" i="5153"/>
  <c r="C13" i="5153"/>
  <c r="O12" i="5153"/>
  <c r="C12" i="5153"/>
  <c r="O11" i="5153"/>
  <c r="C11" i="5153"/>
  <c r="O10" i="5153"/>
  <c r="H3" i="5153"/>
  <c r="C10" i="5153"/>
  <c r="C9" i="5153"/>
  <c r="H11" i="5153"/>
  <c r="C8" i="5153"/>
  <c r="O7" i="5153"/>
  <c r="C7" i="5153"/>
  <c r="O6" i="5153"/>
  <c r="B6" i="5153"/>
  <c r="O5" i="5153"/>
  <c r="B5" i="5153"/>
  <c r="O4" i="5153"/>
  <c r="H2" i="5153"/>
  <c r="O3" i="5153"/>
  <c r="O2" i="5153"/>
  <c r="H4" i="5153"/>
  <c r="O16" i="5151"/>
  <c r="O18" i="5151"/>
  <c r="C27" i="5151"/>
  <c r="B24" i="5151"/>
  <c r="C20" i="5151"/>
  <c r="B17" i="5151"/>
  <c r="H49" i="5151" s="1"/>
  <c r="C16" i="5151"/>
  <c r="C15" i="5151"/>
  <c r="C14" i="5151"/>
  <c r="C13" i="5151"/>
  <c r="O12" i="5151"/>
  <c r="C12" i="5151"/>
  <c r="O11" i="5151"/>
  <c r="C11" i="5151"/>
  <c r="O10" i="5151"/>
  <c r="C10" i="5151"/>
  <c r="C9" i="5151"/>
  <c r="H13" i="5151"/>
  <c r="C8" i="5151"/>
  <c r="O7" i="5151"/>
  <c r="C7" i="5151"/>
  <c r="O6" i="5151"/>
  <c r="B6" i="5151"/>
  <c r="O5" i="5151"/>
  <c r="B5" i="5151"/>
  <c r="O4" i="5151"/>
  <c r="O3" i="5151"/>
  <c r="O2" i="5151"/>
  <c r="H2" i="5151"/>
  <c r="O21" i="5149"/>
  <c r="O23" i="5149"/>
  <c r="O15" i="5137"/>
  <c r="O18" i="5137"/>
  <c r="O26" i="5135"/>
  <c r="H3" i="5151" l="1"/>
  <c r="H4" i="5151"/>
  <c r="C17" i="5151"/>
  <c r="C17" i="5153"/>
  <c r="H22" i="5153"/>
  <c r="H23" i="5153"/>
  <c r="H25" i="5153"/>
  <c r="H28" i="5153"/>
  <c r="H30" i="5153"/>
  <c r="H34" i="5153"/>
  <c r="H38" i="5153"/>
  <c r="H42" i="5153"/>
  <c r="H46" i="5153"/>
  <c r="H50" i="5153"/>
  <c r="H10" i="5153"/>
  <c r="H14" i="5153"/>
  <c r="H20" i="5153"/>
  <c r="C19" i="5153"/>
  <c r="H8" i="5153"/>
  <c r="H31" i="5153"/>
  <c r="H35" i="5153"/>
  <c r="H39" i="5153"/>
  <c r="H43" i="5153"/>
  <c r="H47" i="5153"/>
  <c r="H51" i="5153"/>
  <c r="H16" i="5153"/>
  <c r="H5" i="5153"/>
  <c r="H17" i="5153"/>
  <c r="H18" i="5153"/>
  <c r="H12" i="5153"/>
  <c r="H15" i="5153"/>
  <c r="H24" i="5153"/>
  <c r="H26" i="5153"/>
  <c r="H7" i="5153"/>
  <c r="H32" i="5153"/>
  <c r="H36" i="5153"/>
  <c r="H40" i="5153"/>
  <c r="H44" i="5153"/>
  <c r="H48" i="5153"/>
  <c r="H6" i="5153"/>
  <c r="H9" i="5153"/>
  <c r="H13" i="5153"/>
  <c r="H19" i="5153"/>
  <c r="H21" i="5153"/>
  <c r="C18" i="5153"/>
  <c r="B23" i="5153"/>
  <c r="H27" i="5153"/>
  <c r="H29" i="5153"/>
  <c r="H33" i="5153"/>
  <c r="H37" i="5153"/>
  <c r="H41" i="5153"/>
  <c r="H45" i="5153"/>
  <c r="H21" i="5151"/>
  <c r="H23" i="5151"/>
  <c r="H26" i="5151"/>
  <c r="H28" i="5151"/>
  <c r="H30" i="5151"/>
  <c r="H34" i="5151"/>
  <c r="H38" i="5151"/>
  <c r="H42" i="5151"/>
  <c r="H46" i="5151"/>
  <c r="H50" i="5151"/>
  <c r="H9" i="5151"/>
  <c r="H16" i="5151"/>
  <c r="H18" i="5151"/>
  <c r="C19" i="5151"/>
  <c r="H24" i="5151"/>
  <c r="H31" i="5151"/>
  <c r="H35" i="5151"/>
  <c r="H39" i="5151"/>
  <c r="H43" i="5151"/>
  <c r="H47" i="5151"/>
  <c r="H51" i="5151"/>
  <c r="H12" i="5151"/>
  <c r="H8" i="5151"/>
  <c r="H10" i="5151"/>
  <c r="H15" i="5151"/>
  <c r="H20" i="5151"/>
  <c r="H22" i="5151"/>
  <c r="H25" i="5151"/>
  <c r="H11" i="5151"/>
  <c r="H6" i="5151"/>
  <c r="H32" i="5151"/>
  <c r="H36" i="5151"/>
  <c r="H40" i="5151"/>
  <c r="H44" i="5151"/>
  <c r="H48" i="5151"/>
  <c r="H7" i="5151"/>
  <c r="H5" i="5151"/>
  <c r="H14" i="5151"/>
  <c r="H17" i="5151"/>
  <c r="H19" i="5151"/>
  <c r="C18" i="5151"/>
  <c r="B23" i="5151"/>
  <c r="H27" i="5151"/>
  <c r="H29" i="5151"/>
  <c r="H33" i="5151"/>
  <c r="H37" i="5151"/>
  <c r="H41" i="5151"/>
  <c r="H45" i="5151"/>
  <c r="O17" i="5149" l="1"/>
  <c r="O19" i="5147"/>
  <c r="O16" i="5147"/>
  <c r="O21" i="5139"/>
  <c r="O20" i="5145" l="1"/>
  <c r="O17" i="5143"/>
  <c r="O17" i="5147"/>
  <c r="O18" i="5147"/>
  <c r="O15" i="5145" l="1"/>
  <c r="O15" i="5143"/>
  <c r="O20" i="5141"/>
  <c r="O19" i="5141"/>
  <c r="O18" i="5149"/>
  <c r="O19" i="5149"/>
  <c r="C27" i="5149"/>
  <c r="B24" i="5149"/>
  <c r="C20" i="5149"/>
  <c r="B17" i="5149"/>
  <c r="H50" i="5149" s="1"/>
  <c r="C16" i="5149"/>
  <c r="C15" i="5149"/>
  <c r="C14" i="5149"/>
  <c r="C13" i="5149"/>
  <c r="O12" i="5149"/>
  <c r="C12" i="5149"/>
  <c r="O11" i="5149"/>
  <c r="C11" i="5149"/>
  <c r="O10" i="5149"/>
  <c r="C10" i="5149"/>
  <c r="C9" i="5149"/>
  <c r="C8" i="5149"/>
  <c r="O7" i="5149"/>
  <c r="C7" i="5149"/>
  <c r="O6" i="5149"/>
  <c r="B6" i="5149"/>
  <c r="O5" i="5149"/>
  <c r="B5" i="5149"/>
  <c r="O4" i="5149"/>
  <c r="O3" i="5149"/>
  <c r="O2" i="5149"/>
  <c r="H4" i="5149"/>
  <c r="O20" i="5143"/>
  <c r="O18" i="5139"/>
  <c r="O18" i="5135"/>
  <c r="H15" i="5149" l="1"/>
  <c r="H30" i="5149"/>
  <c r="H37" i="5149"/>
  <c r="H44" i="5149"/>
  <c r="H17" i="5149"/>
  <c r="H27" i="5149"/>
  <c r="H45" i="5149"/>
  <c r="H3" i="5149"/>
  <c r="C17" i="5149"/>
  <c r="H32" i="5149"/>
  <c r="H11" i="5149"/>
  <c r="H40" i="5149"/>
  <c r="H48" i="5149"/>
  <c r="H2" i="5149"/>
  <c r="H13" i="5149"/>
  <c r="H8" i="5149"/>
  <c r="H22" i="5149"/>
  <c r="H39" i="5149"/>
  <c r="H10" i="5149"/>
  <c r="H7" i="5149"/>
  <c r="H14" i="5149"/>
  <c r="H16" i="5149"/>
  <c r="H23" i="5149"/>
  <c r="H33" i="5149"/>
  <c r="H6" i="5149"/>
  <c r="H20" i="5149"/>
  <c r="H21" i="5149"/>
  <c r="H18" i="5149"/>
  <c r="C18" i="5149"/>
  <c r="B23" i="5149"/>
  <c r="H9" i="5149"/>
  <c r="H35" i="5149"/>
  <c r="H43" i="5149"/>
  <c r="H49" i="5149"/>
  <c r="H51" i="5149"/>
  <c r="C19" i="5149"/>
  <c r="H26" i="5149"/>
  <c r="H28" i="5149"/>
  <c r="H31" i="5149"/>
  <c r="H36" i="5149"/>
  <c r="H41" i="5149"/>
  <c r="H47" i="5149"/>
  <c r="H5" i="5149"/>
  <c r="H24" i="5149"/>
  <c r="H25" i="5149"/>
  <c r="H19" i="5149"/>
  <c r="H29" i="5149"/>
  <c r="H12" i="5149"/>
  <c r="H34" i="5149"/>
  <c r="H38" i="5149"/>
  <c r="H42" i="5149"/>
  <c r="H46" i="5149"/>
  <c r="O18" i="5141" l="1"/>
  <c r="O20" i="5147"/>
  <c r="O15" i="5147"/>
  <c r="C27" i="5147"/>
  <c r="B24" i="5147"/>
  <c r="C20" i="5147"/>
  <c r="B17" i="5147"/>
  <c r="H51" i="5147" s="1"/>
  <c r="C16" i="5147"/>
  <c r="C15" i="5147"/>
  <c r="C14" i="5147"/>
  <c r="C13" i="5147"/>
  <c r="O12" i="5147"/>
  <c r="C12" i="5147"/>
  <c r="O11" i="5147"/>
  <c r="C11" i="5147"/>
  <c r="O10" i="5147"/>
  <c r="C10" i="5147"/>
  <c r="C9" i="5147"/>
  <c r="C8" i="5147"/>
  <c r="O7" i="5147"/>
  <c r="C7" i="5147"/>
  <c r="O6" i="5147"/>
  <c r="B6" i="5147"/>
  <c r="O5" i="5147"/>
  <c r="B5" i="5147"/>
  <c r="O4" i="5147"/>
  <c r="O3" i="5147"/>
  <c r="O2" i="5147"/>
  <c r="O21" i="5137"/>
  <c r="O19" i="5135"/>
  <c r="O22" i="5145"/>
  <c r="O20" i="5139"/>
  <c r="O19" i="5139"/>
  <c r="O18" i="5143"/>
  <c r="O21" i="5145"/>
  <c r="O23" i="5145"/>
  <c r="C27" i="5145"/>
  <c r="B24" i="5145"/>
  <c r="C20" i="5145"/>
  <c r="B17" i="5145"/>
  <c r="H50" i="5145" s="1"/>
  <c r="C16" i="5145"/>
  <c r="C15" i="5145"/>
  <c r="C14" i="5145"/>
  <c r="C13" i="5145"/>
  <c r="O12" i="5145"/>
  <c r="C12" i="5145"/>
  <c r="O11" i="5145"/>
  <c r="C11" i="5145"/>
  <c r="O10" i="5145"/>
  <c r="C10" i="5145"/>
  <c r="C9" i="5145"/>
  <c r="C8" i="5145"/>
  <c r="O7" i="5145"/>
  <c r="C7" i="5145"/>
  <c r="O6" i="5145"/>
  <c r="B6" i="5145"/>
  <c r="O5" i="5145"/>
  <c r="B5" i="5145"/>
  <c r="O4" i="5145"/>
  <c r="O3" i="5145"/>
  <c r="O2" i="5145"/>
  <c r="O21" i="5143"/>
  <c r="O19" i="5143"/>
  <c r="C27" i="5143"/>
  <c r="B24" i="5143"/>
  <c r="C20" i="5143"/>
  <c r="B17" i="5143"/>
  <c r="H50" i="5143" s="1"/>
  <c r="C16" i="5143"/>
  <c r="C15" i="5143"/>
  <c r="C14" i="5143"/>
  <c r="C13" i="5143"/>
  <c r="O12" i="5143"/>
  <c r="C12" i="5143"/>
  <c r="O11" i="5143"/>
  <c r="C11" i="5143"/>
  <c r="O10" i="5143"/>
  <c r="C10" i="5143"/>
  <c r="C9" i="5143"/>
  <c r="C8" i="5143"/>
  <c r="O7" i="5143"/>
  <c r="C7" i="5143"/>
  <c r="O6" i="5143"/>
  <c r="B6" i="5143"/>
  <c r="O5" i="5143"/>
  <c r="B5" i="5143"/>
  <c r="O4" i="5143"/>
  <c r="O3" i="5143"/>
  <c r="O2" i="5143"/>
  <c r="O22" i="5137"/>
  <c r="O24" i="5137"/>
  <c r="O23" i="5135"/>
  <c r="O22" i="5135"/>
  <c r="H8" i="5147" l="1"/>
  <c r="H4" i="5147"/>
  <c r="H2" i="5147"/>
  <c r="H3" i="5147"/>
  <c r="H25" i="5147"/>
  <c r="H13" i="5147"/>
  <c r="H36" i="5147"/>
  <c r="H49" i="5147"/>
  <c r="H10" i="5147"/>
  <c r="H23" i="5147"/>
  <c r="C17" i="5147"/>
  <c r="H40" i="5147"/>
  <c r="H11" i="5147"/>
  <c r="H12" i="5147"/>
  <c r="H17" i="5147"/>
  <c r="H41" i="5147"/>
  <c r="H21" i="5147"/>
  <c r="H5" i="5147"/>
  <c r="H20" i="5147"/>
  <c r="H16" i="5147"/>
  <c r="H32" i="5147"/>
  <c r="H7" i="5147"/>
  <c r="H14" i="5147"/>
  <c r="H22" i="5147"/>
  <c r="H15" i="5147"/>
  <c r="C18" i="5147"/>
  <c r="H33" i="5147"/>
  <c r="H48" i="5147"/>
  <c r="H7" i="5145"/>
  <c r="H23" i="5145"/>
  <c r="H21" i="5145"/>
  <c r="H35" i="5145"/>
  <c r="H5" i="5145"/>
  <c r="H45" i="5145"/>
  <c r="H10" i="5145"/>
  <c r="H48" i="5145"/>
  <c r="B23" i="5145"/>
  <c r="H2" i="5145"/>
  <c r="H20" i="5145"/>
  <c r="H17" i="5145"/>
  <c r="C18" i="5145"/>
  <c r="H9" i="5145"/>
  <c r="H6" i="5145"/>
  <c r="H16" i="5145"/>
  <c r="H32" i="5145"/>
  <c r="H39" i="5145"/>
  <c r="H49" i="5145"/>
  <c r="H12" i="5145"/>
  <c r="H3" i="5145"/>
  <c r="H8" i="5145"/>
  <c r="H22" i="5145"/>
  <c r="H24" i="5145"/>
  <c r="C17" i="5145"/>
  <c r="H13" i="5145"/>
  <c r="H11" i="5145"/>
  <c r="H40" i="5145"/>
  <c r="H14" i="5145"/>
  <c r="H33" i="5145"/>
  <c r="H43" i="5145"/>
  <c r="C17" i="5143"/>
  <c r="H2" i="5143"/>
  <c r="H4" i="5143"/>
  <c r="H3" i="5143"/>
  <c r="H11" i="5143"/>
  <c r="H44" i="5147"/>
  <c r="H19" i="5147"/>
  <c r="C19" i="5147"/>
  <c r="H27" i="5147"/>
  <c r="H9" i="5147"/>
  <c r="H37" i="5147"/>
  <c r="H45" i="5147"/>
  <c r="H6" i="5147"/>
  <c r="B23" i="5147"/>
  <c r="H29" i="5147"/>
  <c r="H31" i="5147"/>
  <c r="H34" i="5147"/>
  <c r="H38" i="5147"/>
  <c r="H42" i="5147"/>
  <c r="H46" i="5147"/>
  <c r="H50" i="5147"/>
  <c r="H24" i="5147"/>
  <c r="H26" i="5147"/>
  <c r="H28" i="5147"/>
  <c r="H30" i="5147"/>
  <c r="H18" i="5147"/>
  <c r="H35" i="5147"/>
  <c r="H39" i="5147"/>
  <c r="H43" i="5147"/>
  <c r="H47" i="5147"/>
  <c r="H15" i="5145"/>
  <c r="H30" i="5145"/>
  <c r="H37" i="5145"/>
  <c r="H44" i="5145"/>
  <c r="H51" i="5145"/>
  <c r="C19" i="5145"/>
  <c r="H27" i="5145"/>
  <c r="H19" i="5145"/>
  <c r="H31" i="5145"/>
  <c r="H36" i="5145"/>
  <c r="H41" i="5145"/>
  <c r="H47" i="5145"/>
  <c r="H4" i="5145"/>
  <c r="H25" i="5145"/>
  <c r="H26" i="5145"/>
  <c r="H28" i="5145"/>
  <c r="H29" i="5145"/>
  <c r="H18" i="5145"/>
  <c r="H34" i="5145"/>
  <c r="H38" i="5145"/>
  <c r="H42" i="5145"/>
  <c r="H46" i="5145"/>
  <c r="H27" i="5143"/>
  <c r="H28" i="5143"/>
  <c r="H30" i="5143"/>
  <c r="H31" i="5143"/>
  <c r="H21" i="5143"/>
  <c r="H35" i="5143"/>
  <c r="H39" i="5143"/>
  <c r="H43" i="5143"/>
  <c r="H47" i="5143"/>
  <c r="H51" i="5143"/>
  <c r="H8" i="5143"/>
  <c r="H17" i="5143"/>
  <c r="H25" i="5143"/>
  <c r="C19" i="5143"/>
  <c r="H14" i="5143"/>
  <c r="H18" i="5143"/>
  <c r="H36" i="5143"/>
  <c r="H40" i="5143"/>
  <c r="H44" i="5143"/>
  <c r="H48" i="5143"/>
  <c r="H19" i="5143"/>
  <c r="H10" i="5143"/>
  <c r="H7" i="5143"/>
  <c r="H12" i="5143"/>
  <c r="H23" i="5143"/>
  <c r="H26" i="5143"/>
  <c r="H15" i="5143"/>
  <c r="H29" i="5143"/>
  <c r="H13" i="5143"/>
  <c r="H9" i="5143"/>
  <c r="H33" i="5143"/>
  <c r="H37" i="5143"/>
  <c r="H41" i="5143"/>
  <c r="H45" i="5143"/>
  <c r="H49" i="5143"/>
  <c r="H5" i="5143"/>
  <c r="H6" i="5143"/>
  <c r="H22" i="5143"/>
  <c r="H24" i="5143"/>
  <c r="H16" i="5143"/>
  <c r="C18" i="5143"/>
  <c r="B23" i="5143"/>
  <c r="H20" i="5143"/>
  <c r="H32" i="5143"/>
  <c r="H34" i="5143"/>
  <c r="H38" i="5143"/>
  <c r="H42" i="5143"/>
  <c r="H46" i="5143"/>
  <c r="O17" i="5141" l="1"/>
  <c r="O21" i="5141"/>
  <c r="C27" i="5141"/>
  <c r="B24" i="5141"/>
  <c r="C20" i="5141"/>
  <c r="B17" i="5141"/>
  <c r="H50" i="5141" s="1"/>
  <c r="H15" i="5141"/>
  <c r="C16" i="5141"/>
  <c r="C15" i="5141"/>
  <c r="C14" i="5141"/>
  <c r="C13" i="5141"/>
  <c r="O12" i="5141"/>
  <c r="C12" i="5141"/>
  <c r="O11" i="5141"/>
  <c r="C11" i="5141"/>
  <c r="O10" i="5141"/>
  <c r="C10" i="5141"/>
  <c r="C9" i="5141"/>
  <c r="C8" i="5141"/>
  <c r="O7" i="5141"/>
  <c r="C7" i="5141"/>
  <c r="O6" i="5141"/>
  <c r="B6" i="5141"/>
  <c r="O5" i="5141"/>
  <c r="B5" i="5141"/>
  <c r="O4" i="5141"/>
  <c r="O3" i="5141"/>
  <c r="O2" i="5141"/>
  <c r="O22" i="5139"/>
  <c r="O17" i="5139"/>
  <c r="C27" i="5139"/>
  <c r="B24" i="5139"/>
  <c r="C20" i="5139"/>
  <c r="B17" i="5139"/>
  <c r="H51" i="5139" s="1"/>
  <c r="C16" i="5139"/>
  <c r="C15" i="5139"/>
  <c r="C14" i="5139"/>
  <c r="C13" i="5139"/>
  <c r="O12" i="5139"/>
  <c r="C12" i="5139"/>
  <c r="O11" i="5139"/>
  <c r="C11" i="5139"/>
  <c r="O10" i="5139"/>
  <c r="C10" i="5139"/>
  <c r="C9" i="5139"/>
  <c r="C8" i="5139"/>
  <c r="O7" i="5139"/>
  <c r="C7" i="5139"/>
  <c r="O6" i="5139"/>
  <c r="B6" i="5139"/>
  <c r="O5" i="5139"/>
  <c r="B5" i="5139"/>
  <c r="O4" i="5139"/>
  <c r="O3" i="5139"/>
  <c r="O2" i="5139"/>
  <c r="O25" i="5135"/>
  <c r="O16" i="5137"/>
  <c r="O23" i="5137"/>
  <c r="C27" i="5137"/>
  <c r="B24" i="5137"/>
  <c r="C20" i="5137"/>
  <c r="B17" i="5137"/>
  <c r="H51" i="5137" s="1"/>
  <c r="C16" i="5137"/>
  <c r="C15" i="5137"/>
  <c r="C14" i="5137"/>
  <c r="C13" i="5137"/>
  <c r="O12" i="5137"/>
  <c r="C12" i="5137"/>
  <c r="O11" i="5137"/>
  <c r="C11" i="5137"/>
  <c r="O10" i="5137"/>
  <c r="C10" i="5137"/>
  <c r="C9" i="5137"/>
  <c r="C8" i="5137"/>
  <c r="O7" i="5137"/>
  <c r="C7" i="5137"/>
  <c r="O6" i="5137"/>
  <c r="B6" i="5137"/>
  <c r="O5" i="5137"/>
  <c r="B5" i="5137"/>
  <c r="O4" i="5137"/>
  <c r="O3" i="5137"/>
  <c r="O2" i="5137"/>
  <c r="O17" i="5135"/>
  <c r="O20" i="5135"/>
  <c r="C27" i="5135"/>
  <c r="B24" i="5135"/>
  <c r="C20" i="5135"/>
  <c r="B17" i="5135"/>
  <c r="H18" i="5135" s="1"/>
  <c r="C16" i="5135"/>
  <c r="C15" i="5135"/>
  <c r="C14" i="5135"/>
  <c r="C13" i="5135"/>
  <c r="O12" i="5135"/>
  <c r="C12" i="5135"/>
  <c r="O11" i="5135"/>
  <c r="C11" i="5135"/>
  <c r="O10" i="5135"/>
  <c r="C10" i="5135"/>
  <c r="C9" i="5135"/>
  <c r="C8" i="5135"/>
  <c r="O7" i="5135"/>
  <c r="C7" i="5135"/>
  <c r="O6" i="5135"/>
  <c r="B6" i="5135"/>
  <c r="O5" i="5135"/>
  <c r="B5" i="5135"/>
  <c r="O4" i="5135"/>
  <c r="O3" i="5135"/>
  <c r="O2" i="5135"/>
  <c r="H3" i="5141" l="1"/>
  <c r="H7" i="5141"/>
  <c r="H26" i="5141"/>
  <c r="H9" i="5141"/>
  <c r="H4" i="5141"/>
  <c r="C18" i="5141"/>
  <c r="H2" i="5141"/>
  <c r="H23" i="5141"/>
  <c r="H44" i="5141"/>
  <c r="H49" i="5141"/>
  <c r="H25" i="5141"/>
  <c r="C17" i="5141"/>
  <c r="H18" i="5141"/>
  <c r="H11" i="5141"/>
  <c r="H8" i="5141"/>
  <c r="H14" i="5141"/>
  <c r="H12" i="5141"/>
  <c r="H6" i="5141"/>
  <c r="H10" i="5141"/>
  <c r="H24" i="5141"/>
  <c r="H16" i="5141"/>
  <c r="B23" i="5141"/>
  <c r="H33" i="5141"/>
  <c r="H13" i="5141"/>
  <c r="H37" i="5141"/>
  <c r="H39" i="5141"/>
  <c r="H17" i="5141"/>
  <c r="H22" i="5141"/>
  <c r="H43" i="5141"/>
  <c r="H10" i="5139"/>
  <c r="H3" i="5135"/>
  <c r="H11" i="5135"/>
  <c r="H2" i="5135"/>
  <c r="H4" i="5135"/>
  <c r="H4" i="5137"/>
  <c r="H17" i="5137"/>
  <c r="B23" i="5137"/>
  <c r="H29" i="5137"/>
  <c r="H6" i="5137"/>
  <c r="C18" i="5137"/>
  <c r="H3" i="5137"/>
  <c r="H11" i="5137"/>
  <c r="H2" i="5137"/>
  <c r="H20" i="5137"/>
  <c r="H9" i="5137"/>
  <c r="H48" i="5141"/>
  <c r="H31" i="5141"/>
  <c r="H35" i="5141"/>
  <c r="H40" i="5141"/>
  <c r="H45" i="5141"/>
  <c r="H51" i="5141"/>
  <c r="C19" i="5141"/>
  <c r="H29" i="5141"/>
  <c r="H19" i="5141"/>
  <c r="H32" i="5141"/>
  <c r="H36" i="5141"/>
  <c r="H41" i="5141"/>
  <c r="H47" i="5141"/>
  <c r="H5" i="5141"/>
  <c r="H27" i="5141"/>
  <c r="H28" i="5141"/>
  <c r="H30" i="5141"/>
  <c r="H20" i="5141"/>
  <c r="H21" i="5141"/>
  <c r="H34" i="5141"/>
  <c r="H38" i="5141"/>
  <c r="H42" i="5141"/>
  <c r="H46" i="5141"/>
  <c r="H9" i="5135"/>
  <c r="C17" i="5135"/>
  <c r="H3" i="5139"/>
  <c r="H2" i="5139"/>
  <c r="H6" i="5139"/>
  <c r="H19" i="5139"/>
  <c r="H29" i="5139"/>
  <c r="H22" i="5139"/>
  <c r="C18" i="5139"/>
  <c r="B23" i="5139"/>
  <c r="H11" i="5139"/>
  <c r="H36" i="5139"/>
  <c r="H44" i="5139"/>
  <c r="H4" i="5139"/>
  <c r="H38" i="5139"/>
  <c r="H8" i="5139"/>
  <c r="C17" i="5139"/>
  <c r="H27" i="5139"/>
  <c r="H40" i="5139"/>
  <c r="H49" i="5139"/>
  <c r="H14" i="5139"/>
  <c r="H34" i="5139"/>
  <c r="H45" i="5139"/>
  <c r="H21" i="5139"/>
  <c r="H23" i="5139"/>
  <c r="H13" i="5139"/>
  <c r="H9" i="5139"/>
  <c r="H7" i="5139"/>
  <c r="H12" i="5139"/>
  <c r="H20" i="5139"/>
  <c r="H17" i="5139"/>
  <c r="H15" i="5139"/>
  <c r="H35" i="5139"/>
  <c r="H41" i="5139"/>
  <c r="H50" i="5139"/>
  <c r="H46" i="5139"/>
  <c r="H18" i="5139"/>
  <c r="C19" i="5139"/>
  <c r="H24" i="5139"/>
  <c r="H33" i="5139"/>
  <c r="H26" i="5139"/>
  <c r="H37" i="5139"/>
  <c r="H42" i="5139"/>
  <c r="H48" i="5139"/>
  <c r="H5" i="5139"/>
  <c r="H30" i="5139"/>
  <c r="H31" i="5139"/>
  <c r="H32" i="5139"/>
  <c r="H25" i="5139"/>
  <c r="H16" i="5139"/>
  <c r="H28" i="5139"/>
  <c r="H39" i="5139"/>
  <c r="H43" i="5139"/>
  <c r="H47" i="5139"/>
  <c r="H36" i="5137"/>
  <c r="H44" i="5137"/>
  <c r="H38" i="5137"/>
  <c r="H45" i="5137"/>
  <c r="H24" i="5137"/>
  <c r="H21" i="5137"/>
  <c r="H22" i="5137"/>
  <c r="H12" i="5137"/>
  <c r="H40" i="5137"/>
  <c r="H49" i="5137"/>
  <c r="H15" i="5137"/>
  <c r="H8" i="5137"/>
  <c r="C17" i="5137"/>
  <c r="H26" i="5137"/>
  <c r="H10" i="5137"/>
  <c r="H7" i="5137"/>
  <c r="H13" i="5137"/>
  <c r="H28" i="5137"/>
  <c r="H18" i="5137"/>
  <c r="H14" i="5137"/>
  <c r="H35" i="5137"/>
  <c r="H41" i="5137"/>
  <c r="H50" i="5137"/>
  <c r="H46" i="5137"/>
  <c r="H16" i="5137"/>
  <c r="C19" i="5137"/>
  <c r="H32" i="5137"/>
  <c r="H23" i="5137"/>
  <c r="H25" i="5137"/>
  <c r="H37" i="5137"/>
  <c r="H42" i="5137"/>
  <c r="H48" i="5137"/>
  <c r="H5" i="5137"/>
  <c r="H30" i="5137"/>
  <c r="H31" i="5137"/>
  <c r="H33" i="5137"/>
  <c r="H34" i="5137"/>
  <c r="H19" i="5137"/>
  <c r="H27" i="5137"/>
  <c r="H39" i="5137"/>
  <c r="H43" i="5137"/>
  <c r="H47" i="5137"/>
  <c r="H7" i="5135"/>
  <c r="H12" i="5135"/>
  <c r="H24" i="5135"/>
  <c r="H19" i="5135"/>
  <c r="H15" i="5135"/>
  <c r="H29" i="5135"/>
  <c r="H13" i="5135"/>
  <c r="H10" i="5135"/>
  <c r="H26" i="5135"/>
  <c r="H37" i="5135"/>
  <c r="H41" i="5135"/>
  <c r="H45" i="5135"/>
  <c r="H49" i="5135"/>
  <c r="H5" i="5135"/>
  <c r="H6" i="5135"/>
  <c r="H20" i="5135"/>
  <c r="H32" i="5135"/>
  <c r="H16" i="5135"/>
  <c r="C18" i="5135"/>
  <c r="B23" i="5135"/>
  <c r="H22" i="5135"/>
  <c r="H31" i="5135"/>
  <c r="H35" i="5135"/>
  <c r="H38" i="5135"/>
  <c r="H42" i="5135"/>
  <c r="H46" i="5135"/>
  <c r="H50" i="5135"/>
  <c r="H33" i="5135"/>
  <c r="H34" i="5135"/>
  <c r="H30" i="5135"/>
  <c r="H27" i="5135"/>
  <c r="H17" i="5135"/>
  <c r="H28" i="5135"/>
  <c r="H39" i="5135"/>
  <c r="H43" i="5135"/>
  <c r="H47" i="5135"/>
  <c r="H51" i="5135"/>
  <c r="H8" i="5135"/>
  <c r="H21" i="5135"/>
  <c r="H25" i="5135"/>
  <c r="C19" i="5135"/>
  <c r="H14" i="5135"/>
  <c r="H23" i="5135"/>
  <c r="H36" i="5135"/>
  <c r="H40" i="5135"/>
  <c r="H44" i="5135"/>
  <c r="H48" i="513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<sst xmlns="http://schemas.openxmlformats.org/spreadsheetml/2006/main" count="3169" uniqueCount="227">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</sst>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全体!$K$2:$K$431</c:f>
              <c:numCache>
                <c:formatCode>General</c:formatCode>
                <c:ptCount val="4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</c:numCache>
            </c:numRef>
          </c:xVal>
          <c:yVal>
            <c:numRef>
              <c:f>全体!$L$2:$L$431</c:f>
              <c:numCache>
                <c:formatCode>\+0.0;\-0.0;\±0</c:formatCode>
                <c:ptCount val="43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2C-473F-AF64-BF9B5830F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-13.986013986013987</c:v>
                </c:pt>
                <c:pt idx="1">
                  <c:v>-9.3896713615023479</c:v>
                </c:pt>
                <c:pt idx="2">
                  <c:v>9.8765432098765427</c:v>
                </c:pt>
                <c:pt idx="3">
                  <c:v>13.550135501355014</c:v>
                </c:pt>
                <c:pt idx="4">
                  <c:v>-14.749262536873156</c:v>
                </c:pt>
                <c:pt idx="5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5-4797-B41B-C41D2CF82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だいち!$L$2:$L$100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21-4665-B6FF-E9D0FC3B4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2509.1836734693879</c:v>
                </c:pt>
                <c:pt idx="1">
                  <c:v>2640.2061855670104</c:v>
                </c:pt>
                <c:pt idx="2">
                  <c:v>2664.516129032258</c:v>
                </c:pt>
                <c:pt idx="3">
                  <c:v>2735.294117647059</c:v>
                </c:pt>
                <c:pt idx="4">
                  <c:v>40.789473684210527</c:v>
                </c:pt>
                <c:pt idx="5">
                  <c:v>681.15942028985512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97-44A6-82EF-758DA85F6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りくと!$L$2:$L$103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7-4591-8F83-3843CE7F9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631.68316831683171</c:v>
                </c:pt>
                <c:pt idx="1">
                  <c:v>-2578</c:v>
                </c:pt>
                <c:pt idx="2">
                  <c:v>-909.2783505154639</c:v>
                </c:pt>
                <c:pt idx="3">
                  <c:v>622.9885057471264</c:v>
                </c:pt>
                <c:pt idx="4">
                  <c:v>93.670886075949369</c:v>
                </c:pt>
                <c:pt idx="5">
                  <c:v>308.10810810810813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2-482B-B12C-D8C4BB4F6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2-45D9-BE58-2E1D90220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-3064.2857142857142</c:v>
                </c:pt>
                <c:pt idx="1">
                  <c:v>-2847.6190476190477</c:v>
                </c:pt>
                <c:pt idx="2">
                  <c:v>-848.71794871794873</c:v>
                </c:pt>
                <c:pt idx="3">
                  <c:v>-5420.588235294118</c:v>
                </c:pt>
                <c:pt idx="4">
                  <c:v>-561.29032258064512</c:v>
                </c:pt>
                <c:pt idx="5">
                  <c:v>-1617.2413793103449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5A-47E7-A20C-9C1779D0F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れんたろう!$L$2:$L$55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33-4B0C-BC4A-0F8099A08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-377.35849056603774</c:v>
                </c:pt>
                <c:pt idx="1">
                  <c:v>1032.0754716981132</c:v>
                </c:pt>
                <c:pt idx="2">
                  <c:v>-125.49019607843137</c:v>
                </c:pt>
                <c:pt idx="3">
                  <c:v>2045.4545454545455</c:v>
                </c:pt>
                <c:pt idx="4">
                  <c:v>-1720</c:v>
                </c:pt>
                <c:pt idx="5">
                  <c:v>929.72972972972968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9-4ACC-B77E-A28230006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0-4B57-9EEA-11A60C10D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3-494E-BD0F-2A5CAC7F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ぱぱ!$L$2:$L$40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3-4499-93BB-6DFCE0076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-2526.3157894736842</c:v>
                </c:pt>
                <c:pt idx="1">
                  <c:v>1650</c:v>
                </c:pt>
                <c:pt idx="2">
                  <c:v>-680.55555555555554</c:v>
                </c:pt>
                <c:pt idx="3">
                  <c:v>-4076.4705882352941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8-45BA-B1C6-3B7A1CED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6-4782-96F0-44B675EC6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F-47AA-A063-CF876613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C-4354-8CEB-DCB97B925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0-4D6F-B77A-56BD9F40A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7-4FF1-B0C5-875E9E6A5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1-47C3-8688-BAAE1D47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1-4741-B3D7-994DA2F4C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5-4D22-A3D1-1EAD8FB72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C-492F-B98C-E3863692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F-4E74-B62F-6C7D5EC59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2-4CC8-8532-B28E8405D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7-45B3-8988-B94D77F14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2510709333426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222222222222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8.13653136531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03.8205980066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3310023310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3310023310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444444444444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4650205761316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212435233160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269372693726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DD75BC-627F-428B-97B7-45DD48AE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EA021E-A310-46C6-9DEE-A127D1EF9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47E0E0-429D-4654-ABA5-03D4491A9D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66DBA1-E57D-4027-8331-0783EAAD34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F3B6D6-078D-4D1B-B98C-97718B8DD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2F9B49-DE0E-460D-9EDA-799093A23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603903-05A6-440F-A07E-9C7C5D509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10F094-4BDA-4A7A-9E12-FF4D70F85E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5FF52A-EE77-42A1-8DF2-791BA08B9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DB548F-F997-44B3-ABBB-2DE55965F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D2E97C-5FCB-4A7C-9D88-137168DF7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F0A15C-D3A0-4BFF-9747-882E649B7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3CBE74-B3C7-4924-B829-30D54F64F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4ED956-D7A0-4EBE-AA51-098BBA2211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8EB920-53D9-4EFC-9437-7E8968531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6A821A-62C8-47BF-8AC6-F05DD3D7B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6DA284-03D8-4105-B2A1-83EE6E24D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AFE33C-EEC0-4A95-9417-4FFD82DBF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E99E3B-6BF9-474A-A7C9-0BF2E8690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58447C-9411-4907-AF02-E87E661DA1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1D2C4F-D7E9-4FDF-B2D6-48CF33DD0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DDDCB6-09C4-49D8-B98A-E60FCC20A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8DE857-315A-4701-B6BF-B6475E44EF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3C9939-3D26-4BA7-BEEE-B4C612D3C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421271-9B77-41DE-96DD-042499A03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AD17B0-0DFF-4A6D-9D7C-BFEE41055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7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7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7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7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7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7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7" x14ac:dyDescent="0.4">
      <c r="A39" s="30" t="s">
        <v>226</v>
      </c>
      <c r="B39" s="31">
        <v>43602.101446759261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0.69494162520537572</v>
      </c>
      <c r="G2" s="155"/>
      <c r="H2" s="154">
        <v>0.60092061473149405</v>
      </c>
      <c r="I2" s="155"/>
      <c r="J2" s="154">
        <v>0.66047194770884898</v>
      </c>
      <c r="K2" s="155"/>
      <c r="L2" s="154">
        <v>0.4864618635943383</v>
      </c>
      <c r="M2" s="155"/>
      <c r="N2" s="154">
        <v>0.57884303588347574</v>
      </c>
      <c r="O2" s="155"/>
      <c r="P2" s="154">
        <v>0.61626262489647088</v>
      </c>
      <c r="Q2" s="155"/>
      <c r="R2" s="154">
        <v>-2.0636008931610689E-2</v>
      </c>
      <c r="S2" s="155"/>
      <c r="T2" s="154">
        <v>0.43144234731613118</v>
      </c>
      <c r="U2" s="155"/>
      <c r="V2" s="154">
        <v>0.72740804105763046</v>
      </c>
      <c r="W2" s="155"/>
      <c r="X2" s="154">
        <v>0.93193763406401608</v>
      </c>
      <c r="Y2" s="155"/>
      <c r="Z2" s="154">
        <v>-9.5048837214900025E-2</v>
      </c>
      <c r="AA2" s="155"/>
      <c r="AB2" s="154">
        <v>0.30215878892055364</v>
      </c>
      <c r="AC2" s="155"/>
      <c r="AD2" s="154">
        <v>5.8822213757719691E-2</v>
      </c>
      <c r="AE2" s="155"/>
      <c r="AF2" s="154">
        <v>-0.4304891039053213</v>
      </c>
      <c r="AG2" s="155"/>
      <c r="AH2" s="154">
        <v>0.82925819650478472</v>
      </c>
      <c r="AI2" s="155"/>
    </row>
    <row r="3" spans="1:35" x14ac:dyDescent="0.4">
      <c r="A3" s="74">
        <v>1</v>
      </c>
      <c r="B3" s="75" t="s">
        <v>127</v>
      </c>
      <c r="C3" s="76">
        <v>1737.4000000000012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0.37624999999999997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0.18367346938775511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0.52459016393442626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65.199999999999989</v>
      </c>
      <c r="D4" s="85" t="s">
        <v>127</v>
      </c>
      <c r="E4" s="97">
        <v>17.728571428571442</v>
      </c>
      <c r="F4" s="85" t="s">
        <v>127</v>
      </c>
      <c r="G4" s="86">
        <v>1.6428571428571428</v>
      </c>
      <c r="H4" s="85" t="s">
        <v>127</v>
      </c>
      <c r="I4" s="87">
        <v>0.54081632653061229</v>
      </c>
      <c r="J4" s="85" t="s">
        <v>224</v>
      </c>
      <c r="K4" s="87">
        <v>0</v>
      </c>
      <c r="L4" s="85" t="s">
        <v>225</v>
      </c>
      <c r="M4" s="88">
        <v>0.375</v>
      </c>
      <c r="N4" s="85" t="s">
        <v>185</v>
      </c>
      <c r="O4" s="88">
        <v>0.10526315789473684</v>
      </c>
      <c r="P4" s="85" t="s">
        <v>171</v>
      </c>
      <c r="Q4" s="89">
        <v>9578.9473684210534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0.13207547169811321</v>
      </c>
      <c r="X4" s="85" t="s">
        <v>127</v>
      </c>
      <c r="Y4" s="88">
        <v>0.32874999999999999</v>
      </c>
      <c r="Z4" s="85" t="s">
        <v>202</v>
      </c>
      <c r="AA4" s="88">
        <v>0.26</v>
      </c>
      <c r="AB4" s="85" t="s">
        <v>177</v>
      </c>
      <c r="AC4" s="88">
        <v>0.625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127</v>
      </c>
      <c r="K5" s="87">
        <v>0.18367346938775511</v>
      </c>
      <c r="L5" s="85" t="s">
        <v>172</v>
      </c>
      <c r="M5" s="88">
        <v>0.36899563318777295</v>
      </c>
      <c r="N5" s="85" t="s">
        <v>172</v>
      </c>
      <c r="O5" s="88">
        <v>0.1331877729257642</v>
      </c>
      <c r="P5" s="85" t="s">
        <v>128</v>
      </c>
      <c r="Q5" s="89">
        <v>9168.1034482758623</v>
      </c>
      <c r="R5" s="85" t="s">
        <v>171</v>
      </c>
      <c r="S5" s="89">
        <v>-7243.6619718309857</v>
      </c>
      <c r="T5" s="85" t="s">
        <v>224</v>
      </c>
      <c r="U5" s="87">
        <v>0</v>
      </c>
      <c r="V5" s="85" t="s">
        <v>172</v>
      </c>
      <c r="W5" s="87">
        <v>0.11320754716981132</v>
      </c>
      <c r="X5" s="85" t="s">
        <v>128</v>
      </c>
      <c r="Y5" s="88">
        <v>0.29078014184397161</v>
      </c>
      <c r="Z5" s="85" t="s">
        <v>173</v>
      </c>
      <c r="AA5" s="88">
        <v>0.25</v>
      </c>
      <c r="AB5" s="85" t="s">
        <v>127</v>
      </c>
      <c r="AC5" s="88">
        <v>0.61596958174904948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224</v>
      </c>
      <c r="C6" s="84">
        <v>13.3</v>
      </c>
      <c r="D6" s="85" t="s">
        <v>172</v>
      </c>
      <c r="E6" s="97">
        <v>1.2301886792452827</v>
      </c>
      <c r="F6" s="85" t="s">
        <v>202</v>
      </c>
      <c r="G6" s="86">
        <v>2</v>
      </c>
      <c r="H6" s="85" t="s">
        <v>186</v>
      </c>
      <c r="I6" s="87">
        <v>0.3</v>
      </c>
      <c r="J6" s="85" t="s">
        <v>202</v>
      </c>
      <c r="K6" s="87">
        <v>0.2</v>
      </c>
      <c r="L6" s="85" t="s">
        <v>173</v>
      </c>
      <c r="M6" s="88">
        <v>0.30357142857142855</v>
      </c>
      <c r="N6" s="85" t="s">
        <v>127</v>
      </c>
      <c r="O6" s="88">
        <v>0.14624999999999999</v>
      </c>
      <c r="P6" s="85" t="s">
        <v>127</v>
      </c>
      <c r="Q6" s="89">
        <v>9017.6079734219275</v>
      </c>
      <c r="R6" s="85" t="s">
        <v>177</v>
      </c>
      <c r="S6" s="89">
        <v>-7291.8918918918916</v>
      </c>
      <c r="T6" s="85" t="s">
        <v>225</v>
      </c>
      <c r="U6" s="87">
        <v>0</v>
      </c>
      <c r="V6" s="85" t="s">
        <v>145</v>
      </c>
      <c r="W6" s="87">
        <v>0.10023310023310024</v>
      </c>
      <c r="X6" s="85" t="s">
        <v>145</v>
      </c>
      <c r="Y6" s="88">
        <v>0.27</v>
      </c>
      <c r="Z6" s="85" t="s">
        <v>127</v>
      </c>
      <c r="AA6" s="88">
        <v>0.22875000000000001</v>
      </c>
      <c r="AB6" s="85" t="s">
        <v>173</v>
      </c>
      <c r="AC6" s="88">
        <v>0.60759493670886078</v>
      </c>
      <c r="AD6" s="85" t="s">
        <v>172</v>
      </c>
      <c r="AE6" s="88">
        <v>0.43065693430656932</v>
      </c>
      <c r="AF6" s="85" t="s">
        <v>173</v>
      </c>
      <c r="AG6" s="88">
        <v>0.51960784313725494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2.8421709430404007E-14</v>
      </c>
      <c r="D7" s="85" t="s">
        <v>145</v>
      </c>
      <c r="E7" s="97">
        <v>6.6251070933342675E-17</v>
      </c>
      <c r="F7" s="85" t="s">
        <v>224</v>
      </c>
      <c r="G7" s="86">
        <v>2</v>
      </c>
      <c r="H7" s="85" t="s">
        <v>177</v>
      </c>
      <c r="I7" s="87">
        <v>0.29166666666666669</v>
      </c>
      <c r="J7" s="85" t="s">
        <v>172</v>
      </c>
      <c r="K7" s="87">
        <v>0.32075471698113206</v>
      </c>
      <c r="L7" s="85" t="s">
        <v>145</v>
      </c>
      <c r="M7" s="88">
        <v>0.30111111111111111</v>
      </c>
      <c r="N7" s="85" t="s">
        <v>171</v>
      </c>
      <c r="O7" s="88">
        <v>0.15812917594654788</v>
      </c>
      <c r="P7" s="85" t="s">
        <v>129</v>
      </c>
      <c r="Q7" s="89">
        <v>8750</v>
      </c>
      <c r="R7" s="85" t="s">
        <v>186</v>
      </c>
      <c r="S7" s="89">
        <v>-7686.95652173913</v>
      </c>
      <c r="T7" s="85" t="s">
        <v>171</v>
      </c>
      <c r="U7" s="87">
        <v>3.7735849056603772E-2</v>
      </c>
      <c r="V7" s="85" t="s">
        <v>128</v>
      </c>
      <c r="W7" s="87">
        <v>7.9207920792079209E-2</v>
      </c>
      <c r="X7" s="85" t="s">
        <v>185</v>
      </c>
      <c r="Y7" s="88">
        <v>0.26315789473684209</v>
      </c>
      <c r="Z7" s="85" t="s">
        <v>177</v>
      </c>
      <c r="AA7" s="88">
        <v>0.22727272727272727</v>
      </c>
      <c r="AB7" s="85" t="s">
        <v>185</v>
      </c>
      <c r="AC7" s="88">
        <v>0.6</v>
      </c>
      <c r="AD7" s="85" t="s">
        <v>177</v>
      </c>
      <c r="AE7" s="88">
        <v>0.4</v>
      </c>
      <c r="AF7" s="85" t="s">
        <v>129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-4.1000000000000085</v>
      </c>
      <c r="D8" s="85" t="s">
        <v>171</v>
      </c>
      <c r="E8" s="97">
        <v>-7.7358490566037899E-2</v>
      </c>
      <c r="F8" s="85" t="s">
        <v>172</v>
      </c>
      <c r="G8" s="86">
        <v>2.0377358490566038</v>
      </c>
      <c r="H8" s="85" t="s">
        <v>173</v>
      </c>
      <c r="I8" s="87">
        <v>0.28947368421052633</v>
      </c>
      <c r="J8" s="85" t="s">
        <v>145</v>
      </c>
      <c r="K8" s="87">
        <v>0.33333333333333331</v>
      </c>
      <c r="L8" s="85" t="s">
        <v>128</v>
      </c>
      <c r="M8" s="88">
        <v>0.27423167848699764</v>
      </c>
      <c r="N8" s="85" t="s">
        <v>145</v>
      </c>
      <c r="O8" s="88">
        <v>0.16722222222222222</v>
      </c>
      <c r="P8" s="85" t="s">
        <v>225</v>
      </c>
      <c r="Q8" s="89">
        <v>8666.6666666666661</v>
      </c>
      <c r="R8" s="85" t="s">
        <v>128</v>
      </c>
      <c r="S8" s="89">
        <v>-7697.9591836734689</v>
      </c>
      <c r="T8" s="85" t="s">
        <v>127</v>
      </c>
      <c r="U8" s="87">
        <v>5.1020408163265307E-2</v>
      </c>
      <c r="V8" s="85" t="s">
        <v>173</v>
      </c>
      <c r="W8" s="87">
        <v>5.2631578947368418E-2</v>
      </c>
      <c r="X8" s="85" t="s">
        <v>171</v>
      </c>
      <c r="Y8" s="88">
        <v>0.26280623608017817</v>
      </c>
      <c r="Z8" s="85" t="s">
        <v>145</v>
      </c>
      <c r="AA8" s="88">
        <v>0.21444444444444444</v>
      </c>
      <c r="AB8" s="85" t="s">
        <v>128</v>
      </c>
      <c r="AC8" s="88">
        <v>0.59756097560975607</v>
      </c>
      <c r="AD8" s="85" t="s">
        <v>145</v>
      </c>
      <c r="AE8" s="88">
        <v>0.38212435233160624</v>
      </c>
      <c r="AF8" s="85" t="s">
        <v>224</v>
      </c>
      <c r="AG8" s="88">
        <v>0.5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202</v>
      </c>
      <c r="E9" s="97">
        <v>-3.2200000000000011</v>
      </c>
      <c r="F9" s="85" t="s">
        <v>173</v>
      </c>
      <c r="G9" s="86">
        <v>2.0526315789473686</v>
      </c>
      <c r="H9" s="85" t="s">
        <v>171</v>
      </c>
      <c r="I9" s="87">
        <v>0.28301886792452829</v>
      </c>
      <c r="J9" s="85" t="s">
        <v>173</v>
      </c>
      <c r="K9" s="87">
        <v>0.34210526315789475</v>
      </c>
      <c r="L9" s="85" t="s">
        <v>185</v>
      </c>
      <c r="M9" s="88">
        <v>0.26315789473684209</v>
      </c>
      <c r="N9" s="85" t="s">
        <v>128</v>
      </c>
      <c r="O9" s="88">
        <v>0.17375886524822695</v>
      </c>
      <c r="P9" s="85" t="s">
        <v>202</v>
      </c>
      <c r="Q9" s="89">
        <v>8425</v>
      </c>
      <c r="R9" s="85" t="s">
        <v>173</v>
      </c>
      <c r="S9" s="89">
        <v>-7779.6875</v>
      </c>
      <c r="T9" s="85" t="s">
        <v>172</v>
      </c>
      <c r="U9" s="87">
        <v>5.6603773584905662E-2</v>
      </c>
      <c r="V9" s="85" t="s">
        <v>129</v>
      </c>
      <c r="W9" s="87">
        <v>4.7619047619047616E-2</v>
      </c>
      <c r="X9" s="85" t="s">
        <v>129</v>
      </c>
      <c r="Y9" s="88">
        <v>0.24852071005917159</v>
      </c>
      <c r="Z9" s="85" t="s">
        <v>185</v>
      </c>
      <c r="AA9" s="88">
        <v>0.21052631578947367</v>
      </c>
      <c r="AB9" s="85" t="s">
        <v>145</v>
      </c>
      <c r="AC9" s="88">
        <v>0.59465020576131689</v>
      </c>
      <c r="AD9" s="85" t="s">
        <v>171</v>
      </c>
      <c r="AE9" s="88">
        <v>0.34177215189873417</v>
      </c>
      <c r="AF9" s="85" t="s">
        <v>145</v>
      </c>
      <c r="AG9" s="88">
        <v>0.43726937269372695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-3.7405940594059413</v>
      </c>
      <c r="F10" s="85" t="s">
        <v>171</v>
      </c>
      <c r="G10" s="86">
        <v>2.0754716981132075</v>
      </c>
      <c r="H10" s="85" t="s">
        <v>172</v>
      </c>
      <c r="I10" s="87">
        <v>0.28301886792452829</v>
      </c>
      <c r="J10" s="85" t="s">
        <v>128</v>
      </c>
      <c r="K10" s="87">
        <v>0.35643564356435642</v>
      </c>
      <c r="L10" s="85" t="s">
        <v>177</v>
      </c>
      <c r="M10" s="88">
        <v>0.26262626262626265</v>
      </c>
      <c r="N10" s="85" t="s">
        <v>177</v>
      </c>
      <c r="O10" s="88">
        <v>0.18686868686868688</v>
      </c>
      <c r="P10" s="85" t="s">
        <v>145</v>
      </c>
      <c r="Q10" s="89">
        <v>8378.1365313653132</v>
      </c>
      <c r="R10" s="85" t="s">
        <v>127</v>
      </c>
      <c r="S10" s="89">
        <v>-7878.6324786324785</v>
      </c>
      <c r="T10" s="85" t="s">
        <v>145</v>
      </c>
      <c r="U10" s="87">
        <v>0.10023310023310024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172</v>
      </c>
      <c r="AC10" s="88">
        <v>0.59405940594059403</v>
      </c>
      <c r="AD10" s="85" t="s">
        <v>173</v>
      </c>
      <c r="AE10" s="88">
        <v>0.33333333333333331</v>
      </c>
      <c r="AF10" s="85" t="s">
        <v>128</v>
      </c>
      <c r="AG10" s="88">
        <v>0.43103448275862066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-5.5657894736842106</v>
      </c>
      <c r="F11" s="85" t="s">
        <v>177</v>
      </c>
      <c r="G11" s="86">
        <v>2.0833333333333335</v>
      </c>
      <c r="H11" s="85" t="s">
        <v>128</v>
      </c>
      <c r="I11" s="87">
        <v>0.26732673267326734</v>
      </c>
      <c r="J11" s="85" t="s">
        <v>171</v>
      </c>
      <c r="K11" s="87">
        <v>0.35849056603773582</v>
      </c>
      <c r="L11" s="85" t="s">
        <v>171</v>
      </c>
      <c r="M11" s="88">
        <v>0.25389755011135856</v>
      </c>
      <c r="N11" s="85" t="s">
        <v>173</v>
      </c>
      <c r="O11" s="88">
        <v>0.19047619047619047</v>
      </c>
      <c r="P11" s="85" t="s">
        <v>185</v>
      </c>
      <c r="Q11" s="89">
        <v>7860</v>
      </c>
      <c r="R11" s="85" t="s">
        <v>145</v>
      </c>
      <c r="S11" s="89">
        <v>-8003.8205980066441</v>
      </c>
      <c r="T11" s="85" t="s">
        <v>173</v>
      </c>
      <c r="U11" s="87">
        <v>0.10526315789473684</v>
      </c>
      <c r="V11" s="85" t="s">
        <v>186</v>
      </c>
      <c r="W11" s="87">
        <v>0</v>
      </c>
      <c r="X11" s="85" t="s">
        <v>173</v>
      </c>
      <c r="Y11" s="88">
        <v>0.23511904761904762</v>
      </c>
      <c r="Z11" s="85" t="s">
        <v>128</v>
      </c>
      <c r="AA11" s="88">
        <v>0.18439716312056736</v>
      </c>
      <c r="AB11" s="85" t="s">
        <v>202</v>
      </c>
      <c r="AC11" s="88">
        <v>0.58333333333333337</v>
      </c>
      <c r="AD11" s="85" t="s">
        <v>202</v>
      </c>
      <c r="AE11" s="88">
        <v>0.30769230769230771</v>
      </c>
      <c r="AF11" s="85" t="s">
        <v>172</v>
      </c>
      <c r="AG11" s="88">
        <v>0.42011834319526625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-204</v>
      </c>
      <c r="D12" s="85" t="s">
        <v>177</v>
      </c>
      <c r="E12" s="97">
        <v>-8.5</v>
      </c>
      <c r="F12" s="85" t="s">
        <v>128</v>
      </c>
      <c r="G12" s="86">
        <v>2.0891089108910892</v>
      </c>
      <c r="H12" s="85" t="s">
        <v>129</v>
      </c>
      <c r="I12" s="87">
        <v>0.21428571428571427</v>
      </c>
      <c r="J12" s="85" t="s">
        <v>177</v>
      </c>
      <c r="K12" s="87">
        <v>0.375</v>
      </c>
      <c r="L12" s="85" t="s">
        <v>202</v>
      </c>
      <c r="M12" s="88">
        <v>0.24</v>
      </c>
      <c r="N12" s="85" t="s">
        <v>129</v>
      </c>
      <c r="O12" s="88">
        <v>0.19526627218934911</v>
      </c>
      <c r="P12" s="85" t="s">
        <v>186</v>
      </c>
      <c r="Q12" s="89">
        <v>7365</v>
      </c>
      <c r="R12" s="85" t="s">
        <v>172</v>
      </c>
      <c r="S12" s="89">
        <v>-9157.377049180328</v>
      </c>
      <c r="T12" s="85" t="s">
        <v>128</v>
      </c>
      <c r="U12" s="87">
        <v>0.13861386138613863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0.17594654788418709</v>
      </c>
      <c r="AB12" s="85" t="s">
        <v>171</v>
      </c>
      <c r="AC12" s="88">
        <v>0.57627118644067798</v>
      </c>
      <c r="AD12" s="85" t="s">
        <v>128</v>
      </c>
      <c r="AE12" s="88">
        <v>0.27564102564102566</v>
      </c>
      <c r="AF12" s="85" t="s">
        <v>127</v>
      </c>
      <c r="AG12" s="88">
        <v>0.41860465116279072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-211.5</v>
      </c>
      <c r="D13" s="85" t="s">
        <v>129</v>
      </c>
      <c r="E13" s="97">
        <v>-19.73571428571428</v>
      </c>
      <c r="F13" s="85" t="s">
        <v>186</v>
      </c>
      <c r="G13" s="86">
        <v>2.2999999999999998</v>
      </c>
      <c r="H13" s="85" t="s">
        <v>202</v>
      </c>
      <c r="I13" s="87">
        <v>0.2</v>
      </c>
      <c r="J13" s="85" t="s">
        <v>129</v>
      </c>
      <c r="K13" s="87">
        <v>0.54761904761904767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7163.4615384615381</v>
      </c>
      <c r="R13" s="85" t="s">
        <v>129</v>
      </c>
      <c r="S13" s="89">
        <v>-9530.30303030303</v>
      </c>
      <c r="T13" s="85" t="s">
        <v>129</v>
      </c>
      <c r="U13" s="87">
        <v>0.19047619047619047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0.15384615384615385</v>
      </c>
      <c r="AB13" s="85" t="s">
        <v>186</v>
      </c>
      <c r="AC13" s="88">
        <v>0.55555555555555558</v>
      </c>
      <c r="AD13" s="85" t="s">
        <v>129</v>
      </c>
      <c r="AE13" s="88">
        <v>0.19230769230769232</v>
      </c>
      <c r="AF13" s="85" t="s">
        <v>171</v>
      </c>
      <c r="AG13" s="88">
        <v>0.40350877192982454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-377.80000000000007</v>
      </c>
      <c r="D14" s="85" t="s">
        <v>186</v>
      </c>
      <c r="E14" s="97">
        <v>-19.75</v>
      </c>
      <c r="F14" s="85" t="s">
        <v>129</v>
      </c>
      <c r="G14" s="86">
        <v>2.3333333333333335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0.21301775147928995</v>
      </c>
      <c r="N14" s="85" t="s">
        <v>186</v>
      </c>
      <c r="O14" s="88">
        <v>0.27058823529411763</v>
      </c>
      <c r="P14" s="85" t="s">
        <v>173</v>
      </c>
      <c r="Q14" s="89">
        <v>6886.2745098039213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0.52380952380952384</v>
      </c>
      <c r="AD14" s="85" t="s">
        <v>224</v>
      </c>
      <c r="AE14" s="88">
        <v>0</v>
      </c>
      <c r="AF14" s="85" t="s">
        <v>177</v>
      </c>
      <c r="AG14" s="88">
        <v>0.38461538461538464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-828.89999999999975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177</v>
      </c>
      <c r="U15" s="87">
        <v>0.20833333333333334</v>
      </c>
      <c r="V15" s="85" t="s">
        <v>225</v>
      </c>
      <c r="W15" s="87">
        <v>0</v>
      </c>
      <c r="X15" s="85" t="s">
        <v>177</v>
      </c>
      <c r="Y15" s="88">
        <v>0.20202020202020202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2BCF5-7E4F-4637-AA37-D19C1EF76159}">
  <sheetPr codeName="Sheet4"/>
  <dimension ref="A1:Q43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429</v>
      </c>
      <c r="C2" s="147"/>
      <c r="E2" s="62" t="s">
        <v>67</v>
      </c>
      <c r="F2" s="59" t="s">
        <v>23</v>
      </c>
      <c r="G2" s="46">
        <v>791</v>
      </c>
      <c r="H2" s="132">
        <f>IF(B$17=0,0,G2/B$17)</f>
        <v>0.72970479704797053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-13.986013986013987</v>
      </c>
      <c r="P2" s="118">
        <v>429</v>
      </c>
      <c r="Q2" s="102">
        <v>-6000</v>
      </c>
    </row>
    <row r="3" spans="1:17" x14ac:dyDescent="0.4">
      <c r="A3" s="55" t="s">
        <v>8</v>
      </c>
      <c r="B3" s="148">
        <v>3600</v>
      </c>
      <c r="C3" s="149"/>
      <c r="E3" s="63" t="s">
        <v>65</v>
      </c>
      <c r="F3" s="60" t="s">
        <v>21</v>
      </c>
      <c r="G3" s="47">
        <v>552</v>
      </c>
      <c r="H3" s="133">
        <f>IF(B$17=0,0,G3/B$17)</f>
        <v>0.5092250922509225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-9.3896713615023479</v>
      </c>
      <c r="P3" s="119">
        <v>426</v>
      </c>
      <c r="Q3" s="103">
        <v>-4000</v>
      </c>
    </row>
    <row r="4" spans="1:17" x14ac:dyDescent="0.4">
      <c r="A4" s="55" t="s">
        <v>6</v>
      </c>
      <c r="B4" s="150">
        <v>2.8421709430404007E-14</v>
      </c>
      <c r="C4" s="151"/>
      <c r="E4" s="63" t="s">
        <v>73</v>
      </c>
      <c r="F4" s="60" t="s">
        <v>28</v>
      </c>
      <c r="G4" s="47">
        <v>551</v>
      </c>
      <c r="H4" s="133">
        <f>IF(B$17=0,0,G4/B$17)</f>
        <v>0.50830258302583031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9.8765432098765427</v>
      </c>
      <c r="P4" s="119">
        <v>405</v>
      </c>
      <c r="Q4" s="103">
        <v>4000</v>
      </c>
    </row>
    <row r="5" spans="1:17" x14ac:dyDescent="0.4">
      <c r="A5" s="55" t="s">
        <v>7</v>
      </c>
      <c r="B5" s="152">
        <f>IF(B$2=0,0,B$4/B$2)</f>
        <v>6.6251070933342675E-17</v>
      </c>
      <c r="C5" s="153"/>
      <c r="E5" s="63" t="s">
        <v>181</v>
      </c>
      <c r="F5" s="60" t="s">
        <v>182</v>
      </c>
      <c r="G5" s="47">
        <v>438</v>
      </c>
      <c r="H5" s="133">
        <f>IF(B$17=0,0,G5/B$17)</f>
        <v>0.40405904059040593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13.550135501355014</v>
      </c>
      <c r="P5" s="119">
        <v>369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331</v>
      </c>
      <c r="H6" s="133">
        <f>IF(B$17=0,0,G6/B$17)</f>
        <v>0.30535055350553508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-14.749262536873156</v>
      </c>
      <c r="P6" s="119">
        <v>339</v>
      </c>
      <c r="Q6" s="103">
        <v>-5000</v>
      </c>
    </row>
    <row r="7" spans="1:17" x14ac:dyDescent="0.4">
      <c r="A7" s="55" t="s">
        <v>2</v>
      </c>
      <c r="B7" s="47">
        <v>143</v>
      </c>
      <c r="C7" s="39">
        <f>IF(B$2=0,0,B7/B$2)</f>
        <v>0.33333333333333331</v>
      </c>
      <c r="E7" s="63" t="s">
        <v>69</v>
      </c>
      <c r="F7" s="60" t="s">
        <v>12</v>
      </c>
      <c r="G7" s="47">
        <v>331</v>
      </c>
      <c r="H7" s="133">
        <f>IF(B$17=0,0,G7/B$17)</f>
        <v>0.30535055350553508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19.23076923076923</v>
      </c>
      <c r="P7" s="120">
        <v>312</v>
      </c>
      <c r="Q7" s="104">
        <v>6000</v>
      </c>
    </row>
    <row r="8" spans="1:17" x14ac:dyDescent="0.4">
      <c r="A8" s="55" t="s">
        <v>3</v>
      </c>
      <c r="B8" s="47">
        <v>143</v>
      </c>
      <c r="C8" s="39">
        <f>IF(B$2=0,0,B8/B$2)</f>
        <v>0.33333333333333331</v>
      </c>
      <c r="E8" s="63" t="s">
        <v>70</v>
      </c>
      <c r="F8" s="60" t="s">
        <v>25</v>
      </c>
      <c r="G8" s="47">
        <v>202</v>
      </c>
      <c r="H8" s="133">
        <f>IF(B$17=0,0,G8/B$17)</f>
        <v>0.18634686346863469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143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133</v>
      </c>
      <c r="H9" s="133">
        <f>IF(B$17=0,0,G9/B$17)</f>
        <v>0.12269372693726938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43</v>
      </c>
      <c r="C10" s="40">
        <f>IF(B$2=0,0,B10/B$2)</f>
        <v>0.10023310023310024</v>
      </c>
      <c r="E10" s="63" t="s">
        <v>90</v>
      </c>
      <c r="F10" s="60" t="s">
        <v>45</v>
      </c>
      <c r="G10" s="47">
        <v>131</v>
      </c>
      <c r="H10" s="133">
        <f>IF(B$17=0,0,G10/B$17)</f>
        <v>0.12084870848708487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-2.8832167832167834</v>
      </c>
      <c r="P10" s="118">
        <v>143</v>
      </c>
      <c r="Q10" s="106">
        <v>-412.3</v>
      </c>
    </row>
    <row r="11" spans="1:17" x14ac:dyDescent="0.4">
      <c r="A11" s="56" t="s">
        <v>140</v>
      </c>
      <c r="B11" s="48">
        <v>43</v>
      </c>
      <c r="C11" s="40">
        <f>IF(B$2=0,0,B11/B$2)</f>
        <v>0.10023310023310024</v>
      </c>
      <c r="E11" s="63" t="s">
        <v>71</v>
      </c>
      <c r="F11" s="60" t="s">
        <v>26</v>
      </c>
      <c r="G11" s="47">
        <v>115</v>
      </c>
      <c r="H11" s="133">
        <f>IF(B$17=0,0,G11/B$17)</f>
        <v>0.10608856088560886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-1.7307692307692317</v>
      </c>
      <c r="P11" s="119">
        <v>143</v>
      </c>
      <c r="Q11" s="107">
        <v>-247.50000000000014</v>
      </c>
    </row>
    <row r="12" spans="1:17" x14ac:dyDescent="0.4">
      <c r="A12" s="57" t="s">
        <v>160</v>
      </c>
      <c r="B12" s="49">
        <v>38</v>
      </c>
      <c r="C12" s="42">
        <f>IF(B$2=0,0,B12/B$2)</f>
        <v>8.8578088578088576E-2</v>
      </c>
      <c r="E12" s="63" t="s">
        <v>72</v>
      </c>
      <c r="F12" s="60" t="s">
        <v>27</v>
      </c>
      <c r="G12" s="47">
        <v>70</v>
      </c>
      <c r="H12" s="133">
        <f>IF(B$17=0,0,G12/B$17)</f>
        <v>6.4575645756457564E-2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4.6139860139860147</v>
      </c>
      <c r="P12" s="120">
        <v>143</v>
      </c>
      <c r="Q12" s="108">
        <v>659.80000000000007</v>
      </c>
    </row>
    <row r="13" spans="1:17" x14ac:dyDescent="0.4">
      <c r="A13" s="58" t="s">
        <v>122</v>
      </c>
      <c r="B13" s="50">
        <v>972</v>
      </c>
      <c r="C13" s="44">
        <f>IF(B$3=0,0,B13/B$3)</f>
        <v>0.27</v>
      </c>
      <c r="E13" s="63" t="s">
        <v>87</v>
      </c>
      <c r="F13" s="60" t="s">
        <v>42</v>
      </c>
      <c r="G13" s="47">
        <v>60</v>
      </c>
      <c r="H13" s="133">
        <f>IF(B$17=0,0,G13/B$17)</f>
        <v>5.5350553505535055E-2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772</v>
      </c>
      <c r="C14" s="39">
        <f>IF(B$3=0,0,B14/B$3)</f>
        <v>0.21444444444444444</v>
      </c>
      <c r="E14" s="63" t="s">
        <v>84</v>
      </c>
      <c r="F14" s="60" t="s">
        <v>39</v>
      </c>
      <c r="G14" s="47">
        <v>46</v>
      </c>
      <c r="H14" s="133">
        <f>IF(B$17=0,0,G14/B$17)</f>
        <v>4.2435424354243544E-2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578</v>
      </c>
      <c r="C15" s="37">
        <f>IF(B$13=0,0,B15/B$13)</f>
        <v>0.59465020576131689</v>
      </c>
      <c r="E15" s="63" t="s">
        <v>82</v>
      </c>
      <c r="F15" s="60" t="s">
        <v>37</v>
      </c>
      <c r="G15" s="47">
        <v>33</v>
      </c>
      <c r="H15" s="133">
        <f>IF(B$17=0,0,G15/B$17)</f>
        <v>3.0442804428044281E-2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295</v>
      </c>
      <c r="C16" s="37">
        <f>IF(B$14=0,0,B16/B$14)</f>
        <v>0.38212435233160624</v>
      </c>
      <c r="E16" s="63" t="s">
        <v>79</v>
      </c>
      <c r="F16" s="60" t="s">
        <v>34</v>
      </c>
      <c r="G16" s="47">
        <v>20</v>
      </c>
      <c r="H16" s="133">
        <f>IF(B$17=0,0,G16/B$17)</f>
        <v>1.8450184501845018E-2</v>
      </c>
      <c r="I16" s="94">
        <v>6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1084</v>
      </c>
      <c r="C17" s="37">
        <f>IF(B$3=0,0,B17/B$3)</f>
        <v>0.30111111111111111</v>
      </c>
      <c r="E17" s="63" t="s">
        <v>92</v>
      </c>
      <c r="F17" s="60" t="s">
        <v>47</v>
      </c>
      <c r="G17" s="47">
        <v>18</v>
      </c>
      <c r="H17" s="133">
        <f>IF(B$17=0,0,G17/B$17)</f>
        <v>1.6605166051660517E-2</v>
      </c>
      <c r="I17" s="94">
        <v>3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29.603571428571442</v>
      </c>
      <c r="P17" s="119">
        <v>84</v>
      </c>
      <c r="Q17" s="107">
        <v>2486.7000000000012</v>
      </c>
    </row>
    <row r="18" spans="1:17" x14ac:dyDescent="0.4">
      <c r="A18" s="55" t="s">
        <v>12</v>
      </c>
      <c r="B18" s="47">
        <v>474</v>
      </c>
      <c r="C18" s="39">
        <f>IF(B$17=0,0,B18/B$17)</f>
        <v>0.43726937269372695</v>
      </c>
      <c r="E18" s="63" t="s">
        <v>180</v>
      </c>
      <c r="F18" s="60" t="s">
        <v>183</v>
      </c>
      <c r="G18" s="47">
        <v>17</v>
      </c>
      <c r="H18" s="133">
        <f>IF(B$17=0,0,G18/B$17)</f>
        <v>1.5682656826568265E-2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12.749999999999995</v>
      </c>
      <c r="P18" s="119">
        <v>48</v>
      </c>
      <c r="Q18" s="107">
        <v>611.99999999999977</v>
      </c>
    </row>
    <row r="19" spans="1:17" x14ac:dyDescent="0.4">
      <c r="A19" s="55" t="s">
        <v>11</v>
      </c>
      <c r="B19" s="47">
        <v>610</v>
      </c>
      <c r="C19" s="39">
        <f>IF(B$17=0,0,B19/B$17)</f>
        <v>0.5627306273062731</v>
      </c>
      <c r="E19" s="63" t="s">
        <v>80</v>
      </c>
      <c r="F19" s="60" t="s">
        <v>35</v>
      </c>
      <c r="G19" s="47">
        <v>15</v>
      </c>
      <c r="H19" s="133">
        <f>IF(B$17=0,0,G19/B$17)</f>
        <v>1.3837638376383764E-2</v>
      </c>
      <c r="I19" s="94">
        <v>5</v>
      </c>
      <c r="K19" s="38">
        <v>17</v>
      </c>
      <c r="L19" s="99">
        <v>8.2999999999999972</v>
      </c>
      <c r="N19" s="115" t="s">
        <v>173</v>
      </c>
      <c r="O19" s="125">
        <f>IF(P19=0,0,Q19/P19)</f>
        <v>8.348684210526315</v>
      </c>
      <c r="P19" s="119">
        <v>76</v>
      </c>
      <c r="Q19" s="107">
        <v>634.49999999999989</v>
      </c>
    </row>
    <row r="20" spans="1:17" x14ac:dyDescent="0.4">
      <c r="A20" s="55" t="s">
        <v>13</v>
      </c>
      <c r="B20" s="47">
        <v>602</v>
      </c>
      <c r="C20" s="39">
        <f>IF(B$3=0,0,B20/B$3)</f>
        <v>0.16722222222222222</v>
      </c>
      <c r="E20" s="63" t="s">
        <v>74</v>
      </c>
      <c r="F20" s="60" t="s">
        <v>29</v>
      </c>
      <c r="G20" s="47">
        <v>7</v>
      </c>
      <c r="H20" s="133">
        <f>IF(B$17=0,0,G20/B$17)</f>
        <v>6.4575645756457566E-3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5.6108910891089101</v>
      </c>
      <c r="P20" s="119">
        <v>202</v>
      </c>
      <c r="Q20" s="107">
        <v>1133.3999999999999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7</v>
      </c>
      <c r="H21" s="133">
        <f>IF(B$17=0,0,G21/B$17)</f>
        <v>6.4575645756457566E-3</v>
      </c>
      <c r="I21" s="94">
        <v>5</v>
      </c>
      <c r="K21" s="38">
        <v>19</v>
      </c>
      <c r="L21" s="99">
        <v>30.999999999999996</v>
      </c>
      <c r="N21" s="115" t="s">
        <v>202</v>
      </c>
      <c r="O21" s="125">
        <f>IF(P21=0,0,Q21/P21)</f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88</v>
      </c>
      <c r="F22" s="60" t="s">
        <v>43</v>
      </c>
      <c r="G22" s="47">
        <v>4</v>
      </c>
      <c r="H22" s="133">
        <f>IF(B$17=0,0,G22/B$17)</f>
        <v>3.6900369003690036E-3</v>
      </c>
      <c r="I22" s="94">
        <v>4</v>
      </c>
      <c r="K22" s="38">
        <v>20</v>
      </c>
      <c r="L22" s="99">
        <v>0.79999999999999716</v>
      </c>
      <c r="N22" s="115" t="s">
        <v>171</v>
      </c>
      <c r="O22" s="125">
        <f>IF(P22=0,0,Q22/P22)</f>
        <v>0.11603773584905852</v>
      </c>
      <c r="P22" s="119">
        <v>106</v>
      </c>
      <c r="Q22" s="107">
        <v>12.300000000000203</v>
      </c>
    </row>
    <row r="23" spans="1:17" x14ac:dyDescent="0.4">
      <c r="A23" s="55" t="s">
        <v>5</v>
      </c>
      <c r="B23" s="51">
        <f>IF(B$17=0,0,C23/B$17)</f>
        <v>8378.1365313653132</v>
      </c>
      <c r="C23" s="41">
        <v>9081900</v>
      </c>
      <c r="E23" s="63" t="s">
        <v>93</v>
      </c>
      <c r="F23" s="60" t="s">
        <v>48</v>
      </c>
      <c r="G23" s="47">
        <v>4</v>
      </c>
      <c r="H23" s="133">
        <f>IF(B$17=0,0,G23/B$17)</f>
        <v>3.6900369003690036E-3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>IF(P23=0,0,Q23/P23)</f>
        <v>-1.8452830188679263</v>
      </c>
      <c r="P23" s="119">
        <v>106</v>
      </c>
      <c r="Q23" s="107">
        <v>-195.60000000000019</v>
      </c>
    </row>
    <row r="24" spans="1:17" x14ac:dyDescent="0.4">
      <c r="A24" s="57" t="s">
        <v>14</v>
      </c>
      <c r="B24" s="52">
        <f>IF(B$20=0,0,C24/B$20)</f>
        <v>-8003.8205980066441</v>
      </c>
      <c r="C24" s="45">
        <v>-4818300</v>
      </c>
      <c r="E24" s="63" t="s">
        <v>75</v>
      </c>
      <c r="F24" s="60" t="s">
        <v>30</v>
      </c>
      <c r="G24" s="47">
        <v>3</v>
      </c>
      <c r="H24" s="133">
        <f>IF(B$17=0,0,G24/B$17)</f>
        <v>2.7675276752767526E-3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2.7675276752767526E-3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-26.592857142857099</v>
      </c>
      <c r="P25" s="119">
        <v>196</v>
      </c>
      <c r="Q25" s="107">
        <v>-5212.1999999999916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2.7675276752767526E-3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10</v>
      </c>
      <c r="C27" s="42">
        <f>IF(B$3=0,0,B27/B$3)</f>
        <v>2.7777777777777779E-3</v>
      </c>
      <c r="E27" s="63" t="s">
        <v>89</v>
      </c>
      <c r="F27" s="60" t="s">
        <v>44</v>
      </c>
      <c r="G27" s="47">
        <v>2</v>
      </c>
      <c r="H27" s="133">
        <f>IF(B$17=0,0,G27/B$17)</f>
        <v>1.8450184501845018E-3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1.8450184501845018E-3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9.225092250922509E-4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9.225092250922509E-4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9.225092250922509E-4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CD8C7-5266-4849-B1C3-66C0AF928F8E}">
  <sheetPr codeName="Sheet7"/>
  <dimension ref="A1:Q10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98</v>
      </c>
      <c r="C2" s="147"/>
      <c r="E2" s="62" t="s">
        <v>67</v>
      </c>
      <c r="F2" s="59" t="s">
        <v>23</v>
      </c>
      <c r="G2" s="46">
        <v>220</v>
      </c>
      <c r="H2" s="132">
        <f>IF(B$17=0,0,G2/B$17)</f>
        <v>0.73089700996677742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2509.1836734693879</v>
      </c>
      <c r="P2" s="118">
        <v>98</v>
      </c>
      <c r="Q2" s="102">
        <v>245900</v>
      </c>
    </row>
    <row r="3" spans="1:17" x14ac:dyDescent="0.4">
      <c r="A3" s="55" t="s">
        <v>8</v>
      </c>
      <c r="B3" s="148">
        <v>800</v>
      </c>
      <c r="C3" s="149"/>
      <c r="E3" s="63" t="s">
        <v>73</v>
      </c>
      <c r="F3" s="60" t="s">
        <v>28</v>
      </c>
      <c r="G3" s="47">
        <v>161</v>
      </c>
      <c r="H3" s="133">
        <f>IF(B$17=0,0,G3/B$17)</f>
        <v>0.53488372093023251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2640.2061855670104</v>
      </c>
      <c r="P3" s="119">
        <v>97</v>
      </c>
      <c r="Q3" s="103">
        <v>256100</v>
      </c>
    </row>
    <row r="4" spans="1:17" x14ac:dyDescent="0.4">
      <c r="A4" s="55" t="s">
        <v>6</v>
      </c>
      <c r="B4" s="150">
        <v>1737.4000000000012</v>
      </c>
      <c r="C4" s="151"/>
      <c r="E4" s="63" t="s">
        <v>65</v>
      </c>
      <c r="F4" s="60" t="s">
        <v>21</v>
      </c>
      <c r="G4" s="47">
        <v>150</v>
      </c>
      <c r="H4" s="133">
        <f>IF(B$17=0,0,G4/B$17)</f>
        <v>0.49833887043189368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2664.516129032258</v>
      </c>
      <c r="P4" s="119">
        <v>93</v>
      </c>
      <c r="Q4" s="103">
        <v>247800</v>
      </c>
    </row>
    <row r="5" spans="1:17" x14ac:dyDescent="0.4">
      <c r="A5" s="55" t="s">
        <v>7</v>
      </c>
      <c r="B5" s="152">
        <f>IF(B$2=0,0,B$4/B$2)</f>
        <v>17.728571428571442</v>
      </c>
      <c r="C5" s="153"/>
      <c r="E5" s="63" t="s">
        <v>181</v>
      </c>
      <c r="F5" s="60" t="s">
        <v>182</v>
      </c>
      <c r="G5" s="47">
        <v>127</v>
      </c>
      <c r="H5" s="133">
        <f>IF(B$17=0,0,G5/B$17)</f>
        <v>0.42192691029900331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2735.294117647059</v>
      </c>
      <c r="P5" s="119">
        <v>85</v>
      </c>
      <c r="Q5" s="103">
        <v>232500</v>
      </c>
    </row>
    <row r="6" spans="1:17" x14ac:dyDescent="0.4">
      <c r="A6" s="55" t="s">
        <v>1</v>
      </c>
      <c r="B6" s="142">
        <f>IF(B$2=0,0,(B$7*1+B$8*2+B$9*3)/B$2)</f>
        <v>1.6428571428571428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0.3122923588039867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40.789473684210527</v>
      </c>
      <c r="P6" s="119">
        <v>76</v>
      </c>
      <c r="Q6" s="103">
        <v>3100</v>
      </c>
    </row>
    <row r="7" spans="1:17" x14ac:dyDescent="0.4">
      <c r="A7" s="55" t="s">
        <v>2</v>
      </c>
      <c r="B7" s="47">
        <v>53</v>
      </c>
      <c r="C7" s="39">
        <f>IF(B$2=0,0,B7/B$2)</f>
        <v>0.54081632653061229</v>
      </c>
      <c r="E7" s="63" t="s">
        <v>69</v>
      </c>
      <c r="F7" s="60" t="s">
        <v>12</v>
      </c>
      <c r="G7" s="47">
        <v>79</v>
      </c>
      <c r="H7" s="133">
        <f>IF(B$17=0,0,G7/B$17)</f>
        <v>0.26245847176079734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681.15942028985512</v>
      </c>
      <c r="P7" s="120">
        <v>69</v>
      </c>
      <c r="Q7" s="104">
        <v>47000</v>
      </c>
    </row>
    <row r="8" spans="1:17" x14ac:dyDescent="0.4">
      <c r="A8" s="55" t="s">
        <v>3</v>
      </c>
      <c r="B8" s="47">
        <v>27</v>
      </c>
      <c r="C8" s="39">
        <f>IF(B$2=0,0,B8/B$2)</f>
        <v>0.27551020408163263</v>
      </c>
      <c r="E8" s="63" t="s">
        <v>70</v>
      </c>
      <c r="F8" s="60" t="s">
        <v>25</v>
      </c>
      <c r="G8" s="47">
        <v>56</v>
      </c>
      <c r="H8" s="133">
        <f>IF(B$17=0,0,G8/B$17)</f>
        <v>0.18604651162790697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0.18367346938775511</v>
      </c>
      <c r="E9" s="63" t="s">
        <v>90</v>
      </c>
      <c r="F9" s="60" t="s">
        <v>45</v>
      </c>
      <c r="G9" s="47">
        <v>49</v>
      </c>
      <c r="H9" s="133">
        <f>IF(B$17=0,0,G9/B$17)</f>
        <v>0.16279069767441862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5.1020408163265307E-2</v>
      </c>
      <c r="E10" s="63" t="s">
        <v>66</v>
      </c>
      <c r="F10" s="60" t="s">
        <v>22</v>
      </c>
      <c r="G10" s="47">
        <v>45</v>
      </c>
      <c r="H10" s="133">
        <f>IF(B$17=0,0,G10/B$17)</f>
        <v>0.14950166112956811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22.789285714285715</v>
      </c>
      <c r="P10" s="118">
        <v>28</v>
      </c>
      <c r="Q10" s="106">
        <v>638.1</v>
      </c>
    </row>
    <row r="11" spans="1:17" x14ac:dyDescent="0.4">
      <c r="A11" s="56" t="s">
        <v>140</v>
      </c>
      <c r="B11" s="48">
        <v>18</v>
      </c>
      <c r="C11" s="40">
        <f>IF(B$2=0,0,B11/B$2)</f>
        <v>0.18367346938775511</v>
      </c>
      <c r="E11" s="63" t="s">
        <v>71</v>
      </c>
      <c r="F11" s="60" t="s">
        <v>26</v>
      </c>
      <c r="G11" s="47">
        <v>31</v>
      </c>
      <c r="H11" s="133">
        <f>IF(B$17=0,0,G11/B$17)</f>
        <v>0.10299003322259136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12.603225806451611</v>
      </c>
      <c r="P11" s="119">
        <v>31</v>
      </c>
      <c r="Q11" s="107">
        <v>390.69999999999993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0.17346938775510204</v>
      </c>
      <c r="E12" s="63" t="s">
        <v>87</v>
      </c>
      <c r="F12" s="60" t="s">
        <v>42</v>
      </c>
      <c r="G12" s="47">
        <v>21</v>
      </c>
      <c r="H12" s="133">
        <f>IF(B$17=0,0,G12/B$17)</f>
        <v>6.9767441860465115E-2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18.169230769230772</v>
      </c>
      <c r="P12" s="120">
        <v>39</v>
      </c>
      <c r="Q12" s="108">
        <v>708.60000000000014</v>
      </c>
    </row>
    <row r="13" spans="1:17" x14ac:dyDescent="0.4">
      <c r="A13" s="58" t="s">
        <v>122</v>
      </c>
      <c r="B13" s="50">
        <v>263</v>
      </c>
      <c r="C13" s="44">
        <f>IF(B$3=0,0,B13/B$3)</f>
        <v>0.32874999999999999</v>
      </c>
      <c r="E13" s="63" t="s">
        <v>72</v>
      </c>
      <c r="F13" s="60" t="s">
        <v>27</v>
      </c>
      <c r="G13" s="47">
        <v>19</v>
      </c>
      <c r="H13" s="133">
        <f>IF(B$17=0,0,G13/B$17)</f>
        <v>6.3122923588039864E-2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</v>
      </c>
      <c r="C14" s="39">
        <f>IF(B$3=0,0,B14/B$3)</f>
        <v>0.22875000000000001</v>
      </c>
      <c r="E14" s="63" t="s">
        <v>84</v>
      </c>
      <c r="F14" s="60" t="s">
        <v>39</v>
      </c>
      <c r="G14" s="47">
        <v>15</v>
      </c>
      <c r="H14" s="133">
        <f>IF(B$17=0,0,G14/B$17)</f>
        <v>4.9833887043189369E-2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0.61596958174904948</v>
      </c>
      <c r="E15" s="63" t="s">
        <v>82</v>
      </c>
      <c r="F15" s="60" t="s">
        <v>37</v>
      </c>
      <c r="G15" s="47">
        <v>10</v>
      </c>
      <c r="H15" s="133">
        <f>IF(B$17=0,0,G15/B$17)</f>
        <v>3.3222591362126248E-2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96</v>
      </c>
      <c r="C16" s="37">
        <f>IF(B$14=0,0,B16/B$14)</f>
        <v>0.52459016393442626</v>
      </c>
      <c r="E16" s="63" t="s">
        <v>180</v>
      </c>
      <c r="F16" s="60" t="s">
        <v>183</v>
      </c>
      <c r="G16" s="47">
        <v>10</v>
      </c>
      <c r="H16" s="133">
        <f>IF(B$17=0,0,G16/B$17)</f>
        <v>3.3222591362126248E-2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54.804000000000023</v>
      </c>
      <c r="P16" s="119">
        <v>25</v>
      </c>
      <c r="Q16" s="107">
        <v>1370.1000000000006</v>
      </c>
    </row>
    <row r="17" spans="1:17" x14ac:dyDescent="0.4">
      <c r="A17" s="54" t="s">
        <v>10</v>
      </c>
      <c r="B17" s="46">
        <f>B19+B18</f>
        <v>301</v>
      </c>
      <c r="C17" s="37">
        <f>IF(B$3=0,0,B17/B$3)</f>
        <v>0.37624999999999997</v>
      </c>
      <c r="E17" s="63" t="s">
        <v>79</v>
      </c>
      <c r="F17" s="60" t="s">
        <v>34</v>
      </c>
      <c r="G17" s="47">
        <v>5</v>
      </c>
      <c r="H17" s="133">
        <f>IF(B$17=0,0,G17/B$17)</f>
        <v>1.6611295681063124E-2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126</v>
      </c>
      <c r="C18" s="39">
        <f>IF(B$17=0,0,B18/B$17)</f>
        <v>0.41860465116279072</v>
      </c>
      <c r="E18" s="63" t="s">
        <v>80</v>
      </c>
      <c r="F18" s="60" t="s">
        <v>35</v>
      </c>
      <c r="G18" s="47">
        <v>4</v>
      </c>
      <c r="H18" s="133">
        <f>IF(B$17=0,0,G18/B$17)</f>
        <v>1.3289036544850499E-2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175</v>
      </c>
      <c r="C19" s="39">
        <f>IF(B$17=0,0,B19/B$17)</f>
        <v>0.58139534883720934</v>
      </c>
      <c r="E19" s="63" t="s">
        <v>92</v>
      </c>
      <c r="F19" s="60" t="s">
        <v>47</v>
      </c>
      <c r="G19" s="47">
        <v>4</v>
      </c>
      <c r="H19" s="133">
        <f>IF(B$17=0,0,G19/B$17)</f>
        <v>1.3289036544850499E-2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117</v>
      </c>
      <c r="C20" s="39">
        <f>IF(B$3=0,0,B20/B$3)</f>
        <v>0.14624999999999999</v>
      </c>
      <c r="E20" s="63" t="s">
        <v>74</v>
      </c>
      <c r="F20" s="60" t="s">
        <v>29</v>
      </c>
      <c r="G20" s="47">
        <v>2</v>
      </c>
      <c r="H20" s="133">
        <f>IF(B$17=0,0,G20/B$17)</f>
        <v>6.6445182724252493E-3</v>
      </c>
      <c r="I20" s="94">
        <v>4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2</v>
      </c>
      <c r="E21" s="63" t="s">
        <v>76</v>
      </c>
      <c r="F21" s="60" t="s">
        <v>31</v>
      </c>
      <c r="G21" s="47">
        <v>1</v>
      </c>
      <c r="H21" s="133">
        <f>IF(B$17=0,0,G21/B$17)</f>
        <v>3.3222591362126247E-3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7</v>
      </c>
      <c r="E22" s="63" t="s">
        <v>78</v>
      </c>
      <c r="F22" s="60" t="s">
        <v>33</v>
      </c>
      <c r="G22" s="47">
        <v>1</v>
      </c>
      <c r="H22" s="133">
        <f>IF(B$17=0,0,G22/B$17)</f>
        <v>3.3222591362126247E-3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9017.6079734219275</v>
      </c>
      <c r="C23" s="41">
        <v>2714300</v>
      </c>
      <c r="E23" s="63" t="s">
        <v>88</v>
      </c>
      <c r="F23" s="60" t="s">
        <v>43</v>
      </c>
      <c r="G23" s="47">
        <v>1</v>
      </c>
      <c r="H23" s="133">
        <f>IF(B$17=0,0,G23/B$17)</f>
        <v>3.3222591362126247E-3</v>
      </c>
      <c r="I23" s="94">
        <v>5</v>
      </c>
      <c r="K23" s="38">
        <v>21</v>
      </c>
      <c r="L23" s="99">
        <v>468.3</v>
      </c>
      <c r="N23" s="115" t="s">
        <v>128</v>
      </c>
      <c r="O23" s="125">
        <f>IF(P23=0,0,Q23/P23)</f>
        <v>20.351428571428581</v>
      </c>
      <c r="P23" s="119">
        <v>70</v>
      </c>
      <c r="Q23" s="107">
        <v>1424.6000000000006</v>
      </c>
    </row>
    <row r="24" spans="1:17" x14ac:dyDescent="0.4">
      <c r="A24" s="57" t="s">
        <v>14</v>
      </c>
      <c r="B24" s="52">
        <f>IF(B$20=0,0,C24/B$20)</f>
        <v>-7878.6324786324785</v>
      </c>
      <c r="C24" s="45">
        <v>-921800</v>
      </c>
      <c r="E24" s="63" t="s">
        <v>91</v>
      </c>
      <c r="F24" s="60" t="s">
        <v>46</v>
      </c>
      <c r="G24" s="47">
        <v>1</v>
      </c>
      <c r="H24" s="133">
        <f>IF(B$17=0,0,G24/B$17)</f>
        <v>3.3222591362126247E-3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16.360606060606052</v>
      </c>
      <c r="P24" s="119">
        <v>33</v>
      </c>
      <c r="Q24" s="107">
        <v>539.89999999999975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3.3222591362126247E-3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3.3222591362126247E-3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3.3222591362126247E-3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7AF-432C-477A-AB5A-C0608B06772F}">
  <sheetPr codeName="Sheet9"/>
  <dimension ref="A1:Q1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101</v>
      </c>
      <c r="C2" s="147"/>
      <c r="E2" s="62" t="s">
        <v>67</v>
      </c>
      <c r="F2" s="59" t="s">
        <v>23</v>
      </c>
      <c r="G2" s="46">
        <v>177</v>
      </c>
      <c r="H2" s="132">
        <f>IF(B$17=0,0,G2/B$17)</f>
        <v>0.76293103448275867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631.68316831683171</v>
      </c>
      <c r="P2" s="118">
        <v>101</v>
      </c>
      <c r="Q2" s="102">
        <v>63800</v>
      </c>
    </row>
    <row r="3" spans="1:17" x14ac:dyDescent="0.4">
      <c r="A3" s="55" t="s">
        <v>8</v>
      </c>
      <c r="B3" s="148">
        <v>846</v>
      </c>
      <c r="C3" s="149"/>
      <c r="E3" s="63" t="s">
        <v>65</v>
      </c>
      <c r="F3" s="60" t="s">
        <v>21</v>
      </c>
      <c r="G3" s="47">
        <v>139</v>
      </c>
      <c r="H3" s="133">
        <f>IF(B$17=0,0,G3/B$17)</f>
        <v>0.59913793103448276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-2578</v>
      </c>
      <c r="P3" s="119">
        <v>100</v>
      </c>
      <c r="Q3" s="103">
        <v>-257800</v>
      </c>
    </row>
    <row r="4" spans="1:17" x14ac:dyDescent="0.4">
      <c r="A4" s="55" t="s">
        <v>6</v>
      </c>
      <c r="B4" s="150">
        <v>-377.80000000000007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0.44827586206896552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-909.2783505154639</v>
      </c>
      <c r="P4" s="119">
        <v>97</v>
      </c>
      <c r="Q4" s="103">
        <v>-88200</v>
      </c>
    </row>
    <row r="5" spans="1:17" x14ac:dyDescent="0.4">
      <c r="A5" s="55" t="s">
        <v>7</v>
      </c>
      <c r="B5" s="152">
        <f>IF(B$2=0,0,B$4/B$2)</f>
        <v>-3.7405940594059413</v>
      </c>
      <c r="C5" s="153"/>
      <c r="E5" s="63" t="s">
        <v>181</v>
      </c>
      <c r="F5" s="60" t="s">
        <v>182</v>
      </c>
      <c r="G5" s="47">
        <v>100</v>
      </c>
      <c r="H5" s="133">
        <f>IF(B$17=0,0,G5/B$17)</f>
        <v>0.43103448275862066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622.9885057471264</v>
      </c>
      <c r="P5" s="119">
        <v>87</v>
      </c>
      <c r="Q5" s="103">
        <v>54200</v>
      </c>
    </row>
    <row r="6" spans="1:17" x14ac:dyDescent="0.4">
      <c r="A6" s="55" t="s">
        <v>1</v>
      </c>
      <c r="B6" s="142">
        <f>IF(B$2=0,0,(B$7*1+B$8*2+B$9*3)/B$2)</f>
        <v>2.0891089108910892</v>
      </c>
      <c r="C6" s="143"/>
      <c r="E6" s="63" t="s">
        <v>68</v>
      </c>
      <c r="F6" s="60" t="s">
        <v>24</v>
      </c>
      <c r="G6" s="47">
        <v>82</v>
      </c>
      <c r="H6" s="133">
        <f>IF(B$17=0,0,G6/B$17)</f>
        <v>0.35344827586206895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93.670886075949369</v>
      </c>
      <c r="P6" s="119">
        <v>79</v>
      </c>
      <c r="Q6" s="103">
        <v>7400</v>
      </c>
    </row>
    <row r="7" spans="1:17" x14ac:dyDescent="0.4">
      <c r="A7" s="55" t="s">
        <v>2</v>
      </c>
      <c r="B7" s="47">
        <v>27</v>
      </c>
      <c r="C7" s="39">
        <f>IF(B$2=0,0,B7/B$2)</f>
        <v>0.26732673267326734</v>
      </c>
      <c r="E7" s="63" t="s">
        <v>69</v>
      </c>
      <c r="F7" s="60" t="s">
        <v>12</v>
      </c>
      <c r="G7" s="47">
        <v>79</v>
      </c>
      <c r="H7" s="133">
        <f>IF(B$17=0,0,G7/B$17)</f>
        <v>0.34051724137931033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308.10810810810813</v>
      </c>
      <c r="P7" s="120">
        <v>74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0.37623762376237624</v>
      </c>
      <c r="E8" s="63" t="s">
        <v>70</v>
      </c>
      <c r="F8" s="60" t="s">
        <v>25</v>
      </c>
      <c r="G8" s="47">
        <v>53</v>
      </c>
      <c r="H8" s="133">
        <f>IF(B$17=0,0,G8/B$17)</f>
        <v>0.22844827586206898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0.35643564356435642</v>
      </c>
      <c r="E9" s="63" t="s">
        <v>66</v>
      </c>
      <c r="F9" s="60" t="s">
        <v>22</v>
      </c>
      <c r="G9" s="47">
        <v>38</v>
      </c>
      <c r="H9" s="133">
        <f>IF(B$17=0,0,G9/B$17)</f>
        <v>0.16379310344827586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0.13861386138613863</v>
      </c>
      <c r="E10" s="63" t="s">
        <v>71</v>
      </c>
      <c r="F10" s="60" t="s">
        <v>26</v>
      </c>
      <c r="G10" s="47">
        <v>28</v>
      </c>
      <c r="H10" s="133">
        <f>IF(B$17=0,0,G10/B$17)</f>
        <v>0.1206896551724138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-5.848148148148149</v>
      </c>
      <c r="P10" s="118">
        <v>54</v>
      </c>
      <c r="Q10" s="106">
        <v>-315.80000000000007</v>
      </c>
    </row>
    <row r="11" spans="1:17" x14ac:dyDescent="0.4">
      <c r="A11" s="56" t="s">
        <v>140</v>
      </c>
      <c r="B11" s="48">
        <v>8</v>
      </c>
      <c r="C11" s="40">
        <f>IF(B$2=0,0,B11/B$2)</f>
        <v>7.9207920792079209E-2</v>
      </c>
      <c r="E11" s="63" t="s">
        <v>90</v>
      </c>
      <c r="F11" s="60" t="s">
        <v>45</v>
      </c>
      <c r="G11" s="47">
        <v>21</v>
      </c>
      <c r="H11" s="133">
        <f>IF(B$17=0,0,G11/B$17)</f>
        <v>9.0517241379310345E-2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6.9306930693069313E-2</v>
      </c>
      <c r="E12" s="63" t="s">
        <v>72</v>
      </c>
      <c r="F12" s="60" t="s">
        <v>27</v>
      </c>
      <c r="G12" s="47">
        <v>12</v>
      </c>
      <c r="H12" s="133">
        <f>IF(B$17=0,0,G12/B$17)</f>
        <v>5.1724137931034482E-2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4.68</v>
      </c>
      <c r="P12" s="120">
        <v>25</v>
      </c>
      <c r="Q12" s="108">
        <v>117</v>
      </c>
    </row>
    <row r="13" spans="1:17" x14ac:dyDescent="0.4">
      <c r="A13" s="58" t="s">
        <v>122</v>
      </c>
      <c r="B13" s="50">
        <v>246</v>
      </c>
      <c r="C13" s="44">
        <f>IF(B$3=0,0,B13/B$3)</f>
        <v>0.29078014184397161</v>
      </c>
      <c r="E13" s="63" t="s">
        <v>87</v>
      </c>
      <c r="F13" s="60" t="s">
        <v>42</v>
      </c>
      <c r="G13" s="47">
        <v>12</v>
      </c>
      <c r="H13" s="133">
        <f>IF(B$17=0,0,G13/B$17)</f>
        <v>5.1724137931034482E-2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0.18439716312056736</v>
      </c>
      <c r="E14" s="63" t="s">
        <v>82</v>
      </c>
      <c r="F14" s="60" t="s">
        <v>37</v>
      </c>
      <c r="G14" s="47">
        <v>8</v>
      </c>
      <c r="H14" s="133">
        <f>IF(B$17=0,0,G14/B$17)</f>
        <v>3.4482758620689655E-2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147</v>
      </c>
      <c r="C15" s="37">
        <f>IF(B$13=0,0,B15/B$13)</f>
        <v>0.59756097560975607</v>
      </c>
      <c r="E15" s="63" t="s">
        <v>84</v>
      </c>
      <c r="F15" s="60" t="s">
        <v>39</v>
      </c>
      <c r="G15" s="47">
        <v>7</v>
      </c>
      <c r="H15" s="133">
        <f>IF(B$17=0,0,G15/B$17)</f>
        <v>3.017241379310345E-2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2.5862068965517241E-2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232</v>
      </c>
      <c r="C17" s="37">
        <f>IF(B$3=0,0,B17/B$3)</f>
        <v>0.27423167848699764</v>
      </c>
      <c r="E17" s="63" t="s">
        <v>80</v>
      </c>
      <c r="F17" s="60" t="s">
        <v>35</v>
      </c>
      <c r="G17" s="47">
        <v>4</v>
      </c>
      <c r="H17" s="133">
        <f>IF(B$17=0,0,G17/B$17)</f>
        <v>1.7241379310344827E-2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8.0821428571428537</v>
      </c>
      <c r="P17" s="119">
        <v>28</v>
      </c>
      <c r="Q17" s="107">
        <v>226.2999999999999</v>
      </c>
    </row>
    <row r="18" spans="1:17" x14ac:dyDescent="0.4">
      <c r="A18" s="55" t="s">
        <v>12</v>
      </c>
      <c r="B18" s="47">
        <v>100</v>
      </c>
      <c r="C18" s="39">
        <f>IF(B$17=0,0,B18/B$17)</f>
        <v>0.43103448275862066</v>
      </c>
      <c r="E18" s="63" t="s">
        <v>180</v>
      </c>
      <c r="F18" s="60" t="s">
        <v>183</v>
      </c>
      <c r="G18" s="47">
        <v>4</v>
      </c>
      <c r="H18" s="133">
        <f>IF(B$17=0,0,G18/B$17)</f>
        <v>1.7241379310344827E-2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0.56896551724137934</v>
      </c>
      <c r="E19" s="63" t="s">
        <v>74</v>
      </c>
      <c r="F19" s="60" t="s">
        <v>29</v>
      </c>
      <c r="G19" s="47">
        <v>2</v>
      </c>
      <c r="H19" s="133">
        <f>IF(B$17=0,0,G19/B$17)</f>
        <v>8.6206896551724137E-3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147</v>
      </c>
      <c r="C20" s="39">
        <f>IF(B$3=0,0,B20/B$3)</f>
        <v>0.17375886524822695</v>
      </c>
      <c r="E20" s="63" t="s">
        <v>75</v>
      </c>
      <c r="F20" s="60" t="s">
        <v>30</v>
      </c>
      <c r="G20" s="47">
        <v>2</v>
      </c>
      <c r="H20" s="133">
        <f>IF(B$17=0,0,G20/B$17)</f>
        <v>8.6206896551724137E-3</v>
      </c>
      <c r="I20" s="94">
        <v>2</v>
      </c>
      <c r="K20" s="38">
        <v>18</v>
      </c>
      <c r="L20" s="99">
        <v>116.69999999999999</v>
      </c>
      <c r="N20" s="115" t="s">
        <v>171</v>
      </c>
      <c r="O20" s="125">
        <f>IF(P20=0,0,Q20/P20)</f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76</v>
      </c>
      <c r="F21" s="60" t="s">
        <v>31</v>
      </c>
      <c r="G21" s="47">
        <v>2</v>
      </c>
      <c r="H21" s="133">
        <f>IF(B$17=0,0,G21/B$17)</f>
        <v>8.6206896551724137E-3</v>
      </c>
      <c r="I21" s="94">
        <v>4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79</v>
      </c>
      <c r="F22" s="60" t="s">
        <v>34</v>
      </c>
      <c r="G22" s="47">
        <v>2</v>
      </c>
      <c r="H22" s="133">
        <f>IF(B$17=0,0,G22/B$17)</f>
        <v>8.6206896551724137E-3</v>
      </c>
      <c r="I22" s="94">
        <v>10</v>
      </c>
      <c r="K22" s="38">
        <v>20</v>
      </c>
      <c r="L22" s="99">
        <v>164.49999999999997</v>
      </c>
      <c r="N22" s="115" t="s">
        <v>127</v>
      </c>
      <c r="O22" s="125">
        <f>IF(P22=0,0,Q22/P22)</f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9168.1034482758623</v>
      </c>
      <c r="C23" s="41">
        <v>2127000</v>
      </c>
      <c r="E23" s="63" t="s">
        <v>78</v>
      </c>
      <c r="F23" s="60" t="s">
        <v>33</v>
      </c>
      <c r="G23" s="47">
        <v>1</v>
      </c>
      <c r="H23" s="133">
        <f>IF(B$17=0,0,G23/B$17)</f>
        <v>4.3103448275862068E-3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-7697.9591836734689</v>
      </c>
      <c r="C24" s="45">
        <v>-1131600</v>
      </c>
      <c r="E24" s="63" t="s">
        <v>85</v>
      </c>
      <c r="F24" s="60" t="s">
        <v>40</v>
      </c>
      <c r="G24" s="47">
        <v>1</v>
      </c>
      <c r="H24" s="133">
        <f>IF(B$17=0,0,G24/B$17)</f>
        <v>4.3103448275862068E-3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4.3103448275862068E-3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4.3103448275862068E-3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5.9101654846335696E-3</v>
      </c>
      <c r="E27" s="63" t="s">
        <v>94</v>
      </c>
      <c r="F27" s="60" t="s">
        <v>49</v>
      </c>
      <c r="G27" s="47">
        <v>1</v>
      </c>
      <c r="H27" s="133">
        <f>IF(B$17=0,0,G27/B$17)</f>
        <v>4.3103448275862068E-3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4.3103448275862068E-3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DBF14-4AD6-49AB-B79E-1621EAC9E971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67</v>
      </c>
      <c r="F2" s="59" t="s">
        <v>23</v>
      </c>
      <c r="G2" s="46">
        <v>58</v>
      </c>
      <c r="H2" s="132">
        <f>IF(B$17=0,0,G2/B$17)</f>
        <v>0.80555555555555558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-3064.2857142857142</v>
      </c>
      <c r="P2" s="118">
        <v>42</v>
      </c>
      <c r="Q2" s="102">
        <v>-128700</v>
      </c>
    </row>
    <row r="3" spans="1:17" x14ac:dyDescent="0.4">
      <c r="A3" s="55" t="s">
        <v>8</v>
      </c>
      <c r="B3" s="148">
        <v>338</v>
      </c>
      <c r="C3" s="149"/>
      <c r="E3" s="63" t="s">
        <v>65</v>
      </c>
      <c r="F3" s="60" t="s">
        <v>21</v>
      </c>
      <c r="G3" s="47">
        <v>42</v>
      </c>
      <c r="H3" s="133">
        <f>IF(B$17=0,0,G3/B$17)</f>
        <v>0.58333333333333337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-2847.6190476190477</v>
      </c>
      <c r="P3" s="119">
        <v>42</v>
      </c>
      <c r="Q3" s="103">
        <v>-119600</v>
      </c>
    </row>
    <row r="4" spans="1:17" x14ac:dyDescent="0.4">
      <c r="A4" s="55" t="s">
        <v>6</v>
      </c>
      <c r="B4" s="150">
        <v>-828.89999999999975</v>
      </c>
      <c r="C4" s="151"/>
      <c r="E4" s="63" t="s">
        <v>68</v>
      </c>
      <c r="F4" s="60" t="s">
        <v>24</v>
      </c>
      <c r="G4" s="47">
        <v>32</v>
      </c>
      <c r="H4" s="133">
        <f>IF(B$17=0,0,G4/B$17)</f>
        <v>0.44444444444444442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-848.71794871794873</v>
      </c>
      <c r="P4" s="119">
        <v>39</v>
      </c>
      <c r="Q4" s="103">
        <v>-33100</v>
      </c>
    </row>
    <row r="5" spans="1:17" x14ac:dyDescent="0.4">
      <c r="A5" s="55" t="s">
        <v>7</v>
      </c>
      <c r="B5" s="152">
        <f>IF(B$2=0,0,B$4/B$2)</f>
        <v>-19.73571428571428</v>
      </c>
      <c r="C5" s="153"/>
      <c r="E5" s="63" t="s">
        <v>181</v>
      </c>
      <c r="F5" s="60" t="s">
        <v>182</v>
      </c>
      <c r="G5" s="47">
        <v>30</v>
      </c>
      <c r="H5" s="133">
        <f>IF(B$17=0,0,G5/B$17)</f>
        <v>0.41666666666666669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-5420.588235294118</v>
      </c>
      <c r="P5" s="119">
        <v>34</v>
      </c>
      <c r="Q5" s="103">
        <v>-184300</v>
      </c>
    </row>
    <row r="6" spans="1:17" x14ac:dyDescent="0.4">
      <c r="A6" s="55" t="s">
        <v>1</v>
      </c>
      <c r="B6" s="142">
        <f>IF(B$2=0,0,(B$7*1+B$8*2+B$9*3)/B$2)</f>
        <v>2.3333333333333335</v>
      </c>
      <c r="C6" s="143"/>
      <c r="E6" s="63" t="s">
        <v>69</v>
      </c>
      <c r="F6" s="60" t="s">
        <v>12</v>
      </c>
      <c r="G6" s="47">
        <v>29</v>
      </c>
      <c r="H6" s="133">
        <f>IF(B$17=0,0,G6/B$17)</f>
        <v>0.40277777777777779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-561.29032258064512</v>
      </c>
      <c r="P6" s="119">
        <v>31</v>
      </c>
      <c r="Q6" s="103">
        <v>-17400</v>
      </c>
    </row>
    <row r="7" spans="1:17" x14ac:dyDescent="0.4">
      <c r="A7" s="55" t="s">
        <v>2</v>
      </c>
      <c r="B7" s="47">
        <v>9</v>
      </c>
      <c r="C7" s="39">
        <f>IF(B$2=0,0,B7/B$2)</f>
        <v>0.21428571428571427</v>
      </c>
      <c r="E7" s="63" t="s">
        <v>73</v>
      </c>
      <c r="F7" s="60" t="s">
        <v>28</v>
      </c>
      <c r="G7" s="47">
        <v>23</v>
      </c>
      <c r="H7" s="133">
        <f>IF(B$17=0,0,G7/B$17)</f>
        <v>0.31944444444444442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-1617.2413793103449</v>
      </c>
      <c r="P7" s="120">
        <v>29</v>
      </c>
      <c r="Q7" s="104">
        <v>-46900</v>
      </c>
    </row>
    <row r="8" spans="1:17" x14ac:dyDescent="0.4">
      <c r="A8" s="55" t="s">
        <v>3</v>
      </c>
      <c r="B8" s="47">
        <v>10</v>
      </c>
      <c r="C8" s="39">
        <f>IF(B$2=0,0,B8/B$2)</f>
        <v>0.23809523809523808</v>
      </c>
      <c r="E8" s="63" t="s">
        <v>70</v>
      </c>
      <c r="F8" s="60" t="s">
        <v>25</v>
      </c>
      <c r="G8" s="47">
        <v>17</v>
      </c>
      <c r="H8" s="133">
        <f>IF(B$17=0,0,G8/B$17)</f>
        <v>0.2361111111111111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0.54761904761904767</v>
      </c>
      <c r="E9" s="63" t="s">
        <v>71</v>
      </c>
      <c r="F9" s="60" t="s">
        <v>26</v>
      </c>
      <c r="G9" s="47">
        <v>15</v>
      </c>
      <c r="H9" s="133">
        <f>IF(B$17=0,0,G9/B$17)</f>
        <v>0.20833333333333334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0.19047619047619047</v>
      </c>
      <c r="E10" s="63" t="s">
        <v>72</v>
      </c>
      <c r="F10" s="60" t="s">
        <v>27</v>
      </c>
      <c r="G10" s="47">
        <v>9</v>
      </c>
      <c r="H10" s="133">
        <f>IF(B$17=0,0,G10/B$17)</f>
        <v>0.125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-25.378571428571423</v>
      </c>
      <c r="P10" s="118">
        <v>14</v>
      </c>
      <c r="Q10" s="106">
        <v>-355.2999999999999</v>
      </c>
    </row>
    <row r="11" spans="1:17" x14ac:dyDescent="0.4">
      <c r="A11" s="56" t="s">
        <v>140</v>
      </c>
      <c r="B11" s="48">
        <v>2</v>
      </c>
      <c r="C11" s="40">
        <f>IF(B$2=0,0,B11/B$2)</f>
        <v>4.7619047619047616E-2</v>
      </c>
      <c r="E11" s="63" t="s">
        <v>90</v>
      </c>
      <c r="F11" s="60" t="s">
        <v>45</v>
      </c>
      <c r="G11" s="47">
        <v>7</v>
      </c>
      <c r="H11" s="133">
        <f>IF(B$17=0,0,G11/B$17)</f>
        <v>9.7222222222222224E-2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-19.862500000000004</v>
      </c>
      <c r="P11" s="119">
        <v>16</v>
      </c>
      <c r="Q11" s="107">
        <v>-317.80000000000007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66</v>
      </c>
      <c r="F12" s="60" t="s">
        <v>22</v>
      </c>
      <c r="G12" s="47">
        <v>5</v>
      </c>
      <c r="H12" s="133">
        <f>IF(B$17=0,0,G12/B$17)</f>
        <v>6.9444444444444448E-2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-12.983333333333333</v>
      </c>
      <c r="P12" s="120">
        <v>12</v>
      </c>
      <c r="Q12" s="108">
        <v>-155.79999999999998</v>
      </c>
    </row>
    <row r="13" spans="1:17" x14ac:dyDescent="0.4">
      <c r="A13" s="58" t="s">
        <v>122</v>
      </c>
      <c r="B13" s="50">
        <v>84</v>
      </c>
      <c r="C13" s="44">
        <f>IF(B$3=0,0,B13/B$3)</f>
        <v>0.24852071005917159</v>
      </c>
      <c r="E13" s="63" t="s">
        <v>87</v>
      </c>
      <c r="F13" s="60" t="s">
        <v>42</v>
      </c>
      <c r="G13" s="47">
        <v>4</v>
      </c>
      <c r="H13" s="133">
        <f>IF(B$17=0,0,G13/B$17)</f>
        <v>5.5555555555555552E-2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0.15384615384615385</v>
      </c>
      <c r="E14" s="63" t="s">
        <v>78</v>
      </c>
      <c r="F14" s="60" t="s">
        <v>33</v>
      </c>
      <c r="G14" s="47">
        <v>1</v>
      </c>
      <c r="H14" s="133">
        <f>IF(B$17=0,0,G14/B$17)</f>
        <v>1.3888888888888888E-2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</v>
      </c>
      <c r="C15" s="37">
        <f>IF(B$13=0,0,B15/B$13)</f>
        <v>0.52380952380952384</v>
      </c>
      <c r="E15" s="63" t="s">
        <v>79</v>
      </c>
      <c r="F15" s="60" t="s">
        <v>34</v>
      </c>
      <c r="G15" s="47">
        <v>1</v>
      </c>
      <c r="H15" s="133">
        <f>IF(B$17=0,0,G15/B$17)</f>
        <v>1.3888888888888888E-2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10</v>
      </c>
      <c r="C16" s="37">
        <f>IF(B$14=0,0,B16/B$14)</f>
        <v>0.19230769230769232</v>
      </c>
      <c r="E16" s="63" t="s">
        <v>80</v>
      </c>
      <c r="F16" s="60" t="s">
        <v>35</v>
      </c>
      <c r="G16" s="47">
        <v>1</v>
      </c>
      <c r="H16" s="133">
        <f>IF(B$17=0,0,G16/B$17)</f>
        <v>1.3888888888888888E-2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>IF(P16=0,0,Q16/P16)</f>
        <v>42.625</v>
      </c>
      <c r="P16" s="119">
        <v>4</v>
      </c>
      <c r="Q16" s="107">
        <v>170.5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0.21301775147928995</v>
      </c>
      <c r="E17" s="63" t="s">
        <v>82</v>
      </c>
      <c r="F17" s="60" t="s">
        <v>37</v>
      </c>
      <c r="G17" s="47">
        <v>1</v>
      </c>
      <c r="H17" s="133">
        <f>IF(B$17=0,0,G17/B$17)</f>
        <v>1.3888888888888888E-2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-8.082142857142852</v>
      </c>
      <c r="P17" s="119">
        <v>28</v>
      </c>
      <c r="Q17" s="107">
        <v>-226.29999999999984</v>
      </c>
    </row>
    <row r="18" spans="1:17" x14ac:dyDescent="0.4">
      <c r="A18" s="55" t="s">
        <v>12</v>
      </c>
      <c r="B18" s="47">
        <v>36</v>
      </c>
      <c r="C18" s="39">
        <f>IF(B$17=0,0,B18/B$17)</f>
        <v>0.5</v>
      </c>
      <c r="E18" s="63" t="s">
        <v>84</v>
      </c>
      <c r="F18" s="60" t="s">
        <v>39</v>
      </c>
      <c r="G18" s="47">
        <v>1</v>
      </c>
      <c r="H18" s="133">
        <f>IF(B$17=0,0,G18/B$17)</f>
        <v>1.3888888888888888E-2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>IF(P18=0,0,Q18/P18)</f>
        <v>-30.733333333333331</v>
      </c>
      <c r="P18" s="119">
        <v>6</v>
      </c>
      <c r="Q18" s="107">
        <v>-184.39999999999998</v>
      </c>
    </row>
    <row r="19" spans="1:17" x14ac:dyDescent="0.4">
      <c r="A19" s="55" t="s">
        <v>11</v>
      </c>
      <c r="B19" s="47">
        <v>36</v>
      </c>
      <c r="C19" s="39">
        <f>IF(B$17=0,0,B19/B$17)</f>
        <v>0.5</v>
      </c>
      <c r="E19" s="63" t="s">
        <v>88</v>
      </c>
      <c r="F19" s="60" t="s">
        <v>43</v>
      </c>
      <c r="G19" s="47">
        <v>1</v>
      </c>
      <c r="H19" s="133">
        <f>IF(B$17=0,0,G19/B$17)</f>
        <v>1.3888888888888888E-2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-46.55</v>
      </c>
      <c r="P19" s="119">
        <v>8</v>
      </c>
      <c r="Q19" s="107">
        <v>-372.4</v>
      </c>
    </row>
    <row r="20" spans="1:17" x14ac:dyDescent="0.4">
      <c r="A20" s="55" t="s">
        <v>13</v>
      </c>
      <c r="B20" s="47">
        <v>66</v>
      </c>
      <c r="C20" s="39">
        <f>IF(B$3=0,0,B20/B$3)</f>
        <v>0.19526627218934911</v>
      </c>
      <c r="E20" s="63" t="s">
        <v>89</v>
      </c>
      <c r="F20" s="60" t="s">
        <v>44</v>
      </c>
      <c r="G20" s="47">
        <v>1</v>
      </c>
      <c r="H20" s="133">
        <f>IF(B$17=0,0,G20/B$17)</f>
        <v>1.3888888888888888E-2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-46.581818181818171</v>
      </c>
      <c r="P20" s="119">
        <v>11</v>
      </c>
      <c r="Q20" s="107">
        <v>-512.39999999999986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1.3888888888888888E-2</v>
      </c>
      <c r="I21" s="94">
        <v>4</v>
      </c>
      <c r="K21" s="38">
        <v>19</v>
      </c>
      <c r="L21" s="99">
        <v>-569.49999999999989</v>
      </c>
      <c r="N21" s="115" t="s">
        <v>127</v>
      </c>
      <c r="O21" s="125">
        <f>IF(P21=0,0,Q21/P21)</f>
        <v>-54.80400000000003</v>
      </c>
      <c r="P21" s="119">
        <v>25</v>
      </c>
      <c r="Q21" s="107">
        <v>-1370.1000000000008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94</v>
      </c>
      <c r="F22" s="60" t="s">
        <v>49</v>
      </c>
      <c r="G22" s="47">
        <v>1</v>
      </c>
      <c r="H22" s="133">
        <f>IF(B$17=0,0,G22/B$17)</f>
        <v>1.3888888888888888E-2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8750</v>
      </c>
      <c r="C23" s="41">
        <v>630000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-9530.30303030303</v>
      </c>
      <c r="C24" s="45">
        <v>-629000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2.9585798816568047E-3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CA7BA-0374-45CF-876B-C26154EDB19C}">
  <sheetPr codeName="Sheet13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89</v>
      </c>
      <c r="H2" s="132">
        <f>IF(B$17=0,0,G2/B$17)</f>
        <v>0.7807017543859649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-377.35849056603774</v>
      </c>
      <c r="P2" s="118">
        <v>53</v>
      </c>
      <c r="Q2" s="102">
        <v>-20000</v>
      </c>
    </row>
    <row r="3" spans="1:17" x14ac:dyDescent="0.4">
      <c r="A3" s="55" t="s">
        <v>8</v>
      </c>
      <c r="B3" s="148">
        <v>449</v>
      </c>
      <c r="C3" s="149"/>
      <c r="E3" s="63" t="s">
        <v>65</v>
      </c>
      <c r="F3" s="60" t="s">
        <v>21</v>
      </c>
      <c r="G3" s="47">
        <v>64</v>
      </c>
      <c r="H3" s="133">
        <f>IF(B$17=0,0,G3/B$17)</f>
        <v>0.56140350877192979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1032.0754716981132</v>
      </c>
      <c r="P3" s="119">
        <v>53</v>
      </c>
      <c r="Q3" s="103">
        <v>54700</v>
      </c>
    </row>
    <row r="4" spans="1:17" x14ac:dyDescent="0.4">
      <c r="A4" s="55" t="s">
        <v>6</v>
      </c>
      <c r="B4" s="150">
        <v>-4.1000000000000085</v>
      </c>
      <c r="C4" s="151"/>
      <c r="E4" s="63" t="s">
        <v>73</v>
      </c>
      <c r="F4" s="60" t="s">
        <v>28</v>
      </c>
      <c r="G4" s="47">
        <v>55</v>
      </c>
      <c r="H4" s="133">
        <f>IF(B$17=0,0,G4/B$17)</f>
        <v>0.48245614035087719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-125.49019607843137</v>
      </c>
      <c r="P4" s="119">
        <v>51</v>
      </c>
      <c r="Q4" s="103">
        <v>-6400</v>
      </c>
    </row>
    <row r="5" spans="1:17" x14ac:dyDescent="0.4">
      <c r="A5" s="55" t="s">
        <v>7</v>
      </c>
      <c r="B5" s="152">
        <f>IF(B$2=0,0,B$4/B$2)</f>
        <v>-7.7358490566037899E-2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0.36842105263157893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2045.4545454545455</v>
      </c>
      <c r="P5" s="119">
        <v>44</v>
      </c>
      <c r="Q5" s="103">
        <v>90000</v>
      </c>
    </row>
    <row r="6" spans="1:17" x14ac:dyDescent="0.4">
      <c r="A6" s="55" t="s">
        <v>1</v>
      </c>
      <c r="B6" s="142">
        <f>IF(B$2=0,0,(B$7*1+B$8*2+B$9*3)/B$2)</f>
        <v>2.0754716981132075</v>
      </c>
      <c r="C6" s="143"/>
      <c r="E6" s="63" t="s">
        <v>68</v>
      </c>
      <c r="F6" s="60" t="s">
        <v>24</v>
      </c>
      <c r="G6" s="47">
        <v>40</v>
      </c>
      <c r="H6" s="133">
        <f>IF(B$17=0,0,G6/B$17)</f>
        <v>0.35087719298245612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-1720</v>
      </c>
      <c r="P6" s="119">
        <v>40</v>
      </c>
      <c r="Q6" s="103">
        <v>-68800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69</v>
      </c>
      <c r="F7" s="60" t="s">
        <v>12</v>
      </c>
      <c r="G7" s="47">
        <v>33</v>
      </c>
      <c r="H7" s="133">
        <f>IF(B$17=0,0,G7/B$17)</f>
        <v>0.28947368421052633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929.72972972972968</v>
      </c>
      <c r="P7" s="120">
        <v>37</v>
      </c>
      <c r="Q7" s="104">
        <v>34400</v>
      </c>
    </row>
    <row r="8" spans="1:17" x14ac:dyDescent="0.4">
      <c r="A8" s="55" t="s">
        <v>3</v>
      </c>
      <c r="B8" s="47">
        <v>19</v>
      </c>
      <c r="C8" s="39">
        <f>IF(B$2=0,0,B8/B$2)</f>
        <v>0.35849056603773582</v>
      </c>
      <c r="E8" s="63" t="s">
        <v>70</v>
      </c>
      <c r="F8" s="60" t="s">
        <v>25</v>
      </c>
      <c r="G8" s="47">
        <v>25</v>
      </c>
      <c r="H8" s="133">
        <f>IF(B$17=0,0,G8/B$17)</f>
        <v>0.21929824561403508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0.35849056603773582</v>
      </c>
      <c r="E9" s="63" t="s">
        <v>90</v>
      </c>
      <c r="F9" s="60" t="s">
        <v>45</v>
      </c>
      <c r="G9" s="47">
        <v>16</v>
      </c>
      <c r="H9" s="133">
        <f>IF(B$17=0,0,G9/B$17)</f>
        <v>0.14035087719298245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3.7735849056603772E-2</v>
      </c>
      <c r="E10" s="63" t="s">
        <v>66</v>
      </c>
      <c r="F10" s="60" t="s">
        <v>22</v>
      </c>
      <c r="G10" s="47">
        <v>15</v>
      </c>
      <c r="H10" s="133">
        <f>IF(B$17=0,0,G10/B$17)</f>
        <v>0.13157894736842105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2.33076923076923</v>
      </c>
      <c r="P10" s="118">
        <v>13</v>
      </c>
      <c r="Q10" s="106">
        <v>30.29999999999999</v>
      </c>
    </row>
    <row r="11" spans="1:17" x14ac:dyDescent="0.4">
      <c r="A11" s="56" t="s">
        <v>140</v>
      </c>
      <c r="B11" s="48">
        <v>7</v>
      </c>
      <c r="C11" s="40">
        <f>IF(B$2=0,0,B11/B$2)</f>
        <v>0.13207547169811321</v>
      </c>
      <c r="E11" s="63" t="s">
        <v>71</v>
      </c>
      <c r="F11" s="60" t="s">
        <v>26</v>
      </c>
      <c r="G11" s="47">
        <v>14</v>
      </c>
      <c r="H11" s="133">
        <f>IF(B$17=0,0,G11/B$17)</f>
        <v>0.12280701754385964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-1.3173913043478247</v>
      </c>
      <c r="P11" s="119">
        <v>23</v>
      </c>
      <c r="Q11" s="107">
        <v>-30.299999999999969</v>
      </c>
    </row>
    <row r="12" spans="1:17" x14ac:dyDescent="0.4">
      <c r="A12" s="57" t="s">
        <v>160</v>
      </c>
      <c r="B12" s="49">
        <v>5</v>
      </c>
      <c r="C12" s="42">
        <f>IF(B$2=0,0,B12/B$2)</f>
        <v>9.4339622641509441E-2</v>
      </c>
      <c r="E12" s="63" t="s">
        <v>72</v>
      </c>
      <c r="F12" s="60" t="s">
        <v>27</v>
      </c>
      <c r="G12" s="47">
        <v>9</v>
      </c>
      <c r="H12" s="133">
        <f>IF(B$17=0,0,G12/B$17)</f>
        <v>7.8947368421052627E-2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-0.24117647058823538</v>
      </c>
      <c r="P12" s="120">
        <v>17</v>
      </c>
      <c r="Q12" s="108">
        <v>-4.1000000000000014</v>
      </c>
    </row>
    <row r="13" spans="1:17" x14ac:dyDescent="0.4">
      <c r="A13" s="58" t="s">
        <v>122</v>
      </c>
      <c r="B13" s="50">
        <v>118</v>
      </c>
      <c r="C13" s="44">
        <f>IF(B$3=0,0,B13/B$3)</f>
        <v>0.26280623608017817</v>
      </c>
      <c r="E13" s="63" t="s">
        <v>87</v>
      </c>
      <c r="F13" s="60" t="s">
        <v>42</v>
      </c>
      <c r="G13" s="47">
        <v>9</v>
      </c>
      <c r="H13" s="133">
        <f>IF(B$17=0,0,G13/B$17)</f>
        <v>7.8947368421052627E-2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79</v>
      </c>
      <c r="C14" s="39">
        <f>IF(B$3=0,0,B14/B$3)</f>
        <v>0.17594654788418709</v>
      </c>
      <c r="E14" s="63" t="s">
        <v>84</v>
      </c>
      <c r="F14" s="60" t="s">
        <v>39</v>
      </c>
      <c r="G14" s="47">
        <v>7</v>
      </c>
      <c r="H14" s="133">
        <f>IF(B$17=0,0,G14/B$17)</f>
        <v>6.1403508771929821E-2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82</v>
      </c>
      <c r="F15" s="60" t="s">
        <v>37</v>
      </c>
      <c r="G15" s="47">
        <v>5</v>
      </c>
      <c r="H15" s="133">
        <f>IF(B$17=0,0,G15/B$17)</f>
        <v>4.3859649122807015E-2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27</v>
      </c>
      <c r="C16" s="37">
        <f>IF(B$14=0,0,B16/B$14)</f>
        <v>0.34177215189873417</v>
      </c>
      <c r="E16" s="63" t="s">
        <v>79</v>
      </c>
      <c r="F16" s="60" t="s">
        <v>34</v>
      </c>
      <c r="G16" s="47">
        <v>4</v>
      </c>
      <c r="H16" s="133">
        <f>IF(B$17=0,0,G16/B$17)</f>
        <v>3.5087719298245612E-2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0.25389755011135856</v>
      </c>
      <c r="E17" s="63" t="s">
        <v>76</v>
      </c>
      <c r="F17" s="60" t="s">
        <v>31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46</v>
      </c>
      <c r="C18" s="39">
        <f>IF(B$17=0,0,B18/B$17)</f>
        <v>0.40350877192982454</v>
      </c>
      <c r="E18" s="63" t="s">
        <v>93</v>
      </c>
      <c r="F18" s="60" t="s">
        <v>48</v>
      </c>
      <c r="G18" s="47">
        <v>2</v>
      </c>
      <c r="H18" s="133">
        <f>IF(B$17=0,0,G18/B$17)</f>
        <v>1.7543859649122806E-2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3.3103448275862002</v>
      </c>
      <c r="P18" s="119">
        <v>29</v>
      </c>
      <c r="Q18" s="107">
        <v>95.999999999999801</v>
      </c>
    </row>
    <row r="19" spans="1:17" x14ac:dyDescent="0.4">
      <c r="A19" s="55" t="s">
        <v>11</v>
      </c>
      <c r="B19" s="47">
        <v>68</v>
      </c>
      <c r="C19" s="39">
        <f>IF(B$17=0,0,B19/B$17)</f>
        <v>0.59649122807017541</v>
      </c>
      <c r="E19" s="63" t="s">
        <v>180</v>
      </c>
      <c r="F19" s="60" t="s">
        <v>183</v>
      </c>
      <c r="G19" s="47">
        <v>2</v>
      </c>
      <c r="H19" s="133">
        <f>IF(B$17=0,0,G19/B$17)</f>
        <v>1.7543859649122806E-2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71</v>
      </c>
      <c r="C20" s="39">
        <f>IF(B$3=0,0,B20/B$3)</f>
        <v>0.15812917594654788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92</v>
      </c>
      <c r="F21" s="60" t="s">
        <v>47</v>
      </c>
      <c r="G21" s="47">
        <v>1</v>
      </c>
      <c r="H21" s="133">
        <f>IF(B$17=0,0,G21/B$17)</f>
        <v>8.771929824561403E-3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>IF(P21=0,0,Q21/P21)</f>
        <v>-16.360606060606052</v>
      </c>
      <c r="P21" s="119">
        <v>33</v>
      </c>
      <c r="Q21" s="107">
        <v>-539.89999999999975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9578.9473684210534</v>
      </c>
      <c r="C23" s="41">
        <v>1092000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-7243.6619718309857</v>
      </c>
      <c r="C24" s="45">
        <v>-514300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2.2271714922048997E-3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AC27A-1E25-4F9C-BB64-5ADC33560E26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116</v>
      </c>
      <c r="H2" s="132">
        <f>IF(B$17=0,0,G2/B$17)</f>
        <v>0.68639053254437865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73</v>
      </c>
      <c r="F3" s="60" t="s">
        <v>28</v>
      </c>
      <c r="G3" s="47">
        <v>100</v>
      </c>
      <c r="H3" s="133">
        <f>IF(B$17=0,0,G3/B$17)</f>
        <v>0.59171597633136097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181</v>
      </c>
      <c r="F4" s="60" t="s">
        <v>182</v>
      </c>
      <c r="G4" s="47">
        <v>70</v>
      </c>
      <c r="H4" s="133">
        <f>IF(B$17=0,0,G4/B$17)</f>
        <v>0.41420118343195267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65</v>
      </c>
      <c r="F5" s="60" t="s">
        <v>21</v>
      </c>
      <c r="G5" s="47">
        <v>60</v>
      </c>
      <c r="H5" s="133">
        <f>IF(B$17=0,0,G5/B$17)</f>
        <v>0.35502958579881655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0.17159763313609466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24</v>
      </c>
      <c r="H8" s="133">
        <f>IF(B$17=0,0,G8/B$17)</f>
        <v>0.14201183431952663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66</v>
      </c>
      <c r="F9" s="60" t="s">
        <v>22</v>
      </c>
      <c r="G9" s="47">
        <v>17</v>
      </c>
      <c r="H9" s="133">
        <f>IF(B$17=0,0,G9/B$17)</f>
        <v>0.10059171597633136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72</v>
      </c>
      <c r="F10" s="60" t="s">
        <v>27</v>
      </c>
      <c r="G10" s="47">
        <v>12</v>
      </c>
      <c r="H10" s="133">
        <f>IF(B$17=0,0,G10/B$17)</f>
        <v>7.1005917159763315E-2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11</v>
      </c>
      <c r="H11" s="133">
        <f>IF(B$17=0,0,G11/B$17)</f>
        <v>6.5088757396449703E-2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71</v>
      </c>
      <c r="F12" s="60" t="s">
        <v>26</v>
      </c>
      <c r="G12" s="47">
        <v>10</v>
      </c>
      <c r="H12" s="133">
        <f>IF(B$17=0,0,G12/B$17)</f>
        <v>5.9171597633136092E-2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84</v>
      </c>
      <c r="F13" s="60" t="s">
        <v>39</v>
      </c>
      <c r="G13" s="47">
        <v>8</v>
      </c>
      <c r="H13" s="133">
        <f>IF(B$17=0,0,G13/B$17)</f>
        <v>4.7337278106508875E-2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87</v>
      </c>
      <c r="F14" s="60" t="s">
        <v>42</v>
      </c>
      <c r="G14" s="47">
        <v>8</v>
      </c>
      <c r="H14" s="133">
        <f>IF(B$17=0,0,G14/B$17)</f>
        <v>4.7337278106508875E-2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82</v>
      </c>
      <c r="F15" s="60" t="s">
        <v>37</v>
      </c>
      <c r="G15" s="47">
        <v>5</v>
      </c>
      <c r="H15" s="133">
        <f>IF(B$17=0,0,G15/B$17)</f>
        <v>2.9585798816568046E-2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92</v>
      </c>
      <c r="F18" s="60" t="s">
        <v>47</v>
      </c>
      <c r="G18" s="47">
        <v>2</v>
      </c>
      <c r="H18" s="133">
        <f>IF(B$17=0,0,G18/B$17)</f>
        <v>1.1834319526627219E-2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88</v>
      </c>
      <c r="F19" s="60" t="s">
        <v>43</v>
      </c>
      <c r="G19" s="47">
        <v>1</v>
      </c>
      <c r="H19" s="133">
        <f>IF(B$17=0,0,G19/B$17)</f>
        <v>5.9171597633136093E-3</v>
      </c>
      <c r="I19" s="94">
        <v>3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128</v>
      </c>
      <c r="O22" s="125">
        <f>IF(P22=0,0,Q22/P22)</f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C30D0-455A-466C-B86F-D6B5661578D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0.71568627450980393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-2526.3157894736842</v>
      </c>
      <c r="P2" s="118">
        <v>38</v>
      </c>
      <c r="Q2" s="102">
        <v>-96000</v>
      </c>
    </row>
    <row r="3" spans="1:17" x14ac:dyDescent="0.4">
      <c r="A3" s="55" t="s">
        <v>8</v>
      </c>
      <c r="B3" s="148">
        <v>336</v>
      </c>
      <c r="C3" s="149"/>
      <c r="E3" s="63" t="s">
        <v>73</v>
      </c>
      <c r="F3" s="60" t="s">
        <v>28</v>
      </c>
      <c r="G3" s="47">
        <v>52</v>
      </c>
      <c r="H3" s="133">
        <f>IF(B$17=0,0,G3/B$17)</f>
        <v>0.50980392156862742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1650</v>
      </c>
      <c r="P3" s="119">
        <v>38</v>
      </c>
      <c r="Q3" s="103">
        <v>62700</v>
      </c>
    </row>
    <row r="4" spans="1:17" x14ac:dyDescent="0.4">
      <c r="A4" s="55" t="s">
        <v>6</v>
      </c>
      <c r="B4" s="150">
        <v>-211.5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0.46078431372549017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-680.55555555555554</v>
      </c>
      <c r="P4" s="119">
        <v>36</v>
      </c>
      <c r="Q4" s="103">
        <v>-24500</v>
      </c>
    </row>
    <row r="5" spans="1:17" x14ac:dyDescent="0.4">
      <c r="A5" s="55" t="s">
        <v>7</v>
      </c>
      <c r="B5" s="152">
        <f>IF(B$2=0,0,B$4/B$2)</f>
        <v>-5.5657894736842106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0.39215686274509803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-4076.4705882352941</v>
      </c>
      <c r="P5" s="119">
        <v>34</v>
      </c>
      <c r="Q5" s="103">
        <v>-138600</v>
      </c>
    </row>
    <row r="6" spans="1:17" x14ac:dyDescent="0.4">
      <c r="A6" s="55" t="s">
        <v>1</v>
      </c>
      <c r="B6" s="142">
        <f>IF(B$2=0,0,(B$7*1+B$8*2+B$9*3)/B$2)</f>
        <v>2.0526315789473686</v>
      </c>
      <c r="C6" s="143"/>
      <c r="E6" s="63" t="s">
        <v>181</v>
      </c>
      <c r="F6" s="60" t="s">
        <v>182</v>
      </c>
      <c r="G6" s="47">
        <v>37</v>
      </c>
      <c r="H6" s="133">
        <f>IF(B$17=0,0,G6/B$17)</f>
        <v>0.36274509803921567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0.28947368421052633</v>
      </c>
      <c r="E7" s="63" t="s">
        <v>68</v>
      </c>
      <c r="F7" s="60" t="s">
        <v>24</v>
      </c>
      <c r="G7" s="47">
        <v>26</v>
      </c>
      <c r="H7" s="133">
        <f>IF(B$17=0,0,G7/B$17)</f>
        <v>0.25490196078431371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14</v>
      </c>
      <c r="C8" s="39">
        <f>IF(B$2=0,0,B8/B$2)</f>
        <v>0.36842105263157893</v>
      </c>
      <c r="E8" s="63" t="s">
        <v>71</v>
      </c>
      <c r="F8" s="60" t="s">
        <v>26</v>
      </c>
      <c r="G8" s="47">
        <v>13</v>
      </c>
      <c r="H8" s="133">
        <f>IF(B$17=0,0,G8/B$17)</f>
        <v>0.12745098039215685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0.34210526315789475</v>
      </c>
      <c r="E9" s="63" t="s">
        <v>90</v>
      </c>
      <c r="F9" s="60" t="s">
        <v>45</v>
      </c>
      <c r="G9" s="47">
        <v>12</v>
      </c>
      <c r="H9" s="133">
        <f>IF(B$17=0,0,G9/B$17)</f>
        <v>0.11764705882352941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0.10526315789473684</v>
      </c>
      <c r="E10" s="63" t="s">
        <v>70</v>
      </c>
      <c r="F10" s="60" t="s">
        <v>25</v>
      </c>
      <c r="G10" s="47">
        <v>11</v>
      </c>
      <c r="H10" s="133">
        <f>IF(B$17=0,0,G10/B$17)</f>
        <v>0.10784313725490197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66</v>
      </c>
      <c r="F11" s="60" t="s">
        <v>22</v>
      </c>
      <c r="G11" s="47">
        <v>8</v>
      </c>
      <c r="H11" s="133">
        <f>IF(B$17=0,0,G11/B$17)</f>
        <v>7.8431372549019607E-2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2.6315789473684209E-2</v>
      </c>
      <c r="E12" s="63" t="s">
        <v>72</v>
      </c>
      <c r="F12" s="60" t="s">
        <v>27</v>
      </c>
      <c r="G12" s="47">
        <v>6</v>
      </c>
      <c r="H12" s="133">
        <f>IF(B$17=0,0,G12/B$17)</f>
        <v>5.8823529411764705E-2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79</v>
      </c>
      <c r="C13" s="44">
        <f>IF(B$3=0,0,B13/B$3)</f>
        <v>0.23511904761904762</v>
      </c>
      <c r="E13" s="63" t="s">
        <v>87</v>
      </c>
      <c r="F13" s="60" t="s">
        <v>42</v>
      </c>
      <c r="G13" s="47">
        <v>4</v>
      </c>
      <c r="H13" s="133">
        <f>IF(B$17=0,0,G13/B$17)</f>
        <v>3.9215686274509803E-2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0.25</v>
      </c>
      <c r="E14" s="63" t="s">
        <v>74</v>
      </c>
      <c r="F14" s="60" t="s">
        <v>29</v>
      </c>
      <c r="G14" s="47">
        <v>2</v>
      </c>
      <c r="H14" s="133">
        <f>IF(B$17=0,0,G14/B$17)</f>
        <v>1.9607843137254902E-2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0.60759493670886078</v>
      </c>
      <c r="E15" s="63" t="s">
        <v>79</v>
      </c>
      <c r="F15" s="60" t="s">
        <v>34</v>
      </c>
      <c r="G15" s="47">
        <v>2</v>
      </c>
      <c r="H15" s="133">
        <f>IF(B$17=0,0,G15/B$17)</f>
        <v>1.9607843137254902E-2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1.9607843137254902E-2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102</v>
      </c>
      <c r="C17" s="37">
        <f>IF(B$3=0,0,B17/B$3)</f>
        <v>0.30357142857142855</v>
      </c>
      <c r="E17" s="63" t="s">
        <v>84</v>
      </c>
      <c r="F17" s="60" t="s">
        <v>39</v>
      </c>
      <c r="G17" s="47">
        <v>2</v>
      </c>
      <c r="H17" s="133">
        <f>IF(B$17=0,0,G17/B$17)</f>
        <v>1.9607843137254902E-2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0.51960784313725494</v>
      </c>
      <c r="E18" s="63" t="s">
        <v>92</v>
      </c>
      <c r="F18" s="60" t="s">
        <v>47</v>
      </c>
      <c r="G18" s="47">
        <v>1</v>
      </c>
      <c r="H18" s="133">
        <f>IF(B$17=0,0,G18/B$17)</f>
        <v>9.8039215686274508E-3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49</v>
      </c>
      <c r="C19" s="39">
        <f>IF(B$17=0,0,B19/B$17)</f>
        <v>0.48039215686274511</v>
      </c>
      <c r="E19" s="63" t="s">
        <v>180</v>
      </c>
      <c r="F19" s="60" t="s">
        <v>183</v>
      </c>
      <c r="G19" s="47">
        <v>1</v>
      </c>
      <c r="H19" s="133">
        <f>IF(B$17=0,0,G19/B$17)</f>
        <v>9.8039215686274508E-3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64</v>
      </c>
      <c r="C20" s="39">
        <f>IF(B$3=0,0,B20/B$3)</f>
        <v>0.19047619047619047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-22.754999999999995</v>
      </c>
      <c r="P20" s="119">
        <v>20</v>
      </c>
      <c r="Q20" s="107">
        <v>-455.09999999999991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6886.2745098039213</v>
      </c>
      <c r="C23" s="41">
        <v>702400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-7779.6875</v>
      </c>
      <c r="C24" s="45">
        <v>-497900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2.976190476190476E-3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AF4F4-EF55-40EE-97B5-719CD5507428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5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20149-E5AA-4F87-A03E-0FC81C8C38D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3933-005E-486C-9E4B-EEE63BDBD28D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148B-D7A7-4F13-9D6B-31B094703644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401B-7630-42BC-A9A4-A467D9FDE24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8D771-A00C-4447-A4A6-F5C7DDF9D541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5FAA-DB00-494E-B1B4-31E0E8A0B487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E2D08-3B3F-4B04-8AB9-7A3B9CBD4F7B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813BD-8849-421B-B745-A30B7A0139C8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47C1-FD74-492D-A67A-D6FB781B941C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BB56-2C0E-4A45-A85D-FEF7DDF9E5A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F3566-573C-488B-8F52-E89AB9AAF516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29C80-05F7-47E7-BE0F-8C56E583009C}">
  <sheetPr codeName="Sheet18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41BF-F731-41DC-B998-C4C165C6E056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8C0B5-FEA3-43A4-B9CD-981105A1A21D}">
  <sheetPr codeName="Sheet14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BBEB1-A95A-489D-A4AE-54EE99C990A7}">
  <sheetPr codeName="Sheet12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8C80-0735-4685-A58E-D1B4B52ED621}">
  <sheetPr codeName="Sheet10"/>
  <dimension ref="A1:Q1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23CFB-93F8-4306-BF51-B5927BFC9CA7}">
  <sheetPr codeName="Sheet8"/>
  <dimension ref="A1:Q10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2707-2BC5-4232-8805-76D11FBEDBF6}">
  <sheetPr codeName="Sheet6"/>
  <dimension ref="A1:Q1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2019-05-16T17:32:53Z</dcterms:modified>
</cp:coreProperties>
</file>