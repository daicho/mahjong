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1ECB454C-CD0E-4C7A-920C-29A9F1710AD3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533" r:id="rId6"/>
    <sheet name="だいち" sheetId="5535" r:id="rId7"/>
    <sheet name="りくと" sheetId="5537" r:id="rId8"/>
    <sheet name="ただ" sheetId="5539" r:id="rId9"/>
    <sheet name="れんたろう" sheetId="5541" r:id="rId10"/>
    <sheet name="たかの" sheetId="5543" r:id="rId11"/>
    <sheet name="ぱぱ" sheetId="5545" r:id="rId12"/>
    <sheet name="まっつん" sheetId="5547" r:id="rId13"/>
    <sheet name="あさひ" sheetId="5549" r:id="rId14"/>
    <sheet name="いっしー" sheetId="5551" r:id="rId15"/>
    <sheet name="ほたに" sheetId="5553" r:id="rId16"/>
    <sheet name="かわたつ" sheetId="5555" r:id="rId17"/>
    <sheet name="やがさき" sheetId="5557" r:id="rId18"/>
    <sheet name="のり" sheetId="5559" r:id="rId19"/>
    <sheet name="のり2" sheetId="5560" state="hidden" r:id="rId20"/>
    <sheet name="やがさき2" sheetId="5558" state="hidden" r:id="rId21"/>
    <sheet name="かわたつ2" sheetId="5556" state="hidden" r:id="rId22"/>
    <sheet name="ほたに2" sheetId="5554" state="hidden" r:id="rId23"/>
    <sheet name="いっしー2" sheetId="5552" state="hidden" r:id="rId24"/>
    <sheet name="あさひ2" sheetId="5550" state="hidden" r:id="rId25"/>
    <sheet name="まっつん2" sheetId="5548" state="hidden" r:id="rId26"/>
    <sheet name="ぱぱ2" sheetId="5546" state="hidden" r:id="rId27"/>
    <sheet name="たかの2" sheetId="5544" state="hidden" r:id="rId28"/>
    <sheet name="れんたろう2" sheetId="5542" state="hidden" r:id="rId29"/>
    <sheet name="ただ2" sheetId="5540" state="hidden" r:id="rId30"/>
    <sheet name="りくと2" sheetId="5538" state="hidden" r:id="rId31"/>
    <sheet name="だいち2" sheetId="5536" state="hidden" r:id="rId32"/>
    <sheet name="全体2" sheetId="5534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ふっとばし率" sheetId="3523" state="hidden" r:id="rId44"/>
    <sheet name="リーチ率" sheetId="3524" state="hidden" r:id="rId45"/>
    <sheet name="副露率" sheetId="3525" state="hidden" r:id="rId46"/>
    <sheet name="リーチ成功率" sheetId="4841" state="hidden" r:id="rId47"/>
    <sheet name="副露成功率" sheetId="3527" state="hidden" r:id="rId48"/>
    <sheet name="ツモ率" sheetId="3528" state="hidden" r:id="rId49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8">のり!$B$17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8">のり!$C$17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8">のり!$B$27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8">のり!$C$27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8">のり!$B$18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8">のり!$C$18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8">のり!$B$7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8">のり!$C$7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8">のり!$B$11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8">のり!$C$11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8">のり!$B$10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8">のり!$C$10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8">のり!$B$9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8">のり!$C$9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8">のり!$B$13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8">のり!$B$15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8">のり!$C$15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8">のり!$C$13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8">のり!$B$19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8">のり!$C$19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8">のり!$B$12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8">のり!$C$12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8">のり!$B$25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8">のり!$B$26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8">のり!$B$3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8">のり!$B$2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8">のり!$B$4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8">のり!$B$14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8">のり!$B$16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8">のり!$C$16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8">のり!$C$14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8">のり!$B$23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8">のり!$B$5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8">のり!$B$6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8">のり!$B$24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8">のり!$B$20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8">のり!$C$20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8">のり!$B$21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8">のり!$B$22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545" l="1"/>
  <c r="O18" i="5559"/>
  <c r="O16" i="5553"/>
  <c r="O15" i="5559"/>
  <c r="O15" i="5539" l="1"/>
  <c r="O15" i="5547"/>
  <c r="O15" i="5533"/>
  <c r="O17" i="5559"/>
  <c r="O16" i="5559"/>
  <c r="C27" i="5559"/>
  <c r="B24" i="5559"/>
  <c r="C20" i="5559"/>
  <c r="B17" i="5559"/>
  <c r="H50" i="5559" s="1"/>
  <c r="C16" i="5559"/>
  <c r="C15" i="5559"/>
  <c r="C14" i="5559"/>
  <c r="C13" i="5559"/>
  <c r="O12" i="5559"/>
  <c r="C12" i="5559"/>
  <c r="O11" i="5559"/>
  <c r="C11" i="5559"/>
  <c r="O10" i="5559"/>
  <c r="C10" i="5559"/>
  <c r="C9" i="5559"/>
  <c r="C8" i="5559"/>
  <c r="O7" i="5559"/>
  <c r="C7" i="5559"/>
  <c r="O6" i="5559"/>
  <c r="B6" i="5559"/>
  <c r="O5" i="5559"/>
  <c r="B5" i="5559"/>
  <c r="O4" i="5559"/>
  <c r="H4" i="5559"/>
  <c r="O3" i="5559"/>
  <c r="O2" i="5559"/>
  <c r="H25" i="5559" l="1"/>
  <c r="H2" i="5559"/>
  <c r="H8" i="5559"/>
  <c r="H10" i="5559"/>
  <c r="C18" i="5559"/>
  <c r="H32" i="5559"/>
  <c r="H9" i="5559"/>
  <c r="H16" i="5559"/>
  <c r="H39" i="5559"/>
  <c r="H22" i="5559"/>
  <c r="H40" i="5559"/>
  <c r="H5" i="5559"/>
  <c r="H12" i="5559"/>
  <c r="H17" i="5559"/>
  <c r="B23" i="5559"/>
  <c r="H31" i="5559"/>
  <c r="H47" i="5559"/>
  <c r="H48" i="5559"/>
  <c r="H19" i="5559"/>
  <c r="H27" i="5559"/>
  <c r="H35" i="5559"/>
  <c r="H43" i="5559"/>
  <c r="H51" i="5559"/>
  <c r="H14" i="5559"/>
  <c r="H3" i="5559"/>
  <c r="H6" i="5559"/>
  <c r="H11" i="5559"/>
  <c r="C17" i="5559"/>
  <c r="H24" i="5559"/>
  <c r="H28" i="5559"/>
  <c r="H36" i="5559"/>
  <c r="H44" i="5559"/>
  <c r="H52" i="5559"/>
  <c r="H18" i="5559"/>
  <c r="H20" i="5559"/>
  <c r="H23" i="5559"/>
  <c r="H26" i="5559"/>
  <c r="H29" i="5559"/>
  <c r="H33" i="5559"/>
  <c r="H37" i="5559"/>
  <c r="H41" i="5559"/>
  <c r="H45" i="5559"/>
  <c r="H49" i="5559"/>
  <c r="H7" i="5559"/>
  <c r="H13" i="5559"/>
  <c r="H15" i="5559"/>
  <c r="C19" i="5559"/>
  <c r="H21" i="5559"/>
  <c r="H30" i="5559"/>
  <c r="H34" i="5559"/>
  <c r="H38" i="5559"/>
  <c r="H42" i="5559"/>
  <c r="H46" i="5559"/>
  <c r="O23" i="5551" l="1"/>
  <c r="O15" i="5557"/>
  <c r="O22" i="5553" l="1"/>
  <c r="O17" i="5539"/>
  <c r="O24" i="5545" l="1"/>
  <c r="O15" i="5551"/>
  <c r="O25" i="5535" l="1"/>
  <c r="O17" i="5557"/>
  <c r="O16" i="5539" l="1"/>
  <c r="O23" i="5543"/>
  <c r="O26" i="5533"/>
  <c r="O18" i="5557"/>
  <c r="O16" i="5557"/>
  <c r="C27" i="5557"/>
  <c r="B24" i="5557"/>
  <c r="C20" i="5557"/>
  <c r="B17" i="5557"/>
  <c r="H50" i="5557" s="1"/>
  <c r="C16" i="5557"/>
  <c r="C15" i="5557"/>
  <c r="C14" i="5557"/>
  <c r="C13" i="5557"/>
  <c r="O12" i="5557"/>
  <c r="C12" i="5557"/>
  <c r="O11" i="5557"/>
  <c r="C11" i="5557"/>
  <c r="O10" i="5557"/>
  <c r="C10" i="5557"/>
  <c r="C9" i="5557"/>
  <c r="C8" i="5557"/>
  <c r="O7" i="5557"/>
  <c r="C7" i="5557"/>
  <c r="O6" i="5557"/>
  <c r="B6" i="5557"/>
  <c r="O5" i="5557"/>
  <c r="B5" i="5557"/>
  <c r="O4" i="5557"/>
  <c r="O3" i="5557"/>
  <c r="O2" i="5557"/>
  <c r="O15" i="5555"/>
  <c r="O16" i="5555"/>
  <c r="H40" i="5555"/>
  <c r="H39" i="5555"/>
  <c r="C27" i="5555"/>
  <c r="H25" i="5555"/>
  <c r="B24" i="5555"/>
  <c r="C20" i="5555"/>
  <c r="B17" i="5555"/>
  <c r="H50" i="5555" s="1"/>
  <c r="H16" i="5555"/>
  <c r="C16" i="5555"/>
  <c r="C15" i="5555"/>
  <c r="C14" i="5555"/>
  <c r="C13" i="5555"/>
  <c r="O12" i="5555"/>
  <c r="C12" i="5555"/>
  <c r="O11" i="5555"/>
  <c r="C11" i="5555"/>
  <c r="O10" i="5555"/>
  <c r="C10" i="5555"/>
  <c r="C9" i="5555"/>
  <c r="C8" i="5555"/>
  <c r="O7" i="5555"/>
  <c r="C7" i="5555"/>
  <c r="O6" i="5555"/>
  <c r="B6" i="5555"/>
  <c r="O5" i="5555"/>
  <c r="H5" i="5555"/>
  <c r="B5" i="5555"/>
  <c r="O4" i="5555"/>
  <c r="H4" i="5555"/>
  <c r="O3" i="5555"/>
  <c r="O2" i="5555"/>
  <c r="O23" i="5541"/>
  <c r="O16" i="5535"/>
  <c r="O25" i="5533"/>
  <c r="H25" i="5557" l="1"/>
  <c r="C18" i="5557"/>
  <c r="H32" i="5557"/>
  <c r="H10" i="5557"/>
  <c r="H2" i="5557"/>
  <c r="H8" i="5557"/>
  <c r="H5" i="5557"/>
  <c r="H16" i="5557"/>
  <c r="H39" i="5557"/>
  <c r="H22" i="5557"/>
  <c r="H40" i="5557"/>
  <c r="H12" i="5557"/>
  <c r="H14" i="5557"/>
  <c r="H4" i="5557"/>
  <c r="H9" i="5557"/>
  <c r="H17" i="5557"/>
  <c r="B23" i="5557"/>
  <c r="H31" i="5557"/>
  <c r="H47" i="5557"/>
  <c r="H48" i="5557"/>
  <c r="H19" i="5557"/>
  <c r="H27" i="5557"/>
  <c r="H35" i="5557"/>
  <c r="H43" i="5557"/>
  <c r="H51" i="5557"/>
  <c r="H3" i="5557"/>
  <c r="H6" i="5557"/>
  <c r="H11" i="5557"/>
  <c r="C17" i="5557"/>
  <c r="H24" i="5557"/>
  <c r="H28" i="5557"/>
  <c r="H36" i="5557"/>
  <c r="H44" i="5557"/>
  <c r="H52" i="5557"/>
  <c r="H18" i="5557"/>
  <c r="H20" i="5557"/>
  <c r="H23" i="5557"/>
  <c r="H26" i="5557"/>
  <c r="H29" i="5557"/>
  <c r="H33" i="5557"/>
  <c r="H37" i="5557"/>
  <c r="H41" i="5557"/>
  <c r="H45" i="5557"/>
  <c r="H49" i="5557"/>
  <c r="H7" i="5557"/>
  <c r="H13" i="5557"/>
  <c r="H15" i="5557"/>
  <c r="C19" i="5557"/>
  <c r="H21" i="5557"/>
  <c r="H30" i="5557"/>
  <c r="H34" i="5557"/>
  <c r="H38" i="5557"/>
  <c r="H42" i="5557"/>
  <c r="H46" i="5557"/>
  <c r="H47" i="5555"/>
  <c r="H22" i="5555"/>
  <c r="H2" i="5555"/>
  <c r="H10" i="5555"/>
  <c r="H17" i="5555"/>
  <c r="B23" i="5555"/>
  <c r="H31" i="5555"/>
  <c r="H8" i="5555"/>
  <c r="C18" i="5555"/>
  <c r="H32" i="5555"/>
  <c r="H48" i="5555"/>
  <c r="H9" i="5555"/>
  <c r="H12" i="5555"/>
  <c r="H14" i="5555"/>
  <c r="H27" i="5555"/>
  <c r="H35" i="5555"/>
  <c r="H43" i="5555"/>
  <c r="H51" i="5555"/>
  <c r="H19" i="5555"/>
  <c r="H3" i="5555"/>
  <c r="H6" i="5555"/>
  <c r="H11" i="5555"/>
  <c r="C17" i="5555"/>
  <c r="H24" i="5555"/>
  <c r="H28" i="5555"/>
  <c r="H36" i="5555"/>
  <c r="H44" i="5555"/>
  <c r="H52" i="5555"/>
  <c r="H18" i="5555"/>
  <c r="H20" i="5555"/>
  <c r="H23" i="5555"/>
  <c r="H26" i="5555"/>
  <c r="H29" i="5555"/>
  <c r="H33" i="5555"/>
  <c r="H37" i="5555"/>
  <c r="H41" i="5555"/>
  <c r="H45" i="5555"/>
  <c r="H49" i="5555"/>
  <c r="H7" i="5555"/>
  <c r="H13" i="5555"/>
  <c r="H15" i="5555"/>
  <c r="C19" i="5555"/>
  <c r="H21" i="5555"/>
  <c r="H30" i="5555"/>
  <c r="H34" i="5555"/>
  <c r="H38" i="5555"/>
  <c r="H42" i="5555"/>
  <c r="H46" i="5555"/>
  <c r="O15" i="5543" l="1"/>
  <c r="O21" i="5551"/>
  <c r="O21" i="5553" l="1"/>
  <c r="O20" i="5553"/>
  <c r="O20" i="5547"/>
  <c r="O21" i="5537"/>
  <c r="O24" i="5535" l="1"/>
  <c r="O18" i="5553"/>
  <c r="O23" i="5545"/>
  <c r="O15" i="5553"/>
  <c r="O19" i="5553" l="1"/>
  <c r="O17" i="5553"/>
  <c r="C27" i="5553"/>
  <c r="B24" i="5553"/>
  <c r="C20" i="5553"/>
  <c r="B17" i="5553"/>
  <c r="H50" i="5553" s="1"/>
  <c r="C16" i="5553"/>
  <c r="C15" i="5553"/>
  <c r="C14" i="5553"/>
  <c r="C13" i="5553"/>
  <c r="O12" i="5553"/>
  <c r="C12" i="5553"/>
  <c r="O11" i="5553"/>
  <c r="C11" i="5553"/>
  <c r="O10" i="5553"/>
  <c r="C10" i="5553"/>
  <c r="C9" i="5553"/>
  <c r="C8" i="5553"/>
  <c r="O7" i="5553"/>
  <c r="C7" i="5553"/>
  <c r="O6" i="5553"/>
  <c r="B6" i="5553"/>
  <c r="O5" i="5553"/>
  <c r="B5" i="5553"/>
  <c r="O4" i="5553"/>
  <c r="O3" i="5553"/>
  <c r="O2" i="5553"/>
  <c r="O21" i="5541"/>
  <c r="O21" i="5543"/>
  <c r="O23" i="5533"/>
  <c r="H4" i="5553" l="1"/>
  <c r="H10" i="5553"/>
  <c r="H2" i="5553"/>
  <c r="H8" i="5553"/>
  <c r="C19" i="5553"/>
  <c r="H22" i="5553"/>
  <c r="H25" i="5553"/>
  <c r="H31" i="5553"/>
  <c r="H39" i="5553"/>
  <c r="H47" i="5553"/>
  <c r="C17" i="5553"/>
  <c r="B23" i="5553"/>
  <c r="H32" i="5553"/>
  <c r="H40" i="5553"/>
  <c r="H12" i="5553"/>
  <c r="H17" i="5553"/>
  <c r="H27" i="5553"/>
  <c r="H35" i="5553"/>
  <c r="H43" i="5553"/>
  <c r="H51" i="5553"/>
  <c r="H7" i="5553"/>
  <c r="H13" i="5553"/>
  <c r="H15" i="5553"/>
  <c r="H19" i="5553"/>
  <c r="H48" i="5553"/>
  <c r="H3" i="5553"/>
  <c r="H6" i="5553"/>
  <c r="H9" i="5553"/>
  <c r="H5" i="5553"/>
  <c r="H11" i="5553"/>
  <c r="H14" i="5553"/>
  <c r="H16" i="5553"/>
  <c r="C18" i="5553"/>
  <c r="H21" i="5553"/>
  <c r="H24" i="5553"/>
  <c r="H28" i="5553"/>
  <c r="H36" i="5553"/>
  <c r="H44" i="5553"/>
  <c r="H52" i="5553"/>
  <c r="H18" i="5553"/>
  <c r="H20" i="5553"/>
  <c r="H23" i="5553"/>
  <c r="H26" i="5553"/>
  <c r="H29" i="5553"/>
  <c r="H33" i="5553"/>
  <c r="H37" i="5553"/>
  <c r="H41" i="5553"/>
  <c r="H45" i="5553"/>
  <c r="H49" i="5553"/>
  <c r="H30" i="5553"/>
  <c r="H34" i="5553"/>
  <c r="H38" i="5553"/>
  <c r="H42" i="5553"/>
  <c r="H46" i="5553"/>
  <c r="O18" i="5543" l="1"/>
  <c r="O18" i="5539"/>
  <c r="O21" i="5547"/>
  <c r="O22" i="5547"/>
  <c r="O17" i="5535" l="1"/>
  <c r="O20" i="5551"/>
  <c r="O18" i="5551" l="1"/>
  <c r="O16" i="5551"/>
  <c r="O16" i="5541"/>
  <c r="O24" i="5539"/>
  <c r="O17" i="5549" l="1"/>
  <c r="O22" i="5545"/>
  <c r="O15" i="5549"/>
  <c r="O22" i="5551"/>
  <c r="O15" i="5537"/>
  <c r="O18" i="5547"/>
  <c r="O16" i="5533"/>
  <c r="O19" i="5551"/>
  <c r="O17" i="5551"/>
  <c r="C27" i="5551"/>
  <c r="B24" i="5551"/>
  <c r="C20" i="5551"/>
  <c r="B17" i="5551"/>
  <c r="H50" i="5551" s="1"/>
  <c r="C16" i="5551"/>
  <c r="C15" i="5551"/>
  <c r="C14" i="5551"/>
  <c r="C13" i="5551"/>
  <c r="O12" i="5551"/>
  <c r="C12" i="5551"/>
  <c r="O11" i="5551"/>
  <c r="C11" i="5551"/>
  <c r="O10" i="5551"/>
  <c r="C10" i="5551"/>
  <c r="C9" i="5551"/>
  <c r="C8" i="5551"/>
  <c r="O7" i="5551"/>
  <c r="C7" i="5551"/>
  <c r="O6" i="5551"/>
  <c r="B6" i="5551"/>
  <c r="O5" i="5551"/>
  <c r="B5" i="5551"/>
  <c r="O4" i="5551"/>
  <c r="O3" i="5551"/>
  <c r="O2" i="5551"/>
  <c r="O16" i="5549"/>
  <c r="O18" i="5549"/>
  <c r="H40" i="5549"/>
  <c r="C27" i="5549"/>
  <c r="B24" i="5549"/>
  <c r="B23" i="5549"/>
  <c r="C20" i="5549"/>
  <c r="B17" i="5549"/>
  <c r="H50" i="5549" s="1"/>
  <c r="H16" i="5549"/>
  <c r="C16" i="5549"/>
  <c r="C15" i="5549"/>
  <c r="C14" i="5549"/>
  <c r="C13" i="5549"/>
  <c r="O12" i="5549"/>
  <c r="C12" i="5549"/>
  <c r="O11" i="5549"/>
  <c r="C11" i="5549"/>
  <c r="O10" i="5549"/>
  <c r="C10" i="5549"/>
  <c r="C9" i="5549"/>
  <c r="C8" i="5549"/>
  <c r="O7" i="5549"/>
  <c r="C7" i="5549"/>
  <c r="O6" i="5549"/>
  <c r="B6" i="5549"/>
  <c r="O5" i="5549"/>
  <c r="B5" i="5549"/>
  <c r="O4" i="5549"/>
  <c r="H4" i="5549"/>
  <c r="O3" i="5549"/>
  <c r="O2" i="5549"/>
  <c r="H2" i="5549"/>
  <c r="O23" i="5547"/>
  <c r="O24" i="5547"/>
  <c r="O15" i="5535"/>
  <c r="O20" i="5535"/>
  <c r="O27" i="5533"/>
  <c r="H9" i="5549" l="1"/>
  <c r="H32" i="5549"/>
  <c r="C18" i="5549"/>
  <c r="H48" i="5549"/>
  <c r="H14" i="5549"/>
  <c r="H19" i="5549"/>
  <c r="H43" i="5549"/>
  <c r="H51" i="5549"/>
  <c r="H12" i="5549"/>
  <c r="H27" i="5549"/>
  <c r="H11" i="5549"/>
  <c r="H52" i="5549"/>
  <c r="H35" i="5549"/>
  <c r="H3" i="5549"/>
  <c r="H6" i="5549"/>
  <c r="C17" i="5549"/>
  <c r="H24" i="5549"/>
  <c r="H28" i="5549"/>
  <c r="H36" i="5549"/>
  <c r="H44" i="5549"/>
  <c r="H5" i="5549"/>
  <c r="H8" i="5549"/>
  <c r="H10" i="5549"/>
  <c r="H17" i="5549"/>
  <c r="H22" i="5549"/>
  <c r="H25" i="5549"/>
  <c r="H31" i="5549"/>
  <c r="H39" i="5549"/>
  <c r="H47" i="5549"/>
  <c r="H24" i="5551"/>
  <c r="H3" i="5551"/>
  <c r="H11" i="5551"/>
  <c r="C17" i="5551"/>
  <c r="H22" i="5551"/>
  <c r="H25" i="5551"/>
  <c r="H36" i="5551"/>
  <c r="H52" i="5551"/>
  <c r="H8" i="5551"/>
  <c r="B23" i="5551"/>
  <c r="H39" i="5551"/>
  <c r="H9" i="5551"/>
  <c r="H12" i="5551"/>
  <c r="H14" i="5551"/>
  <c r="H31" i="5551"/>
  <c r="H6" i="5551"/>
  <c r="H5" i="5551"/>
  <c r="H10" i="5551"/>
  <c r="H17" i="5551"/>
  <c r="H2" i="5551"/>
  <c r="H4" i="5551"/>
  <c r="H16" i="5551"/>
  <c r="C18" i="5551"/>
  <c r="H28" i="5551"/>
  <c r="H44" i="5551"/>
  <c r="H47" i="5551"/>
  <c r="H32" i="5551"/>
  <c r="H40" i="5551"/>
  <c r="H48" i="5551"/>
  <c r="H19" i="5551"/>
  <c r="H27" i="5551"/>
  <c r="H35" i="5551"/>
  <c r="H43" i="5551"/>
  <c r="H51" i="5551"/>
  <c r="H18" i="5551"/>
  <c r="H20" i="5551"/>
  <c r="H23" i="5551"/>
  <c r="H26" i="5551"/>
  <c r="H29" i="5551"/>
  <c r="H33" i="5551"/>
  <c r="H37" i="5551"/>
  <c r="H41" i="5551"/>
  <c r="H45" i="5551"/>
  <c r="H49" i="5551"/>
  <c r="H7" i="5551"/>
  <c r="H13" i="5551"/>
  <c r="H15" i="5551"/>
  <c r="C19" i="5551"/>
  <c r="H21" i="5551"/>
  <c r="H30" i="5551"/>
  <c r="H34" i="5551"/>
  <c r="H38" i="5551"/>
  <c r="H42" i="5551"/>
  <c r="H46" i="5551"/>
  <c r="H18" i="5549"/>
  <c r="H20" i="5549"/>
  <c r="H23" i="5549"/>
  <c r="H26" i="5549"/>
  <c r="H29" i="5549"/>
  <c r="H33" i="5549"/>
  <c r="H37" i="5549"/>
  <c r="H41" i="5549"/>
  <c r="H45" i="5549"/>
  <c r="H49" i="5549"/>
  <c r="H7" i="5549"/>
  <c r="H13" i="5549"/>
  <c r="H15" i="5549"/>
  <c r="C19" i="5549"/>
  <c r="H21" i="5549"/>
  <c r="H30" i="5549"/>
  <c r="H34" i="5549"/>
  <c r="H38" i="5549"/>
  <c r="H42" i="5549"/>
  <c r="H46" i="5549"/>
  <c r="O17" i="5547" l="1"/>
  <c r="O21" i="5545"/>
  <c r="O18" i="5545"/>
  <c r="O16" i="5537"/>
  <c r="O17" i="5543" l="1"/>
  <c r="O17" i="5541"/>
  <c r="O17" i="5545"/>
  <c r="O19" i="5545"/>
  <c r="O16" i="5543" l="1"/>
  <c r="O15" i="5541"/>
  <c r="O22" i="5539"/>
  <c r="O21" i="5539"/>
  <c r="O16" i="5547"/>
  <c r="O19" i="5547"/>
  <c r="C27" i="5547"/>
  <c r="B24" i="5547"/>
  <c r="C20" i="5547"/>
  <c r="B17" i="5547"/>
  <c r="H50" i="5547" s="1"/>
  <c r="C16" i="5547"/>
  <c r="C15" i="5547"/>
  <c r="C14" i="5547"/>
  <c r="C13" i="5547"/>
  <c r="O12" i="5547"/>
  <c r="C12" i="5547"/>
  <c r="O11" i="5547"/>
  <c r="C11" i="5547"/>
  <c r="O10" i="5547"/>
  <c r="C10" i="5547"/>
  <c r="C9" i="5547"/>
  <c r="C8" i="5547"/>
  <c r="O7" i="5547"/>
  <c r="C7" i="5547"/>
  <c r="O6" i="5547"/>
  <c r="B6" i="5547"/>
  <c r="O5" i="5547"/>
  <c r="H5" i="5547"/>
  <c r="B5" i="5547"/>
  <c r="O4" i="5547"/>
  <c r="O3" i="5547"/>
  <c r="O2" i="5547"/>
  <c r="O22" i="5541"/>
  <c r="O20" i="5537"/>
  <c r="O22" i="5533"/>
  <c r="H4" i="5547" l="1"/>
  <c r="H25" i="5547"/>
  <c r="C18" i="5547"/>
  <c r="H8" i="5547"/>
  <c r="H16" i="5547"/>
  <c r="H31" i="5547"/>
  <c r="H22" i="5547"/>
  <c r="H2" i="5547"/>
  <c r="H10" i="5547"/>
  <c r="H17" i="5547"/>
  <c r="H39" i="5547"/>
  <c r="H47" i="5547"/>
  <c r="H32" i="5547"/>
  <c r="H48" i="5547"/>
  <c r="H35" i="5547"/>
  <c r="H43" i="5547"/>
  <c r="H51" i="5547"/>
  <c r="B23" i="5547"/>
  <c r="H40" i="5547"/>
  <c r="H9" i="5547"/>
  <c r="H12" i="5547"/>
  <c r="H14" i="5547"/>
  <c r="H19" i="5547"/>
  <c r="H27" i="5547"/>
  <c r="H3" i="5547"/>
  <c r="H6" i="5547"/>
  <c r="H11" i="5547"/>
  <c r="C17" i="5547"/>
  <c r="H24" i="5547"/>
  <c r="H28" i="5547"/>
  <c r="H36" i="5547"/>
  <c r="H44" i="5547"/>
  <c r="H52" i="5547"/>
  <c r="H18" i="5547"/>
  <c r="H20" i="5547"/>
  <c r="H23" i="5547"/>
  <c r="H26" i="5547"/>
  <c r="H29" i="5547"/>
  <c r="H33" i="5547"/>
  <c r="H37" i="5547"/>
  <c r="H41" i="5547"/>
  <c r="H45" i="5547"/>
  <c r="H49" i="5547"/>
  <c r="H7" i="5547"/>
  <c r="H13" i="5547"/>
  <c r="H15" i="5547"/>
  <c r="C19" i="5547"/>
  <c r="H21" i="5547"/>
  <c r="H30" i="5547"/>
  <c r="H34" i="5547"/>
  <c r="H38" i="5547"/>
  <c r="H42" i="5547"/>
  <c r="H46" i="5547"/>
  <c r="O20" i="5539" l="1"/>
  <c r="O20" i="5545"/>
  <c r="O16" i="5545"/>
  <c r="C27" i="5545"/>
  <c r="B24" i="5545"/>
  <c r="C20" i="5545"/>
  <c r="B17" i="5545"/>
  <c r="H52" i="5545" s="1"/>
  <c r="C16" i="5545"/>
  <c r="C15" i="5545"/>
  <c r="C14" i="5545"/>
  <c r="C13" i="5545"/>
  <c r="O12" i="5545"/>
  <c r="C12" i="5545"/>
  <c r="O11" i="5545"/>
  <c r="C11" i="5545"/>
  <c r="O10" i="5545"/>
  <c r="C10" i="5545"/>
  <c r="C9" i="5545"/>
  <c r="C8" i="5545"/>
  <c r="O7" i="5545"/>
  <c r="C7" i="5545"/>
  <c r="O6" i="5545"/>
  <c r="B6" i="5545"/>
  <c r="O5" i="5545"/>
  <c r="B5" i="5545"/>
  <c r="O4" i="5545"/>
  <c r="O3" i="5545"/>
  <c r="O2" i="5545"/>
  <c r="O22" i="5535"/>
  <c r="O18" i="5533"/>
  <c r="O19" i="5543"/>
  <c r="O18" i="5537"/>
  <c r="O19" i="5537"/>
  <c r="O19" i="5541"/>
  <c r="O20" i="5543"/>
  <c r="O22" i="5543"/>
  <c r="C27" i="5543"/>
  <c r="B24" i="5543"/>
  <c r="C20" i="5543"/>
  <c r="B17" i="5543"/>
  <c r="H51" i="5543" s="1"/>
  <c r="C16" i="5543"/>
  <c r="C15" i="5543"/>
  <c r="C14" i="5543"/>
  <c r="C13" i="5543"/>
  <c r="O12" i="5543"/>
  <c r="C12" i="5543"/>
  <c r="O11" i="5543"/>
  <c r="C11" i="5543"/>
  <c r="O10" i="5543"/>
  <c r="C10" i="5543"/>
  <c r="C9" i="5543"/>
  <c r="C8" i="5543"/>
  <c r="O7" i="5543"/>
  <c r="C7" i="5543"/>
  <c r="O6" i="5543"/>
  <c r="B6" i="5543"/>
  <c r="O5" i="5543"/>
  <c r="B5" i="5543"/>
  <c r="O4" i="5543"/>
  <c r="O3" i="5543"/>
  <c r="O2" i="5543"/>
  <c r="O20" i="5541"/>
  <c r="O18" i="5541"/>
  <c r="C27" i="5541"/>
  <c r="B24" i="5541"/>
  <c r="C20" i="5541"/>
  <c r="B17" i="5541"/>
  <c r="H5" i="5541" s="1"/>
  <c r="C16" i="5541"/>
  <c r="C15" i="5541"/>
  <c r="C14" i="5541"/>
  <c r="C13" i="5541"/>
  <c r="O12" i="5541"/>
  <c r="C12" i="5541"/>
  <c r="O11" i="5541"/>
  <c r="C11" i="5541"/>
  <c r="O10" i="5541"/>
  <c r="C10" i="5541"/>
  <c r="C9" i="5541"/>
  <c r="C8" i="5541"/>
  <c r="O7" i="5541"/>
  <c r="C7" i="5541"/>
  <c r="O6" i="5541"/>
  <c r="B6" i="5541"/>
  <c r="O5" i="5541"/>
  <c r="B5" i="5541"/>
  <c r="O4" i="5541"/>
  <c r="O3" i="5541"/>
  <c r="O2" i="5541"/>
  <c r="O18" i="5535"/>
  <c r="O23" i="5535"/>
  <c r="O20" i="5533"/>
  <c r="O21" i="5533"/>
  <c r="H15" i="5541" l="1"/>
  <c r="H6" i="5541"/>
  <c r="H2" i="5545"/>
  <c r="H7" i="5545"/>
  <c r="H4" i="5545"/>
  <c r="H12" i="5545"/>
  <c r="H5" i="5543"/>
  <c r="H19" i="5545"/>
  <c r="H31" i="5545"/>
  <c r="H47" i="5545"/>
  <c r="H6" i="5545"/>
  <c r="H9" i="5545"/>
  <c r="C17" i="5545"/>
  <c r="H24" i="5545"/>
  <c r="H35" i="5545"/>
  <c r="H51" i="5545"/>
  <c r="H3" i="5545"/>
  <c r="H15" i="5545"/>
  <c r="H17" i="5545"/>
  <c r="H21" i="5545"/>
  <c r="H39" i="5545"/>
  <c r="H8" i="5545"/>
  <c r="H10" i="5545"/>
  <c r="H13" i="5545"/>
  <c r="C19" i="5545"/>
  <c r="H22" i="5545"/>
  <c r="H27" i="5545"/>
  <c r="H43" i="5545"/>
  <c r="H18" i="5545"/>
  <c r="H20" i="5545"/>
  <c r="H23" i="5545"/>
  <c r="H26" i="5545"/>
  <c r="H29" i="5545"/>
  <c r="H33" i="5545"/>
  <c r="H37" i="5545"/>
  <c r="H41" i="5545"/>
  <c r="H45" i="5545"/>
  <c r="H49" i="5545"/>
  <c r="H30" i="5545"/>
  <c r="H34" i="5545"/>
  <c r="H38" i="5545"/>
  <c r="H42" i="5545"/>
  <c r="H46" i="5545"/>
  <c r="H50" i="5545"/>
  <c r="H5" i="5545"/>
  <c r="H11" i="5545"/>
  <c r="H14" i="5545"/>
  <c r="H16" i="5545"/>
  <c r="C18" i="5545"/>
  <c r="B23" i="5545"/>
  <c r="H25" i="5545"/>
  <c r="H28" i="5545"/>
  <c r="H32" i="5545"/>
  <c r="H36" i="5545"/>
  <c r="H40" i="5545"/>
  <c r="H44" i="5545"/>
  <c r="H48" i="5545"/>
  <c r="H28" i="5543"/>
  <c r="H41" i="5543"/>
  <c r="H48" i="5543"/>
  <c r="H12" i="5543"/>
  <c r="H32" i="5543"/>
  <c r="C18" i="5543"/>
  <c r="H33" i="5543"/>
  <c r="H49" i="5543"/>
  <c r="H3" i="5543"/>
  <c r="H18" i="5543"/>
  <c r="B23" i="5543"/>
  <c r="H7" i="5543"/>
  <c r="H2" i="5543"/>
  <c r="H10" i="5543"/>
  <c r="H16" i="5543"/>
  <c r="H23" i="5543"/>
  <c r="H40" i="5543"/>
  <c r="H4" i="5541"/>
  <c r="H2" i="5541"/>
  <c r="H3" i="5541"/>
  <c r="H11" i="5541"/>
  <c r="H19" i="5543"/>
  <c r="H25" i="5543"/>
  <c r="H15" i="5543"/>
  <c r="H11" i="5543"/>
  <c r="H36" i="5543"/>
  <c r="H44" i="5543"/>
  <c r="H4" i="5543"/>
  <c r="H9" i="5543"/>
  <c r="H6" i="5543"/>
  <c r="H20" i="5543"/>
  <c r="C17" i="5543"/>
  <c r="H14" i="5543"/>
  <c r="H24" i="5543"/>
  <c r="H37" i="5543"/>
  <c r="H45" i="5543"/>
  <c r="H52" i="5543"/>
  <c r="H26" i="5543"/>
  <c r="H27" i="5543"/>
  <c r="H29" i="5543"/>
  <c r="H30" i="5543"/>
  <c r="H17" i="5543"/>
  <c r="H34" i="5543"/>
  <c r="H38" i="5543"/>
  <c r="H42" i="5543"/>
  <c r="H46" i="5543"/>
  <c r="H50" i="5543"/>
  <c r="H8" i="5543"/>
  <c r="H21" i="5543"/>
  <c r="H22" i="5543"/>
  <c r="C19" i="5543"/>
  <c r="H13" i="5543"/>
  <c r="H31" i="5543"/>
  <c r="H35" i="5543"/>
  <c r="H39" i="5543"/>
  <c r="H43" i="5543"/>
  <c r="H47" i="5543"/>
  <c r="H42" i="5541"/>
  <c r="H33" i="5541"/>
  <c r="H13" i="5541"/>
  <c r="H50" i="5541"/>
  <c r="H28" i="5541"/>
  <c r="B23" i="5541"/>
  <c r="H46" i="5541"/>
  <c r="C17" i="5541"/>
  <c r="H34" i="5541"/>
  <c r="H10" i="5541"/>
  <c r="H7" i="5541"/>
  <c r="H20" i="5541"/>
  <c r="C18" i="5541"/>
  <c r="H25" i="5541"/>
  <c r="H38" i="5541"/>
  <c r="H52" i="5541"/>
  <c r="H29" i="5541"/>
  <c r="H30" i="5541"/>
  <c r="H31" i="5541"/>
  <c r="H32" i="5541"/>
  <c r="H17" i="5541"/>
  <c r="H35" i="5541"/>
  <c r="H39" i="5541"/>
  <c r="H43" i="5541"/>
  <c r="H47" i="5541"/>
  <c r="H51" i="5541"/>
  <c r="H8" i="5541"/>
  <c r="H21" i="5541"/>
  <c r="H22" i="5541"/>
  <c r="C19" i="5541"/>
  <c r="H14" i="5541"/>
  <c r="H24" i="5541"/>
  <c r="H36" i="5541"/>
  <c r="H40" i="5541"/>
  <c r="H44" i="5541"/>
  <c r="H48" i="5541"/>
  <c r="H19" i="5541"/>
  <c r="H27" i="5541"/>
  <c r="H18" i="5541"/>
  <c r="H16" i="5541"/>
  <c r="H23" i="5541"/>
  <c r="H12" i="5541"/>
  <c r="H9" i="5541"/>
  <c r="H26" i="5541"/>
  <c r="H37" i="5541"/>
  <c r="H41" i="5541"/>
  <c r="H45" i="5541"/>
  <c r="H49" i="5541"/>
  <c r="O19" i="5539" l="1"/>
  <c r="O23" i="5539"/>
  <c r="C27" i="5539"/>
  <c r="B24" i="5539"/>
  <c r="C20" i="5539"/>
  <c r="B17" i="5539"/>
  <c r="H52" i="5539" s="1"/>
  <c r="C16" i="5539"/>
  <c r="C15" i="5539"/>
  <c r="C14" i="5539"/>
  <c r="C13" i="5539"/>
  <c r="O12" i="5539"/>
  <c r="C12" i="5539"/>
  <c r="O11" i="5539"/>
  <c r="C11" i="5539"/>
  <c r="O10" i="5539"/>
  <c r="C10" i="5539"/>
  <c r="C9" i="5539"/>
  <c r="C8" i="5539"/>
  <c r="O7" i="5539"/>
  <c r="C7" i="5539"/>
  <c r="O6" i="5539"/>
  <c r="B6" i="5539"/>
  <c r="O5" i="5539"/>
  <c r="B5" i="5539"/>
  <c r="O4" i="5539"/>
  <c r="O3" i="5539"/>
  <c r="O2" i="5539"/>
  <c r="O22" i="5537"/>
  <c r="O17" i="5537"/>
  <c r="C27" i="5537"/>
  <c r="B24" i="5537"/>
  <c r="C20" i="5537"/>
  <c r="B17" i="5537"/>
  <c r="H50" i="5537" s="1"/>
  <c r="C16" i="5537"/>
  <c r="C15" i="5537"/>
  <c r="C14" i="5537"/>
  <c r="C13" i="5537"/>
  <c r="O12" i="5537"/>
  <c r="C12" i="5537"/>
  <c r="O11" i="5537"/>
  <c r="C11" i="5537"/>
  <c r="O10" i="5537"/>
  <c r="C10" i="5537"/>
  <c r="C9" i="5537"/>
  <c r="C8" i="5537"/>
  <c r="O7" i="5537"/>
  <c r="C7" i="5537"/>
  <c r="O6" i="5537"/>
  <c r="B6" i="5537"/>
  <c r="O5" i="5537"/>
  <c r="B5" i="5537"/>
  <c r="O4" i="5537"/>
  <c r="O3" i="5537"/>
  <c r="O2" i="5537"/>
  <c r="O24" i="5533"/>
  <c r="O19" i="5535"/>
  <c r="O21" i="5535"/>
  <c r="C27" i="5535"/>
  <c r="B24" i="5535"/>
  <c r="C20" i="5535"/>
  <c r="B17" i="5535"/>
  <c r="H52" i="5535" s="1"/>
  <c r="C16" i="5535"/>
  <c r="C15" i="5535"/>
  <c r="C14" i="5535"/>
  <c r="C13" i="5535"/>
  <c r="O12" i="5535"/>
  <c r="C12" i="5535"/>
  <c r="O11" i="5535"/>
  <c r="C11" i="5535"/>
  <c r="O10" i="5535"/>
  <c r="C10" i="5535"/>
  <c r="C9" i="5535"/>
  <c r="C8" i="5535"/>
  <c r="O7" i="5535"/>
  <c r="C7" i="5535"/>
  <c r="O6" i="5535"/>
  <c r="B6" i="5535"/>
  <c r="O5" i="5535"/>
  <c r="B5" i="5535"/>
  <c r="O4" i="5535"/>
  <c r="O3" i="5535"/>
  <c r="O2" i="5535"/>
  <c r="O17" i="5533"/>
  <c r="O19" i="5533"/>
  <c r="C27" i="5533"/>
  <c r="B24" i="5533"/>
  <c r="C20" i="5533"/>
  <c r="B17" i="5533"/>
  <c r="H52" i="5533" s="1"/>
  <c r="C16" i="5533"/>
  <c r="C15" i="5533"/>
  <c r="C14" i="5533"/>
  <c r="C13" i="5533"/>
  <c r="O12" i="5533"/>
  <c r="C12" i="5533"/>
  <c r="O11" i="5533"/>
  <c r="C11" i="5533"/>
  <c r="O10" i="5533"/>
  <c r="C10" i="5533"/>
  <c r="C9" i="5533"/>
  <c r="C8" i="5533"/>
  <c r="O7" i="5533"/>
  <c r="C7" i="5533"/>
  <c r="O6" i="5533"/>
  <c r="B6" i="5533"/>
  <c r="O5" i="5533"/>
  <c r="B5" i="5533"/>
  <c r="O4" i="5533"/>
  <c r="O3" i="5533"/>
  <c r="O2" i="5533"/>
  <c r="H9" i="5539" l="1"/>
  <c r="H30" i="5539"/>
  <c r="H38" i="5539"/>
  <c r="C17" i="5539"/>
  <c r="H42" i="5539"/>
  <c r="H2" i="5539"/>
  <c r="C18" i="5539"/>
  <c r="H7" i="5539"/>
  <c r="H22" i="5539"/>
  <c r="H29" i="5539"/>
  <c r="H3" i="5539"/>
  <c r="H4" i="5539"/>
  <c r="H14" i="5539"/>
  <c r="H34" i="5539"/>
  <c r="H4" i="5535"/>
  <c r="H11" i="5535"/>
  <c r="C17" i="5535"/>
  <c r="H2" i="5535"/>
  <c r="B23" i="5539"/>
  <c r="H33" i="5539"/>
  <c r="H46" i="5539"/>
  <c r="H31" i="5539"/>
  <c r="H25" i="5539"/>
  <c r="H18" i="5539"/>
  <c r="H39" i="5539"/>
  <c r="H43" i="5539"/>
  <c r="H51" i="5539"/>
  <c r="H8" i="5539"/>
  <c r="H24" i="5539"/>
  <c r="H17" i="5539"/>
  <c r="C19" i="5539"/>
  <c r="H15" i="5539"/>
  <c r="H27" i="5539"/>
  <c r="H36" i="5539"/>
  <c r="H40" i="5539"/>
  <c r="H44" i="5539"/>
  <c r="H48" i="5539"/>
  <c r="H28" i="5539"/>
  <c r="H32" i="5539"/>
  <c r="H26" i="5539"/>
  <c r="H35" i="5539"/>
  <c r="H47" i="5539"/>
  <c r="H12" i="5539"/>
  <c r="H6" i="5539"/>
  <c r="H11" i="5539"/>
  <c r="H19" i="5539"/>
  <c r="H20" i="5539"/>
  <c r="H16" i="5539"/>
  <c r="H21" i="5539"/>
  <c r="H13" i="5539"/>
  <c r="H10" i="5539"/>
  <c r="H23" i="5539"/>
  <c r="H37" i="5539"/>
  <c r="H41" i="5539"/>
  <c r="H45" i="5539"/>
  <c r="H49" i="5539"/>
  <c r="H5" i="5539"/>
  <c r="H50" i="5539"/>
  <c r="H10" i="5537"/>
  <c r="H8" i="5537"/>
  <c r="H22" i="5537"/>
  <c r="H12" i="5537"/>
  <c r="H17" i="5537"/>
  <c r="B23" i="5537"/>
  <c r="H31" i="5537"/>
  <c r="H5" i="5537"/>
  <c r="C18" i="5537"/>
  <c r="H39" i="5537"/>
  <c r="H4" i="5537"/>
  <c r="H9" i="5537"/>
  <c r="H2" i="5537"/>
  <c r="H16" i="5537"/>
  <c r="H25" i="5537"/>
  <c r="H47" i="5537"/>
  <c r="H32" i="5537"/>
  <c r="H40" i="5537"/>
  <c r="H48" i="5537"/>
  <c r="H19" i="5537"/>
  <c r="H27" i="5537"/>
  <c r="H35" i="5537"/>
  <c r="H43" i="5537"/>
  <c r="H51" i="5537"/>
  <c r="H14" i="5537"/>
  <c r="H3" i="5537"/>
  <c r="H6" i="5537"/>
  <c r="H11" i="5537"/>
  <c r="C17" i="5537"/>
  <c r="H24" i="5537"/>
  <c r="H28" i="5537"/>
  <c r="H36" i="5537"/>
  <c r="H44" i="5537"/>
  <c r="H52" i="5537"/>
  <c r="H18" i="5537"/>
  <c r="H20" i="5537"/>
  <c r="H23" i="5537"/>
  <c r="H26" i="5537"/>
  <c r="H29" i="5537"/>
  <c r="H33" i="5537"/>
  <c r="H37" i="5537"/>
  <c r="H41" i="5537"/>
  <c r="H45" i="5537"/>
  <c r="H49" i="5537"/>
  <c r="H7" i="5537"/>
  <c r="H13" i="5537"/>
  <c r="H15" i="5537"/>
  <c r="C19" i="5537"/>
  <c r="H21" i="5537"/>
  <c r="H30" i="5537"/>
  <c r="H34" i="5537"/>
  <c r="H38" i="5537"/>
  <c r="H42" i="5537"/>
  <c r="H46" i="5537"/>
  <c r="H3" i="5533"/>
  <c r="H2" i="5533"/>
  <c r="H4" i="5533"/>
  <c r="H20" i="5533"/>
  <c r="H8" i="5533"/>
  <c r="H22" i="5533"/>
  <c r="H11" i="5533"/>
  <c r="C17" i="5533"/>
  <c r="H3" i="5535"/>
  <c r="H33" i="5535"/>
  <c r="H34" i="5535"/>
  <c r="H20" i="5535"/>
  <c r="H25" i="5535"/>
  <c r="H18" i="5535"/>
  <c r="H30" i="5535"/>
  <c r="H39" i="5535"/>
  <c r="H43" i="5535"/>
  <c r="H47" i="5535"/>
  <c r="H51" i="5535"/>
  <c r="H9" i="5535"/>
  <c r="H27" i="5535"/>
  <c r="H21" i="5535"/>
  <c r="C19" i="5535"/>
  <c r="H14" i="5535"/>
  <c r="H24" i="5535"/>
  <c r="H36" i="5535"/>
  <c r="H40" i="5535"/>
  <c r="H44" i="5535"/>
  <c r="H48" i="5535"/>
  <c r="H15" i="5535"/>
  <c r="H10" i="5535"/>
  <c r="H7" i="5535"/>
  <c r="H13" i="5535"/>
  <c r="H31" i="5535"/>
  <c r="H19" i="5535"/>
  <c r="H17" i="5535"/>
  <c r="H28" i="5535"/>
  <c r="H12" i="5535"/>
  <c r="H8" i="5535"/>
  <c r="H26" i="5535"/>
  <c r="H37" i="5535"/>
  <c r="H41" i="5535"/>
  <c r="H45" i="5535"/>
  <c r="H49" i="5535"/>
  <c r="H5" i="5535"/>
  <c r="H6" i="5535"/>
  <c r="H22" i="5535"/>
  <c r="H32" i="5535"/>
  <c r="H16" i="5535"/>
  <c r="C18" i="5535"/>
  <c r="B23" i="5535"/>
  <c r="H29" i="5535"/>
  <c r="H23" i="5535"/>
  <c r="H35" i="5535"/>
  <c r="H38" i="5535"/>
  <c r="H42" i="5535"/>
  <c r="H46" i="5535"/>
  <c r="H50" i="5535"/>
  <c r="H12" i="5533"/>
  <c r="C18" i="5533"/>
  <c r="H14" i="5533"/>
  <c r="H10" i="5533"/>
  <c r="H6" i="5533"/>
  <c r="H24" i="5533"/>
  <c r="H7" i="5533"/>
  <c r="H21" i="5533"/>
  <c r="H35" i="5533"/>
  <c r="H15" i="5533"/>
  <c r="C19" i="5533"/>
  <c r="H36" i="5533"/>
  <c r="H37" i="5533"/>
  <c r="H23" i="5533"/>
  <c r="H30" i="5533"/>
  <c r="H17" i="5533"/>
  <c r="H31" i="5533"/>
  <c r="H41" i="5533"/>
  <c r="H44" i="5533"/>
  <c r="H47" i="5533"/>
  <c r="H51" i="5533"/>
  <c r="H25" i="5533"/>
  <c r="H39" i="5533"/>
  <c r="H42" i="5533"/>
  <c r="H45" i="5533"/>
  <c r="H48" i="5533"/>
  <c r="H18" i="5533"/>
  <c r="H19" i="5533"/>
  <c r="H16" i="5533"/>
  <c r="H27" i="5533"/>
  <c r="H13" i="5533"/>
  <c r="H9" i="5533"/>
  <c r="H26" i="5533"/>
  <c r="H32" i="5533"/>
  <c r="H33" i="5533"/>
  <c r="H46" i="5533"/>
  <c r="H49" i="5533"/>
  <c r="H5" i="5533"/>
  <c r="B23" i="5533"/>
  <c r="H28" i="5533"/>
  <c r="H29" i="5533"/>
  <c r="H38" i="5533"/>
  <c r="H40" i="5533"/>
  <c r="H43" i="5533"/>
  <c r="H34" i="5533"/>
  <c r="H50" i="5533"/>
  <c r="H52" i="2228" l="1"/>
  <c r="H51" i="2228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<sst xmlns="http://schemas.openxmlformats.org/spreadsheetml/2006/main" count="3634" uniqueCount="287">
  <si>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</si>
  <si>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</si>
  <si>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</si>
  <si>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</si>
  <si>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</si>
  <si>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</si>
  <si>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</si>
  <si>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</si>
  <si>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</si>
  <si>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</si>
  <si>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</si>
  <si>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</si>
  <si>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</si>
  <si>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</si>
  <si>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</si>
  <si>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</si>
  <si>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</si>
  <si>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</si>
  <si>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</si>
  <si>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</si>
  <si>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</si>
  <si>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</si>
  <si>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</si>
  <si>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</si>
  <si>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</si>
  <si>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</si>
  <si>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</si>
  <si>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</si>
  <si>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</si>
  <si>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</si>
  <si>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</si>
  <si>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</si>
  <si>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</si>
  <si>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</si>
  <si>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</si>
  <si>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</si>
  <si>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</si>
  <si>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</si>
  <si>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</si>
  <si>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</si>
  <si>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</si>
  <si>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</si>
  <si>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</si>
  <si>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</si>
  <si>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</si>
  <si>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</si>
  <si>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</si>
  <si>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</si>
  <si>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</si>
  <si>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</si>
  <si>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</si>
  <si>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</si>
  <si>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</si>
  <si>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</si>
  <si>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</si>
  <si>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</si>
  <si>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</si>
  <si>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</si>
  <si>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</si>
  <si>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</si>
  <si>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</si>
  <si>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</si>
  <si>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</si>
  <si>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</si>
  <si>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</si>
  <si>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</si>
  <si>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</si>
  <si>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</si>
  <si>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</si>
  <si>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</si>
  <si>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</si>
  <si>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</si>
  <si>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</si>
  <si>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</si>
  <si>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</si>
  <si>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</si>
  <si>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</si>
  <si>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</si>
  <si>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</si>
  <si>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</si>
  <si>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</si>
  <si>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</si>
  <si>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</si>
  <si>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</si>
  <si>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</si>
  <si>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</si>
  <si>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</si>
  <si>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</si>
  <si>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</si>
  <si>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</si>
  <si>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</si>
  <si>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</si>
  <si>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</si>
  <si>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</si>
  <si>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</si>
  <si>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</si>
  <si>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</si>
  <si>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</si>
  <si>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</si>
  <si>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</si>
  <si>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</si>
  <si>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</si>
  <si>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</si>
  <si>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</si>
  <si>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</si>
  <si>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</si>
  <si>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</si>
  <si>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</si>
  <si>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</si>
  <si>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</si>
  <si>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</si>
  <si>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</si>
  <si>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</si>
  <si>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</si>
  <si>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</si>
  <si>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</si>
  <si>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</si>
  <si>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</si>
  <si>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</si>
  <si>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</si>
  <si>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</si>
  <si>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</si>
  <si>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</si>
  <si>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</si>
  <si>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</si>
  <si>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</si>
  <si>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</si>
  <si>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</si>
  <si>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</si>
  <si>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</si>
  <si>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</si>
  <si>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</si>
  <si>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</si>
  <si>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</si>
  <si>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</si>
  <si>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</si>
  <si>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</si>
  <si>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</si>
  <si>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</si>
  <si>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</si>
  <si>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</si>
  <si>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</si>
  <si>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</si>
  <si>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</si>
  <si>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</si>
  <si>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</si>
  <si>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</si>
  <si>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</si>
  <si>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</si>
  <si>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</si>
  <si>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</si>
  <si>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</si>
  <si>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</si>
  <si>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</si>
  <si>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</si>
  <si>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</si>
  <si>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</si>
  <si>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</si>
  <si>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</si>
  <si>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</si>
  <si>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</si>
  <si>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</si>
  <si>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</si>
  <si>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</si>
  <si>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</si>
  <si>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</si>
  <si>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</si>
  <si>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</si>
  <si>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</si>
  <si>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</si>
  <si>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</si>
  <si>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</si>
  <si>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</si>
  <si>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</si>
  <si>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</si>
  <si>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</si>
  <si>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</si>
  <si>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</si>
  <si>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</si>
  <si>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</si>
  <si>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</si>
  <si>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</si>
  <si>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</si>
  <si>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</si>
  <si>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</si>
  <si>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</si>
  <si>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</si>
  <si>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</si>
  <si>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</si>
  <si>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</si>
  <si>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</si>
  <si>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</si>
  <si>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</si>
  <si>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</si>
  <si>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</si>
  <si>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</si>
  <si>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</si>
  <si>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</si>
  <si>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</si>
  <si>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</si>
  <si>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</si>
  <si>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</si>
  <si>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</si>
  <si>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</si>
  <si>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</si>
  <si>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</si>
  <si>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</si>
  <si>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</si>
  <si>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</si>
  <si>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</si>
  <si>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</si>
  <si>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</si>
  <si>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</si>
  <si>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</si>
  <si>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</si>
  <si>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</si>
  <si>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</si>
  <si>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</si>
  <si>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</si>
  <si>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</si>
  <si>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</si>
  <si>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</si>
  <si>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</si>
  <si>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</si>
  <si>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</si>
  <si>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</si>
  <si>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</si>
  <si>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</si>
  <si>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</si>
  <si>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</si>
  <si>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</si>
  <si>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</si>
  <si>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</si>
  <si>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</si>
  <si>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</si>
  <si>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</si>
  <si>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</si>
  <si>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</si>
  <si>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</si>
  <si>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</si>
  <si>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</si>
  <si>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</si>
  <si>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</si>
  <si>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</si>
  <si>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</si>
  <si>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</si>
  <si>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</si>
  <si>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</si>
  <si>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</si>
  <si>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</si>
  <si>
    <t>2019-06-07@2.xlsm</t>
  </si>
  <si>
    <t>2019-06-08@2.xlsm</t>
  </si>
  <si>
    <t>2019-06-09@2.xlsm</t>
  </si>
  <si>
    <t>2019-06-11@2.xlsm</t>
  </si>
  <si>
    <t>2019-06-12@2.xlsm</t>
  </si>
  <si>
    <t>2019-06-13@2.xlsm</t>
  </si>
  <si>
    <t>2019-06-14@1.xlsm</t>
  </si>
  <si>
    <t>2019-06-15@1.xlsm</t>
  </si>
  <si>
    <t>2019-06-16@2.xlsm</t>
  </si>
  <si>
    <t>2019-06-18@1.xlsm</t>
  </si>
  <si>
    <t>2019-06-18@2.xlsm</t>
  </si>
  <si>
    <t>2019-06-25@2.xlsm</t>
  </si>
  <si>
    <t>2019-06-26@2.xlsm</t>
  </si>
  <si>
    <t>2019-06-27@1.xlsm</t>
  </si>
  <si>
    <t>2019-06-27@2.xlsm</t>
  </si>
  <si>
    <t>2019-06-28@1.xlsm</t>
  </si>
  <si>
    <t>2019-06-28@2.xlsm</t>
  </si>
  <si>
    <t>2019-06-29@1.xlsm</t>
  </si>
  <si>
    <t>2019-06-30@2.xlsm</t>
  </si>
  <si>
    <t>2019-06-30@1.xlsm</t>
  </si>
  <si>
    <t>2019-07-01@2.xlsm</t>
  </si>
  <si>
    <t>のり</t>
  </si>
  <si>
    <t>2019-07-02@2.xlsm</t>
  </si>
  <si>
    <t>2019-07-04@2.xlsm</t>
  </si>
  <si>
    <t>2019-07-05@2.xlsm</t>
  </si>
  <si>
    <t>2019-07-07@2.xlsm</t>
  </si>
  <si>
    <t>2019-07-09@2.xlsm</t>
  </si>
  <si>
    <t>2019-07-10@1.xlsm</t>
  </si>
  <si>
    <t>2019-07-11@2.xlsm</t>
  </si>
  <si>
    <t>2019-07-12@2.xlsm</t>
  </si>
  <si>
    <t>2019-07-13@2.xlsm</t>
  </si>
  <si>
    <t>2019-07-14@AllStar.xlsm</t>
  </si>
  <si>
    <t>Sheet10</t>
  </si>
  <si>
    <t>Sheet11</t>
  </si>
  <si>
    <t>Sheet12</t>
  </si>
  <si>
    <t>Sheet13</t>
  </si>
  <si>
    <t>2019-07-14@2.xlsm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</si>
</sst>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全体!$K$2:$K$905</c:f>
              <c:numCache>
                <c:formatCode>General</c:formatCode>
                <c:ptCount val="9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</c:numCache>
            </c:numRef>
          </c:xVal>
          <c:yVal>
            <c:numRef>
              <c:f>全体!$L$2:$L$905</c:f>
              <c:numCache>
                <c:formatCode>\+0.0;\-0.0;\±0</c:formatCode>
                <c:ptCount val="904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46.999999999999979</c:v>
                </c:pt>
                <c:pt idx="648">
                  <c:v>-2.1316282072803006E-14</c:v>
                </c:pt>
                <c:pt idx="649">
                  <c:v>-14.300000000000022</c:v>
                </c:pt>
                <c:pt idx="650">
                  <c:v>36.09999999999998</c:v>
                </c:pt>
                <c:pt idx="651">
                  <c:v>-2.1316282072803006E-14</c:v>
                </c:pt>
                <c:pt idx="652">
                  <c:v>-60.90000000000002</c:v>
                </c:pt>
                <c:pt idx="653">
                  <c:v>3.4999999999999858</c:v>
                </c:pt>
                <c:pt idx="654">
                  <c:v>-1.4210854715202004E-14</c:v>
                </c:pt>
                <c:pt idx="655">
                  <c:v>67.799999999999983</c:v>
                </c:pt>
                <c:pt idx="656">
                  <c:v>55.899999999999984</c:v>
                </c:pt>
                <c:pt idx="657">
                  <c:v>-1.4210854715202004E-14</c:v>
                </c:pt>
                <c:pt idx="658">
                  <c:v>-14.900000000000015</c:v>
                </c:pt>
                <c:pt idx="659">
                  <c:v>-51.300000000000011</c:v>
                </c:pt>
                <c:pt idx="660">
                  <c:v>-1.4210854715202004E-14</c:v>
                </c:pt>
                <c:pt idx="661">
                  <c:v>-57.700000000000017</c:v>
                </c:pt>
                <c:pt idx="662">
                  <c:v>-40.100000000000016</c:v>
                </c:pt>
                <c:pt idx="663">
                  <c:v>-1.4210854715202004E-14</c:v>
                </c:pt>
                <c:pt idx="664">
                  <c:v>-1.9000000000000141</c:v>
                </c:pt>
                <c:pt idx="665">
                  <c:v>32.79999999999999</c:v>
                </c:pt>
                <c:pt idx="666">
                  <c:v>-7.1054273576010019E-15</c:v>
                </c:pt>
                <c:pt idx="667">
                  <c:v>11.599999999999993</c:v>
                </c:pt>
                <c:pt idx="668">
                  <c:v>-43.800000000000004</c:v>
                </c:pt>
                <c:pt idx="669">
                  <c:v>-7.1054273576010019E-15</c:v>
                </c:pt>
                <c:pt idx="670">
                  <c:v>-1.0000000000000071</c:v>
                </c:pt>
                <c:pt idx="671">
                  <c:v>-59.000000000000007</c:v>
                </c:pt>
                <c:pt idx="672">
                  <c:v>-7.1054273576010019E-15</c:v>
                </c:pt>
                <c:pt idx="673">
                  <c:v>-1.3000000000000071</c:v>
                </c:pt>
                <c:pt idx="674">
                  <c:v>34.699999999999996</c:v>
                </c:pt>
                <c:pt idx="675">
                  <c:v>-7.1054273576010019E-15</c:v>
                </c:pt>
                <c:pt idx="676">
                  <c:v>-7.4000000000000075</c:v>
                </c:pt>
                <c:pt idx="677">
                  <c:v>-71.100000000000009</c:v>
                </c:pt>
                <c:pt idx="678">
                  <c:v>-1.4210854715202004E-14</c:v>
                </c:pt>
                <c:pt idx="679">
                  <c:v>76.999999999999986</c:v>
                </c:pt>
                <c:pt idx="680">
                  <c:v>-5.0000000000000142</c:v>
                </c:pt>
                <c:pt idx="681">
                  <c:v>-1.4210854715202004E-14</c:v>
                </c:pt>
                <c:pt idx="682">
                  <c:v>92.59999999999998</c:v>
                </c:pt>
                <c:pt idx="683">
                  <c:v>62.299999999999983</c:v>
                </c:pt>
                <c:pt idx="684">
                  <c:v>-1.4210854715202004E-14</c:v>
                </c:pt>
                <c:pt idx="685">
                  <c:v>49.699999999999989</c:v>
                </c:pt>
                <c:pt idx="686">
                  <c:v>38.79999999999999</c:v>
                </c:pt>
                <c:pt idx="687">
                  <c:v>-7.1054273576010019E-15</c:v>
                </c:pt>
                <c:pt idx="688">
                  <c:v>-28.400000000000006</c:v>
                </c:pt>
                <c:pt idx="689">
                  <c:v>57</c:v>
                </c:pt>
                <c:pt idx="690">
                  <c:v>0</c:v>
                </c:pt>
                <c:pt idx="691">
                  <c:v>-47.7</c:v>
                </c:pt>
                <c:pt idx="692">
                  <c:v>-69.300000000000011</c:v>
                </c:pt>
                <c:pt idx="693">
                  <c:v>-1.4210854715202004E-14</c:v>
                </c:pt>
                <c:pt idx="694">
                  <c:v>-32.900000000000013</c:v>
                </c:pt>
                <c:pt idx="695">
                  <c:v>-42.600000000000009</c:v>
                </c:pt>
                <c:pt idx="696">
                  <c:v>-7.1054273576010019E-15</c:v>
                </c:pt>
                <c:pt idx="697">
                  <c:v>11.299999999999994</c:v>
                </c:pt>
                <c:pt idx="698">
                  <c:v>56.3</c:v>
                </c:pt>
                <c:pt idx="699">
                  <c:v>0</c:v>
                </c:pt>
                <c:pt idx="700">
                  <c:v>15</c:v>
                </c:pt>
                <c:pt idx="701">
                  <c:v>60</c:v>
                </c:pt>
                <c:pt idx="702">
                  <c:v>0</c:v>
                </c:pt>
                <c:pt idx="703">
                  <c:v>-50.9</c:v>
                </c:pt>
                <c:pt idx="704">
                  <c:v>1.2000000000000028</c:v>
                </c:pt>
                <c:pt idx="705">
                  <c:v>2.886579864025407E-15</c:v>
                </c:pt>
                <c:pt idx="706">
                  <c:v>-10.799999999999997</c:v>
                </c:pt>
                <c:pt idx="707">
                  <c:v>-52</c:v>
                </c:pt>
                <c:pt idx="708">
                  <c:v>0</c:v>
                </c:pt>
                <c:pt idx="709">
                  <c:v>5.3</c:v>
                </c:pt>
                <c:pt idx="710">
                  <c:v>-26.8</c:v>
                </c:pt>
                <c:pt idx="711">
                  <c:v>0</c:v>
                </c:pt>
                <c:pt idx="712">
                  <c:v>9.4</c:v>
                </c:pt>
                <c:pt idx="713">
                  <c:v>-36.4</c:v>
                </c:pt>
                <c:pt idx="714">
                  <c:v>0</c:v>
                </c:pt>
                <c:pt idx="715">
                  <c:v>-2.2999999999999998</c:v>
                </c:pt>
                <c:pt idx="716">
                  <c:v>-58.9</c:v>
                </c:pt>
                <c:pt idx="717">
                  <c:v>0</c:v>
                </c:pt>
                <c:pt idx="718">
                  <c:v>-24.5</c:v>
                </c:pt>
                <c:pt idx="719">
                  <c:v>56.5</c:v>
                </c:pt>
                <c:pt idx="720">
                  <c:v>0</c:v>
                </c:pt>
                <c:pt idx="721">
                  <c:v>39.200000000000003</c:v>
                </c:pt>
                <c:pt idx="722">
                  <c:v>6.3000000000000043</c:v>
                </c:pt>
                <c:pt idx="723">
                  <c:v>4.4408920985006262E-15</c:v>
                </c:pt>
                <c:pt idx="724">
                  <c:v>-51.699999999999996</c:v>
                </c:pt>
                <c:pt idx="725">
                  <c:v>-38.199999999999996</c:v>
                </c:pt>
                <c:pt idx="726">
                  <c:v>7.1054273576010019E-15</c:v>
                </c:pt>
                <c:pt idx="727">
                  <c:v>-61.699999999999996</c:v>
                </c:pt>
                <c:pt idx="728">
                  <c:v>-91.3</c:v>
                </c:pt>
                <c:pt idx="729">
                  <c:v>0</c:v>
                </c:pt>
                <c:pt idx="730">
                  <c:v>41.6</c:v>
                </c:pt>
                <c:pt idx="731">
                  <c:v>8.7000000000000028</c:v>
                </c:pt>
                <c:pt idx="732">
                  <c:v>3.5527136788005009E-15</c:v>
                </c:pt>
                <c:pt idx="733">
                  <c:v>-55.899999999999991</c:v>
                </c:pt>
                <c:pt idx="734">
                  <c:v>-42.199999999999989</c:v>
                </c:pt>
                <c:pt idx="735">
                  <c:v>1.4210854715202004E-14</c:v>
                </c:pt>
                <c:pt idx="736">
                  <c:v>62.500000000000014</c:v>
                </c:pt>
                <c:pt idx="737">
                  <c:v>5.0000000000000142</c:v>
                </c:pt>
                <c:pt idx="738">
                  <c:v>1.4210854715202004E-14</c:v>
                </c:pt>
                <c:pt idx="739">
                  <c:v>12.200000000000014</c:v>
                </c:pt>
                <c:pt idx="740">
                  <c:v>55.100000000000009</c:v>
                </c:pt>
                <c:pt idx="741">
                  <c:v>7.1054273576010019E-15</c:v>
                </c:pt>
                <c:pt idx="742">
                  <c:v>9.0000000000000071</c:v>
                </c:pt>
                <c:pt idx="743">
                  <c:v>-37.699999999999996</c:v>
                </c:pt>
                <c:pt idx="744">
                  <c:v>7.1054273576010019E-15</c:v>
                </c:pt>
                <c:pt idx="745">
                  <c:v>-11.999999999999993</c:v>
                </c:pt>
                <c:pt idx="746">
                  <c:v>65.099999999999994</c:v>
                </c:pt>
                <c:pt idx="747">
                  <c:v>0</c:v>
                </c:pt>
                <c:pt idx="748">
                  <c:v>14.7</c:v>
                </c:pt>
                <c:pt idx="749">
                  <c:v>75.2</c:v>
                </c:pt>
                <c:pt idx="750">
                  <c:v>0</c:v>
                </c:pt>
                <c:pt idx="751">
                  <c:v>-43.2</c:v>
                </c:pt>
                <c:pt idx="752">
                  <c:v>-39.800000000000004</c:v>
                </c:pt>
                <c:pt idx="753">
                  <c:v>-7.1054273576010019E-15</c:v>
                </c:pt>
                <c:pt idx="754">
                  <c:v>-53.300000000000004</c:v>
                </c:pt>
                <c:pt idx="755">
                  <c:v>-61.600000000000009</c:v>
                </c:pt>
                <c:pt idx="756">
                  <c:v>-7.1054273576010019E-15</c:v>
                </c:pt>
                <c:pt idx="757">
                  <c:v>31.699999999999992</c:v>
                </c:pt>
                <c:pt idx="758">
                  <c:v>-10.100000000000005</c:v>
                </c:pt>
                <c:pt idx="759">
                  <c:v>-5.3290705182007514E-15</c:v>
                </c:pt>
                <c:pt idx="760">
                  <c:v>42.699999999999996</c:v>
                </c:pt>
                <c:pt idx="761">
                  <c:v>-2.6000000000000014</c:v>
                </c:pt>
                <c:pt idx="762">
                  <c:v>-1.3322676295501878E-15</c:v>
                </c:pt>
                <c:pt idx="763">
                  <c:v>62</c:v>
                </c:pt>
                <c:pt idx="764">
                  <c:v>3.8999999999999986</c:v>
                </c:pt>
                <c:pt idx="765">
                  <c:v>-1.3322676295501878E-15</c:v>
                </c:pt>
                <c:pt idx="766">
                  <c:v>35</c:v>
                </c:pt>
                <c:pt idx="767">
                  <c:v>-9.6000000000000014</c:v>
                </c:pt>
                <c:pt idx="768">
                  <c:v>-1.7763568394002505E-15</c:v>
                </c:pt>
                <c:pt idx="769">
                  <c:v>39.299999999999997</c:v>
                </c:pt>
                <c:pt idx="770">
                  <c:v>-19</c:v>
                </c:pt>
                <c:pt idx="771">
                  <c:v>0</c:v>
                </c:pt>
                <c:pt idx="772">
                  <c:v>1.1000000000000001</c:v>
                </c:pt>
                <c:pt idx="773">
                  <c:v>-34.699999999999996</c:v>
                </c:pt>
                <c:pt idx="774">
                  <c:v>7.1054273576010019E-15</c:v>
                </c:pt>
                <c:pt idx="775">
                  <c:v>-32.099999999999994</c:v>
                </c:pt>
                <c:pt idx="776">
                  <c:v>-36.399999999999991</c:v>
                </c:pt>
                <c:pt idx="777">
                  <c:v>7.1054273576010019E-15</c:v>
                </c:pt>
                <c:pt idx="778">
                  <c:v>-7.3999999999999932</c:v>
                </c:pt>
                <c:pt idx="779">
                  <c:v>-66</c:v>
                </c:pt>
                <c:pt idx="780">
                  <c:v>0</c:v>
                </c:pt>
                <c:pt idx="781">
                  <c:v>-55.4</c:v>
                </c:pt>
                <c:pt idx="782">
                  <c:v>-42.599999999999994</c:v>
                </c:pt>
                <c:pt idx="783">
                  <c:v>7.1054273576010019E-15</c:v>
                </c:pt>
                <c:pt idx="784">
                  <c:v>17.800000000000008</c:v>
                </c:pt>
                <c:pt idx="785">
                  <c:v>-49.199999999999989</c:v>
                </c:pt>
                <c:pt idx="786">
                  <c:v>1.4210854715202004E-14</c:v>
                </c:pt>
                <c:pt idx="787">
                  <c:v>-17.899999999999984</c:v>
                </c:pt>
                <c:pt idx="788">
                  <c:v>80.400000000000006</c:v>
                </c:pt>
                <c:pt idx="789">
                  <c:v>0</c:v>
                </c:pt>
                <c:pt idx="790">
                  <c:v>9.5</c:v>
                </c:pt>
                <c:pt idx="791">
                  <c:v>-50</c:v>
                </c:pt>
                <c:pt idx="792">
                  <c:v>0</c:v>
                </c:pt>
                <c:pt idx="793">
                  <c:v>-55.3</c:v>
                </c:pt>
                <c:pt idx="794">
                  <c:v>3.5</c:v>
                </c:pt>
                <c:pt idx="795">
                  <c:v>0</c:v>
                </c:pt>
                <c:pt idx="796">
                  <c:v>31</c:v>
                </c:pt>
                <c:pt idx="797">
                  <c:v>-5</c:v>
                </c:pt>
                <c:pt idx="798">
                  <c:v>0</c:v>
                </c:pt>
                <c:pt idx="799">
                  <c:v>-35.299999999999997</c:v>
                </c:pt>
                <c:pt idx="800">
                  <c:v>-38.9</c:v>
                </c:pt>
                <c:pt idx="801">
                  <c:v>0</c:v>
                </c:pt>
                <c:pt idx="802">
                  <c:v>39.1</c:v>
                </c:pt>
                <c:pt idx="803">
                  <c:v>50</c:v>
                </c:pt>
                <c:pt idx="804">
                  <c:v>-2</c:v>
                </c:pt>
                <c:pt idx="805">
                  <c:v>52.6</c:v>
                </c:pt>
                <c:pt idx="806">
                  <c:v>53.9</c:v>
                </c:pt>
                <c:pt idx="807">
                  <c:v>-2</c:v>
                </c:pt>
                <c:pt idx="808">
                  <c:v>25.5</c:v>
                </c:pt>
                <c:pt idx="809">
                  <c:v>26.5</c:v>
                </c:pt>
                <c:pt idx="810">
                  <c:v>-2</c:v>
                </c:pt>
                <c:pt idx="811">
                  <c:v>31.4</c:v>
                </c:pt>
                <c:pt idx="812">
                  <c:v>-1.8999999999999986</c:v>
                </c:pt>
                <c:pt idx="813">
                  <c:v>-1.9999999999999987</c:v>
                </c:pt>
                <c:pt idx="814">
                  <c:v>36.299999999999997</c:v>
                </c:pt>
                <c:pt idx="815">
                  <c:v>-14.900000000000006</c:v>
                </c:pt>
                <c:pt idx="816">
                  <c:v>-2.0000000000000053</c:v>
                </c:pt>
                <c:pt idx="817">
                  <c:v>45.899999999999991</c:v>
                </c:pt>
                <c:pt idx="818">
                  <c:v>-24.600000000000009</c:v>
                </c:pt>
                <c:pt idx="819">
                  <c:v>-2.0000000000000071</c:v>
                </c:pt>
                <c:pt idx="820">
                  <c:v>-9.6000000000000068</c:v>
                </c:pt>
                <c:pt idx="821">
                  <c:v>-56.600000000000009</c:v>
                </c:pt>
                <c:pt idx="822">
                  <c:v>-2.0000000000000071</c:v>
                </c:pt>
                <c:pt idx="823">
                  <c:v>-36.600000000000009</c:v>
                </c:pt>
                <c:pt idx="824">
                  <c:v>7.0999999999999943</c:v>
                </c:pt>
                <c:pt idx="825">
                  <c:v>-2.0000000000000053</c:v>
                </c:pt>
                <c:pt idx="826">
                  <c:v>-31.500000000000007</c:v>
                </c:pt>
                <c:pt idx="827">
                  <c:v>-32.000000000000007</c:v>
                </c:pt>
                <c:pt idx="828">
                  <c:v>-2.0000000000000071</c:v>
                </c:pt>
                <c:pt idx="829">
                  <c:v>-1.1000000000000072</c:v>
                </c:pt>
                <c:pt idx="830">
                  <c:v>47.79999999999999</c:v>
                </c:pt>
                <c:pt idx="831">
                  <c:v>-2.0000000000000071</c:v>
                </c:pt>
                <c:pt idx="832">
                  <c:v>-25.700000000000006</c:v>
                </c:pt>
                <c:pt idx="833">
                  <c:v>-2.600000000000005</c:v>
                </c:pt>
                <c:pt idx="834">
                  <c:v>-2.0000000000000049</c:v>
                </c:pt>
                <c:pt idx="835">
                  <c:v>6.9999999999999947</c:v>
                </c:pt>
                <c:pt idx="836">
                  <c:v>-33.500000000000007</c:v>
                </c:pt>
                <c:pt idx="837">
                  <c:v>-2.0000000000000071</c:v>
                </c:pt>
                <c:pt idx="838">
                  <c:v>24.899999999999991</c:v>
                </c:pt>
                <c:pt idx="839">
                  <c:v>26.399999999999991</c:v>
                </c:pt>
                <c:pt idx="840">
                  <c:v>-2.0000000000000071</c:v>
                </c:pt>
                <c:pt idx="841">
                  <c:v>-35.800000000000004</c:v>
                </c:pt>
                <c:pt idx="842">
                  <c:v>3.0999999999999943</c:v>
                </c:pt>
                <c:pt idx="843">
                  <c:v>-2.0000000000000053</c:v>
                </c:pt>
                <c:pt idx="844">
                  <c:v>-33.800000000000004</c:v>
                </c:pt>
                <c:pt idx="845">
                  <c:v>-3.5000000000000036</c:v>
                </c:pt>
                <c:pt idx="846">
                  <c:v>-2.0000000000000036</c:v>
                </c:pt>
                <c:pt idx="847">
                  <c:v>-2.8000000000000034</c:v>
                </c:pt>
                <c:pt idx="848">
                  <c:v>24.899999999999995</c:v>
                </c:pt>
                <c:pt idx="849">
                  <c:v>-2.0000000000000036</c:v>
                </c:pt>
                <c:pt idx="850">
                  <c:v>70</c:v>
                </c:pt>
                <c:pt idx="851">
                  <c:v>60</c:v>
                </c:pt>
                <c:pt idx="852">
                  <c:v>-2</c:v>
                </c:pt>
                <c:pt idx="853">
                  <c:v>-34.700000000000003</c:v>
                </c:pt>
                <c:pt idx="854">
                  <c:v>-33.1</c:v>
                </c:pt>
                <c:pt idx="855">
                  <c:v>-2</c:v>
                </c:pt>
                <c:pt idx="856">
                  <c:v>-34.799999999999997</c:v>
                </c:pt>
                <c:pt idx="857">
                  <c:v>1.3000000000000043</c:v>
                </c:pt>
                <c:pt idx="858">
                  <c:v>-1.9999999999999956</c:v>
                </c:pt>
                <c:pt idx="859">
                  <c:v>-3.7999999999999954</c:v>
                </c:pt>
                <c:pt idx="860">
                  <c:v>-30.199999999999996</c:v>
                </c:pt>
                <c:pt idx="861">
                  <c:v>-1.9999999999999964</c:v>
                </c:pt>
                <c:pt idx="862">
                  <c:v>-58.8</c:v>
                </c:pt>
                <c:pt idx="863">
                  <c:v>2.2000000000000028</c:v>
                </c:pt>
                <c:pt idx="864">
                  <c:v>-1.9999999999999973</c:v>
                </c:pt>
                <c:pt idx="865">
                  <c:v>-34.5</c:v>
                </c:pt>
                <c:pt idx="866">
                  <c:v>0.89999999999999858</c:v>
                </c:pt>
                <c:pt idx="867">
                  <c:v>-2.0000000000000013</c:v>
                </c:pt>
                <c:pt idx="868">
                  <c:v>-14.700000000000001</c:v>
                </c:pt>
                <c:pt idx="869">
                  <c:v>40.799999999999997</c:v>
                </c:pt>
                <c:pt idx="870">
                  <c:v>-2</c:v>
                </c:pt>
                <c:pt idx="871">
                  <c:v>-45.1</c:v>
                </c:pt>
                <c:pt idx="872">
                  <c:v>-11.800000000000004</c:v>
                </c:pt>
                <c:pt idx="873">
                  <c:v>-2.0000000000000036</c:v>
                </c:pt>
                <c:pt idx="874">
                  <c:v>24.499999999999996</c:v>
                </c:pt>
                <c:pt idx="875">
                  <c:v>-2.3000000000000043</c:v>
                </c:pt>
                <c:pt idx="876">
                  <c:v>-2.0000000000000044</c:v>
                </c:pt>
                <c:pt idx="877">
                  <c:v>38.79999999999999</c:v>
                </c:pt>
                <c:pt idx="878">
                  <c:v>32.099999999999987</c:v>
                </c:pt>
                <c:pt idx="879">
                  <c:v>-2.0000000000000142</c:v>
                </c:pt>
                <c:pt idx="880">
                  <c:v>-5.0000000000000142</c:v>
                </c:pt>
                <c:pt idx="881">
                  <c:v>35.399999999999984</c:v>
                </c:pt>
                <c:pt idx="882">
                  <c:v>-2.0000000000000142</c:v>
                </c:pt>
                <c:pt idx="883">
                  <c:v>56.799999999999983</c:v>
                </c:pt>
                <c:pt idx="884">
                  <c:v>-1.2000000000000171</c:v>
                </c:pt>
                <c:pt idx="885">
                  <c:v>-2.0000000000000169</c:v>
                </c:pt>
                <c:pt idx="886">
                  <c:v>6.5999999999999828</c:v>
                </c:pt>
                <c:pt idx="887">
                  <c:v>54.09999999999998</c:v>
                </c:pt>
                <c:pt idx="888">
                  <c:v>-2.0000000000000213</c:v>
                </c:pt>
                <c:pt idx="889">
                  <c:v>-37.700000000000024</c:v>
                </c:pt>
                <c:pt idx="890">
                  <c:v>-39.600000000000023</c:v>
                </c:pt>
                <c:pt idx="891">
                  <c:v>-2.0000000000000213</c:v>
                </c:pt>
                <c:pt idx="892">
                  <c:v>3.1999999999999789</c:v>
                </c:pt>
                <c:pt idx="893">
                  <c:v>57.59999999999998</c:v>
                </c:pt>
                <c:pt idx="894">
                  <c:v>-2.0000000000000213</c:v>
                </c:pt>
                <c:pt idx="895">
                  <c:v>-38.600000000000023</c:v>
                </c:pt>
                <c:pt idx="896">
                  <c:v>-2.8000000000000256</c:v>
                </c:pt>
                <c:pt idx="897">
                  <c:v>-2.0000000000000258</c:v>
                </c:pt>
                <c:pt idx="898">
                  <c:v>-31.400000000000023</c:v>
                </c:pt>
                <c:pt idx="899">
                  <c:v>-39.600000000000023</c:v>
                </c:pt>
                <c:pt idx="900">
                  <c:v>-2.0000000000000213</c:v>
                </c:pt>
                <c:pt idx="901">
                  <c:v>-50.300000000000018</c:v>
                </c:pt>
                <c:pt idx="902">
                  <c:v>-55.200000000000017</c:v>
                </c:pt>
                <c:pt idx="903">
                  <c:v>-2.0000000000000142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19-4CAF-8A33-9435A842E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-16.611295681063122</c:v>
                </c:pt>
                <c:pt idx="1">
                  <c:v>-5.6689342403628116</c:v>
                </c:pt>
                <c:pt idx="2">
                  <c:v>12.210012210012209</c:v>
                </c:pt>
                <c:pt idx="3">
                  <c:v>5.2910052910052912</c:v>
                </c:pt>
                <c:pt idx="4">
                  <c:v>-14.749262536873156</c:v>
                </c:pt>
                <c:pt idx="5">
                  <c:v>23.450586264656618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F3-4752-A0E4-2FFA8973E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だいち!$K$2:$K$193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</c:numCache>
            </c:numRef>
          </c:xVal>
          <c:yVal>
            <c:numRef>
              <c:f>だいち!$L$2:$L$193</c:f>
              <c:numCache>
                <c:formatCode>\+0.0;\-0.0;\±0</c:formatCode>
                <c:ptCount val="192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  <c:pt idx="147">
                  <c:v>1763.5000000000009</c:v>
                </c:pt>
                <c:pt idx="148">
                  <c:v>1727.1000000000008</c:v>
                </c:pt>
                <c:pt idx="149">
                  <c:v>1744.7000000000007</c:v>
                </c:pt>
                <c:pt idx="150">
                  <c:v>1788.5000000000007</c:v>
                </c:pt>
                <c:pt idx="151">
                  <c:v>1847.5000000000007</c:v>
                </c:pt>
                <c:pt idx="152">
                  <c:v>1812.8000000000006</c:v>
                </c:pt>
                <c:pt idx="153">
                  <c:v>1805.4000000000005</c:v>
                </c:pt>
                <c:pt idx="154">
                  <c:v>1855.1000000000006</c:v>
                </c:pt>
                <c:pt idx="155">
                  <c:v>1940.5000000000007</c:v>
                </c:pt>
                <c:pt idx="156">
                  <c:v>2009.8000000000006</c:v>
                </c:pt>
                <c:pt idx="157">
                  <c:v>2024.8000000000006</c:v>
                </c:pt>
                <c:pt idx="158">
                  <c:v>1973.9000000000005</c:v>
                </c:pt>
                <c:pt idx="159">
                  <c:v>1932.7000000000005</c:v>
                </c:pt>
                <c:pt idx="160">
                  <c:v>1899.8000000000004</c:v>
                </c:pt>
                <c:pt idx="161">
                  <c:v>1913.3000000000004</c:v>
                </c:pt>
                <c:pt idx="162">
                  <c:v>1955.5000000000005</c:v>
                </c:pt>
                <c:pt idx="163">
                  <c:v>1950.5000000000005</c:v>
                </c:pt>
                <c:pt idx="164">
                  <c:v>1985.5000000000005</c:v>
                </c:pt>
                <c:pt idx="165">
                  <c:v>1995.0000000000005</c:v>
                </c:pt>
                <c:pt idx="166">
                  <c:v>1939.7000000000005</c:v>
                </c:pt>
                <c:pt idx="167">
                  <c:v>1970.7000000000005</c:v>
                </c:pt>
                <c:pt idx="168">
                  <c:v>1935.4000000000005</c:v>
                </c:pt>
                <c:pt idx="169">
                  <c:v>1974.5000000000005</c:v>
                </c:pt>
                <c:pt idx="170">
                  <c:v>2029.1000000000004</c:v>
                </c:pt>
                <c:pt idx="171">
                  <c:v>2029.0000000000005</c:v>
                </c:pt>
                <c:pt idx="172">
                  <c:v>2041.9000000000005</c:v>
                </c:pt>
                <c:pt idx="173">
                  <c:v>2064.5000000000005</c:v>
                </c:pt>
                <c:pt idx="174">
                  <c:v>2119.1000000000004</c:v>
                </c:pt>
                <c:pt idx="175">
                  <c:v>2085.3000000000002</c:v>
                </c:pt>
                <c:pt idx="176">
                  <c:v>2053.5</c:v>
                </c:pt>
                <c:pt idx="177">
                  <c:v>2089.6</c:v>
                </c:pt>
                <c:pt idx="178">
                  <c:v>2063.1999999999998</c:v>
                </c:pt>
                <c:pt idx="179">
                  <c:v>2124.1999999999998</c:v>
                </c:pt>
                <c:pt idx="180">
                  <c:v>2159.6</c:v>
                </c:pt>
                <c:pt idx="181">
                  <c:v>2215.1</c:v>
                </c:pt>
                <c:pt idx="182">
                  <c:v>2248.4</c:v>
                </c:pt>
                <c:pt idx="183">
                  <c:v>2221.6</c:v>
                </c:pt>
                <c:pt idx="184">
                  <c:v>2214.9</c:v>
                </c:pt>
                <c:pt idx="185">
                  <c:v>2255.3000000000002</c:v>
                </c:pt>
                <c:pt idx="186">
                  <c:v>2197.3000000000002</c:v>
                </c:pt>
                <c:pt idx="187">
                  <c:v>2244.8000000000002</c:v>
                </c:pt>
                <c:pt idx="188">
                  <c:v>2242.9</c:v>
                </c:pt>
                <c:pt idx="189">
                  <c:v>2297.3000000000002</c:v>
                </c:pt>
                <c:pt idx="190">
                  <c:v>2334.9</c:v>
                </c:pt>
                <c:pt idx="191">
                  <c:v>2388.1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82-42D7-AB9B-1A50B5A91C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1451.8324607329844</c:v>
                </c:pt>
                <c:pt idx="1">
                  <c:v>2115.5913978494623</c:v>
                </c:pt>
                <c:pt idx="2">
                  <c:v>1019.8863636363636</c:v>
                </c:pt>
                <c:pt idx="3">
                  <c:v>2176.687116564417</c:v>
                </c:pt>
                <c:pt idx="4">
                  <c:v>814.48275862068965</c:v>
                </c:pt>
                <c:pt idx="5">
                  <c:v>1156.3492063492063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7B-459B-9139-43C76CD28B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りくと!$K$2:$K$160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りくと!$L$2:$L$160</c:f>
              <c:numCache>
                <c:formatCode>\+0.0;\-0.0;\±0</c:formatCode>
                <c:ptCount val="159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  <c:pt idx="122">
                  <c:v>-478.00000000000006</c:v>
                </c:pt>
                <c:pt idx="123">
                  <c:v>-426.70000000000005</c:v>
                </c:pt>
                <c:pt idx="124">
                  <c:v>-484.40000000000003</c:v>
                </c:pt>
                <c:pt idx="125">
                  <c:v>-449.70000000000005</c:v>
                </c:pt>
                <c:pt idx="126">
                  <c:v>-438.1</c:v>
                </c:pt>
                <c:pt idx="127">
                  <c:v>-345.5</c:v>
                </c:pt>
                <c:pt idx="128">
                  <c:v>-355.2</c:v>
                </c:pt>
                <c:pt idx="129">
                  <c:v>-310.2</c:v>
                </c:pt>
                <c:pt idx="130">
                  <c:v>-321</c:v>
                </c:pt>
                <c:pt idx="131">
                  <c:v>-323.3</c:v>
                </c:pt>
                <c:pt idx="132">
                  <c:v>-347.8</c:v>
                </c:pt>
                <c:pt idx="133">
                  <c:v>-403.7</c:v>
                </c:pt>
                <c:pt idx="134">
                  <c:v>-341.2</c:v>
                </c:pt>
                <c:pt idx="135">
                  <c:v>-373.3</c:v>
                </c:pt>
                <c:pt idx="136">
                  <c:v>-380.7</c:v>
                </c:pt>
                <c:pt idx="137">
                  <c:v>-440.2</c:v>
                </c:pt>
                <c:pt idx="138">
                  <c:v>-381.4</c:v>
                </c:pt>
                <c:pt idx="139">
                  <c:v>-417.4</c:v>
                </c:pt>
                <c:pt idx="140">
                  <c:v>-421</c:v>
                </c:pt>
                <c:pt idx="141">
                  <c:v>-393.5</c:v>
                </c:pt>
                <c:pt idx="142">
                  <c:v>-360.1</c:v>
                </c:pt>
                <c:pt idx="143">
                  <c:v>-367.70000000000005</c:v>
                </c:pt>
                <c:pt idx="144">
                  <c:v>-324.00000000000006</c:v>
                </c:pt>
                <c:pt idx="145">
                  <c:v>-324.50000000000006</c:v>
                </c:pt>
                <c:pt idx="146">
                  <c:v>-357.30000000000007</c:v>
                </c:pt>
                <c:pt idx="147">
                  <c:v>-359.10000000000008</c:v>
                </c:pt>
                <c:pt idx="148">
                  <c:v>-415.90000000000009</c:v>
                </c:pt>
                <c:pt idx="149">
                  <c:v>-448.40000000000009</c:v>
                </c:pt>
                <c:pt idx="150">
                  <c:v>-461.10000000000008</c:v>
                </c:pt>
                <c:pt idx="151">
                  <c:v>-504.2000000000001</c:v>
                </c:pt>
                <c:pt idx="152">
                  <c:v>-477.7000000000001</c:v>
                </c:pt>
                <c:pt idx="153">
                  <c:v>-436.90000000000009</c:v>
                </c:pt>
                <c:pt idx="154">
                  <c:v>-439.90000000000009</c:v>
                </c:pt>
                <c:pt idx="155">
                  <c:v>-381.10000000000008</c:v>
                </c:pt>
                <c:pt idx="156">
                  <c:v>-372.50000000000006</c:v>
                </c:pt>
                <c:pt idx="157">
                  <c:v>-408.20000000000005</c:v>
                </c:pt>
                <c:pt idx="158">
                  <c:v>-403.00000000000006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BE-4323-973A-1232E955A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598.7341772151899</c:v>
                </c:pt>
                <c:pt idx="1">
                  <c:v>-1425.4901960784314</c:v>
                </c:pt>
                <c:pt idx="2">
                  <c:v>-492.46575342465752</c:v>
                </c:pt>
                <c:pt idx="3">
                  <c:v>-39.694656488549619</c:v>
                </c:pt>
                <c:pt idx="4">
                  <c:v>573.27586206896547</c:v>
                </c:pt>
                <c:pt idx="5">
                  <c:v>-315.09433962264148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87-4F6F-9616-A72DBF8D01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ただ!$K$2:$K$148</c:f>
              <c:numCache>
                <c:formatCode>General</c:formatCode>
                <c:ptCount val="1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</c:numCache>
            </c:numRef>
          </c:xVal>
          <c:yVal>
            <c:numRef>
              <c:f>ただ!$L$2:$L$148</c:f>
              <c:numCache>
                <c:formatCode>\+0.0;\-0.0;\±0</c:formatCode>
                <c:ptCount val="147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  <c:pt idx="91">
                  <c:v>-1253.1000000000001</c:v>
                </c:pt>
                <c:pt idx="92">
                  <c:v>-1291.9000000000001</c:v>
                </c:pt>
                <c:pt idx="93">
                  <c:v>-1348.9</c:v>
                </c:pt>
                <c:pt idx="94">
                  <c:v>-1306.3000000000002</c:v>
                </c:pt>
                <c:pt idx="95">
                  <c:v>-1362.6000000000001</c:v>
                </c:pt>
                <c:pt idx="96">
                  <c:v>-1335.8000000000002</c:v>
                </c:pt>
                <c:pt idx="97">
                  <c:v>-1299.4000000000001</c:v>
                </c:pt>
                <c:pt idx="98">
                  <c:v>-1305.7</c:v>
                </c:pt>
                <c:pt idx="99">
                  <c:v>-1267.5</c:v>
                </c:pt>
                <c:pt idx="100">
                  <c:v>-1255.3</c:v>
                </c:pt>
                <c:pt idx="101">
                  <c:v>-1246.3</c:v>
                </c:pt>
                <c:pt idx="102">
                  <c:v>-1206.5</c:v>
                </c:pt>
                <c:pt idx="103">
                  <c:v>-1144.9000000000001</c:v>
                </c:pt>
                <c:pt idx="104">
                  <c:v>-1134.8000000000002</c:v>
                </c:pt>
                <c:pt idx="105">
                  <c:v>-1138.7000000000003</c:v>
                </c:pt>
                <c:pt idx="106">
                  <c:v>-1119.7000000000003</c:v>
                </c:pt>
                <c:pt idx="107">
                  <c:v>-1085.0000000000002</c:v>
                </c:pt>
                <c:pt idx="108">
                  <c:v>-1048.6000000000001</c:v>
                </c:pt>
                <c:pt idx="109">
                  <c:v>-982.60000000000014</c:v>
                </c:pt>
                <c:pt idx="110">
                  <c:v>-940.00000000000011</c:v>
                </c:pt>
                <c:pt idx="111">
                  <c:v>-890.80000000000007</c:v>
                </c:pt>
                <c:pt idx="112">
                  <c:v>-971.2</c:v>
                </c:pt>
                <c:pt idx="113">
                  <c:v>-921.2</c:v>
                </c:pt>
                <c:pt idx="114">
                  <c:v>-924.7</c:v>
                </c:pt>
                <c:pt idx="115">
                  <c:v>-919.7</c:v>
                </c:pt>
                <c:pt idx="116">
                  <c:v>-880.80000000000007</c:v>
                </c:pt>
                <c:pt idx="117">
                  <c:v>-932.80000000000007</c:v>
                </c:pt>
                <c:pt idx="118">
                  <c:v>-988.7</c:v>
                </c:pt>
                <c:pt idx="119">
                  <c:v>-950.40000000000009</c:v>
                </c:pt>
                <c:pt idx="120">
                  <c:v>-902.50000000000011</c:v>
                </c:pt>
                <c:pt idx="121">
                  <c:v>-911.60000000000014</c:v>
                </c:pt>
                <c:pt idx="122">
                  <c:v>-881.60000000000014</c:v>
                </c:pt>
                <c:pt idx="123">
                  <c:v>-881.00000000000011</c:v>
                </c:pt>
                <c:pt idx="124">
                  <c:v>-849.50000000000011</c:v>
                </c:pt>
                <c:pt idx="125">
                  <c:v>-877.90000000000009</c:v>
                </c:pt>
                <c:pt idx="126">
                  <c:v>-883.00000000000011</c:v>
                </c:pt>
                <c:pt idx="127">
                  <c:v>-881.50000000000011</c:v>
                </c:pt>
                <c:pt idx="128">
                  <c:v>-908.40000000000009</c:v>
                </c:pt>
                <c:pt idx="129">
                  <c:v>-970.40000000000009</c:v>
                </c:pt>
                <c:pt idx="130">
                  <c:v>-939.30000000000007</c:v>
                </c:pt>
                <c:pt idx="131">
                  <c:v>-942.6</c:v>
                </c:pt>
                <c:pt idx="132">
                  <c:v>-914.4</c:v>
                </c:pt>
                <c:pt idx="133">
                  <c:v>-918.6</c:v>
                </c:pt>
                <c:pt idx="134">
                  <c:v>-921.5</c:v>
                </c:pt>
                <c:pt idx="135">
                  <c:v>-964.3</c:v>
                </c:pt>
                <c:pt idx="136">
                  <c:v>-954.5</c:v>
                </c:pt>
                <c:pt idx="137">
                  <c:v>-954.2</c:v>
                </c:pt>
                <c:pt idx="138">
                  <c:v>-988.30000000000007</c:v>
                </c:pt>
                <c:pt idx="139">
                  <c:v>-1025.7</c:v>
                </c:pt>
                <c:pt idx="140">
                  <c:v>-1026.5</c:v>
                </c:pt>
                <c:pt idx="141">
                  <c:v>-1082.5999999999999</c:v>
                </c:pt>
                <c:pt idx="142">
                  <c:v>-1045</c:v>
                </c:pt>
                <c:pt idx="143">
                  <c:v>-1104.5999999999999</c:v>
                </c:pt>
                <c:pt idx="144">
                  <c:v>-1103.8</c:v>
                </c:pt>
                <c:pt idx="145">
                  <c:v>-1133.2</c:v>
                </c:pt>
                <c:pt idx="146">
                  <c:v>-1181.5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36-4C3D-B5F8-127F8D6178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-1987.6712328767123</c:v>
                </c:pt>
                <c:pt idx="1">
                  <c:v>-1661.2676056338028</c:v>
                </c:pt>
                <c:pt idx="2">
                  <c:v>593.23308270676694</c:v>
                </c:pt>
                <c:pt idx="3">
                  <c:v>-2994.1666666666665</c:v>
                </c:pt>
                <c:pt idx="4">
                  <c:v>-241.28440366972478</c:v>
                </c:pt>
                <c:pt idx="5">
                  <c:v>-211.22448979591837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5A-4AE4-8B0C-F78968F55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れんたろう!$L$2:$L$102</c:f>
              <c:numCache>
                <c:formatCode>\+0.0;\-0.0;\±0</c:formatCode>
                <c:ptCount val="101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  <c:pt idx="90">
                  <c:v>1.7000000000000277</c:v>
                </c:pt>
                <c:pt idx="91">
                  <c:v>-9.1999999999999726</c:v>
                </c:pt>
                <c:pt idx="92">
                  <c:v>-69.199999999999974</c:v>
                </c:pt>
                <c:pt idx="93">
                  <c:v>-125.79999999999998</c:v>
                </c:pt>
                <c:pt idx="94">
                  <c:v>-44.799999999999983</c:v>
                </c:pt>
                <c:pt idx="95">
                  <c:v>-1.8999999999999844</c:v>
                </c:pt>
                <c:pt idx="96">
                  <c:v>-48.599999999999987</c:v>
                </c:pt>
                <c:pt idx="97">
                  <c:v>-49.399999999999984</c:v>
                </c:pt>
                <c:pt idx="98">
                  <c:v>22.600000000000016</c:v>
                </c:pt>
                <c:pt idx="99">
                  <c:v>-10.099999999999987</c:v>
                </c:pt>
                <c:pt idx="100">
                  <c:v>-46.699999999999989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CE-4637-8BE4-C5FF10DDA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146</c:v>
                </c:pt>
                <c:pt idx="1">
                  <c:v>661.85567010309273</c:v>
                </c:pt>
                <c:pt idx="2">
                  <c:v>1378.409090909091</c:v>
                </c:pt>
                <c:pt idx="3">
                  <c:v>64.102564102564102</c:v>
                </c:pt>
                <c:pt idx="4">
                  <c:v>-1775.3623188405797</c:v>
                </c:pt>
                <c:pt idx="5">
                  <c:v>-617.74193548387098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50-4C8E-9B86-69AEE83182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たかの!$L$2:$L$102</c:f>
              <c:numCache>
                <c:formatCode>\+0.0;\-0.0;\±0</c:formatCode>
                <c:ptCount val="101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  <c:pt idx="76">
                  <c:v>-36.300000000000018</c:v>
                </c:pt>
                <c:pt idx="77">
                  <c:v>-37.300000000000018</c:v>
                </c:pt>
                <c:pt idx="78">
                  <c:v>-38.600000000000016</c:v>
                </c:pt>
                <c:pt idx="79">
                  <c:v>-67.000000000000014</c:v>
                </c:pt>
                <c:pt idx="80">
                  <c:v>-114.70000000000002</c:v>
                </c:pt>
                <c:pt idx="81">
                  <c:v>-115.90000000000002</c:v>
                </c:pt>
                <c:pt idx="82">
                  <c:v>-110.60000000000002</c:v>
                </c:pt>
                <c:pt idx="83">
                  <c:v>-101.20000000000002</c:v>
                </c:pt>
                <c:pt idx="84">
                  <c:v>-162.90000000000003</c:v>
                </c:pt>
                <c:pt idx="85">
                  <c:v>-121.30000000000004</c:v>
                </c:pt>
                <c:pt idx="86">
                  <c:v>-133.30000000000004</c:v>
                </c:pt>
                <c:pt idx="87">
                  <c:v>-118.60000000000004</c:v>
                </c:pt>
                <c:pt idx="88">
                  <c:v>-163.20000000000005</c:v>
                </c:pt>
                <c:pt idx="89">
                  <c:v>-123.90000000000005</c:v>
                </c:pt>
                <c:pt idx="90">
                  <c:v>-122.80000000000005</c:v>
                </c:pt>
                <c:pt idx="91">
                  <c:v>-121.50000000000006</c:v>
                </c:pt>
                <c:pt idx="92">
                  <c:v>-120.50000000000006</c:v>
                </c:pt>
                <c:pt idx="93">
                  <c:v>-155.10000000000005</c:v>
                </c:pt>
                <c:pt idx="94">
                  <c:v>-184.60000000000005</c:v>
                </c:pt>
                <c:pt idx="95">
                  <c:v>-161.50000000000006</c:v>
                </c:pt>
                <c:pt idx="96">
                  <c:v>-202.00000000000006</c:v>
                </c:pt>
                <c:pt idx="97">
                  <c:v>-200.50000000000006</c:v>
                </c:pt>
                <c:pt idx="98">
                  <c:v>-164.70000000000005</c:v>
                </c:pt>
                <c:pt idx="99">
                  <c:v>-172.90000000000003</c:v>
                </c:pt>
                <c:pt idx="100">
                  <c:v>-177.80000000000004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EB-45C0-8B04-B8A8BD9EC8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134</c:v>
                </c:pt>
                <c:pt idx="1">
                  <c:v>-1281</c:v>
                </c:pt>
                <c:pt idx="2">
                  <c:v>-752.22222222222217</c:v>
                </c:pt>
                <c:pt idx="3">
                  <c:v>1100</c:v>
                </c:pt>
                <c:pt idx="4">
                  <c:v>-126.25</c:v>
                </c:pt>
                <c:pt idx="5">
                  <c:v>-449.27536231884056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28-4CF9-A461-A39552344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ぱぱ!$K$2:$K$55</c:f>
              <c:numCache>
                <c:formatCode>General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ぱぱ!$L$2:$L$55</c:f>
              <c:numCache>
                <c:formatCode>\+0.0;\-0.0;\±0</c:formatCode>
                <c:ptCount val="54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  <c:pt idx="46">
                  <c:v>-377.4</c:v>
                </c:pt>
                <c:pt idx="47">
                  <c:v>-439.7</c:v>
                </c:pt>
                <c:pt idx="48">
                  <c:v>-387.7</c:v>
                </c:pt>
                <c:pt idx="49">
                  <c:v>-433</c:v>
                </c:pt>
                <c:pt idx="50">
                  <c:v>-437.3</c:v>
                </c:pt>
                <c:pt idx="51">
                  <c:v>-495.90000000000003</c:v>
                </c:pt>
                <c:pt idx="52">
                  <c:v>-397.6</c:v>
                </c:pt>
                <c:pt idx="53">
                  <c:v>-396.70000000000005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BF-4316-AB27-2BCA8452A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-2686.7924528301887</c:v>
                </c:pt>
                <c:pt idx="1">
                  <c:v>1784.9056603773586</c:v>
                </c:pt>
                <c:pt idx="2">
                  <c:v>-1194</c:v>
                </c:pt>
                <c:pt idx="3">
                  <c:v>-4158.695652173913</c:v>
                </c:pt>
                <c:pt idx="4">
                  <c:v>-251.21951219512195</c:v>
                </c:pt>
                <c:pt idx="5">
                  <c:v>-55.263157894736842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B1-4175-930B-C084A52E5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まっつん!$K$2:$K$98</c:f>
              <c:numCache>
                <c:formatCode>General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まっつん!$L$2:$L$98</c:f>
              <c:numCache>
                <c:formatCode>\+0.0;\-0.0;\±0</c:formatCode>
                <c:ptCount val="97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  <c:pt idx="69">
                  <c:v>330.40000000000003</c:v>
                </c:pt>
                <c:pt idx="70">
                  <c:v>382.50000000000006</c:v>
                </c:pt>
                <c:pt idx="71">
                  <c:v>350.40000000000003</c:v>
                </c:pt>
                <c:pt idx="72">
                  <c:v>304.60000000000002</c:v>
                </c:pt>
                <c:pt idx="73">
                  <c:v>275</c:v>
                </c:pt>
                <c:pt idx="74">
                  <c:v>242.1</c:v>
                </c:pt>
                <c:pt idx="75">
                  <c:v>255.79999999999998</c:v>
                </c:pt>
                <c:pt idx="76">
                  <c:v>198.29999999999998</c:v>
                </c:pt>
                <c:pt idx="77">
                  <c:v>201.7</c:v>
                </c:pt>
                <c:pt idx="78">
                  <c:v>193.39999999999998</c:v>
                </c:pt>
                <c:pt idx="79">
                  <c:v>151.59999999999997</c:v>
                </c:pt>
                <c:pt idx="80">
                  <c:v>154.19999999999996</c:v>
                </c:pt>
                <c:pt idx="81">
                  <c:v>216.19999999999996</c:v>
                </c:pt>
                <c:pt idx="82">
                  <c:v>225.79999999999995</c:v>
                </c:pt>
                <c:pt idx="83">
                  <c:v>167.49999999999994</c:v>
                </c:pt>
                <c:pt idx="84">
                  <c:v>131.69999999999993</c:v>
                </c:pt>
                <c:pt idx="85">
                  <c:v>103.19999999999993</c:v>
                </c:pt>
                <c:pt idx="86">
                  <c:v>69.899999999999935</c:v>
                </c:pt>
                <c:pt idx="87">
                  <c:v>18.699999999999932</c:v>
                </c:pt>
                <c:pt idx="88">
                  <c:v>-51.800000000000068</c:v>
                </c:pt>
                <c:pt idx="89">
                  <c:v>-75.500000000000071</c:v>
                </c:pt>
                <c:pt idx="90">
                  <c:v>-66.500000000000071</c:v>
                </c:pt>
                <c:pt idx="91">
                  <c:v>-39.600000000000072</c:v>
                </c:pt>
                <c:pt idx="92">
                  <c:v>-0.7000000000000739</c:v>
                </c:pt>
                <c:pt idx="93">
                  <c:v>29.599999999999927</c:v>
                </c:pt>
                <c:pt idx="94">
                  <c:v>57.299999999999926</c:v>
                </c:pt>
                <c:pt idx="95">
                  <c:v>47.299999999999926</c:v>
                </c:pt>
                <c:pt idx="96">
                  <c:v>48.899999999999928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61-471E-8B12-3D0FFC58E3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937.5</c:v>
                </c:pt>
                <c:pt idx="1">
                  <c:v>205.43478260869566</c:v>
                </c:pt>
                <c:pt idx="2">
                  <c:v>-298.8095238095238</c:v>
                </c:pt>
                <c:pt idx="3">
                  <c:v>1405</c:v>
                </c:pt>
                <c:pt idx="4">
                  <c:v>-1846.5753424657535</c:v>
                </c:pt>
                <c:pt idx="5">
                  <c:v>793.44262295081967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98-40C9-B230-4E521BBBD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28-4CA5-BEF3-B2B8C92CB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5B-461D-8DF7-C91DAE3F5B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いっしー!$L$2:$L$26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-84.399999999999991</c:v>
                </c:pt>
                <c:pt idx="16">
                  <c:v>-139.79999999999998</c:v>
                </c:pt>
                <c:pt idx="17">
                  <c:v>-203.5</c:v>
                </c:pt>
                <c:pt idx="18">
                  <c:v>-126.5</c:v>
                </c:pt>
                <c:pt idx="19">
                  <c:v>-67.599999999999994</c:v>
                </c:pt>
                <c:pt idx="20">
                  <c:v>-124.1</c:v>
                </c:pt>
                <c:pt idx="21">
                  <c:v>-189.2</c:v>
                </c:pt>
                <c:pt idx="22">
                  <c:v>-264.39999999999998</c:v>
                </c:pt>
                <c:pt idx="23">
                  <c:v>-253.49999999999997</c:v>
                </c:pt>
                <c:pt idx="24">
                  <c:v>-300.5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79-433A-B0AC-04DAD70D7B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-408.33333333333331</c:v>
                </c:pt>
                <c:pt idx="1">
                  <c:v>-4537.5</c:v>
                </c:pt>
                <c:pt idx="2">
                  <c:v>-70</c:v>
                </c:pt>
                <c:pt idx="3">
                  <c:v>-3300</c:v>
                </c:pt>
                <c:pt idx="4">
                  <c:v>-1533.3333333333333</c:v>
                </c:pt>
                <c:pt idx="5">
                  <c:v>-3320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ED-4F0F-8D7C-772F6BEBA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ほたに!$L$2:$L$21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35-4DE7-BD96-2C80EE4E31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-1789.4736842105262</c:v>
                </c:pt>
                <c:pt idx="1">
                  <c:v>2684.2105263157896</c:v>
                </c:pt>
                <c:pt idx="2">
                  <c:v>-6316.666666666667</c:v>
                </c:pt>
                <c:pt idx="3">
                  <c:v>-950</c:v>
                </c:pt>
                <c:pt idx="4">
                  <c:v>9793.3333333333339</c:v>
                </c:pt>
                <c:pt idx="5">
                  <c:v>853.84615384615381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33-4EC0-B31A-14F3CEC40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47-4543-BDFD-6A48066D5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B2-4F13-B886-7A9F45188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  <c:pt idx="3">
                  <c:v>14.500000000000004</c:v>
                </c:pt>
                <c:pt idx="4">
                  <c:v>-37.200000000000003</c:v>
                </c:pt>
                <c:pt idx="5">
                  <c:v>39.899999999999991</c:v>
                </c:pt>
                <c:pt idx="6">
                  <c:v>100.39999999999999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19-4260-AA71-52008D69A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-1083.3333333333333</c:v>
                </c:pt>
                <c:pt idx="1">
                  <c:v>10800</c:v>
                </c:pt>
                <c:pt idx="2">
                  <c:v>-3000</c:v>
                </c:pt>
                <c:pt idx="3">
                  <c:v>6360</c:v>
                </c:pt>
                <c:pt idx="4">
                  <c:v>-50</c:v>
                </c:pt>
                <c:pt idx="5">
                  <c:v>1833.3333333333333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17-4150-A684-133B09CABC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65-4577-AB39-0957471A2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-5416.666666666667</c:v>
                </c:pt>
                <c:pt idx="1">
                  <c:v>-3366.6666666666665</c:v>
                </c:pt>
                <c:pt idx="2">
                  <c:v>360</c:v>
                </c:pt>
                <c:pt idx="3">
                  <c:v>5680</c:v>
                </c:pt>
                <c:pt idx="4">
                  <c:v>-6525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1E-4FC2-8E9F-18EA55C984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たかの2!$B$1:$B$2</c:f>
              <c:strCache>
                <c:ptCount val="2"/>
                <c:pt idx="0">
                  <c:v>たかの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たかの2!$A$3:$A$103</c:f>
              <c:numCache>
                <c:formatCode>0\ "回"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たかの2!$B$3:$B$103</c:f>
              <c:numCache>
                <c:formatCode>\+0.0;\-0.0;\±0</c:formatCode>
                <c:ptCount val="101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  <c:pt idx="76">
                  <c:v>-36.300000000000018</c:v>
                </c:pt>
                <c:pt idx="77">
                  <c:v>-37.300000000000018</c:v>
                </c:pt>
                <c:pt idx="78">
                  <c:v>-38.600000000000016</c:v>
                </c:pt>
                <c:pt idx="79">
                  <c:v>-67.000000000000014</c:v>
                </c:pt>
                <c:pt idx="80">
                  <c:v>-114.70000000000002</c:v>
                </c:pt>
                <c:pt idx="81">
                  <c:v>-115.90000000000002</c:v>
                </c:pt>
                <c:pt idx="82">
                  <c:v>-110.60000000000002</c:v>
                </c:pt>
                <c:pt idx="83">
                  <c:v>-101.20000000000002</c:v>
                </c:pt>
                <c:pt idx="84">
                  <c:v>-162.90000000000003</c:v>
                </c:pt>
                <c:pt idx="85">
                  <c:v>-121.30000000000004</c:v>
                </c:pt>
                <c:pt idx="86">
                  <c:v>-133.30000000000004</c:v>
                </c:pt>
                <c:pt idx="87">
                  <c:v>-118.60000000000004</c:v>
                </c:pt>
                <c:pt idx="88">
                  <c:v>-163.20000000000005</c:v>
                </c:pt>
                <c:pt idx="89">
                  <c:v>-123.90000000000005</c:v>
                </c:pt>
                <c:pt idx="90">
                  <c:v>-122.80000000000005</c:v>
                </c:pt>
                <c:pt idx="91">
                  <c:v>-121.50000000000006</c:v>
                </c:pt>
                <c:pt idx="92">
                  <c:v>-120.50000000000006</c:v>
                </c:pt>
                <c:pt idx="93">
                  <c:v>-155.10000000000005</c:v>
                </c:pt>
                <c:pt idx="94">
                  <c:v>-184.60000000000005</c:v>
                </c:pt>
                <c:pt idx="95">
                  <c:v>-161.50000000000006</c:v>
                </c:pt>
                <c:pt idx="96">
                  <c:v>-202.00000000000006</c:v>
                </c:pt>
                <c:pt idx="97">
                  <c:v>-200.50000000000006</c:v>
                </c:pt>
                <c:pt idx="98">
                  <c:v>-164.70000000000005</c:v>
                </c:pt>
                <c:pt idx="99">
                  <c:v>-172.90000000000003</c:v>
                </c:pt>
                <c:pt idx="100">
                  <c:v>-177.80000000000004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00000000000001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たかの2!$C$1:$C$2</c:f>
              <c:strCache>
                <c:ptCount val="2"/>
                <c:pt idx="0">
                  <c:v>たかの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たかの2!$A$3:$A$103</c:f>
              <c:numCache>
                <c:formatCode>0\ "回"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たかの2!$C$3:$C$103</c:f>
              <c:numCache>
                <c:formatCode>\+0.0;\-0.0;\±0</c:formatCode>
                <c:ptCount val="101"/>
                <c:pt idx="1">
                  <c:v>11.1</c:v>
                </c:pt>
                <c:pt idx="2">
                  <c:v>-3.8500000000000005</c:v>
                </c:pt>
                <c:pt idx="3">
                  <c:v>0.59999999999999964</c:v>
                </c:pt>
                <c:pt idx="4">
                  <c:v>8.7249999999999996</c:v>
                </c:pt>
                <c:pt idx="5">
                  <c:v>5.88</c:v>
                </c:pt>
                <c:pt idx="6">
                  <c:v>0.71666666666666623</c:v>
                </c:pt>
                <c:pt idx="7">
                  <c:v>1.1142857142857139</c:v>
                </c:pt>
                <c:pt idx="8">
                  <c:v>-3.6875</c:v>
                </c:pt>
                <c:pt idx="9">
                  <c:v>-6.2777777777777777</c:v>
                </c:pt>
                <c:pt idx="10">
                  <c:v>2.4200000000000004</c:v>
                </c:pt>
                <c:pt idx="11">
                  <c:v>6.745454545454546</c:v>
                </c:pt>
                <c:pt idx="12">
                  <c:v>3.8416666666666668</c:v>
                </c:pt>
                <c:pt idx="13">
                  <c:v>-0.23076923076923078</c:v>
                </c:pt>
                <c:pt idx="14">
                  <c:v>-0.87857142857142867</c:v>
                </c:pt>
                <c:pt idx="15">
                  <c:v>-5.3533333333333335</c:v>
                </c:pt>
                <c:pt idx="16">
                  <c:v>-5.4749999999999996</c:v>
                </c:pt>
                <c:pt idx="17">
                  <c:v>-3.2411764705882349</c:v>
                </c:pt>
                <c:pt idx="18">
                  <c:v>-1.5666666666666664</c:v>
                </c:pt>
                <c:pt idx="19">
                  <c:v>1.536842105263158</c:v>
                </c:pt>
                <c:pt idx="20">
                  <c:v>2.15</c:v>
                </c:pt>
                <c:pt idx="21">
                  <c:v>4.2809523809523808</c:v>
                </c:pt>
                <c:pt idx="22">
                  <c:v>2.4863636363636363</c:v>
                </c:pt>
                <c:pt idx="23">
                  <c:v>-0.23478260869565212</c:v>
                </c:pt>
                <c:pt idx="24">
                  <c:v>2.8708333333333336</c:v>
                </c:pt>
                <c:pt idx="25">
                  <c:v>1.2160000000000002</c:v>
                </c:pt>
                <c:pt idx="26">
                  <c:v>1.2653846153846156</c:v>
                </c:pt>
                <c:pt idx="27">
                  <c:v>1.4962962962962965</c:v>
                </c:pt>
                <c:pt idx="28">
                  <c:v>0.2964285714285716</c:v>
                </c:pt>
                <c:pt idx="29">
                  <c:v>3.1310344827586212</c:v>
                </c:pt>
                <c:pt idx="30">
                  <c:v>2.1100000000000003</c:v>
                </c:pt>
                <c:pt idx="31">
                  <c:v>3.6903225806451614</c:v>
                </c:pt>
                <c:pt idx="32">
                  <c:v>2.4031250000000002</c:v>
                </c:pt>
                <c:pt idx="33">
                  <c:v>1.2878787878787881</c:v>
                </c:pt>
                <c:pt idx="34">
                  <c:v>0.2882352941176472</c:v>
                </c:pt>
                <c:pt idx="35">
                  <c:v>-0.23714285714285707</c:v>
                </c:pt>
                <c:pt idx="36">
                  <c:v>-0.26944444444444438</c:v>
                </c:pt>
                <c:pt idx="37">
                  <c:v>0.81081081081081097</c:v>
                </c:pt>
                <c:pt idx="38">
                  <c:v>0.84473684210526334</c:v>
                </c:pt>
                <c:pt idx="39">
                  <c:v>1.6102564102564105</c:v>
                </c:pt>
                <c:pt idx="40">
                  <c:v>0.94250000000000023</c:v>
                </c:pt>
                <c:pt idx="41">
                  <c:v>1.1439024390243904</c:v>
                </c:pt>
                <c:pt idx="42">
                  <c:v>1.0071428571428573</c:v>
                </c:pt>
                <c:pt idx="43">
                  <c:v>-0.76744186046511609</c:v>
                </c:pt>
                <c:pt idx="44">
                  <c:v>-0.63636363636363624</c:v>
                </c:pt>
                <c:pt idx="45">
                  <c:v>-0.56222222222222207</c:v>
                </c:pt>
                <c:pt idx="46">
                  <c:v>0.28043478260869587</c:v>
                </c:pt>
                <c:pt idx="47">
                  <c:v>0.9765957446808512</c:v>
                </c:pt>
                <c:pt idx="48">
                  <c:v>2.3208333333333333</c:v>
                </c:pt>
                <c:pt idx="49">
                  <c:v>2.306122448979592</c:v>
                </c:pt>
                <c:pt idx="50">
                  <c:v>2.1259999999999999</c:v>
                </c:pt>
                <c:pt idx="51">
                  <c:v>2.2235294117647055</c:v>
                </c:pt>
                <c:pt idx="52">
                  <c:v>1.9</c:v>
                </c:pt>
                <c:pt idx="53">
                  <c:v>1.2301886792452827</c:v>
                </c:pt>
                <c:pt idx="54">
                  <c:v>1.0296296296296295</c:v>
                </c:pt>
                <c:pt idx="55">
                  <c:v>0.63090909090909075</c:v>
                </c:pt>
                <c:pt idx="56">
                  <c:v>-0.1428571428571431</c:v>
                </c:pt>
                <c:pt idx="57">
                  <c:v>-0.10526315789473709</c:v>
                </c:pt>
                <c:pt idx="58">
                  <c:v>-6.8965517241381825E-3</c:v>
                </c:pt>
                <c:pt idx="59">
                  <c:v>0.37288135593220317</c:v>
                </c:pt>
                <c:pt idx="60">
                  <c:v>1.1166666666666665</c:v>
                </c:pt>
                <c:pt idx="61">
                  <c:v>0.65245901639344239</c:v>
                </c:pt>
                <c:pt idx="62">
                  <c:v>0.12903225806451585</c:v>
                </c:pt>
                <c:pt idx="63">
                  <c:v>0.71587301587301555</c:v>
                </c:pt>
                <c:pt idx="64">
                  <c:v>0.71718749999999964</c:v>
                </c:pt>
                <c:pt idx="65">
                  <c:v>0.58769230769230729</c:v>
                </c:pt>
                <c:pt idx="66">
                  <c:v>-8.1818181818182234E-2</c:v>
                </c:pt>
                <c:pt idx="67">
                  <c:v>2.8358208955223476E-2</c:v>
                </c:pt>
                <c:pt idx="68">
                  <c:v>-0.58088235294117685</c:v>
                </c:pt>
                <c:pt idx="69">
                  <c:v>-0.11014492753623231</c:v>
                </c:pt>
                <c:pt idx="70">
                  <c:v>-0.45714285714285757</c:v>
                </c:pt>
                <c:pt idx="71">
                  <c:v>-1.0788732394366201</c:v>
                </c:pt>
                <c:pt idx="72">
                  <c:v>-0.95000000000000029</c:v>
                </c:pt>
                <c:pt idx="73">
                  <c:v>-1.7712328767123289</c:v>
                </c:pt>
                <c:pt idx="74">
                  <c:v>-0.83108108108108125</c:v>
                </c:pt>
                <c:pt idx="75">
                  <c:v>-1.0186666666666668</c:v>
                </c:pt>
                <c:pt idx="76">
                  <c:v>-0.47763157894736868</c:v>
                </c:pt>
                <c:pt idx="77">
                  <c:v>-0.48441558441558463</c:v>
                </c:pt>
                <c:pt idx="78">
                  <c:v>-0.49487179487179506</c:v>
                </c:pt>
                <c:pt idx="79">
                  <c:v>-0.848101265822785</c:v>
                </c:pt>
                <c:pt idx="80">
                  <c:v>-1.4337500000000003</c:v>
                </c:pt>
                <c:pt idx="81">
                  <c:v>-1.4308641975308645</c:v>
                </c:pt>
                <c:pt idx="82">
                  <c:v>-1.3487804878048784</c:v>
                </c:pt>
                <c:pt idx="83">
                  <c:v>-1.219277108433735</c:v>
                </c:pt>
                <c:pt idx="84">
                  <c:v>-1.9392857142857147</c:v>
                </c:pt>
                <c:pt idx="85">
                  <c:v>-1.4270588235294122</c:v>
                </c:pt>
                <c:pt idx="86">
                  <c:v>-1.5500000000000005</c:v>
                </c:pt>
                <c:pt idx="87">
                  <c:v>-1.3632183908045981</c:v>
                </c:pt>
                <c:pt idx="88">
                  <c:v>-1.8545454545454552</c:v>
                </c:pt>
                <c:pt idx="89">
                  <c:v>-1.3921348314606747</c:v>
                </c:pt>
                <c:pt idx="90">
                  <c:v>-1.364444444444445</c:v>
                </c:pt>
                <c:pt idx="91">
                  <c:v>-1.3351648351648358</c:v>
                </c:pt>
                <c:pt idx="92">
                  <c:v>-1.3097826086956528</c:v>
                </c:pt>
                <c:pt idx="93">
                  <c:v>-1.6677419354838716</c:v>
                </c:pt>
                <c:pt idx="94">
                  <c:v>-1.9638297872340431</c:v>
                </c:pt>
                <c:pt idx="95">
                  <c:v>-1.7000000000000006</c:v>
                </c:pt>
                <c:pt idx="96">
                  <c:v>-2.1041666666666674</c:v>
                </c:pt>
                <c:pt idx="97">
                  <c:v>-2.0670103092783512</c:v>
                </c:pt>
                <c:pt idx="98">
                  <c:v>-1.6806122448979597</c:v>
                </c:pt>
                <c:pt idx="99">
                  <c:v>-1.7464646464646467</c:v>
                </c:pt>
                <c:pt idx="100">
                  <c:v>-1.7780000000000005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2148394241417657E-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たかの2!$D$1:$D$2</c:f>
              <c:strCache>
                <c:ptCount val="2"/>
                <c:pt idx="0">
                  <c:v>たかの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たかの2!$A$3:$A$103</c:f>
              <c:numCache>
                <c:formatCode>0\ "回"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たかの2!$D$3:$D$103</c:f>
              <c:numCache>
                <c:formatCode>0.00\ "位"</c:formatCode>
                <c:ptCount val="101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1.75</c:v>
                </c:pt>
                <c:pt idx="5">
                  <c:v>1.8</c:v>
                </c:pt>
                <c:pt idx="6">
                  <c:v>2</c:v>
                </c:pt>
                <c:pt idx="7">
                  <c:v>2</c:v>
                </c:pt>
                <c:pt idx="8">
                  <c:v>2.125</c:v>
                </c:pt>
                <c:pt idx="9">
                  <c:v>2.2222222222222223</c:v>
                </c:pt>
                <c:pt idx="10">
                  <c:v>2.1</c:v>
                </c:pt>
                <c:pt idx="11">
                  <c:v>2</c:v>
                </c:pt>
                <c:pt idx="12">
                  <c:v>2.0833333333333335</c:v>
                </c:pt>
                <c:pt idx="13">
                  <c:v>2.1538461538461537</c:v>
                </c:pt>
                <c:pt idx="14">
                  <c:v>2.1428571428571428</c:v>
                </c:pt>
                <c:pt idx="15">
                  <c:v>2.2000000000000002</c:v>
                </c:pt>
                <c:pt idx="16">
                  <c:v>2.1875</c:v>
                </c:pt>
                <c:pt idx="17">
                  <c:v>2.1176470588235294</c:v>
                </c:pt>
                <c:pt idx="18">
                  <c:v>2.0555555555555554</c:v>
                </c:pt>
                <c:pt idx="19">
                  <c:v>2</c:v>
                </c:pt>
                <c:pt idx="20">
                  <c:v>2</c:v>
                </c:pt>
                <c:pt idx="21">
                  <c:v>1.9523809523809523</c:v>
                </c:pt>
                <c:pt idx="22">
                  <c:v>2</c:v>
                </c:pt>
                <c:pt idx="23">
                  <c:v>2.0434782608695654</c:v>
                </c:pt>
                <c:pt idx="24">
                  <c:v>2</c:v>
                </c:pt>
                <c:pt idx="25">
                  <c:v>2.04</c:v>
                </c:pt>
                <c:pt idx="26">
                  <c:v>2.0384615384615383</c:v>
                </c:pt>
                <c:pt idx="27">
                  <c:v>2.0370370370370372</c:v>
                </c:pt>
                <c:pt idx="28">
                  <c:v>2.0714285714285716</c:v>
                </c:pt>
                <c:pt idx="29">
                  <c:v>2.0344827586206895</c:v>
                </c:pt>
                <c:pt idx="30">
                  <c:v>2.0666666666666669</c:v>
                </c:pt>
                <c:pt idx="31">
                  <c:v>2.032258064516129</c:v>
                </c:pt>
                <c:pt idx="32">
                  <c:v>2.0625</c:v>
                </c:pt>
                <c:pt idx="33">
                  <c:v>2.0909090909090908</c:v>
                </c:pt>
                <c:pt idx="34">
                  <c:v>2.1176470588235294</c:v>
                </c:pt>
                <c:pt idx="35">
                  <c:v>2.1142857142857143</c:v>
                </c:pt>
                <c:pt idx="36">
                  <c:v>2.1111111111111112</c:v>
                </c:pt>
                <c:pt idx="37">
                  <c:v>2.0810810810810811</c:v>
                </c:pt>
                <c:pt idx="38">
                  <c:v>2.0789473684210527</c:v>
                </c:pt>
                <c:pt idx="39">
                  <c:v>2.0512820512820511</c:v>
                </c:pt>
                <c:pt idx="40">
                  <c:v>2.0750000000000002</c:v>
                </c:pt>
                <c:pt idx="41">
                  <c:v>2.0731707317073171</c:v>
                </c:pt>
                <c:pt idx="42">
                  <c:v>2.0714285714285716</c:v>
                </c:pt>
                <c:pt idx="43">
                  <c:v>2.0930232558139537</c:v>
                </c:pt>
                <c:pt idx="44">
                  <c:v>2.0909090909090908</c:v>
                </c:pt>
                <c:pt idx="45">
                  <c:v>2.088888888888889</c:v>
                </c:pt>
                <c:pt idx="46">
                  <c:v>2.0652173913043477</c:v>
                </c:pt>
                <c:pt idx="47">
                  <c:v>2.0425531914893615</c:v>
                </c:pt>
                <c:pt idx="48">
                  <c:v>2.0208333333333335</c:v>
                </c:pt>
                <c:pt idx="49">
                  <c:v>2.0204081632653059</c:v>
                </c:pt>
                <c:pt idx="50">
                  <c:v>2.02</c:v>
                </c:pt>
                <c:pt idx="51">
                  <c:v>2.0196078431372548</c:v>
                </c:pt>
                <c:pt idx="52">
                  <c:v>2.0192307692307692</c:v>
                </c:pt>
                <c:pt idx="53">
                  <c:v>2.0377358490566038</c:v>
                </c:pt>
                <c:pt idx="54">
                  <c:v>2.0370370370370372</c:v>
                </c:pt>
                <c:pt idx="55">
                  <c:v>2.0363636363636362</c:v>
                </c:pt>
                <c:pt idx="56">
                  <c:v>2.0535714285714284</c:v>
                </c:pt>
                <c:pt idx="57">
                  <c:v>2.0526315789473686</c:v>
                </c:pt>
                <c:pt idx="58">
                  <c:v>2.0517241379310347</c:v>
                </c:pt>
                <c:pt idx="59">
                  <c:v>2.0338983050847457</c:v>
                </c:pt>
                <c:pt idx="60">
                  <c:v>2.0166666666666666</c:v>
                </c:pt>
                <c:pt idx="61">
                  <c:v>2.0163934426229506</c:v>
                </c:pt>
                <c:pt idx="62">
                  <c:v>2.032258064516129</c:v>
                </c:pt>
                <c:pt idx="63">
                  <c:v>2.0158730158730158</c:v>
                </c:pt>
                <c:pt idx="64">
                  <c:v>2.015625</c:v>
                </c:pt>
                <c:pt idx="65">
                  <c:v>2.0153846153846153</c:v>
                </c:pt>
                <c:pt idx="66">
                  <c:v>2.0303030303030303</c:v>
                </c:pt>
                <c:pt idx="67">
                  <c:v>2.0298507462686568</c:v>
                </c:pt>
                <c:pt idx="68">
                  <c:v>2.0441176470588234</c:v>
                </c:pt>
                <c:pt idx="69">
                  <c:v>2.0289855072463769</c:v>
                </c:pt>
                <c:pt idx="70">
                  <c:v>2.0428571428571427</c:v>
                </c:pt>
                <c:pt idx="71">
                  <c:v>2.056338028169014</c:v>
                </c:pt>
                <c:pt idx="72">
                  <c:v>2.0555555555555554</c:v>
                </c:pt>
                <c:pt idx="73">
                  <c:v>2.0684931506849313</c:v>
                </c:pt>
                <c:pt idx="74">
                  <c:v>2.0540540540540539</c:v>
                </c:pt>
                <c:pt idx="75">
                  <c:v>2.0533333333333332</c:v>
                </c:pt>
                <c:pt idx="76">
                  <c:v>2.0394736842105261</c:v>
                </c:pt>
                <c:pt idx="77">
                  <c:v>2.0389610389610389</c:v>
                </c:pt>
                <c:pt idx="78">
                  <c:v>2.0384615384615383</c:v>
                </c:pt>
                <c:pt idx="79">
                  <c:v>2.037974683544304</c:v>
                </c:pt>
                <c:pt idx="80">
                  <c:v>2.0499999999999998</c:v>
                </c:pt>
                <c:pt idx="81">
                  <c:v>2.0493827160493829</c:v>
                </c:pt>
                <c:pt idx="82">
                  <c:v>2.0487804878048781</c:v>
                </c:pt>
                <c:pt idx="83">
                  <c:v>2.0481927710843375</c:v>
                </c:pt>
                <c:pt idx="84">
                  <c:v>2.0595238095238093</c:v>
                </c:pt>
                <c:pt idx="85">
                  <c:v>2.0470588235294116</c:v>
                </c:pt>
                <c:pt idx="86">
                  <c:v>2.0465116279069768</c:v>
                </c:pt>
                <c:pt idx="87">
                  <c:v>2.0459770114942528</c:v>
                </c:pt>
                <c:pt idx="88">
                  <c:v>2.0568181818181817</c:v>
                </c:pt>
                <c:pt idx="89">
                  <c:v>2.0449438202247192</c:v>
                </c:pt>
                <c:pt idx="90">
                  <c:v>2.0444444444444443</c:v>
                </c:pt>
                <c:pt idx="91">
                  <c:v>2.0439560439560438</c:v>
                </c:pt>
                <c:pt idx="92">
                  <c:v>2.0434782608695654</c:v>
                </c:pt>
                <c:pt idx="93">
                  <c:v>2.053763440860215</c:v>
                </c:pt>
                <c:pt idx="94">
                  <c:v>2.0638297872340425</c:v>
                </c:pt>
                <c:pt idx="95">
                  <c:v>2.0526315789473686</c:v>
                </c:pt>
                <c:pt idx="96">
                  <c:v>2.0625</c:v>
                </c:pt>
                <c:pt idx="97">
                  <c:v>2.0618556701030926</c:v>
                </c:pt>
                <c:pt idx="98">
                  <c:v>2.0510204081632653</c:v>
                </c:pt>
                <c:pt idx="99">
                  <c:v>2.0505050505050506</c:v>
                </c:pt>
                <c:pt idx="100">
                  <c:v>2.0499999999999998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たかの2!$E$1:$E$2</c:f>
              <c:strCache>
                <c:ptCount val="2"/>
                <c:pt idx="0">
                  <c:v>たかの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たかの2!$A$3:$A$103</c:f>
              <c:numCache>
                <c:formatCode>0\ "回"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たかの2!$E$3:$E$103</c:f>
              <c:numCache>
                <c:formatCode>0.0%</c:formatCode>
                <c:ptCount val="10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0.23529411764705882</c:v>
                </c:pt>
                <c:pt idx="18">
                  <c:v>0.27777777777777779</c:v>
                </c:pt>
                <c:pt idx="19">
                  <c:v>0.31578947368421051</c:v>
                </c:pt>
                <c:pt idx="20">
                  <c:v>0.3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0.30769230769230771</c:v>
                </c:pt>
                <c:pt idx="27">
                  <c:v>0.29629629629629628</c:v>
                </c:pt>
                <c:pt idx="28">
                  <c:v>0.2857142857142857</c:v>
                </c:pt>
                <c:pt idx="29">
                  <c:v>0.31034482758620691</c:v>
                </c:pt>
                <c:pt idx="30">
                  <c:v>0.3</c:v>
                </c:pt>
                <c:pt idx="31">
                  <c:v>0.32258064516129031</c:v>
                </c:pt>
                <c:pt idx="32">
                  <c:v>0.3125</c:v>
                </c:pt>
                <c:pt idx="33">
                  <c:v>0.30303030303030304</c:v>
                </c:pt>
                <c:pt idx="34">
                  <c:v>0.29411764705882354</c:v>
                </c:pt>
                <c:pt idx="35">
                  <c:v>0.2857142857142857</c:v>
                </c:pt>
                <c:pt idx="36">
                  <c:v>0.27777777777777779</c:v>
                </c:pt>
                <c:pt idx="37">
                  <c:v>0.29729729729729731</c:v>
                </c:pt>
                <c:pt idx="38">
                  <c:v>0.28947368421052633</c:v>
                </c:pt>
                <c:pt idx="39">
                  <c:v>0.30769230769230771</c:v>
                </c:pt>
                <c:pt idx="40">
                  <c:v>0.3</c:v>
                </c:pt>
                <c:pt idx="41">
                  <c:v>0.29268292682926828</c:v>
                </c:pt>
                <c:pt idx="42">
                  <c:v>0.2857142857142857</c:v>
                </c:pt>
                <c:pt idx="43">
                  <c:v>0.27906976744186046</c:v>
                </c:pt>
                <c:pt idx="44">
                  <c:v>0.27272727272727271</c:v>
                </c:pt>
                <c:pt idx="45">
                  <c:v>0.26666666666666666</c:v>
                </c:pt>
                <c:pt idx="46">
                  <c:v>0.28260869565217389</c:v>
                </c:pt>
                <c:pt idx="47">
                  <c:v>0.2978723404255319</c:v>
                </c:pt>
                <c:pt idx="48">
                  <c:v>0.3125</c:v>
                </c:pt>
                <c:pt idx="49">
                  <c:v>0.30612244897959184</c:v>
                </c:pt>
                <c:pt idx="50">
                  <c:v>0.3</c:v>
                </c:pt>
                <c:pt idx="51">
                  <c:v>0.29411764705882354</c:v>
                </c:pt>
                <c:pt idx="52">
                  <c:v>0.28846153846153844</c:v>
                </c:pt>
                <c:pt idx="53">
                  <c:v>0.28301886792452829</c:v>
                </c:pt>
                <c:pt idx="54">
                  <c:v>0.27777777777777779</c:v>
                </c:pt>
                <c:pt idx="55">
                  <c:v>0.27272727272727271</c:v>
                </c:pt>
                <c:pt idx="56">
                  <c:v>0.26785714285714285</c:v>
                </c:pt>
                <c:pt idx="57">
                  <c:v>0.26315789473684209</c:v>
                </c:pt>
                <c:pt idx="58">
                  <c:v>0.25862068965517243</c:v>
                </c:pt>
                <c:pt idx="59">
                  <c:v>0.2711864406779661</c:v>
                </c:pt>
                <c:pt idx="60">
                  <c:v>0.28333333333333333</c:v>
                </c:pt>
                <c:pt idx="61">
                  <c:v>0.27868852459016391</c:v>
                </c:pt>
                <c:pt idx="62">
                  <c:v>0.27419354838709675</c:v>
                </c:pt>
                <c:pt idx="63">
                  <c:v>0.2857142857142857</c:v>
                </c:pt>
                <c:pt idx="64">
                  <c:v>0.28125</c:v>
                </c:pt>
                <c:pt idx="65">
                  <c:v>0.27692307692307694</c:v>
                </c:pt>
                <c:pt idx="66">
                  <c:v>0.27272727272727271</c:v>
                </c:pt>
                <c:pt idx="67">
                  <c:v>0.26865671641791045</c:v>
                </c:pt>
                <c:pt idx="68">
                  <c:v>0.26470588235294118</c:v>
                </c:pt>
                <c:pt idx="69">
                  <c:v>0.27536231884057971</c:v>
                </c:pt>
                <c:pt idx="70">
                  <c:v>0.27142857142857141</c:v>
                </c:pt>
                <c:pt idx="71">
                  <c:v>0.26760563380281688</c:v>
                </c:pt>
                <c:pt idx="72">
                  <c:v>0.2638888888888889</c:v>
                </c:pt>
                <c:pt idx="73">
                  <c:v>0.26027397260273971</c:v>
                </c:pt>
                <c:pt idx="74">
                  <c:v>0.27027027027027029</c:v>
                </c:pt>
                <c:pt idx="75">
                  <c:v>0.26666666666666666</c:v>
                </c:pt>
                <c:pt idx="76">
                  <c:v>0.27631578947368424</c:v>
                </c:pt>
                <c:pt idx="77">
                  <c:v>0.27272727272727271</c:v>
                </c:pt>
                <c:pt idx="78">
                  <c:v>0.26923076923076922</c:v>
                </c:pt>
                <c:pt idx="79">
                  <c:v>0.26582278481012656</c:v>
                </c:pt>
                <c:pt idx="80">
                  <c:v>0.26250000000000001</c:v>
                </c:pt>
                <c:pt idx="81">
                  <c:v>0.25925925925925924</c:v>
                </c:pt>
                <c:pt idx="82">
                  <c:v>0.25609756097560976</c:v>
                </c:pt>
                <c:pt idx="83">
                  <c:v>0.25301204819277107</c:v>
                </c:pt>
                <c:pt idx="84">
                  <c:v>0.25</c:v>
                </c:pt>
                <c:pt idx="85">
                  <c:v>0.25882352941176473</c:v>
                </c:pt>
                <c:pt idx="86">
                  <c:v>0.2558139534883721</c:v>
                </c:pt>
                <c:pt idx="87">
                  <c:v>0.25287356321839083</c:v>
                </c:pt>
                <c:pt idx="88">
                  <c:v>0.25</c:v>
                </c:pt>
                <c:pt idx="89">
                  <c:v>0.25842696629213485</c:v>
                </c:pt>
                <c:pt idx="90">
                  <c:v>0.25555555555555554</c:v>
                </c:pt>
                <c:pt idx="91">
                  <c:v>0.25274725274725274</c:v>
                </c:pt>
                <c:pt idx="92">
                  <c:v>0.25</c:v>
                </c:pt>
                <c:pt idx="93">
                  <c:v>0.24731182795698925</c:v>
                </c:pt>
                <c:pt idx="94">
                  <c:v>0.24468085106382978</c:v>
                </c:pt>
                <c:pt idx="95">
                  <c:v>0.25263157894736843</c:v>
                </c:pt>
                <c:pt idx="96">
                  <c:v>0.25</c:v>
                </c:pt>
                <c:pt idx="97">
                  <c:v>0.24742268041237114</c:v>
                </c:pt>
                <c:pt idx="98">
                  <c:v>0.25510204081632654</c:v>
                </c:pt>
                <c:pt idx="99">
                  <c:v>0.25252525252525254</c:v>
                </c:pt>
                <c:pt idx="100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たかの2!$F$1:$F$2</c:f>
              <c:strCache>
                <c:ptCount val="2"/>
                <c:pt idx="0">
                  <c:v>たかの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たかの2!$A$3:$A$103</c:f>
              <c:numCache>
                <c:formatCode>0\ "回"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たかの2!$F$3:$F$103</c:f>
              <c:numCache>
                <c:formatCode>0.0%</c:formatCode>
                <c:ptCount val="10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0.33333333333333331</c:v>
                </c:pt>
                <c:pt idx="13">
                  <c:v>0.38461538461538464</c:v>
                </c:pt>
                <c:pt idx="14">
                  <c:v>0.35714285714285715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0.34782608695652173</c:v>
                </c:pt>
                <c:pt idx="24">
                  <c:v>0.33333333333333331</c:v>
                </c:pt>
                <c:pt idx="25">
                  <c:v>0.36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0.375</c:v>
                </c:pt>
                <c:pt idx="33">
                  <c:v>0.39393939393939392</c:v>
                </c:pt>
                <c:pt idx="34">
                  <c:v>0.41176470588235292</c:v>
                </c:pt>
                <c:pt idx="35">
                  <c:v>0.4</c:v>
                </c:pt>
                <c:pt idx="36">
                  <c:v>0.3888888888888889</c:v>
                </c:pt>
                <c:pt idx="37">
                  <c:v>0.3783783783783784</c:v>
                </c:pt>
                <c:pt idx="38">
                  <c:v>0.36842105263157893</c:v>
                </c:pt>
                <c:pt idx="39">
                  <c:v>0.35897435897435898</c:v>
                </c:pt>
                <c:pt idx="40">
                  <c:v>0.375</c:v>
                </c:pt>
                <c:pt idx="41">
                  <c:v>0.36585365853658536</c:v>
                </c:pt>
                <c:pt idx="42">
                  <c:v>0.35714285714285715</c:v>
                </c:pt>
                <c:pt idx="43">
                  <c:v>0.37209302325581395</c:v>
                </c:pt>
                <c:pt idx="44">
                  <c:v>0.36363636363636365</c:v>
                </c:pt>
                <c:pt idx="45">
                  <c:v>0.35555555555555557</c:v>
                </c:pt>
                <c:pt idx="46">
                  <c:v>0.34782608695652173</c:v>
                </c:pt>
                <c:pt idx="47">
                  <c:v>0.34042553191489361</c:v>
                </c:pt>
                <c:pt idx="48">
                  <c:v>0.33333333333333331</c:v>
                </c:pt>
                <c:pt idx="49">
                  <c:v>0.32653061224489793</c:v>
                </c:pt>
                <c:pt idx="50">
                  <c:v>0.32</c:v>
                </c:pt>
                <c:pt idx="51">
                  <c:v>0.31372549019607843</c:v>
                </c:pt>
                <c:pt idx="52">
                  <c:v>0.30769230769230771</c:v>
                </c:pt>
                <c:pt idx="53">
                  <c:v>0.32075471698113206</c:v>
                </c:pt>
                <c:pt idx="54">
                  <c:v>0.31481481481481483</c:v>
                </c:pt>
                <c:pt idx="55">
                  <c:v>0.30909090909090908</c:v>
                </c:pt>
                <c:pt idx="56">
                  <c:v>0.32142857142857145</c:v>
                </c:pt>
                <c:pt idx="57">
                  <c:v>0.31578947368421051</c:v>
                </c:pt>
                <c:pt idx="58">
                  <c:v>0.31034482758620691</c:v>
                </c:pt>
                <c:pt idx="59">
                  <c:v>0.30508474576271188</c:v>
                </c:pt>
                <c:pt idx="60">
                  <c:v>0.3</c:v>
                </c:pt>
                <c:pt idx="61">
                  <c:v>0.29508196721311475</c:v>
                </c:pt>
                <c:pt idx="62">
                  <c:v>0.30645161290322581</c:v>
                </c:pt>
                <c:pt idx="63">
                  <c:v>0.30158730158730157</c:v>
                </c:pt>
                <c:pt idx="64">
                  <c:v>0.296875</c:v>
                </c:pt>
                <c:pt idx="65">
                  <c:v>0.29230769230769232</c:v>
                </c:pt>
                <c:pt idx="66">
                  <c:v>0.30303030303030304</c:v>
                </c:pt>
                <c:pt idx="67">
                  <c:v>0.29850746268656714</c:v>
                </c:pt>
                <c:pt idx="68">
                  <c:v>0.30882352941176472</c:v>
                </c:pt>
                <c:pt idx="69">
                  <c:v>0.30434782608695654</c:v>
                </c:pt>
                <c:pt idx="70">
                  <c:v>0.31428571428571428</c:v>
                </c:pt>
                <c:pt idx="71">
                  <c:v>0.323943661971831</c:v>
                </c:pt>
                <c:pt idx="72">
                  <c:v>0.31944444444444442</c:v>
                </c:pt>
                <c:pt idx="73">
                  <c:v>0.32876712328767121</c:v>
                </c:pt>
                <c:pt idx="74">
                  <c:v>0.32432432432432434</c:v>
                </c:pt>
                <c:pt idx="75">
                  <c:v>0.32</c:v>
                </c:pt>
                <c:pt idx="76">
                  <c:v>0.31578947368421051</c:v>
                </c:pt>
                <c:pt idx="77">
                  <c:v>0.31168831168831168</c:v>
                </c:pt>
                <c:pt idx="78">
                  <c:v>0.30769230769230771</c:v>
                </c:pt>
                <c:pt idx="79">
                  <c:v>0.30379746835443039</c:v>
                </c:pt>
                <c:pt idx="80">
                  <c:v>0.3125</c:v>
                </c:pt>
                <c:pt idx="81">
                  <c:v>0.30864197530864196</c:v>
                </c:pt>
                <c:pt idx="82">
                  <c:v>0.3048780487804878</c:v>
                </c:pt>
                <c:pt idx="83">
                  <c:v>0.30120481927710846</c:v>
                </c:pt>
                <c:pt idx="84">
                  <c:v>0.30952380952380953</c:v>
                </c:pt>
                <c:pt idx="85">
                  <c:v>0.30588235294117649</c:v>
                </c:pt>
                <c:pt idx="86">
                  <c:v>0.30232558139534882</c:v>
                </c:pt>
                <c:pt idx="87">
                  <c:v>0.2988505747126437</c:v>
                </c:pt>
                <c:pt idx="88">
                  <c:v>0.30681818181818182</c:v>
                </c:pt>
                <c:pt idx="89">
                  <c:v>0.30337078651685395</c:v>
                </c:pt>
                <c:pt idx="90">
                  <c:v>0.3</c:v>
                </c:pt>
                <c:pt idx="91">
                  <c:v>0.2967032967032967</c:v>
                </c:pt>
                <c:pt idx="92">
                  <c:v>0.29347826086956524</c:v>
                </c:pt>
                <c:pt idx="93">
                  <c:v>0.30107526881720431</c:v>
                </c:pt>
                <c:pt idx="94">
                  <c:v>0.30851063829787234</c:v>
                </c:pt>
                <c:pt idx="95">
                  <c:v>0.30526315789473685</c:v>
                </c:pt>
                <c:pt idx="96">
                  <c:v>0.3125</c:v>
                </c:pt>
                <c:pt idx="97">
                  <c:v>0.30927835051546393</c:v>
                </c:pt>
                <c:pt idx="98">
                  <c:v>0.30612244897959184</c:v>
                </c:pt>
                <c:pt idx="99">
                  <c:v>0.30303030303030304</c:v>
                </c:pt>
                <c:pt idx="100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たかの2!$G$1:$G$2</c:f>
              <c:strCache>
                <c:ptCount val="2"/>
                <c:pt idx="0">
                  <c:v>たかの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たかの2!$A$3:$A$103</c:f>
              <c:numCache>
                <c:formatCode>0\ "回"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たかの2!$G$3:$G$103</c:f>
              <c:numCache>
                <c:formatCode>0.0%</c:formatCode>
                <c:ptCount val="101"/>
                <c:pt idx="1">
                  <c:v>0.14285714285714285</c:v>
                </c:pt>
                <c:pt idx="2">
                  <c:v>0.125</c:v>
                </c:pt>
                <c:pt idx="3">
                  <c:v>0.25</c:v>
                </c:pt>
                <c:pt idx="4">
                  <c:v>0.2857142857142857</c:v>
                </c:pt>
                <c:pt idx="5">
                  <c:v>0.27500000000000002</c:v>
                </c:pt>
                <c:pt idx="6">
                  <c:v>0.2978723404255319</c:v>
                </c:pt>
                <c:pt idx="7">
                  <c:v>0.30909090909090908</c:v>
                </c:pt>
                <c:pt idx="8">
                  <c:v>0.27868852459016391</c:v>
                </c:pt>
                <c:pt idx="9">
                  <c:v>0.29577464788732394</c:v>
                </c:pt>
                <c:pt idx="10">
                  <c:v>0.35064935064935066</c:v>
                </c:pt>
                <c:pt idx="11">
                  <c:v>0.3707865168539326</c:v>
                </c:pt>
                <c:pt idx="12">
                  <c:v>0.375</c:v>
                </c:pt>
                <c:pt idx="13">
                  <c:v>0.3619047619047619</c:v>
                </c:pt>
                <c:pt idx="14">
                  <c:v>0.35135135135135137</c:v>
                </c:pt>
                <c:pt idx="15">
                  <c:v>0.32773109243697479</c:v>
                </c:pt>
                <c:pt idx="16">
                  <c:v>0.32258064516129031</c:v>
                </c:pt>
                <c:pt idx="17">
                  <c:v>0.32575757575757575</c:v>
                </c:pt>
                <c:pt idx="18">
                  <c:v>0.33571428571428569</c:v>
                </c:pt>
                <c:pt idx="19">
                  <c:v>0.34693877551020408</c:v>
                </c:pt>
                <c:pt idx="20">
                  <c:v>0.35802469135802467</c:v>
                </c:pt>
                <c:pt idx="21">
                  <c:v>0.35260115606936415</c:v>
                </c:pt>
                <c:pt idx="22">
                  <c:v>0.34615384615384615</c:v>
                </c:pt>
                <c:pt idx="23">
                  <c:v>0.33333333333333331</c:v>
                </c:pt>
                <c:pt idx="24">
                  <c:v>0.34358974358974359</c:v>
                </c:pt>
                <c:pt idx="25">
                  <c:v>0.3446601941747573</c:v>
                </c:pt>
                <c:pt idx="26">
                  <c:v>0.34579439252336447</c:v>
                </c:pt>
                <c:pt idx="27">
                  <c:v>0.34080717488789236</c:v>
                </c:pt>
                <c:pt idx="28">
                  <c:v>0.34334763948497854</c:v>
                </c:pt>
                <c:pt idx="29">
                  <c:v>0.35390946502057613</c:v>
                </c:pt>
                <c:pt idx="30">
                  <c:v>0.34901960784313724</c:v>
                </c:pt>
                <c:pt idx="31">
                  <c:v>0.35114503816793891</c:v>
                </c:pt>
                <c:pt idx="32">
                  <c:v>0.35164835164835168</c:v>
                </c:pt>
                <c:pt idx="33">
                  <c:v>0.3475177304964539</c:v>
                </c:pt>
                <c:pt idx="34">
                  <c:v>0.34602076124567471</c:v>
                </c:pt>
                <c:pt idx="35">
                  <c:v>0.35016835016835018</c:v>
                </c:pt>
                <c:pt idx="36">
                  <c:v>0.35197368421052633</c:v>
                </c:pt>
                <c:pt idx="37">
                  <c:v>0.35576923076923078</c:v>
                </c:pt>
                <c:pt idx="38">
                  <c:v>0.3611111111111111</c:v>
                </c:pt>
                <c:pt idx="39">
                  <c:v>0.36445783132530118</c:v>
                </c:pt>
                <c:pt idx="40">
                  <c:v>0.36549707602339182</c:v>
                </c:pt>
                <c:pt idx="41">
                  <c:v>0.36752136752136755</c:v>
                </c:pt>
                <c:pt idx="42">
                  <c:v>0.36684782608695654</c:v>
                </c:pt>
                <c:pt idx="43">
                  <c:v>0.36533333333333334</c:v>
                </c:pt>
                <c:pt idx="44">
                  <c:v>0.36363636363636365</c:v>
                </c:pt>
                <c:pt idx="45">
                  <c:v>0.36479591836734693</c:v>
                </c:pt>
                <c:pt idx="46">
                  <c:v>0.36724565756823824</c:v>
                </c:pt>
                <c:pt idx="47">
                  <c:v>0.36407766990291263</c:v>
                </c:pt>
                <c:pt idx="48">
                  <c:v>0.36966824644549762</c:v>
                </c:pt>
                <c:pt idx="49">
                  <c:v>0.37296037296037299</c:v>
                </c:pt>
                <c:pt idx="50">
                  <c:v>0.36842105263157893</c:v>
                </c:pt>
                <c:pt idx="51">
                  <c:v>0.3724604966139955</c:v>
                </c:pt>
                <c:pt idx="52">
                  <c:v>0.37333333333333335</c:v>
                </c:pt>
                <c:pt idx="53">
                  <c:v>0.36899563318777295</c:v>
                </c:pt>
                <c:pt idx="54">
                  <c:v>0.37130801687763715</c:v>
                </c:pt>
                <c:pt idx="55">
                  <c:v>0.36776859504132231</c:v>
                </c:pt>
                <c:pt idx="56">
                  <c:v>0.36456211812627293</c:v>
                </c:pt>
                <c:pt idx="57">
                  <c:v>0.36363636363636365</c:v>
                </c:pt>
                <c:pt idx="58">
                  <c:v>0.36220472440944884</c:v>
                </c:pt>
                <c:pt idx="59">
                  <c:v>0.36434108527131781</c:v>
                </c:pt>
                <c:pt idx="60">
                  <c:v>0.36608863198458574</c:v>
                </c:pt>
                <c:pt idx="61">
                  <c:v>0.36174242424242425</c:v>
                </c:pt>
                <c:pt idx="62">
                  <c:v>0.35887850467289717</c:v>
                </c:pt>
                <c:pt idx="63">
                  <c:v>0.3596330275229358</c:v>
                </c:pt>
                <c:pt idx="64">
                  <c:v>0.3579136690647482</c:v>
                </c:pt>
                <c:pt idx="65">
                  <c:v>0.35879218472468916</c:v>
                </c:pt>
                <c:pt idx="66">
                  <c:v>0.35602094240837695</c:v>
                </c:pt>
                <c:pt idx="67">
                  <c:v>0.35689655172413792</c:v>
                </c:pt>
                <c:pt idx="68">
                  <c:v>0.35204081632653061</c:v>
                </c:pt>
                <c:pt idx="69">
                  <c:v>0.35175879396984927</c:v>
                </c:pt>
                <c:pt idx="70">
                  <c:v>0.35041322314049589</c:v>
                </c:pt>
                <c:pt idx="71">
                  <c:v>0.34584013050570961</c:v>
                </c:pt>
                <c:pt idx="72">
                  <c:v>0.34460547504025762</c:v>
                </c:pt>
                <c:pt idx="73">
                  <c:v>0.34076433121019106</c:v>
                </c:pt>
                <c:pt idx="74">
                  <c:v>0.3449367088607595</c:v>
                </c:pt>
                <c:pt idx="75">
                  <c:v>0.34267912772585668</c:v>
                </c:pt>
                <c:pt idx="76">
                  <c:v>0.3446153846153846</c:v>
                </c:pt>
                <c:pt idx="77">
                  <c:v>0.34446130500758726</c:v>
                </c:pt>
                <c:pt idx="78">
                  <c:v>0.34384384384384387</c:v>
                </c:pt>
                <c:pt idx="79">
                  <c:v>0.34328358208955223</c:v>
                </c:pt>
                <c:pt idx="80">
                  <c:v>0.34264705882352942</c:v>
                </c:pt>
                <c:pt idx="81">
                  <c:v>0.34438040345821325</c:v>
                </c:pt>
                <c:pt idx="82">
                  <c:v>0.34566145092460882</c:v>
                </c:pt>
                <c:pt idx="83">
                  <c:v>0.34696755994358253</c:v>
                </c:pt>
                <c:pt idx="84">
                  <c:v>0.34401114206128136</c:v>
                </c:pt>
                <c:pt idx="85">
                  <c:v>0.34482758620689657</c:v>
                </c:pt>
                <c:pt idx="86">
                  <c:v>0.34430727023319618</c:v>
                </c:pt>
                <c:pt idx="87">
                  <c:v>0.34515688949522511</c:v>
                </c:pt>
                <c:pt idx="88">
                  <c:v>0.34454912516823688</c:v>
                </c:pt>
                <c:pt idx="89">
                  <c:v>0.34487350199733691</c:v>
                </c:pt>
                <c:pt idx="90">
                  <c:v>0.34473684210526317</c:v>
                </c:pt>
                <c:pt idx="91">
                  <c:v>0.3433420365535248</c:v>
                </c:pt>
                <c:pt idx="92">
                  <c:v>0.34326424870466321</c:v>
                </c:pt>
                <c:pt idx="93">
                  <c:v>0.34058898847631242</c:v>
                </c:pt>
                <c:pt idx="94">
                  <c:v>0.34007585335018964</c:v>
                </c:pt>
                <c:pt idx="95">
                  <c:v>0.34127979924717694</c:v>
                </c:pt>
                <c:pt idx="96">
                  <c:v>0.33995037220843671</c:v>
                </c:pt>
                <c:pt idx="97">
                  <c:v>0.33740831295843521</c:v>
                </c:pt>
                <c:pt idx="98">
                  <c:v>0.3385731559854897</c:v>
                </c:pt>
                <c:pt idx="99">
                  <c:v>0.33693045563549162</c:v>
                </c:pt>
                <c:pt idx="100">
                  <c:v>0.33847980997624705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8344017094017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たかの2!$H$1:$H$2</c:f>
              <c:strCache>
                <c:ptCount val="2"/>
                <c:pt idx="0">
                  <c:v>たかの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たかの2!$A$3:$A$103</c:f>
              <c:numCache>
                <c:formatCode>0\ "回"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たかの2!$H$3:$H$103</c:f>
              <c:numCache>
                <c:formatCode>0.0%</c:formatCode>
                <c:ptCount val="101"/>
                <c:pt idx="1">
                  <c:v>0.14285714285714285</c:v>
                </c:pt>
                <c:pt idx="2">
                  <c:v>0.125</c:v>
                </c:pt>
                <c:pt idx="3">
                  <c:v>0.1</c:v>
                </c:pt>
                <c:pt idx="4">
                  <c:v>0.10714285714285714</c:v>
                </c:pt>
                <c:pt idx="5">
                  <c:v>0.125</c:v>
                </c:pt>
                <c:pt idx="6">
                  <c:v>0.1702127659574468</c:v>
                </c:pt>
                <c:pt idx="7">
                  <c:v>0.16363636363636364</c:v>
                </c:pt>
                <c:pt idx="8">
                  <c:v>0.16393442622950818</c:v>
                </c:pt>
                <c:pt idx="9">
                  <c:v>0.18309859154929578</c:v>
                </c:pt>
                <c:pt idx="10">
                  <c:v>0.16883116883116883</c:v>
                </c:pt>
                <c:pt idx="11">
                  <c:v>0.14606741573033707</c:v>
                </c:pt>
                <c:pt idx="12">
                  <c:v>0.15625</c:v>
                </c:pt>
                <c:pt idx="13">
                  <c:v>0.16190476190476191</c:v>
                </c:pt>
                <c:pt idx="14">
                  <c:v>0.15315315315315314</c:v>
                </c:pt>
                <c:pt idx="15">
                  <c:v>0.15966386554621848</c:v>
                </c:pt>
                <c:pt idx="16">
                  <c:v>0.15322580645161291</c:v>
                </c:pt>
                <c:pt idx="17">
                  <c:v>0.14393939393939395</c:v>
                </c:pt>
                <c:pt idx="18">
                  <c:v>0.1357142857142857</c:v>
                </c:pt>
                <c:pt idx="19">
                  <c:v>0.1360544217687075</c:v>
                </c:pt>
                <c:pt idx="20">
                  <c:v>0.13580246913580246</c:v>
                </c:pt>
                <c:pt idx="21">
                  <c:v>0.13294797687861271</c:v>
                </c:pt>
                <c:pt idx="22">
                  <c:v>0.13736263736263737</c:v>
                </c:pt>
                <c:pt idx="23">
                  <c:v>0.14285714285714285</c:v>
                </c:pt>
                <c:pt idx="24">
                  <c:v>0.13846153846153847</c:v>
                </c:pt>
                <c:pt idx="25">
                  <c:v>0.14563106796116504</c:v>
                </c:pt>
                <c:pt idx="26">
                  <c:v>0.14018691588785046</c:v>
                </c:pt>
                <c:pt idx="27">
                  <c:v>0.13452914798206278</c:v>
                </c:pt>
                <c:pt idx="28">
                  <c:v>0.14592274678111589</c:v>
                </c:pt>
                <c:pt idx="29">
                  <c:v>0.1440329218106996</c:v>
                </c:pt>
                <c:pt idx="30">
                  <c:v>0.14509803921568629</c:v>
                </c:pt>
                <c:pt idx="31">
                  <c:v>0.14503816793893129</c:v>
                </c:pt>
                <c:pt idx="32">
                  <c:v>0.14285714285714285</c:v>
                </c:pt>
                <c:pt idx="33">
                  <c:v>0.14184397163120568</c:v>
                </c:pt>
                <c:pt idx="34">
                  <c:v>0.14878892733564014</c:v>
                </c:pt>
                <c:pt idx="35">
                  <c:v>0.14814814814814814</c:v>
                </c:pt>
                <c:pt idx="36">
                  <c:v>0.14473684210526316</c:v>
                </c:pt>
                <c:pt idx="37">
                  <c:v>0.14102564102564102</c:v>
                </c:pt>
                <c:pt idx="38">
                  <c:v>0.14506172839506173</c:v>
                </c:pt>
                <c:pt idx="39">
                  <c:v>0.14156626506024098</c:v>
                </c:pt>
                <c:pt idx="40">
                  <c:v>0.14035087719298245</c:v>
                </c:pt>
                <c:pt idx="41">
                  <c:v>0.1396011396011396</c:v>
                </c:pt>
                <c:pt idx="42">
                  <c:v>0.1358695652173913</c:v>
                </c:pt>
                <c:pt idx="43">
                  <c:v>0.14133333333333334</c:v>
                </c:pt>
                <c:pt idx="44">
                  <c:v>0.13766233766233765</c:v>
                </c:pt>
                <c:pt idx="45">
                  <c:v>0.13520408163265307</c:v>
                </c:pt>
                <c:pt idx="46">
                  <c:v>0.13399503722084366</c:v>
                </c:pt>
                <c:pt idx="47">
                  <c:v>0.13349514563106796</c:v>
                </c:pt>
                <c:pt idx="48">
                  <c:v>0.13033175355450238</c:v>
                </c:pt>
                <c:pt idx="49">
                  <c:v>0.13053613053613053</c:v>
                </c:pt>
                <c:pt idx="50">
                  <c:v>0.13043478260869565</c:v>
                </c:pt>
                <c:pt idx="51">
                  <c:v>0.12866817155756208</c:v>
                </c:pt>
                <c:pt idx="52">
                  <c:v>0.13333333333333333</c:v>
                </c:pt>
                <c:pt idx="53">
                  <c:v>0.1331877729257642</c:v>
                </c:pt>
                <c:pt idx="54">
                  <c:v>0.13291139240506328</c:v>
                </c:pt>
                <c:pt idx="55">
                  <c:v>0.13016528925619836</c:v>
                </c:pt>
                <c:pt idx="56">
                  <c:v>0.13238289205702647</c:v>
                </c:pt>
                <c:pt idx="57">
                  <c:v>0.13131313131313133</c:v>
                </c:pt>
                <c:pt idx="58">
                  <c:v>0.12992125984251968</c:v>
                </c:pt>
                <c:pt idx="59">
                  <c:v>0.12790697674418605</c:v>
                </c:pt>
                <c:pt idx="60">
                  <c:v>0.12716763005780346</c:v>
                </c:pt>
                <c:pt idx="61">
                  <c:v>0.12878787878787878</c:v>
                </c:pt>
                <c:pt idx="62">
                  <c:v>0.12897196261682242</c:v>
                </c:pt>
                <c:pt idx="63">
                  <c:v>0.13027522935779817</c:v>
                </c:pt>
                <c:pt idx="64">
                  <c:v>0.12949640287769784</c:v>
                </c:pt>
                <c:pt idx="65">
                  <c:v>0.12966252220248667</c:v>
                </c:pt>
                <c:pt idx="66">
                  <c:v>0.13263525305410123</c:v>
                </c:pt>
                <c:pt idx="67">
                  <c:v>0.13275862068965516</c:v>
                </c:pt>
                <c:pt idx="68">
                  <c:v>0.1326530612244898</c:v>
                </c:pt>
                <c:pt idx="69">
                  <c:v>0.13400335008375208</c:v>
                </c:pt>
                <c:pt idx="70">
                  <c:v>0.13388429752066117</c:v>
                </c:pt>
                <c:pt idx="71">
                  <c:v>0.13703099510603589</c:v>
                </c:pt>
                <c:pt idx="72">
                  <c:v>0.13687600644122383</c:v>
                </c:pt>
                <c:pt idx="73">
                  <c:v>0.13853503184713375</c:v>
                </c:pt>
                <c:pt idx="74">
                  <c:v>0.13765822784810128</c:v>
                </c:pt>
                <c:pt idx="75">
                  <c:v>0.13862928348909656</c:v>
                </c:pt>
                <c:pt idx="76">
                  <c:v>0.13846153846153847</c:v>
                </c:pt>
                <c:pt idx="77">
                  <c:v>0.13960546282245828</c:v>
                </c:pt>
                <c:pt idx="78">
                  <c:v>0.13813813813813813</c:v>
                </c:pt>
                <c:pt idx="79">
                  <c:v>0.1373134328358209</c:v>
                </c:pt>
                <c:pt idx="80">
                  <c:v>0.13970588235294118</c:v>
                </c:pt>
                <c:pt idx="81">
                  <c:v>0.13832853025936601</c:v>
                </c:pt>
                <c:pt idx="82">
                  <c:v>0.13940256045519203</c:v>
                </c:pt>
                <c:pt idx="83">
                  <c:v>0.1382228490832158</c:v>
                </c:pt>
                <c:pt idx="84">
                  <c:v>0.13788300835654596</c:v>
                </c:pt>
                <c:pt idx="85">
                  <c:v>0.13793103448275862</c:v>
                </c:pt>
                <c:pt idx="86">
                  <c:v>0.13717421124828533</c:v>
                </c:pt>
                <c:pt idx="87">
                  <c:v>0.13642564802182811</c:v>
                </c:pt>
                <c:pt idx="88">
                  <c:v>0.13728129205921938</c:v>
                </c:pt>
                <c:pt idx="89">
                  <c:v>0.1384820239680426</c:v>
                </c:pt>
                <c:pt idx="90">
                  <c:v>0.14210526315789473</c:v>
                </c:pt>
                <c:pt idx="91">
                  <c:v>0.14229765013054829</c:v>
                </c:pt>
                <c:pt idx="92">
                  <c:v>0.14119170984455959</c:v>
                </c:pt>
                <c:pt idx="93">
                  <c:v>0.14084507042253522</c:v>
                </c:pt>
                <c:pt idx="94">
                  <c:v>0.14412136536030343</c:v>
                </c:pt>
                <c:pt idx="95">
                  <c:v>0.14303638644918445</c:v>
                </c:pt>
                <c:pt idx="96">
                  <c:v>0.14392059553349876</c:v>
                </c:pt>
                <c:pt idx="97">
                  <c:v>0.14180929095354522</c:v>
                </c:pt>
                <c:pt idx="98">
                  <c:v>0.14147521160822249</c:v>
                </c:pt>
                <c:pt idx="99">
                  <c:v>0.14028776978417265</c:v>
                </c:pt>
                <c:pt idx="100">
                  <c:v>0.14133016627078385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5331196581196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たかの2!$I$1:$I$2</c:f>
              <c:strCache>
                <c:ptCount val="2"/>
                <c:pt idx="0">
                  <c:v>たかの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たかの2!$A$3:$A$103</c:f>
              <c:numCache>
                <c:formatCode>0\ "回"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たかの2!$I$3:$I$103</c:f>
              <c:numCache>
                <c:formatCode>0</c:formatCode>
                <c:ptCount val="101"/>
                <c:pt idx="1">
                  <c:v>8000</c:v>
                </c:pt>
                <c:pt idx="2">
                  <c:v>5050</c:v>
                </c:pt>
                <c:pt idx="3">
                  <c:v>3520</c:v>
                </c:pt>
                <c:pt idx="4">
                  <c:v>4662.5</c:v>
                </c:pt>
                <c:pt idx="5">
                  <c:v>5318.181818181818</c:v>
                </c:pt>
                <c:pt idx="6">
                  <c:v>5121.4285714285716</c:v>
                </c:pt>
                <c:pt idx="7">
                  <c:v>5858.8235294117649</c:v>
                </c:pt>
                <c:pt idx="8">
                  <c:v>5858.8235294117649</c:v>
                </c:pt>
                <c:pt idx="9">
                  <c:v>6409.5238095238092</c:v>
                </c:pt>
                <c:pt idx="10">
                  <c:v>6788.8888888888887</c:v>
                </c:pt>
                <c:pt idx="11">
                  <c:v>6690.909090909091</c:v>
                </c:pt>
                <c:pt idx="12">
                  <c:v>6500</c:v>
                </c:pt>
                <c:pt idx="13">
                  <c:v>6339.4736842105267</c:v>
                </c:pt>
                <c:pt idx="14">
                  <c:v>6382.0512820512822</c:v>
                </c:pt>
                <c:pt idx="15">
                  <c:v>6382.0512820512822</c:v>
                </c:pt>
                <c:pt idx="16">
                  <c:v>6422.5</c:v>
                </c:pt>
                <c:pt idx="17">
                  <c:v>6330.2325581395353</c:v>
                </c:pt>
                <c:pt idx="18">
                  <c:v>6131.9148936170213</c:v>
                </c:pt>
                <c:pt idx="19">
                  <c:v>6884.3137254901958</c:v>
                </c:pt>
                <c:pt idx="20">
                  <c:v>6710.3448275862065</c:v>
                </c:pt>
                <c:pt idx="21">
                  <c:v>6804.9180327868853</c:v>
                </c:pt>
                <c:pt idx="22">
                  <c:v>6749.2063492063489</c:v>
                </c:pt>
                <c:pt idx="23">
                  <c:v>6749.2063492063489</c:v>
                </c:pt>
                <c:pt idx="24">
                  <c:v>7256.7164179104475</c:v>
                </c:pt>
                <c:pt idx="25">
                  <c:v>7145.070422535211</c:v>
                </c:pt>
                <c:pt idx="26">
                  <c:v>6987.8378378378375</c:v>
                </c:pt>
                <c:pt idx="27">
                  <c:v>7038.1578947368425</c:v>
                </c:pt>
                <c:pt idx="28">
                  <c:v>6993.75</c:v>
                </c:pt>
                <c:pt idx="29">
                  <c:v>7065.1162790697672</c:v>
                </c:pt>
                <c:pt idx="30">
                  <c:v>7180.8988764044943</c:v>
                </c:pt>
                <c:pt idx="31">
                  <c:v>7370.652173913043</c:v>
                </c:pt>
                <c:pt idx="32">
                  <c:v>7340.625</c:v>
                </c:pt>
                <c:pt idx="33">
                  <c:v>7260.2040816326535</c:v>
                </c:pt>
                <c:pt idx="34">
                  <c:v>7256</c:v>
                </c:pt>
                <c:pt idx="35">
                  <c:v>7118.2692307692305</c:v>
                </c:pt>
                <c:pt idx="36">
                  <c:v>7055.1401869158881</c:v>
                </c:pt>
                <c:pt idx="37">
                  <c:v>7009.9099099099103</c:v>
                </c:pt>
                <c:pt idx="38">
                  <c:v>6950.4273504273506</c:v>
                </c:pt>
                <c:pt idx="39">
                  <c:v>6833.0578512396696</c:v>
                </c:pt>
                <c:pt idx="40">
                  <c:v>6813.6</c:v>
                </c:pt>
                <c:pt idx="41">
                  <c:v>6808.5271317829456</c:v>
                </c:pt>
                <c:pt idx="42">
                  <c:v>6739.2592592592591</c:v>
                </c:pt>
                <c:pt idx="43">
                  <c:v>6741.6058394160582</c:v>
                </c:pt>
                <c:pt idx="44">
                  <c:v>6724.2857142857147</c:v>
                </c:pt>
                <c:pt idx="45">
                  <c:v>6638.4615384615381</c:v>
                </c:pt>
                <c:pt idx="46">
                  <c:v>6645.27027027027</c:v>
                </c:pt>
                <c:pt idx="47">
                  <c:v>6696</c:v>
                </c:pt>
                <c:pt idx="48">
                  <c:v>6666.0256410256407</c:v>
                </c:pt>
                <c:pt idx="49">
                  <c:v>6588.75</c:v>
                </c:pt>
                <c:pt idx="50">
                  <c:v>6597.5155279503106</c:v>
                </c:pt>
                <c:pt idx="51">
                  <c:v>6523.030303030303</c:v>
                </c:pt>
                <c:pt idx="52">
                  <c:v>6516.0714285714284</c:v>
                </c:pt>
                <c:pt idx="53">
                  <c:v>6523.0769230769229</c:v>
                </c:pt>
                <c:pt idx="54">
                  <c:v>6500.568181818182</c:v>
                </c:pt>
                <c:pt idx="55">
                  <c:v>6504.4943820224717</c:v>
                </c:pt>
                <c:pt idx="56">
                  <c:v>6535.1955307262569</c:v>
                </c:pt>
                <c:pt idx="57">
                  <c:v>6510</c:v>
                </c:pt>
                <c:pt idx="58">
                  <c:v>6528.260869565217</c:v>
                </c:pt>
                <c:pt idx="59">
                  <c:v>6579.255319148936</c:v>
                </c:pt>
                <c:pt idx="60">
                  <c:v>6636.3157894736842</c:v>
                </c:pt>
                <c:pt idx="61">
                  <c:v>6628.7958115183246</c:v>
                </c:pt>
                <c:pt idx="62">
                  <c:v>6635.9375</c:v>
                </c:pt>
                <c:pt idx="63">
                  <c:v>6662.2448979591836</c:v>
                </c:pt>
                <c:pt idx="64">
                  <c:v>6665.8291457286432</c:v>
                </c:pt>
                <c:pt idx="65">
                  <c:v>6670.7920792079212</c:v>
                </c:pt>
                <c:pt idx="66">
                  <c:v>6635.7843137254904</c:v>
                </c:pt>
                <c:pt idx="67">
                  <c:v>6609.6618357487923</c:v>
                </c:pt>
                <c:pt idx="68">
                  <c:v>6609.6618357487923</c:v>
                </c:pt>
                <c:pt idx="69">
                  <c:v>6635.7142857142853</c:v>
                </c:pt>
                <c:pt idx="70">
                  <c:v>6620.7547169811323</c:v>
                </c:pt>
                <c:pt idx="71">
                  <c:v>6620.7547169811323</c:v>
                </c:pt>
                <c:pt idx="72">
                  <c:v>6643.4579439252338</c:v>
                </c:pt>
                <c:pt idx="73">
                  <c:v>6643.4579439252338</c:v>
                </c:pt>
                <c:pt idx="74">
                  <c:v>6722.4770642201838</c:v>
                </c:pt>
                <c:pt idx="75">
                  <c:v>6727.727272727273</c:v>
                </c:pt>
                <c:pt idx="76">
                  <c:v>6741.5178571428569</c:v>
                </c:pt>
                <c:pt idx="77">
                  <c:v>6792.070484581498</c:v>
                </c:pt>
                <c:pt idx="78">
                  <c:v>6775.1091703056773</c:v>
                </c:pt>
                <c:pt idx="79">
                  <c:v>6787.391304347826</c:v>
                </c:pt>
                <c:pt idx="80">
                  <c:v>6754.0772532188839</c:v>
                </c:pt>
                <c:pt idx="81">
                  <c:v>6772.3849372384939</c:v>
                </c:pt>
                <c:pt idx="82">
                  <c:v>6810.2880658436216</c:v>
                </c:pt>
                <c:pt idx="83">
                  <c:v>6806.9105691056911</c:v>
                </c:pt>
                <c:pt idx="84">
                  <c:v>6827.9352226720648</c:v>
                </c:pt>
                <c:pt idx="85">
                  <c:v>6866.4</c:v>
                </c:pt>
                <c:pt idx="86">
                  <c:v>6886.852589641434</c:v>
                </c:pt>
                <c:pt idx="87">
                  <c:v>6910.276679841897</c:v>
                </c:pt>
                <c:pt idx="88">
                  <c:v>6866.015625</c:v>
                </c:pt>
                <c:pt idx="89">
                  <c:v>6886.1003861003865</c:v>
                </c:pt>
                <c:pt idx="90">
                  <c:v>6890.0763358778622</c:v>
                </c:pt>
                <c:pt idx="91">
                  <c:v>6894.2965779467677</c:v>
                </c:pt>
                <c:pt idx="92">
                  <c:v>6872.4528301886794</c:v>
                </c:pt>
                <c:pt idx="93">
                  <c:v>6856.3909774436088</c:v>
                </c:pt>
                <c:pt idx="94">
                  <c:v>6815.613382899628</c:v>
                </c:pt>
                <c:pt idx="95">
                  <c:v>6786.7647058823532</c:v>
                </c:pt>
                <c:pt idx="96">
                  <c:v>6774.8175182481755</c:v>
                </c:pt>
                <c:pt idx="97">
                  <c:v>6819.927536231884</c:v>
                </c:pt>
                <c:pt idx="98">
                  <c:v>6786.7857142857147</c:v>
                </c:pt>
                <c:pt idx="99">
                  <c:v>6766.9039145907473</c:v>
                </c:pt>
                <c:pt idx="100">
                  <c:v>6753.333333333333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640.24171888988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たかの2!$J$1:$J$2</c:f>
              <c:strCache>
                <c:ptCount val="2"/>
                <c:pt idx="0">
                  <c:v>たかの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たかの2!$A$3:$A$103</c:f>
              <c:numCache>
                <c:formatCode>0\ "回"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たかの2!$J$3:$J$103</c:f>
              <c:numCache>
                <c:formatCode>0</c:formatCode>
                <c:ptCount val="101"/>
                <c:pt idx="1">
                  <c:v>-3900</c:v>
                </c:pt>
                <c:pt idx="2">
                  <c:v>-6750</c:v>
                </c:pt>
                <c:pt idx="3">
                  <c:v>-6750</c:v>
                </c:pt>
                <c:pt idx="4">
                  <c:v>-8366.6666666666661</c:v>
                </c:pt>
                <c:pt idx="5">
                  <c:v>-7400</c:v>
                </c:pt>
                <c:pt idx="6">
                  <c:v>-6487.5</c:v>
                </c:pt>
                <c:pt idx="7">
                  <c:v>-7100</c:v>
                </c:pt>
                <c:pt idx="8">
                  <c:v>-7190</c:v>
                </c:pt>
                <c:pt idx="9">
                  <c:v>-7530.7692307692305</c:v>
                </c:pt>
                <c:pt idx="10">
                  <c:v>-7530.7692307692305</c:v>
                </c:pt>
                <c:pt idx="11">
                  <c:v>-7530.7692307692305</c:v>
                </c:pt>
                <c:pt idx="12">
                  <c:v>-7213.333333333333</c:v>
                </c:pt>
                <c:pt idx="13">
                  <c:v>-7376.4705882352937</c:v>
                </c:pt>
                <c:pt idx="14">
                  <c:v>-7376.4705882352937</c:v>
                </c:pt>
                <c:pt idx="15">
                  <c:v>-8494.7368421052633</c:v>
                </c:pt>
                <c:pt idx="16">
                  <c:v>-8494.7368421052633</c:v>
                </c:pt>
                <c:pt idx="17">
                  <c:v>-8494.7368421052633</c:v>
                </c:pt>
                <c:pt idx="18">
                  <c:v>-8494.7368421052633</c:v>
                </c:pt>
                <c:pt idx="19">
                  <c:v>-8670</c:v>
                </c:pt>
                <c:pt idx="20">
                  <c:v>-8440.9090909090901</c:v>
                </c:pt>
                <c:pt idx="21">
                  <c:v>-8160.869565217391</c:v>
                </c:pt>
                <c:pt idx="22">
                  <c:v>-8384</c:v>
                </c:pt>
                <c:pt idx="23">
                  <c:v>-8785.1851851851843</c:v>
                </c:pt>
                <c:pt idx="24">
                  <c:v>-8785.1851851851843</c:v>
                </c:pt>
                <c:pt idx="25">
                  <c:v>-8900</c:v>
                </c:pt>
                <c:pt idx="26">
                  <c:v>-8900</c:v>
                </c:pt>
                <c:pt idx="27">
                  <c:v>-8900</c:v>
                </c:pt>
                <c:pt idx="28">
                  <c:v>-8932.3529411764703</c:v>
                </c:pt>
                <c:pt idx="29">
                  <c:v>-8751.4285714285706</c:v>
                </c:pt>
                <c:pt idx="30">
                  <c:v>-8851.3513513513517</c:v>
                </c:pt>
                <c:pt idx="31">
                  <c:v>-8686.8421052631584</c:v>
                </c:pt>
                <c:pt idx="32">
                  <c:v>-8612.8205128205136</c:v>
                </c:pt>
                <c:pt idx="33">
                  <c:v>-8495</c:v>
                </c:pt>
                <c:pt idx="34">
                  <c:v>-8306.9767441860458</c:v>
                </c:pt>
                <c:pt idx="35">
                  <c:v>-8481.818181818182</c:v>
                </c:pt>
                <c:pt idx="36">
                  <c:v>-8481.818181818182</c:v>
                </c:pt>
                <c:pt idx="37">
                  <c:v>-8481.818181818182</c:v>
                </c:pt>
                <c:pt idx="38">
                  <c:v>-8706.3829787234044</c:v>
                </c:pt>
                <c:pt idx="39">
                  <c:v>-8706.3829787234044</c:v>
                </c:pt>
                <c:pt idx="40">
                  <c:v>-8858.3333333333339</c:v>
                </c:pt>
                <c:pt idx="41">
                  <c:v>-8834.6938775510207</c:v>
                </c:pt>
                <c:pt idx="42">
                  <c:v>-8898</c:v>
                </c:pt>
                <c:pt idx="43">
                  <c:v>-9500</c:v>
                </c:pt>
                <c:pt idx="44">
                  <c:v>-9500</c:v>
                </c:pt>
                <c:pt idx="45">
                  <c:v>-9500</c:v>
                </c:pt>
                <c:pt idx="46">
                  <c:v>-9546.2962962962956</c:v>
                </c:pt>
                <c:pt idx="47">
                  <c:v>-9443.636363636364</c:v>
                </c:pt>
                <c:pt idx="48">
                  <c:v>-9443.636363636364</c:v>
                </c:pt>
                <c:pt idx="49">
                  <c:v>-9412.5</c:v>
                </c:pt>
                <c:pt idx="50">
                  <c:v>-9282.4561403508778</c:v>
                </c:pt>
                <c:pt idx="51">
                  <c:v>-9282.4561403508778</c:v>
                </c:pt>
                <c:pt idx="52">
                  <c:v>-9285</c:v>
                </c:pt>
                <c:pt idx="53">
                  <c:v>-9157.377049180328</c:v>
                </c:pt>
                <c:pt idx="54">
                  <c:v>-9374.6031746031749</c:v>
                </c:pt>
                <c:pt idx="55">
                  <c:v>-9374.6031746031749</c:v>
                </c:pt>
                <c:pt idx="56">
                  <c:v>-9289.2307692307695</c:v>
                </c:pt>
                <c:pt idx="57">
                  <c:v>-9289.2307692307695</c:v>
                </c:pt>
                <c:pt idx="58">
                  <c:v>-9269.69696969697</c:v>
                </c:pt>
                <c:pt idx="59">
                  <c:v>-9269.69696969697</c:v>
                </c:pt>
                <c:pt idx="60">
                  <c:v>-9269.69696969697</c:v>
                </c:pt>
                <c:pt idx="61">
                  <c:v>-9379.4117647058829</c:v>
                </c:pt>
                <c:pt idx="62">
                  <c:v>-9417.391304347826</c:v>
                </c:pt>
                <c:pt idx="63">
                  <c:v>-9350.7042253521122</c:v>
                </c:pt>
                <c:pt idx="64">
                  <c:v>-9381.9444444444453</c:v>
                </c:pt>
                <c:pt idx="65">
                  <c:v>-9324.6575342465749</c:v>
                </c:pt>
                <c:pt idx="66">
                  <c:v>-9127.6315789473683</c:v>
                </c:pt>
                <c:pt idx="67">
                  <c:v>-9035.0649350649346</c:v>
                </c:pt>
                <c:pt idx="68">
                  <c:v>-9073.0769230769238</c:v>
                </c:pt>
                <c:pt idx="69">
                  <c:v>-8927.5</c:v>
                </c:pt>
                <c:pt idx="70">
                  <c:v>-8912.3456790123455</c:v>
                </c:pt>
                <c:pt idx="71">
                  <c:v>-8695.2380952380954</c:v>
                </c:pt>
                <c:pt idx="72">
                  <c:v>-8638.823529411764</c:v>
                </c:pt>
                <c:pt idx="73">
                  <c:v>-8577.0114942528744</c:v>
                </c:pt>
                <c:pt idx="74">
                  <c:v>-8577.0114942528744</c:v>
                </c:pt>
                <c:pt idx="75">
                  <c:v>-8564.0449438202249</c:v>
                </c:pt>
                <c:pt idx="76">
                  <c:v>-8512.2222222222226</c:v>
                </c:pt>
                <c:pt idx="77">
                  <c:v>-8579.347826086956</c:v>
                </c:pt>
                <c:pt idx="78">
                  <c:v>-8579.347826086956</c:v>
                </c:pt>
                <c:pt idx="79">
                  <c:v>-8579.347826086956</c:v>
                </c:pt>
                <c:pt idx="80">
                  <c:v>-8538.9473684210534</c:v>
                </c:pt>
                <c:pt idx="81">
                  <c:v>-8575</c:v>
                </c:pt>
                <c:pt idx="82">
                  <c:v>-8542.8571428571431</c:v>
                </c:pt>
                <c:pt idx="83">
                  <c:v>-8542.8571428571431</c:v>
                </c:pt>
                <c:pt idx="84">
                  <c:v>-8638.3838383838392</c:v>
                </c:pt>
                <c:pt idx="85">
                  <c:v>-8632</c:v>
                </c:pt>
                <c:pt idx="86">
                  <c:v>-8632</c:v>
                </c:pt>
                <c:pt idx="87">
                  <c:v>-8632</c:v>
                </c:pt>
                <c:pt idx="88">
                  <c:v>-8717.6470588235297</c:v>
                </c:pt>
                <c:pt idx="89">
                  <c:v>-8679.8076923076915</c:v>
                </c:pt>
                <c:pt idx="90">
                  <c:v>-8488.8888888888887</c:v>
                </c:pt>
                <c:pt idx="91">
                  <c:v>-8425.6880733944963</c:v>
                </c:pt>
                <c:pt idx="92">
                  <c:v>-8425.6880733944963</c:v>
                </c:pt>
                <c:pt idx="93">
                  <c:v>-8396.363636363636</c:v>
                </c:pt>
                <c:pt idx="94">
                  <c:v>-8238.5964912280706</c:v>
                </c:pt>
                <c:pt idx="95">
                  <c:v>-8238.5964912280706</c:v>
                </c:pt>
                <c:pt idx="96">
                  <c:v>-8190.5172413793107</c:v>
                </c:pt>
                <c:pt idx="97">
                  <c:v>-8190.5172413793107</c:v>
                </c:pt>
                <c:pt idx="98">
                  <c:v>-8153.8461538461543</c:v>
                </c:pt>
                <c:pt idx="99">
                  <c:v>-8153.8461538461543</c:v>
                </c:pt>
                <c:pt idx="100">
                  <c:v>-8181.5126050420167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114.675220529270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たかの2!$K$1:$K$2</c:f>
              <c:strCache>
                <c:ptCount val="2"/>
                <c:pt idx="0">
                  <c:v>たかの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たかの2!$A$3:$A$103</c:f>
              <c:numCache>
                <c:formatCode>0\ "回"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たかの2!$K$3:$K$103</c:f>
              <c:numCache>
                <c:formatCode>0.0%</c:formatCode>
                <c:ptCount val="10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5.7142857142857141E-2</c:v>
                </c:pt>
                <c:pt idx="36">
                  <c:v>5.5555555555555552E-2</c:v>
                </c:pt>
                <c:pt idx="37">
                  <c:v>5.4054054054054057E-2</c:v>
                </c:pt>
                <c:pt idx="38">
                  <c:v>5.2631578947368418E-2</c:v>
                </c:pt>
                <c:pt idx="39">
                  <c:v>5.128205128205128E-2</c:v>
                </c:pt>
                <c:pt idx="40">
                  <c:v>0.05</c:v>
                </c:pt>
                <c:pt idx="41">
                  <c:v>4.878048780487805E-2</c:v>
                </c:pt>
                <c:pt idx="42">
                  <c:v>4.7619047619047616E-2</c:v>
                </c:pt>
                <c:pt idx="43">
                  <c:v>6.9767441860465115E-2</c:v>
                </c:pt>
                <c:pt idx="44">
                  <c:v>6.8181818181818177E-2</c:v>
                </c:pt>
                <c:pt idx="45">
                  <c:v>6.6666666666666666E-2</c:v>
                </c:pt>
                <c:pt idx="46">
                  <c:v>6.5217391304347824E-2</c:v>
                </c:pt>
                <c:pt idx="47">
                  <c:v>6.3829787234042548E-2</c:v>
                </c:pt>
                <c:pt idx="48">
                  <c:v>6.25E-2</c:v>
                </c:pt>
                <c:pt idx="49">
                  <c:v>6.1224489795918366E-2</c:v>
                </c:pt>
                <c:pt idx="50">
                  <c:v>0.06</c:v>
                </c:pt>
                <c:pt idx="51">
                  <c:v>5.8823529411764705E-2</c:v>
                </c:pt>
                <c:pt idx="52">
                  <c:v>5.7692307692307696E-2</c:v>
                </c:pt>
                <c:pt idx="53">
                  <c:v>5.6603773584905662E-2</c:v>
                </c:pt>
                <c:pt idx="54">
                  <c:v>5.5555555555555552E-2</c:v>
                </c:pt>
                <c:pt idx="55">
                  <c:v>5.4545454545454543E-2</c:v>
                </c:pt>
                <c:pt idx="56">
                  <c:v>5.3571428571428568E-2</c:v>
                </c:pt>
                <c:pt idx="57">
                  <c:v>5.2631578947368418E-2</c:v>
                </c:pt>
                <c:pt idx="58">
                  <c:v>5.1724137931034482E-2</c:v>
                </c:pt>
                <c:pt idx="59">
                  <c:v>5.0847457627118647E-2</c:v>
                </c:pt>
                <c:pt idx="60">
                  <c:v>0.05</c:v>
                </c:pt>
                <c:pt idx="61">
                  <c:v>4.9180327868852458E-2</c:v>
                </c:pt>
                <c:pt idx="62">
                  <c:v>4.8387096774193547E-2</c:v>
                </c:pt>
                <c:pt idx="63">
                  <c:v>4.7619047619047616E-2</c:v>
                </c:pt>
                <c:pt idx="64">
                  <c:v>4.6875E-2</c:v>
                </c:pt>
                <c:pt idx="65">
                  <c:v>4.6153846153846156E-2</c:v>
                </c:pt>
                <c:pt idx="66">
                  <c:v>4.5454545454545456E-2</c:v>
                </c:pt>
                <c:pt idx="67">
                  <c:v>4.4776119402985072E-2</c:v>
                </c:pt>
                <c:pt idx="68">
                  <c:v>4.4117647058823532E-2</c:v>
                </c:pt>
                <c:pt idx="69">
                  <c:v>4.3478260869565216E-2</c:v>
                </c:pt>
                <c:pt idx="70">
                  <c:v>4.2857142857142858E-2</c:v>
                </c:pt>
                <c:pt idx="71">
                  <c:v>4.2253521126760563E-2</c:v>
                </c:pt>
                <c:pt idx="72">
                  <c:v>4.1666666666666664E-2</c:v>
                </c:pt>
                <c:pt idx="73">
                  <c:v>5.4794520547945202E-2</c:v>
                </c:pt>
                <c:pt idx="74">
                  <c:v>5.4054054054054057E-2</c:v>
                </c:pt>
                <c:pt idx="75">
                  <c:v>5.3333333333333337E-2</c:v>
                </c:pt>
                <c:pt idx="76">
                  <c:v>5.2631578947368418E-2</c:v>
                </c:pt>
                <c:pt idx="77">
                  <c:v>5.1948051948051951E-2</c:v>
                </c:pt>
                <c:pt idx="78">
                  <c:v>5.128205128205128E-2</c:v>
                </c:pt>
                <c:pt idx="79">
                  <c:v>5.0632911392405063E-2</c:v>
                </c:pt>
                <c:pt idx="80">
                  <c:v>0.05</c:v>
                </c:pt>
                <c:pt idx="81">
                  <c:v>4.9382716049382713E-2</c:v>
                </c:pt>
                <c:pt idx="82">
                  <c:v>4.878048780487805E-2</c:v>
                </c:pt>
                <c:pt idx="83">
                  <c:v>4.8192771084337352E-2</c:v>
                </c:pt>
                <c:pt idx="84">
                  <c:v>5.9523809523809521E-2</c:v>
                </c:pt>
                <c:pt idx="85">
                  <c:v>5.8823529411764705E-2</c:v>
                </c:pt>
                <c:pt idx="86">
                  <c:v>5.8139534883720929E-2</c:v>
                </c:pt>
                <c:pt idx="87">
                  <c:v>5.7471264367816091E-2</c:v>
                </c:pt>
                <c:pt idx="88">
                  <c:v>5.6818181818181816E-2</c:v>
                </c:pt>
                <c:pt idx="89">
                  <c:v>5.6179775280898875E-2</c:v>
                </c:pt>
                <c:pt idx="90">
                  <c:v>5.5555555555555552E-2</c:v>
                </c:pt>
                <c:pt idx="91">
                  <c:v>5.4945054945054944E-2</c:v>
                </c:pt>
                <c:pt idx="92">
                  <c:v>5.434782608695652E-2</c:v>
                </c:pt>
                <c:pt idx="93">
                  <c:v>5.3763440860215055E-2</c:v>
                </c:pt>
                <c:pt idx="94">
                  <c:v>5.3191489361702128E-2</c:v>
                </c:pt>
                <c:pt idx="95">
                  <c:v>5.2631578947368418E-2</c:v>
                </c:pt>
                <c:pt idx="96">
                  <c:v>5.2083333333333336E-2</c:v>
                </c:pt>
                <c:pt idx="97">
                  <c:v>5.1546391752577317E-2</c:v>
                </c:pt>
                <c:pt idx="98">
                  <c:v>5.1020408163265307E-2</c:v>
                </c:pt>
                <c:pt idx="99">
                  <c:v>5.0505050505050504E-2</c:v>
                </c:pt>
                <c:pt idx="100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07087486157253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たかの2!$L$1:$L$2</c:f>
              <c:strCache>
                <c:ptCount val="2"/>
                <c:pt idx="0">
                  <c:v>たかの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たかの2!$A$3:$A$103</c:f>
              <c:numCache>
                <c:formatCode>0\ "回"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たかの2!$L$3:$L$103</c:f>
              <c:numCache>
                <c:formatCode>0.0%</c:formatCode>
                <c:ptCount val="10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0.125</c:v>
                </c:pt>
                <c:pt idx="25">
                  <c:v>0.12</c:v>
                </c:pt>
                <c:pt idx="26">
                  <c:v>0.11538461538461539</c:v>
                </c:pt>
                <c:pt idx="27">
                  <c:v>0.1111111111111111</c:v>
                </c:pt>
                <c:pt idx="28">
                  <c:v>0.10714285714285714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0.16129032258064516</c:v>
                </c:pt>
                <c:pt idx="32">
                  <c:v>0.15625</c:v>
                </c:pt>
                <c:pt idx="33">
                  <c:v>0.15151515151515152</c:v>
                </c:pt>
                <c:pt idx="34">
                  <c:v>0.14705882352941177</c:v>
                </c:pt>
                <c:pt idx="35">
                  <c:v>0.14285714285714285</c:v>
                </c:pt>
                <c:pt idx="36">
                  <c:v>0.1388888888888889</c:v>
                </c:pt>
                <c:pt idx="37">
                  <c:v>0.13513513513513514</c:v>
                </c:pt>
                <c:pt idx="38">
                  <c:v>0.13157894736842105</c:v>
                </c:pt>
                <c:pt idx="39">
                  <c:v>0.12820512820512819</c:v>
                </c:pt>
                <c:pt idx="40">
                  <c:v>0.125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0.11363636363636363</c:v>
                </c:pt>
                <c:pt idx="45">
                  <c:v>0.1111111111111111</c:v>
                </c:pt>
                <c:pt idx="46">
                  <c:v>0.10869565217391304</c:v>
                </c:pt>
                <c:pt idx="47">
                  <c:v>0.10638297872340426</c:v>
                </c:pt>
                <c:pt idx="48">
                  <c:v>0.125</c:v>
                </c:pt>
                <c:pt idx="49">
                  <c:v>0.12244897959183673</c:v>
                </c:pt>
                <c:pt idx="50">
                  <c:v>0.12</c:v>
                </c:pt>
                <c:pt idx="51">
                  <c:v>0.11764705882352941</c:v>
                </c:pt>
                <c:pt idx="52">
                  <c:v>0.11538461538461539</c:v>
                </c:pt>
                <c:pt idx="53">
                  <c:v>0.11320754716981132</c:v>
                </c:pt>
                <c:pt idx="54">
                  <c:v>0.1111111111111111</c:v>
                </c:pt>
                <c:pt idx="55">
                  <c:v>0.10909090909090909</c:v>
                </c:pt>
                <c:pt idx="56">
                  <c:v>0.10714285714285714</c:v>
                </c:pt>
                <c:pt idx="57">
                  <c:v>0.10526315789473684</c:v>
                </c:pt>
                <c:pt idx="58">
                  <c:v>0.10344827586206896</c:v>
                </c:pt>
                <c:pt idx="59">
                  <c:v>0.10169491525423729</c:v>
                </c:pt>
                <c:pt idx="60">
                  <c:v>0.11666666666666667</c:v>
                </c:pt>
                <c:pt idx="61">
                  <c:v>0.11475409836065574</c:v>
                </c:pt>
                <c:pt idx="62">
                  <c:v>0.11290322580645161</c:v>
                </c:pt>
                <c:pt idx="63">
                  <c:v>0.1111111111111111</c:v>
                </c:pt>
                <c:pt idx="64">
                  <c:v>0.109375</c:v>
                </c:pt>
                <c:pt idx="65">
                  <c:v>0.1076923076923077</c:v>
                </c:pt>
                <c:pt idx="66">
                  <c:v>0.10606060606060606</c:v>
                </c:pt>
                <c:pt idx="67">
                  <c:v>0.1044776119402985</c:v>
                </c:pt>
                <c:pt idx="68">
                  <c:v>0.10294117647058823</c:v>
                </c:pt>
                <c:pt idx="69">
                  <c:v>0.10144927536231885</c:v>
                </c:pt>
                <c:pt idx="70">
                  <c:v>0.1</c:v>
                </c:pt>
                <c:pt idx="71">
                  <c:v>9.8591549295774641E-2</c:v>
                </c:pt>
                <c:pt idx="72">
                  <c:v>9.7222222222222224E-2</c:v>
                </c:pt>
                <c:pt idx="73">
                  <c:v>9.5890410958904104E-2</c:v>
                </c:pt>
                <c:pt idx="74">
                  <c:v>0.10810810810810811</c:v>
                </c:pt>
                <c:pt idx="75">
                  <c:v>0.10666666666666667</c:v>
                </c:pt>
                <c:pt idx="76">
                  <c:v>0.11842105263157894</c:v>
                </c:pt>
                <c:pt idx="77">
                  <c:v>0.11688311688311688</c:v>
                </c:pt>
                <c:pt idx="78">
                  <c:v>0.11538461538461539</c:v>
                </c:pt>
                <c:pt idx="79">
                  <c:v>0.11392405063291139</c:v>
                </c:pt>
                <c:pt idx="80">
                  <c:v>0.1125</c:v>
                </c:pt>
                <c:pt idx="81">
                  <c:v>0.1111111111111111</c:v>
                </c:pt>
                <c:pt idx="82">
                  <c:v>0.10975609756097561</c:v>
                </c:pt>
                <c:pt idx="83">
                  <c:v>0.10843373493975904</c:v>
                </c:pt>
                <c:pt idx="84">
                  <c:v>0.10714285714285714</c:v>
                </c:pt>
                <c:pt idx="85">
                  <c:v>0.10588235294117647</c:v>
                </c:pt>
                <c:pt idx="86">
                  <c:v>0.10465116279069768</c:v>
                </c:pt>
                <c:pt idx="87">
                  <c:v>0.10344827586206896</c:v>
                </c:pt>
                <c:pt idx="88">
                  <c:v>0.10227272727272728</c:v>
                </c:pt>
                <c:pt idx="89">
                  <c:v>0.11235955056179775</c:v>
                </c:pt>
                <c:pt idx="90">
                  <c:v>0.1111111111111111</c:v>
                </c:pt>
                <c:pt idx="91">
                  <c:v>0.10989010989010989</c:v>
                </c:pt>
                <c:pt idx="92">
                  <c:v>0.10869565217391304</c:v>
                </c:pt>
                <c:pt idx="93">
                  <c:v>0.10752688172043011</c:v>
                </c:pt>
                <c:pt idx="94">
                  <c:v>0.10638297872340426</c:v>
                </c:pt>
                <c:pt idx="95">
                  <c:v>0.10526315789473684</c:v>
                </c:pt>
                <c:pt idx="96">
                  <c:v>0.10416666666666667</c:v>
                </c:pt>
                <c:pt idx="97">
                  <c:v>0.10309278350515463</c:v>
                </c:pt>
                <c:pt idx="98">
                  <c:v>0.10204081632653061</c:v>
                </c:pt>
                <c:pt idx="99">
                  <c:v>0.10101010101010101</c:v>
                </c:pt>
                <c:pt idx="10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07087486157253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たかの2!$M$1:$M$2</c:f>
              <c:strCache>
                <c:ptCount val="2"/>
                <c:pt idx="0">
                  <c:v>たかの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たかの2!$A$3:$A$103</c:f>
              <c:numCache>
                <c:formatCode>0\ "回"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たかの2!$M$3:$M$103</c:f>
              <c:numCache>
                <c:formatCode>0.0%</c:formatCode>
                <c:ptCount val="101"/>
                <c:pt idx="1">
                  <c:v>0</c:v>
                </c:pt>
                <c:pt idx="2">
                  <c:v>0.125</c:v>
                </c:pt>
                <c:pt idx="3">
                  <c:v>0.15</c:v>
                </c:pt>
                <c:pt idx="4">
                  <c:v>0.14285714285714285</c:v>
                </c:pt>
                <c:pt idx="5">
                  <c:v>0.15</c:v>
                </c:pt>
                <c:pt idx="6">
                  <c:v>0.14893617021276595</c:v>
                </c:pt>
                <c:pt idx="7">
                  <c:v>0.18181818181818182</c:v>
                </c:pt>
                <c:pt idx="8">
                  <c:v>0.18032786885245902</c:v>
                </c:pt>
                <c:pt idx="9">
                  <c:v>0.18309859154929578</c:v>
                </c:pt>
                <c:pt idx="10">
                  <c:v>0.23376623376623376</c:v>
                </c:pt>
                <c:pt idx="11">
                  <c:v>0.2247191011235955</c:v>
                </c:pt>
                <c:pt idx="12">
                  <c:v>0.20833333333333334</c:v>
                </c:pt>
                <c:pt idx="13">
                  <c:v>0.2</c:v>
                </c:pt>
                <c:pt idx="14">
                  <c:v>0.2072072072072072</c:v>
                </c:pt>
                <c:pt idx="15">
                  <c:v>0.20168067226890757</c:v>
                </c:pt>
                <c:pt idx="16">
                  <c:v>0.20161290322580644</c:v>
                </c:pt>
                <c:pt idx="17">
                  <c:v>0.20454545454545456</c:v>
                </c:pt>
                <c:pt idx="18">
                  <c:v>0.2</c:v>
                </c:pt>
                <c:pt idx="19">
                  <c:v>0.21088435374149661</c:v>
                </c:pt>
                <c:pt idx="20">
                  <c:v>0.20987654320987653</c:v>
                </c:pt>
                <c:pt idx="21">
                  <c:v>0.2138728323699422</c:v>
                </c:pt>
                <c:pt idx="22">
                  <c:v>0.21978021978021978</c:v>
                </c:pt>
                <c:pt idx="23">
                  <c:v>0.2275132275132275</c:v>
                </c:pt>
                <c:pt idx="24">
                  <c:v>0.23589743589743589</c:v>
                </c:pt>
                <c:pt idx="25">
                  <c:v>0.23300970873786409</c:v>
                </c:pt>
                <c:pt idx="26">
                  <c:v>0.23364485981308411</c:v>
                </c:pt>
                <c:pt idx="27">
                  <c:v>0.22421524663677131</c:v>
                </c:pt>
                <c:pt idx="28">
                  <c:v>0.22317596566523606</c:v>
                </c:pt>
                <c:pt idx="29">
                  <c:v>0.22633744855967078</c:v>
                </c:pt>
                <c:pt idx="30">
                  <c:v>0.21568627450980393</c:v>
                </c:pt>
                <c:pt idx="31">
                  <c:v>0.22137404580152673</c:v>
                </c:pt>
                <c:pt idx="32">
                  <c:v>0.21978021978021978</c:v>
                </c:pt>
                <c:pt idx="33">
                  <c:v>0.22695035460992907</c:v>
                </c:pt>
                <c:pt idx="34">
                  <c:v>0.23183391003460208</c:v>
                </c:pt>
                <c:pt idx="35">
                  <c:v>0.22895622895622897</c:v>
                </c:pt>
                <c:pt idx="36">
                  <c:v>0.23026315789473684</c:v>
                </c:pt>
                <c:pt idx="37">
                  <c:v>0.23076923076923078</c:v>
                </c:pt>
                <c:pt idx="38">
                  <c:v>0.23148148148148148</c:v>
                </c:pt>
                <c:pt idx="39">
                  <c:v>0.2289156626506024</c:v>
                </c:pt>
                <c:pt idx="40">
                  <c:v>0.23391812865497075</c:v>
                </c:pt>
                <c:pt idx="41">
                  <c:v>0.23646723646723647</c:v>
                </c:pt>
                <c:pt idx="42">
                  <c:v>0.23369565217391305</c:v>
                </c:pt>
                <c:pt idx="43">
                  <c:v>0.23200000000000001</c:v>
                </c:pt>
                <c:pt idx="44">
                  <c:v>0.23376623376623376</c:v>
                </c:pt>
                <c:pt idx="45">
                  <c:v>0.22959183673469388</c:v>
                </c:pt>
                <c:pt idx="46">
                  <c:v>0.22580645161290322</c:v>
                </c:pt>
                <c:pt idx="47">
                  <c:v>0.22330097087378642</c:v>
                </c:pt>
                <c:pt idx="48">
                  <c:v>0.22274881516587677</c:v>
                </c:pt>
                <c:pt idx="49">
                  <c:v>0.21911421911421911</c:v>
                </c:pt>
                <c:pt idx="50">
                  <c:v>0.2219679633867277</c:v>
                </c:pt>
                <c:pt idx="51">
                  <c:v>0.21896162528216703</c:v>
                </c:pt>
                <c:pt idx="52">
                  <c:v>0.22222222222222221</c:v>
                </c:pt>
                <c:pt idx="53">
                  <c:v>0.2205240174672489</c:v>
                </c:pt>
                <c:pt idx="54">
                  <c:v>0.22151898734177214</c:v>
                </c:pt>
                <c:pt idx="55">
                  <c:v>0.21694214876033058</c:v>
                </c:pt>
                <c:pt idx="56">
                  <c:v>0.21588594704684319</c:v>
                </c:pt>
                <c:pt idx="57">
                  <c:v>0.21414141414141413</c:v>
                </c:pt>
                <c:pt idx="58">
                  <c:v>0.22244094488188976</c:v>
                </c:pt>
                <c:pt idx="59">
                  <c:v>0.22093023255813954</c:v>
                </c:pt>
                <c:pt idx="60">
                  <c:v>0.21965317919075145</c:v>
                </c:pt>
                <c:pt idx="61">
                  <c:v>0.2178030303030303</c:v>
                </c:pt>
                <c:pt idx="62">
                  <c:v>0.21869158878504674</c:v>
                </c:pt>
                <c:pt idx="63">
                  <c:v>0.21834862385321102</c:v>
                </c:pt>
                <c:pt idx="64">
                  <c:v>0.21942446043165467</c:v>
                </c:pt>
                <c:pt idx="65">
                  <c:v>0.2202486678507993</c:v>
                </c:pt>
                <c:pt idx="66">
                  <c:v>0.21989528795811519</c:v>
                </c:pt>
                <c:pt idx="67">
                  <c:v>0.2189655172413793</c:v>
                </c:pt>
                <c:pt idx="68">
                  <c:v>0.21598639455782312</c:v>
                </c:pt>
                <c:pt idx="69">
                  <c:v>0.21608040201005024</c:v>
                </c:pt>
                <c:pt idx="70">
                  <c:v>0.21818181818181817</c:v>
                </c:pt>
                <c:pt idx="71">
                  <c:v>0.21533442088091354</c:v>
                </c:pt>
                <c:pt idx="72">
                  <c:v>0.214170692431562</c:v>
                </c:pt>
                <c:pt idx="73">
                  <c:v>0.21178343949044587</c:v>
                </c:pt>
                <c:pt idx="74">
                  <c:v>0.21202531645569619</c:v>
                </c:pt>
                <c:pt idx="75">
                  <c:v>0.21339563862928349</c:v>
                </c:pt>
                <c:pt idx="76">
                  <c:v>0.2153846153846154</c:v>
                </c:pt>
                <c:pt idx="77">
                  <c:v>0.21396054628224584</c:v>
                </c:pt>
                <c:pt idx="78">
                  <c:v>0.21321321321321321</c:v>
                </c:pt>
                <c:pt idx="79">
                  <c:v>0.21343283582089553</c:v>
                </c:pt>
                <c:pt idx="80">
                  <c:v>0.21029411764705883</c:v>
                </c:pt>
                <c:pt idx="81">
                  <c:v>0.21037463976945245</c:v>
                </c:pt>
                <c:pt idx="82">
                  <c:v>0.21052631578947367</c:v>
                </c:pt>
                <c:pt idx="83">
                  <c:v>0.21015514809590974</c:v>
                </c:pt>
                <c:pt idx="84">
                  <c:v>0.2116991643454039</c:v>
                </c:pt>
                <c:pt idx="85">
                  <c:v>0.21241379310344827</c:v>
                </c:pt>
                <c:pt idx="86">
                  <c:v>0.21262002743484226</c:v>
                </c:pt>
                <c:pt idx="87">
                  <c:v>0.21282401091405184</c:v>
                </c:pt>
                <c:pt idx="88">
                  <c:v>0.20995962314939434</c:v>
                </c:pt>
                <c:pt idx="89">
                  <c:v>0.2103861517976032</c:v>
                </c:pt>
                <c:pt idx="90">
                  <c:v>0.21447368421052632</c:v>
                </c:pt>
                <c:pt idx="91">
                  <c:v>0.21279373368146215</c:v>
                </c:pt>
                <c:pt idx="92">
                  <c:v>0.21243523316062177</c:v>
                </c:pt>
                <c:pt idx="93">
                  <c:v>0.21510883482714468</c:v>
                </c:pt>
                <c:pt idx="94">
                  <c:v>0.21744627054361568</c:v>
                </c:pt>
                <c:pt idx="95">
                  <c:v>0.21580928481806774</c:v>
                </c:pt>
                <c:pt idx="96">
                  <c:v>0.21588089330024815</c:v>
                </c:pt>
                <c:pt idx="97">
                  <c:v>0.2139364303178484</c:v>
                </c:pt>
                <c:pt idx="98">
                  <c:v>0.21402660217654171</c:v>
                </c:pt>
                <c:pt idx="99">
                  <c:v>0.21223021582733814</c:v>
                </c:pt>
                <c:pt idx="100">
                  <c:v>0.21377672209026127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08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たかの2!$N$1:$N$2</c:f>
              <c:strCache>
                <c:ptCount val="2"/>
                <c:pt idx="0">
                  <c:v>たかの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たかの2!$A$3:$A$103</c:f>
              <c:numCache>
                <c:formatCode>0\ "回"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たかの2!$N$3:$N$103</c:f>
              <c:numCache>
                <c:formatCode>0.0%</c:formatCode>
                <c:ptCount val="101"/>
                <c:pt idx="1">
                  <c:v>0.42857142857142855</c:v>
                </c:pt>
                <c:pt idx="2">
                  <c:v>0.375</c:v>
                </c:pt>
                <c:pt idx="3">
                  <c:v>0.4</c:v>
                </c:pt>
                <c:pt idx="4">
                  <c:v>0.39285714285714285</c:v>
                </c:pt>
                <c:pt idx="5">
                  <c:v>0.35</c:v>
                </c:pt>
                <c:pt idx="6">
                  <c:v>0.36170212765957449</c:v>
                </c:pt>
                <c:pt idx="7">
                  <c:v>0.34545454545454546</c:v>
                </c:pt>
                <c:pt idx="8">
                  <c:v>0.34426229508196721</c:v>
                </c:pt>
                <c:pt idx="9">
                  <c:v>0.38028169014084506</c:v>
                </c:pt>
                <c:pt idx="10">
                  <c:v>0.36363636363636365</c:v>
                </c:pt>
                <c:pt idx="11">
                  <c:v>0.3707865168539326</c:v>
                </c:pt>
                <c:pt idx="12">
                  <c:v>0.375</c:v>
                </c:pt>
                <c:pt idx="13">
                  <c:v>0.38095238095238093</c:v>
                </c:pt>
                <c:pt idx="14">
                  <c:v>0.3783783783783784</c:v>
                </c:pt>
                <c:pt idx="15">
                  <c:v>0.36974789915966388</c:v>
                </c:pt>
                <c:pt idx="16">
                  <c:v>0.35483870967741937</c:v>
                </c:pt>
                <c:pt idx="17">
                  <c:v>0.34090909090909088</c:v>
                </c:pt>
                <c:pt idx="18">
                  <c:v>0.35714285714285715</c:v>
                </c:pt>
                <c:pt idx="19">
                  <c:v>0.35374149659863946</c:v>
                </c:pt>
                <c:pt idx="20">
                  <c:v>0.36419753086419754</c:v>
                </c:pt>
                <c:pt idx="21">
                  <c:v>0.36416184971098264</c:v>
                </c:pt>
                <c:pt idx="22">
                  <c:v>0.35164835164835168</c:v>
                </c:pt>
                <c:pt idx="23">
                  <c:v>0.3439153439153439</c:v>
                </c:pt>
                <c:pt idx="24">
                  <c:v>0.33846153846153848</c:v>
                </c:pt>
                <c:pt idx="25">
                  <c:v>0.3300970873786408</c:v>
                </c:pt>
                <c:pt idx="26">
                  <c:v>0.32710280373831774</c:v>
                </c:pt>
                <c:pt idx="27">
                  <c:v>0.3452914798206278</c:v>
                </c:pt>
                <c:pt idx="28">
                  <c:v>0.33476394849785407</c:v>
                </c:pt>
                <c:pt idx="29">
                  <c:v>0.34156378600823045</c:v>
                </c:pt>
                <c:pt idx="30">
                  <c:v>0.34509803921568627</c:v>
                </c:pt>
                <c:pt idx="31">
                  <c:v>0.33969465648854963</c:v>
                </c:pt>
                <c:pt idx="32">
                  <c:v>0.32600732600732601</c:v>
                </c:pt>
                <c:pt idx="33">
                  <c:v>0.31914893617021278</c:v>
                </c:pt>
                <c:pt idx="34">
                  <c:v>0.31833910034602075</c:v>
                </c:pt>
                <c:pt idx="35">
                  <c:v>0.3164983164983165</c:v>
                </c:pt>
                <c:pt idx="36">
                  <c:v>0.3125</c:v>
                </c:pt>
                <c:pt idx="37">
                  <c:v>0.30448717948717946</c:v>
                </c:pt>
                <c:pt idx="38">
                  <c:v>0.30246913580246915</c:v>
                </c:pt>
                <c:pt idx="39">
                  <c:v>0.30120481927710846</c:v>
                </c:pt>
                <c:pt idx="40">
                  <c:v>0.30116959064327486</c:v>
                </c:pt>
                <c:pt idx="41">
                  <c:v>0.29629629629629628</c:v>
                </c:pt>
                <c:pt idx="42">
                  <c:v>0.29891304347826086</c:v>
                </c:pt>
                <c:pt idx="43">
                  <c:v>0.29866666666666669</c:v>
                </c:pt>
                <c:pt idx="44">
                  <c:v>0.29350649350649349</c:v>
                </c:pt>
                <c:pt idx="45">
                  <c:v>0.29336734693877553</c:v>
                </c:pt>
                <c:pt idx="46">
                  <c:v>0.29776674937965258</c:v>
                </c:pt>
                <c:pt idx="47">
                  <c:v>0.30339805825242716</c:v>
                </c:pt>
                <c:pt idx="48">
                  <c:v>0.30331753554502372</c:v>
                </c:pt>
                <c:pt idx="49">
                  <c:v>0.30769230769230771</c:v>
                </c:pt>
                <c:pt idx="50">
                  <c:v>0.30205949656750575</c:v>
                </c:pt>
                <c:pt idx="51">
                  <c:v>0.30474040632054178</c:v>
                </c:pt>
                <c:pt idx="52">
                  <c:v>0.30444444444444446</c:v>
                </c:pt>
                <c:pt idx="53">
                  <c:v>0.29912663755458513</c:v>
                </c:pt>
                <c:pt idx="54">
                  <c:v>0.29535864978902954</c:v>
                </c:pt>
                <c:pt idx="55">
                  <c:v>0.29545454545454547</c:v>
                </c:pt>
                <c:pt idx="56">
                  <c:v>0.29124236252545826</c:v>
                </c:pt>
                <c:pt idx="57">
                  <c:v>0.29090909090909089</c:v>
                </c:pt>
                <c:pt idx="58">
                  <c:v>0.2874015748031496</c:v>
                </c:pt>
                <c:pt idx="59">
                  <c:v>0.28875968992248063</c:v>
                </c:pt>
                <c:pt idx="60">
                  <c:v>0.2928709055876686</c:v>
                </c:pt>
                <c:pt idx="61">
                  <c:v>0.29545454545454547</c:v>
                </c:pt>
                <c:pt idx="62">
                  <c:v>0.29532710280373831</c:v>
                </c:pt>
                <c:pt idx="63">
                  <c:v>0.29541284403669726</c:v>
                </c:pt>
                <c:pt idx="64">
                  <c:v>0.29136690647482016</c:v>
                </c:pt>
                <c:pt idx="65">
                  <c:v>0.29129662522202487</c:v>
                </c:pt>
                <c:pt idx="66">
                  <c:v>0.29319371727748689</c:v>
                </c:pt>
                <c:pt idx="67">
                  <c:v>0.2982758620689655</c:v>
                </c:pt>
                <c:pt idx="68">
                  <c:v>0.29421768707482993</c:v>
                </c:pt>
                <c:pt idx="69">
                  <c:v>0.29145728643216079</c:v>
                </c:pt>
                <c:pt idx="70">
                  <c:v>0.28760330578512394</c:v>
                </c:pt>
                <c:pt idx="71">
                  <c:v>0.28711256117455136</c:v>
                </c:pt>
                <c:pt idx="72">
                  <c:v>0.28824476650563607</c:v>
                </c:pt>
                <c:pt idx="73">
                  <c:v>0.28980891719745222</c:v>
                </c:pt>
                <c:pt idx="74">
                  <c:v>0.29113924050632911</c:v>
                </c:pt>
                <c:pt idx="75">
                  <c:v>0.28971962616822428</c:v>
                </c:pt>
                <c:pt idx="76">
                  <c:v>0.28769230769230769</c:v>
                </c:pt>
                <c:pt idx="77">
                  <c:v>0.2883156297420334</c:v>
                </c:pt>
                <c:pt idx="78">
                  <c:v>0.29129129129129128</c:v>
                </c:pt>
                <c:pt idx="79">
                  <c:v>0.28955223880597014</c:v>
                </c:pt>
                <c:pt idx="80">
                  <c:v>0.29264705882352943</c:v>
                </c:pt>
                <c:pt idx="81">
                  <c:v>0.29394812680115273</c:v>
                </c:pt>
                <c:pt idx="82">
                  <c:v>0.29445234708392604</c:v>
                </c:pt>
                <c:pt idx="83">
                  <c:v>0.29478138222849082</c:v>
                </c:pt>
                <c:pt idx="84">
                  <c:v>0.29247910863509752</c:v>
                </c:pt>
                <c:pt idx="85">
                  <c:v>0.29103448275862071</c:v>
                </c:pt>
                <c:pt idx="86">
                  <c:v>0.29218106995884774</c:v>
                </c:pt>
                <c:pt idx="87">
                  <c:v>0.29195088676671216</c:v>
                </c:pt>
                <c:pt idx="88">
                  <c:v>0.29340511440107669</c:v>
                </c:pt>
                <c:pt idx="89">
                  <c:v>0.29294274300932088</c:v>
                </c:pt>
                <c:pt idx="90">
                  <c:v>0.29078947368421054</c:v>
                </c:pt>
                <c:pt idx="91">
                  <c:v>0.28851174934725848</c:v>
                </c:pt>
                <c:pt idx="92">
                  <c:v>0.28756476683937826</c:v>
                </c:pt>
                <c:pt idx="93">
                  <c:v>0.28681177976952626</c:v>
                </c:pt>
                <c:pt idx="94">
                  <c:v>0.28445006321112515</c:v>
                </c:pt>
                <c:pt idx="95">
                  <c:v>0.28356336260978671</c:v>
                </c:pt>
                <c:pt idx="96">
                  <c:v>0.28411910669975188</c:v>
                </c:pt>
                <c:pt idx="97">
                  <c:v>0.2823960880195599</c:v>
                </c:pt>
                <c:pt idx="98">
                  <c:v>0.2841596130592503</c:v>
                </c:pt>
                <c:pt idx="99">
                  <c:v>0.28776978417266186</c:v>
                </c:pt>
                <c:pt idx="100">
                  <c:v>0.28978622327790976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16720085470085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たかの2!$O$1:$O$2</c:f>
              <c:strCache>
                <c:ptCount val="2"/>
                <c:pt idx="0">
                  <c:v>たかの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たかの2!$A$3:$A$103</c:f>
              <c:numCache>
                <c:formatCode>0\ "回"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たかの2!$O$3:$O$103</c:f>
              <c:numCache>
                <c:formatCode>0.0%</c:formatCode>
                <c:ptCount val="101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0.5</c:v>
                </c:pt>
                <c:pt idx="6">
                  <c:v>0.5714285714285714</c:v>
                </c:pt>
                <c:pt idx="7">
                  <c:v>0.7</c:v>
                </c:pt>
                <c:pt idx="8">
                  <c:v>0.63636363636363635</c:v>
                </c:pt>
                <c:pt idx="9">
                  <c:v>0.61538461538461542</c:v>
                </c:pt>
                <c:pt idx="10">
                  <c:v>0.72222222222222221</c:v>
                </c:pt>
                <c:pt idx="11">
                  <c:v>0.7</c:v>
                </c:pt>
                <c:pt idx="12">
                  <c:v>0.7</c:v>
                </c:pt>
                <c:pt idx="13">
                  <c:v>0.66666666666666663</c:v>
                </c:pt>
                <c:pt idx="14">
                  <c:v>0.65217391304347827</c:v>
                </c:pt>
                <c:pt idx="15">
                  <c:v>0.625</c:v>
                </c:pt>
                <c:pt idx="16">
                  <c:v>0.64</c:v>
                </c:pt>
                <c:pt idx="17">
                  <c:v>0.62962962962962965</c:v>
                </c:pt>
                <c:pt idx="18">
                  <c:v>0.6071428571428571</c:v>
                </c:pt>
                <c:pt idx="19">
                  <c:v>0.64516129032258063</c:v>
                </c:pt>
                <c:pt idx="20">
                  <c:v>0.6470588235294118</c:v>
                </c:pt>
                <c:pt idx="21">
                  <c:v>0.64864864864864868</c:v>
                </c:pt>
                <c:pt idx="22">
                  <c:v>0.625</c:v>
                </c:pt>
                <c:pt idx="23">
                  <c:v>0.58139534883720934</c:v>
                </c:pt>
                <c:pt idx="24">
                  <c:v>0.58695652173913049</c:v>
                </c:pt>
                <c:pt idx="25">
                  <c:v>0.58333333333333337</c:v>
                </c:pt>
                <c:pt idx="26">
                  <c:v>0.57999999999999996</c:v>
                </c:pt>
                <c:pt idx="27">
                  <c:v>0.57999999999999996</c:v>
                </c:pt>
                <c:pt idx="28">
                  <c:v>0.57692307692307687</c:v>
                </c:pt>
                <c:pt idx="29">
                  <c:v>0.58181818181818179</c:v>
                </c:pt>
                <c:pt idx="30">
                  <c:v>0.58181818181818179</c:v>
                </c:pt>
                <c:pt idx="31">
                  <c:v>0.58620689655172409</c:v>
                </c:pt>
                <c:pt idx="32">
                  <c:v>0.58333333333333337</c:v>
                </c:pt>
                <c:pt idx="33">
                  <c:v>0.578125</c:v>
                </c:pt>
                <c:pt idx="34">
                  <c:v>0.56716417910447758</c:v>
                </c:pt>
                <c:pt idx="35">
                  <c:v>0.55882352941176472</c:v>
                </c:pt>
                <c:pt idx="36">
                  <c:v>0.5714285714285714</c:v>
                </c:pt>
                <c:pt idx="37">
                  <c:v>0.58333333333333337</c:v>
                </c:pt>
                <c:pt idx="38">
                  <c:v>0.58666666666666667</c:v>
                </c:pt>
                <c:pt idx="39">
                  <c:v>0.59210526315789469</c:v>
                </c:pt>
                <c:pt idx="40">
                  <c:v>0.58750000000000002</c:v>
                </c:pt>
                <c:pt idx="41">
                  <c:v>0.60240963855421692</c:v>
                </c:pt>
                <c:pt idx="42">
                  <c:v>0.59302325581395354</c:v>
                </c:pt>
                <c:pt idx="43">
                  <c:v>0.5977011494252874</c:v>
                </c:pt>
                <c:pt idx="44">
                  <c:v>0.6</c:v>
                </c:pt>
                <c:pt idx="45">
                  <c:v>0.6</c:v>
                </c:pt>
                <c:pt idx="46">
                  <c:v>0.60439560439560436</c:v>
                </c:pt>
                <c:pt idx="47">
                  <c:v>0.59782608695652173</c:v>
                </c:pt>
                <c:pt idx="48">
                  <c:v>0.6063829787234043</c:v>
                </c:pt>
                <c:pt idx="49">
                  <c:v>0.6063829787234043</c:v>
                </c:pt>
                <c:pt idx="50">
                  <c:v>0.58762886597938147</c:v>
                </c:pt>
                <c:pt idx="51">
                  <c:v>0.58762886597938147</c:v>
                </c:pt>
                <c:pt idx="52">
                  <c:v>0.6</c:v>
                </c:pt>
                <c:pt idx="53">
                  <c:v>0.59405940594059403</c:v>
                </c:pt>
                <c:pt idx="54">
                  <c:v>0.59047619047619049</c:v>
                </c:pt>
                <c:pt idx="55">
                  <c:v>0.59047619047619049</c:v>
                </c:pt>
                <c:pt idx="56">
                  <c:v>0.59433962264150941</c:v>
                </c:pt>
                <c:pt idx="57">
                  <c:v>0.59433962264150941</c:v>
                </c:pt>
                <c:pt idx="58">
                  <c:v>0.5752212389380531</c:v>
                </c:pt>
                <c:pt idx="59">
                  <c:v>0.57894736842105265</c:v>
                </c:pt>
                <c:pt idx="60">
                  <c:v>0.57894736842105265</c:v>
                </c:pt>
                <c:pt idx="61">
                  <c:v>0.57391304347826089</c:v>
                </c:pt>
                <c:pt idx="62">
                  <c:v>0.5641025641025641</c:v>
                </c:pt>
                <c:pt idx="63">
                  <c:v>0.56302521008403361</c:v>
                </c:pt>
                <c:pt idx="64">
                  <c:v>0.56557377049180324</c:v>
                </c:pt>
                <c:pt idx="65">
                  <c:v>0.55645161290322576</c:v>
                </c:pt>
                <c:pt idx="66">
                  <c:v>0.54761904761904767</c:v>
                </c:pt>
                <c:pt idx="67">
                  <c:v>0.55118110236220474</c:v>
                </c:pt>
                <c:pt idx="68">
                  <c:v>0.55118110236220474</c:v>
                </c:pt>
                <c:pt idx="69">
                  <c:v>0.55813953488372092</c:v>
                </c:pt>
                <c:pt idx="70">
                  <c:v>0.55303030303030298</c:v>
                </c:pt>
                <c:pt idx="71">
                  <c:v>0.55303030303030298</c:v>
                </c:pt>
                <c:pt idx="72">
                  <c:v>0.55639097744360899</c:v>
                </c:pt>
                <c:pt idx="73">
                  <c:v>0.55639097744360899</c:v>
                </c:pt>
                <c:pt idx="74">
                  <c:v>0.55970149253731338</c:v>
                </c:pt>
                <c:pt idx="75">
                  <c:v>0.56204379562043794</c:v>
                </c:pt>
                <c:pt idx="76">
                  <c:v>0.5714285714285714</c:v>
                </c:pt>
                <c:pt idx="77">
                  <c:v>0.56737588652482274</c:v>
                </c:pt>
                <c:pt idx="78">
                  <c:v>0.56338028169014087</c:v>
                </c:pt>
                <c:pt idx="79">
                  <c:v>0.55944055944055948</c:v>
                </c:pt>
                <c:pt idx="80">
                  <c:v>0.55944055944055948</c:v>
                </c:pt>
                <c:pt idx="81">
                  <c:v>0.5547945205479452</c:v>
                </c:pt>
                <c:pt idx="82">
                  <c:v>0.55405405405405406</c:v>
                </c:pt>
                <c:pt idx="83">
                  <c:v>0.55704697986577179</c:v>
                </c:pt>
                <c:pt idx="84">
                  <c:v>0.55263157894736847</c:v>
                </c:pt>
                <c:pt idx="85">
                  <c:v>0.55194805194805197</c:v>
                </c:pt>
                <c:pt idx="86">
                  <c:v>0.55483870967741933</c:v>
                </c:pt>
                <c:pt idx="87">
                  <c:v>0.55769230769230771</c:v>
                </c:pt>
                <c:pt idx="88">
                  <c:v>0.55769230769230771</c:v>
                </c:pt>
                <c:pt idx="89">
                  <c:v>0.55696202531645567</c:v>
                </c:pt>
                <c:pt idx="90">
                  <c:v>0.55828220858895705</c:v>
                </c:pt>
                <c:pt idx="91">
                  <c:v>0.55828220858895705</c:v>
                </c:pt>
                <c:pt idx="92">
                  <c:v>0.56097560975609762</c:v>
                </c:pt>
                <c:pt idx="93">
                  <c:v>0.5535714285714286</c:v>
                </c:pt>
                <c:pt idx="94">
                  <c:v>0.54651162790697672</c:v>
                </c:pt>
                <c:pt idx="95">
                  <c:v>0.54651162790697672</c:v>
                </c:pt>
                <c:pt idx="96">
                  <c:v>0.54597701149425293</c:v>
                </c:pt>
                <c:pt idx="97">
                  <c:v>0.5485714285714286</c:v>
                </c:pt>
                <c:pt idx="98">
                  <c:v>0.5536723163841808</c:v>
                </c:pt>
                <c:pt idx="99">
                  <c:v>0.5536723163841808</c:v>
                </c:pt>
                <c:pt idx="100">
                  <c:v>0.55555555555555558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6923076923076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たかの2!$P$1:$P$2</c:f>
              <c:strCache>
                <c:ptCount val="2"/>
                <c:pt idx="0">
                  <c:v>たかの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たかの2!$A$3:$A$103</c:f>
              <c:numCache>
                <c:formatCode>0\ "回"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たかの2!$P$3:$P$103</c:f>
              <c:numCache>
                <c:formatCode>0.0%</c:formatCode>
                <c:ptCount val="101"/>
                <c:pt idx="1">
                  <c:v>0</c:v>
                </c:pt>
                <c:pt idx="2">
                  <c:v>0.16666666666666666</c:v>
                </c:pt>
                <c:pt idx="3">
                  <c:v>0.375</c:v>
                </c:pt>
                <c:pt idx="4">
                  <c:v>0.45454545454545453</c:v>
                </c:pt>
                <c:pt idx="5">
                  <c:v>0.42857142857142855</c:v>
                </c:pt>
                <c:pt idx="6">
                  <c:v>0.41176470588235292</c:v>
                </c:pt>
                <c:pt idx="7">
                  <c:v>0.36842105263157893</c:v>
                </c:pt>
                <c:pt idx="8">
                  <c:v>0.33333333333333331</c:v>
                </c:pt>
                <c:pt idx="9">
                  <c:v>0.37037037037037035</c:v>
                </c:pt>
                <c:pt idx="10">
                  <c:v>0.39285714285714285</c:v>
                </c:pt>
                <c:pt idx="11">
                  <c:v>0.42424242424242425</c:v>
                </c:pt>
                <c:pt idx="12">
                  <c:v>0.44444444444444442</c:v>
                </c:pt>
                <c:pt idx="13">
                  <c:v>0.45</c:v>
                </c:pt>
                <c:pt idx="14">
                  <c:v>0.42857142857142855</c:v>
                </c:pt>
                <c:pt idx="15">
                  <c:v>0.40909090909090912</c:v>
                </c:pt>
                <c:pt idx="16">
                  <c:v>0.40909090909090912</c:v>
                </c:pt>
                <c:pt idx="17">
                  <c:v>0.42222222222222222</c:v>
                </c:pt>
                <c:pt idx="18">
                  <c:v>0.44</c:v>
                </c:pt>
                <c:pt idx="19">
                  <c:v>0.44230769230769229</c:v>
                </c:pt>
                <c:pt idx="20">
                  <c:v>0.44067796610169491</c:v>
                </c:pt>
                <c:pt idx="21">
                  <c:v>0.41269841269841268</c:v>
                </c:pt>
                <c:pt idx="22">
                  <c:v>0.421875</c:v>
                </c:pt>
                <c:pt idx="23">
                  <c:v>0.41538461538461541</c:v>
                </c:pt>
                <c:pt idx="24">
                  <c:v>0.42424242424242425</c:v>
                </c:pt>
                <c:pt idx="25">
                  <c:v>0.41176470588235292</c:v>
                </c:pt>
                <c:pt idx="26">
                  <c:v>0.41428571428571431</c:v>
                </c:pt>
                <c:pt idx="27">
                  <c:v>0.40259740259740262</c:v>
                </c:pt>
                <c:pt idx="28">
                  <c:v>0.39743589743589741</c:v>
                </c:pt>
                <c:pt idx="29">
                  <c:v>0.40963855421686746</c:v>
                </c:pt>
                <c:pt idx="30">
                  <c:v>0.42045454545454547</c:v>
                </c:pt>
                <c:pt idx="31">
                  <c:v>0.4157303370786517</c:v>
                </c:pt>
                <c:pt idx="32">
                  <c:v>0.4157303370786517</c:v>
                </c:pt>
                <c:pt idx="33">
                  <c:v>0.41111111111111109</c:v>
                </c:pt>
                <c:pt idx="34">
                  <c:v>0.41304347826086957</c:v>
                </c:pt>
                <c:pt idx="35">
                  <c:v>0.42553191489361702</c:v>
                </c:pt>
                <c:pt idx="36">
                  <c:v>0.42105263157894735</c:v>
                </c:pt>
                <c:pt idx="37">
                  <c:v>0.42105263157894735</c:v>
                </c:pt>
                <c:pt idx="38">
                  <c:v>0.41836734693877553</c:v>
                </c:pt>
                <c:pt idx="39">
                  <c:v>0.42</c:v>
                </c:pt>
                <c:pt idx="40">
                  <c:v>0.41747572815533979</c:v>
                </c:pt>
                <c:pt idx="41">
                  <c:v>0.41346153846153844</c:v>
                </c:pt>
                <c:pt idx="42">
                  <c:v>0.41818181818181815</c:v>
                </c:pt>
                <c:pt idx="43">
                  <c:v>0.4107142857142857</c:v>
                </c:pt>
                <c:pt idx="44">
                  <c:v>0.41592920353982299</c:v>
                </c:pt>
                <c:pt idx="45">
                  <c:v>0.42608695652173911</c:v>
                </c:pt>
                <c:pt idx="46">
                  <c:v>0.42499999999999999</c:v>
                </c:pt>
                <c:pt idx="47">
                  <c:v>0.42399999999999999</c:v>
                </c:pt>
                <c:pt idx="48">
                  <c:v>0.4296875</c:v>
                </c:pt>
                <c:pt idx="49">
                  <c:v>0.43181818181818182</c:v>
                </c:pt>
                <c:pt idx="50">
                  <c:v>0.43181818181818182</c:v>
                </c:pt>
                <c:pt idx="51">
                  <c:v>0.43703703703703706</c:v>
                </c:pt>
                <c:pt idx="52">
                  <c:v>0.43065693430656932</c:v>
                </c:pt>
                <c:pt idx="53">
                  <c:v>0.43065693430656932</c:v>
                </c:pt>
                <c:pt idx="54">
                  <c:v>0.43571428571428572</c:v>
                </c:pt>
                <c:pt idx="55">
                  <c:v>0.44055944055944057</c:v>
                </c:pt>
                <c:pt idx="56">
                  <c:v>0.44055944055944057</c:v>
                </c:pt>
                <c:pt idx="57">
                  <c:v>0.44444444444444442</c:v>
                </c:pt>
                <c:pt idx="58">
                  <c:v>0.43835616438356162</c:v>
                </c:pt>
                <c:pt idx="59">
                  <c:v>0.44295302013422821</c:v>
                </c:pt>
                <c:pt idx="60">
                  <c:v>0.44736842105263158</c:v>
                </c:pt>
                <c:pt idx="61">
                  <c:v>0.44230769230769229</c:v>
                </c:pt>
                <c:pt idx="62">
                  <c:v>0.44303797468354428</c:v>
                </c:pt>
                <c:pt idx="63">
                  <c:v>0.44099378881987578</c:v>
                </c:pt>
                <c:pt idx="64">
                  <c:v>0.43827160493827161</c:v>
                </c:pt>
                <c:pt idx="65">
                  <c:v>0.43902439024390244</c:v>
                </c:pt>
                <c:pt idx="66">
                  <c:v>0.43452380952380953</c:v>
                </c:pt>
                <c:pt idx="67">
                  <c:v>0.43352601156069365</c:v>
                </c:pt>
                <c:pt idx="68">
                  <c:v>0.43352601156069365</c:v>
                </c:pt>
                <c:pt idx="69">
                  <c:v>0.43103448275862066</c:v>
                </c:pt>
                <c:pt idx="70">
                  <c:v>0.43103448275862066</c:v>
                </c:pt>
                <c:pt idx="71">
                  <c:v>0.42613636363636365</c:v>
                </c:pt>
                <c:pt idx="72">
                  <c:v>0.42458100558659218</c:v>
                </c:pt>
                <c:pt idx="73">
                  <c:v>0.4175824175824176</c:v>
                </c:pt>
                <c:pt idx="74">
                  <c:v>0.42391304347826086</c:v>
                </c:pt>
                <c:pt idx="75">
                  <c:v>0.41935483870967744</c:v>
                </c:pt>
                <c:pt idx="76">
                  <c:v>0.41711229946524064</c:v>
                </c:pt>
                <c:pt idx="77">
                  <c:v>0.42105263157894735</c:v>
                </c:pt>
                <c:pt idx="78">
                  <c:v>0.42268041237113402</c:v>
                </c:pt>
                <c:pt idx="79">
                  <c:v>0.42268041237113402</c:v>
                </c:pt>
                <c:pt idx="80">
                  <c:v>0.42713567839195982</c:v>
                </c:pt>
                <c:pt idx="81">
                  <c:v>0.4264705882352941</c:v>
                </c:pt>
                <c:pt idx="82">
                  <c:v>0.4251207729468599</c:v>
                </c:pt>
                <c:pt idx="83">
                  <c:v>0.42583732057416268</c:v>
                </c:pt>
                <c:pt idx="84">
                  <c:v>0.4238095238095238</c:v>
                </c:pt>
                <c:pt idx="85">
                  <c:v>0.42654028436018959</c:v>
                </c:pt>
                <c:pt idx="86">
                  <c:v>0.42253521126760563</c:v>
                </c:pt>
                <c:pt idx="87">
                  <c:v>0.42523364485981308</c:v>
                </c:pt>
                <c:pt idx="88">
                  <c:v>0.42660550458715596</c:v>
                </c:pt>
                <c:pt idx="89">
                  <c:v>0.42727272727272725</c:v>
                </c:pt>
                <c:pt idx="90">
                  <c:v>0.42533936651583709</c:v>
                </c:pt>
                <c:pt idx="91">
                  <c:v>0.42533936651583709</c:v>
                </c:pt>
                <c:pt idx="92">
                  <c:v>0.42792792792792794</c:v>
                </c:pt>
                <c:pt idx="93">
                  <c:v>0.42410714285714285</c:v>
                </c:pt>
                <c:pt idx="94">
                  <c:v>0.42666666666666669</c:v>
                </c:pt>
                <c:pt idx="95">
                  <c:v>0.42920353982300885</c:v>
                </c:pt>
                <c:pt idx="96">
                  <c:v>0.42794759825327511</c:v>
                </c:pt>
                <c:pt idx="97">
                  <c:v>0.42857142857142855</c:v>
                </c:pt>
                <c:pt idx="98">
                  <c:v>0.42553191489361702</c:v>
                </c:pt>
                <c:pt idx="99">
                  <c:v>0.42083333333333334</c:v>
                </c:pt>
                <c:pt idx="100">
                  <c:v>0.42213114754098363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9369085173501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たかの2!$Q$1:$Q$2</c:f>
              <c:strCache>
                <c:ptCount val="2"/>
                <c:pt idx="0">
                  <c:v>たかの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たかの2!$A$3:$A$103</c:f>
              <c:numCache>
                <c:formatCode>0\ "回"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たかの2!$Q$3:$Q$103</c:f>
              <c:numCache>
                <c:formatCode>0.0%</c:formatCode>
                <c:ptCount val="101"/>
                <c:pt idx="1">
                  <c:v>0</c:v>
                </c:pt>
                <c:pt idx="2">
                  <c:v>0.5</c:v>
                </c:pt>
                <c:pt idx="3">
                  <c:v>0.4</c:v>
                </c:pt>
                <c:pt idx="4">
                  <c:v>0.5</c:v>
                </c:pt>
                <c:pt idx="5">
                  <c:v>0.45454545454545453</c:v>
                </c:pt>
                <c:pt idx="6">
                  <c:v>0.42857142857142855</c:v>
                </c:pt>
                <c:pt idx="7">
                  <c:v>0.35294117647058826</c:v>
                </c:pt>
                <c:pt idx="8">
                  <c:v>0.35294117647058826</c:v>
                </c:pt>
                <c:pt idx="9">
                  <c:v>0.38095238095238093</c:v>
                </c:pt>
                <c:pt idx="10">
                  <c:v>0.40740740740740738</c:v>
                </c:pt>
                <c:pt idx="11">
                  <c:v>0.36363636363636365</c:v>
                </c:pt>
                <c:pt idx="12">
                  <c:v>0.3611111111111111</c:v>
                </c:pt>
                <c:pt idx="13">
                  <c:v>0.36842105263157893</c:v>
                </c:pt>
                <c:pt idx="14">
                  <c:v>0.35897435897435898</c:v>
                </c:pt>
                <c:pt idx="15">
                  <c:v>0.35897435897435898</c:v>
                </c:pt>
                <c:pt idx="16">
                  <c:v>0.35</c:v>
                </c:pt>
                <c:pt idx="17">
                  <c:v>0.34883720930232559</c:v>
                </c:pt>
                <c:pt idx="18">
                  <c:v>0.34042553191489361</c:v>
                </c:pt>
                <c:pt idx="19">
                  <c:v>0.37254901960784315</c:v>
                </c:pt>
                <c:pt idx="20">
                  <c:v>0.37931034482758619</c:v>
                </c:pt>
                <c:pt idx="21">
                  <c:v>0.39344262295081966</c:v>
                </c:pt>
                <c:pt idx="22">
                  <c:v>0.41269841269841268</c:v>
                </c:pt>
                <c:pt idx="23">
                  <c:v>0.41269841269841268</c:v>
                </c:pt>
                <c:pt idx="24">
                  <c:v>0.40298507462686567</c:v>
                </c:pt>
                <c:pt idx="25">
                  <c:v>0.40845070422535212</c:v>
                </c:pt>
                <c:pt idx="26">
                  <c:v>0.41891891891891891</c:v>
                </c:pt>
                <c:pt idx="27">
                  <c:v>0.42105263157894735</c:v>
                </c:pt>
                <c:pt idx="28">
                  <c:v>0.41249999999999998</c:v>
                </c:pt>
                <c:pt idx="29">
                  <c:v>0.40697674418604651</c:v>
                </c:pt>
                <c:pt idx="30">
                  <c:v>0.4044943820224719</c:v>
                </c:pt>
                <c:pt idx="31">
                  <c:v>0.41304347826086957</c:v>
                </c:pt>
                <c:pt idx="32">
                  <c:v>0.40625</c:v>
                </c:pt>
                <c:pt idx="33">
                  <c:v>0.41836734693877553</c:v>
                </c:pt>
                <c:pt idx="34">
                  <c:v>0.43</c:v>
                </c:pt>
                <c:pt idx="35">
                  <c:v>0.44230769230769229</c:v>
                </c:pt>
                <c:pt idx="36">
                  <c:v>0.43925233644859812</c:v>
                </c:pt>
                <c:pt idx="37">
                  <c:v>0.42342342342342343</c:v>
                </c:pt>
                <c:pt idx="38">
                  <c:v>0.42735042735042733</c:v>
                </c:pt>
                <c:pt idx="39">
                  <c:v>0.42148760330578511</c:v>
                </c:pt>
                <c:pt idx="40">
                  <c:v>0.41599999999999998</c:v>
                </c:pt>
                <c:pt idx="41">
                  <c:v>0.41860465116279072</c:v>
                </c:pt>
                <c:pt idx="42">
                  <c:v>0.42962962962962964</c:v>
                </c:pt>
                <c:pt idx="43">
                  <c:v>0.43795620437956206</c:v>
                </c:pt>
                <c:pt idx="44">
                  <c:v>0.43571428571428572</c:v>
                </c:pt>
                <c:pt idx="45">
                  <c:v>0.43356643356643354</c:v>
                </c:pt>
                <c:pt idx="46">
                  <c:v>0.43243243243243246</c:v>
                </c:pt>
                <c:pt idx="47">
                  <c:v>0.42666666666666669</c:v>
                </c:pt>
                <c:pt idx="48">
                  <c:v>0.42307692307692307</c:v>
                </c:pt>
                <c:pt idx="49">
                  <c:v>0.43125000000000002</c:v>
                </c:pt>
                <c:pt idx="50">
                  <c:v>0.42857142857142855</c:v>
                </c:pt>
                <c:pt idx="51">
                  <c:v>0.42424242424242425</c:v>
                </c:pt>
                <c:pt idx="52">
                  <c:v>0.42261904761904762</c:v>
                </c:pt>
                <c:pt idx="53">
                  <c:v>0.42011834319526625</c:v>
                </c:pt>
                <c:pt idx="54">
                  <c:v>0.42045454545454547</c:v>
                </c:pt>
                <c:pt idx="55">
                  <c:v>0.42134831460674155</c:v>
                </c:pt>
                <c:pt idx="56">
                  <c:v>0.42458100558659218</c:v>
                </c:pt>
                <c:pt idx="57">
                  <c:v>0.42222222222222222</c:v>
                </c:pt>
                <c:pt idx="58">
                  <c:v>0.41847826086956524</c:v>
                </c:pt>
                <c:pt idx="59">
                  <c:v>0.42021276595744683</c:v>
                </c:pt>
                <c:pt idx="60">
                  <c:v>0.42105263157894735</c:v>
                </c:pt>
                <c:pt idx="61">
                  <c:v>0.41884816753926701</c:v>
                </c:pt>
                <c:pt idx="62">
                  <c:v>0.421875</c:v>
                </c:pt>
                <c:pt idx="63">
                  <c:v>0.42346938775510207</c:v>
                </c:pt>
                <c:pt idx="64">
                  <c:v>0.42211055276381909</c:v>
                </c:pt>
                <c:pt idx="65">
                  <c:v>0.43069306930693069</c:v>
                </c:pt>
                <c:pt idx="66">
                  <c:v>0.4264705882352941</c:v>
                </c:pt>
                <c:pt idx="67">
                  <c:v>0.42028985507246375</c:v>
                </c:pt>
                <c:pt idx="68">
                  <c:v>0.42028985507246375</c:v>
                </c:pt>
                <c:pt idx="69">
                  <c:v>0.41904761904761906</c:v>
                </c:pt>
                <c:pt idx="70">
                  <c:v>0.419811320754717</c:v>
                </c:pt>
                <c:pt idx="71">
                  <c:v>0.419811320754717</c:v>
                </c:pt>
                <c:pt idx="72">
                  <c:v>0.42523364485981308</c:v>
                </c:pt>
                <c:pt idx="73">
                  <c:v>0.42523364485981308</c:v>
                </c:pt>
                <c:pt idx="74">
                  <c:v>0.42660550458715596</c:v>
                </c:pt>
                <c:pt idx="75">
                  <c:v>0.42272727272727273</c:v>
                </c:pt>
                <c:pt idx="76">
                  <c:v>0.42410714285714285</c:v>
                </c:pt>
                <c:pt idx="77">
                  <c:v>0.42290748898678415</c:v>
                </c:pt>
                <c:pt idx="78">
                  <c:v>0.42358078602620086</c:v>
                </c:pt>
                <c:pt idx="79">
                  <c:v>0.42173913043478262</c:v>
                </c:pt>
                <c:pt idx="80">
                  <c:v>0.41630901287553645</c:v>
                </c:pt>
                <c:pt idx="81">
                  <c:v>0.41422594142259417</c:v>
                </c:pt>
                <c:pt idx="82">
                  <c:v>0.41152263374485598</c:v>
                </c:pt>
                <c:pt idx="83">
                  <c:v>0.41056910569105692</c:v>
                </c:pt>
                <c:pt idx="84">
                  <c:v>0.40890688259109309</c:v>
                </c:pt>
                <c:pt idx="85">
                  <c:v>0.40400000000000003</c:v>
                </c:pt>
                <c:pt idx="86">
                  <c:v>0.40239043824701193</c:v>
                </c:pt>
                <c:pt idx="87">
                  <c:v>0.40316205533596838</c:v>
                </c:pt>
                <c:pt idx="88">
                  <c:v>0.3984375</c:v>
                </c:pt>
                <c:pt idx="89">
                  <c:v>0.39382239382239381</c:v>
                </c:pt>
                <c:pt idx="90">
                  <c:v>0.3931297709923664</c:v>
                </c:pt>
                <c:pt idx="91">
                  <c:v>0.39163498098859317</c:v>
                </c:pt>
                <c:pt idx="92">
                  <c:v>0.39622641509433965</c:v>
                </c:pt>
                <c:pt idx="93">
                  <c:v>0.39473684210526316</c:v>
                </c:pt>
                <c:pt idx="94">
                  <c:v>0.39405204460966542</c:v>
                </c:pt>
                <c:pt idx="95">
                  <c:v>0.40073529411764708</c:v>
                </c:pt>
                <c:pt idx="96">
                  <c:v>0.3978102189781022</c:v>
                </c:pt>
                <c:pt idx="97">
                  <c:v>0.39855072463768115</c:v>
                </c:pt>
                <c:pt idx="98">
                  <c:v>0.4</c:v>
                </c:pt>
                <c:pt idx="99">
                  <c:v>0.40213523131672596</c:v>
                </c:pt>
                <c:pt idx="100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4198746642793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42">
        <v>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245</v>
      </c>
      <c r="F51" s="137" t="s">
        <v>246</v>
      </c>
      <c r="G51" s="48">
        <v>0</v>
      </c>
      <c r="H51" s="138">
        <f t="shared" ref="H51" si="3">IF(B$17=0,0,G51/B$17)</f>
        <v>0</v>
      </c>
      <c r="I51" s="139"/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O91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43555.865243055552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43557.861886574072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43559.023634259262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43560.077002314814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43561.108229166668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182</v>
      </c>
      <c r="B7" s="31">
        <v>43562.38486111111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185</v>
      </c>
      <c r="I7" s="30" t="s">
        <v>186</v>
      </c>
      <c r="J7" s="30" t="s">
        <v>187</v>
      </c>
    </row>
    <row r="8" spans="1:10" x14ac:dyDescent="0.4">
      <c r="A8" s="30" t="s">
        <v>188</v>
      </c>
      <c r="B8" s="31">
        <v>43566.4999537037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185</v>
      </c>
      <c r="I8" s="30" t="s">
        <v>186</v>
      </c>
    </row>
    <row r="9" spans="1:10" x14ac:dyDescent="0.4">
      <c r="A9" s="30" t="s">
        <v>189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190</v>
      </c>
      <c r="B10" s="31">
        <v>43565.03292824074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193</v>
      </c>
      <c r="B11" s="31">
        <v>43566.030462962961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194</v>
      </c>
      <c r="B12" s="31">
        <v>43567.091620370367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195</v>
      </c>
      <c r="B13" s="31">
        <v>43568.067812499998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196</v>
      </c>
      <c r="B14" s="31">
        <v>43569.100613425922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197</v>
      </c>
      <c r="B15" s="31">
        <v>43570.006145833337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185</v>
      </c>
    </row>
    <row r="16" spans="1:10" x14ac:dyDescent="0.4">
      <c r="A16" s="30" t="s">
        <v>198</v>
      </c>
      <c r="B16" s="31">
        <v>43571.043113425927</v>
      </c>
      <c r="C16" s="30" t="s">
        <v>130</v>
      </c>
      <c r="D16" s="30" t="s">
        <v>131</v>
      </c>
    </row>
    <row r="17" spans="1:10" x14ac:dyDescent="0.4">
      <c r="A17" s="30" t="s">
        <v>199</v>
      </c>
      <c r="B17" s="31">
        <v>43573.057604166665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201</v>
      </c>
      <c r="B18" s="31">
        <v>43574.063946759263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202</v>
      </c>
      <c r="B19" s="31">
        <v>43575.082013888888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203</v>
      </c>
      <c r="B20" s="31">
        <v>43576.05164351852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185</v>
      </c>
    </row>
    <row r="21" spans="1:10" x14ac:dyDescent="0.4">
      <c r="A21" s="30" t="s">
        <v>204</v>
      </c>
      <c r="B21" s="31">
        <v>43577.022303240738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185</v>
      </c>
      <c r="I21" s="30" t="s">
        <v>186</v>
      </c>
      <c r="J21" s="30" t="s">
        <v>187</v>
      </c>
    </row>
    <row r="22" spans="1:10" x14ac:dyDescent="0.4">
      <c r="A22" s="30" t="s">
        <v>205</v>
      </c>
      <c r="B22" s="31">
        <v>43579.04246527778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206</v>
      </c>
      <c r="B23" s="31">
        <v>43580.060023148151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207</v>
      </c>
      <c r="B24" s="31">
        <v>43581.023761574077</v>
      </c>
      <c r="C24" s="30" t="s">
        <v>130</v>
      </c>
      <c r="D24" s="30" t="s">
        <v>131</v>
      </c>
    </row>
    <row r="25" spans="1:10" x14ac:dyDescent="0.4">
      <c r="A25" s="30" t="s">
        <v>208</v>
      </c>
      <c r="B25" s="31">
        <v>43582.061377314814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209</v>
      </c>
      <c r="B26" s="31">
        <v>43582.9065162037</v>
      </c>
      <c r="C26" s="30" t="s">
        <v>130</v>
      </c>
      <c r="D26" s="30" t="s">
        <v>131</v>
      </c>
    </row>
    <row r="27" spans="1:10" x14ac:dyDescent="0.4">
      <c r="A27" s="30" t="s">
        <v>210</v>
      </c>
      <c r="B27" s="31">
        <v>43590.780706018515</v>
      </c>
      <c r="C27" s="30" t="s">
        <v>130</v>
      </c>
      <c r="D27" s="30" t="s">
        <v>131</v>
      </c>
    </row>
    <row r="28" spans="1:10" x14ac:dyDescent="0.4">
      <c r="A28" s="30" t="s">
        <v>211</v>
      </c>
      <c r="B28" s="31">
        <v>43595.016736111109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212</v>
      </c>
      <c r="B29" s="31">
        <v>43592.020555555559</v>
      </c>
      <c r="C29" s="30" t="s">
        <v>130</v>
      </c>
      <c r="D29" s="30" t="s">
        <v>131</v>
      </c>
    </row>
    <row r="30" spans="1:10" x14ac:dyDescent="0.4">
      <c r="A30" s="30" t="s">
        <v>213</v>
      </c>
      <c r="B30" s="31">
        <v>43593.086956018517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214</v>
      </c>
      <c r="B31" s="31">
        <v>43593.980173611111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215</v>
      </c>
      <c r="B32" s="31">
        <v>43595.036122685182</v>
      </c>
      <c r="C32" s="30" t="s">
        <v>130</v>
      </c>
      <c r="D32" s="30" t="s">
        <v>131</v>
      </c>
    </row>
    <row r="33" spans="1:11" x14ac:dyDescent="0.4">
      <c r="A33" s="30" t="s">
        <v>216</v>
      </c>
      <c r="B33" s="31">
        <v>43596.111006944448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217</v>
      </c>
      <c r="B34" s="31">
        <v>43597.633912037039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218</v>
      </c>
      <c r="B35" s="31">
        <v>43597.749386574076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219</v>
      </c>
      <c r="B36" s="31">
        <v>43599.035104166665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220</v>
      </c>
      <c r="B37" s="31">
        <v>43599.989502314813</v>
      </c>
      <c r="C37" s="30" t="s">
        <v>130</v>
      </c>
      <c r="D37" s="30" t="s">
        <v>131</v>
      </c>
    </row>
    <row r="38" spans="1:11" x14ac:dyDescent="0.4">
      <c r="A38" s="30" t="s">
        <v>221</v>
      </c>
      <c r="B38" s="31">
        <v>43601.497303240743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224</v>
      </c>
      <c r="B39" s="31">
        <v>43602.380266203705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225</v>
      </c>
      <c r="B40" s="31">
        <v>43606.438171296293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185</v>
      </c>
      <c r="I40" s="30" t="s">
        <v>186</v>
      </c>
      <c r="J40" s="30" t="s">
        <v>187</v>
      </c>
      <c r="K40" s="30" t="s">
        <v>228</v>
      </c>
    </row>
    <row r="41" spans="1:11" x14ac:dyDescent="0.4">
      <c r="A41" s="30" t="s">
        <v>226</v>
      </c>
      <c r="B41" s="31">
        <v>43606.438171296293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227</v>
      </c>
      <c r="B42" s="31">
        <v>43608.928032407406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229</v>
      </c>
      <c r="B43" s="31">
        <v>43606.438171296293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185</v>
      </c>
    </row>
    <row r="44" spans="1:11" x14ac:dyDescent="0.4">
      <c r="A44" s="30" t="s">
        <v>231</v>
      </c>
      <c r="B44" s="31">
        <v>43607.939467592594</v>
      </c>
      <c r="C44" s="30" t="s">
        <v>130</v>
      </c>
    </row>
    <row r="45" spans="1:11" x14ac:dyDescent="0.4">
      <c r="A45" s="30" t="s">
        <v>230</v>
      </c>
      <c r="B45" s="31">
        <v>43607.939467592594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232</v>
      </c>
      <c r="B46" s="31">
        <v>43608.029363425929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233</v>
      </c>
      <c r="B47" s="31">
        <v>43608.535393518519</v>
      </c>
      <c r="C47" s="30" t="s">
        <v>130</v>
      </c>
    </row>
    <row r="48" spans="1:11" x14ac:dyDescent="0.4">
      <c r="A48" s="30" t="s">
        <v>235</v>
      </c>
      <c r="B48" s="31">
        <v>43609.017604166664</v>
      </c>
      <c r="C48" s="30" t="s">
        <v>130</v>
      </c>
    </row>
    <row r="49" spans="1:7" x14ac:dyDescent="0.4">
      <c r="A49" s="30" t="s">
        <v>234</v>
      </c>
      <c r="B49" s="31">
        <v>43609.016342592593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236</v>
      </c>
      <c r="B50" s="31">
        <v>43610.908877314818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238</v>
      </c>
      <c r="B51" s="31">
        <v>43611.023946759262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237</v>
      </c>
      <c r="B52" s="31">
        <v>43612.976331018515</v>
      </c>
      <c r="C52" s="30" t="s">
        <v>130</v>
      </c>
    </row>
    <row r="53" spans="1:7" x14ac:dyDescent="0.4">
      <c r="A53" s="30" t="s">
        <v>239</v>
      </c>
      <c r="B53" s="31">
        <v>43613.794409722221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240</v>
      </c>
      <c r="B54" s="31">
        <v>43619.367106481484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241</v>
      </c>
      <c r="B55" s="31">
        <v>43619.367106481484</v>
      </c>
      <c r="C55" s="30" t="s">
        <v>130</v>
      </c>
    </row>
    <row r="56" spans="1:7" x14ac:dyDescent="0.4">
      <c r="A56" s="30" t="s">
        <v>242</v>
      </c>
      <c r="B56" s="31">
        <v>43619.367106481484</v>
      </c>
      <c r="C56" s="30" t="s">
        <v>130</v>
      </c>
    </row>
    <row r="57" spans="1:7" x14ac:dyDescent="0.4">
      <c r="A57" s="30" t="s">
        <v>243</v>
      </c>
      <c r="B57" s="31">
        <v>43620.433194444442</v>
      </c>
      <c r="C57" s="30" t="s">
        <v>130</v>
      </c>
    </row>
    <row r="58" spans="1:7" x14ac:dyDescent="0.4">
      <c r="A58" s="30" t="s">
        <v>244</v>
      </c>
      <c r="B58" s="31">
        <v>43622.371793981481</v>
      </c>
      <c r="C58" s="30" t="s">
        <v>130</v>
      </c>
      <c r="D58" s="30" t="s">
        <v>131</v>
      </c>
      <c r="E58" s="30" t="s">
        <v>169</v>
      </c>
    </row>
    <row r="59" spans="1:7" x14ac:dyDescent="0.4">
      <c r="A59" s="30" t="s">
        <v>249</v>
      </c>
      <c r="B59" s="31">
        <v>43622.371793981481</v>
      </c>
      <c r="C59" s="30" t="s">
        <v>130</v>
      </c>
    </row>
    <row r="60" spans="1:7" x14ac:dyDescent="0.4">
      <c r="A60" s="30" t="s">
        <v>250</v>
      </c>
      <c r="B60" s="31">
        <v>43628.368391203701</v>
      </c>
      <c r="C60" s="30" t="s">
        <v>130</v>
      </c>
      <c r="D60" s="30" t="s">
        <v>131</v>
      </c>
      <c r="E60" s="30" t="s">
        <v>169</v>
      </c>
      <c r="F60" s="30" t="s">
        <v>174</v>
      </c>
    </row>
    <row r="61" spans="1:7" x14ac:dyDescent="0.4">
      <c r="A61" s="30" t="s">
        <v>251</v>
      </c>
      <c r="B61" s="31">
        <v>43628.368391203701</v>
      </c>
      <c r="C61" s="30" t="s">
        <v>130</v>
      </c>
      <c r="D61" s="30" t="s">
        <v>131</v>
      </c>
    </row>
    <row r="62" spans="1:7" x14ac:dyDescent="0.4">
      <c r="A62" s="30" t="s">
        <v>252</v>
      </c>
      <c r="B62" s="31">
        <v>43628.368391203701</v>
      </c>
      <c r="C62" s="30" t="s">
        <v>130</v>
      </c>
    </row>
    <row r="63" spans="1:7" x14ac:dyDescent="0.4">
      <c r="A63" s="30" t="s">
        <v>253</v>
      </c>
      <c r="B63" s="31">
        <v>43628.368391203701</v>
      </c>
      <c r="C63" s="30" t="s">
        <v>130</v>
      </c>
      <c r="D63" s="30" t="s">
        <v>131</v>
      </c>
      <c r="E63" s="30" t="s">
        <v>169</v>
      </c>
      <c r="F63" s="30" t="s">
        <v>174</v>
      </c>
    </row>
    <row r="64" spans="1:7" x14ac:dyDescent="0.4">
      <c r="A64" s="30" t="s">
        <v>254</v>
      </c>
      <c r="B64" s="31">
        <v>43636.372488425928</v>
      </c>
      <c r="C64" s="30" t="s">
        <v>130</v>
      </c>
      <c r="D64" s="30" t="s">
        <v>131</v>
      </c>
    </row>
    <row r="65" spans="1:6" x14ac:dyDescent="0.4">
      <c r="A65" s="30" t="s">
        <v>255</v>
      </c>
      <c r="B65" s="31">
        <v>43630.036805555559</v>
      </c>
      <c r="C65" s="30" t="s">
        <v>130</v>
      </c>
      <c r="D65" s="30" t="s">
        <v>131</v>
      </c>
      <c r="E65" s="30" t="s">
        <v>169</v>
      </c>
    </row>
    <row r="66" spans="1:6" x14ac:dyDescent="0.4">
      <c r="A66" s="30" t="s">
        <v>256</v>
      </c>
      <c r="B66" s="31">
        <v>43631.032719907409</v>
      </c>
      <c r="C66" s="30" t="s">
        <v>130</v>
      </c>
      <c r="D66" s="30" t="s">
        <v>131</v>
      </c>
    </row>
    <row r="67" spans="1:6" x14ac:dyDescent="0.4">
      <c r="A67" s="30" t="s">
        <v>257</v>
      </c>
      <c r="B67" s="31">
        <v>43632.037743055553</v>
      </c>
      <c r="C67" s="30" t="s">
        <v>130</v>
      </c>
      <c r="D67" s="30" t="s">
        <v>131</v>
      </c>
      <c r="E67" s="30" t="s">
        <v>169</v>
      </c>
    </row>
    <row r="68" spans="1:6" x14ac:dyDescent="0.4">
      <c r="A68" s="30" t="s">
        <v>258</v>
      </c>
      <c r="B68" s="31">
        <v>43633.594537037039</v>
      </c>
      <c r="C68" s="30" t="s">
        <v>130</v>
      </c>
      <c r="D68" s="30" t="s">
        <v>131</v>
      </c>
    </row>
    <row r="69" spans="1:6" x14ac:dyDescent="0.4">
      <c r="A69" s="30" t="s">
        <v>259</v>
      </c>
      <c r="B69" s="31">
        <v>43636.372488425928</v>
      </c>
      <c r="C69" s="30" t="s">
        <v>130</v>
      </c>
    </row>
    <row r="70" spans="1:6" x14ac:dyDescent="0.4">
      <c r="A70" s="30" t="s">
        <v>260</v>
      </c>
      <c r="B70" s="31">
        <v>43636.60429398148</v>
      </c>
      <c r="C70" s="30" t="s">
        <v>130</v>
      </c>
      <c r="D70" s="30" t="s">
        <v>131</v>
      </c>
      <c r="E70" s="30" t="s">
        <v>169</v>
      </c>
    </row>
    <row r="71" spans="1:6" x14ac:dyDescent="0.4">
      <c r="A71" s="30" t="s">
        <v>261</v>
      </c>
      <c r="B71" s="31">
        <v>43642.400636574072</v>
      </c>
      <c r="C71" s="30" t="s">
        <v>130</v>
      </c>
      <c r="D71" s="30" t="s">
        <v>131</v>
      </c>
    </row>
    <row r="72" spans="1:6" x14ac:dyDescent="0.4">
      <c r="A72" s="30" t="s">
        <v>262</v>
      </c>
      <c r="B72" s="31">
        <v>43645.824479166666</v>
      </c>
      <c r="C72" s="30" t="s">
        <v>130</v>
      </c>
      <c r="D72" s="30" t="s">
        <v>131</v>
      </c>
    </row>
    <row r="73" spans="1:6" x14ac:dyDescent="0.4">
      <c r="A73" s="30" t="s">
        <v>263</v>
      </c>
      <c r="B73" s="31">
        <v>43643.991898148146</v>
      </c>
      <c r="C73" s="30" t="s">
        <v>130</v>
      </c>
    </row>
    <row r="74" spans="1:6" x14ac:dyDescent="0.4">
      <c r="A74" s="30" t="s">
        <v>264</v>
      </c>
      <c r="B74" s="31">
        <v>43645.824479166666</v>
      </c>
      <c r="C74" s="30" t="s">
        <v>130</v>
      </c>
      <c r="D74" s="30" t="s">
        <v>131</v>
      </c>
    </row>
    <row r="75" spans="1:6" x14ac:dyDescent="0.4">
      <c r="A75" s="30" t="s">
        <v>265</v>
      </c>
      <c r="B75" s="31">
        <v>43646.846875000003</v>
      </c>
      <c r="C75" s="30" t="s">
        <v>130</v>
      </c>
      <c r="D75" s="30" t="s">
        <v>131</v>
      </c>
    </row>
    <row r="76" spans="1:6" x14ac:dyDescent="0.4">
      <c r="A76" s="30" t="s">
        <v>266</v>
      </c>
      <c r="B76" s="31">
        <v>43646.846875000003</v>
      </c>
      <c r="C76" s="30" t="s">
        <v>130</v>
      </c>
      <c r="D76" s="30" t="s">
        <v>131</v>
      </c>
    </row>
    <row r="77" spans="1:6" x14ac:dyDescent="0.4">
      <c r="A77" s="30" t="s">
        <v>267</v>
      </c>
      <c r="B77" s="31">
        <v>43646.846875000003</v>
      </c>
      <c r="C77" s="30" t="s">
        <v>130</v>
      </c>
      <c r="D77" s="30" t="s">
        <v>131</v>
      </c>
      <c r="E77" s="30" t="s">
        <v>169</v>
      </c>
      <c r="F77" s="30" t="s">
        <v>174</v>
      </c>
    </row>
    <row r="78" spans="1:6" x14ac:dyDescent="0.4">
      <c r="A78" s="30" t="s">
        <v>269</v>
      </c>
      <c r="B78" s="31">
        <v>43646.9846412037</v>
      </c>
      <c r="C78" s="30" t="s">
        <v>130</v>
      </c>
      <c r="D78" s="30" t="s">
        <v>131</v>
      </c>
    </row>
    <row r="79" spans="1:6" x14ac:dyDescent="0.4">
      <c r="A79" s="30" t="s">
        <v>268</v>
      </c>
      <c r="B79" s="31">
        <v>43646.89403935185</v>
      </c>
      <c r="C79" s="30" t="s">
        <v>130</v>
      </c>
      <c r="D79" s="30" t="s">
        <v>131</v>
      </c>
    </row>
    <row r="80" spans="1:6" x14ac:dyDescent="0.4">
      <c r="A80" s="30" t="s">
        <v>270</v>
      </c>
      <c r="B80" s="31">
        <v>43649.487291666665</v>
      </c>
      <c r="C80" s="30" t="s">
        <v>130</v>
      </c>
      <c r="D80" s="30" t="s">
        <v>131</v>
      </c>
    </row>
    <row r="81" spans="1:15" x14ac:dyDescent="0.4">
      <c r="A81" s="30" t="s">
        <v>272</v>
      </c>
      <c r="B81" s="31">
        <v>43649.494131944448</v>
      </c>
      <c r="C81" s="30" t="s">
        <v>130</v>
      </c>
      <c r="D81" s="30" t="s">
        <v>131</v>
      </c>
      <c r="E81" s="30" t="s">
        <v>169</v>
      </c>
    </row>
    <row r="82" spans="1:15" x14ac:dyDescent="0.4">
      <c r="A82" s="30" t="s">
        <v>273</v>
      </c>
      <c r="B82" s="31">
        <v>43651.43204861111</v>
      </c>
      <c r="C82" s="30" t="s">
        <v>130</v>
      </c>
      <c r="D82" s="30" t="s">
        <v>131</v>
      </c>
      <c r="E82" s="30" t="s">
        <v>169</v>
      </c>
    </row>
    <row r="83" spans="1:15" x14ac:dyDescent="0.4">
      <c r="A83" s="30" t="s">
        <v>274</v>
      </c>
      <c r="B83" s="31">
        <v>43660.536006944443</v>
      </c>
      <c r="C83" s="30" t="s">
        <v>130</v>
      </c>
      <c r="D83" s="30" t="s">
        <v>131</v>
      </c>
      <c r="E83" s="30" t="s">
        <v>169</v>
      </c>
      <c r="F83" s="30" t="s">
        <v>174</v>
      </c>
      <c r="G83" s="30" t="s">
        <v>175</v>
      </c>
    </row>
    <row r="84" spans="1:15" x14ac:dyDescent="0.4">
      <c r="A84" s="30" t="s">
        <v>275</v>
      </c>
      <c r="B84" s="31">
        <v>43660.536006944443</v>
      </c>
      <c r="C84" s="30" t="s">
        <v>130</v>
      </c>
      <c r="D84" s="30" t="s">
        <v>131</v>
      </c>
      <c r="E84" s="30" t="s">
        <v>169</v>
      </c>
      <c r="F84" s="30" t="s">
        <v>174</v>
      </c>
    </row>
    <row r="85" spans="1:15" x14ac:dyDescent="0.4">
      <c r="A85" s="30" t="s">
        <v>276</v>
      </c>
      <c r="B85" s="31">
        <v>43660.536006944443</v>
      </c>
      <c r="C85" s="30" t="s">
        <v>130</v>
      </c>
      <c r="D85" s="30" t="s">
        <v>131</v>
      </c>
      <c r="E85" s="30" t="s">
        <v>169</v>
      </c>
      <c r="F85" s="30" t="s">
        <v>174</v>
      </c>
      <c r="G85" s="30" t="s">
        <v>175</v>
      </c>
      <c r="H85" s="30" t="s">
        <v>185</v>
      </c>
    </row>
    <row r="86" spans="1:15" x14ac:dyDescent="0.4">
      <c r="A86" s="30" t="s">
        <v>277</v>
      </c>
      <c r="B86" s="31">
        <v>43660.536006944443</v>
      </c>
      <c r="C86" s="30" t="s">
        <v>130</v>
      </c>
    </row>
    <row r="87" spans="1:15" x14ac:dyDescent="0.4">
      <c r="A87" s="30" t="s">
        <v>278</v>
      </c>
      <c r="B87" s="31">
        <v>43660.942071759258</v>
      </c>
      <c r="C87" s="30" t="s">
        <v>130</v>
      </c>
      <c r="D87" s="30" t="s">
        <v>131</v>
      </c>
      <c r="E87" s="30" t="s">
        <v>169</v>
      </c>
    </row>
    <row r="88" spans="1:15" x14ac:dyDescent="0.4">
      <c r="A88" s="30" t="s">
        <v>279</v>
      </c>
      <c r="B88" s="31">
        <v>43660.942071759258</v>
      </c>
      <c r="C88" s="30" t="s">
        <v>130</v>
      </c>
      <c r="D88" s="30" t="s">
        <v>131</v>
      </c>
      <c r="E88" s="30" t="s">
        <v>169</v>
      </c>
    </row>
    <row r="89" spans="1:15" x14ac:dyDescent="0.4">
      <c r="A89" s="30" t="s">
        <v>280</v>
      </c>
      <c r="B89" s="31">
        <v>43660.942071759258</v>
      </c>
      <c r="C89" s="30" t="s">
        <v>130</v>
      </c>
      <c r="D89" s="30" t="s">
        <v>131</v>
      </c>
      <c r="E89" s="30" t="s">
        <v>169</v>
      </c>
      <c r="F89" s="30" t="s">
        <v>174</v>
      </c>
      <c r="G89" s="30" t="s">
        <v>175</v>
      </c>
    </row>
    <row r="90" spans="1:15" x14ac:dyDescent="0.4">
      <c r="A90" s="30" t="s">
        <v>281</v>
      </c>
      <c r="B90" s="31">
        <v>43660.974641203706</v>
      </c>
      <c r="C90" s="30" t="s">
        <v>130</v>
      </c>
      <c r="D90" s="30" t="s">
        <v>131</v>
      </c>
      <c r="E90" s="30" t="s">
        <v>169</v>
      </c>
      <c r="F90" s="30" t="s">
        <v>174</v>
      </c>
      <c r="G90" s="30" t="s">
        <v>175</v>
      </c>
      <c r="H90" s="30" t="s">
        <v>185</v>
      </c>
      <c r="I90" s="30" t="s">
        <v>186</v>
      </c>
      <c r="J90" s="30" t="s">
        <v>187</v>
      </c>
      <c r="K90" s="30" t="s">
        <v>228</v>
      </c>
      <c r="L90" s="30" t="s">
        <v>282</v>
      </c>
      <c r="M90" s="30" t="s">
        <v>283</v>
      </c>
      <c r="N90" s="30" t="s">
        <v>284</v>
      </c>
      <c r="O90" s="30" t="s">
        <v>285</v>
      </c>
    </row>
    <row r="91" spans="1:15" x14ac:dyDescent="0.4">
      <c r="A91" s="30" t="s">
        <v>286</v>
      </c>
      <c r="B91" s="31">
        <v>43661.057534722226</v>
      </c>
      <c r="C91" s="30" t="s">
        <v>130</v>
      </c>
      <c r="D91" s="30" t="s">
        <v>131</v>
      </c>
      <c r="E91" s="30" t="s">
        <v>169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903</v>
      </c>
    </row>
    <row r="2" spans="1:2" x14ac:dyDescent="0.4">
      <c r="A2" t="s">
        <v>127</v>
      </c>
      <c r="B2">
        <v>191</v>
      </c>
    </row>
    <row r="3" spans="1:2" x14ac:dyDescent="0.4">
      <c r="A3" t="s">
        <v>128</v>
      </c>
      <c r="B3">
        <v>158</v>
      </c>
    </row>
    <row r="4" spans="1:2" x14ac:dyDescent="0.4">
      <c r="A4" t="s">
        <v>129</v>
      </c>
      <c r="B4">
        <v>146</v>
      </c>
    </row>
    <row r="5" spans="1:2" x14ac:dyDescent="0.4">
      <c r="A5" t="s">
        <v>171</v>
      </c>
      <c r="B5">
        <v>100</v>
      </c>
    </row>
    <row r="6" spans="1:2" x14ac:dyDescent="0.4">
      <c r="A6" t="s">
        <v>172</v>
      </c>
      <c r="B6">
        <v>100</v>
      </c>
    </row>
    <row r="7" spans="1:2" x14ac:dyDescent="0.4">
      <c r="A7" t="s">
        <v>173</v>
      </c>
      <c r="B7">
        <v>53</v>
      </c>
    </row>
    <row r="8" spans="1:2" x14ac:dyDescent="0.4">
      <c r="A8" t="s">
        <v>177</v>
      </c>
      <c r="B8">
        <v>96</v>
      </c>
    </row>
    <row r="9" spans="1:2" x14ac:dyDescent="0.4">
      <c r="A9" t="s">
        <v>183</v>
      </c>
      <c r="B9">
        <v>3</v>
      </c>
    </row>
    <row r="10" spans="1:2" x14ac:dyDescent="0.4">
      <c r="A10" t="s">
        <v>184</v>
      </c>
      <c r="B10">
        <v>24</v>
      </c>
    </row>
    <row r="11" spans="1:2" x14ac:dyDescent="0.4">
      <c r="A11" t="s">
        <v>200</v>
      </c>
      <c r="B11">
        <v>19</v>
      </c>
    </row>
    <row r="12" spans="1:2" x14ac:dyDescent="0.4">
      <c r="A12" t="s">
        <v>222</v>
      </c>
      <c r="B12">
        <v>1</v>
      </c>
    </row>
    <row r="13" spans="1:2" x14ac:dyDescent="0.4">
      <c r="A13" t="s">
        <v>223</v>
      </c>
      <c r="B13">
        <v>6</v>
      </c>
    </row>
    <row r="14" spans="1:2" x14ac:dyDescent="0.4">
      <c r="A14" t="s">
        <v>271</v>
      </c>
      <c r="B14">
        <v>6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162</v>
      </c>
      <c r="K1" s="161"/>
      <c r="L1" s="160" t="s">
        <v>149</v>
      </c>
      <c r="M1" s="161"/>
      <c r="N1" s="160" t="s">
        <v>150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141</v>
      </c>
      <c r="W1" s="161"/>
      <c r="X1" s="160" t="s">
        <v>123</v>
      </c>
      <c r="Y1" s="161"/>
      <c r="Z1" s="160" t="s">
        <v>120</v>
      </c>
      <c r="AA1" s="161"/>
      <c r="AB1" s="160" t="s">
        <v>126</v>
      </c>
      <c r="AC1" s="161"/>
      <c r="AD1" s="160" t="s">
        <v>151</v>
      </c>
      <c r="AE1" s="161"/>
      <c r="AF1" s="160" t="s">
        <v>144</v>
      </c>
      <c r="AG1" s="161"/>
      <c r="AH1" s="160" t="s">
        <v>153</v>
      </c>
      <c r="AI1" s="161"/>
    </row>
    <row r="2" spans="1:35" x14ac:dyDescent="0.4">
      <c r="A2" s="72" t="s">
        <v>161</v>
      </c>
      <c r="B2" s="162"/>
      <c r="C2" s="163"/>
      <c r="D2" s="162"/>
      <c r="E2" s="163"/>
      <c r="F2" s="158">
        <v>0.9693977381075628</v>
      </c>
      <c r="G2" s="159"/>
      <c r="H2" s="158">
        <v>0.7057614440038158</v>
      </c>
      <c r="I2" s="159"/>
      <c r="J2" s="158">
        <v>0.89492681025253995</v>
      </c>
      <c r="K2" s="159"/>
      <c r="L2" s="158">
        <v>0.70064137014577299</v>
      </c>
      <c r="M2" s="159"/>
      <c r="N2" s="158">
        <v>0.73922396367789944</v>
      </c>
      <c r="O2" s="159"/>
      <c r="P2" s="158">
        <v>0.29668224739972121</v>
      </c>
      <c r="Q2" s="159"/>
      <c r="R2" s="158">
        <v>0.49368779226349463</v>
      </c>
      <c r="S2" s="159"/>
      <c r="T2" s="158">
        <v>0.62517951564527441</v>
      </c>
      <c r="U2" s="159"/>
      <c r="V2" s="158">
        <v>0.50728433627904235</v>
      </c>
      <c r="W2" s="159"/>
      <c r="X2" s="158">
        <v>0.57582293772198545</v>
      </c>
      <c r="Y2" s="159"/>
      <c r="Z2" s="158">
        <v>8.8979795643894008E-2</v>
      </c>
      <c r="AA2" s="159"/>
      <c r="AB2" s="158">
        <v>-8.6736651136803719E-2</v>
      </c>
      <c r="AC2" s="159"/>
      <c r="AD2" s="158">
        <v>0.75342703197190974</v>
      </c>
      <c r="AE2" s="159"/>
      <c r="AF2" s="158">
        <v>-2.3063557455798519E-2</v>
      </c>
      <c r="AG2" s="159"/>
      <c r="AH2" s="158">
        <v>0.59532945158873496</v>
      </c>
      <c r="AI2" s="159"/>
    </row>
    <row r="3" spans="1:35" x14ac:dyDescent="0.4">
      <c r="A3" s="74">
        <v>1</v>
      </c>
      <c r="B3" s="75" t="s">
        <v>127</v>
      </c>
      <c r="C3" s="76">
        <v>2388.1</v>
      </c>
      <c r="D3" s="77" t="s">
        <v>183</v>
      </c>
      <c r="E3" s="96">
        <v>20.333333333333332</v>
      </c>
      <c r="F3" s="77" t="s">
        <v>183</v>
      </c>
      <c r="G3" s="78">
        <v>1.3333333333333333</v>
      </c>
      <c r="H3" s="77" t="s">
        <v>183</v>
      </c>
      <c r="I3" s="79">
        <v>0.66666666666666663</v>
      </c>
      <c r="J3" s="77" t="s">
        <v>183</v>
      </c>
      <c r="K3" s="79">
        <v>0</v>
      </c>
      <c r="L3" s="77" t="s">
        <v>223</v>
      </c>
      <c r="M3" s="80">
        <v>0.34782608695652173</v>
      </c>
      <c r="N3" s="77" t="s">
        <v>222</v>
      </c>
      <c r="O3" s="80">
        <v>7.6923076923076927E-2</v>
      </c>
      <c r="P3" s="77" t="s">
        <v>222</v>
      </c>
      <c r="Q3" s="81">
        <v>13800</v>
      </c>
      <c r="R3" s="77" t="s">
        <v>183</v>
      </c>
      <c r="S3" s="81">
        <v>-5150</v>
      </c>
      <c r="T3" s="77" t="s">
        <v>183</v>
      </c>
      <c r="U3" s="79">
        <v>0</v>
      </c>
      <c r="V3" s="77" t="s">
        <v>223</v>
      </c>
      <c r="W3" s="79">
        <v>0.33333333333333331</v>
      </c>
      <c r="X3" s="77" t="s">
        <v>127</v>
      </c>
      <c r="Y3" s="80">
        <v>0.30754475703324807</v>
      </c>
      <c r="Z3" s="77" t="s">
        <v>223</v>
      </c>
      <c r="AA3" s="80">
        <v>0.36956521739130432</v>
      </c>
      <c r="AB3" s="77" t="s">
        <v>223</v>
      </c>
      <c r="AC3" s="80">
        <v>0.7142857142857143</v>
      </c>
      <c r="AD3" s="77" t="s">
        <v>223</v>
      </c>
      <c r="AE3" s="80">
        <v>0.52941176470588236</v>
      </c>
      <c r="AF3" s="77" t="s">
        <v>223</v>
      </c>
      <c r="AG3" s="80">
        <v>0.625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223</v>
      </c>
      <c r="C4" s="84">
        <v>100.39999999999999</v>
      </c>
      <c r="D4" s="85" t="s">
        <v>223</v>
      </c>
      <c r="E4" s="97">
        <v>16.733333333333331</v>
      </c>
      <c r="F4" s="85" t="s">
        <v>127</v>
      </c>
      <c r="G4" s="86">
        <v>1.7591623036649215</v>
      </c>
      <c r="H4" s="85" t="s">
        <v>223</v>
      </c>
      <c r="I4" s="87">
        <v>0.5</v>
      </c>
      <c r="J4" s="85" t="s">
        <v>222</v>
      </c>
      <c r="K4" s="87">
        <v>0</v>
      </c>
      <c r="L4" s="85" t="s">
        <v>200</v>
      </c>
      <c r="M4" s="88">
        <v>0.34285714285714286</v>
      </c>
      <c r="N4" s="85" t="s">
        <v>183</v>
      </c>
      <c r="O4" s="88">
        <v>0.10526315789473684</v>
      </c>
      <c r="P4" s="85" t="s">
        <v>223</v>
      </c>
      <c r="Q4" s="89">
        <v>12143.75</v>
      </c>
      <c r="R4" s="85" t="s">
        <v>271</v>
      </c>
      <c r="S4" s="89">
        <v>-6825</v>
      </c>
      <c r="T4" s="85" t="s">
        <v>222</v>
      </c>
      <c r="U4" s="87">
        <v>0</v>
      </c>
      <c r="V4" s="85" t="s">
        <v>127</v>
      </c>
      <c r="W4" s="87">
        <v>0.17277486910994763</v>
      </c>
      <c r="X4" s="85" t="s">
        <v>128</v>
      </c>
      <c r="Y4" s="88">
        <v>0.29706790123456789</v>
      </c>
      <c r="Z4" s="85" t="s">
        <v>271</v>
      </c>
      <c r="AA4" s="88">
        <v>0.35714285714285715</v>
      </c>
      <c r="AB4" s="85" t="s">
        <v>271</v>
      </c>
      <c r="AC4" s="88">
        <v>0.7</v>
      </c>
      <c r="AD4" s="85" t="s">
        <v>127</v>
      </c>
      <c r="AE4" s="88">
        <v>0.52095808383233533</v>
      </c>
      <c r="AF4" s="85" t="s">
        <v>200</v>
      </c>
      <c r="AG4" s="88">
        <v>0.58333333333333337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200</v>
      </c>
      <c r="C5" s="84">
        <v>94.299999999999983</v>
      </c>
      <c r="D5" s="85" t="s">
        <v>222</v>
      </c>
      <c r="E5" s="97">
        <v>13.3</v>
      </c>
      <c r="F5" s="85" t="s">
        <v>223</v>
      </c>
      <c r="G5" s="86">
        <v>1.8333333333333333</v>
      </c>
      <c r="H5" s="85" t="s">
        <v>127</v>
      </c>
      <c r="I5" s="87">
        <v>0.48167539267015708</v>
      </c>
      <c r="J5" s="85" t="s">
        <v>200</v>
      </c>
      <c r="K5" s="87">
        <v>0.21052631578947367</v>
      </c>
      <c r="L5" s="85" t="s">
        <v>127</v>
      </c>
      <c r="M5" s="88">
        <v>0.34015345268542202</v>
      </c>
      <c r="N5" s="85" t="s">
        <v>223</v>
      </c>
      <c r="O5" s="88">
        <v>0.13043478260869565</v>
      </c>
      <c r="P5" s="85" t="s">
        <v>171</v>
      </c>
      <c r="Q5" s="89">
        <v>9999.1452991452988</v>
      </c>
      <c r="R5" s="85" t="s">
        <v>177</v>
      </c>
      <c r="S5" s="89">
        <v>-7229.0598290598291</v>
      </c>
      <c r="T5" s="85" t="s">
        <v>223</v>
      </c>
      <c r="U5" s="87">
        <v>0</v>
      </c>
      <c r="V5" s="85" t="s">
        <v>171</v>
      </c>
      <c r="W5" s="87">
        <v>0.15</v>
      </c>
      <c r="X5" s="85" t="s">
        <v>171</v>
      </c>
      <c r="Y5" s="88">
        <v>0.28829915560916769</v>
      </c>
      <c r="Z5" s="85" t="s">
        <v>200</v>
      </c>
      <c r="AA5" s="88">
        <v>0.31428571428571428</v>
      </c>
      <c r="AB5" s="85" t="s">
        <v>184</v>
      </c>
      <c r="AC5" s="88">
        <v>0.66666666666666663</v>
      </c>
      <c r="AD5" s="85" t="s">
        <v>183</v>
      </c>
      <c r="AE5" s="88">
        <v>0.5</v>
      </c>
      <c r="AF5" s="85" t="s">
        <v>173</v>
      </c>
      <c r="AG5" s="88">
        <v>0.50381679389312972</v>
      </c>
      <c r="AH5" s="85" t="s">
        <v>173</v>
      </c>
      <c r="AI5" s="92">
        <v>113300</v>
      </c>
    </row>
    <row r="6" spans="1:35" x14ac:dyDescent="0.4">
      <c r="A6" s="82">
        <v>4</v>
      </c>
      <c r="B6" s="83" t="s">
        <v>183</v>
      </c>
      <c r="C6" s="84">
        <v>61</v>
      </c>
      <c r="D6" s="85" t="s">
        <v>127</v>
      </c>
      <c r="E6" s="97">
        <v>12.503141361256544</v>
      </c>
      <c r="F6" s="85" t="s">
        <v>200</v>
      </c>
      <c r="G6" s="86">
        <v>1.8421052631578947</v>
      </c>
      <c r="H6" s="85" t="s">
        <v>200</v>
      </c>
      <c r="I6" s="87">
        <v>0.36842105263157893</v>
      </c>
      <c r="J6" s="85" t="s">
        <v>127</v>
      </c>
      <c r="K6" s="87">
        <v>0.24083769633507854</v>
      </c>
      <c r="L6" s="85" t="s">
        <v>172</v>
      </c>
      <c r="M6" s="88">
        <v>0.33847980997624705</v>
      </c>
      <c r="N6" s="85" t="s">
        <v>172</v>
      </c>
      <c r="O6" s="88">
        <v>0.14133016627078385</v>
      </c>
      <c r="P6" s="85" t="s">
        <v>127</v>
      </c>
      <c r="Q6" s="89">
        <v>9217.8571428571431</v>
      </c>
      <c r="R6" s="85" t="s">
        <v>128</v>
      </c>
      <c r="S6" s="89">
        <v>-7439.1489361702124</v>
      </c>
      <c r="T6" s="85" t="s">
        <v>172</v>
      </c>
      <c r="U6" s="87">
        <v>0.05</v>
      </c>
      <c r="V6" s="85" t="s">
        <v>145</v>
      </c>
      <c r="W6" s="87">
        <v>0.12070874861572536</v>
      </c>
      <c r="X6" s="85" t="s">
        <v>177</v>
      </c>
      <c r="Y6" s="88">
        <v>0.27713920817369092</v>
      </c>
      <c r="Z6" s="85" t="s">
        <v>172</v>
      </c>
      <c r="AA6" s="88">
        <v>0.28978622327790976</v>
      </c>
      <c r="AB6" s="85" t="s">
        <v>200</v>
      </c>
      <c r="AC6" s="88">
        <v>0.62790697674418605</v>
      </c>
      <c r="AD6" s="85" t="s">
        <v>200</v>
      </c>
      <c r="AE6" s="88">
        <v>0.43636363636363634</v>
      </c>
      <c r="AF6" s="85" t="s">
        <v>222</v>
      </c>
      <c r="AG6" s="88">
        <v>0.5</v>
      </c>
      <c r="AH6" s="85" t="s">
        <v>128</v>
      </c>
      <c r="AI6" s="92">
        <v>107600</v>
      </c>
    </row>
    <row r="7" spans="1:35" x14ac:dyDescent="0.4">
      <c r="A7" s="82">
        <v>5</v>
      </c>
      <c r="B7" s="83" t="s">
        <v>177</v>
      </c>
      <c r="C7" s="84">
        <v>48.899999999999928</v>
      </c>
      <c r="D7" s="85" t="s">
        <v>200</v>
      </c>
      <c r="E7" s="97">
        <v>4.9631578947368409</v>
      </c>
      <c r="F7" s="85" t="s">
        <v>177</v>
      </c>
      <c r="G7" s="86">
        <v>1.9791666666666667</v>
      </c>
      <c r="H7" s="85" t="s">
        <v>177</v>
      </c>
      <c r="I7" s="87">
        <v>0.34375</v>
      </c>
      <c r="J7" s="85" t="s">
        <v>172</v>
      </c>
      <c r="K7" s="87">
        <v>0.3</v>
      </c>
      <c r="L7" s="85" t="s">
        <v>145</v>
      </c>
      <c r="M7" s="88">
        <v>0.29834401709401709</v>
      </c>
      <c r="N7" s="85" t="s">
        <v>177</v>
      </c>
      <c r="O7" s="88">
        <v>0.14942528735632185</v>
      </c>
      <c r="P7" s="85" t="s">
        <v>128</v>
      </c>
      <c r="Q7" s="89">
        <v>8987.4301675977658</v>
      </c>
      <c r="R7" s="85" t="s">
        <v>145</v>
      </c>
      <c r="S7" s="89">
        <v>-8114.6752205292705</v>
      </c>
      <c r="T7" s="85" t="s">
        <v>127</v>
      </c>
      <c r="U7" s="87">
        <v>8.9005235602094238E-2</v>
      </c>
      <c r="V7" s="85" t="s">
        <v>177</v>
      </c>
      <c r="W7" s="87">
        <v>0.11458333333333333</v>
      </c>
      <c r="X7" s="85" t="s">
        <v>145</v>
      </c>
      <c r="Y7" s="88">
        <v>0.27083333333333331</v>
      </c>
      <c r="Z7" s="85" t="s">
        <v>184</v>
      </c>
      <c r="AA7" s="88">
        <v>0.24861878453038674</v>
      </c>
      <c r="AB7" s="85" t="s">
        <v>177</v>
      </c>
      <c r="AC7" s="88">
        <v>0.61290322580645162</v>
      </c>
      <c r="AD7" s="85" t="s">
        <v>172</v>
      </c>
      <c r="AE7" s="88">
        <v>0.42213114754098363</v>
      </c>
      <c r="AF7" s="85" t="s">
        <v>184</v>
      </c>
      <c r="AG7" s="88">
        <v>0.48</v>
      </c>
      <c r="AH7" s="85" t="s">
        <v>200</v>
      </c>
      <c r="AI7" s="92">
        <v>106300</v>
      </c>
    </row>
    <row r="8" spans="1:35" x14ac:dyDescent="0.4">
      <c r="A8" s="82">
        <v>6</v>
      </c>
      <c r="B8" s="83" t="s">
        <v>222</v>
      </c>
      <c r="C8" s="84">
        <v>13.3</v>
      </c>
      <c r="D8" s="85" t="s">
        <v>177</v>
      </c>
      <c r="E8" s="97">
        <v>0.50937499999999925</v>
      </c>
      <c r="F8" s="85" t="s">
        <v>145</v>
      </c>
      <c r="G8" s="86">
        <v>2</v>
      </c>
      <c r="H8" s="85" t="s">
        <v>184</v>
      </c>
      <c r="I8" s="87">
        <v>0.33333333333333331</v>
      </c>
      <c r="J8" s="85" t="s">
        <v>177</v>
      </c>
      <c r="K8" s="87">
        <v>0.32291666666666669</v>
      </c>
      <c r="L8" s="85" t="s">
        <v>173</v>
      </c>
      <c r="M8" s="88">
        <v>0.2841648590021692</v>
      </c>
      <c r="N8" s="85" t="s">
        <v>127</v>
      </c>
      <c r="O8" s="88">
        <v>0.15025575447570333</v>
      </c>
      <c r="P8" s="85" t="s">
        <v>177</v>
      </c>
      <c r="Q8" s="89">
        <v>8874.8837209302328</v>
      </c>
      <c r="R8" s="85" t="s">
        <v>127</v>
      </c>
      <c r="S8" s="89">
        <v>-8150.6382978723404</v>
      </c>
      <c r="T8" s="85" t="s">
        <v>171</v>
      </c>
      <c r="U8" s="87">
        <v>0.11</v>
      </c>
      <c r="V8" s="85" t="s">
        <v>129</v>
      </c>
      <c r="W8" s="87">
        <v>0.10273972602739725</v>
      </c>
      <c r="X8" s="85" t="s">
        <v>183</v>
      </c>
      <c r="Y8" s="88">
        <v>0.26315789473684209</v>
      </c>
      <c r="Z8" s="85" t="s">
        <v>173</v>
      </c>
      <c r="AA8" s="88">
        <v>0.23644251626898047</v>
      </c>
      <c r="AB8" s="85" t="s">
        <v>183</v>
      </c>
      <c r="AC8" s="88">
        <v>0.6</v>
      </c>
      <c r="AD8" s="85" t="s">
        <v>171</v>
      </c>
      <c r="AE8" s="88">
        <v>0.40490797546012269</v>
      </c>
      <c r="AF8" s="85" t="s">
        <v>177</v>
      </c>
      <c r="AG8" s="88">
        <v>0.45581395348837211</v>
      </c>
      <c r="AH8" s="85" t="s">
        <v>177</v>
      </c>
      <c r="AI8" s="92">
        <v>103000</v>
      </c>
    </row>
    <row r="9" spans="1:35" x14ac:dyDescent="0.4">
      <c r="A9" s="82">
        <v>7</v>
      </c>
      <c r="B9" s="83" t="s">
        <v>145</v>
      </c>
      <c r="C9" s="84">
        <v>-2.0000000000000142</v>
      </c>
      <c r="D9" s="85" t="s">
        <v>145</v>
      </c>
      <c r="E9" s="97">
        <v>-2.2148394241417657E-3</v>
      </c>
      <c r="F9" s="85" t="s">
        <v>222</v>
      </c>
      <c r="G9" s="86">
        <v>2</v>
      </c>
      <c r="H9" s="85" t="s">
        <v>145</v>
      </c>
      <c r="I9" s="87">
        <v>0.33333333333333331</v>
      </c>
      <c r="J9" s="85" t="s">
        <v>145</v>
      </c>
      <c r="K9" s="87">
        <v>0.33333333333333331</v>
      </c>
      <c r="L9" s="85" t="s">
        <v>171</v>
      </c>
      <c r="M9" s="88">
        <v>0.28226779252110978</v>
      </c>
      <c r="N9" s="85" t="s">
        <v>200</v>
      </c>
      <c r="O9" s="88">
        <v>0.16</v>
      </c>
      <c r="P9" s="85" t="s">
        <v>145</v>
      </c>
      <c r="Q9" s="89">
        <v>8640.2417188898835</v>
      </c>
      <c r="R9" s="85" t="s">
        <v>172</v>
      </c>
      <c r="S9" s="89">
        <v>-8181.5126050420167</v>
      </c>
      <c r="T9" s="85" t="s">
        <v>145</v>
      </c>
      <c r="U9" s="87">
        <v>0.12070874861572536</v>
      </c>
      <c r="V9" s="85" t="s">
        <v>128</v>
      </c>
      <c r="W9" s="87">
        <v>0.10126582278481013</v>
      </c>
      <c r="X9" s="85" t="s">
        <v>129</v>
      </c>
      <c r="Y9" s="88">
        <v>0.25592804578904332</v>
      </c>
      <c r="Z9" s="85" t="s">
        <v>127</v>
      </c>
      <c r="AA9" s="88">
        <v>0.21355498721227623</v>
      </c>
      <c r="AB9" s="85" t="s">
        <v>128</v>
      </c>
      <c r="AC9" s="88">
        <v>0.58701298701298699</v>
      </c>
      <c r="AD9" s="85" t="s">
        <v>145</v>
      </c>
      <c r="AE9" s="88">
        <v>0.39936908517350156</v>
      </c>
      <c r="AF9" s="85" t="s">
        <v>128</v>
      </c>
      <c r="AG9" s="88">
        <v>0.43854748603351956</v>
      </c>
      <c r="AH9" s="85" t="s">
        <v>172</v>
      </c>
      <c r="AI9" s="92">
        <v>97500</v>
      </c>
    </row>
    <row r="10" spans="1:35" x14ac:dyDescent="0.4">
      <c r="A10" s="82">
        <v>8</v>
      </c>
      <c r="B10" s="83" t="s">
        <v>171</v>
      </c>
      <c r="C10" s="84">
        <v>-46.699999999999989</v>
      </c>
      <c r="D10" s="85" t="s">
        <v>171</v>
      </c>
      <c r="E10" s="97">
        <v>-0.46699999999999986</v>
      </c>
      <c r="F10" s="85" t="s">
        <v>172</v>
      </c>
      <c r="G10" s="86">
        <v>2.0499999999999998</v>
      </c>
      <c r="H10" s="85" t="s">
        <v>171</v>
      </c>
      <c r="I10" s="87">
        <v>0.3</v>
      </c>
      <c r="J10" s="85" t="s">
        <v>223</v>
      </c>
      <c r="K10" s="87">
        <v>0.33333333333333331</v>
      </c>
      <c r="L10" s="85" t="s">
        <v>184</v>
      </c>
      <c r="M10" s="88">
        <v>0.27624309392265195</v>
      </c>
      <c r="N10" s="85" t="s">
        <v>145</v>
      </c>
      <c r="O10" s="88">
        <v>0.16653311965811965</v>
      </c>
      <c r="P10" s="85" t="s">
        <v>184</v>
      </c>
      <c r="Q10" s="89">
        <v>8434</v>
      </c>
      <c r="R10" s="85" t="s">
        <v>173</v>
      </c>
      <c r="S10" s="89">
        <v>-8327.3809523809523</v>
      </c>
      <c r="T10" s="85" t="s">
        <v>128</v>
      </c>
      <c r="U10" s="87">
        <v>0.12658227848101267</v>
      </c>
      <c r="V10" s="85" t="s">
        <v>172</v>
      </c>
      <c r="W10" s="87">
        <v>0.1</v>
      </c>
      <c r="X10" s="85" t="s">
        <v>200</v>
      </c>
      <c r="Y10" s="88">
        <v>0.24571428571428572</v>
      </c>
      <c r="Z10" s="85" t="s">
        <v>145</v>
      </c>
      <c r="AA10" s="88">
        <v>0.21167200854700854</v>
      </c>
      <c r="AB10" s="85" t="s">
        <v>127</v>
      </c>
      <c r="AC10" s="88">
        <v>0.57796257796257799</v>
      </c>
      <c r="AD10" s="85" t="s">
        <v>184</v>
      </c>
      <c r="AE10" s="88">
        <v>0.37777777777777777</v>
      </c>
      <c r="AF10" s="85" t="s">
        <v>145</v>
      </c>
      <c r="AG10" s="88">
        <v>0.43419874664279318</v>
      </c>
      <c r="AH10" s="85" t="s">
        <v>129</v>
      </c>
      <c r="AI10" s="92">
        <v>96900</v>
      </c>
    </row>
    <row r="11" spans="1:35" x14ac:dyDescent="0.4">
      <c r="A11" s="82">
        <v>9</v>
      </c>
      <c r="B11" s="83" t="s">
        <v>172</v>
      </c>
      <c r="C11" s="84">
        <v>-177.80000000000004</v>
      </c>
      <c r="D11" s="85" t="s">
        <v>172</v>
      </c>
      <c r="E11" s="97">
        <v>-1.7780000000000005</v>
      </c>
      <c r="F11" s="85" t="s">
        <v>171</v>
      </c>
      <c r="G11" s="86">
        <v>2.06</v>
      </c>
      <c r="H11" s="85" t="s">
        <v>129</v>
      </c>
      <c r="I11" s="87">
        <v>0.29452054794520549</v>
      </c>
      <c r="J11" s="85" t="s">
        <v>128</v>
      </c>
      <c r="K11" s="87">
        <v>0.34177215189873417</v>
      </c>
      <c r="L11" s="85" t="s">
        <v>128</v>
      </c>
      <c r="M11" s="88">
        <v>0.27623456790123457</v>
      </c>
      <c r="N11" s="85" t="s">
        <v>171</v>
      </c>
      <c r="O11" s="88">
        <v>0.1773220747889023</v>
      </c>
      <c r="P11" s="85" t="s">
        <v>129</v>
      </c>
      <c r="Q11" s="89">
        <v>8275.3012048192777</v>
      </c>
      <c r="R11" s="85" t="s">
        <v>200</v>
      </c>
      <c r="S11" s="89">
        <v>-8367.8571428571431</v>
      </c>
      <c r="T11" s="85" t="s">
        <v>177</v>
      </c>
      <c r="U11" s="87">
        <v>0.13541666666666666</v>
      </c>
      <c r="V11" s="85" t="s">
        <v>184</v>
      </c>
      <c r="W11" s="87">
        <v>8.3333333333333329E-2</v>
      </c>
      <c r="X11" s="85" t="s">
        <v>184</v>
      </c>
      <c r="Y11" s="88">
        <v>0.23204419889502761</v>
      </c>
      <c r="Z11" s="85" t="s">
        <v>183</v>
      </c>
      <c r="AA11" s="88">
        <v>0.21052631578947367</v>
      </c>
      <c r="AB11" s="85" t="s">
        <v>145</v>
      </c>
      <c r="AC11" s="88">
        <v>0.57692307692307687</v>
      </c>
      <c r="AD11" s="85" t="s">
        <v>173</v>
      </c>
      <c r="AE11" s="88">
        <v>0.33944954128440369</v>
      </c>
      <c r="AF11" s="85" t="s">
        <v>271</v>
      </c>
      <c r="AG11" s="88">
        <v>0.42857142857142855</v>
      </c>
      <c r="AH11" s="85" t="s">
        <v>171</v>
      </c>
      <c r="AI11" s="92">
        <v>96000</v>
      </c>
    </row>
    <row r="12" spans="1:35" x14ac:dyDescent="0.4">
      <c r="A12" s="82">
        <v>10</v>
      </c>
      <c r="B12" s="83" t="s">
        <v>271</v>
      </c>
      <c r="C12" s="84">
        <v>-201.8</v>
      </c>
      <c r="D12" s="85" t="s">
        <v>128</v>
      </c>
      <c r="E12" s="97">
        <v>-2.5506329113924053</v>
      </c>
      <c r="F12" s="85" t="s">
        <v>128</v>
      </c>
      <c r="G12" s="86">
        <v>2.0696202531645569</v>
      </c>
      <c r="H12" s="85" t="s">
        <v>173</v>
      </c>
      <c r="I12" s="87">
        <v>0.28301886792452829</v>
      </c>
      <c r="J12" s="85" t="s">
        <v>171</v>
      </c>
      <c r="K12" s="87">
        <v>0.36</v>
      </c>
      <c r="L12" s="85" t="s">
        <v>177</v>
      </c>
      <c r="M12" s="88">
        <v>0.27458492975734355</v>
      </c>
      <c r="N12" s="85" t="s">
        <v>129</v>
      </c>
      <c r="O12" s="88">
        <v>0.17988552739165986</v>
      </c>
      <c r="P12" s="85" t="s">
        <v>200</v>
      </c>
      <c r="Q12" s="89">
        <v>8058.333333333333</v>
      </c>
      <c r="R12" s="85" t="s">
        <v>171</v>
      </c>
      <c r="S12" s="89">
        <v>-8448.299319727892</v>
      </c>
      <c r="T12" s="85" t="s">
        <v>173</v>
      </c>
      <c r="U12" s="87">
        <v>0.15094339622641509</v>
      </c>
      <c r="V12" s="85" t="s">
        <v>173</v>
      </c>
      <c r="W12" s="87">
        <v>7.5471698113207544E-2</v>
      </c>
      <c r="X12" s="85" t="s">
        <v>222</v>
      </c>
      <c r="Y12" s="88">
        <v>0.23076923076923078</v>
      </c>
      <c r="Z12" s="85" t="s">
        <v>171</v>
      </c>
      <c r="AA12" s="88">
        <v>0.19662243667068757</v>
      </c>
      <c r="AB12" s="85" t="s">
        <v>171</v>
      </c>
      <c r="AC12" s="88">
        <v>0.56485355648535562</v>
      </c>
      <c r="AD12" s="85" t="s">
        <v>177</v>
      </c>
      <c r="AE12" s="88">
        <v>0.3380281690140845</v>
      </c>
      <c r="AF12" s="85" t="s">
        <v>129</v>
      </c>
      <c r="AG12" s="88">
        <v>0.4246987951807229</v>
      </c>
      <c r="AH12" s="85" t="s">
        <v>223</v>
      </c>
      <c r="AI12" s="92">
        <v>92100</v>
      </c>
    </row>
    <row r="13" spans="1:35" x14ac:dyDescent="0.4">
      <c r="A13" s="82">
        <v>11</v>
      </c>
      <c r="B13" s="83" t="s">
        <v>184</v>
      </c>
      <c r="C13" s="84">
        <v>-300.5</v>
      </c>
      <c r="D13" s="85" t="s">
        <v>173</v>
      </c>
      <c r="E13" s="97">
        <v>-7.4849056603773594</v>
      </c>
      <c r="F13" s="85" t="s">
        <v>173</v>
      </c>
      <c r="G13" s="86">
        <v>2.1132075471698113</v>
      </c>
      <c r="H13" s="85" t="s">
        <v>128</v>
      </c>
      <c r="I13" s="87">
        <v>0.27215189873417722</v>
      </c>
      <c r="J13" s="85" t="s">
        <v>173</v>
      </c>
      <c r="K13" s="87">
        <v>0.39622641509433965</v>
      </c>
      <c r="L13" s="85" t="s">
        <v>129</v>
      </c>
      <c r="M13" s="88">
        <v>0.27146361406377761</v>
      </c>
      <c r="N13" s="85" t="s">
        <v>128</v>
      </c>
      <c r="O13" s="88">
        <v>0.18132716049382716</v>
      </c>
      <c r="P13" s="85" t="s">
        <v>183</v>
      </c>
      <c r="Q13" s="89">
        <v>7860</v>
      </c>
      <c r="R13" s="85" t="s">
        <v>129</v>
      </c>
      <c r="S13" s="89">
        <v>-8580</v>
      </c>
      <c r="T13" s="85" t="s">
        <v>200</v>
      </c>
      <c r="U13" s="87">
        <v>0.15789473684210525</v>
      </c>
      <c r="V13" s="85" t="s">
        <v>200</v>
      </c>
      <c r="W13" s="87">
        <v>5.2631578947368418E-2</v>
      </c>
      <c r="X13" s="85" t="s">
        <v>173</v>
      </c>
      <c r="Y13" s="88">
        <v>0.22342733188720174</v>
      </c>
      <c r="Z13" s="85" t="s">
        <v>129</v>
      </c>
      <c r="AA13" s="88">
        <v>0.18642681929681112</v>
      </c>
      <c r="AB13" s="85" t="s">
        <v>172</v>
      </c>
      <c r="AC13" s="88">
        <v>0.55555555555555558</v>
      </c>
      <c r="AD13" s="85" t="s">
        <v>129</v>
      </c>
      <c r="AE13" s="88">
        <v>0.33333333333333331</v>
      </c>
      <c r="AF13" s="85" t="s">
        <v>127</v>
      </c>
      <c r="AG13" s="88">
        <v>0.41729323308270677</v>
      </c>
      <c r="AH13" s="85" t="s">
        <v>184</v>
      </c>
      <c r="AI13" s="92">
        <v>92000</v>
      </c>
    </row>
    <row r="14" spans="1:35" x14ac:dyDescent="0.4">
      <c r="A14" s="82">
        <v>12</v>
      </c>
      <c r="B14" s="83" t="s">
        <v>173</v>
      </c>
      <c r="C14" s="84">
        <v>-396.70000000000005</v>
      </c>
      <c r="D14" s="85" t="s">
        <v>129</v>
      </c>
      <c r="E14" s="97">
        <v>-8.0924657534246567</v>
      </c>
      <c r="F14" s="85" t="s">
        <v>129</v>
      </c>
      <c r="G14" s="86">
        <v>2.1164383561643834</v>
      </c>
      <c r="H14" s="85" t="s">
        <v>172</v>
      </c>
      <c r="I14" s="87">
        <v>0.25</v>
      </c>
      <c r="J14" s="85" t="s">
        <v>129</v>
      </c>
      <c r="K14" s="87">
        <v>0.41095890410958902</v>
      </c>
      <c r="L14" s="85" t="s">
        <v>183</v>
      </c>
      <c r="M14" s="88">
        <v>0.26315789473684209</v>
      </c>
      <c r="N14" s="85" t="s">
        <v>173</v>
      </c>
      <c r="O14" s="88">
        <v>0.1822125813449024</v>
      </c>
      <c r="P14" s="85" t="s">
        <v>173</v>
      </c>
      <c r="Q14" s="89">
        <v>7648.0916030534354</v>
      </c>
      <c r="R14" s="85" t="s">
        <v>184</v>
      </c>
      <c r="S14" s="89">
        <v>-9878.0487804878048</v>
      </c>
      <c r="T14" s="85" t="s">
        <v>129</v>
      </c>
      <c r="U14" s="87">
        <v>0.16438356164383561</v>
      </c>
      <c r="V14" s="85" t="s">
        <v>183</v>
      </c>
      <c r="W14" s="87">
        <v>0</v>
      </c>
      <c r="X14" s="85" t="s">
        <v>172</v>
      </c>
      <c r="Y14" s="88">
        <v>0.21377672209026127</v>
      </c>
      <c r="Z14" s="85" t="s">
        <v>177</v>
      </c>
      <c r="AA14" s="88">
        <v>0.18135376756066413</v>
      </c>
      <c r="AB14" s="85" t="s">
        <v>173</v>
      </c>
      <c r="AC14" s="88">
        <v>0.55339805825242716</v>
      </c>
      <c r="AD14" s="85" t="s">
        <v>128</v>
      </c>
      <c r="AE14" s="88">
        <v>0.32286995515695066</v>
      </c>
      <c r="AF14" s="85" t="s">
        <v>171</v>
      </c>
      <c r="AG14" s="88">
        <v>0.40598290598290598</v>
      </c>
      <c r="AH14" s="85" t="s">
        <v>183</v>
      </c>
      <c r="AI14" s="92">
        <v>53500</v>
      </c>
    </row>
    <row r="15" spans="1:35" x14ac:dyDescent="0.4">
      <c r="A15" s="82">
        <v>13</v>
      </c>
      <c r="B15" s="83" t="s">
        <v>128</v>
      </c>
      <c r="C15" s="84">
        <v>-403.00000000000006</v>
      </c>
      <c r="D15" s="85" t="s">
        <v>184</v>
      </c>
      <c r="E15" s="97">
        <v>-12.520833333333334</v>
      </c>
      <c r="F15" s="85" t="s">
        <v>184</v>
      </c>
      <c r="G15" s="86">
        <v>2.2083333333333335</v>
      </c>
      <c r="H15" s="85" t="s">
        <v>222</v>
      </c>
      <c r="I15" s="87">
        <v>0</v>
      </c>
      <c r="J15" s="85" t="s">
        <v>184</v>
      </c>
      <c r="K15" s="87">
        <v>0.54166666666666663</v>
      </c>
      <c r="L15" s="85" t="s">
        <v>271</v>
      </c>
      <c r="M15" s="88">
        <v>0.25</v>
      </c>
      <c r="N15" s="85" t="s">
        <v>271</v>
      </c>
      <c r="O15" s="88">
        <v>0.21428571428571427</v>
      </c>
      <c r="P15" s="85" t="s">
        <v>172</v>
      </c>
      <c r="Q15" s="89">
        <v>6753.333333333333</v>
      </c>
      <c r="R15" s="85" t="s">
        <v>223</v>
      </c>
      <c r="S15" s="89">
        <v>-10583.333333333334</v>
      </c>
      <c r="T15" s="85" t="s">
        <v>271</v>
      </c>
      <c r="U15" s="87">
        <v>0.16666666666666666</v>
      </c>
      <c r="V15" s="85" t="s">
        <v>222</v>
      </c>
      <c r="W15" s="87">
        <v>0</v>
      </c>
      <c r="X15" s="85" t="s">
        <v>271</v>
      </c>
      <c r="Y15" s="88">
        <v>0.17857142857142858</v>
      </c>
      <c r="Z15" s="85" t="s">
        <v>128</v>
      </c>
      <c r="AA15" s="88">
        <v>0.17206790123456789</v>
      </c>
      <c r="AB15" s="85" t="s">
        <v>129</v>
      </c>
      <c r="AC15" s="88">
        <v>0.54313099041533541</v>
      </c>
      <c r="AD15" s="85" t="s">
        <v>271</v>
      </c>
      <c r="AE15" s="88">
        <v>0.25</v>
      </c>
      <c r="AF15" s="85" t="s">
        <v>172</v>
      </c>
      <c r="AG15" s="88">
        <v>0.4</v>
      </c>
      <c r="AH15" s="85" t="s">
        <v>271</v>
      </c>
      <c r="AI15" s="92">
        <v>52800</v>
      </c>
    </row>
    <row r="16" spans="1:35" x14ac:dyDescent="0.4">
      <c r="A16" s="82">
        <v>14</v>
      </c>
      <c r="B16" s="83" t="s">
        <v>129</v>
      </c>
      <c r="C16" s="84">
        <v>-1181.5</v>
      </c>
      <c r="D16" s="85" t="s">
        <v>271</v>
      </c>
      <c r="E16" s="97">
        <v>-33.633333333333333</v>
      </c>
      <c r="F16" s="85" t="s">
        <v>271</v>
      </c>
      <c r="G16" s="86">
        <v>2.6666666666666665</v>
      </c>
      <c r="H16" s="85" t="s">
        <v>271</v>
      </c>
      <c r="I16" s="87">
        <v>0</v>
      </c>
      <c r="J16" s="85" t="s">
        <v>271</v>
      </c>
      <c r="K16" s="87">
        <v>0.66666666666666663</v>
      </c>
      <c r="L16" s="85" t="s">
        <v>222</v>
      </c>
      <c r="M16" s="88">
        <v>0.15384615384615385</v>
      </c>
      <c r="N16" s="85" t="s">
        <v>184</v>
      </c>
      <c r="O16" s="88">
        <v>0.22651933701657459</v>
      </c>
      <c r="P16" s="85" t="s">
        <v>271</v>
      </c>
      <c r="Q16" s="89">
        <v>6614.2857142857147</v>
      </c>
      <c r="R16" s="85" t="s">
        <v>222</v>
      </c>
      <c r="S16" s="89">
        <v>-12000</v>
      </c>
      <c r="T16" s="85" t="s">
        <v>184</v>
      </c>
      <c r="U16" s="87">
        <v>0.29166666666666669</v>
      </c>
      <c r="V16" s="85" t="s">
        <v>271</v>
      </c>
      <c r="W16" s="87">
        <v>0</v>
      </c>
      <c r="X16" s="85" t="s">
        <v>223</v>
      </c>
      <c r="Y16" s="88">
        <v>0.15217391304347827</v>
      </c>
      <c r="Z16" s="85" t="s">
        <v>222</v>
      </c>
      <c r="AA16" s="88">
        <v>7.6923076923076927E-2</v>
      </c>
      <c r="AB16" s="85" t="s">
        <v>222</v>
      </c>
      <c r="AC16" s="88">
        <v>0.33333333333333331</v>
      </c>
      <c r="AD16" s="85" t="s">
        <v>222</v>
      </c>
      <c r="AE16" s="88">
        <v>0</v>
      </c>
      <c r="AF16" s="85" t="s">
        <v>183</v>
      </c>
      <c r="AG16" s="88">
        <v>0.2</v>
      </c>
      <c r="AH16" s="85" t="s">
        <v>222</v>
      </c>
      <c r="AI16" s="92">
        <v>48300</v>
      </c>
    </row>
  </sheetData>
  <sortState ref="AH3:AI47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4420E-D70C-418A-8AE0-774977567C5A}">
  <sheetPr codeName="Sheet4"/>
  <dimension ref="A1:Q90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145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903</v>
      </c>
      <c r="C2" s="151"/>
      <c r="E2" s="62" t="s">
        <v>67</v>
      </c>
      <c r="F2" s="59" t="s">
        <v>23</v>
      </c>
      <c r="G2" s="46">
        <v>1607</v>
      </c>
      <c r="H2" s="132">
        <f>IF(B$17=0,0,G2/B$17)</f>
        <v>0.71933751119068934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-16.611295681063122</v>
      </c>
      <c r="P2" s="118">
        <v>903</v>
      </c>
      <c r="Q2" s="102">
        <v>-15000</v>
      </c>
    </row>
    <row r="3" spans="1:17" x14ac:dyDescent="0.4">
      <c r="A3" s="55" t="s">
        <v>8</v>
      </c>
      <c r="B3" s="152">
        <v>7488</v>
      </c>
      <c r="C3" s="153"/>
      <c r="E3" s="63" t="s">
        <v>73</v>
      </c>
      <c r="F3" s="60" t="s">
        <v>28</v>
      </c>
      <c r="G3" s="47">
        <v>1152</v>
      </c>
      <c r="H3" s="133">
        <f>IF(B$17=0,0,G3/B$17)</f>
        <v>0.51566696508504928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0"/>
        <v>-5.6689342403628116</v>
      </c>
      <c r="P3" s="119">
        <v>882</v>
      </c>
      <c r="Q3" s="103">
        <v>-5000</v>
      </c>
    </row>
    <row r="4" spans="1:17" x14ac:dyDescent="0.4">
      <c r="A4" s="55" t="s">
        <v>6</v>
      </c>
      <c r="B4" s="154">
        <v>-2.0000000000000142</v>
      </c>
      <c r="C4" s="155"/>
      <c r="E4" s="63" t="s">
        <v>65</v>
      </c>
      <c r="F4" s="60" t="s">
        <v>21</v>
      </c>
      <c r="G4" s="47">
        <v>1115</v>
      </c>
      <c r="H4" s="133">
        <f>IF(B$17=0,0,G4/B$17)</f>
        <v>0.4991047448522829</v>
      </c>
      <c r="I4" s="94">
        <v>8</v>
      </c>
      <c r="K4" s="38">
        <v>2</v>
      </c>
      <c r="L4" s="99">
        <v>40.4</v>
      </c>
      <c r="N4" s="115" t="s">
        <v>134</v>
      </c>
      <c r="O4" s="122">
        <f t="shared" si="0"/>
        <v>12.210012210012209</v>
      </c>
      <c r="P4" s="119">
        <v>819</v>
      </c>
      <c r="Q4" s="103">
        <v>10000</v>
      </c>
    </row>
    <row r="5" spans="1:17" x14ac:dyDescent="0.4">
      <c r="A5" s="55" t="s">
        <v>7</v>
      </c>
      <c r="B5" s="156">
        <f>IF(B$2=0,0,B$4/B$2)</f>
        <v>-2.2148394241417657E-3</v>
      </c>
      <c r="C5" s="157"/>
      <c r="E5" s="63" t="s">
        <v>245</v>
      </c>
      <c r="F5" s="60" t="s">
        <v>246</v>
      </c>
      <c r="G5" s="47">
        <v>903</v>
      </c>
      <c r="H5" s="133">
        <f>IF(B$17=0,0,G5/B$17)</f>
        <v>0.40420769919427035</v>
      </c>
      <c r="I5" s="94">
        <v>7</v>
      </c>
      <c r="K5" s="38">
        <v>3</v>
      </c>
      <c r="L5" s="99">
        <v>0</v>
      </c>
      <c r="N5" s="115" t="s">
        <v>135</v>
      </c>
      <c r="O5" s="122">
        <f t="shared" si="0"/>
        <v>5.2910052910052912</v>
      </c>
      <c r="P5" s="119">
        <v>756</v>
      </c>
      <c r="Q5" s="103">
        <v>4000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694</v>
      </c>
      <c r="H6" s="133">
        <f>IF(B$17=0,0,G6/B$17)</f>
        <v>0.31065353625783348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-14.749262536873156</v>
      </c>
      <c r="P6" s="119">
        <v>678</v>
      </c>
      <c r="Q6" s="103">
        <v>-10000</v>
      </c>
    </row>
    <row r="7" spans="1:17" x14ac:dyDescent="0.4">
      <c r="A7" s="55" t="s">
        <v>2</v>
      </c>
      <c r="B7" s="47">
        <v>301</v>
      </c>
      <c r="C7" s="39">
        <f>IF(B$2=0,0,B7/B$2)</f>
        <v>0.33333333333333331</v>
      </c>
      <c r="E7" s="63" t="s">
        <v>68</v>
      </c>
      <c r="F7" s="60" t="s">
        <v>24</v>
      </c>
      <c r="G7" s="47">
        <v>674</v>
      </c>
      <c r="H7" s="133">
        <f>IF(B$17=0,0,G7/B$17)</f>
        <v>0.30170098478066248</v>
      </c>
      <c r="I7" s="94">
        <v>7</v>
      </c>
      <c r="K7" s="38">
        <v>5</v>
      </c>
      <c r="L7" s="99">
        <v>-37</v>
      </c>
      <c r="N7" s="116" t="s">
        <v>137</v>
      </c>
      <c r="O7" s="123">
        <f t="shared" si="0"/>
        <v>23.450586264656618</v>
      </c>
      <c r="P7" s="120">
        <v>597</v>
      </c>
      <c r="Q7" s="104">
        <v>14000</v>
      </c>
    </row>
    <row r="8" spans="1:17" x14ac:dyDescent="0.4">
      <c r="A8" s="55" t="s">
        <v>3</v>
      </c>
      <c r="B8" s="47">
        <v>301</v>
      </c>
      <c r="C8" s="39">
        <f>IF(B$2=0,0,B8/B$2)</f>
        <v>0.33333333333333331</v>
      </c>
      <c r="E8" s="63" t="s">
        <v>70</v>
      </c>
      <c r="F8" s="60" t="s">
        <v>25</v>
      </c>
      <c r="G8" s="47">
        <v>380</v>
      </c>
      <c r="H8" s="133">
        <f>IF(B$17=0,0,G8/B$17)</f>
        <v>0.17009847806624889</v>
      </c>
      <c r="I8" s="94">
        <v>4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301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289</v>
      </c>
      <c r="H9" s="133">
        <f>IF(B$17=0,0,G9/B$17)</f>
        <v>0.12936436884512087</v>
      </c>
      <c r="I9" s="94">
        <v>7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109</v>
      </c>
      <c r="C10" s="40">
        <f>IF(B$2=0,0,B10/B$2)</f>
        <v>0.12070874861572536</v>
      </c>
      <c r="E10" s="63" t="s">
        <v>66</v>
      </c>
      <c r="F10" s="60" t="s">
        <v>22</v>
      </c>
      <c r="G10" s="47">
        <v>247</v>
      </c>
      <c r="H10" s="133">
        <f>IF(B$17=0,0,G10/B$17)</f>
        <v>0.11056401074306177</v>
      </c>
      <c r="I10" s="94">
        <v>5</v>
      </c>
      <c r="K10" s="38">
        <v>8</v>
      </c>
      <c r="L10" s="99">
        <v>19.699999999999996</v>
      </c>
      <c r="N10" s="114" t="s">
        <v>164</v>
      </c>
      <c r="O10" s="124">
        <f>IF(P10=0,0,Q10/P10)</f>
        <v>-2.7166112956810609</v>
      </c>
      <c r="P10" s="118">
        <v>301</v>
      </c>
      <c r="Q10" s="106">
        <v>-817.69999999999936</v>
      </c>
    </row>
    <row r="11" spans="1:17" x14ac:dyDescent="0.4">
      <c r="A11" s="56" t="s">
        <v>140</v>
      </c>
      <c r="B11" s="48">
        <v>109</v>
      </c>
      <c r="C11" s="40">
        <f>IF(B$2=0,0,B11/B$2)</f>
        <v>0.12070874861572536</v>
      </c>
      <c r="E11" s="63" t="s">
        <v>71</v>
      </c>
      <c r="F11" s="60" t="s">
        <v>26</v>
      </c>
      <c r="G11" s="47">
        <v>229</v>
      </c>
      <c r="H11" s="133">
        <f>IF(B$17=0,0,G11/B$17)</f>
        <v>0.10250671441360788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2.2219269102990036</v>
      </c>
      <c r="P11" s="119">
        <v>301</v>
      </c>
      <c r="Q11" s="107">
        <v>668.80000000000007</v>
      </c>
    </row>
    <row r="12" spans="1:17" x14ac:dyDescent="0.4">
      <c r="A12" s="57" t="s">
        <v>160</v>
      </c>
      <c r="B12" s="49">
        <v>80</v>
      </c>
      <c r="C12" s="42">
        <f>IF(B$2=0,0,B12/B$2)</f>
        <v>8.8593576965669996E-2</v>
      </c>
      <c r="E12" s="63" t="s">
        <v>72</v>
      </c>
      <c r="F12" s="60" t="s">
        <v>27</v>
      </c>
      <c r="G12" s="47">
        <v>151</v>
      </c>
      <c r="H12" s="133">
        <f>IF(B$17=0,0,G12/B$17)</f>
        <v>6.7591763652640996E-2</v>
      </c>
      <c r="I12" s="94">
        <v>6</v>
      </c>
      <c r="K12" s="38">
        <v>10</v>
      </c>
      <c r="L12" s="99">
        <v>40.099999999999994</v>
      </c>
      <c r="N12" s="116" t="s">
        <v>166</v>
      </c>
      <c r="O12" s="126">
        <f>IF(P12=0,0,Q12/P12)</f>
        <v>0.4880398671096341</v>
      </c>
      <c r="P12" s="120">
        <v>301</v>
      </c>
      <c r="Q12" s="108">
        <v>146.89999999999986</v>
      </c>
    </row>
    <row r="13" spans="1:17" x14ac:dyDescent="0.4">
      <c r="A13" s="58" t="s">
        <v>122</v>
      </c>
      <c r="B13" s="50">
        <v>2028</v>
      </c>
      <c r="C13" s="44">
        <f>IF(B$3=0,0,B13/B$3)</f>
        <v>0.27083333333333331</v>
      </c>
      <c r="E13" s="63" t="s">
        <v>87</v>
      </c>
      <c r="F13" s="60" t="s">
        <v>42</v>
      </c>
      <c r="G13" s="47">
        <v>129</v>
      </c>
      <c r="H13" s="133">
        <f>IF(B$17=0,0,G13/B$17)</f>
        <v>5.774395702775291E-2</v>
      </c>
      <c r="I13" s="94">
        <v>7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1585</v>
      </c>
      <c r="C14" s="39">
        <f>IF(B$3=0,0,B14/B$3)</f>
        <v>0.21167200854700854</v>
      </c>
      <c r="E14" s="63" t="s">
        <v>84</v>
      </c>
      <c r="F14" s="60" t="s">
        <v>39</v>
      </c>
      <c r="G14" s="47">
        <v>108</v>
      </c>
      <c r="H14" s="133">
        <f>IF(B$17=0,0,G14/B$17)</f>
        <v>4.8343777976723366E-2</v>
      </c>
      <c r="I14" s="94">
        <v>7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1170</v>
      </c>
      <c r="C15" s="37">
        <f>IF(B$13=0,0,B15/B$13)</f>
        <v>0.57692307692307687</v>
      </c>
      <c r="E15" s="63" t="s">
        <v>79</v>
      </c>
      <c r="F15" s="60" t="s">
        <v>34</v>
      </c>
      <c r="G15" s="47">
        <v>60</v>
      </c>
      <c r="H15" s="133">
        <f>IF(B$17=0,0,G15/B$17)</f>
        <v>2.685765443151298E-2</v>
      </c>
      <c r="I15" s="94">
        <v>7</v>
      </c>
      <c r="K15" s="38">
        <v>13</v>
      </c>
      <c r="L15" s="99">
        <v>-42.100000000000009</v>
      </c>
      <c r="N15" s="114" t="s">
        <v>271</v>
      </c>
      <c r="O15" s="124">
        <f>IF(P15=0,0,Q15/P15)</f>
        <v>50.449999999999996</v>
      </c>
      <c r="P15" s="118">
        <v>12</v>
      </c>
      <c r="Q15" s="106">
        <v>605.4</v>
      </c>
    </row>
    <row r="16" spans="1:17" x14ac:dyDescent="0.4">
      <c r="A16" s="54" t="s">
        <v>125</v>
      </c>
      <c r="B16" s="46">
        <v>633</v>
      </c>
      <c r="C16" s="37">
        <f>IF(B$14=0,0,B16/B$14)</f>
        <v>0.39936908517350156</v>
      </c>
      <c r="E16" s="63" t="s">
        <v>82</v>
      </c>
      <c r="F16" s="60" t="s">
        <v>37</v>
      </c>
      <c r="G16" s="47">
        <v>59</v>
      </c>
      <c r="H16" s="133">
        <f>IF(B$17=0,0,G16/B$17)</f>
        <v>2.6410026857654433E-2</v>
      </c>
      <c r="I16" s="94">
        <v>7</v>
      </c>
      <c r="K16" s="38">
        <v>14</v>
      </c>
      <c r="L16" s="99">
        <v>18.79999999999999</v>
      </c>
      <c r="N16" s="115" t="s">
        <v>184</v>
      </c>
      <c r="O16" s="125">
        <f>IF(P16=0,0,Q16/P16)</f>
        <v>18.739583333333339</v>
      </c>
      <c r="P16" s="119">
        <v>48</v>
      </c>
      <c r="Q16" s="107">
        <v>899.50000000000023</v>
      </c>
    </row>
    <row r="17" spans="1:17" x14ac:dyDescent="0.4">
      <c r="A17" s="54" t="s">
        <v>10</v>
      </c>
      <c r="B17" s="46">
        <f>B19+B18</f>
        <v>2234</v>
      </c>
      <c r="C17" s="37">
        <f>IF(B$3=0,0,B17/B$3)</f>
        <v>0.29834401709401709</v>
      </c>
      <c r="E17" s="63" t="s">
        <v>92</v>
      </c>
      <c r="F17" s="60" t="s">
        <v>47</v>
      </c>
      <c r="G17" s="47">
        <v>44</v>
      </c>
      <c r="H17" s="133">
        <f>IF(B$17=0,0,G17/B$17)</f>
        <v>1.9695613249776187E-2</v>
      </c>
      <c r="I17" s="94">
        <v>5</v>
      </c>
      <c r="K17" s="38">
        <v>15</v>
      </c>
      <c r="L17" s="99">
        <v>-1.0658141036401503E-14</v>
      </c>
      <c r="N17" s="115" t="s">
        <v>129</v>
      </c>
      <c r="O17" s="125">
        <f>IF(P17=0,0,Q17/P17)</f>
        <v>12.13184931506852</v>
      </c>
      <c r="P17" s="119">
        <v>292</v>
      </c>
      <c r="Q17" s="107">
        <v>3542.5000000000077</v>
      </c>
    </row>
    <row r="18" spans="1:17" x14ac:dyDescent="0.4">
      <c r="A18" s="55" t="s">
        <v>12</v>
      </c>
      <c r="B18" s="47">
        <v>970</v>
      </c>
      <c r="C18" s="39">
        <f>IF(B$17=0,0,B18/B$17)</f>
        <v>0.43419874664279318</v>
      </c>
      <c r="E18" s="63" t="s">
        <v>180</v>
      </c>
      <c r="F18" s="60" t="s">
        <v>181</v>
      </c>
      <c r="G18" s="47">
        <v>37</v>
      </c>
      <c r="H18" s="133">
        <f>IF(B$17=0,0,G18/B$17)</f>
        <v>1.656222023276634E-2</v>
      </c>
      <c r="I18" s="94">
        <v>5</v>
      </c>
      <c r="K18" s="38">
        <v>16</v>
      </c>
      <c r="L18" s="99">
        <v>90.899999999999991</v>
      </c>
      <c r="N18" s="115" t="s">
        <v>173</v>
      </c>
      <c r="O18" s="125">
        <f>IF(P18=0,0,Q18/P18)</f>
        <v>11.227358490566031</v>
      </c>
      <c r="P18" s="119">
        <v>106</v>
      </c>
      <c r="Q18" s="107">
        <v>1190.0999999999992</v>
      </c>
    </row>
    <row r="19" spans="1:17" x14ac:dyDescent="0.4">
      <c r="A19" s="55" t="s">
        <v>11</v>
      </c>
      <c r="B19" s="47">
        <v>1264</v>
      </c>
      <c r="C19" s="39">
        <f>IF(B$17=0,0,B19/B$17)</f>
        <v>0.56580125335720677</v>
      </c>
      <c r="E19" s="63" t="s">
        <v>80</v>
      </c>
      <c r="F19" s="60" t="s">
        <v>35</v>
      </c>
      <c r="G19" s="47">
        <v>35</v>
      </c>
      <c r="H19" s="133">
        <f>IF(B$17=0,0,G19/B$17)</f>
        <v>1.566696508504924E-2</v>
      </c>
      <c r="I19" s="94">
        <v>6</v>
      </c>
      <c r="K19" s="38">
        <v>17</v>
      </c>
      <c r="L19" s="99">
        <v>8.2999999999999972</v>
      </c>
      <c r="N19" s="115" t="s">
        <v>128</v>
      </c>
      <c r="O19" s="125">
        <f>IF(P19=0,0,Q19/P19)</f>
        <v>3.8259493670886084</v>
      </c>
      <c r="P19" s="119">
        <v>316</v>
      </c>
      <c r="Q19" s="107">
        <v>1209.0000000000002</v>
      </c>
    </row>
    <row r="20" spans="1:17" x14ac:dyDescent="0.4">
      <c r="A20" s="55" t="s">
        <v>13</v>
      </c>
      <c r="B20" s="47">
        <v>1247</v>
      </c>
      <c r="C20" s="39">
        <f>IF(B$3=0,0,B20/B$3)</f>
        <v>0.16653311965811965</v>
      </c>
      <c r="E20" s="63" t="s">
        <v>78</v>
      </c>
      <c r="F20" s="60" t="s">
        <v>33</v>
      </c>
      <c r="G20" s="47">
        <v>19</v>
      </c>
      <c r="H20" s="133">
        <f>IF(B$17=0,0,G20/B$17)</f>
        <v>8.5049239033124432E-3</v>
      </c>
      <c r="I20" s="94">
        <v>5</v>
      </c>
      <c r="K20" s="38">
        <v>18</v>
      </c>
      <c r="L20" s="99">
        <v>-3.5527136788005009E-15</v>
      </c>
      <c r="N20" s="115" t="s">
        <v>172</v>
      </c>
      <c r="O20" s="125">
        <f>IF(P20=0,0,Q20/P20)</f>
        <v>2.6669999999999994</v>
      </c>
      <c r="P20" s="119">
        <v>200</v>
      </c>
      <c r="Q20" s="107">
        <v>533.39999999999986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74</v>
      </c>
      <c r="F21" s="60" t="s">
        <v>29</v>
      </c>
      <c r="G21" s="47">
        <v>14</v>
      </c>
      <c r="H21" s="133">
        <f>IF(B$17=0,0,G21/B$17)</f>
        <v>6.2667860340196958E-3</v>
      </c>
      <c r="I21" s="94">
        <v>5</v>
      </c>
      <c r="K21" s="38">
        <v>19</v>
      </c>
      <c r="L21" s="99">
        <v>30.999999999999996</v>
      </c>
      <c r="N21" s="115" t="s">
        <v>171</v>
      </c>
      <c r="O21" s="125">
        <f>IF(P21=0,0,Q21/P21)</f>
        <v>0.70050000000000234</v>
      </c>
      <c r="P21" s="119">
        <v>200</v>
      </c>
      <c r="Q21" s="107">
        <v>140.10000000000048</v>
      </c>
    </row>
    <row r="22" spans="1:17" x14ac:dyDescent="0.4">
      <c r="A22" s="55" t="s">
        <v>192</v>
      </c>
      <c r="B22" s="47">
        <v>31</v>
      </c>
      <c r="C22" s="135">
        <v>0</v>
      </c>
      <c r="E22" s="63" t="s">
        <v>76</v>
      </c>
      <c r="F22" s="60" t="s">
        <v>31</v>
      </c>
      <c r="G22" s="47">
        <v>13</v>
      </c>
      <c r="H22" s="133">
        <f>IF(B$17=0,0,G22/B$17)</f>
        <v>5.8191584601611458E-3</v>
      </c>
      <c r="I22" s="94">
        <v>5</v>
      </c>
      <c r="K22" s="38">
        <v>20</v>
      </c>
      <c r="L22" s="99">
        <v>0.79999999999999716</v>
      </c>
      <c r="N22" s="115" t="s">
        <v>177</v>
      </c>
      <c r="O22" s="125">
        <f>IF(P22=0,0,Q22/P22)</f>
        <v>-0.7640625000000022</v>
      </c>
      <c r="P22" s="119">
        <v>192</v>
      </c>
      <c r="Q22" s="107">
        <v>-146.70000000000041</v>
      </c>
    </row>
    <row r="23" spans="1:17" x14ac:dyDescent="0.4">
      <c r="A23" s="55" t="s">
        <v>5</v>
      </c>
      <c r="B23" s="51">
        <f>IF(B$17=0,0,C23/B$17)</f>
        <v>8640.2417188898835</v>
      </c>
      <c r="C23" s="41">
        <v>19302300</v>
      </c>
      <c r="E23" s="63" t="s">
        <v>86</v>
      </c>
      <c r="F23" s="60" t="s">
        <v>41</v>
      </c>
      <c r="G23" s="47">
        <v>11</v>
      </c>
      <c r="H23" s="133">
        <f>IF(B$17=0,0,G23/B$17)</f>
        <v>4.9239033124440466E-3</v>
      </c>
      <c r="I23" s="94">
        <v>3</v>
      </c>
      <c r="K23" s="38">
        <v>21</v>
      </c>
      <c r="L23" s="99">
        <v>-2.886579864025407E-15</v>
      </c>
      <c r="N23" s="115" t="s">
        <v>200</v>
      </c>
      <c r="O23" s="125">
        <f>IF(P23=0,0,Q23/P23)</f>
        <v>-7.4447368421052582</v>
      </c>
      <c r="P23" s="119">
        <v>38</v>
      </c>
      <c r="Q23" s="107">
        <v>-282.89999999999981</v>
      </c>
    </row>
    <row r="24" spans="1:17" x14ac:dyDescent="0.4">
      <c r="A24" s="57" t="s">
        <v>14</v>
      </c>
      <c r="B24" s="52">
        <f>IF(B$20=0,0,C24/B$20)</f>
        <v>-8114.6752205292705</v>
      </c>
      <c r="C24" s="45">
        <v>-10119000</v>
      </c>
      <c r="E24" s="63" t="s">
        <v>75</v>
      </c>
      <c r="F24" s="60" t="s">
        <v>30</v>
      </c>
      <c r="G24" s="47">
        <v>9</v>
      </c>
      <c r="H24" s="133">
        <f>IF(B$17=0,0,G24/B$17)</f>
        <v>4.0286481647269475E-3</v>
      </c>
      <c r="I24" s="94">
        <v>6</v>
      </c>
      <c r="K24" s="38">
        <v>22</v>
      </c>
      <c r="L24" s="99">
        <v>23.699999999999996</v>
      </c>
      <c r="N24" s="115" t="s">
        <v>127</v>
      </c>
      <c r="O24" s="125">
        <f>IF(P24=0,0,Q24/P24)</f>
        <v>-18.759947643979046</v>
      </c>
      <c r="P24" s="119">
        <v>382</v>
      </c>
      <c r="Q24" s="107">
        <v>-7166.2999999999956</v>
      </c>
    </row>
    <row r="25" spans="1:17" x14ac:dyDescent="0.4">
      <c r="A25" s="90" t="s">
        <v>142</v>
      </c>
      <c r="B25" s="144">
        <v>8</v>
      </c>
      <c r="C25" s="145"/>
      <c r="E25" s="63" t="s">
        <v>93</v>
      </c>
      <c r="F25" s="60" t="s">
        <v>48</v>
      </c>
      <c r="G25" s="47">
        <v>8</v>
      </c>
      <c r="H25" s="133">
        <f>IF(B$17=0,0,G25/B$17)</f>
        <v>3.5810205908683975E-3</v>
      </c>
      <c r="I25" s="94">
        <v>4</v>
      </c>
      <c r="K25" s="38">
        <v>23</v>
      </c>
      <c r="L25" s="99">
        <v>26.299999999999997</v>
      </c>
      <c r="N25" s="115" t="s">
        <v>222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42">
        <v>116000</v>
      </c>
      <c r="C26" s="143"/>
      <c r="E26" s="63" t="s">
        <v>94</v>
      </c>
      <c r="F26" s="60" t="s">
        <v>49</v>
      </c>
      <c r="G26" s="47">
        <v>7</v>
      </c>
      <c r="H26" s="133">
        <f>IF(B$17=0,0,G26/B$17)</f>
        <v>3.1333930170098479E-3</v>
      </c>
      <c r="I26" s="94">
        <v>5</v>
      </c>
      <c r="K26" s="38">
        <v>24</v>
      </c>
      <c r="L26" s="99">
        <v>-3.5527136788005009E-15</v>
      </c>
      <c r="N26" s="115" t="s">
        <v>223</v>
      </c>
      <c r="O26" s="125">
        <f>IF(P26=0,0,Q26/P26)</f>
        <v>-25.099999999999998</v>
      </c>
      <c r="P26" s="119">
        <v>12</v>
      </c>
      <c r="Q26" s="107">
        <v>-301.2</v>
      </c>
    </row>
    <row r="27" spans="1:17" x14ac:dyDescent="0.4">
      <c r="A27" s="57" t="s">
        <v>143</v>
      </c>
      <c r="B27" s="65">
        <v>19</v>
      </c>
      <c r="C27" s="42">
        <f>IF(B$3=0,0,B27/B$3)</f>
        <v>2.5373931623931625E-3</v>
      </c>
      <c r="E27" s="63" t="s">
        <v>85</v>
      </c>
      <c r="F27" s="60" t="s">
        <v>40</v>
      </c>
      <c r="G27" s="47">
        <v>6</v>
      </c>
      <c r="H27" s="133">
        <f>IF(B$17=0,0,G27/B$17)</f>
        <v>2.6857654431512983E-3</v>
      </c>
      <c r="I27" s="94">
        <v>4</v>
      </c>
      <c r="K27" s="38">
        <v>25</v>
      </c>
      <c r="L27" s="99">
        <v>-31.300000000000004</v>
      </c>
      <c r="N27" s="115" t="s">
        <v>183</v>
      </c>
      <c r="O27" s="125">
        <f>IF(P27=0,0,Q27/P27)</f>
        <v>-30.5</v>
      </c>
      <c r="P27" s="119">
        <v>6</v>
      </c>
      <c r="Q27" s="107">
        <v>-183</v>
      </c>
    </row>
    <row r="28" spans="1:17" x14ac:dyDescent="0.4">
      <c r="E28" s="63" t="s">
        <v>88</v>
      </c>
      <c r="F28" s="60" t="s">
        <v>43</v>
      </c>
      <c r="G28" s="47">
        <v>6</v>
      </c>
      <c r="H28" s="133">
        <f>IF(B$17=0,0,G28/B$17)</f>
        <v>2.6857654431512983E-3</v>
      </c>
      <c r="I28" s="94">
        <v>5</v>
      </c>
      <c r="K28" s="38">
        <v>26</v>
      </c>
      <c r="L28" s="99">
        <v>1.8999999999999986</v>
      </c>
    </row>
    <row r="29" spans="1:17" x14ac:dyDescent="0.4">
      <c r="E29" s="63" t="s">
        <v>91</v>
      </c>
      <c r="F29" s="60" t="s">
        <v>46</v>
      </c>
      <c r="G29" s="47">
        <v>6</v>
      </c>
      <c r="H29" s="133">
        <f>IF(B$17=0,0,G29/B$17)</f>
        <v>2.6857654431512983E-3</v>
      </c>
      <c r="I29" s="94">
        <v>4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4</v>
      </c>
      <c r="H30" s="133">
        <f>IF(B$17=0,0,G30/B$17)</f>
        <v>1.7905102954341987E-3</v>
      </c>
      <c r="I30" s="94">
        <v>4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8.9525514771709937E-4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98</v>
      </c>
      <c r="F32" s="60" t="s">
        <v>53</v>
      </c>
      <c r="G32" s="47">
        <v>1</v>
      </c>
      <c r="H32" s="133">
        <f>IF(B$17=0,0,G32/B$17)</f>
        <v>4.4762757385854968E-4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102</v>
      </c>
      <c r="F33" s="60" t="s">
        <v>57</v>
      </c>
      <c r="G33" s="47">
        <v>1</v>
      </c>
      <c r="H33" s="133">
        <f>IF(B$17=0,0,G33/B$17)</f>
        <v>4.4762757385854968E-4</v>
      </c>
      <c r="I33" s="94">
        <v>2</v>
      </c>
      <c r="K33" s="38">
        <v>31</v>
      </c>
      <c r="L33" s="99">
        <v>29.1</v>
      </c>
    </row>
    <row r="34" spans="5:12" x14ac:dyDescent="0.4">
      <c r="E34" s="63" t="s">
        <v>107</v>
      </c>
      <c r="F34" s="60" t="s">
        <v>114</v>
      </c>
      <c r="G34" s="47">
        <v>1</v>
      </c>
      <c r="H34" s="133">
        <f>IF(B$17=0,0,G34/B$17)</f>
        <v>4.4762757385854968E-4</v>
      </c>
      <c r="I34" s="94">
        <v>2</v>
      </c>
      <c r="K34" s="38">
        <v>32</v>
      </c>
      <c r="L34" s="99">
        <v>4.3000000000000007</v>
      </c>
    </row>
    <row r="35" spans="5:12" x14ac:dyDescent="0.4">
      <c r="E35" s="63" t="s">
        <v>77</v>
      </c>
      <c r="F35" s="60" t="s">
        <v>32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81</v>
      </c>
      <c r="F36" s="60" t="s">
        <v>36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83</v>
      </c>
      <c r="F37" s="60" t="s">
        <v>38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95</v>
      </c>
      <c r="F38" s="60" t="s">
        <v>50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97</v>
      </c>
      <c r="F39" s="60" t="s">
        <v>52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99</v>
      </c>
      <c r="F40" s="60" t="s">
        <v>54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100</v>
      </c>
      <c r="F41" s="60" t="s">
        <v>55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101</v>
      </c>
      <c r="F42" s="60" t="s">
        <v>56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103</v>
      </c>
      <c r="F43" s="60" t="s">
        <v>58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104</v>
      </c>
      <c r="F44" s="60" t="s">
        <v>59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105</v>
      </c>
      <c r="F45" s="60" t="s">
        <v>60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106</v>
      </c>
      <c r="F46" s="60" t="s">
        <v>113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38.399999999999991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  <row r="600" spans="11:12" x14ac:dyDescent="0.4">
      <c r="K600" s="38">
        <v>598</v>
      </c>
      <c r="L600" s="99">
        <v>60.299999999999983</v>
      </c>
    </row>
    <row r="601" spans="11:12" x14ac:dyDescent="0.4">
      <c r="K601" s="38">
        <v>599</v>
      </c>
      <c r="L601" s="99">
        <v>-1.7000000000000171</v>
      </c>
    </row>
    <row r="602" spans="11:12" x14ac:dyDescent="0.4">
      <c r="K602" s="38">
        <v>600</v>
      </c>
      <c r="L602" s="99">
        <v>-1.7097434579227411E-14</v>
      </c>
    </row>
    <row r="603" spans="11:12" x14ac:dyDescent="0.4">
      <c r="K603" s="38">
        <v>601</v>
      </c>
      <c r="L603" s="99">
        <v>7.2999999999999829</v>
      </c>
    </row>
    <row r="604" spans="11:12" x14ac:dyDescent="0.4">
      <c r="K604" s="38">
        <v>602</v>
      </c>
      <c r="L604" s="99">
        <v>36.09999999999998</v>
      </c>
    </row>
    <row r="605" spans="11:12" x14ac:dyDescent="0.4">
      <c r="K605" s="38">
        <v>603</v>
      </c>
      <c r="L605" s="99">
        <v>-2.1316282072803006E-14</v>
      </c>
    </row>
    <row r="606" spans="11:12" x14ac:dyDescent="0.4">
      <c r="K606" s="38">
        <v>604</v>
      </c>
      <c r="L606" s="99">
        <v>-41.40000000000002</v>
      </c>
    </row>
    <row r="607" spans="11:12" x14ac:dyDescent="0.4">
      <c r="K607" s="38">
        <v>605</v>
      </c>
      <c r="L607" s="99">
        <v>-48.000000000000021</v>
      </c>
    </row>
    <row r="608" spans="11:12" x14ac:dyDescent="0.4">
      <c r="K608" s="38">
        <v>606</v>
      </c>
      <c r="L608" s="99">
        <v>-2.1316282072803006E-14</v>
      </c>
    </row>
    <row r="609" spans="11:12" x14ac:dyDescent="0.4">
      <c r="K609" s="38">
        <v>607</v>
      </c>
      <c r="L609" s="99">
        <v>31.899999999999977</v>
      </c>
    </row>
    <row r="610" spans="11:12" x14ac:dyDescent="0.4">
      <c r="K610" s="38">
        <v>608</v>
      </c>
      <c r="L610" s="99">
        <v>33.899999999999977</v>
      </c>
    </row>
    <row r="611" spans="11:12" x14ac:dyDescent="0.4">
      <c r="K611" s="38">
        <v>609</v>
      </c>
      <c r="L611" s="99">
        <v>-2.1316282072803006E-14</v>
      </c>
    </row>
    <row r="612" spans="11:12" x14ac:dyDescent="0.4">
      <c r="K612" s="38">
        <v>610</v>
      </c>
      <c r="L612" s="99">
        <v>-11.100000000000021</v>
      </c>
    </row>
    <row r="613" spans="11:12" x14ac:dyDescent="0.4">
      <c r="K613" s="38">
        <v>611</v>
      </c>
      <c r="L613" s="99">
        <v>56.699999999999974</v>
      </c>
    </row>
    <row r="614" spans="11:12" x14ac:dyDescent="0.4">
      <c r="K614" s="38">
        <v>612</v>
      </c>
      <c r="L614" s="99">
        <v>-2.8421709430404007E-14</v>
      </c>
    </row>
    <row r="615" spans="11:12" x14ac:dyDescent="0.4">
      <c r="K615" s="38">
        <v>613</v>
      </c>
      <c r="L615" s="99">
        <v>-24.400000000000027</v>
      </c>
    </row>
    <row r="616" spans="11:12" x14ac:dyDescent="0.4">
      <c r="K616" s="38">
        <v>614</v>
      </c>
      <c r="L616" s="99">
        <v>-25.600000000000026</v>
      </c>
    </row>
    <row r="617" spans="11:12" x14ac:dyDescent="0.4">
      <c r="K617" s="38">
        <v>615</v>
      </c>
      <c r="L617" s="99">
        <v>-2.4868995751603507E-14</v>
      </c>
    </row>
    <row r="618" spans="11:12" x14ac:dyDescent="0.4">
      <c r="K618" s="38">
        <v>616</v>
      </c>
      <c r="L618" s="99">
        <v>-44.600000000000023</v>
      </c>
    </row>
    <row r="619" spans="11:12" x14ac:dyDescent="0.4">
      <c r="K619" s="38">
        <v>617</v>
      </c>
      <c r="L619" s="99">
        <v>-34.90000000000002</v>
      </c>
    </row>
    <row r="620" spans="11:12" x14ac:dyDescent="0.4">
      <c r="K620" s="38">
        <v>618</v>
      </c>
      <c r="L620" s="99">
        <v>-2.1316282072803006E-14</v>
      </c>
    </row>
    <row r="621" spans="11:12" x14ac:dyDescent="0.4">
      <c r="K621" s="38">
        <v>619</v>
      </c>
      <c r="L621" s="99">
        <v>46.09999999999998</v>
      </c>
    </row>
    <row r="622" spans="11:12" x14ac:dyDescent="0.4">
      <c r="K622" s="38">
        <v>620</v>
      </c>
      <c r="L622" s="99">
        <v>54.59999999999998</v>
      </c>
    </row>
    <row r="623" spans="11:12" x14ac:dyDescent="0.4">
      <c r="K623" s="38">
        <v>621</v>
      </c>
      <c r="L623" s="99">
        <v>-2.1316282072803006E-14</v>
      </c>
    </row>
    <row r="624" spans="11:12" x14ac:dyDescent="0.4">
      <c r="K624" s="38">
        <v>622</v>
      </c>
      <c r="L624" s="99">
        <v>56.499999999999979</v>
      </c>
    </row>
    <row r="625" spans="11:12" x14ac:dyDescent="0.4">
      <c r="K625" s="38">
        <v>623</v>
      </c>
      <c r="L625" s="99">
        <v>64.699999999999974</v>
      </c>
    </row>
    <row r="626" spans="11:12" x14ac:dyDescent="0.4">
      <c r="K626" s="38">
        <v>624</v>
      </c>
      <c r="L626" s="99">
        <v>-2.8421709430404007E-14</v>
      </c>
    </row>
    <row r="627" spans="11:12" x14ac:dyDescent="0.4">
      <c r="K627" s="38">
        <v>625</v>
      </c>
      <c r="L627" s="99">
        <v>23.699999999999971</v>
      </c>
    </row>
    <row r="628" spans="11:12" x14ac:dyDescent="0.4">
      <c r="K628" s="38">
        <v>626</v>
      </c>
      <c r="L628" s="99">
        <v>1.4999999999999716</v>
      </c>
    </row>
    <row r="629" spans="11:12" x14ac:dyDescent="0.4">
      <c r="K629" s="38">
        <v>627</v>
      </c>
      <c r="L629" s="99">
        <v>-2.8421709430404007E-14</v>
      </c>
    </row>
    <row r="630" spans="11:12" x14ac:dyDescent="0.4">
      <c r="K630" s="38">
        <v>628</v>
      </c>
      <c r="L630" s="99">
        <v>27.699999999999971</v>
      </c>
    </row>
    <row r="631" spans="11:12" x14ac:dyDescent="0.4">
      <c r="K631" s="38">
        <v>629</v>
      </c>
      <c r="L631" s="99">
        <v>3.3999999999999702</v>
      </c>
    </row>
    <row r="632" spans="11:12" x14ac:dyDescent="0.4">
      <c r="K632" s="38">
        <v>630</v>
      </c>
      <c r="L632" s="99">
        <v>-2.9753977059954195E-14</v>
      </c>
    </row>
    <row r="633" spans="11:12" x14ac:dyDescent="0.4">
      <c r="K633" s="38">
        <v>631</v>
      </c>
      <c r="L633" s="99">
        <v>45.299999999999969</v>
      </c>
    </row>
    <row r="634" spans="11:12" x14ac:dyDescent="0.4">
      <c r="K634" s="38">
        <v>632</v>
      </c>
      <c r="L634" s="99">
        <v>-5.8000000000000327</v>
      </c>
    </row>
    <row r="635" spans="11:12" x14ac:dyDescent="0.4">
      <c r="K635" s="38">
        <v>633</v>
      </c>
      <c r="L635" s="99">
        <v>-3.2862601528904634E-14</v>
      </c>
    </row>
    <row r="636" spans="11:12" x14ac:dyDescent="0.4">
      <c r="K636" s="38">
        <v>634</v>
      </c>
      <c r="L636" s="99">
        <v>8.999999999999968</v>
      </c>
    </row>
    <row r="637" spans="11:12" x14ac:dyDescent="0.4">
      <c r="K637" s="38">
        <v>635</v>
      </c>
      <c r="L637" s="99">
        <v>57.299999999999969</v>
      </c>
    </row>
    <row r="638" spans="11:12" x14ac:dyDescent="0.4">
      <c r="K638" s="38">
        <v>636</v>
      </c>
      <c r="L638" s="99">
        <v>-2.8421709430404007E-14</v>
      </c>
    </row>
    <row r="639" spans="11:12" x14ac:dyDescent="0.4">
      <c r="K639" s="38">
        <v>637</v>
      </c>
      <c r="L639" s="99">
        <v>-56.000000000000028</v>
      </c>
    </row>
    <row r="640" spans="11:12" x14ac:dyDescent="0.4">
      <c r="K640" s="38">
        <v>638</v>
      </c>
      <c r="L640" s="99">
        <v>-50.000000000000028</v>
      </c>
    </row>
    <row r="641" spans="11:12" x14ac:dyDescent="0.4">
      <c r="K641" s="38">
        <v>639</v>
      </c>
      <c r="L641" s="99">
        <v>-2.8421709430404007E-14</v>
      </c>
    </row>
    <row r="642" spans="11:12" x14ac:dyDescent="0.4">
      <c r="K642" s="38">
        <v>640</v>
      </c>
      <c r="L642" s="99">
        <v>-56.200000000000031</v>
      </c>
    </row>
    <row r="643" spans="11:12" x14ac:dyDescent="0.4">
      <c r="K643" s="38">
        <v>641</v>
      </c>
      <c r="L643" s="99">
        <v>11.699999999999974</v>
      </c>
    </row>
    <row r="644" spans="11:12" x14ac:dyDescent="0.4">
      <c r="K644" s="38">
        <v>642</v>
      </c>
      <c r="L644" s="99">
        <v>-2.4868995751603507E-14</v>
      </c>
    </row>
    <row r="645" spans="11:12" x14ac:dyDescent="0.4">
      <c r="K645" s="38">
        <v>643</v>
      </c>
      <c r="L645" s="99">
        <v>-31.800000000000026</v>
      </c>
    </row>
    <row r="646" spans="11:12" x14ac:dyDescent="0.4">
      <c r="K646" s="38">
        <v>644</v>
      </c>
      <c r="L646" s="99">
        <v>-42.700000000000024</v>
      </c>
    </row>
    <row r="647" spans="11:12" x14ac:dyDescent="0.4">
      <c r="K647" s="38">
        <v>645</v>
      </c>
      <c r="L647" s="99">
        <v>-2.1316282072803006E-14</v>
      </c>
    </row>
    <row r="648" spans="11:12" x14ac:dyDescent="0.4">
      <c r="K648" s="38">
        <v>646</v>
      </c>
      <c r="L648" s="99">
        <v>-7.3000000000000211</v>
      </c>
    </row>
    <row r="649" spans="11:12" x14ac:dyDescent="0.4">
      <c r="K649" s="38">
        <v>647</v>
      </c>
      <c r="L649" s="99">
        <v>46.999999999999979</v>
      </c>
    </row>
    <row r="650" spans="11:12" x14ac:dyDescent="0.4">
      <c r="K650" s="38">
        <v>648</v>
      </c>
      <c r="L650" s="99">
        <v>-2.1316282072803006E-14</v>
      </c>
    </row>
    <row r="651" spans="11:12" x14ac:dyDescent="0.4">
      <c r="K651" s="38">
        <v>649</v>
      </c>
      <c r="L651" s="99">
        <v>-14.300000000000022</v>
      </c>
    </row>
    <row r="652" spans="11:12" x14ac:dyDescent="0.4">
      <c r="K652" s="38">
        <v>650</v>
      </c>
      <c r="L652" s="99">
        <v>36.09999999999998</v>
      </c>
    </row>
    <row r="653" spans="11:12" x14ac:dyDescent="0.4">
      <c r="K653" s="38">
        <v>651</v>
      </c>
      <c r="L653" s="99">
        <v>-2.1316282072803006E-14</v>
      </c>
    </row>
    <row r="654" spans="11:12" x14ac:dyDescent="0.4">
      <c r="K654" s="38">
        <v>652</v>
      </c>
      <c r="L654" s="99">
        <v>-60.90000000000002</v>
      </c>
    </row>
    <row r="655" spans="11:12" x14ac:dyDescent="0.4">
      <c r="K655" s="38">
        <v>653</v>
      </c>
      <c r="L655" s="99">
        <v>3.4999999999999858</v>
      </c>
    </row>
    <row r="656" spans="11:12" x14ac:dyDescent="0.4">
      <c r="K656" s="38">
        <v>654</v>
      </c>
      <c r="L656" s="99">
        <v>-1.4210854715202004E-14</v>
      </c>
    </row>
    <row r="657" spans="11:12" x14ac:dyDescent="0.4">
      <c r="K657" s="38">
        <v>655</v>
      </c>
      <c r="L657" s="99">
        <v>67.799999999999983</v>
      </c>
    </row>
    <row r="658" spans="11:12" x14ac:dyDescent="0.4">
      <c r="K658" s="38">
        <v>656</v>
      </c>
      <c r="L658" s="99">
        <v>55.899999999999984</v>
      </c>
    </row>
    <row r="659" spans="11:12" x14ac:dyDescent="0.4">
      <c r="K659" s="38">
        <v>657</v>
      </c>
      <c r="L659" s="99">
        <v>-1.4210854715202004E-14</v>
      </c>
    </row>
    <row r="660" spans="11:12" x14ac:dyDescent="0.4">
      <c r="K660" s="38">
        <v>658</v>
      </c>
      <c r="L660" s="99">
        <v>-14.900000000000015</v>
      </c>
    </row>
    <row r="661" spans="11:12" x14ac:dyDescent="0.4">
      <c r="K661" s="38">
        <v>659</v>
      </c>
      <c r="L661" s="99">
        <v>-51.300000000000011</v>
      </c>
    </row>
    <row r="662" spans="11:12" x14ac:dyDescent="0.4">
      <c r="K662" s="38">
        <v>660</v>
      </c>
      <c r="L662" s="99">
        <v>-1.4210854715202004E-14</v>
      </c>
    </row>
    <row r="663" spans="11:12" x14ac:dyDescent="0.4">
      <c r="K663" s="38">
        <v>661</v>
      </c>
      <c r="L663" s="99">
        <v>-57.700000000000017</v>
      </c>
    </row>
    <row r="664" spans="11:12" x14ac:dyDescent="0.4">
      <c r="K664" s="38">
        <v>662</v>
      </c>
      <c r="L664" s="99">
        <v>-40.100000000000016</v>
      </c>
    </row>
    <row r="665" spans="11:12" x14ac:dyDescent="0.4">
      <c r="K665" s="38">
        <v>663</v>
      </c>
      <c r="L665" s="99">
        <v>-1.4210854715202004E-14</v>
      </c>
    </row>
    <row r="666" spans="11:12" x14ac:dyDescent="0.4">
      <c r="K666" s="38">
        <v>664</v>
      </c>
      <c r="L666" s="99">
        <v>-1.9000000000000141</v>
      </c>
    </row>
    <row r="667" spans="11:12" x14ac:dyDescent="0.4">
      <c r="K667" s="38">
        <v>665</v>
      </c>
      <c r="L667" s="99">
        <v>32.79999999999999</v>
      </c>
    </row>
    <row r="668" spans="11:12" x14ac:dyDescent="0.4">
      <c r="K668" s="38">
        <v>666</v>
      </c>
      <c r="L668" s="99">
        <v>-7.1054273576010019E-15</v>
      </c>
    </row>
    <row r="669" spans="11:12" x14ac:dyDescent="0.4">
      <c r="K669" s="38">
        <v>667</v>
      </c>
      <c r="L669" s="99">
        <v>11.599999999999993</v>
      </c>
    </row>
    <row r="670" spans="11:12" x14ac:dyDescent="0.4">
      <c r="K670" s="38">
        <v>668</v>
      </c>
      <c r="L670" s="99">
        <v>-43.800000000000004</v>
      </c>
    </row>
    <row r="671" spans="11:12" x14ac:dyDescent="0.4">
      <c r="K671" s="38">
        <v>669</v>
      </c>
      <c r="L671" s="99">
        <v>-7.1054273576010019E-15</v>
      </c>
    </row>
    <row r="672" spans="11:12" x14ac:dyDescent="0.4">
      <c r="K672" s="38">
        <v>670</v>
      </c>
      <c r="L672" s="99">
        <v>-1.0000000000000071</v>
      </c>
    </row>
    <row r="673" spans="11:12" x14ac:dyDescent="0.4">
      <c r="K673" s="38">
        <v>671</v>
      </c>
      <c r="L673" s="99">
        <v>-59.000000000000007</v>
      </c>
    </row>
    <row r="674" spans="11:12" x14ac:dyDescent="0.4">
      <c r="K674" s="38">
        <v>672</v>
      </c>
      <c r="L674" s="99">
        <v>-7.1054273576010019E-15</v>
      </c>
    </row>
    <row r="675" spans="11:12" x14ac:dyDescent="0.4">
      <c r="K675" s="38">
        <v>673</v>
      </c>
      <c r="L675" s="99">
        <v>-1.3000000000000071</v>
      </c>
    </row>
    <row r="676" spans="11:12" x14ac:dyDescent="0.4">
      <c r="K676" s="38">
        <v>674</v>
      </c>
      <c r="L676" s="99">
        <v>34.699999999999996</v>
      </c>
    </row>
    <row r="677" spans="11:12" x14ac:dyDescent="0.4">
      <c r="K677" s="38">
        <v>675</v>
      </c>
      <c r="L677" s="99">
        <v>-7.1054273576010019E-15</v>
      </c>
    </row>
    <row r="678" spans="11:12" x14ac:dyDescent="0.4">
      <c r="K678" s="38">
        <v>676</v>
      </c>
      <c r="L678" s="99">
        <v>-7.4000000000000075</v>
      </c>
    </row>
    <row r="679" spans="11:12" x14ac:dyDescent="0.4">
      <c r="K679" s="38">
        <v>677</v>
      </c>
      <c r="L679" s="99">
        <v>-71.100000000000009</v>
      </c>
    </row>
    <row r="680" spans="11:12" x14ac:dyDescent="0.4">
      <c r="K680" s="38">
        <v>678</v>
      </c>
      <c r="L680" s="99">
        <v>-1.4210854715202004E-14</v>
      </c>
    </row>
    <row r="681" spans="11:12" x14ac:dyDescent="0.4">
      <c r="K681" s="38">
        <v>679</v>
      </c>
      <c r="L681" s="99">
        <v>76.999999999999986</v>
      </c>
    </row>
    <row r="682" spans="11:12" x14ac:dyDescent="0.4">
      <c r="K682" s="38">
        <v>680</v>
      </c>
      <c r="L682" s="99">
        <v>-5.0000000000000142</v>
      </c>
    </row>
    <row r="683" spans="11:12" x14ac:dyDescent="0.4">
      <c r="K683" s="38">
        <v>681</v>
      </c>
      <c r="L683" s="99">
        <v>-1.4210854715202004E-14</v>
      </c>
    </row>
    <row r="684" spans="11:12" x14ac:dyDescent="0.4">
      <c r="K684" s="38">
        <v>682</v>
      </c>
      <c r="L684" s="99">
        <v>92.59999999999998</v>
      </c>
    </row>
    <row r="685" spans="11:12" x14ac:dyDescent="0.4">
      <c r="K685" s="38">
        <v>683</v>
      </c>
      <c r="L685" s="99">
        <v>62.299999999999983</v>
      </c>
    </row>
    <row r="686" spans="11:12" x14ac:dyDescent="0.4">
      <c r="K686" s="38">
        <v>684</v>
      </c>
      <c r="L686" s="99">
        <v>-1.4210854715202004E-14</v>
      </c>
    </row>
    <row r="687" spans="11:12" x14ac:dyDescent="0.4">
      <c r="K687" s="38">
        <v>685</v>
      </c>
      <c r="L687" s="99">
        <v>49.699999999999989</v>
      </c>
    </row>
    <row r="688" spans="11:12" x14ac:dyDescent="0.4">
      <c r="K688" s="38">
        <v>686</v>
      </c>
      <c r="L688" s="99">
        <v>38.79999999999999</v>
      </c>
    </row>
    <row r="689" spans="11:12" x14ac:dyDescent="0.4">
      <c r="K689" s="38">
        <v>687</v>
      </c>
      <c r="L689" s="99">
        <v>-7.1054273576010019E-15</v>
      </c>
    </row>
    <row r="690" spans="11:12" x14ac:dyDescent="0.4">
      <c r="K690" s="38">
        <v>688</v>
      </c>
      <c r="L690" s="99">
        <v>-28.400000000000006</v>
      </c>
    </row>
    <row r="691" spans="11:12" x14ac:dyDescent="0.4">
      <c r="K691" s="38">
        <v>689</v>
      </c>
      <c r="L691" s="99">
        <v>57</v>
      </c>
    </row>
    <row r="692" spans="11:12" x14ac:dyDescent="0.4">
      <c r="K692" s="38">
        <v>690</v>
      </c>
      <c r="L692" s="99">
        <v>0</v>
      </c>
    </row>
    <row r="693" spans="11:12" x14ac:dyDescent="0.4">
      <c r="K693" s="38">
        <v>691</v>
      </c>
      <c r="L693" s="99">
        <v>-47.7</v>
      </c>
    </row>
    <row r="694" spans="11:12" x14ac:dyDescent="0.4">
      <c r="K694" s="38">
        <v>692</v>
      </c>
      <c r="L694" s="99">
        <v>-69.300000000000011</v>
      </c>
    </row>
    <row r="695" spans="11:12" x14ac:dyDescent="0.4">
      <c r="K695" s="38">
        <v>693</v>
      </c>
      <c r="L695" s="99">
        <v>-1.4210854715202004E-14</v>
      </c>
    </row>
    <row r="696" spans="11:12" x14ac:dyDescent="0.4">
      <c r="K696" s="38">
        <v>694</v>
      </c>
      <c r="L696" s="99">
        <v>-32.900000000000013</v>
      </c>
    </row>
    <row r="697" spans="11:12" x14ac:dyDescent="0.4">
      <c r="K697" s="38">
        <v>695</v>
      </c>
      <c r="L697" s="99">
        <v>-42.600000000000009</v>
      </c>
    </row>
    <row r="698" spans="11:12" x14ac:dyDescent="0.4">
      <c r="K698" s="38">
        <v>696</v>
      </c>
      <c r="L698" s="99">
        <v>-7.1054273576010019E-15</v>
      </c>
    </row>
    <row r="699" spans="11:12" x14ac:dyDescent="0.4">
      <c r="K699" s="38">
        <v>697</v>
      </c>
      <c r="L699" s="99">
        <v>11.299999999999994</v>
      </c>
    </row>
    <row r="700" spans="11:12" x14ac:dyDescent="0.4">
      <c r="K700" s="38">
        <v>698</v>
      </c>
      <c r="L700" s="99">
        <v>56.3</v>
      </c>
    </row>
    <row r="701" spans="11:12" x14ac:dyDescent="0.4">
      <c r="K701" s="38">
        <v>699</v>
      </c>
      <c r="L701" s="99">
        <v>0</v>
      </c>
    </row>
    <row r="702" spans="11:12" x14ac:dyDescent="0.4">
      <c r="K702" s="38">
        <v>700</v>
      </c>
      <c r="L702" s="99">
        <v>15</v>
      </c>
    </row>
    <row r="703" spans="11:12" x14ac:dyDescent="0.4">
      <c r="K703" s="38">
        <v>701</v>
      </c>
      <c r="L703" s="99">
        <v>60</v>
      </c>
    </row>
    <row r="704" spans="11:12" x14ac:dyDescent="0.4">
      <c r="K704" s="38">
        <v>702</v>
      </c>
      <c r="L704" s="99">
        <v>0</v>
      </c>
    </row>
    <row r="705" spans="11:12" x14ac:dyDescent="0.4">
      <c r="K705" s="38">
        <v>703</v>
      </c>
      <c r="L705" s="99">
        <v>-50.9</v>
      </c>
    </row>
    <row r="706" spans="11:12" x14ac:dyDescent="0.4">
      <c r="K706" s="38">
        <v>704</v>
      </c>
      <c r="L706" s="99">
        <v>1.2000000000000028</v>
      </c>
    </row>
    <row r="707" spans="11:12" x14ac:dyDescent="0.4">
      <c r="K707" s="38">
        <v>705</v>
      </c>
      <c r="L707" s="99">
        <v>2.886579864025407E-15</v>
      </c>
    </row>
    <row r="708" spans="11:12" x14ac:dyDescent="0.4">
      <c r="K708" s="38">
        <v>706</v>
      </c>
      <c r="L708" s="99">
        <v>-10.799999999999997</v>
      </c>
    </row>
    <row r="709" spans="11:12" x14ac:dyDescent="0.4">
      <c r="K709" s="38">
        <v>707</v>
      </c>
      <c r="L709" s="99">
        <v>-52</v>
      </c>
    </row>
    <row r="710" spans="11:12" x14ac:dyDescent="0.4">
      <c r="K710" s="38">
        <v>708</v>
      </c>
      <c r="L710" s="99">
        <v>0</v>
      </c>
    </row>
    <row r="711" spans="11:12" x14ac:dyDescent="0.4">
      <c r="K711" s="38">
        <v>709</v>
      </c>
      <c r="L711" s="99">
        <v>5.3</v>
      </c>
    </row>
    <row r="712" spans="11:12" x14ac:dyDescent="0.4">
      <c r="K712" s="38">
        <v>710</v>
      </c>
      <c r="L712" s="99">
        <v>-26.8</v>
      </c>
    </row>
    <row r="713" spans="11:12" x14ac:dyDescent="0.4">
      <c r="K713" s="38">
        <v>711</v>
      </c>
      <c r="L713" s="99">
        <v>0</v>
      </c>
    </row>
    <row r="714" spans="11:12" x14ac:dyDescent="0.4">
      <c r="K714" s="38">
        <v>712</v>
      </c>
      <c r="L714" s="99">
        <v>9.4</v>
      </c>
    </row>
    <row r="715" spans="11:12" x14ac:dyDescent="0.4">
      <c r="K715" s="38">
        <v>713</v>
      </c>
      <c r="L715" s="99">
        <v>-36.4</v>
      </c>
    </row>
    <row r="716" spans="11:12" x14ac:dyDescent="0.4">
      <c r="K716" s="38">
        <v>714</v>
      </c>
      <c r="L716" s="99">
        <v>0</v>
      </c>
    </row>
    <row r="717" spans="11:12" x14ac:dyDescent="0.4">
      <c r="K717" s="38">
        <v>715</v>
      </c>
      <c r="L717" s="99">
        <v>-2.2999999999999998</v>
      </c>
    </row>
    <row r="718" spans="11:12" x14ac:dyDescent="0.4">
      <c r="K718" s="38">
        <v>716</v>
      </c>
      <c r="L718" s="99">
        <v>-58.9</v>
      </c>
    </row>
    <row r="719" spans="11:12" x14ac:dyDescent="0.4">
      <c r="K719" s="38">
        <v>717</v>
      </c>
      <c r="L719" s="99">
        <v>0</v>
      </c>
    </row>
    <row r="720" spans="11:12" x14ac:dyDescent="0.4">
      <c r="K720" s="38">
        <v>718</v>
      </c>
      <c r="L720" s="99">
        <v>-24.5</v>
      </c>
    </row>
    <row r="721" spans="11:12" x14ac:dyDescent="0.4">
      <c r="K721" s="38">
        <v>719</v>
      </c>
      <c r="L721" s="99">
        <v>56.5</v>
      </c>
    </row>
    <row r="722" spans="11:12" x14ac:dyDescent="0.4">
      <c r="K722" s="38">
        <v>720</v>
      </c>
      <c r="L722" s="99">
        <v>0</v>
      </c>
    </row>
    <row r="723" spans="11:12" x14ac:dyDescent="0.4">
      <c r="K723" s="38">
        <v>721</v>
      </c>
      <c r="L723" s="99">
        <v>39.200000000000003</v>
      </c>
    </row>
    <row r="724" spans="11:12" x14ac:dyDescent="0.4">
      <c r="K724" s="38">
        <v>722</v>
      </c>
      <c r="L724" s="99">
        <v>6.3000000000000043</v>
      </c>
    </row>
    <row r="725" spans="11:12" x14ac:dyDescent="0.4">
      <c r="K725" s="38">
        <v>723</v>
      </c>
      <c r="L725" s="99">
        <v>4.4408920985006262E-15</v>
      </c>
    </row>
    <row r="726" spans="11:12" x14ac:dyDescent="0.4">
      <c r="K726" s="38">
        <v>724</v>
      </c>
      <c r="L726" s="99">
        <v>-51.699999999999996</v>
      </c>
    </row>
    <row r="727" spans="11:12" x14ac:dyDescent="0.4">
      <c r="K727" s="38">
        <v>725</v>
      </c>
      <c r="L727" s="99">
        <v>-38.199999999999996</v>
      </c>
    </row>
    <row r="728" spans="11:12" x14ac:dyDescent="0.4">
      <c r="K728" s="38">
        <v>726</v>
      </c>
      <c r="L728" s="99">
        <v>7.1054273576010019E-15</v>
      </c>
    </row>
    <row r="729" spans="11:12" x14ac:dyDescent="0.4">
      <c r="K729" s="38">
        <v>727</v>
      </c>
      <c r="L729" s="99">
        <v>-61.699999999999996</v>
      </c>
    </row>
    <row r="730" spans="11:12" x14ac:dyDescent="0.4">
      <c r="K730" s="38">
        <v>728</v>
      </c>
      <c r="L730" s="99">
        <v>-91.3</v>
      </c>
    </row>
    <row r="731" spans="11:12" x14ac:dyDescent="0.4">
      <c r="K731" s="38">
        <v>729</v>
      </c>
      <c r="L731" s="99">
        <v>0</v>
      </c>
    </row>
    <row r="732" spans="11:12" x14ac:dyDescent="0.4">
      <c r="K732" s="38">
        <v>730</v>
      </c>
      <c r="L732" s="99">
        <v>41.6</v>
      </c>
    </row>
    <row r="733" spans="11:12" x14ac:dyDescent="0.4">
      <c r="K733" s="38">
        <v>731</v>
      </c>
      <c r="L733" s="99">
        <v>8.7000000000000028</v>
      </c>
    </row>
    <row r="734" spans="11:12" x14ac:dyDescent="0.4">
      <c r="K734" s="38">
        <v>732</v>
      </c>
      <c r="L734" s="99">
        <v>3.5527136788005009E-15</v>
      </c>
    </row>
    <row r="735" spans="11:12" x14ac:dyDescent="0.4">
      <c r="K735" s="38">
        <v>733</v>
      </c>
      <c r="L735" s="99">
        <v>-55.899999999999991</v>
      </c>
    </row>
    <row r="736" spans="11:12" x14ac:dyDescent="0.4">
      <c r="K736" s="38">
        <v>734</v>
      </c>
      <c r="L736" s="99">
        <v>-42.199999999999989</v>
      </c>
    </row>
    <row r="737" spans="11:12" x14ac:dyDescent="0.4">
      <c r="K737" s="38">
        <v>735</v>
      </c>
      <c r="L737" s="99">
        <v>1.4210854715202004E-14</v>
      </c>
    </row>
    <row r="738" spans="11:12" x14ac:dyDescent="0.4">
      <c r="K738" s="38">
        <v>736</v>
      </c>
      <c r="L738" s="99">
        <v>62.500000000000014</v>
      </c>
    </row>
    <row r="739" spans="11:12" x14ac:dyDescent="0.4">
      <c r="K739" s="38">
        <v>737</v>
      </c>
      <c r="L739" s="99">
        <v>5.0000000000000142</v>
      </c>
    </row>
    <row r="740" spans="11:12" x14ac:dyDescent="0.4">
      <c r="K740" s="38">
        <v>738</v>
      </c>
      <c r="L740" s="99">
        <v>1.4210854715202004E-14</v>
      </c>
    </row>
    <row r="741" spans="11:12" x14ac:dyDescent="0.4">
      <c r="K741" s="38">
        <v>739</v>
      </c>
      <c r="L741" s="99">
        <v>12.200000000000014</v>
      </c>
    </row>
    <row r="742" spans="11:12" x14ac:dyDescent="0.4">
      <c r="K742" s="38">
        <v>740</v>
      </c>
      <c r="L742" s="99">
        <v>55.100000000000009</v>
      </c>
    </row>
    <row r="743" spans="11:12" x14ac:dyDescent="0.4">
      <c r="K743" s="38">
        <v>741</v>
      </c>
      <c r="L743" s="99">
        <v>7.1054273576010019E-15</v>
      </c>
    </row>
    <row r="744" spans="11:12" x14ac:dyDescent="0.4">
      <c r="K744" s="38">
        <v>742</v>
      </c>
      <c r="L744" s="99">
        <v>9.0000000000000071</v>
      </c>
    </row>
    <row r="745" spans="11:12" x14ac:dyDescent="0.4">
      <c r="K745" s="38">
        <v>743</v>
      </c>
      <c r="L745" s="99">
        <v>-37.699999999999996</v>
      </c>
    </row>
    <row r="746" spans="11:12" x14ac:dyDescent="0.4">
      <c r="K746" s="38">
        <v>744</v>
      </c>
      <c r="L746" s="99">
        <v>7.1054273576010019E-15</v>
      </c>
    </row>
    <row r="747" spans="11:12" x14ac:dyDescent="0.4">
      <c r="K747" s="38">
        <v>745</v>
      </c>
      <c r="L747" s="99">
        <v>-11.999999999999993</v>
      </c>
    </row>
    <row r="748" spans="11:12" x14ac:dyDescent="0.4">
      <c r="K748" s="38">
        <v>746</v>
      </c>
      <c r="L748" s="99">
        <v>65.099999999999994</v>
      </c>
    </row>
    <row r="749" spans="11:12" x14ac:dyDescent="0.4">
      <c r="K749" s="38">
        <v>747</v>
      </c>
      <c r="L749" s="99">
        <v>0</v>
      </c>
    </row>
    <row r="750" spans="11:12" x14ac:dyDescent="0.4">
      <c r="K750" s="38">
        <v>748</v>
      </c>
      <c r="L750" s="99">
        <v>14.7</v>
      </c>
    </row>
    <row r="751" spans="11:12" x14ac:dyDescent="0.4">
      <c r="K751" s="38">
        <v>749</v>
      </c>
      <c r="L751" s="99">
        <v>75.2</v>
      </c>
    </row>
    <row r="752" spans="11:12" x14ac:dyDescent="0.4">
      <c r="K752" s="38">
        <v>750</v>
      </c>
      <c r="L752" s="99">
        <v>0</v>
      </c>
    </row>
    <row r="753" spans="11:12" x14ac:dyDescent="0.4">
      <c r="K753" s="38">
        <v>751</v>
      </c>
      <c r="L753" s="99">
        <v>-43.2</v>
      </c>
    </row>
    <row r="754" spans="11:12" x14ac:dyDescent="0.4">
      <c r="K754" s="38">
        <v>752</v>
      </c>
      <c r="L754" s="99">
        <v>-39.800000000000004</v>
      </c>
    </row>
    <row r="755" spans="11:12" x14ac:dyDescent="0.4">
      <c r="K755" s="38">
        <v>753</v>
      </c>
      <c r="L755" s="99">
        <v>-7.1054273576010019E-15</v>
      </c>
    </row>
    <row r="756" spans="11:12" x14ac:dyDescent="0.4">
      <c r="K756" s="38">
        <v>754</v>
      </c>
      <c r="L756" s="99">
        <v>-53.300000000000004</v>
      </c>
    </row>
    <row r="757" spans="11:12" x14ac:dyDescent="0.4">
      <c r="K757" s="38">
        <v>755</v>
      </c>
      <c r="L757" s="99">
        <v>-61.600000000000009</v>
      </c>
    </row>
    <row r="758" spans="11:12" x14ac:dyDescent="0.4">
      <c r="K758" s="38">
        <v>756</v>
      </c>
      <c r="L758" s="99">
        <v>-7.1054273576010019E-15</v>
      </c>
    </row>
    <row r="759" spans="11:12" x14ac:dyDescent="0.4">
      <c r="K759" s="38">
        <v>757</v>
      </c>
      <c r="L759" s="99">
        <v>31.699999999999992</v>
      </c>
    </row>
    <row r="760" spans="11:12" x14ac:dyDescent="0.4">
      <c r="K760" s="38">
        <v>758</v>
      </c>
      <c r="L760" s="99">
        <v>-10.100000000000005</v>
      </c>
    </row>
    <row r="761" spans="11:12" x14ac:dyDescent="0.4">
      <c r="K761" s="38">
        <v>759</v>
      </c>
      <c r="L761" s="99">
        <v>-5.3290705182007514E-15</v>
      </c>
    </row>
    <row r="762" spans="11:12" x14ac:dyDescent="0.4">
      <c r="K762" s="38">
        <v>760</v>
      </c>
      <c r="L762" s="99">
        <v>42.699999999999996</v>
      </c>
    </row>
    <row r="763" spans="11:12" x14ac:dyDescent="0.4">
      <c r="K763" s="38">
        <v>761</v>
      </c>
      <c r="L763" s="99">
        <v>-2.6000000000000014</v>
      </c>
    </row>
    <row r="764" spans="11:12" x14ac:dyDescent="0.4">
      <c r="K764" s="38">
        <v>762</v>
      </c>
      <c r="L764" s="99">
        <v>-1.3322676295501878E-15</v>
      </c>
    </row>
    <row r="765" spans="11:12" x14ac:dyDescent="0.4">
      <c r="K765" s="38">
        <v>763</v>
      </c>
      <c r="L765" s="99">
        <v>62</v>
      </c>
    </row>
    <row r="766" spans="11:12" x14ac:dyDescent="0.4">
      <c r="K766" s="38">
        <v>764</v>
      </c>
      <c r="L766" s="99">
        <v>3.8999999999999986</v>
      </c>
    </row>
    <row r="767" spans="11:12" x14ac:dyDescent="0.4">
      <c r="K767" s="38">
        <v>765</v>
      </c>
      <c r="L767" s="99">
        <v>-1.3322676295501878E-15</v>
      </c>
    </row>
    <row r="768" spans="11:12" x14ac:dyDescent="0.4">
      <c r="K768" s="38">
        <v>766</v>
      </c>
      <c r="L768" s="99">
        <v>35</v>
      </c>
    </row>
    <row r="769" spans="11:12" x14ac:dyDescent="0.4">
      <c r="K769" s="38">
        <v>767</v>
      </c>
      <c r="L769" s="99">
        <v>-9.6000000000000014</v>
      </c>
    </row>
    <row r="770" spans="11:12" x14ac:dyDescent="0.4">
      <c r="K770" s="38">
        <v>768</v>
      </c>
      <c r="L770" s="99">
        <v>-1.7763568394002505E-15</v>
      </c>
    </row>
    <row r="771" spans="11:12" x14ac:dyDescent="0.4">
      <c r="K771" s="38">
        <v>769</v>
      </c>
      <c r="L771" s="99">
        <v>39.299999999999997</v>
      </c>
    </row>
    <row r="772" spans="11:12" x14ac:dyDescent="0.4">
      <c r="K772" s="38">
        <v>770</v>
      </c>
      <c r="L772" s="99">
        <v>-19</v>
      </c>
    </row>
    <row r="773" spans="11:12" x14ac:dyDescent="0.4">
      <c r="K773" s="38">
        <v>771</v>
      </c>
      <c r="L773" s="99">
        <v>0</v>
      </c>
    </row>
    <row r="774" spans="11:12" x14ac:dyDescent="0.4">
      <c r="K774" s="38">
        <v>772</v>
      </c>
      <c r="L774" s="99">
        <v>1.1000000000000001</v>
      </c>
    </row>
    <row r="775" spans="11:12" x14ac:dyDescent="0.4">
      <c r="K775" s="38">
        <v>773</v>
      </c>
      <c r="L775" s="99">
        <v>-34.699999999999996</v>
      </c>
    </row>
    <row r="776" spans="11:12" x14ac:dyDescent="0.4">
      <c r="K776" s="38">
        <v>774</v>
      </c>
      <c r="L776" s="99">
        <v>7.1054273576010019E-15</v>
      </c>
    </row>
    <row r="777" spans="11:12" x14ac:dyDescent="0.4">
      <c r="K777" s="38">
        <v>775</v>
      </c>
      <c r="L777" s="99">
        <v>-32.099999999999994</v>
      </c>
    </row>
    <row r="778" spans="11:12" x14ac:dyDescent="0.4">
      <c r="K778" s="38">
        <v>776</v>
      </c>
      <c r="L778" s="99">
        <v>-36.399999999999991</v>
      </c>
    </row>
    <row r="779" spans="11:12" x14ac:dyDescent="0.4">
      <c r="K779" s="38">
        <v>777</v>
      </c>
      <c r="L779" s="99">
        <v>7.1054273576010019E-15</v>
      </c>
    </row>
    <row r="780" spans="11:12" x14ac:dyDescent="0.4">
      <c r="K780" s="38">
        <v>778</v>
      </c>
      <c r="L780" s="99">
        <v>-7.3999999999999932</v>
      </c>
    </row>
    <row r="781" spans="11:12" x14ac:dyDescent="0.4">
      <c r="K781" s="38">
        <v>779</v>
      </c>
      <c r="L781" s="99">
        <v>-66</v>
      </c>
    </row>
    <row r="782" spans="11:12" x14ac:dyDescent="0.4">
      <c r="K782" s="38">
        <v>780</v>
      </c>
      <c r="L782" s="99">
        <v>0</v>
      </c>
    </row>
    <row r="783" spans="11:12" x14ac:dyDescent="0.4">
      <c r="K783" s="38">
        <v>781</v>
      </c>
      <c r="L783" s="99">
        <v>-55.4</v>
      </c>
    </row>
    <row r="784" spans="11:12" x14ac:dyDescent="0.4">
      <c r="K784" s="38">
        <v>782</v>
      </c>
      <c r="L784" s="99">
        <v>-42.599999999999994</v>
      </c>
    </row>
    <row r="785" spans="11:12" x14ac:dyDescent="0.4">
      <c r="K785" s="38">
        <v>783</v>
      </c>
      <c r="L785" s="99">
        <v>7.1054273576010019E-15</v>
      </c>
    </row>
    <row r="786" spans="11:12" x14ac:dyDescent="0.4">
      <c r="K786" s="38">
        <v>784</v>
      </c>
      <c r="L786" s="99">
        <v>17.800000000000008</v>
      </c>
    </row>
    <row r="787" spans="11:12" x14ac:dyDescent="0.4">
      <c r="K787" s="38">
        <v>785</v>
      </c>
      <c r="L787" s="99">
        <v>-49.199999999999989</v>
      </c>
    </row>
    <row r="788" spans="11:12" x14ac:dyDescent="0.4">
      <c r="K788" s="38">
        <v>786</v>
      </c>
      <c r="L788" s="99">
        <v>1.4210854715202004E-14</v>
      </c>
    </row>
    <row r="789" spans="11:12" x14ac:dyDescent="0.4">
      <c r="K789" s="38">
        <v>787</v>
      </c>
      <c r="L789" s="99">
        <v>-17.899999999999984</v>
      </c>
    </row>
    <row r="790" spans="11:12" x14ac:dyDescent="0.4">
      <c r="K790" s="38">
        <v>788</v>
      </c>
      <c r="L790" s="99">
        <v>80.400000000000006</v>
      </c>
    </row>
    <row r="791" spans="11:12" x14ac:dyDescent="0.4">
      <c r="K791" s="38">
        <v>789</v>
      </c>
      <c r="L791" s="99">
        <v>0</v>
      </c>
    </row>
    <row r="792" spans="11:12" x14ac:dyDescent="0.4">
      <c r="K792" s="38">
        <v>790</v>
      </c>
      <c r="L792" s="99">
        <v>9.5</v>
      </c>
    </row>
    <row r="793" spans="11:12" x14ac:dyDescent="0.4">
      <c r="K793" s="38">
        <v>791</v>
      </c>
      <c r="L793" s="99">
        <v>-50</v>
      </c>
    </row>
    <row r="794" spans="11:12" x14ac:dyDescent="0.4">
      <c r="K794" s="38">
        <v>792</v>
      </c>
      <c r="L794" s="99">
        <v>0</v>
      </c>
    </row>
    <row r="795" spans="11:12" x14ac:dyDescent="0.4">
      <c r="K795" s="38">
        <v>793</v>
      </c>
      <c r="L795" s="99">
        <v>-55.3</v>
      </c>
    </row>
    <row r="796" spans="11:12" x14ac:dyDescent="0.4">
      <c r="K796" s="38">
        <v>794</v>
      </c>
      <c r="L796" s="99">
        <v>3.5</v>
      </c>
    </row>
    <row r="797" spans="11:12" x14ac:dyDescent="0.4">
      <c r="K797" s="38">
        <v>795</v>
      </c>
      <c r="L797" s="99">
        <v>0</v>
      </c>
    </row>
    <row r="798" spans="11:12" x14ac:dyDescent="0.4">
      <c r="K798" s="38">
        <v>796</v>
      </c>
      <c r="L798" s="99">
        <v>31</v>
      </c>
    </row>
    <row r="799" spans="11:12" x14ac:dyDescent="0.4">
      <c r="K799" s="38">
        <v>797</v>
      </c>
      <c r="L799" s="99">
        <v>-5</v>
      </c>
    </row>
    <row r="800" spans="11:12" x14ac:dyDescent="0.4">
      <c r="K800" s="38">
        <v>798</v>
      </c>
      <c r="L800" s="99">
        <v>0</v>
      </c>
    </row>
    <row r="801" spans="11:12" x14ac:dyDescent="0.4">
      <c r="K801" s="38">
        <v>799</v>
      </c>
      <c r="L801" s="99">
        <v>-35.299999999999997</v>
      </c>
    </row>
    <row r="802" spans="11:12" x14ac:dyDescent="0.4">
      <c r="K802" s="38">
        <v>800</v>
      </c>
      <c r="L802" s="99">
        <v>-38.9</v>
      </c>
    </row>
    <row r="803" spans="11:12" x14ac:dyDescent="0.4">
      <c r="K803" s="38">
        <v>801</v>
      </c>
      <c r="L803" s="99">
        <v>0</v>
      </c>
    </row>
    <row r="804" spans="11:12" x14ac:dyDescent="0.4">
      <c r="K804" s="38">
        <v>802</v>
      </c>
      <c r="L804" s="99">
        <v>39.1</v>
      </c>
    </row>
    <row r="805" spans="11:12" x14ac:dyDescent="0.4">
      <c r="K805" s="38">
        <v>803</v>
      </c>
      <c r="L805" s="99">
        <v>50</v>
      </c>
    </row>
    <row r="806" spans="11:12" x14ac:dyDescent="0.4">
      <c r="K806" s="38">
        <v>804</v>
      </c>
      <c r="L806" s="99">
        <v>-2</v>
      </c>
    </row>
    <row r="807" spans="11:12" x14ac:dyDescent="0.4">
      <c r="K807" s="38">
        <v>805</v>
      </c>
      <c r="L807" s="99">
        <v>52.6</v>
      </c>
    </row>
    <row r="808" spans="11:12" x14ac:dyDescent="0.4">
      <c r="K808" s="38">
        <v>806</v>
      </c>
      <c r="L808" s="99">
        <v>53.9</v>
      </c>
    </row>
    <row r="809" spans="11:12" x14ac:dyDescent="0.4">
      <c r="K809" s="38">
        <v>807</v>
      </c>
      <c r="L809" s="99">
        <v>-2</v>
      </c>
    </row>
    <row r="810" spans="11:12" x14ac:dyDescent="0.4">
      <c r="K810" s="38">
        <v>808</v>
      </c>
      <c r="L810" s="99">
        <v>25.5</v>
      </c>
    </row>
    <row r="811" spans="11:12" x14ac:dyDescent="0.4">
      <c r="K811" s="38">
        <v>809</v>
      </c>
      <c r="L811" s="99">
        <v>26.5</v>
      </c>
    </row>
    <row r="812" spans="11:12" x14ac:dyDescent="0.4">
      <c r="K812" s="38">
        <v>810</v>
      </c>
      <c r="L812" s="99">
        <v>-2</v>
      </c>
    </row>
    <row r="813" spans="11:12" x14ac:dyDescent="0.4">
      <c r="K813" s="38">
        <v>811</v>
      </c>
      <c r="L813" s="99">
        <v>31.4</v>
      </c>
    </row>
    <row r="814" spans="11:12" x14ac:dyDescent="0.4">
      <c r="K814" s="38">
        <v>812</v>
      </c>
      <c r="L814" s="99">
        <v>-1.8999999999999986</v>
      </c>
    </row>
    <row r="815" spans="11:12" x14ac:dyDescent="0.4">
      <c r="K815" s="38">
        <v>813</v>
      </c>
      <c r="L815" s="99">
        <v>-1.9999999999999987</v>
      </c>
    </row>
    <row r="816" spans="11:12" x14ac:dyDescent="0.4">
      <c r="K816" s="38">
        <v>814</v>
      </c>
      <c r="L816" s="99">
        <v>36.299999999999997</v>
      </c>
    </row>
    <row r="817" spans="11:12" x14ac:dyDescent="0.4">
      <c r="K817" s="38">
        <v>815</v>
      </c>
      <c r="L817" s="99">
        <v>-14.900000000000006</v>
      </c>
    </row>
    <row r="818" spans="11:12" x14ac:dyDescent="0.4">
      <c r="K818" s="38">
        <v>816</v>
      </c>
      <c r="L818" s="99">
        <v>-2.0000000000000053</v>
      </c>
    </row>
    <row r="819" spans="11:12" x14ac:dyDescent="0.4">
      <c r="K819" s="38">
        <v>817</v>
      </c>
      <c r="L819" s="99">
        <v>45.899999999999991</v>
      </c>
    </row>
    <row r="820" spans="11:12" x14ac:dyDescent="0.4">
      <c r="K820" s="38">
        <v>818</v>
      </c>
      <c r="L820" s="99">
        <v>-24.600000000000009</v>
      </c>
    </row>
    <row r="821" spans="11:12" x14ac:dyDescent="0.4">
      <c r="K821" s="38">
        <v>819</v>
      </c>
      <c r="L821" s="99">
        <v>-2.0000000000000071</v>
      </c>
    </row>
    <row r="822" spans="11:12" x14ac:dyDescent="0.4">
      <c r="K822" s="38">
        <v>820</v>
      </c>
      <c r="L822" s="99">
        <v>-9.6000000000000068</v>
      </c>
    </row>
    <row r="823" spans="11:12" x14ac:dyDescent="0.4">
      <c r="K823" s="38">
        <v>821</v>
      </c>
      <c r="L823" s="99">
        <v>-56.600000000000009</v>
      </c>
    </row>
    <row r="824" spans="11:12" x14ac:dyDescent="0.4">
      <c r="K824" s="38">
        <v>822</v>
      </c>
      <c r="L824" s="99">
        <v>-2.0000000000000071</v>
      </c>
    </row>
    <row r="825" spans="11:12" x14ac:dyDescent="0.4">
      <c r="K825" s="38">
        <v>823</v>
      </c>
      <c r="L825" s="99">
        <v>-36.600000000000009</v>
      </c>
    </row>
    <row r="826" spans="11:12" x14ac:dyDescent="0.4">
      <c r="K826" s="38">
        <v>824</v>
      </c>
      <c r="L826" s="99">
        <v>7.0999999999999943</v>
      </c>
    </row>
    <row r="827" spans="11:12" x14ac:dyDescent="0.4">
      <c r="K827" s="38">
        <v>825</v>
      </c>
      <c r="L827" s="99">
        <v>-2.0000000000000053</v>
      </c>
    </row>
    <row r="828" spans="11:12" x14ac:dyDescent="0.4">
      <c r="K828" s="38">
        <v>826</v>
      </c>
      <c r="L828" s="99">
        <v>-31.500000000000007</v>
      </c>
    </row>
    <row r="829" spans="11:12" x14ac:dyDescent="0.4">
      <c r="K829" s="38">
        <v>827</v>
      </c>
      <c r="L829" s="99">
        <v>-32.000000000000007</v>
      </c>
    </row>
    <row r="830" spans="11:12" x14ac:dyDescent="0.4">
      <c r="K830" s="38">
        <v>828</v>
      </c>
      <c r="L830" s="99">
        <v>-2.0000000000000071</v>
      </c>
    </row>
    <row r="831" spans="11:12" x14ac:dyDescent="0.4">
      <c r="K831" s="38">
        <v>829</v>
      </c>
      <c r="L831" s="99">
        <v>-1.1000000000000072</v>
      </c>
    </row>
    <row r="832" spans="11:12" x14ac:dyDescent="0.4">
      <c r="K832" s="38">
        <v>830</v>
      </c>
      <c r="L832" s="99">
        <v>47.79999999999999</v>
      </c>
    </row>
    <row r="833" spans="11:12" x14ac:dyDescent="0.4">
      <c r="K833" s="38">
        <v>831</v>
      </c>
      <c r="L833" s="99">
        <v>-2.0000000000000071</v>
      </c>
    </row>
    <row r="834" spans="11:12" x14ac:dyDescent="0.4">
      <c r="K834" s="38">
        <v>832</v>
      </c>
      <c r="L834" s="99">
        <v>-25.700000000000006</v>
      </c>
    </row>
    <row r="835" spans="11:12" x14ac:dyDescent="0.4">
      <c r="K835" s="38">
        <v>833</v>
      </c>
      <c r="L835" s="99">
        <v>-2.600000000000005</v>
      </c>
    </row>
    <row r="836" spans="11:12" x14ac:dyDescent="0.4">
      <c r="K836" s="38">
        <v>834</v>
      </c>
      <c r="L836" s="99">
        <v>-2.0000000000000049</v>
      </c>
    </row>
    <row r="837" spans="11:12" x14ac:dyDescent="0.4">
      <c r="K837" s="38">
        <v>835</v>
      </c>
      <c r="L837" s="99">
        <v>6.9999999999999947</v>
      </c>
    </row>
    <row r="838" spans="11:12" x14ac:dyDescent="0.4">
      <c r="K838" s="38">
        <v>836</v>
      </c>
      <c r="L838" s="99">
        <v>-33.500000000000007</v>
      </c>
    </row>
    <row r="839" spans="11:12" x14ac:dyDescent="0.4">
      <c r="K839" s="38">
        <v>837</v>
      </c>
      <c r="L839" s="99">
        <v>-2.0000000000000071</v>
      </c>
    </row>
    <row r="840" spans="11:12" x14ac:dyDescent="0.4">
      <c r="K840" s="38">
        <v>838</v>
      </c>
      <c r="L840" s="99">
        <v>24.899999999999991</v>
      </c>
    </row>
    <row r="841" spans="11:12" x14ac:dyDescent="0.4">
      <c r="K841" s="38">
        <v>839</v>
      </c>
      <c r="L841" s="99">
        <v>26.399999999999991</v>
      </c>
    </row>
    <row r="842" spans="11:12" x14ac:dyDescent="0.4">
      <c r="K842" s="38">
        <v>840</v>
      </c>
      <c r="L842" s="99">
        <v>-2.0000000000000071</v>
      </c>
    </row>
    <row r="843" spans="11:12" x14ac:dyDescent="0.4">
      <c r="K843" s="38">
        <v>841</v>
      </c>
      <c r="L843" s="99">
        <v>-35.800000000000004</v>
      </c>
    </row>
    <row r="844" spans="11:12" x14ac:dyDescent="0.4">
      <c r="K844" s="38">
        <v>842</v>
      </c>
      <c r="L844" s="99">
        <v>3.0999999999999943</v>
      </c>
    </row>
    <row r="845" spans="11:12" x14ac:dyDescent="0.4">
      <c r="K845" s="38">
        <v>843</v>
      </c>
      <c r="L845" s="99">
        <v>-2.0000000000000053</v>
      </c>
    </row>
    <row r="846" spans="11:12" x14ac:dyDescent="0.4">
      <c r="K846" s="38">
        <v>844</v>
      </c>
      <c r="L846" s="99">
        <v>-33.800000000000004</v>
      </c>
    </row>
    <row r="847" spans="11:12" x14ac:dyDescent="0.4">
      <c r="K847" s="38">
        <v>845</v>
      </c>
      <c r="L847" s="99">
        <v>-3.5000000000000036</v>
      </c>
    </row>
    <row r="848" spans="11:12" x14ac:dyDescent="0.4">
      <c r="K848" s="38">
        <v>846</v>
      </c>
      <c r="L848" s="99">
        <v>-2.0000000000000036</v>
      </c>
    </row>
    <row r="849" spans="11:12" x14ac:dyDescent="0.4">
      <c r="K849" s="38">
        <v>847</v>
      </c>
      <c r="L849" s="99">
        <v>-2.8000000000000034</v>
      </c>
    </row>
    <row r="850" spans="11:12" x14ac:dyDescent="0.4">
      <c r="K850" s="38">
        <v>848</v>
      </c>
      <c r="L850" s="99">
        <v>24.899999999999995</v>
      </c>
    </row>
    <row r="851" spans="11:12" x14ac:dyDescent="0.4">
      <c r="K851" s="38">
        <v>849</v>
      </c>
      <c r="L851" s="99">
        <v>-2.0000000000000036</v>
      </c>
    </row>
    <row r="852" spans="11:12" x14ac:dyDescent="0.4">
      <c r="K852" s="38">
        <v>850</v>
      </c>
      <c r="L852" s="99">
        <v>70</v>
      </c>
    </row>
    <row r="853" spans="11:12" x14ac:dyDescent="0.4">
      <c r="K853" s="38">
        <v>851</v>
      </c>
      <c r="L853" s="99">
        <v>60</v>
      </c>
    </row>
    <row r="854" spans="11:12" x14ac:dyDescent="0.4">
      <c r="K854" s="38">
        <v>852</v>
      </c>
      <c r="L854" s="99">
        <v>-2</v>
      </c>
    </row>
    <row r="855" spans="11:12" x14ac:dyDescent="0.4">
      <c r="K855" s="38">
        <v>853</v>
      </c>
      <c r="L855" s="99">
        <v>-34.700000000000003</v>
      </c>
    </row>
    <row r="856" spans="11:12" x14ac:dyDescent="0.4">
      <c r="K856" s="38">
        <v>854</v>
      </c>
      <c r="L856" s="99">
        <v>-33.1</v>
      </c>
    </row>
    <row r="857" spans="11:12" x14ac:dyDescent="0.4">
      <c r="K857" s="38">
        <v>855</v>
      </c>
      <c r="L857" s="99">
        <v>-2</v>
      </c>
    </row>
    <row r="858" spans="11:12" x14ac:dyDescent="0.4">
      <c r="K858" s="38">
        <v>856</v>
      </c>
      <c r="L858" s="99">
        <v>-34.799999999999997</v>
      </c>
    </row>
    <row r="859" spans="11:12" x14ac:dyDescent="0.4">
      <c r="K859" s="38">
        <v>857</v>
      </c>
      <c r="L859" s="99">
        <v>1.3000000000000043</v>
      </c>
    </row>
    <row r="860" spans="11:12" x14ac:dyDescent="0.4">
      <c r="K860" s="38">
        <v>858</v>
      </c>
      <c r="L860" s="99">
        <v>-1.9999999999999956</v>
      </c>
    </row>
    <row r="861" spans="11:12" x14ac:dyDescent="0.4">
      <c r="K861" s="38">
        <v>859</v>
      </c>
      <c r="L861" s="99">
        <v>-3.7999999999999954</v>
      </c>
    </row>
    <row r="862" spans="11:12" x14ac:dyDescent="0.4">
      <c r="K862" s="38">
        <v>860</v>
      </c>
      <c r="L862" s="99">
        <v>-30.199999999999996</v>
      </c>
    </row>
    <row r="863" spans="11:12" x14ac:dyDescent="0.4">
      <c r="K863" s="38">
        <v>861</v>
      </c>
      <c r="L863" s="99">
        <v>-1.9999999999999964</v>
      </c>
    </row>
    <row r="864" spans="11:12" x14ac:dyDescent="0.4">
      <c r="K864" s="38">
        <v>862</v>
      </c>
      <c r="L864" s="99">
        <v>-58.8</v>
      </c>
    </row>
    <row r="865" spans="11:12" x14ac:dyDescent="0.4">
      <c r="K865" s="38">
        <v>863</v>
      </c>
      <c r="L865" s="99">
        <v>2.2000000000000028</v>
      </c>
    </row>
    <row r="866" spans="11:12" x14ac:dyDescent="0.4">
      <c r="K866" s="38">
        <v>864</v>
      </c>
      <c r="L866" s="99">
        <v>-1.9999999999999973</v>
      </c>
    </row>
    <row r="867" spans="11:12" x14ac:dyDescent="0.4">
      <c r="K867" s="38">
        <v>865</v>
      </c>
      <c r="L867" s="99">
        <v>-34.5</v>
      </c>
    </row>
    <row r="868" spans="11:12" x14ac:dyDescent="0.4">
      <c r="K868" s="38">
        <v>866</v>
      </c>
      <c r="L868" s="99">
        <v>0.89999999999999858</v>
      </c>
    </row>
    <row r="869" spans="11:12" x14ac:dyDescent="0.4">
      <c r="K869" s="38">
        <v>867</v>
      </c>
      <c r="L869" s="99">
        <v>-2.0000000000000013</v>
      </c>
    </row>
    <row r="870" spans="11:12" x14ac:dyDescent="0.4">
      <c r="K870" s="38">
        <v>868</v>
      </c>
      <c r="L870" s="99">
        <v>-14.700000000000001</v>
      </c>
    </row>
    <row r="871" spans="11:12" x14ac:dyDescent="0.4">
      <c r="K871" s="38">
        <v>869</v>
      </c>
      <c r="L871" s="99">
        <v>40.799999999999997</v>
      </c>
    </row>
    <row r="872" spans="11:12" x14ac:dyDescent="0.4">
      <c r="K872" s="38">
        <v>870</v>
      </c>
      <c r="L872" s="99">
        <v>-2</v>
      </c>
    </row>
    <row r="873" spans="11:12" x14ac:dyDescent="0.4">
      <c r="K873" s="38">
        <v>871</v>
      </c>
      <c r="L873" s="99">
        <v>-45.1</v>
      </c>
    </row>
    <row r="874" spans="11:12" x14ac:dyDescent="0.4">
      <c r="K874" s="38">
        <v>872</v>
      </c>
      <c r="L874" s="99">
        <v>-11.800000000000004</v>
      </c>
    </row>
    <row r="875" spans="11:12" x14ac:dyDescent="0.4">
      <c r="K875" s="38">
        <v>873</v>
      </c>
      <c r="L875" s="99">
        <v>-2.0000000000000036</v>
      </c>
    </row>
    <row r="876" spans="11:12" x14ac:dyDescent="0.4">
      <c r="K876" s="38">
        <v>874</v>
      </c>
      <c r="L876" s="99">
        <v>24.499999999999996</v>
      </c>
    </row>
    <row r="877" spans="11:12" x14ac:dyDescent="0.4">
      <c r="K877" s="38">
        <v>875</v>
      </c>
      <c r="L877" s="99">
        <v>-2.3000000000000043</v>
      </c>
    </row>
    <row r="878" spans="11:12" x14ac:dyDescent="0.4">
      <c r="K878" s="38">
        <v>876</v>
      </c>
      <c r="L878" s="99">
        <v>-2.0000000000000044</v>
      </c>
    </row>
    <row r="879" spans="11:12" x14ac:dyDescent="0.4">
      <c r="K879" s="38">
        <v>877</v>
      </c>
      <c r="L879" s="99">
        <v>38.79999999999999</v>
      </c>
    </row>
    <row r="880" spans="11:12" x14ac:dyDescent="0.4">
      <c r="K880" s="38">
        <v>878</v>
      </c>
      <c r="L880" s="99">
        <v>32.099999999999987</v>
      </c>
    </row>
    <row r="881" spans="11:12" x14ac:dyDescent="0.4">
      <c r="K881" s="38">
        <v>879</v>
      </c>
      <c r="L881" s="99">
        <v>-2.0000000000000142</v>
      </c>
    </row>
    <row r="882" spans="11:12" x14ac:dyDescent="0.4">
      <c r="K882" s="38">
        <v>880</v>
      </c>
      <c r="L882" s="99">
        <v>-5.0000000000000142</v>
      </c>
    </row>
    <row r="883" spans="11:12" x14ac:dyDescent="0.4">
      <c r="K883" s="38">
        <v>881</v>
      </c>
      <c r="L883" s="99">
        <v>35.399999999999984</v>
      </c>
    </row>
    <row r="884" spans="11:12" x14ac:dyDescent="0.4">
      <c r="K884" s="38">
        <v>882</v>
      </c>
      <c r="L884" s="99">
        <v>-2.0000000000000142</v>
      </c>
    </row>
    <row r="885" spans="11:12" x14ac:dyDescent="0.4">
      <c r="K885" s="38">
        <v>883</v>
      </c>
      <c r="L885" s="99">
        <v>56.799999999999983</v>
      </c>
    </row>
    <row r="886" spans="11:12" x14ac:dyDescent="0.4">
      <c r="K886" s="38">
        <v>884</v>
      </c>
      <c r="L886" s="99">
        <v>-1.2000000000000171</v>
      </c>
    </row>
    <row r="887" spans="11:12" x14ac:dyDescent="0.4">
      <c r="K887" s="38">
        <v>885</v>
      </c>
      <c r="L887" s="99">
        <v>-2.0000000000000169</v>
      </c>
    </row>
    <row r="888" spans="11:12" x14ac:dyDescent="0.4">
      <c r="K888" s="38">
        <v>886</v>
      </c>
      <c r="L888" s="99">
        <v>6.5999999999999828</v>
      </c>
    </row>
    <row r="889" spans="11:12" x14ac:dyDescent="0.4">
      <c r="K889" s="38">
        <v>887</v>
      </c>
      <c r="L889" s="99">
        <v>54.09999999999998</v>
      </c>
    </row>
    <row r="890" spans="11:12" x14ac:dyDescent="0.4">
      <c r="K890" s="38">
        <v>888</v>
      </c>
      <c r="L890" s="99">
        <v>-2.0000000000000213</v>
      </c>
    </row>
    <row r="891" spans="11:12" x14ac:dyDescent="0.4">
      <c r="K891" s="38">
        <v>889</v>
      </c>
      <c r="L891" s="99">
        <v>-37.700000000000024</v>
      </c>
    </row>
    <row r="892" spans="11:12" x14ac:dyDescent="0.4">
      <c r="K892" s="38">
        <v>890</v>
      </c>
      <c r="L892" s="99">
        <v>-39.600000000000023</v>
      </c>
    </row>
    <row r="893" spans="11:12" x14ac:dyDescent="0.4">
      <c r="K893" s="38">
        <v>891</v>
      </c>
      <c r="L893" s="99">
        <v>-2.0000000000000213</v>
      </c>
    </row>
    <row r="894" spans="11:12" x14ac:dyDescent="0.4">
      <c r="K894" s="38">
        <v>892</v>
      </c>
      <c r="L894" s="99">
        <v>3.1999999999999789</v>
      </c>
    </row>
    <row r="895" spans="11:12" x14ac:dyDescent="0.4">
      <c r="K895" s="38">
        <v>893</v>
      </c>
      <c r="L895" s="99">
        <v>57.59999999999998</v>
      </c>
    </row>
    <row r="896" spans="11:12" x14ac:dyDescent="0.4">
      <c r="K896" s="38">
        <v>894</v>
      </c>
      <c r="L896" s="99">
        <v>-2.0000000000000213</v>
      </c>
    </row>
    <row r="897" spans="11:12" x14ac:dyDescent="0.4">
      <c r="K897" s="38">
        <v>895</v>
      </c>
      <c r="L897" s="99">
        <v>-38.600000000000023</v>
      </c>
    </row>
    <row r="898" spans="11:12" x14ac:dyDescent="0.4">
      <c r="K898" s="38">
        <v>896</v>
      </c>
      <c r="L898" s="99">
        <v>-2.8000000000000256</v>
      </c>
    </row>
    <row r="899" spans="11:12" x14ac:dyDescent="0.4">
      <c r="K899" s="38">
        <v>897</v>
      </c>
      <c r="L899" s="99">
        <v>-2.0000000000000258</v>
      </c>
    </row>
    <row r="900" spans="11:12" x14ac:dyDescent="0.4">
      <c r="K900" s="38">
        <v>898</v>
      </c>
      <c r="L900" s="99">
        <v>-31.400000000000023</v>
      </c>
    </row>
    <row r="901" spans="11:12" x14ac:dyDescent="0.4">
      <c r="K901" s="38">
        <v>899</v>
      </c>
      <c r="L901" s="99">
        <v>-39.600000000000023</v>
      </c>
    </row>
    <row r="902" spans="11:12" x14ac:dyDescent="0.4">
      <c r="K902" s="38">
        <v>900</v>
      </c>
      <c r="L902" s="99">
        <v>-2.0000000000000213</v>
      </c>
    </row>
    <row r="903" spans="11:12" x14ac:dyDescent="0.4">
      <c r="K903" s="38">
        <v>901</v>
      </c>
      <c r="L903" s="99">
        <v>-50.300000000000018</v>
      </c>
    </row>
    <row r="904" spans="11:12" x14ac:dyDescent="0.4">
      <c r="K904" s="38">
        <v>902</v>
      </c>
      <c r="L904" s="99">
        <v>-55.200000000000017</v>
      </c>
    </row>
    <row r="905" spans="11:12" x14ac:dyDescent="0.4">
      <c r="K905" s="38">
        <v>903</v>
      </c>
      <c r="L905" s="99">
        <v>-2.0000000000000142</v>
      </c>
    </row>
  </sheetData>
  <sortState ref="N15:Q27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F352A-81A8-45DE-9FA2-CE5D0FF621D7}">
  <sheetPr codeName="Sheet7"/>
  <dimension ref="A1:Q19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191</v>
      </c>
      <c r="C2" s="151"/>
      <c r="E2" s="62" t="s">
        <v>67</v>
      </c>
      <c r="F2" s="59" t="s">
        <v>23</v>
      </c>
      <c r="G2" s="46">
        <v>393</v>
      </c>
      <c r="H2" s="132">
        <f>IF(B$17=0,0,G2/B$17)</f>
        <v>0.73872180451127822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1451.8324607329844</v>
      </c>
      <c r="P2" s="118">
        <v>191</v>
      </c>
      <c r="Q2" s="102">
        <v>277300</v>
      </c>
    </row>
    <row r="3" spans="1:17" x14ac:dyDescent="0.4">
      <c r="A3" s="55" t="s">
        <v>8</v>
      </c>
      <c r="B3" s="152">
        <v>1564</v>
      </c>
      <c r="C3" s="153"/>
      <c r="E3" s="63" t="s">
        <v>73</v>
      </c>
      <c r="F3" s="60" t="s">
        <v>28</v>
      </c>
      <c r="G3" s="47">
        <v>298</v>
      </c>
      <c r="H3" s="133">
        <f>IF(B$17=0,0,G3/B$17)</f>
        <v>0.56015037593984962</v>
      </c>
      <c r="I3" s="94">
        <v>6</v>
      </c>
      <c r="K3" s="38">
        <v>1</v>
      </c>
      <c r="L3" s="99">
        <v>-5.0999999999999996</v>
      </c>
      <c r="N3" s="115" t="s">
        <v>133</v>
      </c>
      <c r="O3" s="122">
        <f t="shared" si="0"/>
        <v>2115.5913978494623</v>
      </c>
      <c r="P3" s="119">
        <v>186</v>
      </c>
      <c r="Q3" s="103">
        <v>393500</v>
      </c>
    </row>
    <row r="4" spans="1:17" x14ac:dyDescent="0.4">
      <c r="A4" s="55" t="s">
        <v>6</v>
      </c>
      <c r="B4" s="154">
        <v>2388.1</v>
      </c>
      <c r="C4" s="155"/>
      <c r="E4" s="63" t="s">
        <v>65</v>
      </c>
      <c r="F4" s="60" t="s">
        <v>21</v>
      </c>
      <c r="G4" s="47">
        <v>253</v>
      </c>
      <c r="H4" s="133">
        <f>IF(B$17=0,0,G4/B$17)</f>
        <v>0.47556390977443608</v>
      </c>
      <c r="I4" s="94">
        <v>10</v>
      </c>
      <c r="K4" s="38">
        <v>2</v>
      </c>
      <c r="L4" s="99">
        <v>-2.8999999999999995</v>
      </c>
      <c r="N4" s="115" t="s">
        <v>134</v>
      </c>
      <c r="O4" s="122">
        <f t="shared" si="0"/>
        <v>1019.8863636363636</v>
      </c>
      <c r="P4" s="119">
        <v>176</v>
      </c>
      <c r="Q4" s="103">
        <v>179500</v>
      </c>
    </row>
    <row r="5" spans="1:17" x14ac:dyDescent="0.4">
      <c r="A5" s="55" t="s">
        <v>7</v>
      </c>
      <c r="B5" s="156">
        <f>IF(B$2=0,0,B$4/B$2)</f>
        <v>12.503141361256544</v>
      </c>
      <c r="C5" s="157"/>
      <c r="E5" s="63" t="s">
        <v>245</v>
      </c>
      <c r="F5" s="60" t="s">
        <v>246</v>
      </c>
      <c r="G5" s="47">
        <v>217</v>
      </c>
      <c r="H5" s="133">
        <f>IF(B$17=0,0,G5/B$17)</f>
        <v>0.40789473684210525</v>
      </c>
      <c r="I5" s="94">
        <v>6</v>
      </c>
      <c r="K5" s="38">
        <v>3</v>
      </c>
      <c r="L5" s="99">
        <v>70.399999999999991</v>
      </c>
      <c r="N5" s="115" t="s">
        <v>135</v>
      </c>
      <c r="O5" s="122">
        <f t="shared" si="0"/>
        <v>2176.687116564417</v>
      </c>
      <c r="P5" s="119">
        <v>163</v>
      </c>
      <c r="Q5" s="103">
        <v>354800</v>
      </c>
    </row>
    <row r="6" spans="1:17" x14ac:dyDescent="0.4">
      <c r="A6" s="55" t="s">
        <v>1</v>
      </c>
      <c r="B6" s="146">
        <f>IF(B$2=0,0,(B$7*1+B$8*2+B$9*3)/B$2)</f>
        <v>1.7591623036649215</v>
      </c>
      <c r="C6" s="147"/>
      <c r="E6" s="63" t="s">
        <v>68</v>
      </c>
      <c r="F6" s="60" t="s">
        <v>24</v>
      </c>
      <c r="G6" s="47">
        <v>162</v>
      </c>
      <c r="H6" s="133">
        <f>IF(B$17=0,0,G6/B$17)</f>
        <v>0.30451127819548873</v>
      </c>
      <c r="I6" s="94">
        <v>6</v>
      </c>
      <c r="K6" s="38">
        <v>4</v>
      </c>
      <c r="L6" s="99">
        <v>110.5</v>
      </c>
      <c r="N6" s="115" t="s">
        <v>136</v>
      </c>
      <c r="O6" s="122">
        <f t="shared" si="0"/>
        <v>814.48275862068965</v>
      </c>
      <c r="P6" s="119">
        <v>145</v>
      </c>
      <c r="Q6" s="103">
        <v>118100</v>
      </c>
    </row>
    <row r="7" spans="1:17" x14ac:dyDescent="0.4">
      <c r="A7" s="55" t="s">
        <v>2</v>
      </c>
      <c r="B7" s="47">
        <v>92</v>
      </c>
      <c r="C7" s="39">
        <f>IF(B$2=0,0,B7/B$2)</f>
        <v>0.48167539267015708</v>
      </c>
      <c r="E7" s="63" t="s">
        <v>69</v>
      </c>
      <c r="F7" s="60" t="s">
        <v>12</v>
      </c>
      <c r="G7" s="47">
        <v>144</v>
      </c>
      <c r="H7" s="133">
        <f>IF(B$17=0,0,G7/B$17)</f>
        <v>0.27067669172932329</v>
      </c>
      <c r="I7" s="94">
        <v>12</v>
      </c>
      <c r="K7" s="38">
        <v>5</v>
      </c>
      <c r="L7" s="99">
        <v>201.4</v>
      </c>
      <c r="N7" s="116" t="s">
        <v>137</v>
      </c>
      <c r="O7" s="123">
        <f t="shared" si="0"/>
        <v>1156.3492063492063</v>
      </c>
      <c r="P7" s="120">
        <v>126</v>
      </c>
      <c r="Q7" s="104">
        <v>145700</v>
      </c>
    </row>
    <row r="8" spans="1:17" x14ac:dyDescent="0.4">
      <c r="A8" s="55" t="s">
        <v>3</v>
      </c>
      <c r="B8" s="47">
        <v>53</v>
      </c>
      <c r="C8" s="39">
        <f>IF(B$2=0,0,B8/B$2)</f>
        <v>0.27748691099476441</v>
      </c>
      <c r="E8" s="63" t="s">
        <v>90</v>
      </c>
      <c r="F8" s="60" t="s">
        <v>45</v>
      </c>
      <c r="G8" s="47">
        <v>87</v>
      </c>
      <c r="H8" s="133">
        <f>IF(B$17=0,0,G8/B$17)</f>
        <v>0.16353383458646617</v>
      </c>
      <c r="I8" s="94">
        <v>4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46</v>
      </c>
      <c r="C9" s="40">
        <f t="shared" ref="C9" si="1">IF(B$2=0,0,B9/B$2)</f>
        <v>0.24083769633507854</v>
      </c>
      <c r="E9" s="63" t="s">
        <v>70</v>
      </c>
      <c r="F9" s="60" t="s">
        <v>25</v>
      </c>
      <c r="G9" s="47">
        <v>85</v>
      </c>
      <c r="H9" s="133">
        <f>IF(B$17=0,0,G9/B$17)</f>
        <v>0.15977443609022557</v>
      </c>
      <c r="I9" s="94">
        <v>10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17</v>
      </c>
      <c r="C10" s="40">
        <f>IF(B$2=0,0,B10/B$2)</f>
        <v>8.9005235602094238E-2</v>
      </c>
      <c r="E10" s="63" t="s">
        <v>66</v>
      </c>
      <c r="F10" s="60" t="s">
        <v>22</v>
      </c>
      <c r="G10" s="47">
        <v>65</v>
      </c>
      <c r="H10" s="133">
        <f>IF(B$17=0,0,G10/B$17)</f>
        <v>0.12218045112781954</v>
      </c>
      <c r="I10" s="94">
        <v>3</v>
      </c>
      <c r="K10" s="38">
        <v>8</v>
      </c>
      <c r="L10" s="99">
        <v>285.20000000000005</v>
      </c>
      <c r="N10" s="114" t="s">
        <v>164</v>
      </c>
      <c r="O10" s="124">
        <f>IF(P10=0,0,Q10/P10)</f>
        <v>15.200000000000003</v>
      </c>
      <c r="P10" s="118">
        <v>58</v>
      </c>
      <c r="Q10" s="106">
        <v>881.60000000000014</v>
      </c>
    </row>
    <row r="11" spans="1:17" x14ac:dyDescent="0.4">
      <c r="A11" s="56" t="s">
        <v>140</v>
      </c>
      <c r="B11" s="48">
        <v>33</v>
      </c>
      <c r="C11" s="40">
        <f>IF(B$2=0,0,B11/B$2)</f>
        <v>0.17277486910994763</v>
      </c>
      <c r="E11" s="63" t="s">
        <v>71</v>
      </c>
      <c r="F11" s="60" t="s">
        <v>26</v>
      </c>
      <c r="G11" s="47">
        <v>45</v>
      </c>
      <c r="H11" s="133">
        <f>IF(B$17=0,0,G11/B$17)</f>
        <v>8.4586466165413529E-2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12.055737704918032</v>
      </c>
      <c r="P11" s="119">
        <v>61</v>
      </c>
      <c r="Q11" s="107">
        <v>735.4</v>
      </c>
    </row>
    <row r="12" spans="1:17" x14ac:dyDescent="0.4">
      <c r="A12" s="57" t="s">
        <v>160</v>
      </c>
      <c r="B12" s="49">
        <v>27</v>
      </c>
      <c r="C12" s="42">
        <f>IF(B$2=0,0,B12/B$2)</f>
        <v>0.14136125654450263</v>
      </c>
      <c r="E12" s="63" t="s">
        <v>87</v>
      </c>
      <c r="F12" s="60" t="s">
        <v>42</v>
      </c>
      <c r="G12" s="47">
        <v>37</v>
      </c>
      <c r="H12" s="133">
        <f>IF(B$17=0,0,G12/B$17)</f>
        <v>6.9548872180451124E-2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10.709722222222227</v>
      </c>
      <c r="P12" s="120">
        <v>72</v>
      </c>
      <c r="Q12" s="108">
        <v>771.10000000000036</v>
      </c>
    </row>
    <row r="13" spans="1:17" x14ac:dyDescent="0.4">
      <c r="A13" s="58" t="s">
        <v>122</v>
      </c>
      <c r="B13" s="50">
        <v>481</v>
      </c>
      <c r="C13" s="44">
        <f>IF(B$3=0,0,B13/B$3)</f>
        <v>0.30754475703324807</v>
      </c>
      <c r="E13" s="63" t="s">
        <v>72</v>
      </c>
      <c r="F13" s="60" t="s">
        <v>27</v>
      </c>
      <c r="G13" s="47">
        <v>35</v>
      </c>
      <c r="H13" s="133">
        <f>IF(B$17=0,0,G13/B$17)</f>
        <v>6.5789473684210523E-2</v>
      </c>
      <c r="I13" s="94">
        <v>7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334</v>
      </c>
      <c r="C14" s="39">
        <f>IF(B$3=0,0,B14/B$3)</f>
        <v>0.21355498721227623</v>
      </c>
      <c r="E14" s="63" t="s">
        <v>84</v>
      </c>
      <c r="F14" s="60" t="s">
        <v>39</v>
      </c>
      <c r="G14" s="47">
        <v>27</v>
      </c>
      <c r="H14" s="133">
        <f>IF(B$17=0,0,G14/B$17)</f>
        <v>5.0751879699248117E-2</v>
      </c>
      <c r="I14" s="94">
        <v>5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278</v>
      </c>
      <c r="C15" s="37">
        <f>IF(B$13=0,0,B15/B$13)</f>
        <v>0.57796257796257799</v>
      </c>
      <c r="E15" s="63" t="s">
        <v>180</v>
      </c>
      <c r="F15" s="60" t="s">
        <v>181</v>
      </c>
      <c r="G15" s="47">
        <v>21</v>
      </c>
      <c r="H15" s="133">
        <f>IF(B$17=0,0,G15/B$17)</f>
        <v>3.9473684210526314E-2</v>
      </c>
      <c r="I15" s="94">
        <v>2</v>
      </c>
      <c r="K15" s="38">
        <v>13</v>
      </c>
      <c r="L15" s="99">
        <v>418.90000000000003</v>
      </c>
      <c r="N15" s="114" t="s">
        <v>183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174</v>
      </c>
      <c r="C16" s="37">
        <f>IF(B$14=0,0,B16/B$14)</f>
        <v>0.52095808383233533</v>
      </c>
      <c r="E16" s="63" t="s">
        <v>79</v>
      </c>
      <c r="F16" s="60" t="s">
        <v>34</v>
      </c>
      <c r="G16" s="47">
        <v>13</v>
      </c>
      <c r="H16" s="133">
        <f>IF(B$17=0,0,G16/B$17)</f>
        <v>2.4436090225563908E-2</v>
      </c>
      <c r="I16" s="94">
        <v>8</v>
      </c>
      <c r="K16" s="38">
        <v>14</v>
      </c>
      <c r="L16" s="99">
        <v>473.50000000000006</v>
      </c>
      <c r="N16" s="115" t="s">
        <v>222</v>
      </c>
      <c r="O16" s="125">
        <f>IF(P16=0,0,Q16/P16)</f>
        <v>29.599999999999998</v>
      </c>
      <c r="P16" s="119">
        <v>1</v>
      </c>
      <c r="Q16" s="107">
        <v>29.599999999999998</v>
      </c>
    </row>
    <row r="17" spans="1:17" x14ac:dyDescent="0.4">
      <c r="A17" s="54" t="s">
        <v>10</v>
      </c>
      <c r="B17" s="46">
        <f>B19+B18</f>
        <v>532</v>
      </c>
      <c r="C17" s="37">
        <f>IF(B$3=0,0,B17/B$3)</f>
        <v>0.34015345268542202</v>
      </c>
      <c r="E17" s="63" t="s">
        <v>82</v>
      </c>
      <c r="F17" s="60" t="s">
        <v>37</v>
      </c>
      <c r="G17" s="47">
        <v>12</v>
      </c>
      <c r="H17" s="133">
        <f>IF(B$17=0,0,G17/B$17)</f>
        <v>2.2556390977443608E-2</v>
      </c>
      <c r="I17" s="94">
        <v>8</v>
      </c>
      <c r="K17" s="38">
        <v>15</v>
      </c>
      <c r="L17" s="99">
        <v>481.50000000000006</v>
      </c>
      <c r="N17" s="115" t="s">
        <v>184</v>
      </c>
      <c r="O17" s="125">
        <f>IF(P17=0,0,Q17/P17)</f>
        <v>28.978571428571428</v>
      </c>
      <c r="P17" s="119">
        <v>14</v>
      </c>
      <c r="Q17" s="107">
        <v>405.7</v>
      </c>
    </row>
    <row r="18" spans="1:17" x14ac:dyDescent="0.4">
      <c r="A18" s="55" t="s">
        <v>12</v>
      </c>
      <c r="B18" s="47">
        <v>222</v>
      </c>
      <c r="C18" s="39">
        <f>IF(B$17=0,0,B18/B$17)</f>
        <v>0.41729323308270677</v>
      </c>
      <c r="E18" s="63" t="s">
        <v>92</v>
      </c>
      <c r="F18" s="60" t="s">
        <v>47</v>
      </c>
      <c r="G18" s="47">
        <v>12</v>
      </c>
      <c r="H18" s="133">
        <f>IF(B$17=0,0,G18/B$17)</f>
        <v>2.2556390977443608E-2</v>
      </c>
      <c r="I18" s="94">
        <v>4</v>
      </c>
      <c r="K18" s="38">
        <v>16</v>
      </c>
      <c r="L18" s="99">
        <v>425.50000000000006</v>
      </c>
      <c r="N18" s="115" t="s">
        <v>172</v>
      </c>
      <c r="O18" s="125">
        <f>IF(P18=0,0,Q18/P18)</f>
        <v>26.555999999999994</v>
      </c>
      <c r="P18" s="119">
        <v>50</v>
      </c>
      <c r="Q18" s="107">
        <v>1327.7999999999997</v>
      </c>
    </row>
    <row r="19" spans="1:17" x14ac:dyDescent="0.4">
      <c r="A19" s="55" t="s">
        <v>11</v>
      </c>
      <c r="B19" s="47">
        <v>310</v>
      </c>
      <c r="C19" s="39">
        <f>IF(B$17=0,0,B19/B$17)</f>
        <v>0.58270676691729328</v>
      </c>
      <c r="E19" s="63" t="s">
        <v>80</v>
      </c>
      <c r="F19" s="60" t="s">
        <v>35</v>
      </c>
      <c r="G19" s="47">
        <v>8</v>
      </c>
      <c r="H19" s="133">
        <f>IF(B$17=0,0,G19/B$17)</f>
        <v>1.5037593984962405E-2</v>
      </c>
      <c r="I19" s="94">
        <v>8</v>
      </c>
      <c r="K19" s="38">
        <v>17</v>
      </c>
      <c r="L19" s="99">
        <v>427.40000000000003</v>
      </c>
      <c r="N19" s="115" t="s">
        <v>129</v>
      </c>
      <c r="O19" s="125">
        <f>IF(P19=0,0,Q19/P19)</f>
        <v>25.352325581395352</v>
      </c>
      <c r="P19" s="119">
        <v>86</v>
      </c>
      <c r="Q19" s="107">
        <v>2180.3000000000002</v>
      </c>
    </row>
    <row r="20" spans="1:17" x14ac:dyDescent="0.4">
      <c r="A20" s="55" t="s">
        <v>13</v>
      </c>
      <c r="B20" s="47">
        <v>235</v>
      </c>
      <c r="C20" s="39">
        <f>IF(B$3=0,0,B20/B$3)</f>
        <v>0.15025575447570333</v>
      </c>
      <c r="E20" s="63" t="s">
        <v>86</v>
      </c>
      <c r="F20" s="60" t="s">
        <v>41</v>
      </c>
      <c r="G20" s="47">
        <v>6</v>
      </c>
      <c r="H20" s="133">
        <f>IF(B$17=0,0,G20/B$17)</f>
        <v>1.1278195488721804E-2</v>
      </c>
      <c r="I20" s="94">
        <v>2</v>
      </c>
      <c r="K20" s="38">
        <v>18</v>
      </c>
      <c r="L20" s="99">
        <v>429.3</v>
      </c>
      <c r="N20" s="115" t="s">
        <v>177</v>
      </c>
      <c r="O20" s="125">
        <f>IF(P20=0,0,Q20/P20)</f>
        <v>19.146153846153855</v>
      </c>
      <c r="P20" s="119">
        <v>39</v>
      </c>
      <c r="Q20" s="107">
        <v>746.70000000000027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78</v>
      </c>
      <c r="F21" s="60" t="s">
        <v>33</v>
      </c>
      <c r="G21" s="47">
        <v>4</v>
      </c>
      <c r="H21" s="133">
        <f>IF(B$17=0,0,G21/B$17)</f>
        <v>7.5187969924812026E-3</v>
      </c>
      <c r="I21" s="94">
        <v>6</v>
      </c>
      <c r="K21" s="38">
        <v>19</v>
      </c>
      <c r="L21" s="99">
        <v>405.40000000000003</v>
      </c>
      <c r="N21" s="115" t="s">
        <v>128</v>
      </c>
      <c r="O21" s="125">
        <f>IF(P21=0,0,Q21/P21)</f>
        <v>18.133944954128438</v>
      </c>
      <c r="P21" s="119">
        <v>109</v>
      </c>
      <c r="Q21" s="107">
        <v>1976.6</v>
      </c>
    </row>
    <row r="22" spans="1:17" x14ac:dyDescent="0.4">
      <c r="A22" s="55" t="s">
        <v>192</v>
      </c>
      <c r="B22" s="47">
        <v>39</v>
      </c>
      <c r="C22" s="135">
        <v>0</v>
      </c>
      <c r="E22" s="63" t="s">
        <v>74</v>
      </c>
      <c r="F22" s="60" t="s">
        <v>29</v>
      </c>
      <c r="G22" s="47">
        <v>3</v>
      </c>
      <c r="H22" s="133">
        <f>IF(B$17=0,0,G22/B$17)</f>
        <v>5.6390977443609019E-3</v>
      </c>
      <c r="I22" s="94">
        <v>6</v>
      </c>
      <c r="K22" s="38">
        <v>20</v>
      </c>
      <c r="L22" s="99">
        <v>469.6</v>
      </c>
      <c r="N22" s="115" t="s">
        <v>173</v>
      </c>
      <c r="O22" s="125">
        <f>IF(P22=0,0,Q22/P22)</f>
        <v>16.769565217391303</v>
      </c>
      <c r="P22" s="119">
        <v>23</v>
      </c>
      <c r="Q22" s="107">
        <v>385.7</v>
      </c>
    </row>
    <row r="23" spans="1:17" x14ac:dyDescent="0.4">
      <c r="A23" s="55" t="s">
        <v>5</v>
      </c>
      <c r="B23" s="51">
        <f>IF(B$17=0,0,C23/B$17)</f>
        <v>9217.8571428571431</v>
      </c>
      <c r="C23" s="41">
        <v>4903900</v>
      </c>
      <c r="E23" s="63" t="s">
        <v>91</v>
      </c>
      <c r="F23" s="60" t="s">
        <v>46</v>
      </c>
      <c r="G23" s="47">
        <v>3</v>
      </c>
      <c r="H23" s="133">
        <f>IF(B$17=0,0,G23/B$17)</f>
        <v>5.6390977443609019E-3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>IF(P23=0,0,Q23/P23)</f>
        <v>2.9685185185185161</v>
      </c>
      <c r="P23" s="119">
        <v>54</v>
      </c>
      <c r="Q23" s="107">
        <v>160.29999999999987</v>
      </c>
    </row>
    <row r="24" spans="1:17" x14ac:dyDescent="0.4">
      <c r="A24" s="57" t="s">
        <v>14</v>
      </c>
      <c r="B24" s="52">
        <f>IF(B$20=0,0,C24/B$20)</f>
        <v>-8150.6382978723404</v>
      </c>
      <c r="C24" s="45">
        <v>-1915400</v>
      </c>
      <c r="E24" s="63" t="s">
        <v>93</v>
      </c>
      <c r="F24" s="60" t="s">
        <v>48</v>
      </c>
      <c r="G24" s="47">
        <v>3</v>
      </c>
      <c r="H24" s="133">
        <f>IF(B$17=0,0,G24/B$17)</f>
        <v>5.6390977443609019E-3</v>
      </c>
      <c r="I24" s="94">
        <v>2</v>
      </c>
      <c r="K24" s="38">
        <v>22</v>
      </c>
      <c r="L24" s="99">
        <v>519.20000000000005</v>
      </c>
      <c r="N24" s="115" t="s">
        <v>200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4">
        <v>8</v>
      </c>
      <c r="C25" s="145"/>
      <c r="E25" s="63" t="s">
        <v>89</v>
      </c>
      <c r="F25" s="60" t="s">
        <v>44</v>
      </c>
      <c r="G25" s="47">
        <v>2</v>
      </c>
      <c r="H25" s="133">
        <f>IF(B$17=0,0,G25/B$17)</f>
        <v>3.7593984962406013E-3</v>
      </c>
      <c r="I25" s="94">
        <v>1</v>
      </c>
      <c r="K25" s="38">
        <v>23</v>
      </c>
      <c r="L25" s="99">
        <v>555.90000000000009</v>
      </c>
      <c r="N25" s="115" t="s">
        <v>223</v>
      </c>
      <c r="O25" s="125">
        <f>IF(P25=0,0,Q25/P25)</f>
        <v>-29.566666666666659</v>
      </c>
      <c r="P25" s="119">
        <v>3</v>
      </c>
      <c r="Q25" s="107">
        <v>-88.699999999999974</v>
      </c>
    </row>
    <row r="26" spans="1:17" x14ac:dyDescent="0.4">
      <c r="A26" s="58" t="s">
        <v>152</v>
      </c>
      <c r="B26" s="142">
        <v>116000</v>
      </c>
      <c r="C26" s="143"/>
      <c r="E26" s="63" t="s">
        <v>94</v>
      </c>
      <c r="F26" s="60" t="s">
        <v>49</v>
      </c>
      <c r="G26" s="47">
        <v>2</v>
      </c>
      <c r="H26" s="133">
        <f>IF(B$17=0,0,G26/B$17)</f>
        <v>3.7593984962406013E-3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6.3938618925831207E-4</v>
      </c>
      <c r="E27" s="63" t="s">
        <v>76</v>
      </c>
      <c r="F27" s="60" t="s">
        <v>31</v>
      </c>
      <c r="G27" s="47">
        <v>1</v>
      </c>
      <c r="H27" s="133">
        <f>IF(B$17=0,0,G27/B$17)</f>
        <v>1.8796992481203006E-3</v>
      </c>
      <c r="I27" s="94">
        <v>8</v>
      </c>
      <c r="K27" s="38">
        <v>25</v>
      </c>
      <c r="L27" s="99">
        <v>655.20000000000005</v>
      </c>
    </row>
    <row r="28" spans="1:17" x14ac:dyDescent="0.4">
      <c r="E28" s="63" t="s">
        <v>85</v>
      </c>
      <c r="F28" s="60" t="s">
        <v>40</v>
      </c>
      <c r="G28" s="47">
        <v>1</v>
      </c>
      <c r="H28" s="133">
        <f>IF(B$17=0,0,G28/B$17)</f>
        <v>1.8796992481203006E-3</v>
      </c>
      <c r="I28" s="94">
        <v>5</v>
      </c>
      <c r="K28" s="38">
        <v>26</v>
      </c>
      <c r="L28" s="99">
        <v>625.40000000000009</v>
      </c>
    </row>
    <row r="29" spans="1:17" x14ac:dyDescent="0.4">
      <c r="E29" s="63" t="s">
        <v>88</v>
      </c>
      <c r="F29" s="60" t="s">
        <v>43</v>
      </c>
      <c r="G29" s="47">
        <v>1</v>
      </c>
      <c r="H29" s="133">
        <f>IF(B$17=0,0,G29/B$17)</f>
        <v>1.8796992481203006E-3</v>
      </c>
      <c r="I29" s="94">
        <v>6</v>
      </c>
      <c r="K29" s="38">
        <v>27</v>
      </c>
      <c r="L29" s="99">
        <v>596.30000000000007</v>
      </c>
    </row>
    <row r="30" spans="1:17" x14ac:dyDescent="0.4">
      <c r="E30" s="63" t="s">
        <v>96</v>
      </c>
      <c r="F30" s="60" t="s">
        <v>51</v>
      </c>
      <c r="G30" s="47">
        <v>1</v>
      </c>
      <c r="H30" s="133">
        <f>IF(B$17=0,0,G30/B$17)</f>
        <v>1.8796992481203006E-3</v>
      </c>
      <c r="I30" s="94">
        <v>2</v>
      </c>
      <c r="K30" s="38">
        <v>28</v>
      </c>
      <c r="L30" s="99">
        <v>655.6</v>
      </c>
    </row>
    <row r="31" spans="1:17" x14ac:dyDescent="0.4">
      <c r="E31" s="63" t="s">
        <v>75</v>
      </c>
      <c r="F31" s="60" t="s">
        <v>30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703.1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796.80000000000007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1289.8999999999999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  <row r="137" spans="11:12" x14ac:dyDescent="0.4">
      <c r="K137" s="38">
        <v>135</v>
      </c>
      <c r="L137" s="99">
        <v>1609.6000000000008</v>
      </c>
    </row>
    <row r="138" spans="11:12" x14ac:dyDescent="0.4">
      <c r="K138" s="38">
        <v>136</v>
      </c>
      <c r="L138" s="99">
        <v>1638.4000000000008</v>
      </c>
    </row>
    <row r="139" spans="11:12" x14ac:dyDescent="0.4">
      <c r="K139" s="38">
        <v>137</v>
      </c>
      <c r="L139" s="99">
        <v>1631.8000000000009</v>
      </c>
    </row>
    <row r="140" spans="11:12" x14ac:dyDescent="0.4">
      <c r="K140" s="38">
        <v>138</v>
      </c>
      <c r="L140" s="99">
        <v>1633.8000000000009</v>
      </c>
    </row>
    <row r="141" spans="11:12" x14ac:dyDescent="0.4">
      <c r="K141" s="38">
        <v>139</v>
      </c>
      <c r="L141" s="99">
        <v>1701.6000000000008</v>
      </c>
    </row>
    <row r="142" spans="11:12" x14ac:dyDescent="0.4">
      <c r="K142" s="38">
        <v>140</v>
      </c>
      <c r="L142" s="99">
        <v>1700.4000000000008</v>
      </c>
    </row>
    <row r="143" spans="11:12" x14ac:dyDescent="0.4">
      <c r="K143" s="38">
        <v>141</v>
      </c>
      <c r="L143" s="99">
        <v>1724.1000000000008</v>
      </c>
    </row>
    <row r="144" spans="11:12" x14ac:dyDescent="0.4">
      <c r="K144" s="38">
        <v>142</v>
      </c>
      <c r="L144" s="99">
        <v>1751.8000000000009</v>
      </c>
    </row>
    <row r="145" spans="11:12" x14ac:dyDescent="0.4">
      <c r="K145" s="38">
        <v>143</v>
      </c>
      <c r="L145" s="99">
        <v>1797.1000000000008</v>
      </c>
    </row>
    <row r="146" spans="11:12" x14ac:dyDescent="0.4">
      <c r="K146" s="38">
        <v>144</v>
      </c>
      <c r="L146" s="99">
        <v>1806.1000000000008</v>
      </c>
    </row>
    <row r="147" spans="11:12" x14ac:dyDescent="0.4">
      <c r="K147" s="38">
        <v>145</v>
      </c>
      <c r="L147" s="99">
        <v>1774.3000000000009</v>
      </c>
    </row>
    <row r="148" spans="11:12" x14ac:dyDescent="0.4">
      <c r="K148" s="38">
        <v>146</v>
      </c>
      <c r="L148" s="99">
        <v>1767.0000000000009</v>
      </c>
    </row>
    <row r="149" spans="11:12" x14ac:dyDescent="0.4">
      <c r="K149" s="38">
        <v>147</v>
      </c>
      <c r="L149" s="99">
        <v>1763.5000000000009</v>
      </c>
    </row>
    <row r="150" spans="11:12" x14ac:dyDescent="0.4">
      <c r="K150" s="38">
        <v>148</v>
      </c>
      <c r="L150" s="99">
        <v>1727.1000000000008</v>
      </c>
    </row>
    <row r="151" spans="11:12" x14ac:dyDescent="0.4">
      <c r="K151" s="38">
        <v>149</v>
      </c>
      <c r="L151" s="99">
        <v>1744.7000000000007</v>
      </c>
    </row>
    <row r="152" spans="11:12" x14ac:dyDescent="0.4">
      <c r="K152" s="38">
        <v>150</v>
      </c>
      <c r="L152" s="99">
        <v>1788.5000000000007</v>
      </c>
    </row>
    <row r="153" spans="11:12" x14ac:dyDescent="0.4">
      <c r="K153" s="38">
        <v>151</v>
      </c>
      <c r="L153" s="99">
        <v>1847.5000000000007</v>
      </c>
    </row>
    <row r="154" spans="11:12" x14ac:dyDescent="0.4">
      <c r="K154" s="38">
        <v>152</v>
      </c>
      <c r="L154" s="99">
        <v>1812.8000000000006</v>
      </c>
    </row>
    <row r="155" spans="11:12" x14ac:dyDescent="0.4">
      <c r="K155" s="38">
        <v>153</v>
      </c>
      <c r="L155" s="99">
        <v>1805.4000000000005</v>
      </c>
    </row>
    <row r="156" spans="11:12" x14ac:dyDescent="0.4">
      <c r="K156" s="38">
        <v>154</v>
      </c>
      <c r="L156" s="99">
        <v>1855.1000000000006</v>
      </c>
    </row>
    <row r="157" spans="11:12" x14ac:dyDescent="0.4">
      <c r="K157" s="38">
        <v>155</v>
      </c>
      <c r="L157" s="99">
        <v>1940.5000000000007</v>
      </c>
    </row>
    <row r="158" spans="11:12" x14ac:dyDescent="0.4">
      <c r="K158" s="38">
        <v>156</v>
      </c>
      <c r="L158" s="99">
        <v>2009.8000000000006</v>
      </c>
    </row>
    <row r="159" spans="11:12" x14ac:dyDescent="0.4">
      <c r="K159" s="38">
        <v>157</v>
      </c>
      <c r="L159" s="99">
        <v>2024.8000000000006</v>
      </c>
    </row>
    <row r="160" spans="11:12" x14ac:dyDescent="0.4">
      <c r="K160" s="38">
        <v>158</v>
      </c>
      <c r="L160" s="99">
        <v>1973.9000000000005</v>
      </c>
    </row>
    <row r="161" spans="11:12" x14ac:dyDescent="0.4">
      <c r="K161" s="38">
        <v>159</v>
      </c>
      <c r="L161" s="99">
        <v>1932.7000000000005</v>
      </c>
    </row>
    <row r="162" spans="11:12" x14ac:dyDescent="0.4">
      <c r="K162" s="38">
        <v>160</v>
      </c>
      <c r="L162" s="99">
        <v>1899.8000000000004</v>
      </c>
    </row>
    <row r="163" spans="11:12" x14ac:dyDescent="0.4">
      <c r="K163" s="38">
        <v>161</v>
      </c>
      <c r="L163" s="99">
        <v>1913.3000000000004</v>
      </c>
    </row>
    <row r="164" spans="11:12" x14ac:dyDescent="0.4">
      <c r="K164" s="38">
        <v>162</v>
      </c>
      <c r="L164" s="99">
        <v>1955.5000000000005</v>
      </c>
    </row>
    <row r="165" spans="11:12" x14ac:dyDescent="0.4">
      <c r="K165" s="38">
        <v>163</v>
      </c>
      <c r="L165" s="99">
        <v>1950.5000000000005</v>
      </c>
    </row>
    <row r="166" spans="11:12" x14ac:dyDescent="0.4">
      <c r="K166" s="38">
        <v>164</v>
      </c>
      <c r="L166" s="99">
        <v>1985.5000000000005</v>
      </c>
    </row>
    <row r="167" spans="11:12" x14ac:dyDescent="0.4">
      <c r="K167" s="38">
        <v>165</v>
      </c>
      <c r="L167" s="99">
        <v>1995.0000000000005</v>
      </c>
    </row>
    <row r="168" spans="11:12" x14ac:dyDescent="0.4">
      <c r="K168" s="38">
        <v>166</v>
      </c>
      <c r="L168" s="99">
        <v>1939.7000000000005</v>
      </c>
    </row>
    <row r="169" spans="11:12" x14ac:dyDescent="0.4">
      <c r="K169" s="38">
        <v>167</v>
      </c>
      <c r="L169" s="99">
        <v>1970.7000000000005</v>
      </c>
    </row>
    <row r="170" spans="11:12" x14ac:dyDescent="0.4">
      <c r="K170" s="38">
        <v>168</v>
      </c>
      <c r="L170" s="99">
        <v>1935.4000000000005</v>
      </c>
    </row>
    <row r="171" spans="11:12" x14ac:dyDescent="0.4">
      <c r="K171" s="38">
        <v>169</v>
      </c>
      <c r="L171" s="99">
        <v>1974.5000000000005</v>
      </c>
    </row>
    <row r="172" spans="11:12" x14ac:dyDescent="0.4">
      <c r="K172" s="38">
        <v>170</v>
      </c>
      <c r="L172" s="99">
        <v>2029.1000000000004</v>
      </c>
    </row>
    <row r="173" spans="11:12" x14ac:dyDescent="0.4">
      <c r="K173" s="38">
        <v>171</v>
      </c>
      <c r="L173" s="99">
        <v>2029.0000000000005</v>
      </c>
    </row>
    <row r="174" spans="11:12" x14ac:dyDescent="0.4">
      <c r="K174" s="38">
        <v>172</v>
      </c>
      <c r="L174" s="99">
        <v>2041.9000000000005</v>
      </c>
    </row>
    <row r="175" spans="11:12" x14ac:dyDescent="0.4">
      <c r="K175" s="38">
        <v>173</v>
      </c>
      <c r="L175" s="99">
        <v>2064.5000000000005</v>
      </c>
    </row>
    <row r="176" spans="11:12" x14ac:dyDescent="0.4">
      <c r="K176" s="38">
        <v>174</v>
      </c>
      <c r="L176" s="99">
        <v>2119.1000000000004</v>
      </c>
    </row>
    <row r="177" spans="11:12" x14ac:dyDescent="0.4">
      <c r="K177" s="38">
        <v>175</v>
      </c>
      <c r="L177" s="99">
        <v>2085.3000000000002</v>
      </c>
    </row>
    <row r="178" spans="11:12" x14ac:dyDescent="0.4">
      <c r="K178" s="38">
        <v>176</v>
      </c>
      <c r="L178" s="99">
        <v>2053.5</v>
      </c>
    </row>
    <row r="179" spans="11:12" x14ac:dyDescent="0.4">
      <c r="K179" s="38">
        <v>177</v>
      </c>
      <c r="L179" s="99">
        <v>2089.6</v>
      </c>
    </row>
    <row r="180" spans="11:12" x14ac:dyDescent="0.4">
      <c r="K180" s="38">
        <v>178</v>
      </c>
      <c r="L180" s="99">
        <v>2063.1999999999998</v>
      </c>
    </row>
    <row r="181" spans="11:12" x14ac:dyDescent="0.4">
      <c r="K181" s="38">
        <v>179</v>
      </c>
      <c r="L181" s="99">
        <v>2124.1999999999998</v>
      </c>
    </row>
    <row r="182" spans="11:12" x14ac:dyDescent="0.4">
      <c r="K182" s="38">
        <v>180</v>
      </c>
      <c r="L182" s="99">
        <v>2159.6</v>
      </c>
    </row>
    <row r="183" spans="11:12" x14ac:dyDescent="0.4">
      <c r="K183" s="38">
        <v>181</v>
      </c>
      <c r="L183" s="99">
        <v>2215.1</v>
      </c>
    </row>
    <row r="184" spans="11:12" x14ac:dyDescent="0.4">
      <c r="K184" s="38">
        <v>182</v>
      </c>
      <c r="L184" s="99">
        <v>2248.4</v>
      </c>
    </row>
    <row r="185" spans="11:12" x14ac:dyDescent="0.4">
      <c r="K185" s="38">
        <v>183</v>
      </c>
      <c r="L185" s="99">
        <v>2221.6</v>
      </c>
    </row>
    <row r="186" spans="11:12" x14ac:dyDescent="0.4">
      <c r="K186" s="38">
        <v>184</v>
      </c>
      <c r="L186" s="99">
        <v>2214.9</v>
      </c>
    </row>
    <row r="187" spans="11:12" x14ac:dyDescent="0.4">
      <c r="K187" s="38">
        <v>185</v>
      </c>
      <c r="L187" s="99">
        <v>2255.3000000000002</v>
      </c>
    </row>
    <row r="188" spans="11:12" x14ac:dyDescent="0.4">
      <c r="K188" s="38">
        <v>186</v>
      </c>
      <c r="L188" s="99">
        <v>2197.3000000000002</v>
      </c>
    </row>
    <row r="189" spans="11:12" x14ac:dyDescent="0.4">
      <c r="K189" s="38">
        <v>187</v>
      </c>
      <c r="L189" s="99">
        <v>2244.8000000000002</v>
      </c>
    </row>
    <row r="190" spans="11:12" x14ac:dyDescent="0.4">
      <c r="K190" s="38">
        <v>188</v>
      </c>
      <c r="L190" s="99">
        <v>2242.9</v>
      </c>
    </row>
    <row r="191" spans="11:12" x14ac:dyDescent="0.4">
      <c r="K191" s="38">
        <v>189</v>
      </c>
      <c r="L191" s="99">
        <v>2297.3000000000002</v>
      </c>
    </row>
    <row r="192" spans="11:12" x14ac:dyDescent="0.4">
      <c r="K192" s="38">
        <v>190</v>
      </c>
      <c r="L192" s="99">
        <v>2334.9</v>
      </c>
    </row>
    <row r="193" spans="11:12" x14ac:dyDescent="0.4">
      <c r="K193" s="38">
        <v>191</v>
      </c>
      <c r="L193" s="99">
        <v>2388.1</v>
      </c>
    </row>
  </sheetData>
  <sortState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80ACA-F4A9-4F6B-B086-CDEC5713CD9A}">
  <sheetPr codeName="Sheet9"/>
  <dimension ref="A1:Q16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158</v>
      </c>
      <c r="C2" s="151"/>
      <c r="E2" s="62" t="s">
        <v>65</v>
      </c>
      <c r="F2" s="59" t="s">
        <v>21</v>
      </c>
      <c r="G2" s="46">
        <v>214</v>
      </c>
      <c r="H2" s="132">
        <f>IF(B$17=0,0,G2/B$17)</f>
        <v>0.5977653631284916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598.7341772151899</v>
      </c>
      <c r="P2" s="118">
        <v>158</v>
      </c>
      <c r="Q2" s="102">
        <v>94600</v>
      </c>
    </row>
    <row r="3" spans="1:17" x14ac:dyDescent="0.4">
      <c r="A3" s="55" t="s">
        <v>8</v>
      </c>
      <c r="B3" s="152">
        <v>1296</v>
      </c>
      <c r="C3" s="153"/>
      <c r="E3" s="63" t="s">
        <v>66</v>
      </c>
      <c r="F3" s="60" t="s">
        <v>22</v>
      </c>
      <c r="G3" s="47">
        <v>52</v>
      </c>
      <c r="H3" s="133">
        <f>IF(B$17=0,0,G3/B$17)</f>
        <v>0.14525139664804471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0"/>
        <v>-1425.4901960784314</v>
      </c>
      <c r="P3" s="119">
        <v>153</v>
      </c>
      <c r="Q3" s="103">
        <v>-218100</v>
      </c>
    </row>
    <row r="4" spans="1:17" x14ac:dyDescent="0.4">
      <c r="A4" s="55" t="s">
        <v>6</v>
      </c>
      <c r="B4" s="154">
        <v>-403.00000000000006</v>
      </c>
      <c r="C4" s="155"/>
      <c r="E4" s="63" t="s">
        <v>67</v>
      </c>
      <c r="F4" s="60" t="s">
        <v>23</v>
      </c>
      <c r="G4" s="47">
        <v>265</v>
      </c>
      <c r="H4" s="133">
        <f>IF(B$17=0,0,G4/B$17)</f>
        <v>0.74022346368715086</v>
      </c>
      <c r="I4" s="94">
        <v>6</v>
      </c>
      <c r="K4" s="38">
        <v>2</v>
      </c>
      <c r="L4" s="99">
        <v>6.2999999999999972</v>
      </c>
      <c r="N4" s="115" t="s">
        <v>134</v>
      </c>
      <c r="O4" s="122">
        <f t="shared" si="0"/>
        <v>-492.46575342465752</v>
      </c>
      <c r="P4" s="119">
        <v>146</v>
      </c>
      <c r="Q4" s="103">
        <v>-71900</v>
      </c>
    </row>
    <row r="5" spans="1:17" x14ac:dyDescent="0.4">
      <c r="A5" s="55" t="s">
        <v>7</v>
      </c>
      <c r="B5" s="156">
        <f>IF(B$2=0,0,B$4/B$2)</f>
        <v>-2.5506329113924053</v>
      </c>
      <c r="C5" s="157"/>
      <c r="E5" s="63" t="s">
        <v>68</v>
      </c>
      <c r="F5" s="60" t="s">
        <v>24</v>
      </c>
      <c r="G5" s="47">
        <v>139</v>
      </c>
      <c r="H5" s="133">
        <f>IF(B$17=0,0,G5/B$17)</f>
        <v>0.38826815642458101</v>
      </c>
      <c r="I5" s="94">
        <v>4</v>
      </c>
      <c r="K5" s="38">
        <v>3</v>
      </c>
      <c r="L5" s="99">
        <v>-47.300000000000004</v>
      </c>
      <c r="N5" s="115" t="s">
        <v>135</v>
      </c>
      <c r="O5" s="122">
        <f t="shared" si="0"/>
        <v>-39.694656488549619</v>
      </c>
      <c r="P5" s="119">
        <v>131</v>
      </c>
      <c r="Q5" s="103">
        <v>-5200</v>
      </c>
    </row>
    <row r="6" spans="1:17" x14ac:dyDescent="0.4">
      <c r="A6" s="55" t="s">
        <v>1</v>
      </c>
      <c r="B6" s="146">
        <f>IF(B$2=0,0,(B$7*1+B$8*2+B$9*3)/B$2)</f>
        <v>2.0696202531645569</v>
      </c>
      <c r="C6" s="147"/>
      <c r="E6" s="63" t="s">
        <v>69</v>
      </c>
      <c r="F6" s="60" t="s">
        <v>12</v>
      </c>
      <c r="G6" s="47">
        <v>126</v>
      </c>
      <c r="H6" s="133">
        <f>IF(B$17=0,0,G6/B$17)</f>
        <v>0.35195530726256985</v>
      </c>
      <c r="I6" s="94">
        <v>4</v>
      </c>
      <c r="K6" s="38">
        <v>4</v>
      </c>
      <c r="L6" s="99">
        <v>13.599999999999994</v>
      </c>
      <c r="N6" s="115" t="s">
        <v>136</v>
      </c>
      <c r="O6" s="122">
        <f t="shared" si="0"/>
        <v>573.27586206896547</v>
      </c>
      <c r="P6" s="119">
        <v>116</v>
      </c>
      <c r="Q6" s="103">
        <v>66500</v>
      </c>
    </row>
    <row r="7" spans="1:17" x14ac:dyDescent="0.4">
      <c r="A7" s="55" t="s">
        <v>2</v>
      </c>
      <c r="B7" s="47">
        <v>43</v>
      </c>
      <c r="C7" s="39">
        <f>IF(B$2=0,0,B7/B$2)</f>
        <v>0.27215189873417722</v>
      </c>
      <c r="E7" s="63" t="s">
        <v>70</v>
      </c>
      <c r="F7" s="60" t="s">
        <v>25</v>
      </c>
      <c r="G7" s="47">
        <v>77</v>
      </c>
      <c r="H7" s="133">
        <f>IF(B$17=0,0,G7/B$17)</f>
        <v>0.21508379888268156</v>
      </c>
      <c r="I7" s="94">
        <v>1</v>
      </c>
      <c r="K7" s="38">
        <v>5</v>
      </c>
      <c r="L7" s="99">
        <v>-16.600000000000005</v>
      </c>
      <c r="N7" s="116" t="s">
        <v>137</v>
      </c>
      <c r="O7" s="123">
        <f t="shared" si="0"/>
        <v>-315.09433962264148</v>
      </c>
      <c r="P7" s="120">
        <v>106</v>
      </c>
      <c r="Q7" s="104">
        <v>-33400</v>
      </c>
    </row>
    <row r="8" spans="1:17" x14ac:dyDescent="0.4">
      <c r="A8" s="55" t="s">
        <v>3</v>
      </c>
      <c r="B8" s="47">
        <v>61</v>
      </c>
      <c r="C8" s="39">
        <f>IF(B$2=0,0,B8/B$2)</f>
        <v>0.38607594936708861</v>
      </c>
      <c r="E8" s="63" t="s">
        <v>71</v>
      </c>
      <c r="F8" s="60" t="s">
        <v>26</v>
      </c>
      <c r="G8" s="47">
        <v>45</v>
      </c>
      <c r="H8" s="133">
        <f>IF(B$17=0,0,G8/B$17)</f>
        <v>0.12569832402234637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54</v>
      </c>
      <c r="C9" s="40">
        <f t="shared" ref="C9" si="1">IF(B$2=0,0,B9/B$2)</f>
        <v>0.34177215189873417</v>
      </c>
      <c r="E9" s="63" t="s">
        <v>72</v>
      </c>
      <c r="F9" s="60" t="s">
        <v>27</v>
      </c>
      <c r="G9" s="47">
        <v>17</v>
      </c>
      <c r="H9" s="133">
        <f>IF(B$17=0,0,G9/B$17)</f>
        <v>4.7486033519553071E-2</v>
      </c>
      <c r="I9" s="94">
        <v>10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20</v>
      </c>
      <c r="C10" s="40">
        <f>IF(B$2=0,0,B10/B$2)</f>
        <v>0.12658227848101267</v>
      </c>
      <c r="E10" s="63" t="s">
        <v>73</v>
      </c>
      <c r="F10" s="60" t="s">
        <v>28</v>
      </c>
      <c r="G10" s="47">
        <v>163</v>
      </c>
      <c r="H10" s="133">
        <f>IF(B$17=0,0,G10/B$17)</f>
        <v>0.45530726256983239</v>
      </c>
      <c r="I10" s="94">
        <v>11</v>
      </c>
      <c r="K10" s="38">
        <v>8</v>
      </c>
      <c r="L10" s="99">
        <v>-49.6</v>
      </c>
      <c r="N10" s="114" t="s">
        <v>164</v>
      </c>
      <c r="O10" s="124">
        <f>IF(P10=0,0,Q10/P10)</f>
        <v>-5.4197368421052641</v>
      </c>
      <c r="P10" s="118">
        <v>76</v>
      </c>
      <c r="Q10" s="106">
        <v>-411.90000000000009</v>
      </c>
    </row>
    <row r="11" spans="1:17" x14ac:dyDescent="0.4">
      <c r="A11" s="56" t="s">
        <v>140</v>
      </c>
      <c r="B11" s="48">
        <v>16</v>
      </c>
      <c r="C11" s="40">
        <f>IF(B$2=0,0,B11/B$2)</f>
        <v>0.10126582278481013</v>
      </c>
      <c r="E11" s="63" t="s">
        <v>74</v>
      </c>
      <c r="F11" s="60" t="s">
        <v>29</v>
      </c>
      <c r="G11" s="47">
        <v>3</v>
      </c>
      <c r="H11" s="133">
        <f>IF(B$17=0,0,G11/B$17)</f>
        <v>8.3798882681564244E-3</v>
      </c>
      <c r="I11" s="94">
        <v>4</v>
      </c>
      <c r="K11" s="38">
        <v>9</v>
      </c>
      <c r="L11" s="99">
        <v>-79.5</v>
      </c>
      <c r="N11" s="115" t="s">
        <v>165</v>
      </c>
      <c r="O11" s="125">
        <f>IF(P11=0,0,Q11/P11)</f>
        <v>-2.0547619047619041</v>
      </c>
      <c r="P11" s="119">
        <v>42</v>
      </c>
      <c r="Q11" s="107">
        <v>-86.299999999999969</v>
      </c>
    </row>
    <row r="12" spans="1:17" x14ac:dyDescent="0.4">
      <c r="A12" s="57" t="s">
        <v>160</v>
      </c>
      <c r="B12" s="49">
        <v>9</v>
      </c>
      <c r="C12" s="42">
        <f>IF(B$2=0,0,B12/B$2)</f>
        <v>5.6962025316455694E-2</v>
      </c>
      <c r="E12" s="63" t="s">
        <v>75</v>
      </c>
      <c r="F12" s="60" t="s">
        <v>30</v>
      </c>
      <c r="G12" s="47">
        <v>2</v>
      </c>
      <c r="H12" s="133">
        <f>IF(B$17=0,0,G12/B$17)</f>
        <v>5.5865921787709499E-3</v>
      </c>
      <c r="I12" s="94">
        <v>4</v>
      </c>
      <c r="K12" s="38">
        <v>10</v>
      </c>
      <c r="L12" s="99">
        <v>-80.900000000000006</v>
      </c>
      <c r="N12" s="116" t="s">
        <v>166</v>
      </c>
      <c r="O12" s="126">
        <f>IF(P12=0,0,Q12/P12)</f>
        <v>2.3799999999999994</v>
      </c>
      <c r="P12" s="120">
        <v>40</v>
      </c>
      <c r="Q12" s="108">
        <v>95.199999999999974</v>
      </c>
    </row>
    <row r="13" spans="1:17" x14ac:dyDescent="0.4">
      <c r="A13" s="58" t="s">
        <v>122</v>
      </c>
      <c r="B13" s="50">
        <v>385</v>
      </c>
      <c r="C13" s="44">
        <f>IF(B$3=0,0,B13/B$3)</f>
        <v>0.29706790123456789</v>
      </c>
      <c r="E13" s="63" t="s">
        <v>76</v>
      </c>
      <c r="F13" s="60" t="s">
        <v>31</v>
      </c>
      <c r="G13" s="47">
        <v>4</v>
      </c>
      <c r="H13" s="133">
        <f>IF(B$17=0,0,G13/B$17)</f>
        <v>1.11731843575419E-2</v>
      </c>
      <c r="I13" s="94">
        <v>3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223</v>
      </c>
      <c r="C14" s="39">
        <f>IF(B$3=0,0,B14/B$3)</f>
        <v>0.17206790123456789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226</v>
      </c>
      <c r="C15" s="37">
        <f>IF(B$13=0,0,B15/B$13)</f>
        <v>0.58701298701298699</v>
      </c>
      <c r="E15" s="63" t="s">
        <v>78</v>
      </c>
      <c r="F15" s="60" t="s">
        <v>33</v>
      </c>
      <c r="G15" s="47">
        <v>1</v>
      </c>
      <c r="H15" s="133">
        <f>IF(B$17=0,0,G15/B$17)</f>
        <v>2.7932960893854749E-3</v>
      </c>
      <c r="I15" s="94">
        <v>8</v>
      </c>
      <c r="K15" s="38">
        <v>13</v>
      </c>
      <c r="L15" s="99">
        <v>-81.900000000000006</v>
      </c>
      <c r="N15" s="114" t="s">
        <v>184</v>
      </c>
      <c r="O15" s="124">
        <f t="shared" ref="O15:O22" si="2">IF(P15=0,0,Q15/P15)</f>
        <v>21.07</v>
      </c>
      <c r="P15" s="118">
        <v>10</v>
      </c>
      <c r="Q15" s="106">
        <v>210.70000000000002</v>
      </c>
    </row>
    <row r="16" spans="1:17" x14ac:dyDescent="0.4">
      <c r="A16" s="54" t="s">
        <v>125</v>
      </c>
      <c r="B16" s="46">
        <v>72</v>
      </c>
      <c r="C16" s="37">
        <f>IF(B$14=0,0,B16/B$14)</f>
        <v>0.32286995515695066</v>
      </c>
      <c r="E16" s="63" t="s">
        <v>79</v>
      </c>
      <c r="F16" s="60" t="s">
        <v>34</v>
      </c>
      <c r="G16" s="47">
        <v>8</v>
      </c>
      <c r="H16" s="133">
        <f>IF(B$17=0,0,G16/B$17)</f>
        <v>2.23463687150838E-2</v>
      </c>
      <c r="I16" s="94">
        <v>10</v>
      </c>
      <c r="K16" s="38">
        <v>14</v>
      </c>
      <c r="L16" s="99">
        <v>-25.600000000000009</v>
      </c>
      <c r="N16" s="115" t="s">
        <v>173</v>
      </c>
      <c r="O16" s="125">
        <f t="shared" si="2"/>
        <v>9.2423076923076923</v>
      </c>
      <c r="P16" s="119">
        <v>26</v>
      </c>
      <c r="Q16" s="107">
        <v>240.29999999999998</v>
      </c>
    </row>
    <row r="17" spans="1:17" x14ac:dyDescent="0.4">
      <c r="A17" s="54" t="s">
        <v>10</v>
      </c>
      <c r="B17" s="46">
        <f>B19+B18</f>
        <v>358</v>
      </c>
      <c r="C17" s="37">
        <f>IF(B$3=0,0,B17/B$3)</f>
        <v>0.27623456790123457</v>
      </c>
      <c r="E17" s="63" t="s">
        <v>80</v>
      </c>
      <c r="F17" s="60" t="s">
        <v>35</v>
      </c>
      <c r="G17" s="47">
        <v>7</v>
      </c>
      <c r="H17" s="133">
        <f>IF(B$17=0,0,G17/B$17)</f>
        <v>1.9553072625698324E-2</v>
      </c>
      <c r="I17" s="94">
        <v>3</v>
      </c>
      <c r="K17" s="38">
        <v>15</v>
      </c>
      <c r="L17" s="99">
        <v>47.999999999999986</v>
      </c>
      <c r="N17" s="115" t="s">
        <v>129</v>
      </c>
      <c r="O17" s="125">
        <f t="shared" si="2"/>
        <v>6.4841269841269833</v>
      </c>
      <c r="P17" s="119">
        <v>63</v>
      </c>
      <c r="Q17" s="107">
        <v>408.49999999999994</v>
      </c>
    </row>
    <row r="18" spans="1:17" x14ac:dyDescent="0.4">
      <c r="A18" s="55" t="s">
        <v>12</v>
      </c>
      <c r="B18" s="47">
        <v>157</v>
      </c>
      <c r="C18" s="39">
        <f>IF(B$17=0,0,B18/B$17)</f>
        <v>0.43854748603351956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41.699999999999989</v>
      </c>
      <c r="N18" s="115" t="s">
        <v>171</v>
      </c>
      <c r="O18" s="125">
        <f t="shared" si="2"/>
        <v>-0.24736842105262649</v>
      </c>
      <c r="P18" s="119">
        <v>38</v>
      </c>
      <c r="Q18" s="107">
        <v>-9.3999999999998067</v>
      </c>
    </row>
    <row r="19" spans="1:17" x14ac:dyDescent="0.4">
      <c r="A19" s="55" t="s">
        <v>11</v>
      </c>
      <c r="B19" s="47">
        <v>201</v>
      </c>
      <c r="C19" s="39">
        <f>IF(B$17=0,0,B19/B$17)</f>
        <v>0.56145251396648044</v>
      </c>
      <c r="E19" s="63" t="s">
        <v>82</v>
      </c>
      <c r="F19" s="60" t="s">
        <v>37</v>
      </c>
      <c r="G19" s="47">
        <v>11</v>
      </c>
      <c r="H19" s="133">
        <f>IF(B$17=0,0,G19/B$17)</f>
        <v>3.0726256983240222E-2</v>
      </c>
      <c r="I19" s="94">
        <v>5</v>
      </c>
      <c r="K19" s="38">
        <v>17</v>
      </c>
      <c r="L19" s="99">
        <v>94.6</v>
      </c>
      <c r="N19" s="115" t="s">
        <v>172</v>
      </c>
      <c r="O19" s="125">
        <f t="shared" si="2"/>
        <v>-0.40270270270270153</v>
      </c>
      <c r="P19" s="119">
        <v>37</v>
      </c>
      <c r="Q19" s="107">
        <v>-14.899999999999956</v>
      </c>
    </row>
    <row r="20" spans="1:17" x14ac:dyDescent="0.4">
      <c r="A20" s="55" t="s">
        <v>13</v>
      </c>
      <c r="B20" s="47">
        <v>235</v>
      </c>
      <c r="C20" s="39">
        <f>IF(B$3=0,0,B20/B$3)</f>
        <v>0.18132716049382716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116.69999999999999</v>
      </c>
      <c r="N20" s="115" t="s">
        <v>177</v>
      </c>
      <c r="O20" s="125">
        <f t="shared" si="2"/>
        <v>-1.8258064516129036</v>
      </c>
      <c r="P20" s="119">
        <v>31</v>
      </c>
      <c r="Q20" s="107">
        <v>-56.600000000000009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84</v>
      </c>
      <c r="F21" s="60" t="s">
        <v>39</v>
      </c>
      <c r="G21" s="47">
        <v>15</v>
      </c>
      <c r="H21" s="133">
        <f>IF(B$17=0,0,G21/B$17)</f>
        <v>4.189944134078212E-2</v>
      </c>
      <c r="I21" s="94">
        <v>9</v>
      </c>
      <c r="K21" s="38">
        <v>19</v>
      </c>
      <c r="L21" s="99">
        <v>138.79999999999998</v>
      </c>
      <c r="N21" s="115" t="s">
        <v>200</v>
      </c>
      <c r="O21" s="125">
        <f t="shared" si="2"/>
        <v>-5.5000000000000018</v>
      </c>
      <c r="P21" s="119">
        <v>2</v>
      </c>
      <c r="Q21" s="107">
        <v>-11.000000000000004</v>
      </c>
    </row>
    <row r="22" spans="1:17" x14ac:dyDescent="0.4">
      <c r="A22" s="55" t="s">
        <v>192</v>
      </c>
      <c r="B22" s="47">
        <v>24</v>
      </c>
      <c r="C22" s="135">
        <v>4</v>
      </c>
      <c r="E22" s="63" t="s">
        <v>85</v>
      </c>
      <c r="F22" s="60" t="s">
        <v>40</v>
      </c>
      <c r="G22" s="47">
        <v>1</v>
      </c>
      <c r="H22" s="133">
        <f>IF(B$17=0,0,G22/B$17)</f>
        <v>2.7932960893854749E-3</v>
      </c>
      <c r="I22" s="94">
        <v>3</v>
      </c>
      <c r="K22" s="38">
        <v>20</v>
      </c>
      <c r="L22" s="99">
        <v>164.49999999999997</v>
      </c>
      <c r="N22" s="115" t="s">
        <v>127</v>
      </c>
      <c r="O22" s="125">
        <f t="shared" si="2"/>
        <v>-18.133944954128438</v>
      </c>
      <c r="P22" s="119">
        <v>109</v>
      </c>
      <c r="Q22" s="107">
        <v>-1976.6</v>
      </c>
    </row>
    <row r="23" spans="1:17" x14ac:dyDescent="0.4">
      <c r="A23" s="55" t="s">
        <v>5</v>
      </c>
      <c r="B23" s="51">
        <f>IF(B$17=0,0,C23/B$17)</f>
        <v>8987.4301675977658</v>
      </c>
      <c r="C23" s="41">
        <v>3217500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-7439.1489361702124</v>
      </c>
      <c r="C24" s="45">
        <v>-1748200</v>
      </c>
      <c r="E24" s="63" t="s">
        <v>87</v>
      </c>
      <c r="F24" s="60" t="s">
        <v>42</v>
      </c>
      <c r="G24" s="47">
        <v>20</v>
      </c>
      <c r="H24" s="133">
        <f>IF(B$17=0,0,G24/B$17)</f>
        <v>5.5865921787709494E-2</v>
      </c>
      <c r="I24" s="94">
        <v>8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42">
        <v>107600</v>
      </c>
      <c r="C26" s="143"/>
      <c r="E26" s="63" t="s">
        <v>89</v>
      </c>
      <c r="F26" s="60" t="s">
        <v>44</v>
      </c>
      <c r="G26" s="47">
        <v>1</v>
      </c>
      <c r="H26" s="133">
        <f>IF(B$17=0,0,G26/B$17)</f>
        <v>2.7932960893854749E-3</v>
      </c>
      <c r="I26" s="94">
        <v>3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3.8580246913580245E-3</v>
      </c>
      <c r="E27" s="63" t="s">
        <v>90</v>
      </c>
      <c r="F27" s="60" t="s">
        <v>45</v>
      </c>
      <c r="G27" s="47">
        <v>42</v>
      </c>
      <c r="H27" s="133">
        <f>IF(B$17=0,0,G27/B$17)</f>
        <v>0.11731843575418995</v>
      </c>
      <c r="I27" s="94">
        <v>8</v>
      </c>
      <c r="K27" s="38">
        <v>25</v>
      </c>
      <c r="L27" s="99">
        <v>245.59999999999997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237.69999999999996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1.6759776536312849E-2</v>
      </c>
      <c r="I29" s="94">
        <v>6</v>
      </c>
      <c r="K29" s="38">
        <v>27</v>
      </c>
      <c r="L29" s="99">
        <v>236.69999999999996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2.7932960893854749E-3</v>
      </c>
      <c r="I30" s="94">
        <v>6</v>
      </c>
      <c r="K30" s="38">
        <v>28</v>
      </c>
      <c r="L30" s="99">
        <v>191.39999999999998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2.7932960893854749E-3</v>
      </c>
      <c r="I31" s="94">
        <v>6</v>
      </c>
      <c r="K31" s="38">
        <v>29</v>
      </c>
      <c r="L31" s="99">
        <v>182.49999999999997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178.99999999999997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2.7932960893854749E-3</v>
      </c>
      <c r="I33" s="94">
        <v>1</v>
      </c>
      <c r="K33" s="38">
        <v>31</v>
      </c>
      <c r="L33" s="99">
        <v>186.99999999999997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230.89999999999998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189.39999999999998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  <c r="K44" s="38">
        <v>42</v>
      </c>
      <c r="L44" s="99">
        <v>214.99999999999997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180</v>
      </c>
      <c r="F50" s="60" t="s">
        <v>181</v>
      </c>
      <c r="G50" s="47">
        <v>7</v>
      </c>
      <c r="H50" s="133">
        <f>IF(B$17=0,0,G50/B$17)</f>
        <v>1.9553072625698324E-2</v>
      </c>
      <c r="I50" s="94">
        <v>3</v>
      </c>
      <c r="K50" s="38">
        <v>48</v>
      </c>
      <c r="L50" s="99">
        <v>50.599999999999959</v>
      </c>
    </row>
    <row r="51" spans="5:12" x14ac:dyDescent="0.4">
      <c r="E51" s="136" t="s">
        <v>245</v>
      </c>
      <c r="F51" s="137" t="s">
        <v>246</v>
      </c>
      <c r="G51" s="48">
        <v>147</v>
      </c>
      <c r="H51" s="138">
        <f>IF(B$17=0,0,G51/B$17)</f>
        <v>0.41061452513966479</v>
      </c>
      <c r="I51" s="139">
        <v>5</v>
      </c>
      <c r="K51" s="38">
        <v>49</v>
      </c>
      <c r="L51" s="99">
        <v>-4.8000000000000398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  <row r="120" spans="11:12" x14ac:dyDescent="0.4">
      <c r="K120" s="38">
        <v>118</v>
      </c>
      <c r="L120" s="99">
        <v>-324.50000000000006</v>
      </c>
    </row>
    <row r="121" spans="11:12" x14ac:dyDescent="0.4">
      <c r="K121" s="38">
        <v>119</v>
      </c>
      <c r="L121" s="99">
        <v>-346.70000000000005</v>
      </c>
    </row>
    <row r="122" spans="11:12" x14ac:dyDescent="0.4">
      <c r="K122" s="38">
        <v>120</v>
      </c>
      <c r="L122" s="99">
        <v>-371.00000000000006</v>
      </c>
    </row>
    <row r="123" spans="11:12" x14ac:dyDescent="0.4">
      <c r="K123" s="38">
        <v>121</v>
      </c>
      <c r="L123" s="99">
        <v>-422.10000000000008</v>
      </c>
    </row>
    <row r="124" spans="11:12" x14ac:dyDescent="0.4">
      <c r="K124" s="38">
        <v>122</v>
      </c>
      <c r="L124" s="99">
        <v>-478.00000000000006</v>
      </c>
    </row>
    <row r="125" spans="11:12" x14ac:dyDescent="0.4">
      <c r="K125" s="38">
        <v>123</v>
      </c>
      <c r="L125" s="99">
        <v>-426.70000000000005</v>
      </c>
    </row>
    <row r="126" spans="11:12" x14ac:dyDescent="0.4">
      <c r="K126" s="38">
        <v>124</v>
      </c>
      <c r="L126" s="99">
        <v>-484.40000000000003</v>
      </c>
    </row>
    <row r="127" spans="11:12" x14ac:dyDescent="0.4">
      <c r="K127" s="38">
        <v>125</v>
      </c>
      <c r="L127" s="99">
        <v>-449.70000000000005</v>
      </c>
    </row>
    <row r="128" spans="11:12" x14ac:dyDescent="0.4">
      <c r="K128" s="38">
        <v>126</v>
      </c>
      <c r="L128" s="99">
        <v>-438.1</v>
      </c>
    </row>
    <row r="129" spans="11:12" x14ac:dyDescent="0.4">
      <c r="K129" s="38">
        <v>127</v>
      </c>
      <c r="L129" s="99">
        <v>-345.5</v>
      </c>
    </row>
    <row r="130" spans="11:12" x14ac:dyDescent="0.4">
      <c r="K130" s="38">
        <v>128</v>
      </c>
      <c r="L130" s="99">
        <v>-355.2</v>
      </c>
    </row>
    <row r="131" spans="11:12" x14ac:dyDescent="0.4">
      <c r="K131" s="38">
        <v>129</v>
      </c>
      <c r="L131" s="99">
        <v>-310.2</v>
      </c>
    </row>
    <row r="132" spans="11:12" x14ac:dyDescent="0.4">
      <c r="K132" s="38">
        <v>130</v>
      </c>
      <c r="L132" s="99">
        <v>-321</v>
      </c>
    </row>
    <row r="133" spans="11:12" x14ac:dyDescent="0.4">
      <c r="K133" s="38">
        <v>131</v>
      </c>
      <c r="L133" s="99">
        <v>-323.3</v>
      </c>
    </row>
    <row r="134" spans="11:12" x14ac:dyDescent="0.4">
      <c r="K134" s="38">
        <v>132</v>
      </c>
      <c r="L134" s="99">
        <v>-347.8</v>
      </c>
    </row>
    <row r="135" spans="11:12" x14ac:dyDescent="0.4">
      <c r="K135" s="38">
        <v>133</v>
      </c>
      <c r="L135" s="99">
        <v>-403.7</v>
      </c>
    </row>
    <row r="136" spans="11:12" x14ac:dyDescent="0.4">
      <c r="K136" s="38">
        <v>134</v>
      </c>
      <c r="L136" s="99">
        <v>-341.2</v>
      </c>
    </row>
    <row r="137" spans="11:12" x14ac:dyDescent="0.4">
      <c r="K137" s="38">
        <v>135</v>
      </c>
      <c r="L137" s="99">
        <v>-373.3</v>
      </c>
    </row>
    <row r="138" spans="11:12" x14ac:dyDescent="0.4">
      <c r="K138" s="38">
        <v>136</v>
      </c>
      <c r="L138" s="99">
        <v>-380.7</v>
      </c>
    </row>
    <row r="139" spans="11:12" x14ac:dyDescent="0.4">
      <c r="K139" s="38">
        <v>137</v>
      </c>
      <c r="L139" s="99">
        <v>-440.2</v>
      </c>
    </row>
    <row r="140" spans="11:12" x14ac:dyDescent="0.4">
      <c r="K140" s="38">
        <v>138</v>
      </c>
      <c r="L140" s="99">
        <v>-381.4</v>
      </c>
    </row>
    <row r="141" spans="11:12" x14ac:dyDescent="0.4">
      <c r="K141" s="38">
        <v>139</v>
      </c>
      <c r="L141" s="99">
        <v>-417.4</v>
      </c>
    </row>
    <row r="142" spans="11:12" x14ac:dyDescent="0.4">
      <c r="K142" s="38">
        <v>140</v>
      </c>
      <c r="L142" s="99">
        <v>-421</v>
      </c>
    </row>
    <row r="143" spans="11:12" x14ac:dyDescent="0.4">
      <c r="K143" s="38">
        <v>141</v>
      </c>
      <c r="L143" s="99">
        <v>-393.5</v>
      </c>
    </row>
    <row r="144" spans="11:12" x14ac:dyDescent="0.4">
      <c r="K144" s="38">
        <v>142</v>
      </c>
      <c r="L144" s="99">
        <v>-360.1</v>
      </c>
    </row>
    <row r="145" spans="11:12" x14ac:dyDescent="0.4">
      <c r="K145" s="38">
        <v>143</v>
      </c>
      <c r="L145" s="99">
        <v>-367.70000000000005</v>
      </c>
    </row>
    <row r="146" spans="11:12" x14ac:dyDescent="0.4">
      <c r="K146" s="38">
        <v>144</v>
      </c>
      <c r="L146" s="99">
        <v>-324.00000000000006</v>
      </c>
    </row>
    <row r="147" spans="11:12" x14ac:dyDescent="0.4">
      <c r="K147" s="38">
        <v>145</v>
      </c>
      <c r="L147" s="99">
        <v>-324.50000000000006</v>
      </c>
    </row>
    <row r="148" spans="11:12" x14ac:dyDescent="0.4">
      <c r="K148" s="38">
        <v>146</v>
      </c>
      <c r="L148" s="99">
        <v>-357.30000000000007</v>
      </c>
    </row>
    <row r="149" spans="11:12" x14ac:dyDescent="0.4">
      <c r="K149" s="38">
        <v>147</v>
      </c>
      <c r="L149" s="99">
        <v>-359.10000000000008</v>
      </c>
    </row>
    <row r="150" spans="11:12" x14ac:dyDescent="0.4">
      <c r="K150" s="38">
        <v>148</v>
      </c>
      <c r="L150" s="99">
        <v>-415.90000000000009</v>
      </c>
    </row>
    <row r="151" spans="11:12" x14ac:dyDescent="0.4">
      <c r="K151" s="38">
        <v>149</v>
      </c>
      <c r="L151" s="99">
        <v>-448.40000000000009</v>
      </c>
    </row>
    <row r="152" spans="11:12" x14ac:dyDescent="0.4">
      <c r="K152" s="38">
        <v>150</v>
      </c>
      <c r="L152" s="99">
        <v>-461.10000000000008</v>
      </c>
    </row>
    <row r="153" spans="11:12" x14ac:dyDescent="0.4">
      <c r="K153" s="38">
        <v>151</v>
      </c>
      <c r="L153" s="99">
        <v>-504.2000000000001</v>
      </c>
    </row>
    <row r="154" spans="11:12" x14ac:dyDescent="0.4">
      <c r="K154" s="38">
        <v>152</v>
      </c>
      <c r="L154" s="99">
        <v>-477.7000000000001</v>
      </c>
    </row>
    <row r="155" spans="11:12" x14ac:dyDescent="0.4">
      <c r="K155" s="38">
        <v>153</v>
      </c>
      <c r="L155" s="99">
        <v>-436.90000000000009</v>
      </c>
    </row>
    <row r="156" spans="11:12" x14ac:dyDescent="0.4">
      <c r="K156" s="38">
        <v>154</v>
      </c>
      <c r="L156" s="99">
        <v>-439.90000000000009</v>
      </c>
    </row>
    <row r="157" spans="11:12" x14ac:dyDescent="0.4">
      <c r="K157" s="38">
        <v>155</v>
      </c>
      <c r="L157" s="99">
        <v>-381.10000000000008</v>
      </c>
    </row>
    <row r="158" spans="11:12" x14ac:dyDescent="0.4">
      <c r="K158" s="38">
        <v>156</v>
      </c>
      <c r="L158" s="99">
        <v>-372.50000000000006</v>
      </c>
    </row>
    <row r="159" spans="11:12" x14ac:dyDescent="0.4">
      <c r="K159" s="38">
        <v>157</v>
      </c>
      <c r="L159" s="99">
        <v>-408.20000000000005</v>
      </c>
    </row>
    <row r="160" spans="11:12" x14ac:dyDescent="0.4">
      <c r="K160" s="38">
        <v>158</v>
      </c>
      <c r="L160" s="99">
        <v>-403.00000000000006</v>
      </c>
    </row>
  </sheetData>
  <sortState ref="E2:I160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4B530-70BB-4C06-912D-AE215370020A}">
  <sheetPr codeName="Sheet11"/>
  <dimension ref="A1:Q14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129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146</v>
      </c>
      <c r="C2" s="151"/>
      <c r="E2" s="62" t="s">
        <v>67</v>
      </c>
      <c r="F2" s="59" t="s">
        <v>23</v>
      </c>
      <c r="G2" s="46">
        <v>268</v>
      </c>
      <c r="H2" s="132">
        <f>IF(B$17=0,0,G2/B$17)</f>
        <v>0.80722891566265065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-1987.6712328767123</v>
      </c>
      <c r="P2" s="118">
        <v>146</v>
      </c>
      <c r="Q2" s="102">
        <v>-290200</v>
      </c>
    </row>
    <row r="3" spans="1:17" x14ac:dyDescent="0.4">
      <c r="A3" s="55" t="s">
        <v>8</v>
      </c>
      <c r="B3" s="152">
        <v>1223</v>
      </c>
      <c r="C3" s="153"/>
      <c r="E3" s="63" t="s">
        <v>65</v>
      </c>
      <c r="F3" s="60" t="s">
        <v>21</v>
      </c>
      <c r="G3" s="47">
        <v>162</v>
      </c>
      <c r="H3" s="133">
        <f>IF(B$17=0,0,G3/B$17)</f>
        <v>0.48795180722891568</v>
      </c>
      <c r="I3" s="94">
        <v>9</v>
      </c>
      <c r="K3" s="38">
        <v>1</v>
      </c>
      <c r="L3" s="99">
        <v>-40.4</v>
      </c>
      <c r="N3" s="115" t="s">
        <v>133</v>
      </c>
      <c r="O3" s="122">
        <f t="shared" si="0"/>
        <v>-1661.2676056338028</v>
      </c>
      <c r="P3" s="119">
        <v>142</v>
      </c>
      <c r="Q3" s="103">
        <v>-235900</v>
      </c>
    </row>
    <row r="4" spans="1:17" x14ac:dyDescent="0.4">
      <c r="A4" s="55" t="s">
        <v>6</v>
      </c>
      <c r="B4" s="154">
        <v>-1181.5</v>
      </c>
      <c r="C4" s="155"/>
      <c r="E4" s="63" t="s">
        <v>73</v>
      </c>
      <c r="F4" s="60" t="s">
        <v>28</v>
      </c>
      <c r="G4" s="47">
        <v>143</v>
      </c>
      <c r="H4" s="133">
        <f>IF(B$17=0,0,G4/B$17)</f>
        <v>0.43072289156626509</v>
      </c>
      <c r="I4" s="94">
        <v>13</v>
      </c>
      <c r="K4" s="38">
        <v>2</v>
      </c>
      <c r="L4" s="99">
        <v>-3.3999999999999986</v>
      </c>
      <c r="N4" s="115" t="s">
        <v>134</v>
      </c>
      <c r="O4" s="122">
        <f t="shared" si="0"/>
        <v>593.23308270676694</v>
      </c>
      <c r="P4" s="119">
        <v>133</v>
      </c>
      <c r="Q4" s="103">
        <v>78900</v>
      </c>
    </row>
    <row r="5" spans="1:17" x14ac:dyDescent="0.4">
      <c r="A5" s="55" t="s">
        <v>7</v>
      </c>
      <c r="B5" s="156">
        <f>IF(B$2=0,0,B$4/B$2)</f>
        <v>-8.0924657534246567</v>
      </c>
      <c r="C5" s="157"/>
      <c r="E5" s="63" t="s">
        <v>245</v>
      </c>
      <c r="F5" s="60" t="s">
        <v>246</v>
      </c>
      <c r="G5" s="47">
        <v>133</v>
      </c>
      <c r="H5" s="133">
        <f>IF(B$17=0,0,G5/B$17)</f>
        <v>0.4006024096385542</v>
      </c>
      <c r="I5" s="94">
        <v>8</v>
      </c>
      <c r="K5" s="38">
        <v>3</v>
      </c>
      <c r="L5" s="99">
        <v>-23.099999999999998</v>
      </c>
      <c r="N5" s="115" t="s">
        <v>135</v>
      </c>
      <c r="O5" s="122">
        <f t="shared" si="0"/>
        <v>-2994.1666666666665</v>
      </c>
      <c r="P5" s="119">
        <v>120</v>
      </c>
      <c r="Q5" s="103">
        <v>-359300</v>
      </c>
    </row>
    <row r="6" spans="1:17" x14ac:dyDescent="0.4">
      <c r="A6" s="55" t="s">
        <v>1</v>
      </c>
      <c r="B6" s="146">
        <f>IF(B$2=0,0,(B$7*1+B$8*2+B$9*3)/B$2)</f>
        <v>2.1164383561643834</v>
      </c>
      <c r="C6" s="147"/>
      <c r="E6" s="63" t="s">
        <v>69</v>
      </c>
      <c r="F6" s="60" t="s">
        <v>12</v>
      </c>
      <c r="G6" s="47">
        <v>114</v>
      </c>
      <c r="H6" s="133">
        <f>IF(B$17=0,0,G6/B$17)</f>
        <v>0.34337349397590361</v>
      </c>
      <c r="I6" s="94">
        <v>5</v>
      </c>
      <c r="K6" s="38">
        <v>4</v>
      </c>
      <c r="L6" s="99">
        <v>-31.4</v>
      </c>
      <c r="N6" s="115" t="s">
        <v>136</v>
      </c>
      <c r="O6" s="122">
        <f t="shared" si="0"/>
        <v>-241.28440366972478</v>
      </c>
      <c r="P6" s="119">
        <v>109</v>
      </c>
      <c r="Q6" s="103">
        <v>-26300</v>
      </c>
    </row>
    <row r="7" spans="1:17" x14ac:dyDescent="0.4">
      <c r="A7" s="55" t="s">
        <v>2</v>
      </c>
      <c r="B7" s="47">
        <v>43</v>
      </c>
      <c r="C7" s="39">
        <f>IF(B$2=0,0,B7/B$2)</f>
        <v>0.29452054794520549</v>
      </c>
      <c r="E7" s="63" t="s">
        <v>68</v>
      </c>
      <c r="F7" s="60" t="s">
        <v>24</v>
      </c>
      <c r="G7" s="47">
        <v>88</v>
      </c>
      <c r="H7" s="133">
        <f>IF(B$17=0,0,G7/B$17)</f>
        <v>0.26506024096385544</v>
      </c>
      <c r="I7" s="94">
        <v>9</v>
      </c>
      <c r="K7" s="38">
        <v>5</v>
      </c>
      <c r="L7" s="99">
        <v>-32.199999999999996</v>
      </c>
      <c r="N7" s="116" t="s">
        <v>137</v>
      </c>
      <c r="O7" s="123">
        <f t="shared" si="0"/>
        <v>-211.22448979591837</v>
      </c>
      <c r="P7" s="120">
        <v>98</v>
      </c>
      <c r="Q7" s="104">
        <v>-20700</v>
      </c>
    </row>
    <row r="8" spans="1:17" x14ac:dyDescent="0.4">
      <c r="A8" s="55" t="s">
        <v>3</v>
      </c>
      <c r="B8" s="47">
        <v>43</v>
      </c>
      <c r="C8" s="39">
        <f>IF(B$2=0,0,B8/B$2)</f>
        <v>0.29452054794520549</v>
      </c>
      <c r="E8" s="63" t="s">
        <v>70</v>
      </c>
      <c r="F8" s="60" t="s">
        <v>25</v>
      </c>
      <c r="G8" s="47">
        <v>55</v>
      </c>
      <c r="H8" s="133">
        <f>IF(B$17=0,0,G8/B$17)</f>
        <v>0.16566265060240964</v>
      </c>
      <c r="I8" s="94">
        <v>6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60</v>
      </c>
      <c r="C9" s="40">
        <f t="shared" ref="C9" si="1">IF(B$2=0,0,B9/B$2)</f>
        <v>0.41095890410958902</v>
      </c>
      <c r="E9" s="63" t="s">
        <v>71</v>
      </c>
      <c r="F9" s="60" t="s">
        <v>26</v>
      </c>
      <c r="G9" s="47">
        <v>50</v>
      </c>
      <c r="H9" s="133">
        <f>IF(B$17=0,0,G9/B$17)</f>
        <v>0.15060240963855423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24</v>
      </c>
      <c r="C10" s="40">
        <f>IF(B$2=0,0,B10/B$2)</f>
        <v>0.16438356164383561</v>
      </c>
      <c r="E10" s="63" t="s">
        <v>90</v>
      </c>
      <c r="F10" s="60" t="s">
        <v>45</v>
      </c>
      <c r="G10" s="47">
        <v>37</v>
      </c>
      <c r="H10" s="133">
        <f>IF(B$17=0,0,G10/B$17)</f>
        <v>0.11144578313253012</v>
      </c>
      <c r="I10" s="94">
        <v>10</v>
      </c>
      <c r="K10" s="38">
        <v>8</v>
      </c>
      <c r="L10" s="99">
        <v>-79.599999999999994</v>
      </c>
      <c r="N10" s="114" t="s">
        <v>164</v>
      </c>
      <c r="O10" s="124">
        <f>IF(P10=0,0,Q10/P10)</f>
        <v>-13.158139534883713</v>
      </c>
      <c r="P10" s="118">
        <v>43</v>
      </c>
      <c r="Q10" s="106">
        <v>-565.79999999999961</v>
      </c>
    </row>
    <row r="11" spans="1:17" x14ac:dyDescent="0.4">
      <c r="A11" s="56" t="s">
        <v>140</v>
      </c>
      <c r="B11" s="48">
        <v>15</v>
      </c>
      <c r="C11" s="40">
        <f>IF(B$2=0,0,B11/B$2)</f>
        <v>0.10273972602739725</v>
      </c>
      <c r="E11" s="63" t="s">
        <v>72</v>
      </c>
      <c r="F11" s="60" t="s">
        <v>27</v>
      </c>
      <c r="G11" s="47">
        <v>32</v>
      </c>
      <c r="H11" s="133">
        <f>IF(B$17=0,0,G11/B$17)</f>
        <v>9.6385542168674704E-2</v>
      </c>
      <c r="I11" s="94">
        <v>3</v>
      </c>
      <c r="K11" s="38">
        <v>9</v>
      </c>
      <c r="L11" s="99">
        <v>-127.6</v>
      </c>
      <c r="N11" s="115" t="s">
        <v>165</v>
      </c>
      <c r="O11" s="125">
        <f>IF(P11=0,0,Q11/P11)</f>
        <v>-5.0481481481481509</v>
      </c>
      <c r="P11" s="119">
        <v>54</v>
      </c>
      <c r="Q11" s="107">
        <v>-272.60000000000014</v>
      </c>
    </row>
    <row r="12" spans="1:17" x14ac:dyDescent="0.4">
      <c r="A12" s="57" t="s">
        <v>160</v>
      </c>
      <c r="B12" s="49">
        <v>14</v>
      </c>
      <c r="C12" s="42">
        <f>IF(B$2=0,0,B12/B$2)</f>
        <v>9.5890410958904104E-2</v>
      </c>
      <c r="E12" s="63" t="s">
        <v>66</v>
      </c>
      <c r="F12" s="60" t="s">
        <v>22</v>
      </c>
      <c r="G12" s="47">
        <v>28</v>
      </c>
      <c r="H12" s="133">
        <f>IF(B$17=0,0,G12/B$17)</f>
        <v>8.4337349397590355E-2</v>
      </c>
      <c r="I12" s="94">
        <v>7</v>
      </c>
      <c r="K12" s="38">
        <v>10</v>
      </c>
      <c r="L12" s="99">
        <v>-231.39999999999998</v>
      </c>
      <c r="N12" s="116" t="s">
        <v>166</v>
      </c>
      <c r="O12" s="126">
        <f>IF(P12=0,0,Q12/P12)</f>
        <v>-7.0020408163265273</v>
      </c>
      <c r="P12" s="120">
        <v>49</v>
      </c>
      <c r="Q12" s="108">
        <v>-343.09999999999985</v>
      </c>
    </row>
    <row r="13" spans="1:17" x14ac:dyDescent="0.4">
      <c r="A13" s="58" t="s">
        <v>122</v>
      </c>
      <c r="B13" s="50">
        <v>313</v>
      </c>
      <c r="C13" s="44">
        <f>IF(B$3=0,0,B13/B$3)</f>
        <v>0.25592804578904332</v>
      </c>
      <c r="E13" s="63" t="s">
        <v>87</v>
      </c>
      <c r="F13" s="60" t="s">
        <v>42</v>
      </c>
      <c r="G13" s="47">
        <v>20</v>
      </c>
      <c r="H13" s="133">
        <f>IF(B$17=0,0,G13/B$17)</f>
        <v>6.0240963855421686E-2</v>
      </c>
      <c r="I13" s="94">
        <v>6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228</v>
      </c>
      <c r="C14" s="39">
        <f>IF(B$3=0,0,B14/B$3)</f>
        <v>0.18642681929681112</v>
      </c>
      <c r="E14" s="63" t="s">
        <v>79</v>
      </c>
      <c r="F14" s="60" t="s">
        <v>34</v>
      </c>
      <c r="G14" s="47">
        <v>11</v>
      </c>
      <c r="H14" s="133">
        <f>IF(B$17=0,0,G14/B$17)</f>
        <v>3.313253012048193E-2</v>
      </c>
      <c r="I14" s="94">
        <v>5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170</v>
      </c>
      <c r="C15" s="37">
        <f>IF(B$13=0,0,B15/B$13)</f>
        <v>0.54313099041533541</v>
      </c>
      <c r="E15" s="63" t="s">
        <v>84</v>
      </c>
      <c r="F15" s="60" t="s">
        <v>39</v>
      </c>
      <c r="G15" s="47">
        <v>11</v>
      </c>
      <c r="H15" s="133">
        <f>IF(B$17=0,0,G15/B$17)</f>
        <v>3.313253012048193E-2</v>
      </c>
      <c r="I15" s="94">
        <v>10</v>
      </c>
      <c r="K15" s="38">
        <v>13</v>
      </c>
      <c r="L15" s="99">
        <v>-369.1</v>
      </c>
      <c r="N15" s="114" t="s">
        <v>271</v>
      </c>
      <c r="O15" s="124">
        <f>IF(P15=0,0,Q15/P15)</f>
        <v>52.959999999999994</v>
      </c>
      <c r="P15" s="118">
        <v>5</v>
      </c>
      <c r="Q15" s="106">
        <v>264.79999999999995</v>
      </c>
    </row>
    <row r="16" spans="1:17" x14ac:dyDescent="0.4">
      <c r="A16" s="54" t="s">
        <v>125</v>
      </c>
      <c r="B16" s="46">
        <v>76</v>
      </c>
      <c r="C16" s="37">
        <f>IF(B$14=0,0,B16/B$14)</f>
        <v>0.33333333333333331</v>
      </c>
      <c r="E16" s="63" t="s">
        <v>82</v>
      </c>
      <c r="F16" s="60" t="s">
        <v>37</v>
      </c>
      <c r="G16" s="47">
        <v>9</v>
      </c>
      <c r="H16" s="133">
        <f>IF(B$17=0,0,G16/B$17)</f>
        <v>2.710843373493976E-2</v>
      </c>
      <c r="I16" s="94">
        <v>6</v>
      </c>
      <c r="K16" s="38">
        <v>14</v>
      </c>
      <c r="L16" s="99">
        <v>-394.6</v>
      </c>
      <c r="N16" s="115" t="s">
        <v>223</v>
      </c>
      <c r="O16" s="125">
        <f>IF(P16=0,0,Q16/P16)</f>
        <v>42.5</v>
      </c>
      <c r="P16" s="119">
        <v>4</v>
      </c>
      <c r="Q16" s="107">
        <v>170</v>
      </c>
    </row>
    <row r="17" spans="1:17" x14ac:dyDescent="0.4">
      <c r="A17" s="54" t="s">
        <v>10</v>
      </c>
      <c r="B17" s="46">
        <f>B19+B18</f>
        <v>332</v>
      </c>
      <c r="C17" s="37">
        <f>IF(B$3=0,0,B17/B$3)</f>
        <v>0.27146361406377761</v>
      </c>
      <c r="E17" s="63" t="s">
        <v>78</v>
      </c>
      <c r="F17" s="60" t="s">
        <v>33</v>
      </c>
      <c r="G17" s="47">
        <v>5</v>
      </c>
      <c r="H17" s="133">
        <f>IF(B$17=0,0,G17/B$17)</f>
        <v>1.5060240963855422E-2</v>
      </c>
      <c r="I17" s="94">
        <v>2</v>
      </c>
      <c r="K17" s="38">
        <v>15</v>
      </c>
      <c r="L17" s="99">
        <v>-424.5</v>
      </c>
      <c r="N17" s="115" t="s">
        <v>200</v>
      </c>
      <c r="O17" s="125">
        <f>IF(P17=0,0,Q17/P17)</f>
        <v>36.200000000000003</v>
      </c>
      <c r="P17" s="119">
        <v>6</v>
      </c>
      <c r="Q17" s="107">
        <v>217.20000000000002</v>
      </c>
    </row>
    <row r="18" spans="1:17" x14ac:dyDescent="0.4">
      <c r="A18" s="55" t="s">
        <v>12</v>
      </c>
      <c r="B18" s="47">
        <v>141</v>
      </c>
      <c r="C18" s="39">
        <f>IF(B$17=0,0,B18/B$17)</f>
        <v>0.4246987951807229</v>
      </c>
      <c r="E18" s="63" t="s">
        <v>92</v>
      </c>
      <c r="F18" s="60" t="s">
        <v>47</v>
      </c>
      <c r="G18" s="47">
        <v>4</v>
      </c>
      <c r="H18" s="133">
        <f>IF(B$17=0,0,G18/B$17)</f>
        <v>1.2048192771084338E-2</v>
      </c>
      <c r="I18" s="94">
        <v>9</v>
      </c>
      <c r="K18" s="38">
        <v>16</v>
      </c>
      <c r="L18" s="99">
        <v>-472</v>
      </c>
      <c r="N18" s="115" t="s">
        <v>177</v>
      </c>
      <c r="O18" s="125">
        <f>IF(P18=0,0,Q18/P18)</f>
        <v>3.0875000000000012</v>
      </c>
      <c r="P18" s="119">
        <v>40</v>
      </c>
      <c r="Q18" s="107">
        <v>123.50000000000006</v>
      </c>
    </row>
    <row r="19" spans="1:17" x14ac:dyDescent="0.4">
      <c r="A19" s="55" t="s">
        <v>11</v>
      </c>
      <c r="B19" s="47">
        <v>191</v>
      </c>
      <c r="C19" s="39">
        <f>IF(B$17=0,0,B19/B$17)</f>
        <v>0.57530120481927716</v>
      </c>
      <c r="E19" s="63" t="s">
        <v>75</v>
      </c>
      <c r="F19" s="60" t="s">
        <v>30</v>
      </c>
      <c r="G19" s="47">
        <v>3</v>
      </c>
      <c r="H19" s="133">
        <f>IF(B$17=0,0,G19/B$17)</f>
        <v>9.0361445783132526E-3</v>
      </c>
      <c r="I19" s="94">
        <v>2</v>
      </c>
      <c r="K19" s="38">
        <v>17</v>
      </c>
      <c r="L19" s="99">
        <v>-538.29999999999995</v>
      </c>
      <c r="N19" s="115" t="s">
        <v>128</v>
      </c>
      <c r="O19" s="125">
        <f>IF(P19=0,0,Q19/P19)</f>
        <v>-6.4841269841269833</v>
      </c>
      <c r="P19" s="119">
        <v>63</v>
      </c>
      <c r="Q19" s="107">
        <v>-408.49999999999994</v>
      </c>
    </row>
    <row r="20" spans="1:17" x14ac:dyDescent="0.4">
      <c r="A20" s="55" t="s">
        <v>13</v>
      </c>
      <c r="B20" s="47">
        <v>220</v>
      </c>
      <c r="C20" s="39">
        <f>IF(B$3=0,0,B20/B$3)</f>
        <v>0.17988552739165986</v>
      </c>
      <c r="E20" s="63" t="s">
        <v>80</v>
      </c>
      <c r="F20" s="60" t="s">
        <v>35</v>
      </c>
      <c r="G20" s="47">
        <v>3</v>
      </c>
      <c r="H20" s="133">
        <f>IF(B$17=0,0,G20/B$17)</f>
        <v>9.0361445783132526E-3</v>
      </c>
      <c r="I20" s="94">
        <v>11</v>
      </c>
      <c r="K20" s="38">
        <v>18</v>
      </c>
      <c r="L20" s="99">
        <v>-537.19999999999993</v>
      </c>
      <c r="N20" s="115" t="s">
        <v>173</v>
      </c>
      <c r="O20" s="125">
        <f>IF(P20=0,0,Q20/P20)</f>
        <v>-17.118181818181814</v>
      </c>
      <c r="P20" s="119">
        <v>11</v>
      </c>
      <c r="Q20" s="107">
        <v>-188.29999999999995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85</v>
      </c>
      <c r="F21" s="60" t="s">
        <v>40</v>
      </c>
      <c r="G21" s="47">
        <v>2</v>
      </c>
      <c r="H21" s="133">
        <f>IF(B$17=0,0,G21/B$17)</f>
        <v>6.024096385542169E-3</v>
      </c>
      <c r="I21" s="94">
        <v>2</v>
      </c>
      <c r="K21" s="38">
        <v>19</v>
      </c>
      <c r="L21" s="99">
        <v>-569.49999999999989</v>
      </c>
      <c r="N21" s="115" t="s">
        <v>171</v>
      </c>
      <c r="O21" s="125">
        <f>IF(P21=0,0,Q21/P21)</f>
        <v>-18.405555555555551</v>
      </c>
      <c r="P21" s="119">
        <v>36</v>
      </c>
      <c r="Q21" s="107">
        <v>-662.5999999999998</v>
      </c>
    </row>
    <row r="22" spans="1:17" x14ac:dyDescent="0.4">
      <c r="A22" s="55" t="s">
        <v>192</v>
      </c>
      <c r="B22" s="47">
        <v>31</v>
      </c>
      <c r="C22" s="135">
        <v>3</v>
      </c>
      <c r="E22" s="63" t="s">
        <v>88</v>
      </c>
      <c r="F22" s="60" t="s">
        <v>43</v>
      </c>
      <c r="G22" s="47">
        <v>2</v>
      </c>
      <c r="H22" s="133">
        <f>IF(B$17=0,0,G22/B$17)</f>
        <v>6.024096385542169E-3</v>
      </c>
      <c r="I22" s="94">
        <v>2</v>
      </c>
      <c r="K22" s="38">
        <v>20</v>
      </c>
      <c r="L22" s="99">
        <v>-632.99999999999989</v>
      </c>
      <c r="N22" s="115" t="s">
        <v>172</v>
      </c>
      <c r="O22" s="125">
        <f>IF(P22=0,0,Q22/P22)</f>
        <v>-19.805714285714277</v>
      </c>
      <c r="P22" s="119">
        <v>35</v>
      </c>
      <c r="Q22" s="107">
        <v>-693.1999999999997</v>
      </c>
    </row>
    <row r="23" spans="1:17" x14ac:dyDescent="0.4">
      <c r="A23" s="55" t="s">
        <v>5</v>
      </c>
      <c r="B23" s="51">
        <f>IF(B$17=0,0,C23/B$17)</f>
        <v>8275.3012048192777</v>
      </c>
      <c r="C23" s="41">
        <v>2747400</v>
      </c>
      <c r="E23" s="63" t="s">
        <v>94</v>
      </c>
      <c r="F23" s="60" t="s">
        <v>49</v>
      </c>
      <c r="G23" s="47">
        <v>2</v>
      </c>
      <c r="H23" s="133">
        <f>IF(B$17=0,0,G23/B$17)</f>
        <v>6.024096385542169E-3</v>
      </c>
      <c r="I23" s="94">
        <v>1</v>
      </c>
      <c r="K23" s="38">
        <v>21</v>
      </c>
      <c r="L23" s="99">
        <v>-629.49999999999989</v>
      </c>
      <c r="N23" s="115" t="s">
        <v>127</v>
      </c>
      <c r="O23" s="125">
        <f>IF(P23=0,0,Q23/P23)</f>
        <v>-25.352325581395352</v>
      </c>
      <c r="P23" s="119">
        <v>86</v>
      </c>
      <c r="Q23" s="107">
        <v>-2180.3000000000002</v>
      </c>
    </row>
    <row r="24" spans="1:17" x14ac:dyDescent="0.4">
      <c r="A24" s="57" t="s">
        <v>14</v>
      </c>
      <c r="B24" s="52">
        <f>IF(B$20=0,0,C24/B$20)</f>
        <v>-8580</v>
      </c>
      <c r="C24" s="45">
        <v>-1887600</v>
      </c>
      <c r="E24" s="63" t="s">
        <v>76</v>
      </c>
      <c r="F24" s="60" t="s">
        <v>31</v>
      </c>
      <c r="G24" s="47">
        <v>1</v>
      </c>
      <c r="H24" s="133">
        <f>IF(B$17=0,0,G24/B$17)</f>
        <v>3.0120481927710845E-3</v>
      </c>
      <c r="I24" s="94">
        <v>7</v>
      </c>
      <c r="K24" s="38">
        <v>22</v>
      </c>
      <c r="L24" s="99">
        <v>-670.19999999999993</v>
      </c>
      <c r="N24" s="115" t="s">
        <v>184</v>
      </c>
      <c r="O24" s="125">
        <f>IF(P24=0,0,Q24/P24)</f>
        <v>-30.849999999999998</v>
      </c>
      <c r="P24" s="119">
        <v>6</v>
      </c>
      <c r="Q24" s="107">
        <v>-185.1</v>
      </c>
    </row>
    <row r="25" spans="1:17" x14ac:dyDescent="0.4">
      <c r="A25" s="90" t="s">
        <v>142</v>
      </c>
      <c r="B25" s="144">
        <v>7</v>
      </c>
      <c r="C25" s="145"/>
      <c r="E25" s="63" t="s">
        <v>86</v>
      </c>
      <c r="F25" s="60" t="s">
        <v>41</v>
      </c>
      <c r="G25" s="47">
        <v>1</v>
      </c>
      <c r="H25" s="133">
        <f>IF(B$17=0,0,G25/B$17)</f>
        <v>3.0120481927710845E-3</v>
      </c>
      <c r="I25" s="94">
        <v>4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42">
        <v>96900</v>
      </c>
      <c r="C26" s="143"/>
      <c r="E26" s="63" t="s">
        <v>89</v>
      </c>
      <c r="F26" s="60" t="s">
        <v>44</v>
      </c>
      <c r="G26" s="47">
        <v>1</v>
      </c>
      <c r="H26" s="133">
        <f>IF(B$17=0,0,G26/B$17)</f>
        <v>3.0120481927710845E-3</v>
      </c>
      <c r="I26" s="94">
        <v>2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2</v>
      </c>
      <c r="C27" s="42">
        <f>IF(B$3=0,0,B27/B$3)</f>
        <v>1.6353229762878169E-3</v>
      </c>
      <c r="E27" s="63" t="s">
        <v>93</v>
      </c>
      <c r="F27" s="60" t="s">
        <v>48</v>
      </c>
      <c r="G27" s="47">
        <v>1</v>
      </c>
      <c r="H27" s="133">
        <f>IF(B$17=0,0,G27/B$17)</f>
        <v>3.0120481927710845E-3</v>
      </c>
      <c r="I27" s="94">
        <v>5</v>
      </c>
      <c r="K27" s="38">
        <v>25</v>
      </c>
      <c r="L27" s="99">
        <v>-783.69999999999993</v>
      </c>
    </row>
    <row r="28" spans="1:17" x14ac:dyDescent="0.4">
      <c r="E28" s="63" t="s">
        <v>180</v>
      </c>
      <c r="F28" s="60" t="s">
        <v>181</v>
      </c>
      <c r="G28" s="47">
        <v>1</v>
      </c>
      <c r="H28" s="133">
        <f>IF(B$17=0,0,G28/B$17)</f>
        <v>3.0120481927710845E-3</v>
      </c>
      <c r="I28" s="94">
        <v>7</v>
      </c>
      <c r="K28" s="38">
        <v>26</v>
      </c>
      <c r="L28" s="99">
        <v>-818.49999999999989</v>
      </c>
    </row>
    <row r="29" spans="1:17" x14ac:dyDescent="0.4">
      <c r="E29" s="63" t="s">
        <v>74</v>
      </c>
      <c r="F29" s="60" t="s">
        <v>29</v>
      </c>
      <c r="G29" s="47">
        <v>0</v>
      </c>
      <c r="H29" s="133">
        <f>IF(B$17=0,0,G29/B$17)</f>
        <v>0</v>
      </c>
      <c r="I29" s="94">
        <v>8</v>
      </c>
      <c r="K29" s="38">
        <v>27</v>
      </c>
      <c r="L29" s="99">
        <v>-876.19999999999993</v>
      </c>
    </row>
    <row r="30" spans="1:17" x14ac:dyDescent="0.4">
      <c r="E30" s="63" t="s">
        <v>77</v>
      </c>
      <c r="F30" s="60" t="s">
        <v>32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-931.09999999999991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-908.69999999999993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-826.8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-835.69999999999993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-838.69999999999993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-878.19999999999993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-815.59999999999991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-786.29999999999984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-744.79999999999973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-715.0999999999998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  <row r="77" spans="11:12" x14ac:dyDescent="0.4">
      <c r="K77" s="38">
        <v>75</v>
      </c>
      <c r="L77" s="99">
        <v>-1147.8999999999999</v>
      </c>
    </row>
    <row r="78" spans="11:12" x14ac:dyDescent="0.4">
      <c r="K78" s="38">
        <v>76</v>
      </c>
      <c r="L78" s="99">
        <v>-1183.9999999999998</v>
      </c>
    </row>
    <row r="79" spans="11:12" x14ac:dyDescent="0.4">
      <c r="K79" s="38">
        <v>77</v>
      </c>
      <c r="L79" s="99">
        <v>-1135.9999999999998</v>
      </c>
    </row>
    <row r="80" spans="11:12" x14ac:dyDescent="0.4">
      <c r="K80" s="38">
        <v>78</v>
      </c>
      <c r="L80" s="99">
        <v>-1169.8999999999999</v>
      </c>
    </row>
    <row r="81" spans="11:12" x14ac:dyDescent="0.4">
      <c r="K81" s="38">
        <v>79</v>
      </c>
      <c r="L81" s="99">
        <v>-1226.5999999999999</v>
      </c>
    </row>
    <row r="82" spans="11:12" x14ac:dyDescent="0.4">
      <c r="K82" s="38">
        <v>80</v>
      </c>
      <c r="L82" s="99">
        <v>-1201</v>
      </c>
    </row>
    <row r="83" spans="11:12" x14ac:dyDescent="0.4">
      <c r="K83" s="38">
        <v>81</v>
      </c>
      <c r="L83" s="99">
        <v>-1265.7</v>
      </c>
    </row>
    <row r="84" spans="11:12" x14ac:dyDescent="0.4">
      <c r="K84" s="38">
        <v>82</v>
      </c>
      <c r="L84" s="99">
        <v>-1267.2</v>
      </c>
    </row>
    <row r="85" spans="11:12" x14ac:dyDescent="0.4">
      <c r="K85" s="38">
        <v>83</v>
      </c>
      <c r="L85" s="99">
        <v>-1270.6000000000001</v>
      </c>
    </row>
    <row r="86" spans="11:12" x14ac:dyDescent="0.4">
      <c r="K86" s="38">
        <v>84</v>
      </c>
      <c r="L86" s="99">
        <v>-1264.8000000000002</v>
      </c>
    </row>
    <row r="87" spans="11:12" x14ac:dyDescent="0.4">
      <c r="K87" s="38">
        <v>85</v>
      </c>
      <c r="L87" s="99">
        <v>-1322.1000000000001</v>
      </c>
    </row>
    <row r="88" spans="11:12" x14ac:dyDescent="0.4">
      <c r="K88" s="38">
        <v>86</v>
      </c>
      <c r="L88" s="99">
        <v>-1272.1000000000001</v>
      </c>
    </row>
    <row r="89" spans="11:12" x14ac:dyDescent="0.4">
      <c r="K89" s="38">
        <v>87</v>
      </c>
      <c r="L89" s="99">
        <v>-1283.8000000000002</v>
      </c>
    </row>
    <row r="90" spans="11:12" x14ac:dyDescent="0.4">
      <c r="K90" s="38">
        <v>88</v>
      </c>
      <c r="L90" s="99">
        <v>-1241.1000000000001</v>
      </c>
    </row>
    <row r="91" spans="11:12" x14ac:dyDescent="0.4">
      <c r="K91" s="38">
        <v>89</v>
      </c>
      <c r="L91" s="99">
        <v>-1288.1000000000001</v>
      </c>
    </row>
    <row r="92" spans="11:12" x14ac:dyDescent="0.4">
      <c r="K92" s="38">
        <v>90</v>
      </c>
      <c r="L92" s="99">
        <v>-1324.2</v>
      </c>
    </row>
    <row r="93" spans="11:12" x14ac:dyDescent="0.4">
      <c r="K93" s="38">
        <v>91</v>
      </c>
      <c r="L93" s="99">
        <v>-1253.1000000000001</v>
      </c>
    </row>
    <row r="94" spans="11:12" x14ac:dyDescent="0.4">
      <c r="K94" s="38">
        <v>92</v>
      </c>
      <c r="L94" s="99">
        <v>-1291.9000000000001</v>
      </c>
    </row>
    <row r="95" spans="11:12" x14ac:dyDescent="0.4">
      <c r="K95" s="38">
        <v>93</v>
      </c>
      <c r="L95" s="99">
        <v>-1348.9</v>
      </c>
    </row>
    <row r="96" spans="11:12" x14ac:dyDescent="0.4">
      <c r="K96" s="38">
        <v>94</v>
      </c>
      <c r="L96" s="99">
        <v>-1306.3000000000002</v>
      </c>
    </row>
    <row r="97" spans="11:12" x14ac:dyDescent="0.4">
      <c r="K97" s="38">
        <v>95</v>
      </c>
      <c r="L97" s="99">
        <v>-1362.6000000000001</v>
      </c>
    </row>
    <row r="98" spans="11:12" x14ac:dyDescent="0.4">
      <c r="K98" s="38">
        <v>96</v>
      </c>
      <c r="L98" s="99">
        <v>-1335.8000000000002</v>
      </c>
    </row>
    <row r="99" spans="11:12" x14ac:dyDescent="0.4">
      <c r="K99" s="38">
        <v>97</v>
      </c>
      <c r="L99" s="99">
        <v>-1299.4000000000001</v>
      </c>
    </row>
    <row r="100" spans="11:12" x14ac:dyDescent="0.4">
      <c r="K100" s="38">
        <v>98</v>
      </c>
      <c r="L100" s="99">
        <v>-1305.7</v>
      </c>
    </row>
    <row r="101" spans="11:12" x14ac:dyDescent="0.4">
      <c r="K101" s="38">
        <v>99</v>
      </c>
      <c r="L101" s="99">
        <v>-1267.5</v>
      </c>
    </row>
    <row r="102" spans="11:12" x14ac:dyDescent="0.4">
      <c r="K102" s="38">
        <v>100</v>
      </c>
      <c r="L102" s="99">
        <v>-1255.3</v>
      </c>
    </row>
    <row r="103" spans="11:12" x14ac:dyDescent="0.4">
      <c r="K103" s="38">
        <v>101</v>
      </c>
      <c r="L103" s="99">
        <v>-1246.3</v>
      </c>
    </row>
    <row r="104" spans="11:12" x14ac:dyDescent="0.4">
      <c r="K104" s="38">
        <v>102</v>
      </c>
      <c r="L104" s="99">
        <v>-1206.5</v>
      </c>
    </row>
    <row r="105" spans="11:12" x14ac:dyDescent="0.4">
      <c r="K105" s="38">
        <v>103</v>
      </c>
      <c r="L105" s="99">
        <v>-1144.9000000000001</v>
      </c>
    </row>
    <row r="106" spans="11:12" x14ac:dyDescent="0.4">
      <c r="K106" s="38">
        <v>104</v>
      </c>
      <c r="L106" s="99">
        <v>-1134.8000000000002</v>
      </c>
    </row>
    <row r="107" spans="11:12" x14ac:dyDescent="0.4">
      <c r="K107" s="38">
        <v>105</v>
      </c>
      <c r="L107" s="99">
        <v>-1138.7000000000003</v>
      </c>
    </row>
    <row r="108" spans="11:12" x14ac:dyDescent="0.4">
      <c r="K108" s="38">
        <v>106</v>
      </c>
      <c r="L108" s="99">
        <v>-1119.7000000000003</v>
      </c>
    </row>
    <row r="109" spans="11:12" x14ac:dyDescent="0.4">
      <c r="K109" s="38">
        <v>107</v>
      </c>
      <c r="L109" s="99">
        <v>-1085.0000000000002</v>
      </c>
    </row>
    <row r="110" spans="11:12" x14ac:dyDescent="0.4">
      <c r="K110" s="38">
        <v>108</v>
      </c>
      <c r="L110" s="99">
        <v>-1048.6000000000001</v>
      </c>
    </row>
    <row r="111" spans="11:12" x14ac:dyDescent="0.4">
      <c r="K111" s="38">
        <v>109</v>
      </c>
      <c r="L111" s="99">
        <v>-982.60000000000014</v>
      </c>
    </row>
    <row r="112" spans="11:12" x14ac:dyDescent="0.4">
      <c r="K112" s="38">
        <v>110</v>
      </c>
      <c r="L112" s="99">
        <v>-940.00000000000011</v>
      </c>
    </row>
    <row r="113" spans="11:12" x14ac:dyDescent="0.4">
      <c r="K113" s="38">
        <v>111</v>
      </c>
      <c r="L113" s="99">
        <v>-890.80000000000007</v>
      </c>
    </row>
    <row r="114" spans="11:12" x14ac:dyDescent="0.4">
      <c r="K114" s="38">
        <v>112</v>
      </c>
      <c r="L114" s="99">
        <v>-971.2</v>
      </c>
    </row>
    <row r="115" spans="11:12" x14ac:dyDescent="0.4">
      <c r="K115" s="38">
        <v>113</v>
      </c>
      <c r="L115" s="99">
        <v>-921.2</v>
      </c>
    </row>
    <row r="116" spans="11:12" x14ac:dyDescent="0.4">
      <c r="K116" s="38">
        <v>114</v>
      </c>
      <c r="L116" s="99">
        <v>-924.7</v>
      </c>
    </row>
    <row r="117" spans="11:12" x14ac:dyDescent="0.4">
      <c r="K117" s="38">
        <v>115</v>
      </c>
      <c r="L117" s="99">
        <v>-919.7</v>
      </c>
    </row>
    <row r="118" spans="11:12" x14ac:dyDescent="0.4">
      <c r="K118" s="38">
        <v>116</v>
      </c>
      <c r="L118" s="99">
        <v>-880.80000000000007</v>
      </c>
    </row>
    <row r="119" spans="11:12" x14ac:dyDescent="0.4">
      <c r="K119" s="38">
        <v>117</v>
      </c>
      <c r="L119" s="99">
        <v>-932.80000000000007</v>
      </c>
    </row>
    <row r="120" spans="11:12" x14ac:dyDescent="0.4">
      <c r="K120" s="38">
        <v>118</v>
      </c>
      <c r="L120" s="99">
        <v>-988.7</v>
      </c>
    </row>
    <row r="121" spans="11:12" x14ac:dyDescent="0.4">
      <c r="K121" s="38">
        <v>119</v>
      </c>
      <c r="L121" s="99">
        <v>-950.40000000000009</v>
      </c>
    </row>
    <row r="122" spans="11:12" x14ac:dyDescent="0.4">
      <c r="K122" s="38">
        <v>120</v>
      </c>
      <c r="L122" s="99">
        <v>-902.50000000000011</v>
      </c>
    </row>
    <row r="123" spans="11:12" x14ac:dyDescent="0.4">
      <c r="K123" s="38">
        <v>121</v>
      </c>
      <c r="L123" s="99">
        <v>-911.60000000000014</v>
      </c>
    </row>
    <row r="124" spans="11:12" x14ac:dyDescent="0.4">
      <c r="K124" s="38">
        <v>122</v>
      </c>
      <c r="L124" s="99">
        <v>-881.60000000000014</v>
      </c>
    </row>
    <row r="125" spans="11:12" x14ac:dyDescent="0.4">
      <c r="K125" s="38">
        <v>123</v>
      </c>
      <c r="L125" s="99">
        <v>-881.00000000000011</v>
      </c>
    </row>
    <row r="126" spans="11:12" x14ac:dyDescent="0.4">
      <c r="K126" s="38">
        <v>124</v>
      </c>
      <c r="L126" s="99">
        <v>-849.50000000000011</v>
      </c>
    </row>
    <row r="127" spans="11:12" x14ac:dyDescent="0.4">
      <c r="K127" s="38">
        <v>125</v>
      </c>
      <c r="L127" s="99">
        <v>-877.90000000000009</v>
      </c>
    </row>
    <row r="128" spans="11:12" x14ac:dyDescent="0.4">
      <c r="K128" s="38">
        <v>126</v>
      </c>
      <c r="L128" s="99">
        <v>-883.00000000000011</v>
      </c>
    </row>
    <row r="129" spans="11:12" x14ac:dyDescent="0.4">
      <c r="K129" s="38">
        <v>127</v>
      </c>
      <c r="L129" s="99">
        <v>-881.50000000000011</v>
      </c>
    </row>
    <row r="130" spans="11:12" x14ac:dyDescent="0.4">
      <c r="K130" s="38">
        <v>128</v>
      </c>
      <c r="L130" s="99">
        <v>-908.40000000000009</v>
      </c>
    </row>
    <row r="131" spans="11:12" x14ac:dyDescent="0.4">
      <c r="K131" s="38">
        <v>129</v>
      </c>
      <c r="L131" s="99">
        <v>-970.40000000000009</v>
      </c>
    </row>
    <row r="132" spans="11:12" x14ac:dyDescent="0.4">
      <c r="K132" s="38">
        <v>130</v>
      </c>
      <c r="L132" s="99">
        <v>-939.30000000000007</v>
      </c>
    </row>
    <row r="133" spans="11:12" x14ac:dyDescent="0.4">
      <c r="K133" s="38">
        <v>131</v>
      </c>
      <c r="L133" s="99">
        <v>-942.6</v>
      </c>
    </row>
    <row r="134" spans="11:12" x14ac:dyDescent="0.4">
      <c r="K134" s="38">
        <v>132</v>
      </c>
      <c r="L134" s="99">
        <v>-914.4</v>
      </c>
    </row>
    <row r="135" spans="11:12" x14ac:dyDescent="0.4">
      <c r="K135" s="38">
        <v>133</v>
      </c>
      <c r="L135" s="99">
        <v>-918.6</v>
      </c>
    </row>
    <row r="136" spans="11:12" x14ac:dyDescent="0.4">
      <c r="K136" s="38">
        <v>134</v>
      </c>
      <c r="L136" s="99">
        <v>-921.5</v>
      </c>
    </row>
    <row r="137" spans="11:12" x14ac:dyDescent="0.4">
      <c r="K137" s="38">
        <v>135</v>
      </c>
      <c r="L137" s="99">
        <v>-964.3</v>
      </c>
    </row>
    <row r="138" spans="11:12" x14ac:dyDescent="0.4">
      <c r="K138" s="38">
        <v>136</v>
      </c>
      <c r="L138" s="99">
        <v>-954.5</v>
      </c>
    </row>
    <row r="139" spans="11:12" x14ac:dyDescent="0.4">
      <c r="K139" s="38">
        <v>137</v>
      </c>
      <c r="L139" s="99">
        <v>-954.2</v>
      </c>
    </row>
    <row r="140" spans="11:12" x14ac:dyDescent="0.4">
      <c r="K140" s="38">
        <v>138</v>
      </c>
      <c r="L140" s="99">
        <v>-988.30000000000007</v>
      </c>
    </row>
    <row r="141" spans="11:12" x14ac:dyDescent="0.4">
      <c r="K141" s="38">
        <v>139</v>
      </c>
      <c r="L141" s="99">
        <v>-1025.7</v>
      </c>
    </row>
    <row r="142" spans="11:12" x14ac:dyDescent="0.4">
      <c r="K142" s="38">
        <v>140</v>
      </c>
      <c r="L142" s="99">
        <v>-1026.5</v>
      </c>
    </row>
    <row r="143" spans="11:12" x14ac:dyDescent="0.4">
      <c r="K143" s="38">
        <v>141</v>
      </c>
      <c r="L143" s="99">
        <v>-1082.5999999999999</v>
      </c>
    </row>
    <row r="144" spans="11:12" x14ac:dyDescent="0.4">
      <c r="K144" s="38">
        <v>142</v>
      </c>
      <c r="L144" s="99">
        <v>-1045</v>
      </c>
    </row>
    <row r="145" spans="11:12" x14ac:dyDescent="0.4">
      <c r="K145" s="38">
        <v>143</v>
      </c>
      <c r="L145" s="99">
        <v>-1104.5999999999999</v>
      </c>
    </row>
    <row r="146" spans="11:12" x14ac:dyDescent="0.4">
      <c r="K146" s="38">
        <v>144</v>
      </c>
      <c r="L146" s="99">
        <v>-1103.8</v>
      </c>
    </row>
    <row r="147" spans="11:12" x14ac:dyDescent="0.4">
      <c r="K147" s="38">
        <v>145</v>
      </c>
      <c r="L147" s="99">
        <v>-1133.2</v>
      </c>
    </row>
    <row r="148" spans="11:12" x14ac:dyDescent="0.4">
      <c r="K148" s="38">
        <v>146</v>
      </c>
      <c r="L148" s="99">
        <v>-1181.5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E14D8-467C-429B-B48E-97F7C8B43FED}">
  <sheetPr codeName="Sheet13"/>
  <dimension ref="A1:Q10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171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100</v>
      </c>
      <c r="C2" s="151"/>
      <c r="E2" s="62" t="s">
        <v>67</v>
      </c>
      <c r="F2" s="59" t="s">
        <v>23</v>
      </c>
      <c r="G2" s="46">
        <v>190</v>
      </c>
      <c r="H2" s="132">
        <f>IF(B$17=0,0,G2/B$17)</f>
        <v>0.81196581196581197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146</v>
      </c>
      <c r="P2" s="118">
        <v>100</v>
      </c>
      <c r="Q2" s="102">
        <v>14600</v>
      </c>
    </row>
    <row r="3" spans="1:17" x14ac:dyDescent="0.4">
      <c r="A3" s="55" t="s">
        <v>8</v>
      </c>
      <c r="B3" s="152">
        <v>829</v>
      </c>
      <c r="C3" s="153"/>
      <c r="E3" s="63" t="s">
        <v>65</v>
      </c>
      <c r="F3" s="60" t="s">
        <v>21</v>
      </c>
      <c r="G3" s="47">
        <v>128</v>
      </c>
      <c r="H3" s="133">
        <f>IF(B$17=0,0,G3/B$17)</f>
        <v>0.54700854700854706</v>
      </c>
      <c r="I3" s="94">
        <v>4</v>
      </c>
      <c r="K3" s="38">
        <v>1</v>
      </c>
      <c r="L3" s="99">
        <v>-51.2</v>
      </c>
      <c r="N3" s="115" t="s">
        <v>133</v>
      </c>
      <c r="O3" s="122">
        <f t="shared" si="0"/>
        <v>661.85567010309273</v>
      </c>
      <c r="P3" s="119">
        <v>97</v>
      </c>
      <c r="Q3" s="103">
        <v>64200</v>
      </c>
    </row>
    <row r="4" spans="1:17" x14ac:dyDescent="0.4">
      <c r="A4" s="55" t="s">
        <v>6</v>
      </c>
      <c r="B4" s="154">
        <v>-46.699999999999989</v>
      </c>
      <c r="C4" s="155"/>
      <c r="E4" s="63" t="s">
        <v>73</v>
      </c>
      <c r="F4" s="60" t="s">
        <v>28</v>
      </c>
      <c r="G4" s="47">
        <v>128</v>
      </c>
      <c r="H4" s="133">
        <f>IF(B$17=0,0,G4/B$17)</f>
        <v>0.54700854700854706</v>
      </c>
      <c r="I4" s="94">
        <v>7</v>
      </c>
      <c r="K4" s="38">
        <v>2</v>
      </c>
      <c r="L4" s="99">
        <v>-93.300000000000011</v>
      </c>
      <c r="N4" s="115" t="s">
        <v>134</v>
      </c>
      <c r="O4" s="122">
        <f t="shared" si="0"/>
        <v>1378.409090909091</v>
      </c>
      <c r="P4" s="119">
        <v>88</v>
      </c>
      <c r="Q4" s="103">
        <v>121300</v>
      </c>
    </row>
    <row r="5" spans="1:17" x14ac:dyDescent="0.4">
      <c r="A5" s="55" t="s">
        <v>7</v>
      </c>
      <c r="B5" s="156">
        <f>IF(B$2=0,0,B$4/B$2)</f>
        <v>-0.46699999999999986</v>
      </c>
      <c r="C5" s="157"/>
      <c r="E5" s="63" t="s">
        <v>245</v>
      </c>
      <c r="F5" s="60" t="s">
        <v>246</v>
      </c>
      <c r="G5" s="47">
        <v>90</v>
      </c>
      <c r="H5" s="133">
        <f>IF(B$17=0,0,G5/B$17)</f>
        <v>0.38461538461538464</v>
      </c>
      <c r="I5" s="94">
        <v>10</v>
      </c>
      <c r="K5" s="38">
        <v>3</v>
      </c>
      <c r="L5" s="99">
        <v>-60.100000000000009</v>
      </c>
      <c r="N5" s="115" t="s">
        <v>135</v>
      </c>
      <c r="O5" s="122">
        <f t="shared" si="0"/>
        <v>64.102564102564102</v>
      </c>
      <c r="P5" s="119">
        <v>78</v>
      </c>
      <c r="Q5" s="103">
        <v>5000</v>
      </c>
    </row>
    <row r="6" spans="1:17" x14ac:dyDescent="0.4">
      <c r="A6" s="55" t="s">
        <v>1</v>
      </c>
      <c r="B6" s="146">
        <f>IF(B$2=0,0,(B$7*1+B$8*2+B$9*3)/B$2)</f>
        <v>2.06</v>
      </c>
      <c r="C6" s="147"/>
      <c r="E6" s="63" t="s">
        <v>68</v>
      </c>
      <c r="F6" s="60" t="s">
        <v>24</v>
      </c>
      <c r="G6" s="47">
        <v>78</v>
      </c>
      <c r="H6" s="133">
        <f>IF(B$17=0,0,G6/B$17)</f>
        <v>0.33333333333333331</v>
      </c>
      <c r="I6" s="94">
        <v>5</v>
      </c>
      <c r="K6" s="38">
        <v>4</v>
      </c>
      <c r="L6" s="99">
        <v>-11.300000000000011</v>
      </c>
      <c r="N6" s="115" t="s">
        <v>136</v>
      </c>
      <c r="O6" s="122">
        <f t="shared" si="0"/>
        <v>-1775.3623188405797</v>
      </c>
      <c r="P6" s="119">
        <v>69</v>
      </c>
      <c r="Q6" s="103">
        <v>-122500</v>
      </c>
    </row>
    <row r="7" spans="1:17" x14ac:dyDescent="0.4">
      <c r="A7" s="55" t="s">
        <v>2</v>
      </c>
      <c r="B7" s="47">
        <v>30</v>
      </c>
      <c r="C7" s="39">
        <f>IF(B$2=0,0,B7/B$2)</f>
        <v>0.3</v>
      </c>
      <c r="E7" s="63" t="s">
        <v>69</v>
      </c>
      <c r="F7" s="60" t="s">
        <v>12</v>
      </c>
      <c r="G7" s="47">
        <v>68</v>
      </c>
      <c r="H7" s="133">
        <f>IF(B$17=0,0,G7/B$17)</f>
        <v>0.29059829059829062</v>
      </c>
      <c r="I7" s="94">
        <v>10</v>
      </c>
      <c r="K7" s="38">
        <v>5</v>
      </c>
      <c r="L7" s="99">
        <v>-36.100000000000009</v>
      </c>
      <c r="N7" s="116" t="s">
        <v>137</v>
      </c>
      <c r="O7" s="123">
        <f t="shared" si="0"/>
        <v>-617.74193548387098</v>
      </c>
      <c r="P7" s="120">
        <v>62</v>
      </c>
      <c r="Q7" s="104">
        <v>-38300</v>
      </c>
    </row>
    <row r="8" spans="1:17" x14ac:dyDescent="0.4">
      <c r="A8" s="55" t="s">
        <v>3</v>
      </c>
      <c r="B8" s="47">
        <v>34</v>
      </c>
      <c r="C8" s="39">
        <f>IF(B$2=0,0,B8/B$2)</f>
        <v>0.34</v>
      </c>
      <c r="E8" s="63" t="s">
        <v>70</v>
      </c>
      <c r="F8" s="60" t="s">
        <v>25</v>
      </c>
      <c r="G8" s="47">
        <v>45</v>
      </c>
      <c r="H8" s="133">
        <f>IF(B$17=0,0,G8/B$17)</f>
        <v>0.19230769230769232</v>
      </c>
      <c r="I8" s="94">
        <v>3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36</v>
      </c>
      <c r="C9" s="40">
        <f t="shared" ref="C9" si="1">IF(B$2=0,0,B9/B$2)</f>
        <v>0.36</v>
      </c>
      <c r="E9" s="63" t="s">
        <v>90</v>
      </c>
      <c r="F9" s="60" t="s">
        <v>45</v>
      </c>
      <c r="G9" s="47">
        <v>40</v>
      </c>
      <c r="H9" s="133">
        <f>IF(B$17=0,0,G9/B$17)</f>
        <v>0.17094017094017094</v>
      </c>
      <c r="I9" s="94">
        <v>3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</v>
      </c>
      <c r="C10" s="40">
        <f>IF(B$2=0,0,B10/B$2)</f>
        <v>0.11</v>
      </c>
      <c r="E10" s="63" t="s">
        <v>66</v>
      </c>
      <c r="F10" s="60" t="s">
        <v>22</v>
      </c>
      <c r="G10" s="47">
        <v>29</v>
      </c>
      <c r="H10" s="133">
        <f>IF(B$17=0,0,G10/B$17)</f>
        <v>0.12393162393162394</v>
      </c>
      <c r="I10" s="94">
        <v>2</v>
      </c>
      <c r="K10" s="38">
        <v>8</v>
      </c>
      <c r="L10" s="99">
        <v>-1.7000000000000028</v>
      </c>
      <c r="N10" s="114" t="s">
        <v>164</v>
      </c>
      <c r="O10" s="124">
        <f>IF(P10=0,0,Q10/P10)</f>
        <v>3.9444444444444446</v>
      </c>
      <c r="P10" s="118">
        <v>27</v>
      </c>
      <c r="Q10" s="106">
        <v>106.5</v>
      </c>
    </row>
    <row r="11" spans="1:17" x14ac:dyDescent="0.4">
      <c r="A11" s="56" t="s">
        <v>140</v>
      </c>
      <c r="B11" s="48">
        <v>15</v>
      </c>
      <c r="C11" s="40">
        <f>IF(B$2=0,0,B11/B$2)</f>
        <v>0.15</v>
      </c>
      <c r="E11" s="63" t="s">
        <v>71</v>
      </c>
      <c r="F11" s="60" t="s">
        <v>26</v>
      </c>
      <c r="G11" s="47">
        <v>26</v>
      </c>
      <c r="H11" s="133">
        <f>IF(B$17=0,0,G11/B$17)</f>
        <v>0.1111111111111111</v>
      </c>
      <c r="I11" s="94">
        <v>5</v>
      </c>
      <c r="K11" s="38">
        <v>9</v>
      </c>
      <c r="L11" s="99">
        <v>-5.8000000000000025</v>
      </c>
      <c r="N11" s="115" t="s">
        <v>165</v>
      </c>
      <c r="O11" s="125">
        <f>IF(P11=0,0,Q11/P11)</f>
        <v>-0.14722222222222056</v>
      </c>
      <c r="P11" s="119">
        <v>36</v>
      </c>
      <c r="Q11" s="107">
        <v>-5.2999999999999403</v>
      </c>
    </row>
    <row r="12" spans="1:17" x14ac:dyDescent="0.4">
      <c r="A12" s="57" t="s">
        <v>160</v>
      </c>
      <c r="B12" s="49">
        <v>6</v>
      </c>
      <c r="C12" s="42">
        <f>IF(B$2=0,0,B12/B$2)</f>
        <v>0.06</v>
      </c>
      <c r="E12" s="63" t="s">
        <v>87</v>
      </c>
      <c r="F12" s="60" t="s">
        <v>42</v>
      </c>
      <c r="G12" s="47">
        <v>16</v>
      </c>
      <c r="H12" s="133">
        <f>IF(B$17=0,0,G12/B$17)</f>
        <v>6.8376068376068383E-2</v>
      </c>
      <c r="I12" s="94">
        <v>5</v>
      </c>
      <c r="K12" s="38">
        <v>10</v>
      </c>
      <c r="L12" s="99">
        <v>-56.500000000000007</v>
      </c>
      <c r="N12" s="116" t="s">
        <v>166</v>
      </c>
      <c r="O12" s="126">
        <f>IF(P12=0,0,Q12/P12)</f>
        <v>-3.9972972972972975</v>
      </c>
      <c r="P12" s="120">
        <v>37</v>
      </c>
      <c r="Q12" s="108">
        <v>-147.9</v>
      </c>
    </row>
    <row r="13" spans="1:17" x14ac:dyDescent="0.4">
      <c r="A13" s="58" t="s">
        <v>122</v>
      </c>
      <c r="B13" s="50">
        <v>239</v>
      </c>
      <c r="C13" s="44">
        <f>IF(B$3=0,0,B13/B$3)</f>
        <v>0.28829915560916769</v>
      </c>
      <c r="E13" s="63" t="s">
        <v>72</v>
      </c>
      <c r="F13" s="60" t="s">
        <v>27</v>
      </c>
      <c r="G13" s="47">
        <v>15</v>
      </c>
      <c r="H13" s="133">
        <f>IF(B$17=0,0,G13/B$17)</f>
        <v>6.4102564102564097E-2</v>
      </c>
      <c r="I13" s="94">
        <v>8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163</v>
      </c>
      <c r="C14" s="39">
        <f>IF(B$3=0,0,B14/B$3)</f>
        <v>0.19662243667068757</v>
      </c>
      <c r="E14" s="63" t="s">
        <v>84</v>
      </c>
      <c r="F14" s="60" t="s">
        <v>39</v>
      </c>
      <c r="G14" s="47">
        <v>11</v>
      </c>
      <c r="H14" s="133">
        <f>IF(B$17=0,0,G14/B$17)</f>
        <v>4.7008547008547008E-2</v>
      </c>
      <c r="I14" s="94">
        <v>8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135</v>
      </c>
      <c r="C15" s="37">
        <f>IF(B$13=0,0,B15/B$13)</f>
        <v>0.56485355648535562</v>
      </c>
      <c r="E15" s="63" t="s">
        <v>79</v>
      </c>
      <c r="F15" s="60" t="s">
        <v>34</v>
      </c>
      <c r="G15" s="47">
        <v>9</v>
      </c>
      <c r="H15" s="133">
        <f>IF(B$17=0,0,G15/B$17)</f>
        <v>3.8461538461538464E-2</v>
      </c>
      <c r="I15" s="94">
        <v>4</v>
      </c>
      <c r="K15" s="38">
        <v>13</v>
      </c>
      <c r="L15" s="99">
        <v>-58.7</v>
      </c>
      <c r="N15" s="114" t="s">
        <v>129</v>
      </c>
      <c r="O15" s="124">
        <f>IF(P15=0,0,Q15/P15)</f>
        <v>18.405555555555548</v>
      </c>
      <c r="P15" s="118">
        <v>36</v>
      </c>
      <c r="Q15" s="106">
        <v>662.59999999999968</v>
      </c>
    </row>
    <row r="16" spans="1:17" x14ac:dyDescent="0.4">
      <c r="A16" s="54" t="s">
        <v>125</v>
      </c>
      <c r="B16" s="46">
        <v>66</v>
      </c>
      <c r="C16" s="37">
        <f>IF(B$14=0,0,B16/B$14)</f>
        <v>0.40490797546012269</v>
      </c>
      <c r="E16" s="63" t="s">
        <v>82</v>
      </c>
      <c r="F16" s="60" t="s">
        <v>37</v>
      </c>
      <c r="G16" s="47">
        <v>8</v>
      </c>
      <c r="H16" s="133">
        <f>IF(B$17=0,0,G16/B$17)</f>
        <v>3.4188034188034191E-2</v>
      </c>
      <c r="I16" s="94">
        <v>2</v>
      </c>
      <c r="K16" s="38">
        <v>14</v>
      </c>
      <c r="L16" s="99">
        <v>-29.400000000000002</v>
      </c>
      <c r="N16" s="115" t="s">
        <v>184</v>
      </c>
      <c r="O16" s="125">
        <f>IF(P16=0,0,Q16/P16)</f>
        <v>18.200000000000003</v>
      </c>
      <c r="P16" s="119">
        <v>4</v>
      </c>
      <c r="Q16" s="107">
        <v>72.800000000000011</v>
      </c>
    </row>
    <row r="17" spans="1:17" x14ac:dyDescent="0.4">
      <c r="A17" s="54" t="s">
        <v>10</v>
      </c>
      <c r="B17" s="46">
        <f>B19+B18</f>
        <v>234</v>
      </c>
      <c r="C17" s="37">
        <f>IF(B$3=0,0,B17/B$3)</f>
        <v>0.28226779252110978</v>
      </c>
      <c r="E17" s="63" t="s">
        <v>92</v>
      </c>
      <c r="F17" s="60" t="s">
        <v>47</v>
      </c>
      <c r="G17" s="47">
        <v>7</v>
      </c>
      <c r="H17" s="133">
        <f>IF(B$17=0,0,G17/B$17)</f>
        <v>2.9914529914529916E-2</v>
      </c>
      <c r="I17" s="94">
        <v>3</v>
      </c>
      <c r="K17" s="38">
        <v>15</v>
      </c>
      <c r="L17" s="99">
        <v>-26.3</v>
      </c>
      <c r="N17" s="115" t="s">
        <v>173</v>
      </c>
      <c r="O17" s="125">
        <f>IF(P17=0,0,Q17/P17)</f>
        <v>12.777777777777775</v>
      </c>
      <c r="P17" s="119">
        <v>18</v>
      </c>
      <c r="Q17" s="107">
        <v>229.99999999999994</v>
      </c>
    </row>
    <row r="18" spans="1:17" x14ac:dyDescent="0.4">
      <c r="A18" s="55" t="s">
        <v>12</v>
      </c>
      <c r="B18" s="47">
        <v>95</v>
      </c>
      <c r="C18" s="39">
        <f>IF(B$17=0,0,B18/B$17)</f>
        <v>0.40598290598290598</v>
      </c>
      <c r="E18" s="63" t="s">
        <v>80</v>
      </c>
      <c r="F18" s="60" t="s">
        <v>35</v>
      </c>
      <c r="G18" s="47">
        <v>4</v>
      </c>
      <c r="H18" s="133">
        <f>IF(B$17=0,0,G18/B$17)</f>
        <v>1.7094017094017096E-2</v>
      </c>
      <c r="I18" s="94">
        <v>4</v>
      </c>
      <c r="K18" s="38">
        <v>16</v>
      </c>
      <c r="L18" s="99">
        <v>-50.3</v>
      </c>
      <c r="N18" s="115" t="s">
        <v>172</v>
      </c>
      <c r="O18" s="125">
        <f>IF(P18=0,0,Q18/P18)</f>
        <v>0.97619047619047583</v>
      </c>
      <c r="P18" s="119">
        <v>21</v>
      </c>
      <c r="Q18" s="107">
        <v>20.499999999999993</v>
      </c>
    </row>
    <row r="19" spans="1:17" x14ac:dyDescent="0.4">
      <c r="A19" s="55" t="s">
        <v>11</v>
      </c>
      <c r="B19" s="47">
        <v>139</v>
      </c>
      <c r="C19" s="39">
        <f>IF(B$17=0,0,B19/B$17)</f>
        <v>0.59401709401709402</v>
      </c>
      <c r="E19" s="63" t="s">
        <v>180</v>
      </c>
      <c r="F19" s="60" t="s">
        <v>181</v>
      </c>
      <c r="G19" s="47">
        <v>4</v>
      </c>
      <c r="H19" s="133">
        <f>IF(B$17=0,0,G19/B$17)</f>
        <v>1.7094017094017096E-2</v>
      </c>
      <c r="I19" s="94">
        <v>4</v>
      </c>
      <c r="K19" s="38">
        <v>17</v>
      </c>
      <c r="L19" s="99">
        <v>-74.3</v>
      </c>
      <c r="N19" s="115" t="s">
        <v>128</v>
      </c>
      <c r="O19" s="125">
        <f>IF(P19=0,0,Q19/P19)</f>
        <v>0.24736842105262688</v>
      </c>
      <c r="P19" s="119">
        <v>38</v>
      </c>
      <c r="Q19" s="107">
        <v>9.3999999999998209</v>
      </c>
    </row>
    <row r="20" spans="1:17" x14ac:dyDescent="0.4">
      <c r="A20" s="55" t="s">
        <v>13</v>
      </c>
      <c r="B20" s="47">
        <v>147</v>
      </c>
      <c r="C20" s="39">
        <f>IF(B$3=0,0,B20/B$3)</f>
        <v>0.1773220747889023</v>
      </c>
      <c r="E20" s="63" t="s">
        <v>74</v>
      </c>
      <c r="F20" s="60" t="s">
        <v>29</v>
      </c>
      <c r="G20" s="47">
        <v>3</v>
      </c>
      <c r="H20" s="133">
        <f>IF(B$17=0,0,G20/B$17)</f>
        <v>1.282051282051282E-2</v>
      </c>
      <c r="I20" s="94">
        <v>3</v>
      </c>
      <c r="K20" s="38">
        <v>18</v>
      </c>
      <c r="L20" s="99">
        <v>-76.099999999999994</v>
      </c>
      <c r="N20" s="115" t="s">
        <v>127</v>
      </c>
      <c r="O20" s="125">
        <f>IF(P20=0,0,Q20/P20)</f>
        <v>-2.9685185185185143</v>
      </c>
      <c r="P20" s="119">
        <v>54</v>
      </c>
      <c r="Q20" s="107">
        <v>-160.29999999999978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76</v>
      </c>
      <c r="F21" s="60" t="s">
        <v>31</v>
      </c>
      <c r="G21" s="47">
        <v>3</v>
      </c>
      <c r="H21" s="133">
        <f>IF(B$17=0,0,G21/B$17)</f>
        <v>1.282051282051282E-2</v>
      </c>
      <c r="I21" s="94">
        <v>2</v>
      </c>
      <c r="K21" s="38">
        <v>19</v>
      </c>
      <c r="L21" s="99">
        <v>0.60000000000000853</v>
      </c>
      <c r="N21" s="115" t="s">
        <v>200</v>
      </c>
      <c r="O21" s="125">
        <f>IF(P21=0,0,Q21/P21)</f>
        <v>-12.75</v>
      </c>
      <c r="P21" s="119">
        <v>6</v>
      </c>
      <c r="Q21" s="107">
        <v>-76.5</v>
      </c>
    </row>
    <row r="22" spans="1:17" x14ac:dyDescent="0.4">
      <c r="A22" s="55" t="s">
        <v>192</v>
      </c>
      <c r="B22" s="47">
        <v>32</v>
      </c>
      <c r="C22" s="135">
        <v>5</v>
      </c>
      <c r="E22" s="63" t="s">
        <v>78</v>
      </c>
      <c r="F22" s="60" t="s">
        <v>33</v>
      </c>
      <c r="G22" s="47">
        <v>3</v>
      </c>
      <c r="H22" s="133">
        <f>IF(B$17=0,0,G22/B$17)</f>
        <v>1.282051282051282E-2</v>
      </c>
      <c r="I22" s="94">
        <v>3</v>
      </c>
      <c r="K22" s="38">
        <v>20</v>
      </c>
      <c r="L22" s="99">
        <v>-3.5999999999999917</v>
      </c>
      <c r="N22" s="115" t="s">
        <v>177</v>
      </c>
      <c r="O22" s="125">
        <f>IF(P22=0,0,Q22/P22)</f>
        <v>-37.686363636363637</v>
      </c>
      <c r="P22" s="119">
        <v>22</v>
      </c>
      <c r="Q22" s="107">
        <v>-829.1</v>
      </c>
    </row>
    <row r="23" spans="1:17" x14ac:dyDescent="0.4">
      <c r="A23" s="55" t="s">
        <v>5</v>
      </c>
      <c r="B23" s="51">
        <f>IF(B$17=0,0,C23/B$17)</f>
        <v>9999.1452991452988</v>
      </c>
      <c r="C23" s="41">
        <v>2339800</v>
      </c>
      <c r="E23" s="63" t="s">
        <v>85</v>
      </c>
      <c r="F23" s="60" t="s">
        <v>40</v>
      </c>
      <c r="G23" s="47">
        <v>2</v>
      </c>
      <c r="H23" s="133">
        <f>IF(B$17=0,0,G23/B$17)</f>
        <v>8.5470085470085479E-3</v>
      </c>
      <c r="I23" s="94">
        <v>1</v>
      </c>
      <c r="K23" s="38">
        <v>21</v>
      </c>
      <c r="L23" s="99">
        <v>-3.0999999999999917</v>
      </c>
      <c r="N23" s="115" t="s">
        <v>222</v>
      </c>
      <c r="O23" s="125">
        <f>IF(P23=0,0,Q23/P23)</f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-8448.299319727892</v>
      </c>
      <c r="C24" s="45">
        <v>-1241900</v>
      </c>
      <c r="E24" s="63" t="s">
        <v>93</v>
      </c>
      <c r="F24" s="60" t="s">
        <v>48</v>
      </c>
      <c r="G24" s="47">
        <v>2</v>
      </c>
      <c r="H24" s="133">
        <f>IF(B$17=0,0,G24/B$17)</f>
        <v>8.5470085470085479E-3</v>
      </c>
      <c r="I24" s="94">
        <v>1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4.2735042735042739E-3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42">
        <v>96000</v>
      </c>
      <c r="C26" s="143"/>
      <c r="E26" s="63" t="s">
        <v>94</v>
      </c>
      <c r="F26" s="60" t="s">
        <v>49</v>
      </c>
      <c r="G26" s="47">
        <v>1</v>
      </c>
      <c r="H26" s="133">
        <f>IF(B$17=0,0,G26/B$17)</f>
        <v>4.2735042735042739E-3</v>
      </c>
      <c r="I26" s="94">
        <v>3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2</v>
      </c>
      <c r="C27" s="42">
        <f>IF(B$3=0,0,B27/B$3)</f>
        <v>2.4125452352231603E-3</v>
      </c>
      <c r="E27" s="63" t="s">
        <v>75</v>
      </c>
      <c r="F27" s="60" t="s">
        <v>30</v>
      </c>
      <c r="G27" s="47">
        <v>0</v>
      </c>
      <c r="H27" s="133">
        <f>IF(B$17=0,0,G27/B$17)</f>
        <v>0</v>
      </c>
      <c r="I27" s="94">
        <v>7</v>
      </c>
      <c r="K27" s="38">
        <v>25</v>
      </c>
      <c r="L27" s="99">
        <v>-39.999999999999986</v>
      </c>
    </row>
    <row r="28" spans="1:17" x14ac:dyDescent="0.4">
      <c r="E28" s="63" t="s">
        <v>77</v>
      </c>
      <c r="F28" s="60" t="s">
        <v>32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-71.099999999999994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-66.199999999999989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-121.79999999999998</v>
      </c>
    </row>
    <row r="32" spans="1:17" x14ac:dyDescent="0.4">
      <c r="E32" s="63" t="s">
        <v>89</v>
      </c>
      <c r="F32" s="60" t="s">
        <v>44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-156.19999999999999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-33.800000000000004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-23.100000000000005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  <row r="87" spans="11:12" x14ac:dyDescent="0.4">
      <c r="K87" s="38">
        <v>85</v>
      </c>
      <c r="L87" s="99">
        <v>213.10000000000002</v>
      </c>
    </row>
    <row r="88" spans="11:12" x14ac:dyDescent="0.4">
      <c r="K88" s="38">
        <v>86</v>
      </c>
      <c r="L88" s="99">
        <v>158.50000000000003</v>
      </c>
    </row>
    <row r="89" spans="11:12" x14ac:dyDescent="0.4">
      <c r="K89" s="38">
        <v>87</v>
      </c>
      <c r="L89" s="99">
        <v>102.50000000000003</v>
      </c>
    </row>
    <row r="90" spans="11:12" x14ac:dyDescent="0.4">
      <c r="K90" s="38">
        <v>88</v>
      </c>
      <c r="L90" s="99">
        <v>46.300000000000026</v>
      </c>
    </row>
    <row r="91" spans="11:12" x14ac:dyDescent="0.4">
      <c r="K91" s="38">
        <v>89</v>
      </c>
      <c r="L91" s="99">
        <v>32.000000000000028</v>
      </c>
    </row>
    <row r="92" spans="11:12" x14ac:dyDescent="0.4">
      <c r="K92" s="38">
        <v>90</v>
      </c>
      <c r="L92" s="99">
        <v>1.7000000000000277</v>
      </c>
    </row>
    <row r="93" spans="11:12" x14ac:dyDescent="0.4">
      <c r="K93" s="38">
        <v>91</v>
      </c>
      <c r="L93" s="99">
        <v>-9.1999999999999726</v>
      </c>
    </row>
    <row r="94" spans="11:12" x14ac:dyDescent="0.4">
      <c r="K94" s="38">
        <v>92</v>
      </c>
      <c r="L94" s="99">
        <v>-69.199999999999974</v>
      </c>
    </row>
    <row r="95" spans="11:12" x14ac:dyDescent="0.4">
      <c r="K95" s="38">
        <v>93</v>
      </c>
      <c r="L95" s="99">
        <v>-125.79999999999998</v>
      </c>
    </row>
    <row r="96" spans="11:12" x14ac:dyDescent="0.4">
      <c r="K96" s="38">
        <v>94</v>
      </c>
      <c r="L96" s="99">
        <v>-44.799999999999983</v>
      </c>
    </row>
    <row r="97" spans="11:12" x14ac:dyDescent="0.4">
      <c r="K97" s="38">
        <v>95</v>
      </c>
      <c r="L97" s="99">
        <v>-1.8999999999999844</v>
      </c>
    </row>
    <row r="98" spans="11:12" x14ac:dyDescent="0.4">
      <c r="K98" s="38">
        <v>96</v>
      </c>
      <c r="L98" s="99">
        <v>-48.599999999999987</v>
      </c>
    </row>
    <row r="99" spans="11:12" x14ac:dyDescent="0.4">
      <c r="K99" s="38">
        <v>97</v>
      </c>
      <c r="L99" s="99">
        <v>-49.399999999999984</v>
      </c>
    </row>
    <row r="100" spans="11:12" x14ac:dyDescent="0.4">
      <c r="K100" s="38">
        <v>98</v>
      </c>
      <c r="L100" s="99">
        <v>22.600000000000016</v>
      </c>
    </row>
    <row r="101" spans="11:12" x14ac:dyDescent="0.4">
      <c r="K101" s="38">
        <v>99</v>
      </c>
      <c r="L101" s="99">
        <v>-10.099999999999987</v>
      </c>
    </row>
    <row r="102" spans="11:12" x14ac:dyDescent="0.4">
      <c r="K102" s="38">
        <v>100</v>
      </c>
      <c r="L102" s="99">
        <v>-46.699999999999989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18BEB-6474-4BE5-BE05-24795D954780}">
  <sheetPr codeName="Sheet15"/>
  <dimension ref="A1:Q10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100</v>
      </c>
      <c r="C2" s="151"/>
      <c r="E2" s="62" t="s">
        <v>67</v>
      </c>
      <c r="F2" s="59" t="s">
        <v>23</v>
      </c>
      <c r="G2" s="46">
        <v>183</v>
      </c>
      <c r="H2" s="132">
        <f>IF(B$17=0,0,G2/B$17)</f>
        <v>0.64210526315789473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134</v>
      </c>
      <c r="P2" s="118">
        <v>100</v>
      </c>
      <c r="Q2" s="102">
        <v>13400</v>
      </c>
    </row>
    <row r="3" spans="1:17" x14ac:dyDescent="0.4">
      <c r="A3" s="55" t="s">
        <v>8</v>
      </c>
      <c r="B3" s="152">
        <v>842</v>
      </c>
      <c r="C3" s="153"/>
      <c r="E3" s="63" t="s">
        <v>73</v>
      </c>
      <c r="F3" s="60" t="s">
        <v>28</v>
      </c>
      <c r="G3" s="47">
        <v>162</v>
      </c>
      <c r="H3" s="133">
        <f>IF(B$17=0,0,G3/B$17)</f>
        <v>0.56842105263157894</v>
      </c>
      <c r="I3" s="94">
        <v>5</v>
      </c>
      <c r="K3" s="38">
        <v>1</v>
      </c>
      <c r="L3" s="99">
        <v>11.1</v>
      </c>
      <c r="N3" s="115" t="s">
        <v>133</v>
      </c>
      <c r="O3" s="122">
        <f t="shared" si="0"/>
        <v>-1281</v>
      </c>
      <c r="P3" s="119">
        <v>100</v>
      </c>
      <c r="Q3" s="103">
        <v>-128100</v>
      </c>
    </row>
    <row r="4" spans="1:17" x14ac:dyDescent="0.4">
      <c r="A4" s="55" t="s">
        <v>6</v>
      </c>
      <c r="B4" s="154">
        <v>-177.80000000000004</v>
      </c>
      <c r="C4" s="155"/>
      <c r="E4" s="63" t="s">
        <v>245</v>
      </c>
      <c r="F4" s="60" t="s">
        <v>246</v>
      </c>
      <c r="G4" s="47">
        <v>121</v>
      </c>
      <c r="H4" s="133">
        <f>IF(B$17=0,0,G4/B$17)</f>
        <v>0.42456140350877192</v>
      </c>
      <c r="I4" s="94">
        <v>4</v>
      </c>
      <c r="K4" s="38">
        <v>2</v>
      </c>
      <c r="L4" s="99">
        <v>-7.7000000000000011</v>
      </c>
      <c r="N4" s="115" t="s">
        <v>134</v>
      </c>
      <c r="O4" s="122">
        <f t="shared" si="0"/>
        <v>-752.22222222222217</v>
      </c>
      <c r="P4" s="119">
        <v>90</v>
      </c>
      <c r="Q4" s="103">
        <v>-67700</v>
      </c>
    </row>
    <row r="5" spans="1:17" x14ac:dyDescent="0.4">
      <c r="A5" s="55" t="s">
        <v>7</v>
      </c>
      <c r="B5" s="156">
        <f>IF(B$2=0,0,B$4/B$2)</f>
        <v>-1.7780000000000005</v>
      </c>
      <c r="C5" s="157"/>
      <c r="E5" s="63" t="s">
        <v>65</v>
      </c>
      <c r="F5" s="60" t="s">
        <v>21</v>
      </c>
      <c r="G5" s="47">
        <v>101</v>
      </c>
      <c r="H5" s="133">
        <f>IF(B$17=0,0,G5/B$17)</f>
        <v>0.35438596491228069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1100</v>
      </c>
      <c r="P5" s="119">
        <v>86</v>
      </c>
      <c r="Q5" s="103">
        <v>94600</v>
      </c>
    </row>
    <row r="6" spans="1:17" x14ac:dyDescent="0.4">
      <c r="A6" s="55" t="s">
        <v>1</v>
      </c>
      <c r="B6" s="146">
        <f>IF(B$2=0,0,(B$7*1+B$8*2+B$9*3)/B$2)</f>
        <v>2.0499999999999998</v>
      </c>
      <c r="C6" s="147"/>
      <c r="E6" s="63" t="s">
        <v>69</v>
      </c>
      <c r="F6" s="60" t="s">
        <v>12</v>
      </c>
      <c r="G6" s="47">
        <v>71</v>
      </c>
      <c r="H6" s="133">
        <f>IF(B$17=0,0,G6/B$17)</f>
        <v>0.24912280701754386</v>
      </c>
      <c r="I6" s="94">
        <v>13</v>
      </c>
      <c r="K6" s="38">
        <v>4</v>
      </c>
      <c r="L6" s="99">
        <v>34.9</v>
      </c>
      <c r="N6" s="115" t="s">
        <v>136</v>
      </c>
      <c r="O6" s="122">
        <f t="shared" si="0"/>
        <v>-126.25</v>
      </c>
      <c r="P6" s="119">
        <v>80</v>
      </c>
      <c r="Q6" s="103">
        <v>-10100</v>
      </c>
    </row>
    <row r="7" spans="1:17" x14ac:dyDescent="0.4">
      <c r="A7" s="55" t="s">
        <v>2</v>
      </c>
      <c r="B7" s="47">
        <v>25</v>
      </c>
      <c r="C7" s="39">
        <f>IF(B$2=0,0,B7/B$2)</f>
        <v>0.25</v>
      </c>
      <c r="E7" s="63" t="s">
        <v>68</v>
      </c>
      <c r="F7" s="60" t="s">
        <v>24</v>
      </c>
      <c r="G7" s="47">
        <v>50</v>
      </c>
      <c r="H7" s="133">
        <f>IF(B$17=0,0,G7/B$17)</f>
        <v>0.17543859649122806</v>
      </c>
      <c r="I7" s="94">
        <v>13</v>
      </c>
      <c r="K7" s="38">
        <v>5</v>
      </c>
      <c r="L7" s="99">
        <v>29.4</v>
      </c>
      <c r="N7" s="116" t="s">
        <v>137</v>
      </c>
      <c r="O7" s="123">
        <f t="shared" si="0"/>
        <v>-449.27536231884056</v>
      </c>
      <c r="P7" s="120">
        <v>69</v>
      </c>
      <c r="Q7" s="104">
        <v>-31000</v>
      </c>
    </row>
    <row r="8" spans="1:17" x14ac:dyDescent="0.4">
      <c r="A8" s="55" t="s">
        <v>3</v>
      </c>
      <c r="B8" s="47">
        <v>45</v>
      </c>
      <c r="C8" s="39">
        <f>IF(B$2=0,0,B8/B$2)</f>
        <v>0.45</v>
      </c>
      <c r="E8" s="63" t="s">
        <v>70</v>
      </c>
      <c r="F8" s="60" t="s">
        <v>25</v>
      </c>
      <c r="G8" s="47">
        <v>46</v>
      </c>
      <c r="H8" s="133">
        <f>IF(B$17=0,0,G8/B$17)</f>
        <v>0.16140350877192983</v>
      </c>
      <c r="I8" s="94">
        <v>8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30</v>
      </c>
      <c r="C9" s="40">
        <f t="shared" ref="C9" si="1">IF(B$2=0,0,B9/B$2)</f>
        <v>0.3</v>
      </c>
      <c r="E9" s="63" t="s">
        <v>66</v>
      </c>
      <c r="F9" s="60" t="s">
        <v>22</v>
      </c>
      <c r="G9" s="47">
        <v>29</v>
      </c>
      <c r="H9" s="133">
        <f>IF(B$17=0,0,G9/B$17)</f>
        <v>0.10175438596491228</v>
      </c>
      <c r="I9" s="94">
        <v>6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0.05</v>
      </c>
      <c r="E10" s="63" t="s">
        <v>72</v>
      </c>
      <c r="F10" s="60" t="s">
        <v>27</v>
      </c>
      <c r="G10" s="47">
        <v>23</v>
      </c>
      <c r="H10" s="133">
        <f>IF(B$17=0,0,G10/B$17)</f>
        <v>8.0701754385964913E-2</v>
      </c>
      <c r="I10" s="94">
        <v>4</v>
      </c>
      <c r="K10" s="38">
        <v>8</v>
      </c>
      <c r="L10" s="99">
        <v>-29.5</v>
      </c>
      <c r="N10" s="114" t="s">
        <v>164</v>
      </c>
      <c r="O10" s="124">
        <f>IF(P10=0,0,Q10/P10)</f>
        <v>-3.8612903225806474</v>
      </c>
      <c r="P10" s="118">
        <v>31</v>
      </c>
      <c r="Q10" s="106">
        <v>-119.70000000000007</v>
      </c>
    </row>
    <row r="11" spans="1:17" x14ac:dyDescent="0.4">
      <c r="A11" s="56" t="s">
        <v>140</v>
      </c>
      <c r="B11" s="48">
        <v>10</v>
      </c>
      <c r="C11" s="40">
        <f>IF(B$2=0,0,B11/B$2)</f>
        <v>0.1</v>
      </c>
      <c r="E11" s="63" t="s">
        <v>90</v>
      </c>
      <c r="F11" s="60" t="s">
        <v>45</v>
      </c>
      <c r="G11" s="47">
        <v>22</v>
      </c>
      <c r="H11" s="133">
        <f>IF(B$17=0,0,G11/B$17)</f>
        <v>7.7192982456140355E-2</v>
      </c>
      <c r="I11" s="94">
        <v>12</v>
      </c>
      <c r="K11" s="38">
        <v>9</v>
      </c>
      <c r="L11" s="99">
        <v>-56.5</v>
      </c>
      <c r="N11" s="115" t="s">
        <v>165</v>
      </c>
      <c r="O11" s="125">
        <f>IF(P11=0,0,Q11/P11)</f>
        <v>2.2866666666666666</v>
      </c>
      <c r="P11" s="119">
        <v>30</v>
      </c>
      <c r="Q11" s="107">
        <v>68.599999999999994</v>
      </c>
    </row>
    <row r="12" spans="1:17" x14ac:dyDescent="0.4">
      <c r="A12" s="57" t="s">
        <v>160</v>
      </c>
      <c r="B12" s="49">
        <v>8</v>
      </c>
      <c r="C12" s="42">
        <f>IF(B$2=0,0,B12/B$2)</f>
        <v>0.08</v>
      </c>
      <c r="E12" s="63" t="s">
        <v>71</v>
      </c>
      <c r="F12" s="60" t="s">
        <v>26</v>
      </c>
      <c r="G12" s="47">
        <v>21</v>
      </c>
      <c r="H12" s="133">
        <f>IF(B$17=0,0,G12/B$17)</f>
        <v>7.3684210526315783E-2</v>
      </c>
      <c r="I12" s="94">
        <v>9</v>
      </c>
      <c r="K12" s="38">
        <v>10</v>
      </c>
      <c r="L12" s="99">
        <v>24.200000000000003</v>
      </c>
      <c r="N12" s="116" t="s">
        <v>166</v>
      </c>
      <c r="O12" s="126">
        <f>IF(P12=0,0,Q12/P12)</f>
        <v>-3.2487179487179492</v>
      </c>
      <c r="P12" s="120">
        <v>39</v>
      </c>
      <c r="Q12" s="108">
        <v>-126.70000000000002</v>
      </c>
    </row>
    <row r="13" spans="1:17" x14ac:dyDescent="0.4">
      <c r="A13" s="58" t="s">
        <v>122</v>
      </c>
      <c r="B13" s="50">
        <v>180</v>
      </c>
      <c r="C13" s="44">
        <f>IF(B$3=0,0,B13/B$3)</f>
        <v>0.21377672209026127</v>
      </c>
      <c r="E13" s="63" t="s">
        <v>84</v>
      </c>
      <c r="F13" s="60" t="s">
        <v>39</v>
      </c>
      <c r="G13" s="47">
        <v>20</v>
      </c>
      <c r="H13" s="133">
        <f>IF(B$17=0,0,G13/B$17)</f>
        <v>7.0175438596491224E-2</v>
      </c>
      <c r="I13" s="94">
        <v>2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244</v>
      </c>
      <c r="C14" s="39">
        <f>IF(B$3=0,0,B14/B$3)</f>
        <v>0.28978622327790976</v>
      </c>
      <c r="E14" s="63" t="s">
        <v>87</v>
      </c>
      <c r="F14" s="60" t="s">
        <v>42</v>
      </c>
      <c r="G14" s="47">
        <v>11</v>
      </c>
      <c r="H14" s="133">
        <f>IF(B$17=0,0,G14/B$17)</f>
        <v>3.8596491228070177E-2</v>
      </c>
      <c r="I14" s="94">
        <v>11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100</v>
      </c>
      <c r="C15" s="37">
        <f>IF(B$13=0,0,B15/B$13)</f>
        <v>0.55555555555555558</v>
      </c>
      <c r="E15" s="63" t="s">
        <v>82</v>
      </c>
      <c r="F15" s="60" t="s">
        <v>37</v>
      </c>
      <c r="G15" s="47">
        <v>9</v>
      </c>
      <c r="H15" s="133">
        <f>IF(B$17=0,0,G15/B$17)</f>
        <v>3.1578947368421054E-2</v>
      </c>
      <c r="I15" s="94">
        <v>4</v>
      </c>
      <c r="K15" s="38">
        <v>13</v>
      </c>
      <c r="L15" s="99">
        <v>-3</v>
      </c>
      <c r="N15" s="114" t="s">
        <v>184</v>
      </c>
      <c r="O15" s="124">
        <f>IF(P15=0,0,Q15/P15)</f>
        <v>44.424999999999997</v>
      </c>
      <c r="P15" s="118">
        <v>4</v>
      </c>
      <c r="Q15" s="106">
        <v>177.7</v>
      </c>
    </row>
    <row r="16" spans="1:17" x14ac:dyDescent="0.4">
      <c r="A16" s="54" t="s">
        <v>125</v>
      </c>
      <c r="B16" s="46">
        <v>103</v>
      </c>
      <c r="C16" s="37">
        <f>IF(B$14=0,0,B16/B$14)</f>
        <v>0.42213114754098363</v>
      </c>
      <c r="E16" s="63" t="s">
        <v>79</v>
      </c>
      <c r="F16" s="60" t="s">
        <v>34</v>
      </c>
      <c r="G16" s="47">
        <v>4</v>
      </c>
      <c r="H16" s="133">
        <f>IF(B$17=0,0,G16/B$17)</f>
        <v>1.4035087719298246E-2</v>
      </c>
      <c r="I16" s="94">
        <v>11</v>
      </c>
      <c r="K16" s="38">
        <v>14</v>
      </c>
      <c r="L16" s="99">
        <v>-12.3</v>
      </c>
      <c r="N16" s="115" t="s">
        <v>129</v>
      </c>
      <c r="O16" s="125">
        <f>IF(P16=0,0,Q16/P16)</f>
        <v>19.805714285714274</v>
      </c>
      <c r="P16" s="119">
        <v>35</v>
      </c>
      <c r="Q16" s="107">
        <v>693.19999999999959</v>
      </c>
    </row>
    <row r="17" spans="1:17" x14ac:dyDescent="0.4">
      <c r="A17" s="54" t="s">
        <v>10</v>
      </c>
      <c r="B17" s="46">
        <f>B19+B18</f>
        <v>285</v>
      </c>
      <c r="C17" s="37">
        <f>IF(B$3=0,0,B17/B$3)</f>
        <v>0.33847980997624705</v>
      </c>
      <c r="E17" s="63" t="s">
        <v>92</v>
      </c>
      <c r="F17" s="60" t="s">
        <v>47</v>
      </c>
      <c r="G17" s="47">
        <v>4</v>
      </c>
      <c r="H17" s="133">
        <f>IF(B$17=0,0,G17/B$17)</f>
        <v>1.4035087719298246E-2</v>
      </c>
      <c r="I17" s="94">
        <v>8</v>
      </c>
      <c r="K17" s="38">
        <v>15</v>
      </c>
      <c r="L17" s="99">
        <v>-80.3</v>
      </c>
      <c r="N17" s="115" t="s">
        <v>173</v>
      </c>
      <c r="O17" s="125">
        <f>IF(P17=0,0,Q17/P17)</f>
        <v>6.6333333333333302</v>
      </c>
      <c r="P17" s="119">
        <v>12</v>
      </c>
      <c r="Q17" s="107">
        <v>79.599999999999966</v>
      </c>
    </row>
    <row r="18" spans="1:17" x14ac:dyDescent="0.4">
      <c r="A18" s="55" t="s">
        <v>12</v>
      </c>
      <c r="B18" s="47">
        <v>114</v>
      </c>
      <c r="C18" s="39">
        <f>IF(B$17=0,0,B18/B$17)</f>
        <v>0.4</v>
      </c>
      <c r="E18" s="63" t="s">
        <v>80</v>
      </c>
      <c r="F18" s="60" t="s">
        <v>35</v>
      </c>
      <c r="G18" s="47">
        <v>3</v>
      </c>
      <c r="H18" s="133">
        <f>IF(B$17=0,0,G18/B$17)</f>
        <v>1.0526315789473684E-2</v>
      </c>
      <c r="I18" s="94">
        <v>10</v>
      </c>
      <c r="K18" s="38">
        <v>16</v>
      </c>
      <c r="L18" s="99">
        <v>-87.6</v>
      </c>
      <c r="N18" s="115" t="s">
        <v>177</v>
      </c>
      <c r="O18" s="125">
        <f>IF(P18=0,0,Q18/P18)</f>
        <v>2.2741935483870948</v>
      </c>
      <c r="P18" s="119">
        <v>31</v>
      </c>
      <c r="Q18" s="107">
        <v>70.499999999999943</v>
      </c>
    </row>
    <row r="19" spans="1:17" x14ac:dyDescent="0.4">
      <c r="A19" s="55" t="s">
        <v>11</v>
      </c>
      <c r="B19" s="47">
        <v>171</v>
      </c>
      <c r="C19" s="39">
        <f>IF(B$17=0,0,B19/B$17)</f>
        <v>0.6</v>
      </c>
      <c r="E19" s="63" t="s">
        <v>75</v>
      </c>
      <c r="F19" s="60" t="s">
        <v>30</v>
      </c>
      <c r="G19" s="47">
        <v>2</v>
      </c>
      <c r="H19" s="133">
        <f>IF(B$17=0,0,G19/B$17)</f>
        <v>7.0175438596491229E-3</v>
      </c>
      <c r="I19" s="94">
        <v>3</v>
      </c>
      <c r="K19" s="38">
        <v>17</v>
      </c>
      <c r="L19" s="99">
        <v>-55.099999999999994</v>
      </c>
      <c r="N19" s="115" t="s">
        <v>128</v>
      </c>
      <c r="O19" s="125">
        <f>IF(P19=0,0,Q19/P19)</f>
        <v>0.40270270270270248</v>
      </c>
      <c r="P19" s="119">
        <v>37</v>
      </c>
      <c r="Q19" s="107">
        <v>14.899999999999991</v>
      </c>
    </row>
    <row r="20" spans="1:17" x14ac:dyDescent="0.4">
      <c r="A20" s="55" t="s">
        <v>13</v>
      </c>
      <c r="B20" s="47">
        <v>119</v>
      </c>
      <c r="C20" s="39">
        <f>IF(B$3=0,0,B20/B$3)</f>
        <v>0.14133016627078385</v>
      </c>
      <c r="E20" s="63" t="s">
        <v>74</v>
      </c>
      <c r="F20" s="60" t="s">
        <v>29</v>
      </c>
      <c r="G20" s="47">
        <v>1</v>
      </c>
      <c r="H20" s="133">
        <f>IF(B$17=0,0,G20/B$17)</f>
        <v>3.5087719298245615E-3</v>
      </c>
      <c r="I20" s="94">
        <v>7</v>
      </c>
      <c r="K20" s="38">
        <v>18</v>
      </c>
      <c r="L20" s="99">
        <v>-28.199999999999996</v>
      </c>
      <c r="N20" s="115" t="s">
        <v>171</v>
      </c>
      <c r="O20" s="125">
        <f>IF(P20=0,0,Q20/P20)</f>
        <v>-0.9761904761904765</v>
      </c>
      <c r="P20" s="119">
        <v>21</v>
      </c>
      <c r="Q20" s="107">
        <v>-20.500000000000007</v>
      </c>
    </row>
    <row r="21" spans="1:17" x14ac:dyDescent="0.4">
      <c r="A21" s="55" t="s">
        <v>191</v>
      </c>
      <c r="B21" s="47">
        <v>10</v>
      </c>
      <c r="C21" s="135">
        <v>1</v>
      </c>
      <c r="E21" s="63" t="s">
        <v>76</v>
      </c>
      <c r="F21" s="60" t="s">
        <v>31</v>
      </c>
      <c r="G21" s="47">
        <v>1</v>
      </c>
      <c r="H21" s="133">
        <f>IF(B$17=0,0,G21/B$17)</f>
        <v>3.5087719298245615E-3</v>
      </c>
      <c r="I21" s="94">
        <v>6</v>
      </c>
      <c r="K21" s="38">
        <v>19</v>
      </c>
      <c r="L21" s="99">
        <v>29.200000000000003</v>
      </c>
      <c r="N21" s="115" t="s">
        <v>200</v>
      </c>
      <c r="O21" s="125">
        <f>IF(P21=0,0,Q21/P21)</f>
        <v>-16.62857142857143</v>
      </c>
      <c r="P21" s="119">
        <v>7</v>
      </c>
      <c r="Q21" s="107">
        <v>-116.40000000000002</v>
      </c>
    </row>
    <row r="22" spans="1:17" x14ac:dyDescent="0.4">
      <c r="A22" s="55" t="s">
        <v>192</v>
      </c>
      <c r="B22" s="47">
        <v>23</v>
      </c>
      <c r="C22" s="135">
        <v>1</v>
      </c>
      <c r="E22" s="63" t="s">
        <v>78</v>
      </c>
      <c r="F22" s="60" t="s">
        <v>33</v>
      </c>
      <c r="G22" s="47">
        <v>1</v>
      </c>
      <c r="H22" s="133">
        <f>IF(B$17=0,0,G22/B$17)</f>
        <v>3.5087719298245615E-3</v>
      </c>
      <c r="I22" s="94">
        <v>7</v>
      </c>
      <c r="K22" s="38">
        <v>20</v>
      </c>
      <c r="L22" s="99">
        <v>43</v>
      </c>
      <c r="N22" s="115" t="s">
        <v>127</v>
      </c>
      <c r="O22" s="125">
        <f>IF(P22=0,0,Q22/P22)</f>
        <v>-26.555999999999994</v>
      </c>
      <c r="P22" s="119">
        <v>50</v>
      </c>
      <c r="Q22" s="107">
        <v>-1327.7999999999997</v>
      </c>
    </row>
    <row r="23" spans="1:17" x14ac:dyDescent="0.4">
      <c r="A23" s="55" t="s">
        <v>5</v>
      </c>
      <c r="B23" s="51">
        <f>IF(B$17=0,0,C23/B$17)</f>
        <v>6753.333333333333</v>
      </c>
      <c r="C23" s="41">
        <v>1924700</v>
      </c>
      <c r="E23" s="63" t="s">
        <v>88</v>
      </c>
      <c r="F23" s="60" t="s">
        <v>43</v>
      </c>
      <c r="G23" s="47">
        <v>1</v>
      </c>
      <c r="H23" s="133">
        <f>IF(B$17=0,0,G23/B$17)</f>
        <v>3.5087719298245615E-3</v>
      </c>
      <c r="I23" s="94">
        <v>4</v>
      </c>
      <c r="K23" s="38">
        <v>21</v>
      </c>
      <c r="L23" s="99">
        <v>89.9</v>
      </c>
      <c r="N23" s="115" t="s">
        <v>223</v>
      </c>
      <c r="O23" s="125">
        <f>IF(P23=0,0,Q23/P23)</f>
        <v>-34.866666666666667</v>
      </c>
      <c r="P23" s="119">
        <v>3</v>
      </c>
      <c r="Q23" s="107">
        <v>-104.6</v>
      </c>
    </row>
    <row r="24" spans="1:17" x14ac:dyDescent="0.4">
      <c r="A24" s="57" t="s">
        <v>14</v>
      </c>
      <c r="B24" s="52">
        <f>IF(B$20=0,0,C24/B$20)</f>
        <v>-8181.5126050420167</v>
      </c>
      <c r="C24" s="45">
        <v>-973600</v>
      </c>
      <c r="E24" s="63" t="s">
        <v>91</v>
      </c>
      <c r="F24" s="60" t="s">
        <v>46</v>
      </c>
      <c r="G24" s="47">
        <v>1</v>
      </c>
      <c r="H24" s="133">
        <f>IF(B$17=0,0,G24/B$17)</f>
        <v>3.5087719298245615E-3</v>
      </c>
      <c r="I24" s="94">
        <v>3</v>
      </c>
      <c r="K24" s="38">
        <v>22</v>
      </c>
      <c r="L24" s="99">
        <v>54.7</v>
      </c>
    </row>
    <row r="25" spans="1:17" x14ac:dyDescent="0.4">
      <c r="A25" s="90" t="s">
        <v>142</v>
      </c>
      <c r="B25" s="144">
        <v>7</v>
      </c>
      <c r="C25" s="145"/>
      <c r="E25" s="63" t="s">
        <v>77</v>
      </c>
      <c r="F25" s="60" t="s">
        <v>32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42">
        <v>97500</v>
      </c>
      <c r="C26" s="143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1.1876484560570072E-3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30.400000000000006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6</v>
      </c>
      <c r="K28" s="38">
        <v>26</v>
      </c>
      <c r="L28" s="99">
        <v>32.900000000000006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5</v>
      </c>
      <c r="K29" s="38">
        <v>27</v>
      </c>
      <c r="L29" s="99">
        <v>40.400000000000006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3</v>
      </c>
      <c r="K45" s="38">
        <v>43</v>
      </c>
      <c r="L45" s="99">
        <v>-32.999999999999993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111.4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8</v>
      </c>
      <c r="K51" s="38">
        <v>49</v>
      </c>
      <c r="L51" s="99">
        <v>113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  <row r="69" spans="11:12" x14ac:dyDescent="0.4">
      <c r="K69" s="38">
        <v>67</v>
      </c>
      <c r="L69" s="99">
        <v>1.8999999999999728</v>
      </c>
    </row>
    <row r="70" spans="11:12" x14ac:dyDescent="0.4">
      <c r="K70" s="38">
        <v>68</v>
      </c>
      <c r="L70" s="99">
        <v>-39.500000000000028</v>
      </c>
    </row>
    <row r="71" spans="11:12" x14ac:dyDescent="0.4">
      <c r="K71" s="38">
        <v>69</v>
      </c>
      <c r="L71" s="99">
        <v>-7.6000000000000298</v>
      </c>
    </row>
    <row r="72" spans="11:12" x14ac:dyDescent="0.4">
      <c r="K72" s="38">
        <v>70</v>
      </c>
      <c r="L72" s="99">
        <v>-32.000000000000028</v>
      </c>
    </row>
    <row r="73" spans="11:12" x14ac:dyDescent="0.4">
      <c r="K73" s="38">
        <v>71</v>
      </c>
      <c r="L73" s="99">
        <v>-76.600000000000023</v>
      </c>
    </row>
    <row r="74" spans="11:12" x14ac:dyDescent="0.4">
      <c r="K74" s="38">
        <v>72</v>
      </c>
      <c r="L74" s="99">
        <v>-68.40000000000002</v>
      </c>
    </row>
    <row r="75" spans="11:12" x14ac:dyDescent="0.4">
      <c r="K75" s="38">
        <v>73</v>
      </c>
      <c r="L75" s="99">
        <v>-129.30000000000001</v>
      </c>
    </row>
    <row r="76" spans="11:12" x14ac:dyDescent="0.4">
      <c r="K76" s="38">
        <v>74</v>
      </c>
      <c r="L76" s="99">
        <v>-61.500000000000014</v>
      </c>
    </row>
    <row r="77" spans="11:12" x14ac:dyDescent="0.4">
      <c r="K77" s="38">
        <v>75</v>
      </c>
      <c r="L77" s="99">
        <v>-76.40000000000002</v>
      </c>
    </row>
    <row r="78" spans="11:12" x14ac:dyDescent="0.4">
      <c r="K78" s="38">
        <v>76</v>
      </c>
      <c r="L78" s="99">
        <v>-36.300000000000018</v>
      </c>
    </row>
    <row r="79" spans="11:12" x14ac:dyDescent="0.4">
      <c r="K79" s="38">
        <v>77</v>
      </c>
      <c r="L79" s="99">
        <v>-37.300000000000018</v>
      </c>
    </row>
    <row r="80" spans="11:12" x14ac:dyDescent="0.4">
      <c r="K80" s="38">
        <v>78</v>
      </c>
      <c r="L80" s="99">
        <v>-38.600000000000016</v>
      </c>
    </row>
    <row r="81" spans="11:12" x14ac:dyDescent="0.4">
      <c r="K81" s="38">
        <v>79</v>
      </c>
      <c r="L81" s="99">
        <v>-67.000000000000014</v>
      </c>
    </row>
    <row r="82" spans="11:12" x14ac:dyDescent="0.4">
      <c r="K82" s="38">
        <v>80</v>
      </c>
      <c r="L82" s="99">
        <v>-114.70000000000002</v>
      </c>
    </row>
    <row r="83" spans="11:12" x14ac:dyDescent="0.4">
      <c r="K83" s="38">
        <v>81</v>
      </c>
      <c r="L83" s="99">
        <v>-115.90000000000002</v>
      </c>
    </row>
    <row r="84" spans="11:12" x14ac:dyDescent="0.4">
      <c r="K84" s="38">
        <v>82</v>
      </c>
      <c r="L84" s="99">
        <v>-110.60000000000002</v>
      </c>
    </row>
    <row r="85" spans="11:12" x14ac:dyDescent="0.4">
      <c r="K85" s="38">
        <v>83</v>
      </c>
      <c r="L85" s="99">
        <v>-101.20000000000002</v>
      </c>
    </row>
    <row r="86" spans="11:12" x14ac:dyDescent="0.4">
      <c r="K86" s="38">
        <v>84</v>
      </c>
      <c r="L86" s="99">
        <v>-162.90000000000003</v>
      </c>
    </row>
    <row r="87" spans="11:12" x14ac:dyDescent="0.4">
      <c r="K87" s="38">
        <v>85</v>
      </c>
      <c r="L87" s="99">
        <v>-121.30000000000004</v>
      </c>
    </row>
    <row r="88" spans="11:12" x14ac:dyDescent="0.4">
      <c r="K88" s="38">
        <v>86</v>
      </c>
      <c r="L88" s="99">
        <v>-133.30000000000004</v>
      </c>
    </row>
    <row r="89" spans="11:12" x14ac:dyDescent="0.4">
      <c r="K89" s="38">
        <v>87</v>
      </c>
      <c r="L89" s="99">
        <v>-118.60000000000004</v>
      </c>
    </row>
    <row r="90" spans="11:12" x14ac:dyDescent="0.4">
      <c r="K90" s="38">
        <v>88</v>
      </c>
      <c r="L90" s="99">
        <v>-163.20000000000005</v>
      </c>
    </row>
    <row r="91" spans="11:12" x14ac:dyDescent="0.4">
      <c r="K91" s="38">
        <v>89</v>
      </c>
      <c r="L91" s="99">
        <v>-123.90000000000005</v>
      </c>
    </row>
    <row r="92" spans="11:12" x14ac:dyDescent="0.4">
      <c r="K92" s="38">
        <v>90</v>
      </c>
      <c r="L92" s="99">
        <v>-122.80000000000005</v>
      </c>
    </row>
    <row r="93" spans="11:12" x14ac:dyDescent="0.4">
      <c r="K93" s="38">
        <v>91</v>
      </c>
      <c r="L93" s="99">
        <v>-121.50000000000006</v>
      </c>
    </row>
    <row r="94" spans="11:12" x14ac:dyDescent="0.4">
      <c r="K94" s="38">
        <v>92</v>
      </c>
      <c r="L94" s="99">
        <v>-120.50000000000006</v>
      </c>
    </row>
    <row r="95" spans="11:12" x14ac:dyDescent="0.4">
      <c r="K95" s="38">
        <v>93</v>
      </c>
      <c r="L95" s="99">
        <v>-155.10000000000005</v>
      </c>
    </row>
    <row r="96" spans="11:12" x14ac:dyDescent="0.4">
      <c r="K96" s="38">
        <v>94</v>
      </c>
      <c r="L96" s="99">
        <v>-184.60000000000005</v>
      </c>
    </row>
    <row r="97" spans="11:12" x14ac:dyDescent="0.4">
      <c r="K97" s="38">
        <v>95</v>
      </c>
      <c r="L97" s="99">
        <v>-161.50000000000006</v>
      </c>
    </row>
    <row r="98" spans="11:12" x14ac:dyDescent="0.4">
      <c r="K98" s="38">
        <v>96</v>
      </c>
      <c r="L98" s="99">
        <v>-202.00000000000006</v>
      </c>
    </row>
    <row r="99" spans="11:12" x14ac:dyDescent="0.4">
      <c r="K99" s="38">
        <v>97</v>
      </c>
      <c r="L99" s="99">
        <v>-200.50000000000006</v>
      </c>
    </row>
    <row r="100" spans="11:12" x14ac:dyDescent="0.4">
      <c r="K100" s="38">
        <v>98</v>
      </c>
      <c r="L100" s="99">
        <v>-164.70000000000005</v>
      </c>
    </row>
    <row r="101" spans="11:12" x14ac:dyDescent="0.4">
      <c r="K101" s="38">
        <v>99</v>
      </c>
      <c r="L101" s="99">
        <v>-172.90000000000003</v>
      </c>
    </row>
    <row r="102" spans="11:12" x14ac:dyDescent="0.4">
      <c r="K102" s="38">
        <v>100</v>
      </c>
      <c r="L102" s="99">
        <v>-177.80000000000004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AF962-210A-45A3-B9E2-0C0E43079DE7}">
  <sheetPr codeName="Sheet17"/>
  <dimension ref="A1:Q5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53</v>
      </c>
      <c r="C2" s="151"/>
      <c r="E2" s="62" t="s">
        <v>65</v>
      </c>
      <c r="F2" s="59" t="s">
        <v>21</v>
      </c>
      <c r="G2" s="46">
        <v>55</v>
      </c>
      <c r="H2" s="132">
        <f>IF(B$17=0,0,G2/B$17)</f>
        <v>0.41984732824427479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-2686.7924528301887</v>
      </c>
      <c r="P2" s="118">
        <v>53</v>
      </c>
      <c r="Q2" s="102">
        <v>-142400</v>
      </c>
    </row>
    <row r="3" spans="1:17" x14ac:dyDescent="0.4">
      <c r="A3" s="55" t="s">
        <v>8</v>
      </c>
      <c r="B3" s="152">
        <v>461</v>
      </c>
      <c r="C3" s="153"/>
      <c r="E3" s="63" t="s">
        <v>66</v>
      </c>
      <c r="F3" s="60" t="s">
        <v>22</v>
      </c>
      <c r="G3" s="47">
        <v>10</v>
      </c>
      <c r="H3" s="133">
        <f>IF(B$17=0,0,G3/B$17)</f>
        <v>7.6335877862595422E-2</v>
      </c>
      <c r="I3" s="94">
        <v>10</v>
      </c>
      <c r="K3" s="38">
        <v>1</v>
      </c>
      <c r="L3" s="99">
        <v>-82.6</v>
      </c>
      <c r="N3" s="115" t="s">
        <v>133</v>
      </c>
      <c r="O3" s="122">
        <f t="shared" si="0"/>
        <v>1784.9056603773586</v>
      </c>
      <c r="P3" s="119">
        <v>53</v>
      </c>
      <c r="Q3" s="103">
        <v>94600</v>
      </c>
    </row>
    <row r="4" spans="1:17" x14ac:dyDescent="0.4">
      <c r="A4" s="55" t="s">
        <v>6</v>
      </c>
      <c r="B4" s="154">
        <v>-396.70000000000005</v>
      </c>
      <c r="C4" s="155"/>
      <c r="E4" s="63" t="s">
        <v>67</v>
      </c>
      <c r="F4" s="60" t="s">
        <v>23</v>
      </c>
      <c r="G4" s="47">
        <v>87</v>
      </c>
      <c r="H4" s="133">
        <f>IF(B$17=0,0,G4/B$17)</f>
        <v>0.66412213740458015</v>
      </c>
      <c r="I4" s="94">
        <v>9</v>
      </c>
      <c r="K4" s="38">
        <v>2</v>
      </c>
      <c r="L4" s="99">
        <v>-122.3</v>
      </c>
      <c r="N4" s="115" t="s">
        <v>134</v>
      </c>
      <c r="O4" s="122">
        <f t="shared" si="0"/>
        <v>-1194</v>
      </c>
      <c r="P4" s="119">
        <v>50</v>
      </c>
      <c r="Q4" s="103">
        <v>-59700</v>
      </c>
    </row>
    <row r="5" spans="1:17" x14ac:dyDescent="0.4">
      <c r="A5" s="55" t="s">
        <v>7</v>
      </c>
      <c r="B5" s="156">
        <f>IF(B$2=0,0,B$4/B$2)</f>
        <v>-7.4849056603773594</v>
      </c>
      <c r="C5" s="157"/>
      <c r="E5" s="63" t="s">
        <v>68</v>
      </c>
      <c r="F5" s="60" t="s">
        <v>24</v>
      </c>
      <c r="G5" s="47">
        <v>29</v>
      </c>
      <c r="H5" s="133">
        <f>IF(B$17=0,0,G5/B$17)</f>
        <v>0.22137404580152673</v>
      </c>
      <c r="I5" s="94">
        <v>12</v>
      </c>
      <c r="K5" s="38">
        <v>3</v>
      </c>
      <c r="L5" s="99">
        <v>-149</v>
      </c>
      <c r="N5" s="115" t="s">
        <v>135</v>
      </c>
      <c r="O5" s="122">
        <f t="shared" si="0"/>
        <v>-4158.695652173913</v>
      </c>
      <c r="P5" s="119">
        <v>46</v>
      </c>
      <c r="Q5" s="103">
        <v>-191300</v>
      </c>
    </row>
    <row r="6" spans="1:17" x14ac:dyDescent="0.4">
      <c r="A6" s="55" t="s">
        <v>1</v>
      </c>
      <c r="B6" s="146">
        <f>IF(B$2=0,0,(B$7*1+B$8*2+B$9*3)/B$2)</f>
        <v>2.1132075471698113</v>
      </c>
      <c r="C6" s="147"/>
      <c r="E6" s="63" t="s">
        <v>69</v>
      </c>
      <c r="F6" s="60" t="s">
        <v>12</v>
      </c>
      <c r="G6" s="47">
        <v>50</v>
      </c>
      <c r="H6" s="133">
        <f>IF(B$17=0,0,G6/B$17)</f>
        <v>0.38167938931297712</v>
      </c>
      <c r="I6" s="94">
        <v>3</v>
      </c>
      <c r="K6" s="38">
        <v>4</v>
      </c>
      <c r="L6" s="99">
        <v>-150.6</v>
      </c>
      <c r="N6" s="115" t="s">
        <v>136</v>
      </c>
      <c r="O6" s="122">
        <f t="shared" si="0"/>
        <v>-251.21951219512195</v>
      </c>
      <c r="P6" s="119">
        <v>41</v>
      </c>
      <c r="Q6" s="103">
        <v>-10300</v>
      </c>
    </row>
    <row r="7" spans="1:17" x14ac:dyDescent="0.4">
      <c r="A7" s="55" t="s">
        <v>2</v>
      </c>
      <c r="B7" s="47">
        <v>15</v>
      </c>
      <c r="C7" s="39">
        <f>IF(B$2=0,0,B7/B$2)</f>
        <v>0.28301886792452829</v>
      </c>
      <c r="E7" s="63" t="s">
        <v>70</v>
      </c>
      <c r="F7" s="60" t="s">
        <v>25</v>
      </c>
      <c r="G7" s="47">
        <v>16</v>
      </c>
      <c r="H7" s="133">
        <f>IF(B$17=0,0,G7/B$17)</f>
        <v>0.12213740458015267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-55.263157894736842</v>
      </c>
      <c r="P7" s="120">
        <v>38</v>
      </c>
      <c r="Q7" s="104">
        <v>-2100</v>
      </c>
    </row>
    <row r="8" spans="1:17" x14ac:dyDescent="0.4">
      <c r="A8" s="55" t="s">
        <v>3</v>
      </c>
      <c r="B8" s="47">
        <v>17</v>
      </c>
      <c r="C8" s="39">
        <f>IF(B$2=0,0,B8/B$2)</f>
        <v>0.32075471698113206</v>
      </c>
      <c r="E8" s="63" t="s">
        <v>71</v>
      </c>
      <c r="F8" s="60" t="s">
        <v>26</v>
      </c>
      <c r="G8" s="47">
        <v>15</v>
      </c>
      <c r="H8" s="133">
        <f>IF(B$17=0,0,G8/B$17)</f>
        <v>0.11450381679389313</v>
      </c>
      <c r="I8" s="94">
        <v>4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21</v>
      </c>
      <c r="C9" s="40">
        <f t="shared" ref="C9" si="1">IF(B$2=0,0,B9/B$2)</f>
        <v>0.39622641509433965</v>
      </c>
      <c r="E9" s="63" t="s">
        <v>72</v>
      </c>
      <c r="F9" s="60" t="s">
        <v>27</v>
      </c>
      <c r="G9" s="47">
        <v>6</v>
      </c>
      <c r="H9" s="133">
        <f>IF(B$17=0,0,G9/B$17)</f>
        <v>4.5801526717557252E-2</v>
      </c>
      <c r="I9" s="94">
        <v>11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0.15094339622641509</v>
      </c>
      <c r="E10" s="63" t="s">
        <v>73</v>
      </c>
      <c r="F10" s="60" t="s">
        <v>28</v>
      </c>
      <c r="G10" s="47">
        <v>67</v>
      </c>
      <c r="H10" s="133">
        <f>IF(B$17=0,0,G10/B$17)</f>
        <v>0.51145038167938928</v>
      </c>
      <c r="I10" s="94">
        <v>9</v>
      </c>
      <c r="K10" s="38">
        <v>8</v>
      </c>
      <c r="L10" s="99">
        <v>-219.59999999999997</v>
      </c>
      <c r="N10" s="114" t="s">
        <v>164</v>
      </c>
      <c r="O10" s="124">
        <f>IF(P10=0,0,Q10/P10)</f>
        <v>-13.678571428571429</v>
      </c>
      <c r="P10" s="118">
        <v>14</v>
      </c>
      <c r="Q10" s="106">
        <v>-191.5</v>
      </c>
    </row>
    <row r="11" spans="1:17" x14ac:dyDescent="0.4">
      <c r="A11" s="56" t="s">
        <v>140</v>
      </c>
      <c r="B11" s="48">
        <v>4</v>
      </c>
      <c r="C11" s="40">
        <f>IF(B$2=0,0,B11/B$2)</f>
        <v>7.5471698113207544E-2</v>
      </c>
      <c r="E11" s="63" t="s">
        <v>74</v>
      </c>
      <c r="F11" s="60" t="s">
        <v>29</v>
      </c>
      <c r="G11" s="47">
        <v>3</v>
      </c>
      <c r="H11" s="133">
        <f>IF(B$17=0,0,G11/B$17)</f>
        <v>2.2900763358778626E-2</v>
      </c>
      <c r="I11" s="94">
        <v>1</v>
      </c>
      <c r="K11" s="38">
        <v>9</v>
      </c>
      <c r="L11" s="99">
        <v>-260.59999999999997</v>
      </c>
      <c r="N11" s="115" t="s">
        <v>165</v>
      </c>
      <c r="O11" s="125">
        <f>IF(P11=0,0,Q11/P11)</f>
        <v>-4.331999999999999</v>
      </c>
      <c r="P11" s="119">
        <v>25</v>
      </c>
      <c r="Q11" s="107">
        <v>-108.29999999999997</v>
      </c>
    </row>
    <row r="12" spans="1:17" x14ac:dyDescent="0.4">
      <c r="A12" s="57" t="s">
        <v>160</v>
      </c>
      <c r="B12" s="49">
        <v>3</v>
      </c>
      <c r="C12" s="42">
        <f>IF(B$2=0,0,B12/B$2)</f>
        <v>5.6603773584905662E-2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-318.39999999999998</v>
      </c>
      <c r="N12" s="116" t="s">
        <v>166</v>
      </c>
      <c r="O12" s="126">
        <f>IF(P12=0,0,Q12/P12)</f>
        <v>-6.9214285714285699</v>
      </c>
      <c r="P12" s="120">
        <v>14</v>
      </c>
      <c r="Q12" s="108">
        <v>-96.899999999999977</v>
      </c>
    </row>
    <row r="13" spans="1:17" x14ac:dyDescent="0.4">
      <c r="A13" s="58" t="s">
        <v>122</v>
      </c>
      <c r="B13" s="50">
        <v>103</v>
      </c>
      <c r="C13" s="44">
        <f>IF(B$3=0,0,B13/B$3)</f>
        <v>0.22342733188720174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109</v>
      </c>
      <c r="C14" s="39">
        <f>IF(B$3=0,0,B14/B$3)</f>
        <v>0.23644251626898047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57</v>
      </c>
      <c r="C15" s="37">
        <f>IF(B$13=0,0,B15/B$13)</f>
        <v>0.55339805825242716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K15" s="38">
        <v>13</v>
      </c>
      <c r="L15" s="99">
        <v>-302.59999999999997</v>
      </c>
      <c r="N15" s="114" t="s">
        <v>271</v>
      </c>
      <c r="O15" s="124">
        <f t="shared" ref="O15:O24" si="2">IF(P15=0,0,Q15/P15)</f>
        <v>83.449999999999989</v>
      </c>
      <c r="P15" s="118">
        <v>2</v>
      </c>
      <c r="Q15" s="106">
        <v>166.89999999999998</v>
      </c>
    </row>
    <row r="16" spans="1:17" x14ac:dyDescent="0.4">
      <c r="A16" s="54" t="s">
        <v>125</v>
      </c>
      <c r="B16" s="46">
        <v>37</v>
      </c>
      <c r="C16" s="37">
        <f>IF(B$14=0,0,B16/B$14)</f>
        <v>0.33944954128440369</v>
      </c>
      <c r="E16" s="63" t="s">
        <v>79</v>
      </c>
      <c r="F16" s="60" t="s">
        <v>34</v>
      </c>
      <c r="G16" s="47">
        <v>3</v>
      </c>
      <c r="H16" s="133">
        <f>IF(B$17=0,0,G16/B$17)</f>
        <v>2.2900763358778626E-2</v>
      </c>
      <c r="I16" s="94">
        <v>9</v>
      </c>
      <c r="K16" s="38">
        <v>14</v>
      </c>
      <c r="L16" s="99">
        <v>-269.99999999999994</v>
      </c>
      <c r="N16" s="115" t="s">
        <v>129</v>
      </c>
      <c r="O16" s="125">
        <f t="shared" si="2"/>
        <v>17.118181818181821</v>
      </c>
      <c r="P16" s="119">
        <v>11</v>
      </c>
      <c r="Q16" s="107">
        <v>188.3</v>
      </c>
    </row>
    <row r="17" spans="1:17" x14ac:dyDescent="0.4">
      <c r="A17" s="54" t="s">
        <v>10</v>
      </c>
      <c r="B17" s="46">
        <f>B19+B18</f>
        <v>131</v>
      </c>
      <c r="C17" s="37">
        <f>IF(B$3=0,0,B17/B$3)</f>
        <v>0.2841648590021692</v>
      </c>
      <c r="E17" s="63" t="s">
        <v>80</v>
      </c>
      <c r="F17" s="60" t="s">
        <v>35</v>
      </c>
      <c r="G17" s="47">
        <v>2</v>
      </c>
      <c r="H17" s="133">
        <f>IF(B$17=0,0,G17/B$17)</f>
        <v>1.5267175572519083E-2</v>
      </c>
      <c r="I17" s="94">
        <v>7</v>
      </c>
      <c r="K17" s="38">
        <v>15</v>
      </c>
      <c r="L17" s="99">
        <v>-264.59999999999997</v>
      </c>
      <c r="N17" s="115" t="s">
        <v>172</v>
      </c>
      <c r="O17" s="125">
        <f t="shared" si="2"/>
        <v>-6.633333333333332</v>
      </c>
      <c r="P17" s="119">
        <v>12</v>
      </c>
      <c r="Q17" s="107">
        <v>-79.59999999999998</v>
      </c>
    </row>
    <row r="18" spans="1:17" x14ac:dyDescent="0.4">
      <c r="A18" s="55" t="s">
        <v>12</v>
      </c>
      <c r="B18" s="47">
        <v>66</v>
      </c>
      <c r="C18" s="39">
        <f>IF(B$17=0,0,B18/B$17)</f>
        <v>0.50381679389312972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-292.79999999999995</v>
      </c>
      <c r="N18" s="115" t="s">
        <v>128</v>
      </c>
      <c r="O18" s="125">
        <f t="shared" si="2"/>
        <v>-9.2423076923076888</v>
      </c>
      <c r="P18" s="119">
        <v>26</v>
      </c>
      <c r="Q18" s="107">
        <v>-240.29999999999993</v>
      </c>
    </row>
    <row r="19" spans="1:17" x14ac:dyDescent="0.4">
      <c r="A19" s="55" t="s">
        <v>11</v>
      </c>
      <c r="B19" s="47">
        <v>65</v>
      </c>
      <c r="C19" s="39">
        <f>IF(B$17=0,0,B19/B$17)</f>
        <v>0.49618320610687022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11</v>
      </c>
      <c r="K19" s="38">
        <v>17</v>
      </c>
      <c r="L19" s="99">
        <v>-248.89999999999995</v>
      </c>
      <c r="N19" s="115" t="s">
        <v>171</v>
      </c>
      <c r="O19" s="125">
        <f t="shared" si="2"/>
        <v>-12.777777777777775</v>
      </c>
      <c r="P19" s="119">
        <v>18</v>
      </c>
      <c r="Q19" s="107">
        <v>-229.99999999999994</v>
      </c>
    </row>
    <row r="20" spans="1:17" x14ac:dyDescent="0.4">
      <c r="A20" s="55" t="s">
        <v>13</v>
      </c>
      <c r="B20" s="47">
        <v>84</v>
      </c>
      <c r="C20" s="39">
        <f>IF(B$3=0,0,B20/B$3)</f>
        <v>0.1822125813449024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127</v>
      </c>
      <c r="O20" s="125">
        <f t="shared" si="2"/>
        <v>-16.769565217391303</v>
      </c>
      <c r="P20" s="119">
        <v>23</v>
      </c>
      <c r="Q20" s="107">
        <v>-385.7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2</v>
      </c>
      <c r="H21" s="133">
        <f>IF(B$17=0,0,G21/B$17)</f>
        <v>1.5267175572519083E-2</v>
      </c>
      <c r="I21" s="94">
        <v>11</v>
      </c>
      <c r="K21" s="38">
        <v>19</v>
      </c>
      <c r="L21" s="99">
        <v>-188.59999999999994</v>
      </c>
      <c r="N21" s="115" t="s">
        <v>177</v>
      </c>
      <c r="O21" s="125">
        <f t="shared" si="2"/>
        <v>-25.12222222222222</v>
      </c>
      <c r="P21" s="119">
        <v>9</v>
      </c>
      <c r="Q21" s="107">
        <v>-226.1</v>
      </c>
    </row>
    <row r="22" spans="1:17" x14ac:dyDescent="0.4">
      <c r="A22" s="55" t="s">
        <v>192</v>
      </c>
      <c r="B22" s="47">
        <v>24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-182.79999999999993</v>
      </c>
      <c r="N22" s="115" t="s">
        <v>183</v>
      </c>
      <c r="O22" s="125">
        <f t="shared" si="2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7648.0916030534354</v>
      </c>
      <c r="C23" s="41">
        <v>1001900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-203.79999999999993</v>
      </c>
      <c r="N23" s="115" t="s">
        <v>200</v>
      </c>
      <c r="O23" s="125">
        <f t="shared" si="2"/>
        <v>-59.70000000000001</v>
      </c>
      <c r="P23" s="119">
        <v>3</v>
      </c>
      <c r="Q23" s="107">
        <v>-179.10000000000002</v>
      </c>
    </row>
    <row r="24" spans="1:17" x14ac:dyDescent="0.4">
      <c r="A24" s="57" t="s">
        <v>14</v>
      </c>
      <c r="B24" s="52">
        <f>IF(B$20=0,0,C24/B$20)</f>
        <v>-8327.3809523809523</v>
      </c>
      <c r="C24" s="45">
        <v>-699500</v>
      </c>
      <c r="E24" s="63" t="s">
        <v>87</v>
      </c>
      <c r="F24" s="60" t="s">
        <v>42</v>
      </c>
      <c r="G24" s="47">
        <v>6</v>
      </c>
      <c r="H24" s="133">
        <f>IF(B$17=0,0,G24/B$17)</f>
        <v>4.5801526717557252E-2</v>
      </c>
      <c r="I24" s="94">
        <v>10</v>
      </c>
      <c r="K24" s="38">
        <v>22</v>
      </c>
      <c r="L24" s="99">
        <v>-262.49999999999994</v>
      </c>
      <c r="N24" s="115" t="s">
        <v>184</v>
      </c>
      <c r="O24" s="125">
        <f t="shared" si="2"/>
        <v>-159</v>
      </c>
      <c r="P24" s="119">
        <v>1</v>
      </c>
      <c r="Q24" s="107">
        <v>-159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7.6335877862595417E-3</v>
      </c>
      <c r="I25" s="94">
        <v>1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42">
        <v>113300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4.3383947939262474E-3</v>
      </c>
      <c r="E27" s="63" t="s">
        <v>90</v>
      </c>
      <c r="F27" s="60" t="s">
        <v>45</v>
      </c>
      <c r="G27" s="47">
        <v>18</v>
      </c>
      <c r="H27" s="133">
        <f>IF(B$17=0,0,G27/B$17)</f>
        <v>0.13740458015267176</v>
      </c>
      <c r="I27" s="94">
        <v>6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1.5267175572519083E-2</v>
      </c>
      <c r="I29" s="94">
        <v>7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107</v>
      </c>
      <c r="F44" s="60" t="s">
        <v>114</v>
      </c>
      <c r="G44" s="47">
        <v>1</v>
      </c>
      <c r="H44" s="133">
        <f>IF(B$17=0,0,G44/B$17)</f>
        <v>7.6335877862595417E-3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-295.39999999999998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-377.4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-439.7</v>
      </c>
    </row>
    <row r="50" spans="5:12" x14ac:dyDescent="0.4">
      <c r="E50" s="63" t="s">
        <v>180</v>
      </c>
      <c r="F50" s="60" t="s">
        <v>181</v>
      </c>
      <c r="G50" s="47">
        <v>2</v>
      </c>
      <c r="H50" s="133">
        <f>IF(B$17=0,0,G50/B$17)</f>
        <v>1.5267175572519083E-2</v>
      </c>
      <c r="I50" s="94">
        <v>6</v>
      </c>
      <c r="K50" s="38">
        <v>48</v>
      </c>
      <c r="L50" s="99">
        <v>-387.7</v>
      </c>
    </row>
    <row r="51" spans="5:12" x14ac:dyDescent="0.4">
      <c r="E51" s="136" t="s">
        <v>245</v>
      </c>
      <c r="F51" s="137" t="s">
        <v>246</v>
      </c>
      <c r="G51" s="48">
        <v>50</v>
      </c>
      <c r="H51" s="138">
        <f>IF(B$17=0,0,G51/B$17)</f>
        <v>0.38167938931297712</v>
      </c>
      <c r="I51" s="139">
        <v>11</v>
      </c>
      <c r="K51" s="38">
        <v>49</v>
      </c>
      <c r="L51" s="99">
        <v>-433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-437.3</v>
      </c>
    </row>
    <row r="53" spans="5:12" x14ac:dyDescent="0.4">
      <c r="K53" s="38">
        <v>51</v>
      </c>
      <c r="L53" s="99">
        <v>-495.90000000000003</v>
      </c>
    </row>
    <row r="54" spans="5:12" x14ac:dyDescent="0.4">
      <c r="K54" s="38">
        <v>52</v>
      </c>
      <c r="L54" s="99">
        <v>-397.6</v>
      </c>
    </row>
    <row r="55" spans="5:12" x14ac:dyDescent="0.4">
      <c r="K55" s="38">
        <v>53</v>
      </c>
      <c r="L55" s="99">
        <v>-396.70000000000005</v>
      </c>
    </row>
  </sheetData>
  <sortState ref="E2:I55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18BB8-8B39-4262-BCE4-228DB84B0532}">
  <sheetPr codeName="Sheet19"/>
  <dimension ref="A1:Q9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96</v>
      </c>
      <c r="C2" s="151"/>
      <c r="E2" s="62" t="s">
        <v>65</v>
      </c>
      <c r="F2" s="59" t="s">
        <v>21</v>
      </c>
      <c r="G2" s="46">
        <v>133</v>
      </c>
      <c r="H2" s="132">
        <f>IF(B$17=0,0,G2/B$17)</f>
        <v>0.61860465116279073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937.5</v>
      </c>
      <c r="P2" s="118">
        <v>96</v>
      </c>
      <c r="Q2" s="102">
        <v>90000</v>
      </c>
    </row>
    <row r="3" spans="1:17" x14ac:dyDescent="0.4">
      <c r="A3" s="55" t="s">
        <v>8</v>
      </c>
      <c r="B3" s="152">
        <v>783</v>
      </c>
      <c r="C3" s="153"/>
      <c r="E3" s="63" t="s">
        <v>66</v>
      </c>
      <c r="F3" s="60" t="s">
        <v>22</v>
      </c>
      <c r="G3" s="47">
        <v>24</v>
      </c>
      <c r="H3" s="133">
        <f>IF(B$17=0,0,G3/B$17)</f>
        <v>0.11162790697674418</v>
      </c>
      <c r="I3" s="94">
        <v>4</v>
      </c>
      <c r="K3" s="38">
        <v>1</v>
      </c>
      <c r="L3" s="99">
        <v>-1.9</v>
      </c>
      <c r="N3" s="115" t="s">
        <v>133</v>
      </c>
      <c r="O3" s="122">
        <f t="shared" si="0"/>
        <v>205.43478260869566</v>
      </c>
      <c r="P3" s="119">
        <v>92</v>
      </c>
      <c r="Q3" s="103">
        <v>18900</v>
      </c>
    </row>
    <row r="4" spans="1:17" x14ac:dyDescent="0.4">
      <c r="A4" s="55" t="s">
        <v>6</v>
      </c>
      <c r="B4" s="154">
        <v>48.899999999999928</v>
      </c>
      <c r="C4" s="155"/>
      <c r="E4" s="63" t="s">
        <v>67</v>
      </c>
      <c r="F4" s="60" t="s">
        <v>23</v>
      </c>
      <c r="G4" s="47">
        <v>118</v>
      </c>
      <c r="H4" s="133">
        <f>IF(B$17=0,0,G4/B$17)</f>
        <v>0.5488372093023256</v>
      </c>
      <c r="I4" s="94">
        <v>12</v>
      </c>
      <c r="K4" s="38">
        <v>2</v>
      </c>
      <c r="L4" s="99">
        <v>30</v>
      </c>
      <c r="N4" s="115" t="s">
        <v>134</v>
      </c>
      <c r="O4" s="122">
        <f t="shared" si="0"/>
        <v>-298.8095238095238</v>
      </c>
      <c r="P4" s="119">
        <v>84</v>
      </c>
      <c r="Q4" s="103">
        <v>-25100</v>
      </c>
    </row>
    <row r="5" spans="1:17" x14ac:dyDescent="0.4">
      <c r="A5" s="55" t="s">
        <v>7</v>
      </c>
      <c r="B5" s="156">
        <f>IF(B$2=0,0,B$4/B$2)</f>
        <v>0.50937499999999925</v>
      </c>
      <c r="C5" s="157"/>
      <c r="E5" s="63" t="s">
        <v>68</v>
      </c>
      <c r="F5" s="60" t="s">
        <v>24</v>
      </c>
      <c r="G5" s="47">
        <v>91</v>
      </c>
      <c r="H5" s="133">
        <f>IF(B$17=0,0,G5/B$17)</f>
        <v>0.42325581395348838</v>
      </c>
      <c r="I5" s="94">
        <v>2</v>
      </c>
      <c r="K5" s="38">
        <v>3</v>
      </c>
      <c r="L5" s="99">
        <v>-10</v>
      </c>
      <c r="N5" s="115" t="s">
        <v>135</v>
      </c>
      <c r="O5" s="122">
        <f t="shared" si="0"/>
        <v>1405</v>
      </c>
      <c r="P5" s="119">
        <v>80</v>
      </c>
      <c r="Q5" s="103">
        <v>112400</v>
      </c>
    </row>
    <row r="6" spans="1:17" x14ac:dyDescent="0.4">
      <c r="A6" s="55" t="s">
        <v>1</v>
      </c>
      <c r="B6" s="146">
        <f>IF(B$2=0,0,(B$7*1+B$8*2+B$9*3)/B$2)</f>
        <v>1.9791666666666667</v>
      </c>
      <c r="C6" s="147"/>
      <c r="E6" s="63" t="s">
        <v>69</v>
      </c>
      <c r="F6" s="60" t="s">
        <v>12</v>
      </c>
      <c r="G6" s="47">
        <v>72</v>
      </c>
      <c r="H6" s="133">
        <f>IF(B$17=0,0,G6/B$17)</f>
        <v>0.33488372093023255</v>
      </c>
      <c r="I6" s="94">
        <v>6</v>
      </c>
      <c r="K6" s="38">
        <v>4</v>
      </c>
      <c r="L6" s="99">
        <v>40</v>
      </c>
      <c r="N6" s="115" t="s">
        <v>136</v>
      </c>
      <c r="O6" s="122">
        <f t="shared" si="0"/>
        <v>-1846.5753424657535</v>
      </c>
      <c r="P6" s="119">
        <v>73</v>
      </c>
      <c r="Q6" s="103">
        <v>-134800</v>
      </c>
    </row>
    <row r="7" spans="1:17" x14ac:dyDescent="0.4">
      <c r="A7" s="55" t="s">
        <v>2</v>
      </c>
      <c r="B7" s="47">
        <v>33</v>
      </c>
      <c r="C7" s="39">
        <f>IF(B$2=0,0,B7/B$2)</f>
        <v>0.34375</v>
      </c>
      <c r="E7" s="63" t="s">
        <v>70</v>
      </c>
      <c r="F7" s="60" t="s">
        <v>25</v>
      </c>
      <c r="G7" s="47">
        <v>35</v>
      </c>
      <c r="H7" s="133">
        <f>IF(B$17=0,0,G7/B$17)</f>
        <v>0.16279069767441862</v>
      </c>
      <c r="I7" s="94">
        <v>7</v>
      </c>
      <c r="K7" s="38">
        <v>5</v>
      </c>
      <c r="L7" s="99">
        <v>35.4</v>
      </c>
      <c r="N7" s="116" t="s">
        <v>137</v>
      </c>
      <c r="O7" s="123">
        <f t="shared" si="0"/>
        <v>793.44262295081967</v>
      </c>
      <c r="P7" s="120">
        <v>61</v>
      </c>
      <c r="Q7" s="104">
        <v>48400</v>
      </c>
    </row>
    <row r="8" spans="1:17" x14ac:dyDescent="0.4">
      <c r="A8" s="55" t="s">
        <v>3</v>
      </c>
      <c r="B8" s="47">
        <v>32</v>
      </c>
      <c r="C8" s="39">
        <f>IF(B$2=0,0,B8/B$2)</f>
        <v>0.33333333333333331</v>
      </c>
      <c r="E8" s="63" t="s">
        <v>71</v>
      </c>
      <c r="F8" s="60" t="s">
        <v>26</v>
      </c>
      <c r="G8" s="47">
        <v>16</v>
      </c>
      <c r="H8" s="133">
        <f>IF(B$17=0,0,G8/B$17)</f>
        <v>7.441860465116279E-2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31</v>
      </c>
      <c r="C9" s="40">
        <f t="shared" ref="C9" si="1">IF(B$2=0,0,B9/B$2)</f>
        <v>0.32291666666666669</v>
      </c>
      <c r="E9" s="63" t="s">
        <v>72</v>
      </c>
      <c r="F9" s="60" t="s">
        <v>27</v>
      </c>
      <c r="G9" s="47">
        <v>16</v>
      </c>
      <c r="H9" s="133">
        <f>IF(B$17=0,0,G9/B$17)</f>
        <v>7.441860465116279E-2</v>
      </c>
      <c r="I9" s="94">
        <v>5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13</v>
      </c>
      <c r="C10" s="40">
        <f>IF(B$2=0,0,B10/B$2)</f>
        <v>0.13541666666666666</v>
      </c>
      <c r="E10" s="63" t="s">
        <v>73</v>
      </c>
      <c r="F10" s="60" t="s">
        <v>28</v>
      </c>
      <c r="G10" s="47">
        <v>94</v>
      </c>
      <c r="H10" s="133">
        <f>IF(B$17=0,0,G10/B$17)</f>
        <v>0.43720930232558142</v>
      </c>
      <c r="I10" s="94">
        <v>12</v>
      </c>
      <c r="K10" s="38">
        <v>8</v>
      </c>
      <c r="L10" s="99">
        <v>-87.1</v>
      </c>
      <c r="N10" s="114" t="s">
        <v>164</v>
      </c>
      <c r="O10" s="124">
        <f>IF(P10=0,0,Q10/P10)</f>
        <v>-7.9906250000000005</v>
      </c>
      <c r="P10" s="118">
        <v>32</v>
      </c>
      <c r="Q10" s="106">
        <v>-255.70000000000002</v>
      </c>
    </row>
    <row r="11" spans="1:17" x14ac:dyDescent="0.4">
      <c r="A11" s="56" t="s">
        <v>140</v>
      </c>
      <c r="B11" s="48">
        <v>11</v>
      </c>
      <c r="C11" s="40">
        <f>IF(B$2=0,0,B11/B$2)</f>
        <v>0.11458333333333333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6.8944444444444439</v>
      </c>
      <c r="P11" s="119">
        <v>36</v>
      </c>
      <c r="Q11" s="107">
        <v>248.2</v>
      </c>
    </row>
    <row r="12" spans="1:17" x14ac:dyDescent="0.4">
      <c r="A12" s="57" t="s">
        <v>160</v>
      </c>
      <c r="B12" s="49">
        <v>7</v>
      </c>
      <c r="C12" s="42">
        <f>IF(B$2=0,0,B12/B$2)</f>
        <v>7.2916666666666671E-2</v>
      </c>
      <c r="E12" s="63" t="s">
        <v>75</v>
      </c>
      <c r="F12" s="60" t="s">
        <v>30</v>
      </c>
      <c r="G12" s="47">
        <v>1</v>
      </c>
      <c r="H12" s="133">
        <f>IF(B$17=0,0,G12/B$17)</f>
        <v>4.6511627906976744E-3</v>
      </c>
      <c r="I12" s="94">
        <v>5</v>
      </c>
      <c r="K12" s="38">
        <v>10</v>
      </c>
      <c r="L12" s="99">
        <v>-183.7</v>
      </c>
      <c r="N12" s="116" t="s">
        <v>166</v>
      </c>
      <c r="O12" s="126">
        <f>IF(P12=0,0,Q12/P12)</f>
        <v>2.0142857142857138</v>
      </c>
      <c r="P12" s="120">
        <v>28</v>
      </c>
      <c r="Q12" s="108">
        <v>56.399999999999991</v>
      </c>
    </row>
    <row r="13" spans="1:17" x14ac:dyDescent="0.4">
      <c r="A13" s="58" t="s">
        <v>122</v>
      </c>
      <c r="B13" s="50">
        <v>217</v>
      </c>
      <c r="C13" s="44">
        <f>IF(B$3=0,0,B13/B$3)</f>
        <v>0.27713920817369092</v>
      </c>
      <c r="E13" s="63" t="s">
        <v>76</v>
      </c>
      <c r="F13" s="60" t="s">
        <v>31</v>
      </c>
      <c r="G13" s="47">
        <v>2</v>
      </c>
      <c r="H13" s="133">
        <f>IF(B$17=0,0,G13/B$17)</f>
        <v>9.3023255813953487E-3</v>
      </c>
      <c r="I13" s="94">
        <v>4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142</v>
      </c>
      <c r="C14" s="39">
        <f>IF(B$3=0,0,B14/B$3)</f>
        <v>0.18135376756066413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133</v>
      </c>
      <c r="C15" s="37">
        <f>IF(B$13=0,0,B15/B$13)</f>
        <v>0.61290322580645162</v>
      </c>
      <c r="E15" s="63" t="s">
        <v>78</v>
      </c>
      <c r="F15" s="60" t="s">
        <v>33</v>
      </c>
      <c r="G15" s="47">
        <v>2</v>
      </c>
      <c r="H15" s="133">
        <f>IF(B$17=0,0,G15/B$17)</f>
        <v>9.3023255813953487E-3</v>
      </c>
      <c r="I15" s="94">
        <v>4</v>
      </c>
      <c r="K15" s="38">
        <v>13</v>
      </c>
      <c r="L15" s="99">
        <v>-209.59999999999997</v>
      </c>
      <c r="N15" s="114" t="s">
        <v>271</v>
      </c>
      <c r="O15" s="124">
        <f t="shared" ref="O15:O24" si="2">IF(P15=0,0,Q15/P15)</f>
        <v>45.8</v>
      </c>
      <c r="P15" s="118">
        <v>2</v>
      </c>
      <c r="Q15" s="106">
        <v>91.6</v>
      </c>
    </row>
    <row r="16" spans="1:17" x14ac:dyDescent="0.4">
      <c r="A16" s="54" t="s">
        <v>125</v>
      </c>
      <c r="B16" s="46">
        <v>48</v>
      </c>
      <c r="C16" s="37">
        <f>IF(B$14=0,0,B16/B$14)</f>
        <v>0.3380281690140845</v>
      </c>
      <c r="E16" s="63" t="s">
        <v>79</v>
      </c>
      <c r="F16" s="60" t="s">
        <v>34</v>
      </c>
      <c r="G16" s="47">
        <v>6</v>
      </c>
      <c r="H16" s="133">
        <f>IF(B$17=0,0,G16/B$17)</f>
        <v>2.7906976744186046E-2</v>
      </c>
      <c r="I16" s="94">
        <v>6</v>
      </c>
      <c r="K16" s="38">
        <v>14</v>
      </c>
      <c r="L16" s="99">
        <v>-178.49999999999997</v>
      </c>
      <c r="N16" s="115" t="s">
        <v>171</v>
      </c>
      <c r="O16" s="125">
        <f t="shared" si="2"/>
        <v>37.686363636363645</v>
      </c>
      <c r="P16" s="119">
        <v>22</v>
      </c>
      <c r="Q16" s="107">
        <v>829.10000000000014</v>
      </c>
    </row>
    <row r="17" spans="1:17" x14ac:dyDescent="0.4">
      <c r="A17" s="54" t="s">
        <v>10</v>
      </c>
      <c r="B17" s="46">
        <f>B19+B18</f>
        <v>215</v>
      </c>
      <c r="C17" s="37">
        <f>IF(B$3=0,0,B17/B$3)</f>
        <v>0.27458492975734355</v>
      </c>
      <c r="E17" s="63" t="s">
        <v>80</v>
      </c>
      <c r="F17" s="60" t="s">
        <v>35</v>
      </c>
      <c r="G17" s="47">
        <v>3</v>
      </c>
      <c r="H17" s="133">
        <f>IF(B$17=0,0,G17/B$17)</f>
        <v>1.3953488372093023E-2</v>
      </c>
      <c r="I17" s="94">
        <v>9</v>
      </c>
      <c r="K17" s="38">
        <v>15</v>
      </c>
      <c r="L17" s="99">
        <v>-146.19999999999999</v>
      </c>
      <c r="N17" s="115" t="s">
        <v>173</v>
      </c>
      <c r="O17" s="125">
        <f t="shared" si="2"/>
        <v>25.122222222222224</v>
      </c>
      <c r="P17" s="119">
        <v>9</v>
      </c>
      <c r="Q17" s="107">
        <v>226.10000000000002</v>
      </c>
    </row>
    <row r="18" spans="1:17" x14ac:dyDescent="0.4">
      <c r="A18" s="55" t="s">
        <v>12</v>
      </c>
      <c r="B18" s="47">
        <v>98</v>
      </c>
      <c r="C18" s="39">
        <f>IF(B$17=0,0,B18/B$17)</f>
        <v>0.45581395348837211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-153.29999999999998</v>
      </c>
      <c r="N18" s="115" t="s">
        <v>184</v>
      </c>
      <c r="O18" s="125">
        <f t="shared" si="2"/>
        <v>4.8666666666666698</v>
      </c>
      <c r="P18" s="119">
        <v>6</v>
      </c>
      <c r="Q18" s="107">
        <v>29.200000000000017</v>
      </c>
    </row>
    <row r="19" spans="1:17" x14ac:dyDescent="0.4">
      <c r="A19" s="55" t="s">
        <v>11</v>
      </c>
      <c r="B19" s="47">
        <v>117</v>
      </c>
      <c r="C19" s="39">
        <f>IF(B$17=0,0,B19/B$17)</f>
        <v>0.54418604651162794</v>
      </c>
      <c r="E19" s="63" t="s">
        <v>82</v>
      </c>
      <c r="F19" s="60" t="s">
        <v>37</v>
      </c>
      <c r="G19" s="47">
        <v>7</v>
      </c>
      <c r="H19" s="133">
        <f>IF(B$17=0,0,G19/B$17)</f>
        <v>3.255813953488372E-2</v>
      </c>
      <c r="I19" s="94">
        <v>3</v>
      </c>
      <c r="K19" s="38">
        <v>17</v>
      </c>
      <c r="L19" s="99">
        <v>-161.19999999999999</v>
      </c>
      <c r="N19" s="115" t="s">
        <v>128</v>
      </c>
      <c r="O19" s="125">
        <f t="shared" si="2"/>
        <v>1.8258064516129038</v>
      </c>
      <c r="P19" s="119">
        <v>31</v>
      </c>
      <c r="Q19" s="107">
        <v>56.600000000000016</v>
      </c>
    </row>
    <row r="20" spans="1:17" x14ac:dyDescent="0.4">
      <c r="A20" s="55" t="s">
        <v>13</v>
      </c>
      <c r="B20" s="47">
        <v>117</v>
      </c>
      <c r="C20" s="39">
        <f>IF(B$3=0,0,B20/B$3)</f>
        <v>0.14942528735632185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-159</v>
      </c>
      <c r="N20" s="115" t="s">
        <v>200</v>
      </c>
      <c r="O20" s="125">
        <f t="shared" si="2"/>
        <v>-0.89999999999999858</v>
      </c>
      <c r="P20" s="119">
        <v>9</v>
      </c>
      <c r="Q20" s="107">
        <v>-8.0999999999999872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12</v>
      </c>
      <c r="H21" s="133">
        <f>IF(B$17=0,0,G21/B$17)</f>
        <v>5.5813953488372092E-2</v>
      </c>
      <c r="I21" s="94">
        <v>4</v>
      </c>
      <c r="K21" s="38">
        <v>19</v>
      </c>
      <c r="L21" s="99">
        <v>-235.6</v>
      </c>
      <c r="N21" s="115" t="s">
        <v>172</v>
      </c>
      <c r="O21" s="125">
        <f t="shared" si="2"/>
        <v>-2.2741935483870979</v>
      </c>
      <c r="P21" s="119">
        <v>31</v>
      </c>
      <c r="Q21" s="107">
        <v>-70.500000000000028</v>
      </c>
    </row>
    <row r="22" spans="1:17" x14ac:dyDescent="0.4">
      <c r="A22" s="55" t="s">
        <v>192</v>
      </c>
      <c r="B22" s="47">
        <v>45</v>
      </c>
      <c r="C22" s="135">
        <v>6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-200.8</v>
      </c>
      <c r="N22" s="115" t="s">
        <v>129</v>
      </c>
      <c r="O22" s="125">
        <f t="shared" si="2"/>
        <v>-3.0875000000000008</v>
      </c>
      <c r="P22" s="119">
        <v>40</v>
      </c>
      <c r="Q22" s="107">
        <v>-123.50000000000003</v>
      </c>
    </row>
    <row r="23" spans="1:17" x14ac:dyDescent="0.4">
      <c r="A23" s="55" t="s">
        <v>5</v>
      </c>
      <c r="B23" s="51">
        <f>IF(B$17=0,0,C23/B$17)</f>
        <v>8874.8837209302328</v>
      </c>
      <c r="C23" s="41">
        <v>1908100</v>
      </c>
      <c r="E23" s="63" t="s">
        <v>86</v>
      </c>
      <c r="F23" s="60" t="s">
        <v>41</v>
      </c>
      <c r="G23" s="47">
        <v>4</v>
      </c>
      <c r="H23" s="133">
        <f>IF(B$17=0,0,G23/B$17)</f>
        <v>1.8604651162790697E-2</v>
      </c>
      <c r="I23" s="94">
        <v>1</v>
      </c>
      <c r="K23" s="38">
        <v>21</v>
      </c>
      <c r="L23" s="99">
        <v>-188.60000000000002</v>
      </c>
      <c r="N23" s="115" t="s">
        <v>127</v>
      </c>
      <c r="O23" s="125">
        <f t="shared" si="2"/>
        <v>-19.146153846153855</v>
      </c>
      <c r="P23" s="119">
        <v>39</v>
      </c>
      <c r="Q23" s="107">
        <v>-746.70000000000027</v>
      </c>
    </row>
    <row r="24" spans="1:17" x14ac:dyDescent="0.4">
      <c r="A24" s="57" t="s">
        <v>14</v>
      </c>
      <c r="B24" s="52">
        <f>IF(B$20=0,0,C24/B$20)</f>
        <v>-7229.0598290598291</v>
      </c>
      <c r="C24" s="45">
        <v>-845800</v>
      </c>
      <c r="E24" s="63" t="s">
        <v>87</v>
      </c>
      <c r="F24" s="60" t="s">
        <v>42</v>
      </c>
      <c r="G24" s="47">
        <v>10</v>
      </c>
      <c r="H24" s="133">
        <f>IF(B$17=0,0,G24/B$17)</f>
        <v>4.6511627906976744E-2</v>
      </c>
      <c r="I24" s="94">
        <v>9</v>
      </c>
      <c r="K24" s="38">
        <v>22</v>
      </c>
      <c r="L24" s="99">
        <v>-142.60000000000002</v>
      </c>
      <c r="N24" s="115" t="s">
        <v>183</v>
      </c>
      <c r="O24" s="125">
        <f t="shared" si="2"/>
        <v>-45.699999999999996</v>
      </c>
      <c r="P24" s="119">
        <v>3</v>
      </c>
      <c r="Q24" s="107">
        <v>-137.1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42">
        <v>103000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3.8314176245210726E-3</v>
      </c>
      <c r="E27" s="63" t="s">
        <v>90</v>
      </c>
      <c r="F27" s="60" t="s">
        <v>45</v>
      </c>
      <c r="G27" s="47">
        <v>24</v>
      </c>
      <c r="H27" s="133">
        <f>IF(B$17=0,0,G27/B$17)</f>
        <v>0.11162790697674418</v>
      </c>
      <c r="I27" s="94">
        <v>9</v>
      </c>
      <c r="K27" s="38">
        <v>25</v>
      </c>
      <c r="L27" s="99">
        <v>-151.5</v>
      </c>
    </row>
    <row r="28" spans="1:17" x14ac:dyDescent="0.4">
      <c r="E28" s="63" t="s">
        <v>91</v>
      </c>
      <c r="F28" s="60" t="s">
        <v>46</v>
      </c>
      <c r="G28" s="47">
        <v>2</v>
      </c>
      <c r="H28" s="133">
        <f>IF(B$17=0,0,G28/B$17)</f>
        <v>9.3023255813953487E-3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92</v>
      </c>
      <c r="F29" s="60" t="s">
        <v>47</v>
      </c>
      <c r="G29" s="47">
        <v>8</v>
      </c>
      <c r="H29" s="133">
        <f>IF(B$17=0,0,G29/B$17)</f>
        <v>3.7209302325581395E-2</v>
      </c>
      <c r="I29" s="94">
        <v>2</v>
      </c>
      <c r="K29" s="38">
        <v>27</v>
      </c>
      <c r="L29" s="99">
        <v>-27.099999999999994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4.6511627906976744E-3</v>
      </c>
      <c r="I30" s="94">
        <v>3</v>
      </c>
      <c r="K30" s="38">
        <v>28</v>
      </c>
      <c r="L30" s="99">
        <v>7.2000000000000028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4.6511627906976744E-3</v>
      </c>
      <c r="I31" s="94">
        <v>2</v>
      </c>
      <c r="K31" s="38">
        <v>29</v>
      </c>
      <c r="L31" s="99">
        <v>-49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-99.6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-54.199999999999996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-107.4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19.399999999999999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102</v>
      </c>
      <c r="F39" s="60" t="s">
        <v>57</v>
      </c>
      <c r="G39" s="47">
        <v>1</v>
      </c>
      <c r="H39" s="133">
        <f>IF(B$17=0,0,G39/B$17)</f>
        <v>4.6511627906976744E-3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  <c r="K44" s="38">
        <v>42</v>
      </c>
      <c r="L44" s="99">
        <v>97.600000000000009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103.10000000000001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  <c r="K50" s="38">
        <v>48</v>
      </c>
      <c r="L50" s="99">
        <v>40.899999999999991</v>
      </c>
    </row>
    <row r="51" spans="5:12" x14ac:dyDescent="0.4">
      <c r="E51" s="136" t="s">
        <v>245</v>
      </c>
      <c r="F51" s="137" t="s">
        <v>246</v>
      </c>
      <c r="G51" s="48">
        <v>93</v>
      </c>
      <c r="H51" s="138">
        <f>IF(B$17=0,0,G51/B$17)</f>
        <v>0.4325581395348837</v>
      </c>
      <c r="I51" s="139">
        <v>3</v>
      </c>
      <c r="K51" s="38">
        <v>49</v>
      </c>
      <c r="L51" s="99">
        <v>-29.900000000000006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  <row r="54" spans="5:12" x14ac:dyDescent="0.4">
      <c r="K54" s="38">
        <v>52</v>
      </c>
      <c r="L54" s="99">
        <v>30.699999999999992</v>
      </c>
    </row>
    <row r="55" spans="5:12" x14ac:dyDescent="0.4">
      <c r="K55" s="38">
        <v>53</v>
      </c>
      <c r="L55" s="99">
        <v>76.8</v>
      </c>
    </row>
    <row r="56" spans="5:12" x14ac:dyDescent="0.4">
      <c r="K56" s="38">
        <v>54</v>
      </c>
      <c r="L56" s="99">
        <v>133.30000000000001</v>
      </c>
    </row>
    <row r="57" spans="5:12" x14ac:dyDescent="0.4">
      <c r="K57" s="38">
        <v>55</v>
      </c>
      <c r="L57" s="99">
        <v>181.60000000000002</v>
      </c>
    </row>
    <row r="58" spans="5:12" x14ac:dyDescent="0.4">
      <c r="K58" s="38">
        <v>56</v>
      </c>
      <c r="L58" s="99">
        <v>187.60000000000002</v>
      </c>
    </row>
    <row r="59" spans="5:12" x14ac:dyDescent="0.4">
      <c r="K59" s="38">
        <v>57</v>
      </c>
      <c r="L59" s="99">
        <v>255.50000000000003</v>
      </c>
    </row>
    <row r="60" spans="5:12" x14ac:dyDescent="0.4">
      <c r="K60" s="38">
        <v>58</v>
      </c>
      <c r="L60" s="99">
        <v>244.60000000000002</v>
      </c>
    </row>
    <row r="61" spans="5:12" x14ac:dyDescent="0.4">
      <c r="K61" s="38">
        <v>59</v>
      </c>
      <c r="L61" s="99">
        <v>295</v>
      </c>
    </row>
    <row r="62" spans="5:12" x14ac:dyDescent="0.4">
      <c r="K62" s="38">
        <v>60</v>
      </c>
      <c r="L62" s="99">
        <v>359.4</v>
      </c>
    </row>
    <row r="63" spans="5:12" x14ac:dyDescent="0.4">
      <c r="K63" s="38">
        <v>61</v>
      </c>
      <c r="L63" s="99">
        <v>347.5</v>
      </c>
    </row>
    <row r="64" spans="5:12" x14ac:dyDescent="0.4">
      <c r="K64" s="38">
        <v>62</v>
      </c>
      <c r="L64" s="99">
        <v>345.6</v>
      </c>
    </row>
    <row r="65" spans="11:12" x14ac:dyDescent="0.4">
      <c r="K65" s="38">
        <v>63</v>
      </c>
      <c r="L65" s="99">
        <v>287.60000000000002</v>
      </c>
    </row>
    <row r="66" spans="11:12" x14ac:dyDescent="0.4">
      <c r="K66" s="38">
        <v>64</v>
      </c>
      <c r="L66" s="99">
        <v>323.60000000000002</v>
      </c>
    </row>
    <row r="67" spans="11:12" x14ac:dyDescent="0.4">
      <c r="K67" s="38">
        <v>65</v>
      </c>
      <c r="L67" s="99">
        <v>328.6</v>
      </c>
    </row>
    <row r="68" spans="11:12" x14ac:dyDescent="0.4">
      <c r="K68" s="38">
        <v>66</v>
      </c>
      <c r="L68" s="99">
        <v>307</v>
      </c>
    </row>
    <row r="69" spans="11:12" x14ac:dyDescent="0.4">
      <c r="K69" s="38">
        <v>67</v>
      </c>
      <c r="L69" s="99">
        <v>274.10000000000002</v>
      </c>
    </row>
    <row r="70" spans="11:12" x14ac:dyDescent="0.4">
      <c r="K70" s="38">
        <v>68</v>
      </c>
      <c r="L70" s="99">
        <v>285.40000000000003</v>
      </c>
    </row>
    <row r="71" spans="11:12" x14ac:dyDescent="0.4">
      <c r="K71" s="38">
        <v>69</v>
      </c>
      <c r="L71" s="99">
        <v>330.40000000000003</v>
      </c>
    </row>
    <row r="72" spans="11:12" x14ac:dyDescent="0.4">
      <c r="K72" s="38">
        <v>70</v>
      </c>
      <c r="L72" s="99">
        <v>382.50000000000006</v>
      </c>
    </row>
    <row r="73" spans="11:12" x14ac:dyDescent="0.4">
      <c r="K73" s="38">
        <v>71</v>
      </c>
      <c r="L73" s="99">
        <v>350.40000000000003</v>
      </c>
    </row>
    <row r="74" spans="11:12" x14ac:dyDescent="0.4">
      <c r="K74" s="38">
        <v>72</v>
      </c>
      <c r="L74" s="99">
        <v>304.60000000000002</v>
      </c>
    </row>
    <row r="75" spans="11:12" x14ac:dyDescent="0.4">
      <c r="K75" s="38">
        <v>73</v>
      </c>
      <c r="L75" s="99">
        <v>275</v>
      </c>
    </row>
    <row r="76" spans="11:12" x14ac:dyDescent="0.4">
      <c r="K76" s="38">
        <v>74</v>
      </c>
      <c r="L76" s="99">
        <v>242.1</v>
      </c>
    </row>
    <row r="77" spans="11:12" x14ac:dyDescent="0.4">
      <c r="K77" s="38">
        <v>75</v>
      </c>
      <c r="L77" s="99">
        <v>255.79999999999998</v>
      </c>
    </row>
    <row r="78" spans="11:12" x14ac:dyDescent="0.4">
      <c r="K78" s="38">
        <v>76</v>
      </c>
      <c r="L78" s="99">
        <v>198.29999999999998</v>
      </c>
    </row>
    <row r="79" spans="11:12" x14ac:dyDescent="0.4">
      <c r="K79" s="38">
        <v>77</v>
      </c>
      <c r="L79" s="99">
        <v>201.7</v>
      </c>
    </row>
    <row r="80" spans="11:12" x14ac:dyDescent="0.4">
      <c r="K80" s="38">
        <v>78</v>
      </c>
      <c r="L80" s="99">
        <v>193.39999999999998</v>
      </c>
    </row>
    <row r="81" spans="11:12" x14ac:dyDescent="0.4">
      <c r="K81" s="38">
        <v>79</v>
      </c>
      <c r="L81" s="99">
        <v>151.59999999999997</v>
      </c>
    </row>
    <row r="82" spans="11:12" x14ac:dyDescent="0.4">
      <c r="K82" s="38">
        <v>80</v>
      </c>
      <c r="L82" s="99">
        <v>154.19999999999996</v>
      </c>
    </row>
    <row r="83" spans="11:12" x14ac:dyDescent="0.4">
      <c r="K83" s="38">
        <v>81</v>
      </c>
      <c r="L83" s="99">
        <v>216.19999999999996</v>
      </c>
    </row>
    <row r="84" spans="11:12" x14ac:dyDescent="0.4">
      <c r="K84" s="38">
        <v>82</v>
      </c>
      <c r="L84" s="99">
        <v>225.79999999999995</v>
      </c>
    </row>
    <row r="85" spans="11:12" x14ac:dyDescent="0.4">
      <c r="K85" s="38">
        <v>83</v>
      </c>
      <c r="L85" s="99">
        <v>167.49999999999994</v>
      </c>
    </row>
    <row r="86" spans="11:12" x14ac:dyDescent="0.4">
      <c r="K86" s="38">
        <v>84</v>
      </c>
      <c r="L86" s="99">
        <v>131.69999999999993</v>
      </c>
    </row>
    <row r="87" spans="11:12" x14ac:dyDescent="0.4">
      <c r="K87" s="38">
        <v>85</v>
      </c>
      <c r="L87" s="99">
        <v>103.19999999999993</v>
      </c>
    </row>
    <row r="88" spans="11:12" x14ac:dyDescent="0.4">
      <c r="K88" s="38">
        <v>86</v>
      </c>
      <c r="L88" s="99">
        <v>69.899999999999935</v>
      </c>
    </row>
    <row r="89" spans="11:12" x14ac:dyDescent="0.4">
      <c r="K89" s="38">
        <v>87</v>
      </c>
      <c r="L89" s="99">
        <v>18.699999999999932</v>
      </c>
    </row>
    <row r="90" spans="11:12" x14ac:dyDescent="0.4">
      <c r="K90" s="38">
        <v>88</v>
      </c>
      <c r="L90" s="99">
        <v>-51.800000000000068</v>
      </c>
    </row>
    <row r="91" spans="11:12" x14ac:dyDescent="0.4">
      <c r="K91" s="38">
        <v>89</v>
      </c>
      <c r="L91" s="99">
        <v>-75.500000000000071</v>
      </c>
    </row>
    <row r="92" spans="11:12" x14ac:dyDescent="0.4">
      <c r="K92" s="38">
        <v>90</v>
      </c>
      <c r="L92" s="99">
        <v>-66.500000000000071</v>
      </c>
    </row>
    <row r="93" spans="11:12" x14ac:dyDescent="0.4">
      <c r="K93" s="38">
        <v>91</v>
      </c>
      <c r="L93" s="99">
        <v>-39.600000000000072</v>
      </c>
    </row>
    <row r="94" spans="11:12" x14ac:dyDescent="0.4">
      <c r="K94" s="38">
        <v>92</v>
      </c>
      <c r="L94" s="99">
        <v>-0.7000000000000739</v>
      </c>
    </row>
    <row r="95" spans="11:12" x14ac:dyDescent="0.4">
      <c r="K95" s="38">
        <v>93</v>
      </c>
      <c r="L95" s="99">
        <v>29.599999999999927</v>
      </c>
    </row>
    <row r="96" spans="11:12" x14ac:dyDescent="0.4">
      <c r="K96" s="38">
        <v>94</v>
      </c>
      <c r="L96" s="99">
        <v>57.299999999999926</v>
      </c>
    </row>
    <row r="97" spans="11:12" x14ac:dyDescent="0.4">
      <c r="K97" s="38">
        <v>95</v>
      </c>
      <c r="L97" s="99">
        <v>47.299999999999926</v>
      </c>
    </row>
    <row r="98" spans="11:12" x14ac:dyDescent="0.4">
      <c r="K98" s="38">
        <v>96</v>
      </c>
      <c r="L98" s="99">
        <v>48.899999999999928</v>
      </c>
    </row>
  </sheetData>
  <sortState ref="E2:I98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3E866-B089-481A-99D8-860F4F6B8BBB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3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52">
        <v>19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12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4">
        <v>61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11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6">
        <f>IF(B$2=0,0,B$4/B$2)</f>
        <v>20.333333333333332</v>
      </c>
      <c r="C5" s="157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6">
        <f>IF(B$2=0,0,(B$7*1+B$8*2+B$9*3)/B$2)</f>
        <v>1.3333333333333333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14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2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13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N15" s="114" t="s">
        <v>184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12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12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11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192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53500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2</v>
      </c>
      <c r="H51" s="138">
        <f>IF(B$17=0,0,G51/B$17)</f>
        <v>0.4</v>
      </c>
      <c r="I51" s="139">
        <v>9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4B34E-62F7-48BD-B0C6-9929A0273ED9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184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24</v>
      </c>
      <c r="C2" s="151"/>
      <c r="E2" s="62" t="s">
        <v>65</v>
      </c>
      <c r="F2" s="59" t="s">
        <v>21</v>
      </c>
      <c r="G2" s="46">
        <v>27</v>
      </c>
      <c r="H2" s="132">
        <f>IF(B$17=0,0,G2/B$17)</f>
        <v>0.54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-408.33333333333331</v>
      </c>
      <c r="P2" s="118">
        <v>24</v>
      </c>
      <c r="Q2" s="102">
        <v>-9800</v>
      </c>
    </row>
    <row r="3" spans="1:17" x14ac:dyDescent="0.4">
      <c r="A3" s="55" t="s">
        <v>8</v>
      </c>
      <c r="B3" s="152">
        <v>181</v>
      </c>
      <c r="C3" s="153"/>
      <c r="E3" s="63" t="s">
        <v>66</v>
      </c>
      <c r="F3" s="60" t="s">
        <v>22</v>
      </c>
      <c r="G3" s="47">
        <v>4</v>
      </c>
      <c r="H3" s="133">
        <f>IF(B$17=0,0,G3/B$17)</f>
        <v>0.08</v>
      </c>
      <c r="I3" s="94">
        <v>9</v>
      </c>
      <c r="K3" s="38">
        <v>1</v>
      </c>
      <c r="L3" s="99">
        <v>-43.7</v>
      </c>
      <c r="N3" s="115" t="s">
        <v>133</v>
      </c>
      <c r="O3" s="122">
        <f t="shared" si="0"/>
        <v>-4537.5</v>
      </c>
      <c r="P3" s="119">
        <v>24</v>
      </c>
      <c r="Q3" s="103">
        <v>-108900</v>
      </c>
    </row>
    <row r="4" spans="1:17" x14ac:dyDescent="0.4">
      <c r="A4" s="55" t="s">
        <v>6</v>
      </c>
      <c r="B4" s="154">
        <v>-300.5</v>
      </c>
      <c r="C4" s="155"/>
      <c r="E4" s="63" t="s">
        <v>67</v>
      </c>
      <c r="F4" s="60" t="s">
        <v>23</v>
      </c>
      <c r="G4" s="47">
        <v>43</v>
      </c>
      <c r="H4" s="133">
        <f>IF(B$17=0,0,G4/B$17)</f>
        <v>0.86</v>
      </c>
      <c r="I4" s="94">
        <v>3</v>
      </c>
      <c r="K4" s="38">
        <v>2</v>
      </c>
      <c r="L4" s="99">
        <v>-76.2</v>
      </c>
      <c r="N4" s="115" t="s">
        <v>134</v>
      </c>
      <c r="O4" s="122">
        <f t="shared" si="0"/>
        <v>-70</v>
      </c>
      <c r="P4" s="119">
        <v>20</v>
      </c>
      <c r="Q4" s="103">
        <v>-1400</v>
      </c>
    </row>
    <row r="5" spans="1:17" x14ac:dyDescent="0.4">
      <c r="A5" s="55" t="s">
        <v>7</v>
      </c>
      <c r="B5" s="156">
        <f>IF(B$2=0,0,B$4/B$2)</f>
        <v>-12.520833333333334</v>
      </c>
      <c r="C5" s="157"/>
      <c r="E5" s="63" t="s">
        <v>68</v>
      </c>
      <c r="F5" s="60" t="s">
        <v>24</v>
      </c>
      <c r="G5" s="47">
        <v>12</v>
      </c>
      <c r="H5" s="133">
        <f>IF(B$17=0,0,G5/B$17)</f>
        <v>0.24</v>
      </c>
      <c r="I5" s="94">
        <v>11</v>
      </c>
      <c r="K5" s="38">
        <v>3</v>
      </c>
      <c r="L5" s="99">
        <v>-78.400000000000006</v>
      </c>
      <c r="N5" s="115" t="s">
        <v>135</v>
      </c>
      <c r="O5" s="122">
        <f t="shared" si="0"/>
        <v>-3300</v>
      </c>
      <c r="P5" s="119">
        <v>20</v>
      </c>
      <c r="Q5" s="103">
        <v>-66000</v>
      </c>
    </row>
    <row r="6" spans="1:17" x14ac:dyDescent="0.4">
      <c r="A6" s="55" t="s">
        <v>1</v>
      </c>
      <c r="B6" s="146">
        <f>IF(B$2=0,0,(B$7*1+B$8*2+B$9*3)/B$2)</f>
        <v>2.2083333333333335</v>
      </c>
      <c r="C6" s="147"/>
      <c r="E6" s="63" t="s">
        <v>69</v>
      </c>
      <c r="F6" s="60" t="s">
        <v>12</v>
      </c>
      <c r="G6" s="47">
        <v>15</v>
      </c>
      <c r="H6" s="133">
        <f>IF(B$17=0,0,G6/B$17)</f>
        <v>0.3</v>
      </c>
      <c r="I6" s="94">
        <v>9</v>
      </c>
      <c r="K6" s="38">
        <v>4</v>
      </c>
      <c r="L6" s="99">
        <v>-49.800000000000004</v>
      </c>
      <c r="N6" s="115" t="s">
        <v>136</v>
      </c>
      <c r="O6" s="122">
        <f t="shared" si="0"/>
        <v>-1533.3333333333333</v>
      </c>
      <c r="P6" s="119">
        <v>18</v>
      </c>
      <c r="Q6" s="103">
        <v>-27600</v>
      </c>
    </row>
    <row r="7" spans="1:17" x14ac:dyDescent="0.4">
      <c r="A7" s="55" t="s">
        <v>2</v>
      </c>
      <c r="B7" s="47">
        <v>8</v>
      </c>
      <c r="C7" s="39">
        <f>IF(B$2=0,0,B7/B$2)</f>
        <v>0.33333333333333331</v>
      </c>
      <c r="E7" s="63" t="s">
        <v>70</v>
      </c>
      <c r="F7" s="60" t="s">
        <v>25</v>
      </c>
      <c r="G7" s="47">
        <v>8</v>
      </c>
      <c r="H7" s="133">
        <f>IF(B$17=0,0,G7/B$17)</f>
        <v>0.16</v>
      </c>
      <c r="I7" s="94">
        <v>9</v>
      </c>
      <c r="K7" s="38">
        <v>5</v>
      </c>
      <c r="L7" s="99">
        <v>-121</v>
      </c>
      <c r="N7" s="116" t="s">
        <v>137</v>
      </c>
      <c r="O7" s="123">
        <f t="shared" si="0"/>
        <v>-3320</v>
      </c>
      <c r="P7" s="120">
        <v>15</v>
      </c>
      <c r="Q7" s="104">
        <v>-49800</v>
      </c>
    </row>
    <row r="8" spans="1:17" x14ac:dyDescent="0.4">
      <c r="A8" s="55" t="s">
        <v>3</v>
      </c>
      <c r="B8" s="47">
        <v>3</v>
      </c>
      <c r="C8" s="39">
        <f>IF(B$2=0,0,B8/B$2)</f>
        <v>0.125</v>
      </c>
      <c r="E8" s="63" t="s">
        <v>71</v>
      </c>
      <c r="F8" s="60" t="s">
        <v>26</v>
      </c>
      <c r="G8" s="47">
        <v>8</v>
      </c>
      <c r="H8" s="133">
        <f>IF(B$17=0,0,G8/B$17)</f>
        <v>0.16</v>
      </c>
      <c r="I8" s="94">
        <v>1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ref="C9" si="1">IF(B$2=0,0,B9/B$2)</f>
        <v>0.54166666666666663</v>
      </c>
      <c r="E9" s="63" t="s">
        <v>72</v>
      </c>
      <c r="F9" s="60" t="s">
        <v>27</v>
      </c>
      <c r="G9" s="47">
        <v>3</v>
      </c>
      <c r="H9" s="133">
        <f>IF(B$17=0,0,G9/B$17)</f>
        <v>0.06</v>
      </c>
      <c r="I9" s="94">
        <v>9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0.29166666666666669</v>
      </c>
      <c r="E10" s="63" t="s">
        <v>73</v>
      </c>
      <c r="F10" s="60" t="s">
        <v>28</v>
      </c>
      <c r="G10" s="47">
        <v>30</v>
      </c>
      <c r="H10" s="133">
        <f>IF(B$17=0,0,G10/B$17)</f>
        <v>0.6</v>
      </c>
      <c r="I10" s="94">
        <v>3</v>
      </c>
      <c r="K10" s="38">
        <v>8</v>
      </c>
      <c r="L10" s="99">
        <v>-170.5</v>
      </c>
      <c r="N10" s="114" t="s">
        <v>164</v>
      </c>
      <c r="O10" s="124">
        <f>IF(P10=0,0,Q10/P10)</f>
        <v>-7.8777777777777755</v>
      </c>
      <c r="P10" s="118">
        <v>9</v>
      </c>
      <c r="Q10" s="106">
        <v>-70.899999999999977</v>
      </c>
    </row>
    <row r="11" spans="1:17" x14ac:dyDescent="0.4">
      <c r="A11" s="56" t="s">
        <v>140</v>
      </c>
      <c r="B11" s="48">
        <v>2</v>
      </c>
      <c r="C11" s="40">
        <f>IF(B$2=0,0,B11/B$2)</f>
        <v>8.3333333333333329E-2</v>
      </c>
      <c r="E11" s="63" t="s">
        <v>74</v>
      </c>
      <c r="F11" s="60" t="s">
        <v>29</v>
      </c>
      <c r="G11" s="47">
        <v>1</v>
      </c>
      <c r="H11" s="133">
        <f>IF(B$17=0,0,G11/B$17)</f>
        <v>0.02</v>
      </c>
      <c r="I11" s="94">
        <v>2</v>
      </c>
      <c r="K11" s="38">
        <v>9</v>
      </c>
      <c r="L11" s="99">
        <v>-228.1</v>
      </c>
      <c r="N11" s="115" t="s">
        <v>165</v>
      </c>
      <c r="O11" s="125">
        <f>IF(P11=0,0,Q11/P11)</f>
        <v>-11.75</v>
      </c>
      <c r="P11" s="119">
        <v>6</v>
      </c>
      <c r="Q11" s="107">
        <v>-70.5</v>
      </c>
    </row>
    <row r="12" spans="1:17" x14ac:dyDescent="0.4">
      <c r="A12" s="57" t="s">
        <v>160</v>
      </c>
      <c r="B12" s="49">
        <v>3</v>
      </c>
      <c r="C12" s="42">
        <f>IF(B$2=0,0,B12/B$2)</f>
        <v>0.125</v>
      </c>
      <c r="E12" s="63" t="s">
        <v>75</v>
      </c>
      <c r="F12" s="60" t="s">
        <v>30</v>
      </c>
      <c r="G12" s="47">
        <v>1</v>
      </c>
      <c r="H12" s="133">
        <f>IF(B$17=0,0,G12/B$17)</f>
        <v>0.02</v>
      </c>
      <c r="I12" s="94">
        <v>1</v>
      </c>
      <c r="K12" s="38">
        <v>10</v>
      </c>
      <c r="L12" s="99">
        <v>-197.5</v>
      </c>
      <c r="N12" s="116" t="s">
        <v>166</v>
      </c>
      <c r="O12" s="126">
        <f>IF(P12=0,0,Q12/P12)</f>
        <v>-17.677777777777777</v>
      </c>
      <c r="P12" s="120">
        <v>9</v>
      </c>
      <c r="Q12" s="108">
        <v>-159.1</v>
      </c>
    </row>
    <row r="13" spans="1:17" x14ac:dyDescent="0.4">
      <c r="A13" s="58" t="s">
        <v>122</v>
      </c>
      <c r="B13" s="50">
        <v>42</v>
      </c>
      <c r="C13" s="44">
        <f>IF(B$3=0,0,B13/B$3)</f>
        <v>0.23204419889502761</v>
      </c>
      <c r="E13" s="63" t="s">
        <v>76</v>
      </c>
      <c r="F13" s="60" t="s">
        <v>31</v>
      </c>
      <c r="G13" s="47">
        <v>1</v>
      </c>
      <c r="H13" s="133">
        <f>IF(B$17=0,0,G13/B$17)</f>
        <v>0.02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45</v>
      </c>
      <c r="C14" s="39">
        <f>IF(B$3=0,0,B14/B$3)</f>
        <v>0.24861878453038674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28</v>
      </c>
      <c r="C15" s="37">
        <f>IF(B$13=0,0,B15/B$13)</f>
        <v>0.66666666666666663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K15" s="38">
        <v>13</v>
      </c>
      <c r="L15" s="99">
        <v>-144.79999999999998</v>
      </c>
      <c r="N15" s="114" t="s">
        <v>173</v>
      </c>
      <c r="O15" s="124">
        <f t="shared" ref="O15:O23" si="2">IF(P15=0,0,Q15/P15)</f>
        <v>159</v>
      </c>
      <c r="P15" s="118">
        <v>1</v>
      </c>
      <c r="Q15" s="106">
        <v>159</v>
      </c>
    </row>
    <row r="16" spans="1:17" x14ac:dyDescent="0.4">
      <c r="A16" s="54" t="s">
        <v>125</v>
      </c>
      <c r="B16" s="46">
        <v>17</v>
      </c>
      <c r="C16" s="37">
        <f>IF(B$14=0,0,B16/B$14)</f>
        <v>0.37777777777777777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12</v>
      </c>
      <c r="K16" s="38">
        <v>14</v>
      </c>
      <c r="L16" s="99">
        <v>-138.69999999999999</v>
      </c>
      <c r="N16" s="115" t="s">
        <v>129</v>
      </c>
      <c r="O16" s="125">
        <f t="shared" si="2"/>
        <v>30.850000000000005</v>
      </c>
      <c r="P16" s="119">
        <v>6</v>
      </c>
      <c r="Q16" s="107">
        <v>185.10000000000002</v>
      </c>
    </row>
    <row r="17" spans="1:17" x14ac:dyDescent="0.4">
      <c r="A17" s="54" t="s">
        <v>10</v>
      </c>
      <c r="B17" s="46">
        <f>B19+B18</f>
        <v>50</v>
      </c>
      <c r="C17" s="37">
        <f>IF(B$3=0,0,B17/B$3)</f>
        <v>0.27624309392265195</v>
      </c>
      <c r="E17" s="63" t="s">
        <v>80</v>
      </c>
      <c r="F17" s="60" t="s">
        <v>35</v>
      </c>
      <c r="G17" s="47">
        <v>3</v>
      </c>
      <c r="H17" s="133">
        <f>IF(B$17=0,0,G17/B$17)</f>
        <v>0.06</v>
      </c>
      <c r="I17" s="94">
        <v>2</v>
      </c>
      <c r="K17" s="38">
        <v>15</v>
      </c>
      <c r="L17" s="99">
        <v>-84.399999999999991</v>
      </c>
      <c r="N17" s="115" t="s">
        <v>177</v>
      </c>
      <c r="O17" s="125">
        <f t="shared" si="2"/>
        <v>-4.8666666666666698</v>
      </c>
      <c r="P17" s="119">
        <v>6</v>
      </c>
      <c r="Q17" s="107">
        <v>-29.200000000000017</v>
      </c>
    </row>
    <row r="18" spans="1:17" x14ac:dyDescent="0.4">
      <c r="A18" s="55" t="s">
        <v>12</v>
      </c>
      <c r="B18" s="47">
        <v>24</v>
      </c>
      <c r="C18" s="39">
        <f>IF(B$17=0,0,B18/B$17)</f>
        <v>0.48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-139.79999999999998</v>
      </c>
      <c r="N18" s="115" t="s">
        <v>171</v>
      </c>
      <c r="O18" s="125">
        <f t="shared" si="2"/>
        <v>-18.200000000000003</v>
      </c>
      <c r="P18" s="119">
        <v>4</v>
      </c>
      <c r="Q18" s="107">
        <v>-72.800000000000011</v>
      </c>
    </row>
    <row r="19" spans="1:17" x14ac:dyDescent="0.4">
      <c r="A19" s="55" t="s">
        <v>11</v>
      </c>
      <c r="B19" s="47">
        <v>26</v>
      </c>
      <c r="C19" s="39">
        <f>IF(B$17=0,0,B19/B$17)</f>
        <v>0.52</v>
      </c>
      <c r="E19" s="63" t="s">
        <v>82</v>
      </c>
      <c r="F19" s="60" t="s">
        <v>37</v>
      </c>
      <c r="G19" s="47">
        <v>1</v>
      </c>
      <c r="H19" s="133">
        <f>IF(B$17=0,0,G19/B$17)</f>
        <v>0.02</v>
      </c>
      <c r="I19" s="94">
        <v>9</v>
      </c>
      <c r="K19" s="38">
        <v>17</v>
      </c>
      <c r="L19" s="99">
        <v>-203.5</v>
      </c>
      <c r="N19" s="115" t="s">
        <v>128</v>
      </c>
      <c r="O19" s="125">
        <f t="shared" si="2"/>
        <v>-21.07</v>
      </c>
      <c r="P19" s="119">
        <v>10</v>
      </c>
      <c r="Q19" s="107">
        <v>-210.7</v>
      </c>
    </row>
    <row r="20" spans="1:17" x14ac:dyDescent="0.4">
      <c r="A20" s="55" t="s">
        <v>13</v>
      </c>
      <c r="B20" s="47">
        <v>41</v>
      </c>
      <c r="C20" s="39">
        <f>IF(B$3=0,0,B20/B$3)</f>
        <v>0.22651933701657459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-126.5</v>
      </c>
      <c r="N20" s="115" t="s">
        <v>127</v>
      </c>
      <c r="O20" s="125">
        <f t="shared" si="2"/>
        <v>-28.978571428571435</v>
      </c>
      <c r="P20" s="119">
        <v>14</v>
      </c>
      <c r="Q20" s="107">
        <v>-405.7000000000001</v>
      </c>
    </row>
    <row r="21" spans="1:17" x14ac:dyDescent="0.4">
      <c r="A21" s="55" t="s">
        <v>191</v>
      </c>
      <c r="B21" s="47">
        <v>5</v>
      </c>
      <c r="C21" s="135">
        <v>0</v>
      </c>
      <c r="E21" s="63" t="s">
        <v>84</v>
      </c>
      <c r="F21" s="60" t="s">
        <v>39</v>
      </c>
      <c r="G21" s="47">
        <v>6</v>
      </c>
      <c r="H21" s="133">
        <f>IF(B$17=0,0,G21/B$17)</f>
        <v>0.12</v>
      </c>
      <c r="I21" s="94">
        <v>1</v>
      </c>
      <c r="K21" s="38">
        <v>19</v>
      </c>
      <c r="L21" s="99">
        <v>-67.599999999999994</v>
      </c>
      <c r="N21" s="115" t="s">
        <v>172</v>
      </c>
      <c r="O21" s="125">
        <f t="shared" si="2"/>
        <v>-44.424999999999997</v>
      </c>
      <c r="P21" s="119">
        <v>4</v>
      </c>
      <c r="Q21" s="107">
        <v>-177.7</v>
      </c>
    </row>
    <row r="22" spans="1:17" x14ac:dyDescent="0.4">
      <c r="A22" s="55" t="s">
        <v>192</v>
      </c>
      <c r="B22" s="47">
        <v>17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-124.1</v>
      </c>
      <c r="N22" s="115" t="s">
        <v>183</v>
      </c>
      <c r="O22" s="125">
        <f t="shared" si="2"/>
        <v>-69.599999999999994</v>
      </c>
      <c r="P22" s="119">
        <v>1</v>
      </c>
      <c r="Q22" s="107">
        <v>-69.599999999999994</v>
      </c>
    </row>
    <row r="23" spans="1:17" x14ac:dyDescent="0.4">
      <c r="A23" s="55" t="s">
        <v>5</v>
      </c>
      <c r="B23" s="51">
        <f>IF(B$17=0,0,C23/B$17)</f>
        <v>8434</v>
      </c>
      <c r="C23" s="41">
        <v>421700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-189.2</v>
      </c>
      <c r="N23" s="115" t="s">
        <v>223</v>
      </c>
      <c r="O23" s="125">
        <f t="shared" si="2"/>
        <v>-138.94999999999999</v>
      </c>
      <c r="P23" s="119">
        <v>2</v>
      </c>
      <c r="Q23" s="107">
        <v>-277.89999999999998</v>
      </c>
    </row>
    <row r="24" spans="1:17" x14ac:dyDescent="0.4">
      <c r="A24" s="57" t="s">
        <v>14</v>
      </c>
      <c r="B24" s="52">
        <f>IF(B$20=0,0,C24/B$20)</f>
        <v>-9878.0487804878048</v>
      </c>
      <c r="C24" s="45">
        <v>-405000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12</v>
      </c>
      <c r="K24" s="38">
        <v>22</v>
      </c>
      <c r="L24" s="99">
        <v>-264.39999999999998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-253.49999999999997</v>
      </c>
    </row>
    <row r="26" spans="1:17" x14ac:dyDescent="0.4">
      <c r="A26" s="58" t="s">
        <v>152</v>
      </c>
      <c r="B26" s="142">
        <v>92000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-300.5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</v>
      </c>
      <c r="I27" s="94">
        <v>11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1</v>
      </c>
      <c r="H35" s="133">
        <f>IF(B$17=0,0,G35/B$17)</f>
        <v>0.02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16</v>
      </c>
      <c r="H51" s="138">
        <f>IF(B$17=0,0,G51/B$17)</f>
        <v>0.32</v>
      </c>
      <c r="I51" s="139">
        <v>13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9E638-D74A-4BB4-8BC5-A20853BC33CD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200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19</v>
      </c>
      <c r="C2" s="151"/>
      <c r="E2" s="62" t="s">
        <v>65</v>
      </c>
      <c r="F2" s="59" t="s">
        <v>21</v>
      </c>
      <c r="G2" s="46">
        <v>27</v>
      </c>
      <c r="H2" s="132">
        <f>IF(B$17=0,0,G2/B$17)</f>
        <v>0.45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-1789.4736842105262</v>
      </c>
      <c r="P2" s="118">
        <v>19</v>
      </c>
      <c r="Q2" s="102">
        <v>-34000</v>
      </c>
    </row>
    <row r="3" spans="1:17" x14ac:dyDescent="0.4">
      <c r="A3" s="55" t="s">
        <v>8</v>
      </c>
      <c r="B3" s="152">
        <v>175</v>
      </c>
      <c r="C3" s="153"/>
      <c r="E3" s="63" t="s">
        <v>66</v>
      </c>
      <c r="F3" s="60" t="s">
        <v>22</v>
      </c>
      <c r="G3" s="47">
        <v>5</v>
      </c>
      <c r="H3" s="133">
        <f>IF(B$17=0,0,G3/B$17)</f>
        <v>8.3333333333333329E-2</v>
      </c>
      <c r="I3" s="94">
        <v>8</v>
      </c>
      <c r="K3" s="38">
        <v>1</v>
      </c>
      <c r="L3" s="99">
        <v>-12.5</v>
      </c>
      <c r="N3" s="115" t="s">
        <v>133</v>
      </c>
      <c r="O3" s="122">
        <f t="shared" si="0"/>
        <v>2684.2105263157896</v>
      </c>
      <c r="P3" s="119">
        <v>19</v>
      </c>
      <c r="Q3" s="103">
        <v>51000</v>
      </c>
    </row>
    <row r="4" spans="1:17" x14ac:dyDescent="0.4">
      <c r="A4" s="55" t="s">
        <v>6</v>
      </c>
      <c r="B4" s="154">
        <v>94.299999999999983</v>
      </c>
      <c r="C4" s="155"/>
      <c r="E4" s="63" t="s">
        <v>67</v>
      </c>
      <c r="F4" s="60" t="s">
        <v>23</v>
      </c>
      <c r="G4" s="47">
        <v>32</v>
      </c>
      <c r="H4" s="133">
        <f>IF(B$17=0,0,G4/B$17)</f>
        <v>0.53333333333333333</v>
      </c>
      <c r="I4" s="94">
        <v>13</v>
      </c>
      <c r="K4" s="38">
        <v>2</v>
      </c>
      <c r="L4" s="99">
        <v>-28.1</v>
      </c>
      <c r="N4" s="115" t="s">
        <v>134</v>
      </c>
      <c r="O4" s="122">
        <f t="shared" si="0"/>
        <v>-6316.666666666667</v>
      </c>
      <c r="P4" s="119">
        <v>18</v>
      </c>
      <c r="Q4" s="103">
        <v>-113700</v>
      </c>
    </row>
    <row r="5" spans="1:17" x14ac:dyDescent="0.4">
      <c r="A5" s="55" t="s">
        <v>7</v>
      </c>
      <c r="B5" s="156">
        <f>IF(B$2=0,0,B$4/B$2)</f>
        <v>4.9631578947368409</v>
      </c>
      <c r="C5" s="157"/>
      <c r="E5" s="63" t="s">
        <v>68</v>
      </c>
      <c r="F5" s="60" t="s">
        <v>24</v>
      </c>
      <c r="G5" s="47">
        <v>18</v>
      </c>
      <c r="H5" s="133">
        <f>IF(B$17=0,0,G5/B$17)</f>
        <v>0.3</v>
      </c>
      <c r="I5" s="94">
        <v>8</v>
      </c>
      <c r="K5" s="38">
        <v>3</v>
      </c>
      <c r="L5" s="99">
        <v>-20.400000000000002</v>
      </c>
      <c r="N5" s="115" t="s">
        <v>135</v>
      </c>
      <c r="O5" s="122">
        <f t="shared" si="0"/>
        <v>-950</v>
      </c>
      <c r="P5" s="119">
        <v>18</v>
      </c>
      <c r="Q5" s="103">
        <v>-17100</v>
      </c>
    </row>
    <row r="6" spans="1:17" x14ac:dyDescent="0.4">
      <c r="A6" s="55" t="s">
        <v>1</v>
      </c>
      <c r="B6" s="146">
        <f>IF(B$2=0,0,(B$7*1+B$8*2+B$9*3)/B$2)</f>
        <v>1.8421052631578947</v>
      </c>
      <c r="C6" s="147"/>
      <c r="E6" s="63" t="s">
        <v>69</v>
      </c>
      <c r="F6" s="60" t="s">
        <v>12</v>
      </c>
      <c r="G6" s="47">
        <v>23</v>
      </c>
      <c r="H6" s="133">
        <f>IF(B$17=0,0,G6/B$17)</f>
        <v>0.38333333333333336</v>
      </c>
      <c r="I6" s="94">
        <v>2</v>
      </c>
      <c r="K6" s="38">
        <v>4</v>
      </c>
      <c r="L6" s="99">
        <v>19.399999999999995</v>
      </c>
      <c r="N6" s="115" t="s">
        <v>136</v>
      </c>
      <c r="O6" s="122">
        <f t="shared" si="0"/>
        <v>9793.3333333333339</v>
      </c>
      <c r="P6" s="119">
        <v>15</v>
      </c>
      <c r="Q6" s="103">
        <v>146900</v>
      </c>
    </row>
    <row r="7" spans="1:17" x14ac:dyDescent="0.4">
      <c r="A7" s="55" t="s">
        <v>2</v>
      </c>
      <c r="B7" s="47">
        <v>7</v>
      </c>
      <c r="C7" s="39">
        <f>IF(B$2=0,0,B7/B$2)</f>
        <v>0.36842105263157893</v>
      </c>
      <c r="E7" s="63" t="s">
        <v>70</v>
      </c>
      <c r="F7" s="60" t="s">
        <v>25</v>
      </c>
      <c r="G7" s="47">
        <v>10</v>
      </c>
      <c r="H7" s="133">
        <f>IF(B$17=0,0,G7/B$17)</f>
        <v>0.16666666666666666</v>
      </c>
      <c r="I7" s="94">
        <v>5</v>
      </c>
      <c r="K7" s="38">
        <v>5</v>
      </c>
      <c r="L7" s="99">
        <v>-16.100000000000005</v>
      </c>
      <c r="N7" s="116" t="s">
        <v>137</v>
      </c>
      <c r="O7" s="123">
        <f t="shared" si="0"/>
        <v>853.84615384615381</v>
      </c>
      <c r="P7" s="120">
        <v>13</v>
      </c>
      <c r="Q7" s="104">
        <v>11100</v>
      </c>
    </row>
    <row r="8" spans="1:17" x14ac:dyDescent="0.4">
      <c r="A8" s="55" t="s">
        <v>3</v>
      </c>
      <c r="B8" s="47">
        <v>8</v>
      </c>
      <c r="C8" s="39">
        <f>IF(B$2=0,0,B8/B$2)</f>
        <v>0.42105263157894735</v>
      </c>
      <c r="E8" s="63" t="s">
        <v>71</v>
      </c>
      <c r="F8" s="60" t="s">
        <v>26</v>
      </c>
      <c r="G8" s="47">
        <v>1</v>
      </c>
      <c r="H8" s="133">
        <f>IF(B$17=0,0,G8/B$17)</f>
        <v>1.6666666666666666E-2</v>
      </c>
      <c r="I8" s="94">
        <v>12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4</v>
      </c>
      <c r="C9" s="40">
        <f t="shared" ref="C9" si="1">IF(B$2=0,0,B9/B$2)</f>
        <v>0.21052631578947367</v>
      </c>
      <c r="E9" s="63" t="s">
        <v>72</v>
      </c>
      <c r="F9" s="60" t="s">
        <v>27</v>
      </c>
      <c r="G9" s="47">
        <v>1</v>
      </c>
      <c r="H9" s="133">
        <f>IF(B$17=0,0,G9/B$17)</f>
        <v>1.6666666666666666E-2</v>
      </c>
      <c r="I9" s="94">
        <v>12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0.15789473684210525</v>
      </c>
      <c r="E10" s="63" t="s">
        <v>73</v>
      </c>
      <c r="F10" s="60" t="s">
        <v>28</v>
      </c>
      <c r="G10" s="47">
        <v>43</v>
      </c>
      <c r="H10" s="133">
        <f>IF(B$17=0,0,G10/B$17)</f>
        <v>0.71666666666666667</v>
      </c>
      <c r="I10" s="94">
        <v>2</v>
      </c>
      <c r="K10" s="38">
        <v>8</v>
      </c>
      <c r="L10" s="99">
        <v>9.5999999999999943</v>
      </c>
      <c r="N10" s="114" t="s">
        <v>164</v>
      </c>
      <c r="O10" s="124">
        <f>IF(P10=0,0,Q10/P10)</f>
        <v>-10.033333333333333</v>
      </c>
      <c r="P10" s="118">
        <v>6</v>
      </c>
      <c r="Q10" s="106">
        <v>-60.2</v>
      </c>
    </row>
    <row r="11" spans="1:17" x14ac:dyDescent="0.4">
      <c r="A11" s="56" t="s">
        <v>140</v>
      </c>
      <c r="B11" s="48">
        <v>1</v>
      </c>
      <c r="C11" s="40">
        <f>IF(B$2=0,0,B11/B$2)</f>
        <v>5.2631578947368418E-2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18.099999999999994</v>
      </c>
      <c r="N11" s="115" t="s">
        <v>165</v>
      </c>
      <c r="O11" s="125">
        <f>IF(P11=0,0,Q11/P11)</f>
        <v>15.639999999999997</v>
      </c>
      <c r="P11" s="119">
        <v>5</v>
      </c>
      <c r="Q11" s="107">
        <v>78.199999999999989</v>
      </c>
    </row>
    <row r="12" spans="1:17" x14ac:dyDescent="0.4">
      <c r="A12" s="57" t="s">
        <v>160</v>
      </c>
      <c r="B12" s="49">
        <v>2</v>
      </c>
      <c r="C12" s="42">
        <f>IF(B$2=0,0,B12/B$2)</f>
        <v>0.10526315789473684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109.39999999999999</v>
      </c>
      <c r="N12" s="116" t="s">
        <v>166</v>
      </c>
      <c r="O12" s="126">
        <f>IF(P12=0,0,Q12/P12)</f>
        <v>9.5374999999999996</v>
      </c>
      <c r="P12" s="120">
        <v>8</v>
      </c>
      <c r="Q12" s="108">
        <v>76.3</v>
      </c>
    </row>
    <row r="13" spans="1:17" x14ac:dyDescent="0.4">
      <c r="A13" s="58" t="s">
        <v>122</v>
      </c>
      <c r="B13" s="50">
        <v>43</v>
      </c>
      <c r="C13" s="44">
        <f>IF(B$3=0,0,B13/B$3)</f>
        <v>0.24571428571428572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K13" s="38">
        <v>11</v>
      </c>
      <c r="L13" s="99">
        <v>100.69999999999999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55</v>
      </c>
      <c r="C14" s="39">
        <f>IF(B$3=0,0,B14/B$3)</f>
        <v>0.31428571428571428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45.599999999999987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27</v>
      </c>
      <c r="C15" s="37">
        <f>IF(B$13=0,0,B15/B$13)</f>
        <v>0.62790697674418605</v>
      </c>
      <c r="E15" s="63" t="s">
        <v>78</v>
      </c>
      <c r="F15" s="60" t="s">
        <v>33</v>
      </c>
      <c r="G15" s="47">
        <v>3</v>
      </c>
      <c r="H15" s="133">
        <f>IF(B$17=0,0,G15/B$17)</f>
        <v>0.05</v>
      </c>
      <c r="I15" s="94">
        <v>1</v>
      </c>
      <c r="K15" s="38">
        <v>13</v>
      </c>
      <c r="L15" s="99">
        <v>83.299999999999983</v>
      </c>
      <c r="N15" s="114" t="s">
        <v>173</v>
      </c>
      <c r="O15" s="124">
        <f t="shared" ref="O15:O22" si="2">IF(P15=0,0,Q15/P15)</f>
        <v>59.70000000000001</v>
      </c>
      <c r="P15" s="118">
        <v>3</v>
      </c>
      <c r="Q15" s="106">
        <v>179.10000000000002</v>
      </c>
    </row>
    <row r="16" spans="1:17" x14ac:dyDescent="0.4">
      <c r="A16" s="54" t="s">
        <v>125</v>
      </c>
      <c r="B16" s="46">
        <v>24</v>
      </c>
      <c r="C16" s="37">
        <f>IF(B$14=0,0,B16/B$14)</f>
        <v>0.43636363636363634</v>
      </c>
      <c r="E16" s="63" t="s">
        <v>79</v>
      </c>
      <c r="F16" s="60" t="s">
        <v>34</v>
      </c>
      <c r="G16" s="47">
        <v>4</v>
      </c>
      <c r="H16" s="133">
        <f>IF(B$17=0,0,G16/B$17)</f>
        <v>6.6666666666666666E-2</v>
      </c>
      <c r="I16" s="94">
        <v>2</v>
      </c>
      <c r="K16" s="38">
        <v>14</v>
      </c>
      <c r="L16" s="99">
        <v>114.99999999999999</v>
      </c>
      <c r="N16" s="115" t="s">
        <v>271</v>
      </c>
      <c r="O16" s="125">
        <f t="shared" si="2"/>
        <v>27.366666666666664</v>
      </c>
      <c r="P16" s="119">
        <v>3</v>
      </c>
      <c r="Q16" s="107">
        <v>82.1</v>
      </c>
    </row>
    <row r="17" spans="1:17" x14ac:dyDescent="0.4">
      <c r="A17" s="54" t="s">
        <v>10</v>
      </c>
      <c r="B17" s="46">
        <f>B19+B18</f>
        <v>60</v>
      </c>
      <c r="C17" s="37">
        <f>IF(B$3=0,0,B17/B$3)</f>
        <v>0.34285714285714286</v>
      </c>
      <c r="E17" s="63" t="s">
        <v>80</v>
      </c>
      <c r="F17" s="60" t="s">
        <v>35</v>
      </c>
      <c r="G17" s="47">
        <v>1</v>
      </c>
      <c r="H17" s="133">
        <f>IF(B$17=0,0,G17/B$17)</f>
        <v>1.6666666666666666E-2</v>
      </c>
      <c r="I17" s="94">
        <v>5</v>
      </c>
      <c r="K17" s="38">
        <v>15</v>
      </c>
      <c r="L17" s="99">
        <v>157.69999999999999</v>
      </c>
      <c r="N17" s="115" t="s">
        <v>172</v>
      </c>
      <c r="O17" s="125">
        <f t="shared" si="2"/>
        <v>16.62857142857143</v>
      </c>
      <c r="P17" s="119">
        <v>7</v>
      </c>
      <c r="Q17" s="107">
        <v>116.4</v>
      </c>
    </row>
    <row r="18" spans="1:17" x14ac:dyDescent="0.4">
      <c r="A18" s="55" t="s">
        <v>12</v>
      </c>
      <c r="B18" s="47">
        <v>35</v>
      </c>
      <c r="C18" s="39">
        <f>IF(B$17=0,0,B18/B$17)</f>
        <v>0.58333333333333337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99.6</v>
      </c>
      <c r="N18" s="115" t="s">
        <v>127</v>
      </c>
      <c r="O18" s="125">
        <f t="shared" si="2"/>
        <v>13.45</v>
      </c>
      <c r="P18" s="119">
        <v>2</v>
      </c>
      <c r="Q18" s="107">
        <v>26.9</v>
      </c>
    </row>
    <row r="19" spans="1:17" x14ac:dyDescent="0.4">
      <c r="A19" s="55" t="s">
        <v>11</v>
      </c>
      <c r="B19" s="47">
        <v>25</v>
      </c>
      <c r="C19" s="39">
        <f>IF(B$17=0,0,B19/B$17)</f>
        <v>0.41666666666666669</v>
      </c>
      <c r="E19" s="63" t="s">
        <v>82</v>
      </c>
      <c r="F19" s="60" t="s">
        <v>37</v>
      </c>
      <c r="G19" s="47">
        <v>1</v>
      </c>
      <c r="H19" s="133">
        <f>IF(B$17=0,0,G19/B$17)</f>
        <v>1.6666666666666666E-2</v>
      </c>
      <c r="I19" s="94">
        <v>10</v>
      </c>
      <c r="K19" s="38">
        <v>17</v>
      </c>
      <c r="L19" s="99">
        <v>112.39999999999999</v>
      </c>
      <c r="N19" s="115" t="s">
        <v>171</v>
      </c>
      <c r="O19" s="125">
        <f t="shared" si="2"/>
        <v>12.75</v>
      </c>
      <c r="P19" s="119">
        <v>6</v>
      </c>
      <c r="Q19" s="107">
        <v>76.5</v>
      </c>
    </row>
    <row r="20" spans="1:17" x14ac:dyDescent="0.4">
      <c r="A20" s="55" t="s">
        <v>13</v>
      </c>
      <c r="B20" s="47">
        <v>28</v>
      </c>
      <c r="C20" s="39">
        <f>IF(B$3=0,0,B20/B$3)</f>
        <v>0.16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45.399999999999991</v>
      </c>
      <c r="N20" s="115" t="s">
        <v>128</v>
      </c>
      <c r="O20" s="125">
        <f t="shared" si="2"/>
        <v>5.5000000000000018</v>
      </c>
      <c r="P20" s="119">
        <v>2</v>
      </c>
      <c r="Q20" s="107">
        <v>11.000000000000004</v>
      </c>
    </row>
    <row r="21" spans="1:17" x14ac:dyDescent="0.4">
      <c r="A21" s="55" t="s">
        <v>191</v>
      </c>
      <c r="B21" s="47">
        <v>7</v>
      </c>
      <c r="C21" s="135">
        <v>2</v>
      </c>
      <c r="E21" s="63" t="s">
        <v>84</v>
      </c>
      <c r="F21" s="60" t="s">
        <v>39</v>
      </c>
      <c r="G21" s="47">
        <v>3</v>
      </c>
      <c r="H21" s="133">
        <f>IF(B$17=0,0,G21/B$17)</f>
        <v>0.05</v>
      </c>
      <c r="I21" s="94">
        <v>6</v>
      </c>
      <c r="K21" s="38">
        <v>19</v>
      </c>
      <c r="L21" s="99">
        <v>94.299999999999983</v>
      </c>
      <c r="N21" s="115" t="s">
        <v>177</v>
      </c>
      <c r="O21" s="125">
        <f t="shared" si="2"/>
        <v>0.90000000000000258</v>
      </c>
      <c r="P21" s="119">
        <v>9</v>
      </c>
      <c r="Q21" s="107">
        <v>8.1000000000000227</v>
      </c>
    </row>
    <row r="22" spans="1:17" x14ac:dyDescent="0.4">
      <c r="A22" s="55" t="s">
        <v>192</v>
      </c>
      <c r="B22" s="47">
        <v>14</v>
      </c>
      <c r="C22" s="135">
        <v>11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N22" s="115" t="s">
        <v>129</v>
      </c>
      <c r="O22" s="125">
        <f t="shared" si="2"/>
        <v>-36.199999999999996</v>
      </c>
      <c r="P22" s="119">
        <v>6</v>
      </c>
      <c r="Q22" s="107">
        <v>-217.2</v>
      </c>
    </row>
    <row r="23" spans="1:17" x14ac:dyDescent="0.4">
      <c r="A23" s="55" t="s">
        <v>5</v>
      </c>
      <c r="B23" s="51">
        <f>IF(B$17=0,0,C23/B$17)</f>
        <v>8058.333333333333</v>
      </c>
      <c r="C23" s="41">
        <v>483500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-8367.8571428571431</v>
      </c>
      <c r="C24" s="45">
        <v>-234300</v>
      </c>
      <c r="E24" s="63" t="s">
        <v>87</v>
      </c>
      <c r="F24" s="60" t="s">
        <v>42</v>
      </c>
      <c r="G24" s="47">
        <v>7</v>
      </c>
      <c r="H24" s="133">
        <f>IF(B$17=0,0,G24/B$17)</f>
        <v>0.11666666666666667</v>
      </c>
      <c r="I24" s="94">
        <v>2</v>
      </c>
    </row>
    <row r="25" spans="1:17" x14ac:dyDescent="0.4">
      <c r="A25" s="90" t="s">
        <v>142</v>
      </c>
      <c r="B25" s="144">
        <v>4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106300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2</v>
      </c>
      <c r="C27" s="42">
        <f>IF(B$3=0,0,B27/B$3)</f>
        <v>1.1428571428571429E-2</v>
      </c>
      <c r="E27" s="63" t="s">
        <v>90</v>
      </c>
      <c r="F27" s="60" t="s">
        <v>45</v>
      </c>
      <c r="G27" s="47">
        <v>9</v>
      </c>
      <c r="H27" s="133">
        <f>IF(B$17=0,0,G27/B$17)</f>
        <v>0.15</v>
      </c>
      <c r="I27" s="94">
        <v>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18</v>
      </c>
      <c r="H51" s="138">
        <f>IF(B$17=0,0,G51/B$17)</f>
        <v>0.3</v>
      </c>
      <c r="I51" s="139">
        <v>14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78A83-A10A-4FE7-9DE8-71621826CCB3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</v>
      </c>
      <c r="C2" s="151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52">
        <v>13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12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4">
        <v>13.3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6">
        <f>IF(B$2=0,0,B$4/B$2)</f>
        <v>13.3</v>
      </c>
      <c r="C5" s="157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1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1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14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13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14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12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12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9" x14ac:dyDescent="0.4">
      <c r="A22" s="55" t="s">
        <v>192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12</v>
      </c>
    </row>
    <row r="25" spans="1:9" x14ac:dyDescent="0.4">
      <c r="A25" s="90" t="s">
        <v>142</v>
      </c>
      <c r="B25" s="144">
        <v>5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42">
        <v>48300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1</v>
      </c>
      <c r="H51" s="138">
        <f>IF(B$17=0,0,G51/B$17)</f>
        <v>0.5</v>
      </c>
      <c r="I51" s="139">
        <v>2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ECF83-2A77-40BB-A8E1-C0282FA1FC38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</v>
      </c>
      <c r="C2" s="151"/>
      <c r="E2" s="62" t="s">
        <v>65</v>
      </c>
      <c r="F2" s="59" t="s">
        <v>21</v>
      </c>
      <c r="G2" s="46">
        <v>4</v>
      </c>
      <c r="H2" s="132">
        <f>IF(B$17=0,0,G2/B$17)</f>
        <v>0.25</v>
      </c>
      <c r="I2" s="93">
        <v>14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-1083.3333333333333</v>
      </c>
      <c r="P2" s="118">
        <v>6</v>
      </c>
      <c r="Q2" s="102">
        <v>-6500</v>
      </c>
    </row>
    <row r="3" spans="1:17" x14ac:dyDescent="0.4">
      <c r="A3" s="55" t="s">
        <v>8</v>
      </c>
      <c r="B3" s="152">
        <v>46</v>
      </c>
      <c r="C3" s="153"/>
      <c r="E3" s="63" t="s">
        <v>66</v>
      </c>
      <c r="F3" s="60" t="s">
        <v>22</v>
      </c>
      <c r="G3" s="47">
        <v>1</v>
      </c>
      <c r="H3" s="133">
        <f>IF(B$17=0,0,G3/B$17)</f>
        <v>6.25E-2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10800</v>
      </c>
      <c r="P3" s="119">
        <v>6</v>
      </c>
      <c r="Q3" s="103">
        <v>64800</v>
      </c>
    </row>
    <row r="4" spans="1:17" x14ac:dyDescent="0.4">
      <c r="A4" s="55" t="s">
        <v>6</v>
      </c>
      <c r="B4" s="154">
        <v>100.39999999999999</v>
      </c>
      <c r="C4" s="155"/>
      <c r="E4" s="63" t="s">
        <v>67</v>
      </c>
      <c r="F4" s="60" t="s">
        <v>23</v>
      </c>
      <c r="G4" s="47">
        <v>16</v>
      </c>
      <c r="H4" s="133">
        <f>IF(B$17=0,0,G4/B$17)</f>
        <v>1</v>
      </c>
      <c r="I4" s="94">
        <v>2</v>
      </c>
      <c r="K4" s="38">
        <v>2</v>
      </c>
      <c r="L4" s="99">
        <v>-24.7</v>
      </c>
      <c r="N4" s="115" t="s">
        <v>134</v>
      </c>
      <c r="O4" s="122">
        <f t="shared" si="0"/>
        <v>-3000</v>
      </c>
      <c r="P4" s="119">
        <v>5</v>
      </c>
      <c r="Q4" s="103">
        <v>-15000</v>
      </c>
    </row>
    <row r="5" spans="1:17" x14ac:dyDescent="0.4">
      <c r="A5" s="55" t="s">
        <v>7</v>
      </c>
      <c r="B5" s="156">
        <f>IF(B$2=0,0,B$4/B$2)</f>
        <v>16.733333333333331</v>
      </c>
      <c r="C5" s="157"/>
      <c r="E5" s="63" t="s">
        <v>68</v>
      </c>
      <c r="F5" s="60" t="s">
        <v>24</v>
      </c>
      <c r="G5" s="47">
        <v>4</v>
      </c>
      <c r="H5" s="133">
        <f>IF(B$17=0,0,G5/B$17)</f>
        <v>0.25</v>
      </c>
      <c r="I5" s="94">
        <v>10</v>
      </c>
      <c r="K5" s="38">
        <v>3</v>
      </c>
      <c r="L5" s="99">
        <v>14.500000000000004</v>
      </c>
      <c r="N5" s="115" t="s">
        <v>135</v>
      </c>
      <c r="O5" s="122">
        <f t="shared" si="0"/>
        <v>6360</v>
      </c>
      <c r="P5" s="119">
        <v>5</v>
      </c>
      <c r="Q5" s="103">
        <v>31800</v>
      </c>
    </row>
    <row r="6" spans="1:17" x14ac:dyDescent="0.4">
      <c r="A6" s="55" t="s">
        <v>1</v>
      </c>
      <c r="B6" s="146">
        <f>IF(B$2=0,0,(B$7*1+B$8*2+B$9*3)/B$2)</f>
        <v>1.8333333333333333</v>
      </c>
      <c r="C6" s="147"/>
      <c r="E6" s="63" t="s">
        <v>69</v>
      </c>
      <c r="F6" s="60" t="s">
        <v>12</v>
      </c>
      <c r="G6" s="47">
        <v>5</v>
      </c>
      <c r="H6" s="133">
        <f>IF(B$17=0,0,G6/B$17)</f>
        <v>0.3125</v>
      </c>
      <c r="I6" s="94">
        <v>7</v>
      </c>
      <c r="K6" s="38">
        <v>4</v>
      </c>
      <c r="L6" s="99">
        <v>-37.200000000000003</v>
      </c>
      <c r="N6" s="115" t="s">
        <v>136</v>
      </c>
      <c r="O6" s="122">
        <f t="shared" si="0"/>
        <v>-50</v>
      </c>
      <c r="P6" s="119">
        <v>4</v>
      </c>
      <c r="Q6" s="103">
        <v>-200</v>
      </c>
    </row>
    <row r="7" spans="1:17" x14ac:dyDescent="0.4">
      <c r="A7" s="55" t="s">
        <v>2</v>
      </c>
      <c r="B7" s="47">
        <v>3</v>
      </c>
      <c r="C7" s="39">
        <f>IF(B$2=0,0,B7/B$2)</f>
        <v>0.5</v>
      </c>
      <c r="E7" s="63" t="s">
        <v>70</v>
      </c>
      <c r="F7" s="60" t="s">
        <v>25</v>
      </c>
      <c r="G7" s="47">
        <v>1</v>
      </c>
      <c r="H7" s="133">
        <f>IF(B$17=0,0,G7/B$17)</f>
        <v>6.25E-2</v>
      </c>
      <c r="I7" s="94">
        <v>13</v>
      </c>
      <c r="K7" s="38">
        <v>5</v>
      </c>
      <c r="L7" s="99">
        <v>39.899999999999991</v>
      </c>
      <c r="N7" s="116" t="s">
        <v>137</v>
      </c>
      <c r="O7" s="123">
        <f t="shared" si="0"/>
        <v>1833.3333333333333</v>
      </c>
      <c r="P7" s="120">
        <v>3</v>
      </c>
      <c r="Q7" s="104">
        <v>5500</v>
      </c>
    </row>
    <row r="8" spans="1:17" x14ac:dyDescent="0.4">
      <c r="A8" s="55" t="s">
        <v>3</v>
      </c>
      <c r="B8" s="47">
        <v>1</v>
      </c>
      <c r="C8" s="39">
        <f>IF(B$2=0,0,B8/B$2)</f>
        <v>0.16666666666666666</v>
      </c>
      <c r="E8" s="63" t="s">
        <v>71</v>
      </c>
      <c r="F8" s="60" t="s">
        <v>26</v>
      </c>
      <c r="G8" s="47">
        <v>1</v>
      </c>
      <c r="H8" s="133">
        <f>IF(B$17=0,0,G8/B$17)</f>
        <v>6.25E-2</v>
      </c>
      <c r="I8" s="94">
        <v>11</v>
      </c>
      <c r="K8" s="38">
        <v>6</v>
      </c>
      <c r="L8" s="99">
        <v>100.39999999999999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ref="C9" si="1">IF(B$2=0,0,B9/B$2)</f>
        <v>0.33333333333333331</v>
      </c>
      <c r="E9" s="63" t="s">
        <v>72</v>
      </c>
      <c r="F9" s="60" t="s">
        <v>27</v>
      </c>
      <c r="G9" s="47">
        <v>2</v>
      </c>
      <c r="H9" s="133">
        <f>IF(B$17=0,0,G9/B$17)</f>
        <v>0.125</v>
      </c>
      <c r="I9" s="94">
        <v>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14</v>
      </c>
      <c r="H10" s="133">
        <f>IF(B$17=0,0,G10/B$17)</f>
        <v>0.875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2</v>
      </c>
      <c r="C11" s="40">
        <f>IF(B$2=0,0,B11/B$2)</f>
        <v>0.33333333333333331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58.933333333333337</v>
      </c>
      <c r="P11" s="119">
        <v>3</v>
      </c>
      <c r="Q11" s="107">
        <v>176.8</v>
      </c>
    </row>
    <row r="12" spans="1:17" x14ac:dyDescent="0.4">
      <c r="A12" s="57" t="s">
        <v>160</v>
      </c>
      <c r="B12" s="49">
        <v>1</v>
      </c>
      <c r="C12" s="42">
        <f>IF(B$2=0,0,B12/B$2)</f>
        <v>0.16666666666666666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-19.700000000000003</v>
      </c>
      <c r="P12" s="120">
        <v>2</v>
      </c>
      <c r="Q12" s="108">
        <v>-39.400000000000006</v>
      </c>
    </row>
    <row r="13" spans="1:17" x14ac:dyDescent="0.4">
      <c r="A13" s="58" t="s">
        <v>122</v>
      </c>
      <c r="B13" s="50">
        <v>7</v>
      </c>
      <c r="C13" s="44">
        <f>IF(B$3=0,0,B13/B$3)</f>
        <v>0.15217391304347827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</v>
      </c>
      <c r="C14" s="39">
        <f>IF(B$3=0,0,B14/B$3)</f>
        <v>0.36956521739130432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</v>
      </c>
      <c r="C15" s="37">
        <f>IF(B$13=0,0,B15/B$13)</f>
        <v>0.7142857142857143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N15" s="114" t="s">
        <v>184</v>
      </c>
      <c r="O15" s="124">
        <f>IF(P15=0,0,Q15/P15)</f>
        <v>138.94999999999999</v>
      </c>
      <c r="P15" s="118">
        <v>2</v>
      </c>
      <c r="Q15" s="106">
        <v>277.89999999999998</v>
      </c>
    </row>
    <row r="16" spans="1:17" x14ac:dyDescent="0.4">
      <c r="A16" s="54" t="s">
        <v>125</v>
      </c>
      <c r="B16" s="46">
        <v>9</v>
      </c>
      <c r="C16" s="37">
        <f>IF(B$14=0,0,B16/B$14)</f>
        <v>0.52941176470588236</v>
      </c>
      <c r="E16" s="63" t="s">
        <v>79</v>
      </c>
      <c r="F16" s="60" t="s">
        <v>34</v>
      </c>
      <c r="G16" s="47">
        <v>1</v>
      </c>
      <c r="H16" s="133">
        <f>IF(B$17=0,0,G16/B$17)</f>
        <v>6.25E-2</v>
      </c>
      <c r="I16" s="94">
        <v>3</v>
      </c>
      <c r="N16" s="115" t="s">
        <v>172</v>
      </c>
      <c r="O16" s="125">
        <f>IF(P16=0,0,Q16/P16)</f>
        <v>34.866666666666667</v>
      </c>
      <c r="P16" s="119">
        <v>3</v>
      </c>
      <c r="Q16" s="107">
        <v>104.6</v>
      </c>
    </row>
    <row r="17" spans="1:17" x14ac:dyDescent="0.4">
      <c r="A17" s="54" t="s">
        <v>10</v>
      </c>
      <c r="B17" s="46">
        <f>B19+B18</f>
        <v>16</v>
      </c>
      <c r="C17" s="37">
        <f>IF(B$3=0,0,B17/B$3)</f>
        <v>0.34782608695652173</v>
      </c>
      <c r="E17" s="63" t="s">
        <v>80</v>
      </c>
      <c r="F17" s="60" t="s">
        <v>35</v>
      </c>
      <c r="G17" s="47">
        <v>1</v>
      </c>
      <c r="H17" s="133">
        <f>IF(B$17=0,0,G17/B$17)</f>
        <v>6.25E-2</v>
      </c>
      <c r="I17" s="94">
        <v>1</v>
      </c>
      <c r="N17" s="115" t="s">
        <v>127</v>
      </c>
      <c r="O17" s="125">
        <f>IF(P17=0,0,Q17/P17)</f>
        <v>29.566666666666666</v>
      </c>
      <c r="P17" s="119">
        <v>3</v>
      </c>
      <c r="Q17" s="107">
        <v>88.7</v>
      </c>
    </row>
    <row r="18" spans="1:17" x14ac:dyDescent="0.4">
      <c r="A18" s="55" t="s">
        <v>12</v>
      </c>
      <c r="B18" s="47">
        <v>10</v>
      </c>
      <c r="C18" s="39">
        <f>IF(B$17=0,0,B18/B$17)</f>
        <v>0.625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129</v>
      </c>
      <c r="O18" s="125">
        <f>IF(P18=0,0,Q18/P18)</f>
        <v>-42.5</v>
      </c>
      <c r="P18" s="119">
        <v>4</v>
      </c>
      <c r="Q18" s="107">
        <v>-170</v>
      </c>
    </row>
    <row r="19" spans="1:17" x14ac:dyDescent="0.4">
      <c r="A19" s="55" t="s">
        <v>11</v>
      </c>
      <c r="B19" s="47">
        <v>6</v>
      </c>
      <c r="C19" s="39">
        <f>IF(B$17=0,0,B19/B$17)</f>
        <v>0.375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11</v>
      </c>
    </row>
    <row r="20" spans="1:17" x14ac:dyDescent="0.4">
      <c r="A20" s="55" t="s">
        <v>13</v>
      </c>
      <c r="B20" s="47">
        <v>6</v>
      </c>
      <c r="C20" s="39">
        <f>IF(B$3=0,0,B20/B$3)</f>
        <v>0.13043478260869565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4</v>
      </c>
      <c r="C21" s="135">
        <v>2</v>
      </c>
      <c r="E21" s="63" t="s">
        <v>84</v>
      </c>
      <c r="F21" s="60" t="s">
        <v>39</v>
      </c>
      <c r="G21" s="47">
        <v>1</v>
      </c>
      <c r="H21" s="133">
        <f>IF(B$17=0,0,G21/B$17)</f>
        <v>6.25E-2</v>
      </c>
      <c r="I21" s="94">
        <v>3</v>
      </c>
    </row>
    <row r="22" spans="1:17" x14ac:dyDescent="0.4">
      <c r="A22" s="55" t="s">
        <v>192</v>
      </c>
      <c r="B22" s="47">
        <v>16</v>
      </c>
      <c r="C22" s="135">
        <v>11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17" x14ac:dyDescent="0.4">
      <c r="A23" s="55" t="s">
        <v>5</v>
      </c>
      <c r="B23" s="51">
        <f>IF(B$17=0,0,C23/B$17)</f>
        <v>12143.75</v>
      </c>
      <c r="C23" s="41">
        <v>194300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-10583.333333333334</v>
      </c>
      <c r="C24" s="45">
        <v>-63500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12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92100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3</v>
      </c>
      <c r="H27" s="133">
        <f>IF(B$17=0,0,G27/B$17)</f>
        <v>0.1875</v>
      </c>
      <c r="I27" s="94">
        <v>2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2</v>
      </c>
      <c r="H50" s="133">
        <f>IF(B$17=0,0,G50/B$17)</f>
        <v>0.125</v>
      </c>
      <c r="I50" s="94">
        <v>1</v>
      </c>
    </row>
    <row r="51" spans="5:9" x14ac:dyDescent="0.4">
      <c r="E51" s="136" t="s">
        <v>245</v>
      </c>
      <c r="F51" s="137" t="s">
        <v>246</v>
      </c>
      <c r="G51" s="48">
        <v>6</v>
      </c>
      <c r="H51" s="138">
        <f>IF(B$17=0,0,G51/B$17)</f>
        <v>0.375</v>
      </c>
      <c r="I51" s="139">
        <v>12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E0B09-856D-45D0-8B8B-B702DA0846C1}">
  <sheetPr codeName="Sheet32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271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</v>
      </c>
      <c r="C2" s="151"/>
      <c r="E2" s="62" t="s">
        <v>65</v>
      </c>
      <c r="F2" s="59" t="s">
        <v>21</v>
      </c>
      <c r="G2" s="46">
        <v>7</v>
      </c>
      <c r="H2" s="132">
        <f>IF(B$17=0,0,G2/B$17)</f>
        <v>0.5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-5416.666666666667</v>
      </c>
      <c r="P2" s="118">
        <v>6</v>
      </c>
      <c r="Q2" s="102">
        <v>-32500</v>
      </c>
    </row>
    <row r="3" spans="1:17" x14ac:dyDescent="0.4">
      <c r="A3" s="55" t="s">
        <v>8</v>
      </c>
      <c r="B3" s="152">
        <v>56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12</v>
      </c>
      <c r="K3" s="38">
        <v>1</v>
      </c>
      <c r="L3" s="99">
        <v>-43.2</v>
      </c>
      <c r="N3" s="115" t="s">
        <v>133</v>
      </c>
      <c r="O3" s="122">
        <f t="shared" si="0"/>
        <v>-3366.6666666666665</v>
      </c>
      <c r="P3" s="119">
        <v>6</v>
      </c>
      <c r="Q3" s="103">
        <v>-20200</v>
      </c>
    </row>
    <row r="4" spans="1:17" x14ac:dyDescent="0.4">
      <c r="A4" s="55" t="s">
        <v>6</v>
      </c>
      <c r="B4" s="154">
        <v>-201.8</v>
      </c>
      <c r="C4" s="155"/>
      <c r="E4" s="63" t="s">
        <v>67</v>
      </c>
      <c r="F4" s="60" t="s">
        <v>23</v>
      </c>
      <c r="G4" s="47">
        <v>6</v>
      </c>
      <c r="H4" s="133">
        <f>IF(B$17=0,0,G4/B$17)</f>
        <v>0.42857142857142855</v>
      </c>
      <c r="I4" s="94">
        <v>14</v>
      </c>
      <c r="K4" s="38">
        <v>2</v>
      </c>
      <c r="L4" s="99">
        <v>-96.5</v>
      </c>
      <c r="N4" s="115" t="s">
        <v>134</v>
      </c>
      <c r="O4" s="122">
        <f t="shared" si="0"/>
        <v>360</v>
      </c>
      <c r="P4" s="119">
        <v>5</v>
      </c>
      <c r="Q4" s="103">
        <v>1800</v>
      </c>
    </row>
    <row r="5" spans="1:17" x14ac:dyDescent="0.4">
      <c r="A5" s="55" t="s">
        <v>7</v>
      </c>
      <c r="B5" s="156">
        <f>IF(B$2=0,0,B$4/B$2)</f>
        <v>-33.633333333333333</v>
      </c>
      <c r="C5" s="157"/>
      <c r="E5" s="63" t="s">
        <v>68</v>
      </c>
      <c r="F5" s="60" t="s">
        <v>24</v>
      </c>
      <c r="G5" s="47">
        <v>0</v>
      </c>
      <c r="H5" s="133">
        <f>IF(B$17=0,0,G5/B$17)</f>
        <v>0</v>
      </c>
      <c r="I5" s="94">
        <v>14</v>
      </c>
      <c r="K5" s="38">
        <v>3</v>
      </c>
      <c r="L5" s="99">
        <v>-151.9</v>
      </c>
      <c r="N5" s="115" t="s">
        <v>135</v>
      </c>
      <c r="O5" s="122">
        <f t="shared" si="0"/>
        <v>5680</v>
      </c>
      <c r="P5" s="119">
        <v>5</v>
      </c>
      <c r="Q5" s="103">
        <v>28400</v>
      </c>
    </row>
    <row r="6" spans="1:17" x14ac:dyDescent="0.4">
      <c r="A6" s="55" t="s">
        <v>1</v>
      </c>
      <c r="B6" s="146">
        <f>IF(B$2=0,0,(B$7*1+B$8*2+B$9*3)/B$2)</f>
        <v>2.6666666666666665</v>
      </c>
      <c r="C6" s="147"/>
      <c r="E6" s="63" t="s">
        <v>69</v>
      </c>
      <c r="F6" s="60" t="s">
        <v>12</v>
      </c>
      <c r="G6" s="47">
        <v>4</v>
      </c>
      <c r="H6" s="133">
        <f>IF(B$17=0,0,G6/B$17)</f>
        <v>0.2857142857142857</v>
      </c>
      <c r="I6" s="94">
        <v>11</v>
      </c>
      <c r="K6" s="38">
        <v>4</v>
      </c>
      <c r="L6" s="99">
        <v>-134.1</v>
      </c>
      <c r="N6" s="115" t="s">
        <v>136</v>
      </c>
      <c r="O6" s="122">
        <f t="shared" si="0"/>
        <v>-6525</v>
      </c>
      <c r="P6" s="119">
        <v>4</v>
      </c>
      <c r="Q6" s="103">
        <v>-26100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1</v>
      </c>
      <c r="H7" s="133">
        <f>IF(B$17=0,0,G7/B$17)</f>
        <v>7.1428571428571425E-2</v>
      </c>
      <c r="I7" s="94">
        <v>12</v>
      </c>
      <c r="K7" s="38">
        <v>5</v>
      </c>
      <c r="L7" s="99">
        <v>-152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2</v>
      </c>
      <c r="C8" s="39">
        <f>IF(B$2=0,0,B8/B$2)</f>
        <v>0.33333333333333331</v>
      </c>
      <c r="E8" s="63" t="s">
        <v>71</v>
      </c>
      <c r="F8" s="60" t="s">
        <v>26</v>
      </c>
      <c r="G8" s="47">
        <v>1</v>
      </c>
      <c r="H8" s="133">
        <f>IF(B$17=0,0,G8/B$17)</f>
        <v>7.1428571428571425E-2</v>
      </c>
      <c r="I8" s="94">
        <v>10</v>
      </c>
      <c r="K8" s="38">
        <v>6</v>
      </c>
      <c r="L8" s="99">
        <v>-201.8</v>
      </c>
      <c r="N8" s="43"/>
      <c r="O8" s="127"/>
      <c r="P8" s="111"/>
      <c r="Q8" s="109"/>
    </row>
    <row r="9" spans="1:17" x14ac:dyDescent="0.4">
      <c r="A9" s="56" t="s">
        <v>4</v>
      </c>
      <c r="B9" s="48">
        <v>4</v>
      </c>
      <c r="C9" s="40">
        <f t="shared" ref="C9" si="1">IF(B$2=0,0,B9/B$2)</f>
        <v>0.66666666666666663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0.16666666666666666</v>
      </c>
      <c r="E10" s="63" t="s">
        <v>73</v>
      </c>
      <c r="F10" s="60" t="s">
        <v>28</v>
      </c>
      <c r="G10" s="47">
        <v>7</v>
      </c>
      <c r="H10" s="133">
        <f>IF(B$17=0,0,G10/B$17)</f>
        <v>0.5</v>
      </c>
      <c r="I10" s="94">
        <v>10</v>
      </c>
      <c r="N10" s="114" t="s">
        <v>164</v>
      </c>
      <c r="O10" s="124">
        <f>IF(P10=0,0,Q10/P10)</f>
        <v>-23.274999999999999</v>
      </c>
      <c r="P10" s="118">
        <v>4</v>
      </c>
      <c r="Q10" s="106">
        <v>-93.1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-54.349999999999994</v>
      </c>
      <c r="P11" s="119">
        <v>2</v>
      </c>
      <c r="Q11" s="107">
        <v>-108.69999999999999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10</v>
      </c>
      <c r="C13" s="44">
        <f>IF(B$3=0,0,B13/B$3)</f>
        <v>0.17857142857142858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20</v>
      </c>
      <c r="C14" s="39">
        <f>IF(B$3=0,0,B14/B$3)</f>
        <v>0.35714285714285715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</v>
      </c>
      <c r="C15" s="37">
        <f>IF(B$13=0,0,B15/B$13)</f>
        <v>0.7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N15" s="114" t="s">
        <v>200</v>
      </c>
      <c r="O15" s="124">
        <f>IF(P15=0,0,Q15/P15)</f>
        <v>-27.366666666666664</v>
      </c>
      <c r="P15" s="118">
        <v>3</v>
      </c>
      <c r="Q15" s="106">
        <v>-82.1</v>
      </c>
    </row>
    <row r="16" spans="1:17" x14ac:dyDescent="0.4">
      <c r="A16" s="54" t="s">
        <v>125</v>
      </c>
      <c r="B16" s="46">
        <v>5</v>
      </c>
      <c r="C16" s="37">
        <f>IF(B$14=0,0,B16/B$14)</f>
        <v>0.25</v>
      </c>
      <c r="E16" s="63" t="s">
        <v>79</v>
      </c>
      <c r="F16" s="60" t="s">
        <v>34</v>
      </c>
      <c r="G16" s="47">
        <v>1</v>
      </c>
      <c r="H16" s="133">
        <f>IF(B$17=0,0,G16/B$17)</f>
        <v>7.1428571428571425E-2</v>
      </c>
      <c r="I16" s="94">
        <v>1</v>
      </c>
      <c r="N16" s="115" t="s">
        <v>177</v>
      </c>
      <c r="O16" s="125">
        <f>IF(P16=0,0,Q16/P16)</f>
        <v>-45.800000000000004</v>
      </c>
      <c r="P16" s="119">
        <v>2</v>
      </c>
      <c r="Q16" s="107">
        <v>-91.600000000000009</v>
      </c>
    </row>
    <row r="17" spans="1:17" x14ac:dyDescent="0.4">
      <c r="A17" s="54" t="s">
        <v>10</v>
      </c>
      <c r="B17" s="46">
        <f>B19+B18</f>
        <v>14</v>
      </c>
      <c r="C17" s="37">
        <f>IF(B$3=0,0,B17/B$3)</f>
        <v>0.25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12</v>
      </c>
      <c r="N17" s="115" t="s">
        <v>129</v>
      </c>
      <c r="O17" s="125">
        <f>IF(P17=0,0,Q17/P17)</f>
        <v>-52.959999999999994</v>
      </c>
      <c r="P17" s="119">
        <v>5</v>
      </c>
      <c r="Q17" s="107">
        <v>-264.79999999999995</v>
      </c>
    </row>
    <row r="18" spans="1:17" x14ac:dyDescent="0.4">
      <c r="A18" s="55" t="s">
        <v>12</v>
      </c>
      <c r="B18" s="47">
        <v>6</v>
      </c>
      <c r="C18" s="39">
        <f>IF(B$17=0,0,B18/B$17)</f>
        <v>0.42857142857142855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173</v>
      </c>
      <c r="O18" s="125">
        <f>IF(P18=0,0,Q18/P18)</f>
        <v>-83.45</v>
      </c>
      <c r="P18" s="119">
        <v>2</v>
      </c>
      <c r="Q18" s="107">
        <v>-166.9</v>
      </c>
    </row>
    <row r="19" spans="1:17" x14ac:dyDescent="0.4">
      <c r="A19" s="55" t="s">
        <v>11</v>
      </c>
      <c r="B19" s="47">
        <v>8</v>
      </c>
      <c r="C19" s="39">
        <f>IF(B$17=0,0,B19/B$17)</f>
        <v>0.5714285714285714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11</v>
      </c>
    </row>
    <row r="20" spans="1:17" x14ac:dyDescent="0.4">
      <c r="A20" s="55" t="s">
        <v>13</v>
      </c>
      <c r="B20" s="47">
        <v>12</v>
      </c>
      <c r="C20" s="39">
        <f>IF(B$3=0,0,B20/B$3)</f>
        <v>0.21428571428571427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3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192</v>
      </c>
      <c r="B22" s="47">
        <v>8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17" x14ac:dyDescent="0.4">
      <c r="A23" s="55" t="s">
        <v>5</v>
      </c>
      <c r="B23" s="51">
        <f>IF(B$17=0,0,C23/B$17)</f>
        <v>6614.2857142857147</v>
      </c>
      <c r="C23" s="41">
        <v>92600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-6825</v>
      </c>
      <c r="C24" s="45">
        <v>-81900</v>
      </c>
      <c r="E24" s="63" t="s">
        <v>87</v>
      </c>
      <c r="F24" s="60" t="s">
        <v>42</v>
      </c>
      <c r="G24" s="47">
        <v>1</v>
      </c>
      <c r="H24" s="133">
        <f>IF(B$17=0,0,G24/B$17)</f>
        <v>7.1428571428571425E-2</v>
      </c>
      <c r="I24" s="94">
        <v>3</v>
      </c>
    </row>
    <row r="25" spans="1:17" x14ac:dyDescent="0.4">
      <c r="A25" s="90" t="s">
        <v>142</v>
      </c>
      <c r="B25" s="144">
        <v>4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52800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1</v>
      </c>
      <c r="C27" s="42">
        <f>IF(B$3=0,0,B27/B$3)</f>
        <v>1.7857142857142856E-2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7.1428571428571425E-2</v>
      </c>
      <c r="I29" s="94">
        <v>1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9</v>
      </c>
      <c r="H51" s="138">
        <f>IF(B$17=0,0,G51/B$17)</f>
        <v>0.6428571428571429</v>
      </c>
      <c r="I51" s="139">
        <v>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5F0CF-8EBA-4A22-A14A-C68928FFC9D4}">
  <sheetPr codeName="Sheet33"/>
  <dimension ref="A1:Q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271</v>
      </c>
      <c r="B1" s="70" t="s">
        <v>271</v>
      </c>
      <c r="C1" s="70" t="s">
        <v>271</v>
      </c>
      <c r="D1" s="71" t="s">
        <v>271</v>
      </c>
      <c r="E1" s="70" t="s">
        <v>271</v>
      </c>
      <c r="F1" s="70" t="s">
        <v>271</v>
      </c>
      <c r="G1" s="70" t="s">
        <v>271</v>
      </c>
      <c r="H1" s="70" t="s">
        <v>271</v>
      </c>
      <c r="I1" s="70" t="s">
        <v>271</v>
      </c>
      <c r="J1" s="70" t="s">
        <v>271</v>
      </c>
      <c r="K1" s="70" t="s">
        <v>271</v>
      </c>
      <c r="L1" s="70" t="s">
        <v>271</v>
      </c>
      <c r="M1" s="70" t="s">
        <v>271</v>
      </c>
      <c r="N1" s="70" t="s">
        <v>271</v>
      </c>
      <c r="O1" s="70" t="s">
        <v>271</v>
      </c>
      <c r="P1" s="70" t="s">
        <v>271</v>
      </c>
      <c r="Q1" s="70" t="s">
        <v>271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-43.2</v>
      </c>
      <c r="C4" s="66">
        <v>-43.2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0.14285714285714285</v>
      </c>
      <c r="I4" s="68">
        <v>3900</v>
      </c>
      <c r="J4" s="68">
        <v>-3200</v>
      </c>
      <c r="K4" s="67">
        <v>0</v>
      </c>
      <c r="L4" s="67">
        <v>0</v>
      </c>
      <c r="M4" s="67">
        <v>0</v>
      </c>
      <c r="N4" s="67">
        <v>0.2857142857142857</v>
      </c>
      <c r="O4" s="67">
        <v>0</v>
      </c>
      <c r="P4" s="67">
        <v>0.5</v>
      </c>
      <c r="Q4" s="67">
        <v>0</v>
      </c>
    </row>
    <row r="5" spans="1:17" x14ac:dyDescent="0.4">
      <c r="A5" s="69">
        <v>2</v>
      </c>
      <c r="B5" s="66">
        <v>-96.5</v>
      </c>
      <c r="C5" s="66">
        <v>-48.25</v>
      </c>
      <c r="D5" s="71">
        <v>3</v>
      </c>
      <c r="E5" s="67">
        <v>0</v>
      </c>
      <c r="F5" s="67">
        <v>1</v>
      </c>
      <c r="G5" s="67">
        <v>0.19047619047619047</v>
      </c>
      <c r="H5" s="67">
        <v>0.23809523809523808</v>
      </c>
      <c r="I5" s="68">
        <v>4475</v>
      </c>
      <c r="J5" s="68">
        <v>-6140</v>
      </c>
      <c r="K5" s="67">
        <v>0</v>
      </c>
      <c r="L5" s="67">
        <v>0</v>
      </c>
      <c r="M5" s="67">
        <v>4.7619047619047616E-2</v>
      </c>
      <c r="N5" s="67">
        <v>0.47619047619047616</v>
      </c>
      <c r="O5" s="67">
        <v>1</v>
      </c>
      <c r="P5" s="67">
        <v>0.2</v>
      </c>
      <c r="Q5" s="67">
        <v>0.25</v>
      </c>
    </row>
    <row r="6" spans="1:17" x14ac:dyDescent="0.4">
      <c r="A6" s="69">
        <v>3</v>
      </c>
      <c r="B6" s="66">
        <v>-151.9</v>
      </c>
      <c r="C6" s="66">
        <v>-50.633333333333333</v>
      </c>
      <c r="D6" s="71">
        <v>3</v>
      </c>
      <c r="E6" s="67">
        <v>0</v>
      </c>
      <c r="F6" s="67">
        <v>1</v>
      </c>
      <c r="G6" s="67">
        <v>0.16</v>
      </c>
      <c r="H6" s="67">
        <v>0.28000000000000003</v>
      </c>
      <c r="I6" s="68">
        <v>4475</v>
      </c>
      <c r="J6" s="68">
        <v>-6514.2857142857147</v>
      </c>
      <c r="K6" s="67">
        <v>0.33333333333333331</v>
      </c>
      <c r="L6" s="67">
        <v>0</v>
      </c>
      <c r="M6" s="67">
        <v>0.04</v>
      </c>
      <c r="N6" s="67">
        <v>0.48</v>
      </c>
      <c r="O6" s="67">
        <v>1</v>
      </c>
      <c r="P6" s="67">
        <v>0.16666666666666666</v>
      </c>
      <c r="Q6" s="67">
        <v>0.25</v>
      </c>
    </row>
    <row r="7" spans="1:17" x14ac:dyDescent="0.4">
      <c r="A7" s="69">
        <v>4</v>
      </c>
      <c r="B7" s="66">
        <v>-134.1</v>
      </c>
      <c r="C7" s="66">
        <v>-33.524999999999999</v>
      </c>
      <c r="D7" s="71">
        <v>2.75</v>
      </c>
      <c r="E7" s="67">
        <v>0</v>
      </c>
      <c r="F7" s="67">
        <v>0.75</v>
      </c>
      <c r="G7" s="67">
        <v>0.2</v>
      </c>
      <c r="H7" s="67">
        <v>0.22857142857142856</v>
      </c>
      <c r="I7" s="68">
        <v>5157.1428571428569</v>
      </c>
      <c r="J7" s="68">
        <v>-6187.5</v>
      </c>
      <c r="K7" s="67">
        <v>0.25</v>
      </c>
      <c r="L7" s="67">
        <v>0</v>
      </c>
      <c r="M7" s="67">
        <v>5.7142857142857141E-2</v>
      </c>
      <c r="N7" s="67">
        <v>0.4</v>
      </c>
      <c r="O7" s="67">
        <v>1</v>
      </c>
      <c r="P7" s="67">
        <v>0.21428571428571427</v>
      </c>
      <c r="Q7" s="67">
        <v>0.42857142857142855</v>
      </c>
    </row>
    <row r="8" spans="1:17" x14ac:dyDescent="0.4">
      <c r="A8" s="69">
        <v>5</v>
      </c>
      <c r="B8" s="66">
        <v>-152</v>
      </c>
      <c r="C8" s="66">
        <v>-30.4</v>
      </c>
      <c r="D8" s="71">
        <v>2.6</v>
      </c>
      <c r="E8" s="67">
        <v>0</v>
      </c>
      <c r="F8" s="67">
        <v>0.6</v>
      </c>
      <c r="G8" s="67">
        <v>0.24444444444444444</v>
      </c>
      <c r="H8" s="67">
        <v>0.2</v>
      </c>
      <c r="I8" s="68">
        <v>6727.272727272727</v>
      </c>
      <c r="J8" s="68">
        <v>-6077.7777777777774</v>
      </c>
      <c r="K8" s="67">
        <v>0.2</v>
      </c>
      <c r="L8" s="67">
        <v>0</v>
      </c>
      <c r="M8" s="67">
        <v>0.13333333333333333</v>
      </c>
      <c r="N8" s="67">
        <v>0.35555555555555557</v>
      </c>
      <c r="O8" s="67">
        <v>0.83333333333333337</v>
      </c>
      <c r="P8" s="67">
        <v>0.25</v>
      </c>
      <c r="Q8" s="67">
        <v>0.36363636363636365</v>
      </c>
    </row>
    <row r="9" spans="1:17" x14ac:dyDescent="0.4">
      <c r="A9" s="69">
        <v>6</v>
      </c>
      <c r="B9" s="66">
        <v>-201.8</v>
      </c>
      <c r="C9" s="66">
        <v>-33.633333333333333</v>
      </c>
      <c r="D9" s="71">
        <v>2.6666666666666665</v>
      </c>
      <c r="E9" s="67">
        <v>0</v>
      </c>
      <c r="F9" s="67">
        <v>0.66666666666666663</v>
      </c>
      <c r="G9" s="67">
        <v>0.25</v>
      </c>
      <c r="H9" s="67">
        <v>0.21428571428571427</v>
      </c>
      <c r="I9" s="68">
        <v>6614.2857142857147</v>
      </c>
      <c r="J9" s="68">
        <v>-6825</v>
      </c>
      <c r="K9" s="67">
        <v>0.16666666666666666</v>
      </c>
      <c r="L9" s="67">
        <v>0</v>
      </c>
      <c r="M9" s="67">
        <v>0.17857142857142858</v>
      </c>
      <c r="N9" s="67">
        <v>0.35714285714285715</v>
      </c>
      <c r="O9" s="67">
        <v>0.7</v>
      </c>
      <c r="P9" s="67">
        <v>0.25</v>
      </c>
      <c r="Q9" s="67">
        <v>0.42857142857142855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9E1C7-DDED-46B4-BACC-407541451C40}">
  <sheetPr codeName="Sheet30"/>
  <dimension ref="A1:Q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223</v>
      </c>
      <c r="B1" s="70" t="s">
        <v>223</v>
      </c>
      <c r="C1" s="70" t="s">
        <v>223</v>
      </c>
      <c r="D1" s="71" t="s">
        <v>223</v>
      </c>
      <c r="E1" s="70" t="s">
        <v>223</v>
      </c>
      <c r="F1" s="70" t="s">
        <v>223</v>
      </c>
      <c r="G1" s="70" t="s">
        <v>223</v>
      </c>
      <c r="H1" s="70" t="s">
        <v>223</v>
      </c>
      <c r="I1" s="70" t="s">
        <v>223</v>
      </c>
      <c r="J1" s="70" t="s">
        <v>223</v>
      </c>
      <c r="K1" s="70" t="s">
        <v>223</v>
      </c>
      <c r="L1" s="70" t="s">
        <v>223</v>
      </c>
      <c r="M1" s="70" t="s">
        <v>223</v>
      </c>
      <c r="N1" s="70" t="s">
        <v>223</v>
      </c>
      <c r="O1" s="70" t="s">
        <v>223</v>
      </c>
      <c r="P1" s="70" t="s">
        <v>223</v>
      </c>
      <c r="Q1" s="70" t="s">
        <v>223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  <row r="6" spans="1:17" x14ac:dyDescent="0.4">
      <c r="A6" s="69">
        <v>3</v>
      </c>
      <c r="B6" s="66">
        <v>14.500000000000004</v>
      </c>
      <c r="C6" s="66">
        <v>4.8333333333333348</v>
      </c>
      <c r="D6" s="71">
        <v>2</v>
      </c>
      <c r="E6" s="67">
        <v>0.33333333333333331</v>
      </c>
      <c r="F6" s="67">
        <v>0.33333333333333331</v>
      </c>
      <c r="G6" s="67">
        <v>0.33333333333333331</v>
      </c>
      <c r="H6" s="67">
        <v>0.16666666666666666</v>
      </c>
      <c r="I6" s="68">
        <v>9270</v>
      </c>
      <c r="J6" s="68">
        <v>-11540</v>
      </c>
      <c r="K6" s="67">
        <v>0</v>
      </c>
      <c r="L6" s="67">
        <v>0</v>
      </c>
      <c r="M6" s="67">
        <v>0.13333333333333333</v>
      </c>
      <c r="N6" s="67">
        <v>0.33333333333333331</v>
      </c>
      <c r="O6" s="67">
        <v>0.75</v>
      </c>
      <c r="P6" s="67">
        <v>0.6</v>
      </c>
      <c r="Q6" s="67">
        <v>0.7</v>
      </c>
    </row>
    <row r="7" spans="1:17" x14ac:dyDescent="0.4">
      <c r="A7" s="69">
        <v>4</v>
      </c>
      <c r="B7" s="66">
        <v>-37.200000000000003</v>
      </c>
      <c r="C7" s="66">
        <v>-9.3000000000000007</v>
      </c>
      <c r="D7" s="71">
        <v>2.25</v>
      </c>
      <c r="E7" s="67">
        <v>0.25</v>
      </c>
      <c r="F7" s="67">
        <v>0.5</v>
      </c>
      <c r="G7" s="67">
        <v>0.26315789473684209</v>
      </c>
      <c r="H7" s="67">
        <v>0.15789473684210525</v>
      </c>
      <c r="I7" s="68">
        <v>9270</v>
      </c>
      <c r="J7" s="68">
        <v>-10583.333333333334</v>
      </c>
      <c r="K7" s="67">
        <v>0</v>
      </c>
      <c r="L7" s="67">
        <v>0</v>
      </c>
      <c r="M7" s="67">
        <v>0.13157894736842105</v>
      </c>
      <c r="N7" s="67">
        <v>0.36842105263157893</v>
      </c>
      <c r="O7" s="67">
        <v>0.6</v>
      </c>
      <c r="P7" s="67">
        <v>0.42857142857142855</v>
      </c>
      <c r="Q7" s="67">
        <v>0.7</v>
      </c>
    </row>
    <row r="8" spans="1:17" x14ac:dyDescent="0.4">
      <c r="A8" s="69">
        <v>5</v>
      </c>
      <c r="B8" s="66">
        <v>39.899999999999991</v>
      </c>
      <c r="C8" s="66">
        <v>7.9799999999999986</v>
      </c>
      <c r="D8" s="71">
        <v>2</v>
      </c>
      <c r="E8" s="67">
        <v>0.4</v>
      </c>
      <c r="F8" s="67">
        <v>0.4</v>
      </c>
      <c r="G8" s="67">
        <v>0.30952380952380953</v>
      </c>
      <c r="H8" s="67">
        <v>0.14285714285714285</v>
      </c>
      <c r="I8" s="68">
        <v>11253.846153846154</v>
      </c>
      <c r="J8" s="68">
        <v>-10583.333333333334</v>
      </c>
      <c r="K8" s="67">
        <v>0</v>
      </c>
      <c r="L8" s="67">
        <v>0.2</v>
      </c>
      <c r="M8" s="67">
        <v>0.14285714285714285</v>
      </c>
      <c r="N8" s="67">
        <v>0.38095238095238093</v>
      </c>
      <c r="O8" s="67">
        <v>0.66666666666666663</v>
      </c>
      <c r="P8" s="67">
        <v>0.5</v>
      </c>
      <c r="Q8" s="67">
        <v>0.69230769230769229</v>
      </c>
    </row>
    <row r="9" spans="1:17" x14ac:dyDescent="0.4">
      <c r="A9" s="69">
        <v>6</v>
      </c>
      <c r="B9" s="66">
        <v>100.39999999999999</v>
      </c>
      <c r="C9" s="66">
        <v>16.733333333333331</v>
      </c>
      <c r="D9" s="71">
        <v>1.8333333333333333</v>
      </c>
      <c r="E9" s="67">
        <v>0.5</v>
      </c>
      <c r="F9" s="67">
        <v>0.33333333333333331</v>
      </c>
      <c r="G9" s="67">
        <v>0.34782608695652173</v>
      </c>
      <c r="H9" s="67">
        <v>0.13043478260869565</v>
      </c>
      <c r="I9" s="68">
        <v>12143.75</v>
      </c>
      <c r="J9" s="68">
        <v>-10583.333333333334</v>
      </c>
      <c r="K9" s="67">
        <v>0</v>
      </c>
      <c r="L9" s="67">
        <v>0.33333333333333331</v>
      </c>
      <c r="M9" s="67">
        <v>0.15217391304347827</v>
      </c>
      <c r="N9" s="67">
        <v>0.36956521739130432</v>
      </c>
      <c r="O9" s="67">
        <v>0.7142857142857143</v>
      </c>
      <c r="P9" s="67">
        <v>0.52941176470588236</v>
      </c>
      <c r="Q9" s="67">
        <v>0.625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7B702-2CB0-4EC8-A81F-72BC5E1C8A77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222</v>
      </c>
      <c r="B1" s="70" t="s">
        <v>222</v>
      </c>
      <c r="C1" s="70" t="s">
        <v>222</v>
      </c>
      <c r="D1" s="71" t="s">
        <v>222</v>
      </c>
      <c r="E1" s="70" t="s">
        <v>222</v>
      </c>
      <c r="F1" s="70" t="s">
        <v>222</v>
      </c>
      <c r="G1" s="70" t="s">
        <v>222</v>
      </c>
      <c r="H1" s="70" t="s">
        <v>222</v>
      </c>
      <c r="I1" s="70" t="s">
        <v>222</v>
      </c>
      <c r="J1" s="70" t="s">
        <v>222</v>
      </c>
      <c r="K1" s="70" t="s">
        <v>222</v>
      </c>
      <c r="L1" s="70" t="s">
        <v>222</v>
      </c>
      <c r="M1" s="70" t="s">
        <v>222</v>
      </c>
      <c r="N1" s="70" t="s">
        <v>222</v>
      </c>
      <c r="O1" s="70" t="s">
        <v>222</v>
      </c>
      <c r="P1" s="70" t="s">
        <v>222</v>
      </c>
      <c r="Q1" s="70" t="s">
        <v>222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7A79D-DBA0-4841-B479-D96DDBA9ED65}">
  <sheetPr codeName="Sheet26"/>
  <dimension ref="A1:Q2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200</v>
      </c>
      <c r="B1" s="70" t="s">
        <v>200</v>
      </c>
      <c r="C1" s="70" t="s">
        <v>200</v>
      </c>
      <c r="D1" s="71" t="s">
        <v>200</v>
      </c>
      <c r="E1" s="70" t="s">
        <v>200</v>
      </c>
      <c r="F1" s="70" t="s">
        <v>200</v>
      </c>
      <c r="G1" s="70" t="s">
        <v>200</v>
      </c>
      <c r="H1" s="70" t="s">
        <v>200</v>
      </c>
      <c r="I1" s="70" t="s">
        <v>200</v>
      </c>
      <c r="J1" s="70" t="s">
        <v>200</v>
      </c>
      <c r="K1" s="70" t="s">
        <v>200</v>
      </c>
      <c r="L1" s="70" t="s">
        <v>200</v>
      </c>
      <c r="M1" s="70" t="s">
        <v>200</v>
      </c>
      <c r="N1" s="70" t="s">
        <v>200</v>
      </c>
      <c r="O1" s="70" t="s">
        <v>200</v>
      </c>
      <c r="P1" s="70" t="s">
        <v>200</v>
      </c>
      <c r="Q1" s="70" t="s">
        <v>200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  <row r="11" spans="1:17" x14ac:dyDescent="0.4">
      <c r="A11" s="69">
        <v>8</v>
      </c>
      <c r="B11" s="66">
        <v>9.5999999999999943</v>
      </c>
      <c r="C11" s="66">
        <v>1.1999999999999993</v>
      </c>
      <c r="D11" s="71">
        <v>1.875</v>
      </c>
      <c r="E11" s="67">
        <v>0.25</v>
      </c>
      <c r="F11" s="67">
        <v>0.125</v>
      </c>
      <c r="G11" s="67">
        <v>0.33766233766233766</v>
      </c>
      <c r="H11" s="67">
        <v>0.16883116883116883</v>
      </c>
      <c r="I11" s="68">
        <v>6973.0769230769229</v>
      </c>
      <c r="J11" s="68">
        <v>-6569.2307692307695</v>
      </c>
      <c r="K11" s="67">
        <v>0</v>
      </c>
      <c r="L11" s="67">
        <v>0</v>
      </c>
      <c r="M11" s="67">
        <v>0.23376623376623376</v>
      </c>
      <c r="N11" s="67">
        <v>0.31168831168831168</v>
      </c>
      <c r="O11" s="67">
        <v>0.72222222222222221</v>
      </c>
      <c r="P11" s="67">
        <v>0.5</v>
      </c>
      <c r="Q11" s="67">
        <v>0.57692307692307687</v>
      </c>
    </row>
    <row r="12" spans="1:17" x14ac:dyDescent="0.4">
      <c r="A12" s="69">
        <v>9</v>
      </c>
      <c r="B12" s="66">
        <v>18.099999999999994</v>
      </c>
      <c r="C12" s="66">
        <v>2.0111111111111106</v>
      </c>
      <c r="D12" s="71">
        <v>1.8888888888888888</v>
      </c>
      <c r="E12" s="67">
        <v>0.22222222222222221</v>
      </c>
      <c r="F12" s="67">
        <v>0.1111111111111111</v>
      </c>
      <c r="G12" s="67">
        <v>0.3411764705882353</v>
      </c>
      <c r="H12" s="67">
        <v>0.16470588235294117</v>
      </c>
      <c r="I12" s="68">
        <v>6765.5172413793107</v>
      </c>
      <c r="J12" s="68">
        <v>-6378.5714285714284</v>
      </c>
      <c r="K12" s="67">
        <v>0</v>
      </c>
      <c r="L12" s="67">
        <v>0</v>
      </c>
      <c r="M12" s="67">
        <v>0.23529411764705882</v>
      </c>
      <c r="N12" s="67">
        <v>0.29411764705882354</v>
      </c>
      <c r="O12" s="67">
        <v>0.7</v>
      </c>
      <c r="P12" s="67">
        <v>0.48</v>
      </c>
      <c r="Q12" s="67">
        <v>0.58620689655172409</v>
      </c>
    </row>
    <row r="13" spans="1:17" x14ac:dyDescent="0.4">
      <c r="A13" s="69">
        <v>10</v>
      </c>
      <c r="B13" s="66">
        <v>109.39999999999999</v>
      </c>
      <c r="C13" s="66">
        <v>10.94</v>
      </c>
      <c r="D13" s="71">
        <v>1.8</v>
      </c>
      <c r="E13" s="67">
        <v>0.3</v>
      </c>
      <c r="F13" s="67">
        <v>0.1</v>
      </c>
      <c r="G13" s="67">
        <v>0.38297872340425532</v>
      </c>
      <c r="H13" s="67">
        <v>0.1702127659574468</v>
      </c>
      <c r="I13" s="68">
        <v>7680.5555555555557</v>
      </c>
      <c r="J13" s="68">
        <v>-6831.25</v>
      </c>
      <c r="K13" s="67">
        <v>0</v>
      </c>
      <c r="L13" s="67">
        <v>0.1</v>
      </c>
      <c r="M13" s="67">
        <v>0.24468085106382978</v>
      </c>
      <c r="N13" s="67">
        <v>0.31914893617021278</v>
      </c>
      <c r="O13" s="67">
        <v>0.69565217391304346</v>
      </c>
      <c r="P13" s="67">
        <v>0.53333333333333333</v>
      </c>
      <c r="Q13" s="67">
        <v>0.63888888888888884</v>
      </c>
    </row>
    <row r="14" spans="1:17" x14ac:dyDescent="0.4">
      <c r="A14" s="69">
        <v>11</v>
      </c>
      <c r="B14" s="66">
        <v>100.69999999999999</v>
      </c>
      <c r="C14" s="66">
        <v>9.1545454545454543</v>
      </c>
      <c r="D14" s="71">
        <v>1.8181818181818181</v>
      </c>
      <c r="E14" s="67">
        <v>0.27272727272727271</v>
      </c>
      <c r="F14" s="67">
        <v>9.0909090909090912E-2</v>
      </c>
      <c r="G14" s="67">
        <v>0.38613861386138615</v>
      </c>
      <c r="H14" s="67">
        <v>0.17821782178217821</v>
      </c>
      <c r="I14" s="68">
        <v>7551.2820512820517</v>
      </c>
      <c r="J14" s="68">
        <v>-7388.8888888888887</v>
      </c>
      <c r="K14" s="67">
        <v>0</v>
      </c>
      <c r="L14" s="67">
        <v>9.0909090909090912E-2</v>
      </c>
      <c r="M14" s="67">
        <v>0.22772277227722773</v>
      </c>
      <c r="N14" s="67">
        <v>0.34653465346534651</v>
      </c>
      <c r="O14" s="67">
        <v>0.69565217391304346</v>
      </c>
      <c r="P14" s="67">
        <v>0.51428571428571423</v>
      </c>
      <c r="Q14" s="67">
        <v>0.61538461538461542</v>
      </c>
    </row>
    <row r="15" spans="1:17" x14ac:dyDescent="0.4">
      <c r="A15" s="69">
        <v>12</v>
      </c>
      <c r="B15" s="66">
        <v>45.599999999999987</v>
      </c>
      <c r="C15" s="66">
        <v>3.7999999999999989</v>
      </c>
      <c r="D15" s="71">
        <v>1.9166666666666667</v>
      </c>
      <c r="E15" s="67">
        <v>0.25</v>
      </c>
      <c r="F15" s="67">
        <v>0.16666666666666666</v>
      </c>
      <c r="G15" s="67">
        <v>0.3783783783783784</v>
      </c>
      <c r="H15" s="67">
        <v>0.18018018018018017</v>
      </c>
      <c r="I15" s="68">
        <v>7535.7142857142853</v>
      </c>
      <c r="J15" s="68">
        <v>-8280</v>
      </c>
      <c r="K15" s="67">
        <v>8.3333333333333329E-2</v>
      </c>
      <c r="L15" s="67">
        <v>8.3333333333333329E-2</v>
      </c>
      <c r="M15" s="67">
        <v>0.22522522522522523</v>
      </c>
      <c r="N15" s="67">
        <v>0.34234234234234234</v>
      </c>
      <c r="O15" s="67">
        <v>0.72</v>
      </c>
      <c r="P15" s="67">
        <v>0.47368421052631576</v>
      </c>
      <c r="Q15" s="67">
        <v>0.61904761904761907</v>
      </c>
    </row>
    <row r="16" spans="1:17" x14ac:dyDescent="0.4">
      <c r="A16" s="69">
        <v>13</v>
      </c>
      <c r="B16" s="66">
        <v>83.299999999999983</v>
      </c>
      <c r="C16" s="66">
        <v>6.4076923076923062</v>
      </c>
      <c r="D16" s="71">
        <v>1.8461538461538463</v>
      </c>
      <c r="E16" s="67">
        <v>0.30769230769230771</v>
      </c>
      <c r="F16" s="67">
        <v>0.15384615384615385</v>
      </c>
      <c r="G16" s="67">
        <v>0.36585365853658536</v>
      </c>
      <c r="H16" s="67">
        <v>0.17073170731707318</v>
      </c>
      <c r="I16" s="68">
        <v>7880</v>
      </c>
      <c r="J16" s="68">
        <v>-8071.4285714285716</v>
      </c>
      <c r="K16" s="67">
        <v>7.6923076923076927E-2</v>
      </c>
      <c r="L16" s="67">
        <v>7.6923076923076927E-2</v>
      </c>
      <c r="M16" s="67">
        <v>0.23577235772357724</v>
      </c>
      <c r="N16" s="67">
        <v>0.32520325203252032</v>
      </c>
      <c r="O16" s="67">
        <v>0.68965517241379315</v>
      </c>
      <c r="P16" s="67">
        <v>0.45</v>
      </c>
      <c r="Q16" s="67">
        <v>0.62222222222222223</v>
      </c>
    </row>
    <row r="17" spans="1:17" x14ac:dyDescent="0.4">
      <c r="A17" s="69">
        <v>14</v>
      </c>
      <c r="B17" s="66">
        <v>114.99999999999999</v>
      </c>
      <c r="C17" s="66">
        <v>8.2142857142857135</v>
      </c>
      <c r="D17" s="71">
        <v>1.7857142857142858</v>
      </c>
      <c r="E17" s="67">
        <v>0.35714285714285715</v>
      </c>
      <c r="F17" s="67">
        <v>0.14285714285714285</v>
      </c>
      <c r="G17" s="67">
        <v>0.36363636363636365</v>
      </c>
      <c r="H17" s="67">
        <v>0.15909090909090909</v>
      </c>
      <c r="I17" s="68">
        <v>7858.333333333333</v>
      </c>
      <c r="J17" s="68">
        <v>-8071.4285714285716</v>
      </c>
      <c r="K17" s="67">
        <v>7.1428571428571425E-2</v>
      </c>
      <c r="L17" s="67">
        <v>7.1428571428571425E-2</v>
      </c>
      <c r="M17" s="67">
        <v>0.22727272727272727</v>
      </c>
      <c r="N17" s="67">
        <v>0.34090909090909088</v>
      </c>
      <c r="O17" s="67">
        <v>0.66666666666666663</v>
      </c>
      <c r="P17" s="67">
        <v>0.46666666666666667</v>
      </c>
      <c r="Q17" s="67">
        <v>0.60416666666666663</v>
      </c>
    </row>
    <row r="18" spans="1:17" x14ac:dyDescent="0.4">
      <c r="A18" s="69">
        <v>15</v>
      </c>
      <c r="B18" s="66">
        <v>157.69999999999999</v>
      </c>
      <c r="C18" s="66">
        <v>10.513333333333332</v>
      </c>
      <c r="D18" s="71">
        <v>1.7333333333333334</v>
      </c>
      <c r="E18" s="67">
        <v>0.4</v>
      </c>
      <c r="F18" s="67">
        <v>0.13333333333333333</v>
      </c>
      <c r="G18" s="67">
        <v>0.36690647482014388</v>
      </c>
      <c r="H18" s="67">
        <v>0.15827338129496402</v>
      </c>
      <c r="I18" s="68">
        <v>7968.6274509803925</v>
      </c>
      <c r="J18" s="68">
        <v>-8068.181818181818</v>
      </c>
      <c r="K18" s="67">
        <v>6.6666666666666666E-2</v>
      </c>
      <c r="L18" s="67">
        <v>6.6666666666666666E-2</v>
      </c>
      <c r="M18" s="67">
        <v>0.22302158273381295</v>
      </c>
      <c r="N18" s="67">
        <v>0.34532374100719426</v>
      </c>
      <c r="O18" s="67">
        <v>0.67741935483870963</v>
      </c>
      <c r="P18" s="67">
        <v>0.45833333333333331</v>
      </c>
      <c r="Q18" s="67">
        <v>0.60784313725490191</v>
      </c>
    </row>
    <row r="19" spans="1:17" x14ac:dyDescent="0.4">
      <c r="A19" s="69">
        <v>16</v>
      </c>
      <c r="B19" s="66">
        <v>99.6</v>
      </c>
      <c r="C19" s="66">
        <v>6.2249999999999996</v>
      </c>
      <c r="D19" s="71">
        <v>1.8125</v>
      </c>
      <c r="E19" s="67">
        <v>0.375</v>
      </c>
      <c r="F19" s="67">
        <v>0.1875</v>
      </c>
      <c r="G19" s="67">
        <v>0.35333333333333333</v>
      </c>
      <c r="H19" s="67">
        <v>0.16666666666666666</v>
      </c>
      <c r="I19" s="68">
        <v>8041.5094339622638</v>
      </c>
      <c r="J19" s="68">
        <v>-8416</v>
      </c>
      <c r="K19" s="67">
        <v>0.125</v>
      </c>
      <c r="L19" s="67">
        <v>6.25E-2</v>
      </c>
      <c r="M19" s="67">
        <v>0.24</v>
      </c>
      <c r="N19" s="67">
        <v>0.33333333333333331</v>
      </c>
      <c r="O19" s="67">
        <v>0.63888888888888884</v>
      </c>
      <c r="P19" s="67">
        <v>0.44</v>
      </c>
      <c r="Q19" s="67">
        <v>0.60377358490566035</v>
      </c>
    </row>
    <row r="20" spans="1:17" x14ac:dyDescent="0.4">
      <c r="A20" s="69">
        <v>17</v>
      </c>
      <c r="B20" s="66">
        <v>112.39999999999999</v>
      </c>
      <c r="C20" s="66">
        <v>6.6117647058823525</v>
      </c>
      <c r="D20" s="71">
        <v>1.8235294117647058</v>
      </c>
      <c r="E20" s="67">
        <v>0.35294117647058826</v>
      </c>
      <c r="F20" s="67">
        <v>0.17647058823529413</v>
      </c>
      <c r="G20" s="67">
        <v>0.35714285714285715</v>
      </c>
      <c r="H20" s="67">
        <v>0.16233766233766234</v>
      </c>
      <c r="I20" s="68">
        <v>8063.636363636364</v>
      </c>
      <c r="J20" s="68">
        <v>-8416</v>
      </c>
      <c r="K20" s="67">
        <v>0.11764705882352941</v>
      </c>
      <c r="L20" s="67">
        <v>5.8823529411764705E-2</v>
      </c>
      <c r="M20" s="67">
        <v>0.24025974025974026</v>
      </c>
      <c r="N20" s="67">
        <v>0.32467532467532467</v>
      </c>
      <c r="O20" s="67">
        <v>0.64864864864864868</v>
      </c>
      <c r="P20" s="67">
        <v>0.44</v>
      </c>
      <c r="Q20" s="67">
        <v>0.6</v>
      </c>
    </row>
    <row r="21" spans="1:17" x14ac:dyDescent="0.4">
      <c r="A21" s="69">
        <v>18</v>
      </c>
      <c r="B21" s="66">
        <v>45.399999999999991</v>
      </c>
      <c r="C21" s="66">
        <v>2.5222222222222217</v>
      </c>
      <c r="D21" s="71">
        <v>1.8888888888888888</v>
      </c>
      <c r="E21" s="67">
        <v>0.33333333333333331</v>
      </c>
      <c r="F21" s="67">
        <v>0.22222222222222221</v>
      </c>
      <c r="G21" s="67">
        <v>0.33536585365853661</v>
      </c>
      <c r="H21" s="67">
        <v>0.17073170731707318</v>
      </c>
      <c r="I21" s="68">
        <v>8063.636363636364</v>
      </c>
      <c r="J21" s="68">
        <v>-8367.8571428571431</v>
      </c>
      <c r="K21" s="67">
        <v>0.16666666666666666</v>
      </c>
      <c r="L21" s="67">
        <v>5.5555555555555552E-2</v>
      </c>
      <c r="M21" s="67">
        <v>0.23170731707317074</v>
      </c>
      <c r="N21" s="67">
        <v>0.31707317073170732</v>
      </c>
      <c r="O21" s="67">
        <v>0.63157894736842102</v>
      </c>
      <c r="P21" s="67">
        <v>0.42307692307692307</v>
      </c>
      <c r="Q21" s="67">
        <v>0.6</v>
      </c>
    </row>
    <row r="22" spans="1:17" x14ac:dyDescent="0.4">
      <c r="A22" s="69">
        <v>19</v>
      </c>
      <c r="B22" s="66">
        <v>94.299999999999983</v>
      </c>
      <c r="C22" s="66">
        <v>4.9631578947368409</v>
      </c>
      <c r="D22" s="71">
        <v>1.8421052631578947</v>
      </c>
      <c r="E22" s="67">
        <v>0.36842105263157893</v>
      </c>
      <c r="F22" s="67">
        <v>0.21052631578947367</v>
      </c>
      <c r="G22" s="67">
        <v>0.34285714285714286</v>
      </c>
      <c r="H22" s="67">
        <v>0.16</v>
      </c>
      <c r="I22" s="68">
        <v>8058.333333333333</v>
      </c>
      <c r="J22" s="68">
        <v>-8367.8571428571431</v>
      </c>
      <c r="K22" s="67">
        <v>0.15789473684210525</v>
      </c>
      <c r="L22" s="67">
        <v>5.2631578947368418E-2</v>
      </c>
      <c r="M22" s="67">
        <v>0.24571428571428572</v>
      </c>
      <c r="N22" s="67">
        <v>0.31428571428571428</v>
      </c>
      <c r="O22" s="67">
        <v>0.62790697674418605</v>
      </c>
      <c r="P22" s="67">
        <v>0.43636363636363634</v>
      </c>
      <c r="Q22" s="67">
        <v>0.58333333333333337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82ECC-66C8-4027-B4F0-EAEDE4987CD5}">
  <sheetPr codeName="Sheet24"/>
  <dimension ref="A1:Q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184</v>
      </c>
      <c r="B1" s="70" t="s">
        <v>184</v>
      </c>
      <c r="C1" s="70" t="s">
        <v>184</v>
      </c>
      <c r="D1" s="71" t="s">
        <v>184</v>
      </c>
      <c r="E1" s="70" t="s">
        <v>184</v>
      </c>
      <c r="F1" s="70" t="s">
        <v>184</v>
      </c>
      <c r="G1" s="70" t="s">
        <v>184</v>
      </c>
      <c r="H1" s="70" t="s">
        <v>184</v>
      </c>
      <c r="I1" s="70" t="s">
        <v>184</v>
      </c>
      <c r="J1" s="70" t="s">
        <v>184</v>
      </c>
      <c r="K1" s="70" t="s">
        <v>184</v>
      </c>
      <c r="L1" s="70" t="s">
        <v>184</v>
      </c>
      <c r="M1" s="70" t="s">
        <v>184</v>
      </c>
      <c r="N1" s="70" t="s">
        <v>184</v>
      </c>
      <c r="O1" s="70" t="s">
        <v>184</v>
      </c>
      <c r="P1" s="70" t="s">
        <v>184</v>
      </c>
      <c r="Q1" s="70" t="s">
        <v>184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  <row r="18" spans="1:17" x14ac:dyDescent="0.4">
      <c r="A18" s="69">
        <v>15</v>
      </c>
      <c r="B18" s="66">
        <v>-84.399999999999991</v>
      </c>
      <c r="C18" s="66">
        <v>-5.626666666666666</v>
      </c>
      <c r="D18" s="71">
        <v>2.0666666666666669</v>
      </c>
      <c r="E18" s="67">
        <v>0.4</v>
      </c>
      <c r="F18" s="67">
        <v>0.46666666666666667</v>
      </c>
      <c r="G18" s="67">
        <v>0.2857142857142857</v>
      </c>
      <c r="H18" s="67">
        <v>0.21428571428571427</v>
      </c>
      <c r="I18" s="68">
        <v>8300</v>
      </c>
      <c r="J18" s="68">
        <v>-8092.5925925925922</v>
      </c>
      <c r="K18" s="67">
        <v>0.13333333333333333</v>
      </c>
      <c r="L18" s="67">
        <v>0</v>
      </c>
      <c r="M18" s="67">
        <v>0.23015873015873015</v>
      </c>
      <c r="N18" s="67">
        <v>0.21428571428571427</v>
      </c>
      <c r="O18" s="67">
        <v>0.68965517241379315</v>
      </c>
      <c r="P18" s="67">
        <v>0.44444444444444442</v>
      </c>
      <c r="Q18" s="67">
        <v>0.5</v>
      </c>
    </row>
    <row r="19" spans="1:17" x14ac:dyDescent="0.4">
      <c r="A19" s="69">
        <v>16</v>
      </c>
      <c r="B19" s="66">
        <v>-139.79999999999998</v>
      </c>
      <c r="C19" s="66">
        <v>-8.7374999999999989</v>
      </c>
      <c r="D19" s="71">
        <v>2.125</v>
      </c>
      <c r="E19" s="67">
        <v>0.375</v>
      </c>
      <c r="F19" s="67">
        <v>0.5</v>
      </c>
      <c r="G19" s="67">
        <v>0.27611940298507465</v>
      </c>
      <c r="H19" s="67">
        <v>0.22388059701492538</v>
      </c>
      <c r="I19" s="68">
        <v>8135.135135135135</v>
      </c>
      <c r="J19" s="68">
        <v>-8053.333333333333</v>
      </c>
      <c r="K19" s="67">
        <v>0.1875</v>
      </c>
      <c r="L19" s="67">
        <v>0</v>
      </c>
      <c r="M19" s="67">
        <v>0.23880597014925373</v>
      </c>
      <c r="N19" s="67">
        <v>0.20895522388059701</v>
      </c>
      <c r="O19" s="67">
        <v>0.625</v>
      </c>
      <c r="P19" s="67">
        <v>0.42857142857142855</v>
      </c>
      <c r="Q19" s="67">
        <v>0.51351351351351349</v>
      </c>
    </row>
    <row r="20" spans="1:17" x14ac:dyDescent="0.4">
      <c r="A20" s="69">
        <v>17</v>
      </c>
      <c r="B20" s="66">
        <v>-203.5</v>
      </c>
      <c r="C20" s="66">
        <v>-11.970588235294118</v>
      </c>
      <c r="D20" s="71">
        <v>2.1764705882352939</v>
      </c>
      <c r="E20" s="67">
        <v>0.35294117647058826</v>
      </c>
      <c r="F20" s="67">
        <v>0.52941176470588236</v>
      </c>
      <c r="G20" s="67">
        <v>0.26241134751773049</v>
      </c>
      <c r="H20" s="67">
        <v>0.23404255319148937</v>
      </c>
      <c r="I20" s="68">
        <v>8135.135135135135</v>
      </c>
      <c r="J20" s="68">
        <v>-8387.878787878788</v>
      </c>
      <c r="K20" s="67">
        <v>0.23529411764705882</v>
      </c>
      <c r="L20" s="67">
        <v>0</v>
      </c>
      <c r="M20" s="67">
        <v>0.23404255319148937</v>
      </c>
      <c r="N20" s="67">
        <v>0.21985815602836881</v>
      </c>
      <c r="O20" s="67">
        <v>0.60606060606060608</v>
      </c>
      <c r="P20" s="67">
        <v>0.38709677419354838</v>
      </c>
      <c r="Q20" s="67">
        <v>0.51351351351351349</v>
      </c>
    </row>
    <row r="21" spans="1:17" x14ac:dyDescent="0.4">
      <c r="A21" s="69">
        <v>18</v>
      </c>
      <c r="B21" s="66">
        <v>-126.5</v>
      </c>
      <c r="C21" s="66">
        <v>-7.0277777777777777</v>
      </c>
      <c r="D21" s="71">
        <v>2.1111111111111112</v>
      </c>
      <c r="E21" s="67">
        <v>0.3888888888888889</v>
      </c>
      <c r="F21" s="67">
        <v>0.5</v>
      </c>
      <c r="G21" s="67">
        <v>0.2857142857142857</v>
      </c>
      <c r="H21" s="67">
        <v>0.23129251700680273</v>
      </c>
      <c r="I21" s="68">
        <v>8642.8571428571431</v>
      </c>
      <c r="J21" s="68">
        <v>-8376.4705882352937</v>
      </c>
      <c r="K21" s="67">
        <v>0.22222222222222221</v>
      </c>
      <c r="L21" s="67">
        <v>5.5555555555555552E-2</v>
      </c>
      <c r="M21" s="67">
        <v>0.24489795918367346</v>
      </c>
      <c r="N21" s="67">
        <v>0.22448979591836735</v>
      </c>
      <c r="O21" s="67">
        <v>0.63888888888888884</v>
      </c>
      <c r="P21" s="67">
        <v>0.42424242424242425</v>
      </c>
      <c r="Q21" s="67">
        <v>0.47619047619047616</v>
      </c>
    </row>
    <row r="22" spans="1:17" x14ac:dyDescent="0.4">
      <c r="A22" s="69">
        <v>19</v>
      </c>
      <c r="B22" s="66">
        <v>-67.599999999999994</v>
      </c>
      <c r="C22" s="66">
        <v>-3.5578947368421048</v>
      </c>
      <c r="D22" s="71">
        <v>2.0526315789473686</v>
      </c>
      <c r="E22" s="67">
        <v>0.42105263157894735</v>
      </c>
      <c r="F22" s="67">
        <v>0.47368421052631576</v>
      </c>
      <c r="G22" s="67">
        <v>0.29870129870129869</v>
      </c>
      <c r="H22" s="67">
        <v>0.22727272727272727</v>
      </c>
      <c r="I22" s="68">
        <v>8621.7391304347821</v>
      </c>
      <c r="J22" s="68">
        <v>-8285.7142857142862</v>
      </c>
      <c r="K22" s="67">
        <v>0.21052631578947367</v>
      </c>
      <c r="L22" s="67">
        <v>0.10526315789473684</v>
      </c>
      <c r="M22" s="67">
        <v>0.24675324675324675</v>
      </c>
      <c r="N22" s="67">
        <v>0.22727272727272727</v>
      </c>
      <c r="O22" s="67">
        <v>0.65789473684210531</v>
      </c>
      <c r="P22" s="67">
        <v>0.45714285714285713</v>
      </c>
      <c r="Q22" s="67">
        <v>0.47826086956521741</v>
      </c>
    </row>
    <row r="23" spans="1:17" x14ac:dyDescent="0.4">
      <c r="A23" s="69">
        <v>20</v>
      </c>
      <c r="B23" s="66">
        <v>-124.1</v>
      </c>
      <c r="C23" s="66">
        <v>-6.2050000000000001</v>
      </c>
      <c r="D23" s="71">
        <v>2.1</v>
      </c>
      <c r="E23" s="67">
        <v>0.4</v>
      </c>
      <c r="F23" s="67">
        <v>0.5</v>
      </c>
      <c r="G23" s="67">
        <v>0.2929936305732484</v>
      </c>
      <c r="H23" s="67">
        <v>0.22929936305732485</v>
      </c>
      <c r="I23" s="68">
        <v>8621.7391304347821</v>
      </c>
      <c r="J23" s="68">
        <v>-8722.2222222222226</v>
      </c>
      <c r="K23" s="67">
        <v>0.25</v>
      </c>
      <c r="L23" s="67">
        <v>0.1</v>
      </c>
      <c r="M23" s="67">
        <v>0.24203821656050956</v>
      </c>
      <c r="N23" s="67">
        <v>0.24203821656050956</v>
      </c>
      <c r="O23" s="67">
        <v>0.65789473684210531</v>
      </c>
      <c r="P23" s="67">
        <v>0.42105263157894735</v>
      </c>
      <c r="Q23" s="67">
        <v>0.47826086956521741</v>
      </c>
    </row>
    <row r="24" spans="1:17" x14ac:dyDescent="0.4">
      <c r="A24" s="69">
        <v>21</v>
      </c>
      <c r="B24" s="66">
        <v>-189.2</v>
      </c>
      <c r="C24" s="66">
        <v>-9.0095238095238095</v>
      </c>
      <c r="D24" s="71">
        <v>2.1428571428571428</v>
      </c>
      <c r="E24" s="67">
        <v>0.38095238095238093</v>
      </c>
      <c r="F24" s="67">
        <v>0.52380952380952384</v>
      </c>
      <c r="G24" s="67">
        <v>0.2857142857142857</v>
      </c>
      <c r="H24" s="67">
        <v>0.22981366459627328</v>
      </c>
      <c r="I24" s="68">
        <v>8621.7391304347821</v>
      </c>
      <c r="J24" s="68">
        <v>-9124.3243243243251</v>
      </c>
      <c r="K24" s="67">
        <v>0.2857142857142857</v>
      </c>
      <c r="L24" s="67">
        <v>9.5238095238095233E-2</v>
      </c>
      <c r="M24" s="67">
        <v>0.2360248447204969</v>
      </c>
      <c r="N24" s="67">
        <v>0.24223602484472051</v>
      </c>
      <c r="O24" s="67">
        <v>0.65789473684210531</v>
      </c>
      <c r="P24" s="67">
        <v>0.41025641025641024</v>
      </c>
      <c r="Q24" s="67">
        <v>0.47826086956521741</v>
      </c>
    </row>
    <row r="25" spans="1:17" x14ac:dyDescent="0.4">
      <c r="A25" s="69">
        <v>22</v>
      </c>
      <c r="B25" s="66">
        <v>-264.39999999999998</v>
      </c>
      <c r="C25" s="66">
        <v>-12.018181818181818</v>
      </c>
      <c r="D25" s="71">
        <v>2.1818181818181817</v>
      </c>
      <c r="E25" s="67">
        <v>0.36363636363636365</v>
      </c>
      <c r="F25" s="67">
        <v>0.54545454545454541</v>
      </c>
      <c r="G25" s="67">
        <v>0.27878787878787881</v>
      </c>
      <c r="H25" s="67">
        <v>0.23636363636363636</v>
      </c>
      <c r="I25" s="68">
        <v>8621.7391304347821</v>
      </c>
      <c r="J25" s="68">
        <v>-9879.4871794871797</v>
      </c>
      <c r="K25" s="67">
        <v>0.31818181818181818</v>
      </c>
      <c r="L25" s="67">
        <v>9.0909090909090912E-2</v>
      </c>
      <c r="M25" s="67">
        <v>0.23030303030303031</v>
      </c>
      <c r="N25" s="67">
        <v>0.24848484848484848</v>
      </c>
      <c r="O25" s="67">
        <v>0.65789473684210531</v>
      </c>
      <c r="P25" s="67">
        <v>0.3902439024390244</v>
      </c>
      <c r="Q25" s="67">
        <v>0.47826086956521741</v>
      </c>
    </row>
    <row r="26" spans="1:17" x14ac:dyDescent="0.4">
      <c r="A26" s="69">
        <v>23</v>
      </c>
      <c r="B26" s="66">
        <v>-253.49999999999997</v>
      </c>
      <c r="C26" s="66">
        <v>-11.021739130434781</v>
      </c>
      <c r="D26" s="71">
        <v>2.1739130434782608</v>
      </c>
      <c r="E26" s="67">
        <v>0.34782608695652173</v>
      </c>
      <c r="F26" s="67">
        <v>0.52173913043478259</v>
      </c>
      <c r="G26" s="67">
        <v>0.28735632183908044</v>
      </c>
      <c r="H26" s="67">
        <v>0.22988505747126436</v>
      </c>
      <c r="I26" s="68">
        <v>8434</v>
      </c>
      <c r="J26" s="68">
        <v>-9825</v>
      </c>
      <c r="K26" s="67">
        <v>0.30434782608695654</v>
      </c>
      <c r="L26" s="67">
        <v>8.6956521739130432E-2</v>
      </c>
      <c r="M26" s="67">
        <v>0.23563218390804597</v>
      </c>
      <c r="N26" s="67">
        <v>0.25287356321839083</v>
      </c>
      <c r="O26" s="67">
        <v>0.68292682926829273</v>
      </c>
      <c r="P26" s="67">
        <v>0.38636363636363635</v>
      </c>
      <c r="Q26" s="67">
        <v>0.48</v>
      </c>
    </row>
    <row r="27" spans="1:17" x14ac:dyDescent="0.4">
      <c r="A27" s="69">
        <v>24</v>
      </c>
      <c r="B27" s="66">
        <v>-300.5</v>
      </c>
      <c r="C27" s="66">
        <v>-12.520833333333334</v>
      </c>
      <c r="D27" s="71">
        <v>2.2083333333333335</v>
      </c>
      <c r="E27" s="67">
        <v>0.33333333333333331</v>
      </c>
      <c r="F27" s="67">
        <v>0.54166666666666663</v>
      </c>
      <c r="G27" s="67">
        <v>0.27624309392265195</v>
      </c>
      <c r="H27" s="67">
        <v>0.22651933701657459</v>
      </c>
      <c r="I27" s="68">
        <v>8434</v>
      </c>
      <c r="J27" s="68">
        <v>-9878.0487804878048</v>
      </c>
      <c r="K27" s="67">
        <v>0.29166666666666669</v>
      </c>
      <c r="L27" s="67">
        <v>8.3333333333333329E-2</v>
      </c>
      <c r="M27" s="67">
        <v>0.23204419889502761</v>
      </c>
      <c r="N27" s="67">
        <v>0.24861878453038674</v>
      </c>
      <c r="O27" s="67">
        <v>0.66666666666666663</v>
      </c>
      <c r="P27" s="67">
        <v>0.37777777777777777</v>
      </c>
      <c r="Q27" s="67">
        <v>0.48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BD566-E97E-4000-A6E8-A63D51D143B7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9EB38-4751-425B-BCFA-621DA73F2205}">
  <sheetPr codeName="Sheet20"/>
  <dimension ref="A1:Q9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  <row r="55" spans="1:17" x14ac:dyDescent="0.4">
      <c r="A55" s="69">
        <v>52</v>
      </c>
      <c r="B55" s="66">
        <v>30.699999999999992</v>
      </c>
      <c r="C55" s="66">
        <v>0.59038461538461529</v>
      </c>
      <c r="D55" s="71">
        <v>1.9615384615384615</v>
      </c>
      <c r="E55" s="67">
        <v>0.36538461538461536</v>
      </c>
      <c r="F55" s="67">
        <v>0.32692307692307693</v>
      </c>
      <c r="G55" s="67">
        <v>0.30023640661938533</v>
      </c>
      <c r="H55" s="67">
        <v>0.15839243498817968</v>
      </c>
      <c r="I55" s="68">
        <v>8508.6614173228354</v>
      </c>
      <c r="J55" s="68">
        <v>-7931.3432835820895</v>
      </c>
      <c r="K55" s="67">
        <v>0.17307692307692307</v>
      </c>
      <c r="L55" s="67">
        <v>9.6153846153846159E-2</v>
      </c>
      <c r="M55" s="67">
        <v>0.26477541371158392</v>
      </c>
      <c r="N55" s="67">
        <v>0.1867612293144208</v>
      </c>
      <c r="O55" s="67">
        <v>0.6696428571428571</v>
      </c>
      <c r="P55" s="67">
        <v>0.379746835443038</v>
      </c>
      <c r="Q55" s="67">
        <v>0.43307086614173229</v>
      </c>
    </row>
    <row r="56" spans="1:17" x14ac:dyDescent="0.4">
      <c r="A56" s="69">
        <v>53</v>
      </c>
      <c r="B56" s="66">
        <v>76.8</v>
      </c>
      <c r="C56" s="66">
        <v>1.4490566037735848</v>
      </c>
      <c r="D56" s="71">
        <v>1.9433962264150944</v>
      </c>
      <c r="E56" s="67">
        <v>0.37735849056603776</v>
      </c>
      <c r="F56" s="67">
        <v>0.32075471698113206</v>
      </c>
      <c r="G56" s="67">
        <v>0.30162412993039445</v>
      </c>
      <c r="H56" s="67">
        <v>0.1554524361948956</v>
      </c>
      <c r="I56" s="68">
        <v>8553.0769230769238</v>
      </c>
      <c r="J56" s="68">
        <v>-7931.3432835820895</v>
      </c>
      <c r="K56" s="67">
        <v>0.16981132075471697</v>
      </c>
      <c r="L56" s="67">
        <v>9.4339622641509441E-2</v>
      </c>
      <c r="M56" s="67">
        <v>0.26682134570765659</v>
      </c>
      <c r="N56" s="67">
        <v>0.18793503480278423</v>
      </c>
      <c r="O56" s="67">
        <v>0.67826086956521736</v>
      </c>
      <c r="P56" s="67">
        <v>0.37037037037037035</v>
      </c>
      <c r="Q56" s="67">
        <v>0.43076923076923079</v>
      </c>
    </row>
    <row r="57" spans="1:17" x14ac:dyDescent="0.4">
      <c r="A57" s="69">
        <v>54</v>
      </c>
      <c r="B57" s="66">
        <v>133.30000000000001</v>
      </c>
      <c r="C57" s="66">
        <v>2.4685185185185188</v>
      </c>
      <c r="D57" s="71">
        <v>1.9259259259259258</v>
      </c>
      <c r="E57" s="67">
        <v>0.3888888888888889</v>
      </c>
      <c r="F57" s="67">
        <v>0.31481481481481483</v>
      </c>
      <c r="G57" s="67">
        <v>0.30523917995444189</v>
      </c>
      <c r="H57" s="67">
        <v>0.15261958997722094</v>
      </c>
      <c r="I57" s="68">
        <v>8598.507462686568</v>
      </c>
      <c r="J57" s="68">
        <v>-7931.3432835820895</v>
      </c>
      <c r="K57" s="67">
        <v>0.16666666666666666</v>
      </c>
      <c r="L57" s="67">
        <v>0.1111111111111111</v>
      </c>
      <c r="M57" s="67">
        <v>0.27334851936218679</v>
      </c>
      <c r="N57" s="67">
        <v>0.18906605922551253</v>
      </c>
      <c r="O57" s="67">
        <v>0.66666666666666663</v>
      </c>
      <c r="P57" s="67">
        <v>0.37349397590361444</v>
      </c>
      <c r="Q57" s="67">
        <v>0.42537313432835822</v>
      </c>
    </row>
    <row r="58" spans="1:17" x14ac:dyDescent="0.4">
      <c r="A58" s="69">
        <v>55</v>
      </c>
      <c r="B58" s="66">
        <v>181.60000000000002</v>
      </c>
      <c r="C58" s="66">
        <v>3.3018181818181822</v>
      </c>
      <c r="D58" s="71">
        <v>1.9090909090909092</v>
      </c>
      <c r="E58" s="67">
        <v>0.4</v>
      </c>
      <c r="F58" s="67">
        <v>0.30909090909090908</v>
      </c>
      <c r="G58" s="67">
        <v>0.3087248322147651</v>
      </c>
      <c r="H58" s="67">
        <v>0.14988814317673377</v>
      </c>
      <c r="I58" s="68">
        <v>8637.68115942029</v>
      </c>
      <c r="J58" s="68">
        <v>-7931.3432835820895</v>
      </c>
      <c r="K58" s="67">
        <v>0.16363636363636364</v>
      </c>
      <c r="L58" s="67">
        <v>0.12727272727272726</v>
      </c>
      <c r="M58" s="67">
        <v>0.27516778523489932</v>
      </c>
      <c r="N58" s="67">
        <v>0.18791946308724833</v>
      </c>
      <c r="O58" s="67">
        <v>0.67479674796747968</v>
      </c>
      <c r="P58" s="67">
        <v>0.38095238095238093</v>
      </c>
      <c r="Q58" s="67">
        <v>0.42753623188405798</v>
      </c>
    </row>
    <row r="59" spans="1:17" x14ac:dyDescent="0.4">
      <c r="A59" s="69">
        <v>56</v>
      </c>
      <c r="B59" s="66">
        <v>187.60000000000002</v>
      </c>
      <c r="C59" s="66">
        <v>3.3500000000000005</v>
      </c>
      <c r="D59" s="71">
        <v>1.9107142857142858</v>
      </c>
      <c r="E59" s="67">
        <v>0.39285714285714285</v>
      </c>
      <c r="F59" s="67">
        <v>0.30357142857142855</v>
      </c>
      <c r="G59" s="67">
        <v>0.30905077262693159</v>
      </c>
      <c r="H59" s="67">
        <v>0.15231788079470199</v>
      </c>
      <c r="I59" s="68">
        <v>8685.7142857142862</v>
      </c>
      <c r="J59" s="68">
        <v>-7991.304347826087</v>
      </c>
      <c r="K59" s="67">
        <v>0.16071428571428573</v>
      </c>
      <c r="L59" s="67">
        <v>0.125</v>
      </c>
      <c r="M59" s="67">
        <v>0.27593818984547464</v>
      </c>
      <c r="N59" s="67">
        <v>0.18543046357615894</v>
      </c>
      <c r="O59" s="67">
        <v>0.68</v>
      </c>
      <c r="P59" s="67">
        <v>0.38095238095238093</v>
      </c>
      <c r="Q59" s="67">
        <v>0.42142857142857143</v>
      </c>
    </row>
    <row r="60" spans="1:17" x14ac:dyDescent="0.4">
      <c r="A60" s="69">
        <v>57</v>
      </c>
      <c r="B60" s="66">
        <v>255.50000000000003</v>
      </c>
      <c r="C60" s="66">
        <v>4.4824561403508776</v>
      </c>
      <c r="D60" s="71">
        <v>1.8947368421052631</v>
      </c>
      <c r="E60" s="67">
        <v>0.40350877192982454</v>
      </c>
      <c r="F60" s="67">
        <v>0.2982456140350877</v>
      </c>
      <c r="G60" s="67">
        <v>0.31372549019607843</v>
      </c>
      <c r="H60" s="67">
        <v>0.15032679738562091</v>
      </c>
      <c r="I60" s="68">
        <v>8768.75</v>
      </c>
      <c r="J60" s="68">
        <v>-7991.304347826087</v>
      </c>
      <c r="K60" s="67">
        <v>0.15789473684210525</v>
      </c>
      <c r="L60" s="67">
        <v>0.14035087719298245</v>
      </c>
      <c r="M60" s="67">
        <v>0.27886710239651419</v>
      </c>
      <c r="N60" s="67">
        <v>0.18736383442265794</v>
      </c>
      <c r="O60" s="67">
        <v>0.6875</v>
      </c>
      <c r="P60" s="67">
        <v>0.38372093023255816</v>
      </c>
      <c r="Q60" s="67">
        <v>0.43055555555555558</v>
      </c>
    </row>
    <row r="61" spans="1:17" x14ac:dyDescent="0.4">
      <c r="A61" s="69">
        <v>58</v>
      </c>
      <c r="B61" s="66">
        <v>244.60000000000002</v>
      </c>
      <c r="C61" s="66">
        <v>4.2172413793103454</v>
      </c>
      <c r="D61" s="71">
        <v>1.896551724137931</v>
      </c>
      <c r="E61" s="67">
        <v>0.39655172413793105</v>
      </c>
      <c r="F61" s="67">
        <v>0.29310344827586204</v>
      </c>
      <c r="G61" s="67">
        <v>0.30916844349680173</v>
      </c>
      <c r="H61" s="67">
        <v>0.15351812366737741</v>
      </c>
      <c r="I61" s="68">
        <v>8762.0689655172409</v>
      </c>
      <c r="J61" s="68">
        <v>-7793.0555555555557</v>
      </c>
      <c r="K61" s="67">
        <v>0.15517241379310345</v>
      </c>
      <c r="L61" s="67">
        <v>0.13793103448275862</v>
      </c>
      <c r="M61" s="67">
        <v>0.28358208955223879</v>
      </c>
      <c r="N61" s="67">
        <v>0.18550106609808104</v>
      </c>
      <c r="O61" s="67">
        <v>0.66917293233082709</v>
      </c>
      <c r="P61" s="67">
        <v>0.37931034482758619</v>
      </c>
      <c r="Q61" s="67">
        <v>0.43448275862068964</v>
      </c>
    </row>
    <row r="62" spans="1:17" x14ac:dyDescent="0.4">
      <c r="A62" s="69">
        <v>59</v>
      </c>
      <c r="B62" s="66">
        <v>295</v>
      </c>
      <c r="C62" s="66">
        <v>5</v>
      </c>
      <c r="D62" s="71">
        <v>1.8813559322033899</v>
      </c>
      <c r="E62" s="67">
        <v>0.40677966101694918</v>
      </c>
      <c r="F62" s="67">
        <v>0.28813559322033899</v>
      </c>
      <c r="G62" s="67">
        <v>0.30721649484536084</v>
      </c>
      <c r="H62" s="67">
        <v>0.15257731958762888</v>
      </c>
      <c r="I62" s="68">
        <v>8833.5570469798658</v>
      </c>
      <c r="J62" s="68">
        <v>-7635.135135135135</v>
      </c>
      <c r="K62" s="67">
        <v>0.15254237288135594</v>
      </c>
      <c r="L62" s="67">
        <v>0.13559322033898305</v>
      </c>
      <c r="M62" s="67">
        <v>0.2907216494845361</v>
      </c>
      <c r="N62" s="67">
        <v>0.18144329896907216</v>
      </c>
      <c r="O62" s="67">
        <v>0.65957446808510634</v>
      </c>
      <c r="P62" s="67">
        <v>0.375</v>
      </c>
      <c r="Q62" s="67">
        <v>0.44295302013422821</v>
      </c>
    </row>
    <row r="63" spans="1:17" x14ac:dyDescent="0.4">
      <c r="A63" s="69">
        <v>60</v>
      </c>
      <c r="B63" s="66">
        <v>359.4</v>
      </c>
      <c r="C63" s="66">
        <v>5.9899999999999993</v>
      </c>
      <c r="D63" s="71">
        <v>1.8666666666666667</v>
      </c>
      <c r="E63" s="67">
        <v>0.41666666666666669</v>
      </c>
      <c r="F63" s="67">
        <v>0.28333333333333333</v>
      </c>
      <c r="G63" s="67">
        <v>0.30894308943089432</v>
      </c>
      <c r="H63" s="67">
        <v>0.15040650406504066</v>
      </c>
      <c r="I63" s="68">
        <v>8948.0263157894733</v>
      </c>
      <c r="J63" s="68">
        <v>-7635.135135135135</v>
      </c>
      <c r="K63" s="67">
        <v>0.15</v>
      </c>
      <c r="L63" s="67">
        <v>0.15</v>
      </c>
      <c r="M63" s="67">
        <v>0.29065040650406504</v>
      </c>
      <c r="N63" s="67">
        <v>0.17886178861788618</v>
      </c>
      <c r="O63" s="67">
        <v>0.65734265734265729</v>
      </c>
      <c r="P63" s="67">
        <v>0.375</v>
      </c>
      <c r="Q63" s="67">
        <v>0.44736842105263158</v>
      </c>
    </row>
    <row r="64" spans="1:17" x14ac:dyDescent="0.4">
      <c r="A64" s="69">
        <v>61</v>
      </c>
      <c r="B64" s="66">
        <v>347.5</v>
      </c>
      <c r="C64" s="66">
        <v>5.6967213114754101</v>
      </c>
      <c r="D64" s="71">
        <v>1.8688524590163935</v>
      </c>
      <c r="E64" s="67">
        <v>0.4098360655737705</v>
      </c>
      <c r="F64" s="67">
        <v>0.27868852459016391</v>
      </c>
      <c r="G64" s="67">
        <v>0.30645161290322581</v>
      </c>
      <c r="H64" s="67">
        <v>0.14919354838709678</v>
      </c>
      <c r="I64" s="68">
        <v>8948.0263157894733</v>
      </c>
      <c r="J64" s="68">
        <v>-7635.135135135135</v>
      </c>
      <c r="K64" s="67">
        <v>0.14754098360655737</v>
      </c>
      <c r="L64" s="67">
        <v>0.14754098360655737</v>
      </c>
      <c r="M64" s="67">
        <v>0.29032258064516131</v>
      </c>
      <c r="N64" s="67">
        <v>0.18145161290322581</v>
      </c>
      <c r="O64" s="67">
        <v>0.65277777777777779</v>
      </c>
      <c r="P64" s="67">
        <v>0.36666666666666664</v>
      </c>
      <c r="Q64" s="67">
        <v>0.44736842105263158</v>
      </c>
    </row>
    <row r="65" spans="1:17" x14ac:dyDescent="0.4">
      <c r="A65" s="69">
        <v>62</v>
      </c>
      <c r="B65" s="66">
        <v>345.6</v>
      </c>
      <c r="C65" s="66">
        <v>5.5741935483870968</v>
      </c>
      <c r="D65" s="71">
        <v>1.8709677419354838</v>
      </c>
      <c r="E65" s="67">
        <v>0.40322580645161288</v>
      </c>
      <c r="F65" s="67">
        <v>0.27419354838709675</v>
      </c>
      <c r="G65" s="67">
        <v>0.3061630218687873</v>
      </c>
      <c r="H65" s="67">
        <v>0.14910536779324055</v>
      </c>
      <c r="I65" s="68">
        <v>8912.9870129870123</v>
      </c>
      <c r="J65" s="68">
        <v>-7568</v>
      </c>
      <c r="K65" s="67">
        <v>0.14516129032258066</v>
      </c>
      <c r="L65" s="67">
        <v>0.14516129032258066</v>
      </c>
      <c r="M65" s="67">
        <v>0.2922465208747515</v>
      </c>
      <c r="N65" s="67">
        <v>0.17892644135188868</v>
      </c>
      <c r="O65" s="67">
        <v>0.65306122448979587</v>
      </c>
      <c r="P65" s="67">
        <v>0.36666666666666664</v>
      </c>
      <c r="Q65" s="67">
        <v>0.44805194805194803</v>
      </c>
    </row>
    <row r="66" spans="1:17" x14ac:dyDescent="0.4">
      <c r="A66" s="69">
        <v>63</v>
      </c>
      <c r="B66" s="66">
        <v>287.60000000000002</v>
      </c>
      <c r="C66" s="66">
        <v>4.5650793650793657</v>
      </c>
      <c r="D66" s="71">
        <v>1.8888888888888888</v>
      </c>
      <c r="E66" s="67">
        <v>0.3968253968253968</v>
      </c>
      <c r="F66" s="67">
        <v>0.2857142857142857</v>
      </c>
      <c r="G66" s="67">
        <v>0.30078125</v>
      </c>
      <c r="H66" s="67">
        <v>0.1484375</v>
      </c>
      <c r="I66" s="68">
        <v>8912.9870129870123</v>
      </c>
      <c r="J66" s="68">
        <v>-7626.3157894736842</v>
      </c>
      <c r="K66" s="67">
        <v>0.15873015873015872</v>
      </c>
      <c r="L66" s="67">
        <v>0.14285714285714285</v>
      </c>
      <c r="M66" s="67">
        <v>0.29296875</v>
      </c>
      <c r="N66" s="67">
        <v>0.177734375</v>
      </c>
      <c r="O66" s="67">
        <v>0.64</v>
      </c>
      <c r="P66" s="67">
        <v>0.36263736263736263</v>
      </c>
      <c r="Q66" s="67">
        <v>0.44805194805194803</v>
      </c>
    </row>
    <row r="67" spans="1:17" x14ac:dyDescent="0.4">
      <c r="A67" s="69">
        <v>64</v>
      </c>
      <c r="B67" s="66">
        <v>323.60000000000002</v>
      </c>
      <c r="C67" s="66">
        <v>5.0562500000000004</v>
      </c>
      <c r="D67" s="71">
        <v>1.875</v>
      </c>
      <c r="E67" s="67">
        <v>0.40625</v>
      </c>
      <c r="F67" s="67">
        <v>0.28125</v>
      </c>
      <c r="G67" s="67">
        <v>0.30250481695568399</v>
      </c>
      <c r="H67" s="67">
        <v>0.14836223506743737</v>
      </c>
      <c r="I67" s="68">
        <v>8923.5668789808915</v>
      </c>
      <c r="J67" s="68">
        <v>-7553.2467532467535</v>
      </c>
      <c r="K67" s="67">
        <v>0.15625</v>
      </c>
      <c r="L67" s="67">
        <v>0.140625</v>
      </c>
      <c r="M67" s="67">
        <v>0.2947976878612717</v>
      </c>
      <c r="N67" s="67">
        <v>0.17533718689788053</v>
      </c>
      <c r="O67" s="67">
        <v>0.64052287581699341</v>
      </c>
      <c r="P67" s="67">
        <v>0.36263736263736263</v>
      </c>
      <c r="Q67" s="67">
        <v>0.45222929936305734</v>
      </c>
    </row>
    <row r="68" spans="1:17" x14ac:dyDescent="0.4">
      <c r="A68" s="69">
        <v>65</v>
      </c>
      <c r="B68" s="66">
        <v>328.6</v>
      </c>
      <c r="C68" s="66">
        <v>5.0553846153846154</v>
      </c>
      <c r="D68" s="71">
        <v>1.8769230769230769</v>
      </c>
      <c r="E68" s="67">
        <v>0.4</v>
      </c>
      <c r="F68" s="67">
        <v>0.27692307692307694</v>
      </c>
      <c r="G68" s="67">
        <v>0.30285714285714288</v>
      </c>
      <c r="H68" s="67">
        <v>0.15047619047619049</v>
      </c>
      <c r="I68" s="68">
        <v>8937.1069182389929</v>
      </c>
      <c r="J68" s="68">
        <v>-7539.2405063291135</v>
      </c>
      <c r="K68" s="67">
        <v>0.15384615384615385</v>
      </c>
      <c r="L68" s="67">
        <v>0.13846153846153847</v>
      </c>
      <c r="M68" s="67">
        <v>0.29523809523809524</v>
      </c>
      <c r="N68" s="67">
        <v>0.17714285714285713</v>
      </c>
      <c r="O68" s="67">
        <v>0.64516129032258063</v>
      </c>
      <c r="P68" s="67">
        <v>0.35483870967741937</v>
      </c>
      <c r="Q68" s="67">
        <v>0.44654088050314467</v>
      </c>
    </row>
    <row r="69" spans="1:17" x14ac:dyDescent="0.4">
      <c r="A69" s="69">
        <v>66</v>
      </c>
      <c r="B69" s="66">
        <v>307</v>
      </c>
      <c r="C69" s="66">
        <v>4.6515151515151514</v>
      </c>
      <c r="D69" s="71">
        <v>1.8787878787878789</v>
      </c>
      <c r="E69" s="67">
        <v>0.39393939393939392</v>
      </c>
      <c r="F69" s="67">
        <v>0.27272727272727271</v>
      </c>
      <c r="G69" s="67">
        <v>0.29906542056074764</v>
      </c>
      <c r="H69" s="67">
        <v>0.15140186915887852</v>
      </c>
      <c r="I69" s="68">
        <v>8905.625</v>
      </c>
      <c r="J69" s="68">
        <v>-7460.4938271604942</v>
      </c>
      <c r="K69" s="67">
        <v>0.15151515151515152</v>
      </c>
      <c r="L69" s="67">
        <v>0.13636363636363635</v>
      </c>
      <c r="M69" s="67">
        <v>0.29158878504672897</v>
      </c>
      <c r="N69" s="67">
        <v>0.18130841121495328</v>
      </c>
      <c r="O69" s="67">
        <v>0.64102564102564108</v>
      </c>
      <c r="P69" s="67">
        <v>0.35051546391752575</v>
      </c>
      <c r="Q69" s="67">
        <v>0.44374999999999998</v>
      </c>
    </row>
    <row r="70" spans="1:17" x14ac:dyDescent="0.4">
      <c r="A70" s="69">
        <v>67</v>
      </c>
      <c r="B70" s="66">
        <v>274.10000000000002</v>
      </c>
      <c r="C70" s="66">
        <v>4.0910447761194035</v>
      </c>
      <c r="D70" s="71">
        <v>1.8955223880597014</v>
      </c>
      <c r="E70" s="67">
        <v>0.38805970149253732</v>
      </c>
      <c r="F70" s="67">
        <v>0.28358208955223879</v>
      </c>
      <c r="G70" s="67">
        <v>0.29520295202952029</v>
      </c>
      <c r="H70" s="67">
        <v>0.15313653136531366</v>
      </c>
      <c r="I70" s="68">
        <v>8905.625</v>
      </c>
      <c r="J70" s="68">
        <v>-7336.1445783132531</v>
      </c>
      <c r="K70" s="67">
        <v>0.14925373134328357</v>
      </c>
      <c r="L70" s="67">
        <v>0.13432835820895522</v>
      </c>
      <c r="M70" s="67">
        <v>0.28966789667896681</v>
      </c>
      <c r="N70" s="67">
        <v>0.18265682656826568</v>
      </c>
      <c r="O70" s="67">
        <v>0.63694267515923564</v>
      </c>
      <c r="P70" s="67">
        <v>0.34343434343434343</v>
      </c>
      <c r="Q70" s="67">
        <v>0.44374999999999998</v>
      </c>
    </row>
    <row r="71" spans="1:17" x14ac:dyDescent="0.4">
      <c r="A71" s="69">
        <v>68</v>
      </c>
      <c r="B71" s="66">
        <v>285.40000000000003</v>
      </c>
      <c r="C71" s="66">
        <v>4.197058823529412</v>
      </c>
      <c r="D71" s="71">
        <v>1.8970588235294117</v>
      </c>
      <c r="E71" s="67">
        <v>0.38235294117647056</v>
      </c>
      <c r="F71" s="67">
        <v>0.27941176470588236</v>
      </c>
      <c r="G71" s="67">
        <v>0.29454545454545455</v>
      </c>
      <c r="H71" s="67">
        <v>0.15090909090909091</v>
      </c>
      <c r="I71" s="68">
        <v>8905.5555555555547</v>
      </c>
      <c r="J71" s="68">
        <v>-7336.1445783132531</v>
      </c>
      <c r="K71" s="67">
        <v>0.14705882352941177</v>
      </c>
      <c r="L71" s="67">
        <v>0.13235294117647059</v>
      </c>
      <c r="M71" s="67">
        <v>0.29090909090909089</v>
      </c>
      <c r="N71" s="67">
        <v>0.18181818181818182</v>
      </c>
      <c r="O71" s="67">
        <v>0.63749999999999996</v>
      </c>
      <c r="P71" s="67">
        <v>0.34</v>
      </c>
      <c r="Q71" s="67">
        <v>0.43827160493827161</v>
      </c>
    </row>
    <row r="72" spans="1:17" x14ac:dyDescent="0.4">
      <c r="A72" s="69">
        <v>69</v>
      </c>
      <c r="B72" s="66">
        <v>330.40000000000003</v>
      </c>
      <c r="C72" s="66">
        <v>4.7884057971014498</v>
      </c>
      <c r="D72" s="71">
        <v>1.8840579710144927</v>
      </c>
      <c r="E72" s="67">
        <v>0.39130434782608697</v>
      </c>
      <c r="F72" s="67">
        <v>0.27536231884057971</v>
      </c>
      <c r="G72" s="67">
        <v>0.29749103942652327</v>
      </c>
      <c r="H72" s="67">
        <v>0.14874551971326164</v>
      </c>
      <c r="I72" s="68">
        <v>8931.9277108433744</v>
      </c>
      <c r="J72" s="68">
        <v>-7336.1445783132531</v>
      </c>
      <c r="K72" s="67">
        <v>0.14492753623188406</v>
      </c>
      <c r="L72" s="67">
        <v>0.14492753623188406</v>
      </c>
      <c r="M72" s="67">
        <v>0.29569892473118281</v>
      </c>
      <c r="N72" s="67">
        <v>0.17921146953405018</v>
      </c>
      <c r="O72" s="67">
        <v>0.64242424242424245</v>
      </c>
      <c r="P72" s="67">
        <v>0.34</v>
      </c>
      <c r="Q72" s="67">
        <v>0.43975903614457829</v>
      </c>
    </row>
    <row r="73" spans="1:17" x14ac:dyDescent="0.4">
      <c r="A73" s="69">
        <v>70</v>
      </c>
      <c r="B73" s="66">
        <v>382.50000000000006</v>
      </c>
      <c r="C73" s="66">
        <v>5.4642857142857153</v>
      </c>
      <c r="D73" s="71">
        <v>1.8714285714285714</v>
      </c>
      <c r="E73" s="67">
        <v>0.4</v>
      </c>
      <c r="F73" s="67">
        <v>0.27142857142857141</v>
      </c>
      <c r="G73" s="67">
        <v>0.29720279720279719</v>
      </c>
      <c r="H73" s="67">
        <v>0.14685314685314685</v>
      </c>
      <c r="I73" s="68">
        <v>9014.1176470588234</v>
      </c>
      <c r="J73" s="68">
        <v>-7266.666666666667</v>
      </c>
      <c r="K73" s="67">
        <v>0.14285714285714285</v>
      </c>
      <c r="L73" s="67">
        <v>0.14285714285714285</v>
      </c>
      <c r="M73" s="67">
        <v>0.2937062937062937</v>
      </c>
      <c r="N73" s="67">
        <v>0.18356643356643357</v>
      </c>
      <c r="O73" s="67">
        <v>0.6428571428571429</v>
      </c>
      <c r="P73" s="67">
        <v>0.33333333333333331</v>
      </c>
      <c r="Q73" s="67">
        <v>0.44705882352941179</v>
      </c>
    </row>
    <row r="74" spans="1:17" x14ac:dyDescent="0.4">
      <c r="A74" s="69">
        <v>71</v>
      </c>
      <c r="B74" s="66">
        <v>350.40000000000003</v>
      </c>
      <c r="C74" s="66">
        <v>4.9352112676056343</v>
      </c>
      <c r="D74" s="71">
        <v>1.8873239436619718</v>
      </c>
      <c r="E74" s="67">
        <v>0.39436619718309857</v>
      </c>
      <c r="F74" s="67">
        <v>0.28169014084507044</v>
      </c>
      <c r="G74" s="67">
        <v>0.29776247848537007</v>
      </c>
      <c r="H74" s="67">
        <v>0.14802065404475043</v>
      </c>
      <c r="I74" s="68">
        <v>8984.9710982658962</v>
      </c>
      <c r="J74" s="68">
        <v>-7139.5348837209303</v>
      </c>
      <c r="K74" s="67">
        <v>0.14084507042253522</v>
      </c>
      <c r="L74" s="67">
        <v>0.14084507042253522</v>
      </c>
      <c r="M74" s="67">
        <v>0.29432013769363169</v>
      </c>
      <c r="N74" s="67">
        <v>0.18588640275387264</v>
      </c>
      <c r="O74" s="67">
        <v>0.63742690058479534</v>
      </c>
      <c r="P74" s="67">
        <v>0.34259259259259262</v>
      </c>
      <c r="Q74" s="67">
        <v>0.44508670520231214</v>
      </c>
    </row>
    <row r="75" spans="1:17" x14ac:dyDescent="0.4">
      <c r="A75" s="69">
        <v>72</v>
      </c>
      <c r="B75" s="66">
        <v>304.60000000000002</v>
      </c>
      <c r="C75" s="66">
        <v>4.2305555555555561</v>
      </c>
      <c r="D75" s="71">
        <v>1.9027777777777777</v>
      </c>
      <c r="E75" s="67">
        <v>0.3888888888888889</v>
      </c>
      <c r="F75" s="67">
        <v>0.29166666666666669</v>
      </c>
      <c r="G75" s="67">
        <v>0.29471890971039183</v>
      </c>
      <c r="H75" s="67">
        <v>0.14991482112436116</v>
      </c>
      <c r="I75" s="68">
        <v>8984.9710982658962</v>
      </c>
      <c r="J75" s="68">
        <v>-7112.5</v>
      </c>
      <c r="K75" s="67">
        <v>0.1388888888888889</v>
      </c>
      <c r="L75" s="67">
        <v>0.1388888888888889</v>
      </c>
      <c r="M75" s="67">
        <v>0.29131175468483816</v>
      </c>
      <c r="N75" s="67">
        <v>0.18568994889267462</v>
      </c>
      <c r="O75" s="67">
        <v>0.63742690058479534</v>
      </c>
      <c r="P75" s="67">
        <v>0.33944954128440369</v>
      </c>
      <c r="Q75" s="67">
        <v>0.44508670520231214</v>
      </c>
    </row>
    <row r="76" spans="1:17" x14ac:dyDescent="0.4">
      <c r="A76" s="69">
        <v>73</v>
      </c>
      <c r="B76" s="66">
        <v>275</v>
      </c>
      <c r="C76" s="66">
        <v>3.7671232876712328</v>
      </c>
      <c r="D76" s="71">
        <v>1.904109589041096</v>
      </c>
      <c r="E76" s="67">
        <v>0.38356164383561642</v>
      </c>
      <c r="F76" s="67">
        <v>0.28767123287671231</v>
      </c>
      <c r="G76" s="67">
        <v>0.29194630872483224</v>
      </c>
      <c r="H76" s="67">
        <v>0.1476510067114094</v>
      </c>
      <c r="I76" s="68">
        <v>8979.310344827587</v>
      </c>
      <c r="J76" s="68">
        <v>-7112.5</v>
      </c>
      <c r="K76" s="67">
        <v>0.13698630136986301</v>
      </c>
      <c r="L76" s="67">
        <v>0.13698630136986301</v>
      </c>
      <c r="M76" s="67">
        <v>0.29026845637583892</v>
      </c>
      <c r="N76" s="67">
        <v>0.18456375838926176</v>
      </c>
      <c r="O76" s="67">
        <v>0.63583815028901736</v>
      </c>
      <c r="P76" s="67">
        <v>0.33636363636363636</v>
      </c>
      <c r="Q76" s="67">
        <v>0.44252873563218392</v>
      </c>
    </row>
    <row r="77" spans="1:17" x14ac:dyDescent="0.4">
      <c r="A77" s="69">
        <v>74</v>
      </c>
      <c r="B77" s="66">
        <v>242.1</v>
      </c>
      <c r="C77" s="66">
        <v>3.2716216216216214</v>
      </c>
      <c r="D77" s="71">
        <v>1.9189189189189189</v>
      </c>
      <c r="E77" s="67">
        <v>0.3783783783783784</v>
      </c>
      <c r="F77" s="67">
        <v>0.29729729729729731</v>
      </c>
      <c r="G77" s="67">
        <v>0.28855721393034828</v>
      </c>
      <c r="H77" s="67">
        <v>0.14925373134328357</v>
      </c>
      <c r="I77" s="68">
        <v>8979.310344827587</v>
      </c>
      <c r="J77" s="68">
        <v>-7047.7777777777774</v>
      </c>
      <c r="K77" s="67">
        <v>0.13513513513513514</v>
      </c>
      <c r="L77" s="67">
        <v>0.13513513513513514</v>
      </c>
      <c r="M77" s="67">
        <v>0.29021558872305142</v>
      </c>
      <c r="N77" s="67">
        <v>0.18573797678275289</v>
      </c>
      <c r="O77" s="67">
        <v>0.62857142857142856</v>
      </c>
      <c r="P77" s="67">
        <v>0.33035714285714285</v>
      </c>
      <c r="Q77" s="67">
        <v>0.44252873563218392</v>
      </c>
    </row>
    <row r="78" spans="1:17" x14ac:dyDescent="0.4">
      <c r="A78" s="69">
        <v>75</v>
      </c>
      <c r="B78" s="66">
        <v>255.79999999999998</v>
      </c>
      <c r="C78" s="66">
        <v>3.4106666666666663</v>
      </c>
      <c r="D78" s="71">
        <v>1.92</v>
      </c>
      <c r="E78" s="67">
        <v>0.37333333333333335</v>
      </c>
      <c r="F78" s="67">
        <v>0.29333333333333333</v>
      </c>
      <c r="G78" s="67">
        <v>0.28852459016393445</v>
      </c>
      <c r="H78" s="67">
        <v>0.14754098360655737</v>
      </c>
      <c r="I78" s="68">
        <v>8982.954545454546</v>
      </c>
      <c r="J78" s="68">
        <v>-7047.7777777777774</v>
      </c>
      <c r="K78" s="67">
        <v>0.13333333333333333</v>
      </c>
      <c r="L78" s="67">
        <v>0.13333333333333333</v>
      </c>
      <c r="M78" s="67">
        <v>0.29180327868852457</v>
      </c>
      <c r="N78" s="67">
        <v>0.18360655737704917</v>
      </c>
      <c r="O78" s="67">
        <v>0.6292134831460674</v>
      </c>
      <c r="P78" s="67">
        <v>0.33035714285714285</v>
      </c>
      <c r="Q78" s="67">
        <v>0.4375</v>
      </c>
    </row>
    <row r="79" spans="1:17" x14ac:dyDescent="0.4">
      <c r="A79" s="69">
        <v>76</v>
      </c>
      <c r="B79" s="66">
        <v>198.29999999999998</v>
      </c>
      <c r="C79" s="66">
        <v>2.6092105263157892</v>
      </c>
      <c r="D79" s="71">
        <v>1.9342105263157894</v>
      </c>
      <c r="E79" s="67">
        <v>0.36842105263157893</v>
      </c>
      <c r="F79" s="67">
        <v>0.30263157894736842</v>
      </c>
      <c r="G79" s="67">
        <v>0.2861788617886179</v>
      </c>
      <c r="H79" s="67">
        <v>0.14959349593495935</v>
      </c>
      <c r="I79" s="68">
        <v>8982.954545454546</v>
      </c>
      <c r="J79" s="68">
        <v>-7155.434782608696</v>
      </c>
      <c r="K79" s="67">
        <v>0.14473684210526316</v>
      </c>
      <c r="L79" s="67">
        <v>0.13157894736842105</v>
      </c>
      <c r="M79" s="67">
        <v>0.2943089430894309</v>
      </c>
      <c r="N79" s="67">
        <v>0.1821138211382114</v>
      </c>
      <c r="O79" s="67">
        <v>0.61878453038674031</v>
      </c>
      <c r="P79" s="67">
        <v>0.33035714285714285</v>
      </c>
      <c r="Q79" s="67">
        <v>0.4375</v>
      </c>
    </row>
    <row r="80" spans="1:17" x14ac:dyDescent="0.4">
      <c r="A80" s="69">
        <v>77</v>
      </c>
      <c r="B80" s="66">
        <v>201.7</v>
      </c>
      <c r="C80" s="66">
        <v>2.6194805194805193</v>
      </c>
      <c r="D80" s="71">
        <v>1.9350649350649352</v>
      </c>
      <c r="E80" s="67">
        <v>0.36363636363636365</v>
      </c>
      <c r="F80" s="67">
        <v>0.29870129870129869</v>
      </c>
      <c r="G80" s="67">
        <v>0.2861736334405145</v>
      </c>
      <c r="H80" s="67">
        <v>0.14790996784565916</v>
      </c>
      <c r="I80" s="68">
        <v>8989.8876404494385</v>
      </c>
      <c r="J80" s="68">
        <v>-7155.434782608696</v>
      </c>
      <c r="K80" s="67">
        <v>0.14285714285714285</v>
      </c>
      <c r="L80" s="67">
        <v>0.12987012987012986</v>
      </c>
      <c r="M80" s="67">
        <v>0.297427652733119</v>
      </c>
      <c r="N80" s="67">
        <v>0.18006430868167203</v>
      </c>
      <c r="O80" s="67">
        <v>0.61621621621621625</v>
      </c>
      <c r="P80" s="67">
        <v>0.33035714285714285</v>
      </c>
      <c r="Q80" s="67">
        <v>0.43820224719101125</v>
      </c>
    </row>
    <row r="81" spans="1:17" x14ac:dyDescent="0.4">
      <c r="A81" s="69">
        <v>78</v>
      </c>
      <c r="B81" s="66">
        <v>193.39999999999998</v>
      </c>
      <c r="C81" s="66">
        <v>2.4794871794871791</v>
      </c>
      <c r="D81" s="71">
        <v>1.9358974358974359</v>
      </c>
      <c r="E81" s="67">
        <v>0.35897435897435898</v>
      </c>
      <c r="F81" s="67">
        <v>0.29487179487179488</v>
      </c>
      <c r="G81" s="67">
        <v>0.28459119496855345</v>
      </c>
      <c r="H81" s="67">
        <v>0.14622641509433962</v>
      </c>
      <c r="I81" s="68">
        <v>8916.5745856353587</v>
      </c>
      <c r="J81" s="68">
        <v>-7161.2903225806449</v>
      </c>
      <c r="K81" s="67">
        <v>0.14102564102564102</v>
      </c>
      <c r="L81" s="67">
        <v>0.12820512820512819</v>
      </c>
      <c r="M81" s="67">
        <v>0.29402515723270439</v>
      </c>
      <c r="N81" s="67">
        <v>0.17767295597484276</v>
      </c>
      <c r="O81" s="67">
        <v>0.60962566844919786</v>
      </c>
      <c r="P81" s="67">
        <v>0.33628318584070799</v>
      </c>
      <c r="Q81" s="67">
        <v>0.43646408839779005</v>
      </c>
    </row>
    <row r="82" spans="1:17" x14ac:dyDescent="0.4">
      <c r="A82" s="69">
        <v>79</v>
      </c>
      <c r="B82" s="66">
        <v>151.59999999999997</v>
      </c>
      <c r="C82" s="66">
        <v>1.9189873417721515</v>
      </c>
      <c r="D82" s="71">
        <v>1.9493670886075949</v>
      </c>
      <c r="E82" s="67">
        <v>0.35443037974683544</v>
      </c>
      <c r="F82" s="67">
        <v>0.30379746835443039</v>
      </c>
      <c r="G82" s="67">
        <v>0.28217054263565894</v>
      </c>
      <c r="H82" s="67">
        <v>0.14728682170542637</v>
      </c>
      <c r="I82" s="68">
        <v>8910.4395604395613</v>
      </c>
      <c r="J82" s="68">
        <v>-7164.2105263157891</v>
      </c>
      <c r="K82" s="67">
        <v>0.13924050632911392</v>
      </c>
      <c r="L82" s="67">
        <v>0.12658227848101267</v>
      </c>
      <c r="M82" s="67">
        <v>0.29457364341085274</v>
      </c>
      <c r="N82" s="67">
        <v>0.17674418604651163</v>
      </c>
      <c r="O82" s="67">
        <v>0.60526315789473684</v>
      </c>
      <c r="P82" s="67">
        <v>0.33333333333333331</v>
      </c>
      <c r="Q82" s="67">
        <v>0.43956043956043955</v>
      </c>
    </row>
    <row r="83" spans="1:17" x14ac:dyDescent="0.4">
      <c r="A83" s="69">
        <v>80</v>
      </c>
      <c r="B83" s="66">
        <v>154.19999999999996</v>
      </c>
      <c r="C83" s="66">
        <v>1.9274999999999995</v>
      </c>
      <c r="D83" s="71">
        <v>1.95</v>
      </c>
      <c r="E83" s="67">
        <v>0.35</v>
      </c>
      <c r="F83" s="67">
        <v>0.3</v>
      </c>
      <c r="G83" s="67">
        <v>0.28374233128834359</v>
      </c>
      <c r="H83" s="67">
        <v>0.14723926380368099</v>
      </c>
      <c r="I83" s="68">
        <v>8837.8378378378384</v>
      </c>
      <c r="J83" s="68">
        <v>-7110.416666666667</v>
      </c>
      <c r="K83" s="67">
        <v>0.13750000000000001</v>
      </c>
      <c r="L83" s="67">
        <v>0.125</v>
      </c>
      <c r="M83" s="67">
        <v>0.29754601226993865</v>
      </c>
      <c r="N83" s="67">
        <v>0.17484662576687116</v>
      </c>
      <c r="O83" s="67">
        <v>0.60309278350515461</v>
      </c>
      <c r="P83" s="67">
        <v>0.33333333333333331</v>
      </c>
      <c r="Q83" s="67">
        <v>0.43783783783783786</v>
      </c>
    </row>
    <row r="84" spans="1:17" x14ac:dyDescent="0.4">
      <c r="A84" s="69">
        <v>81</v>
      </c>
      <c r="B84" s="66">
        <v>216.19999999999996</v>
      </c>
      <c r="C84" s="66">
        <v>2.6691358024691354</v>
      </c>
      <c r="D84" s="71">
        <v>1.9382716049382716</v>
      </c>
      <c r="E84" s="67">
        <v>0.35802469135802467</v>
      </c>
      <c r="F84" s="67">
        <v>0.29629629629629628</v>
      </c>
      <c r="G84" s="67">
        <v>0.28657616892911009</v>
      </c>
      <c r="H84" s="67">
        <v>0.14630467571644043</v>
      </c>
      <c r="I84" s="68">
        <v>8883.6842105263149</v>
      </c>
      <c r="J84" s="68">
        <v>-7119.5876288659792</v>
      </c>
      <c r="K84" s="67">
        <v>0.13580246913580246</v>
      </c>
      <c r="L84" s="67">
        <v>0.13580246913580246</v>
      </c>
      <c r="M84" s="67">
        <v>0.29864253393665158</v>
      </c>
      <c r="N84" s="67">
        <v>0.17496229260935142</v>
      </c>
      <c r="O84" s="67">
        <v>0.61111111111111116</v>
      </c>
      <c r="P84" s="67">
        <v>0.33620689655172414</v>
      </c>
      <c r="Q84" s="67">
        <v>0.43157894736842106</v>
      </c>
    </row>
    <row r="85" spans="1:17" x14ac:dyDescent="0.4">
      <c r="A85" s="69">
        <v>82</v>
      </c>
      <c r="B85" s="66">
        <v>225.79999999999995</v>
      </c>
      <c r="C85" s="66">
        <v>2.7536585365853652</v>
      </c>
      <c r="D85" s="71">
        <v>1.9390243902439024</v>
      </c>
      <c r="E85" s="67">
        <v>0.35365853658536583</v>
      </c>
      <c r="F85" s="67">
        <v>0.29268292682926828</v>
      </c>
      <c r="G85" s="67">
        <v>0.28528974739970281</v>
      </c>
      <c r="H85" s="67">
        <v>0.14710252600297177</v>
      </c>
      <c r="I85" s="68">
        <v>8895.3125</v>
      </c>
      <c r="J85" s="68">
        <v>-7015.151515151515</v>
      </c>
      <c r="K85" s="67">
        <v>0.13414634146341464</v>
      </c>
      <c r="L85" s="67">
        <v>0.13414634146341464</v>
      </c>
      <c r="M85" s="67">
        <v>0.29569093610698366</v>
      </c>
      <c r="N85" s="67">
        <v>0.17533432392273401</v>
      </c>
      <c r="O85" s="67">
        <v>0.60804020100502509</v>
      </c>
      <c r="P85" s="67">
        <v>0.34745762711864409</v>
      </c>
      <c r="Q85" s="67">
        <v>0.42708333333333331</v>
      </c>
    </row>
    <row r="86" spans="1:17" x14ac:dyDescent="0.4">
      <c r="A86" s="69">
        <v>83</v>
      </c>
      <c r="B86" s="66">
        <v>167.49999999999994</v>
      </c>
      <c r="C86" s="66">
        <v>2.0180722891566258</v>
      </c>
      <c r="D86" s="71">
        <v>1.9518072289156627</v>
      </c>
      <c r="E86" s="67">
        <v>0.3493975903614458</v>
      </c>
      <c r="F86" s="67">
        <v>0.30120481927710846</v>
      </c>
      <c r="G86" s="67">
        <v>0.28193832599118945</v>
      </c>
      <c r="H86" s="67">
        <v>0.14831130690161526</v>
      </c>
      <c r="I86" s="68">
        <v>8895.3125</v>
      </c>
      <c r="J86" s="68">
        <v>-7092.0792079207922</v>
      </c>
      <c r="K86" s="67">
        <v>0.14457831325301204</v>
      </c>
      <c r="L86" s="67">
        <v>0.13253012048192772</v>
      </c>
      <c r="M86" s="67">
        <v>0.29368575624082233</v>
      </c>
      <c r="N86" s="67">
        <v>0.17474302496328928</v>
      </c>
      <c r="O86" s="67">
        <v>0.60499999999999998</v>
      </c>
      <c r="P86" s="67">
        <v>0.34453781512605042</v>
      </c>
      <c r="Q86" s="67">
        <v>0.42708333333333331</v>
      </c>
    </row>
    <row r="87" spans="1:17" x14ac:dyDescent="0.4">
      <c r="A87" s="69">
        <v>84</v>
      </c>
      <c r="B87" s="66">
        <v>131.69999999999993</v>
      </c>
      <c r="C87" s="66">
        <v>1.5678571428571419</v>
      </c>
      <c r="D87" s="71">
        <v>1.9642857142857142</v>
      </c>
      <c r="E87" s="67">
        <v>0.34523809523809523</v>
      </c>
      <c r="F87" s="67">
        <v>0.30952380952380953</v>
      </c>
      <c r="G87" s="67">
        <v>0.27971014492753621</v>
      </c>
      <c r="H87" s="67">
        <v>0.14927536231884059</v>
      </c>
      <c r="I87" s="68">
        <v>8861.6580310880836</v>
      </c>
      <c r="J87" s="68">
        <v>-7048.5436893203887</v>
      </c>
      <c r="K87" s="67">
        <v>0.14285714285714285</v>
      </c>
      <c r="L87" s="67">
        <v>0.13095238095238096</v>
      </c>
      <c r="M87" s="67">
        <v>0.28985507246376813</v>
      </c>
      <c r="N87" s="67">
        <v>0.17681159420289855</v>
      </c>
      <c r="O87" s="67">
        <v>0.60499999999999998</v>
      </c>
      <c r="P87" s="67">
        <v>0.33606557377049179</v>
      </c>
      <c r="Q87" s="67">
        <v>0.42487046632124353</v>
      </c>
    </row>
    <row r="88" spans="1:17" x14ac:dyDescent="0.4">
      <c r="A88" s="69">
        <v>85</v>
      </c>
      <c r="B88" s="66">
        <v>103.19999999999993</v>
      </c>
      <c r="C88" s="66">
        <v>1.2141176470588226</v>
      </c>
      <c r="D88" s="71">
        <v>1.9764705882352942</v>
      </c>
      <c r="E88" s="67">
        <v>0.3411764705882353</v>
      </c>
      <c r="F88" s="67">
        <v>0.31764705882352939</v>
      </c>
      <c r="G88" s="67">
        <v>0.27873563218390807</v>
      </c>
      <c r="H88" s="67">
        <v>0.14942528735632185</v>
      </c>
      <c r="I88" s="68">
        <v>8855.6701030927834</v>
      </c>
      <c r="J88" s="68">
        <v>-7030.7692307692305</v>
      </c>
      <c r="K88" s="67">
        <v>0.14117647058823529</v>
      </c>
      <c r="L88" s="67">
        <v>0.12941176470588237</v>
      </c>
      <c r="M88" s="67">
        <v>0.28879310344827586</v>
      </c>
      <c r="N88" s="67">
        <v>0.17816091954022989</v>
      </c>
      <c r="O88" s="67">
        <v>0.60199004975124382</v>
      </c>
      <c r="P88" s="67">
        <v>0.33870967741935482</v>
      </c>
      <c r="Q88" s="67">
        <v>0.42268041237113402</v>
      </c>
    </row>
    <row r="89" spans="1:17" x14ac:dyDescent="0.4">
      <c r="A89" s="69">
        <v>86</v>
      </c>
      <c r="B89" s="66">
        <v>69.899999999999935</v>
      </c>
      <c r="C89" s="66">
        <v>0.81279069767441781</v>
      </c>
      <c r="D89" s="71">
        <v>1.9883720930232558</v>
      </c>
      <c r="E89" s="67">
        <v>0.33720930232558138</v>
      </c>
      <c r="F89" s="67">
        <v>0.32558139534883723</v>
      </c>
      <c r="G89" s="67">
        <v>0.27620396600566571</v>
      </c>
      <c r="H89" s="67">
        <v>0.14730878186968838</v>
      </c>
      <c r="I89" s="68">
        <v>8892.3076923076915</v>
      </c>
      <c r="J89" s="68">
        <v>-7030.7692307692305</v>
      </c>
      <c r="K89" s="67">
        <v>0.13953488372093023</v>
      </c>
      <c r="L89" s="67">
        <v>0.12790697674418605</v>
      </c>
      <c r="M89" s="67">
        <v>0.28611898016997167</v>
      </c>
      <c r="N89" s="67">
        <v>0.17705382436260622</v>
      </c>
      <c r="O89" s="67">
        <v>0.60396039603960394</v>
      </c>
      <c r="P89" s="67">
        <v>0.33600000000000002</v>
      </c>
      <c r="Q89" s="67">
        <v>0.42051282051282052</v>
      </c>
    </row>
    <row r="90" spans="1:17" x14ac:dyDescent="0.4">
      <c r="A90" s="69">
        <v>87</v>
      </c>
      <c r="B90" s="66">
        <v>18.699999999999932</v>
      </c>
      <c r="C90" s="66">
        <v>0.21494252873563141</v>
      </c>
      <c r="D90" s="71">
        <v>2</v>
      </c>
      <c r="E90" s="67">
        <v>0.33333333333333331</v>
      </c>
      <c r="F90" s="67">
        <v>0.33333333333333331</v>
      </c>
      <c r="G90" s="67">
        <v>0.27489481065918653</v>
      </c>
      <c r="H90" s="67">
        <v>0.15007012622720897</v>
      </c>
      <c r="I90" s="68">
        <v>8861.224489795919</v>
      </c>
      <c r="J90" s="68">
        <v>-7076.6355140186915</v>
      </c>
      <c r="K90" s="67">
        <v>0.13793103448275862</v>
      </c>
      <c r="L90" s="67">
        <v>0.12643678160919541</v>
      </c>
      <c r="M90" s="67">
        <v>0.28611500701262271</v>
      </c>
      <c r="N90" s="67">
        <v>0.17671809256661991</v>
      </c>
      <c r="O90" s="67">
        <v>0.6029411764705882</v>
      </c>
      <c r="P90" s="67">
        <v>0.33333333333333331</v>
      </c>
      <c r="Q90" s="67">
        <v>0.42346938775510207</v>
      </c>
    </row>
    <row r="91" spans="1:17" x14ac:dyDescent="0.4">
      <c r="A91" s="69">
        <v>88</v>
      </c>
      <c r="B91" s="66">
        <v>-51.800000000000068</v>
      </c>
      <c r="C91" s="66">
        <v>-0.5886363636363644</v>
      </c>
      <c r="D91" s="71">
        <v>2.0113636363636362</v>
      </c>
      <c r="E91" s="67">
        <v>0.32954545454545453</v>
      </c>
      <c r="F91" s="67">
        <v>0.34090909090909088</v>
      </c>
      <c r="G91" s="67">
        <v>0.27323162274618584</v>
      </c>
      <c r="H91" s="67">
        <v>0.15117891816920942</v>
      </c>
      <c r="I91" s="68">
        <v>8845.6852791878173</v>
      </c>
      <c r="J91" s="68">
        <v>-7214.6788990825689</v>
      </c>
      <c r="K91" s="67">
        <v>0.14772727272727273</v>
      </c>
      <c r="L91" s="67">
        <v>0.125</v>
      </c>
      <c r="M91" s="67">
        <v>0.28294036061026351</v>
      </c>
      <c r="N91" s="67">
        <v>0.17891816920943135</v>
      </c>
      <c r="O91" s="67">
        <v>0.6029411764705882</v>
      </c>
      <c r="P91" s="67">
        <v>0.33333333333333331</v>
      </c>
      <c r="Q91" s="67">
        <v>0.42131979695431471</v>
      </c>
    </row>
    <row r="92" spans="1:17" x14ac:dyDescent="0.4">
      <c r="A92" s="69">
        <v>89</v>
      </c>
      <c r="B92" s="66">
        <v>-75.500000000000071</v>
      </c>
      <c r="C92" s="66">
        <v>-0.84831460674157388</v>
      </c>
      <c r="D92" s="71">
        <v>2.0224719101123596</v>
      </c>
      <c r="E92" s="67">
        <v>0.3258426966292135</v>
      </c>
      <c r="F92" s="67">
        <v>0.34831460674157305</v>
      </c>
      <c r="G92" s="67">
        <v>0.27235213204951858</v>
      </c>
      <c r="H92" s="67">
        <v>0.1499312242090784</v>
      </c>
      <c r="I92" s="68">
        <v>8841.4141414141413</v>
      </c>
      <c r="J92" s="68">
        <v>-7214.6788990825689</v>
      </c>
      <c r="K92" s="67">
        <v>0.14606741573033707</v>
      </c>
      <c r="L92" s="67">
        <v>0.12359550561797752</v>
      </c>
      <c r="M92" s="67">
        <v>0.28198074277854196</v>
      </c>
      <c r="N92" s="67">
        <v>0.17744154057771663</v>
      </c>
      <c r="O92" s="67">
        <v>0.60487804878048779</v>
      </c>
      <c r="P92" s="67">
        <v>0.33333333333333331</v>
      </c>
      <c r="Q92" s="67">
        <v>0.42424242424242425</v>
      </c>
    </row>
    <row r="93" spans="1:17" x14ac:dyDescent="0.4">
      <c r="A93" s="69">
        <v>90</v>
      </c>
      <c r="B93" s="66">
        <v>-66.500000000000071</v>
      </c>
      <c r="C93" s="66">
        <v>-0.73888888888888971</v>
      </c>
      <c r="D93" s="71">
        <v>2.0222222222222221</v>
      </c>
      <c r="E93" s="67">
        <v>0.32222222222222224</v>
      </c>
      <c r="F93" s="67">
        <v>0.34444444444444444</v>
      </c>
      <c r="G93" s="67">
        <v>0.27309782608695654</v>
      </c>
      <c r="H93" s="67">
        <v>0.15081521739130435</v>
      </c>
      <c r="I93" s="68">
        <v>8868.6567164179105</v>
      </c>
      <c r="J93" s="68">
        <v>-7185.5855855855852</v>
      </c>
      <c r="K93" s="67">
        <v>0.14444444444444443</v>
      </c>
      <c r="L93" s="67">
        <v>0.12222222222222222</v>
      </c>
      <c r="M93" s="67">
        <v>0.27989130434782611</v>
      </c>
      <c r="N93" s="67">
        <v>0.18070652173913043</v>
      </c>
      <c r="O93" s="67">
        <v>0.60679611650485432</v>
      </c>
      <c r="P93" s="67">
        <v>0.33834586466165412</v>
      </c>
      <c r="Q93" s="67">
        <v>0.42786069651741293</v>
      </c>
    </row>
    <row r="94" spans="1:17" x14ac:dyDescent="0.4">
      <c r="A94" s="69">
        <v>91</v>
      </c>
      <c r="B94" s="66">
        <v>-39.600000000000072</v>
      </c>
      <c r="C94" s="66">
        <v>-0.43516483516483595</v>
      </c>
      <c r="D94" s="71">
        <v>2.0109890109890109</v>
      </c>
      <c r="E94" s="67">
        <v>0.32967032967032966</v>
      </c>
      <c r="F94" s="67">
        <v>0.34065934065934067</v>
      </c>
      <c r="G94" s="67">
        <v>0.2767379679144385</v>
      </c>
      <c r="H94" s="67">
        <v>0.15240641711229946</v>
      </c>
      <c r="I94" s="68">
        <v>8809.6618357487914</v>
      </c>
      <c r="J94" s="68">
        <v>-7247.3684210526317</v>
      </c>
      <c r="K94" s="67">
        <v>0.14285714285714285</v>
      </c>
      <c r="L94" s="67">
        <v>0.12087912087912088</v>
      </c>
      <c r="M94" s="67">
        <v>0.28074866310160429</v>
      </c>
      <c r="N94" s="67">
        <v>0.18449197860962566</v>
      </c>
      <c r="O94" s="67">
        <v>0.61428571428571432</v>
      </c>
      <c r="P94" s="67">
        <v>0.34057971014492755</v>
      </c>
      <c r="Q94" s="67">
        <v>0.43961352657004832</v>
      </c>
    </row>
    <row r="95" spans="1:17" x14ac:dyDescent="0.4">
      <c r="A95" s="69">
        <v>92</v>
      </c>
      <c r="B95" s="66">
        <v>-0.7000000000000739</v>
      </c>
      <c r="C95" s="66">
        <v>-7.6086956521747165E-3</v>
      </c>
      <c r="D95" s="71">
        <v>2</v>
      </c>
      <c r="E95" s="67">
        <v>0.33695652173913043</v>
      </c>
      <c r="F95" s="67">
        <v>0.33695652173913043</v>
      </c>
      <c r="G95" s="67">
        <v>0.27777777777777779</v>
      </c>
      <c r="H95" s="67">
        <v>0.15079365079365079</v>
      </c>
      <c r="I95" s="68">
        <v>8806.1904761904771</v>
      </c>
      <c r="J95" s="68">
        <v>-7247.3684210526317</v>
      </c>
      <c r="K95" s="67">
        <v>0.14130434782608695</v>
      </c>
      <c r="L95" s="67">
        <v>0.11956521739130435</v>
      </c>
      <c r="M95" s="67">
        <v>0.28042328042328041</v>
      </c>
      <c r="N95" s="67">
        <v>0.18386243386243387</v>
      </c>
      <c r="O95" s="67">
        <v>0.61792452830188682</v>
      </c>
      <c r="P95" s="67">
        <v>0.33812949640287771</v>
      </c>
      <c r="Q95" s="67">
        <v>0.44761904761904764</v>
      </c>
    </row>
    <row r="96" spans="1:17" x14ac:dyDescent="0.4">
      <c r="A96" s="69">
        <v>93</v>
      </c>
      <c r="B96" s="66">
        <v>29.599999999999927</v>
      </c>
      <c r="C96" s="66">
        <v>0.31827956989247236</v>
      </c>
      <c r="D96" s="71">
        <v>1.989247311827957</v>
      </c>
      <c r="E96" s="67">
        <v>0.34408602150537637</v>
      </c>
      <c r="F96" s="67">
        <v>0.33333333333333331</v>
      </c>
      <c r="G96" s="67">
        <v>0.27748691099476441</v>
      </c>
      <c r="H96" s="67">
        <v>0.15052356020942409</v>
      </c>
      <c r="I96" s="68">
        <v>8836.3207547169804</v>
      </c>
      <c r="J96" s="68">
        <v>-7251.304347826087</v>
      </c>
      <c r="K96" s="67">
        <v>0.13978494623655913</v>
      </c>
      <c r="L96" s="67">
        <v>0.11827956989247312</v>
      </c>
      <c r="M96" s="67">
        <v>0.281413612565445</v>
      </c>
      <c r="N96" s="67">
        <v>0.18324607329842932</v>
      </c>
      <c r="O96" s="67">
        <v>0.61395348837209307</v>
      </c>
      <c r="P96" s="67">
        <v>0.33571428571428569</v>
      </c>
      <c r="Q96" s="67">
        <v>0.44811320754716982</v>
      </c>
    </row>
    <row r="97" spans="1:17" x14ac:dyDescent="0.4">
      <c r="A97" s="69">
        <v>94</v>
      </c>
      <c r="B97" s="66">
        <v>57.299999999999926</v>
      </c>
      <c r="C97" s="66">
        <v>0.60957446808510563</v>
      </c>
      <c r="D97" s="71">
        <v>1.9787234042553192</v>
      </c>
      <c r="E97" s="67">
        <v>0.35106382978723405</v>
      </c>
      <c r="F97" s="67">
        <v>0.32978723404255317</v>
      </c>
      <c r="G97" s="67">
        <v>0.2779220779220779</v>
      </c>
      <c r="H97" s="67">
        <v>0.15064935064935064</v>
      </c>
      <c r="I97" s="68">
        <v>8841.5887850467298</v>
      </c>
      <c r="J97" s="68">
        <v>-7257.7586206896549</v>
      </c>
      <c r="K97" s="67">
        <v>0.13829787234042554</v>
      </c>
      <c r="L97" s="67">
        <v>0.11702127659574468</v>
      </c>
      <c r="M97" s="67">
        <v>0.2818181818181818</v>
      </c>
      <c r="N97" s="67">
        <v>0.18311688311688312</v>
      </c>
      <c r="O97" s="67">
        <v>0.61290322580645162</v>
      </c>
      <c r="P97" s="67">
        <v>0.34042553191489361</v>
      </c>
      <c r="Q97" s="67">
        <v>0.45327102803738317</v>
      </c>
    </row>
    <row r="98" spans="1:17" x14ac:dyDescent="0.4">
      <c r="A98" s="69">
        <v>95</v>
      </c>
      <c r="B98" s="66">
        <v>47.299999999999926</v>
      </c>
      <c r="C98" s="66">
        <v>0.4978947368421045</v>
      </c>
      <c r="D98" s="71">
        <v>1.9789473684210526</v>
      </c>
      <c r="E98" s="67">
        <v>0.3473684210526316</v>
      </c>
      <c r="F98" s="67">
        <v>0.32631578947368423</v>
      </c>
      <c r="G98" s="67">
        <v>0.27684346701164297</v>
      </c>
      <c r="H98" s="67">
        <v>0.1500646830530401</v>
      </c>
      <c r="I98" s="68">
        <v>8841.5887850467298</v>
      </c>
      <c r="J98" s="68">
        <v>-7257.7586206896549</v>
      </c>
      <c r="K98" s="67">
        <v>0.1368421052631579</v>
      </c>
      <c r="L98" s="67">
        <v>0.11578947368421053</v>
      </c>
      <c r="M98" s="67">
        <v>0.28072445019404918</v>
      </c>
      <c r="N98" s="67">
        <v>0.18240620957309184</v>
      </c>
      <c r="O98" s="67">
        <v>0.61290322580645162</v>
      </c>
      <c r="P98" s="67">
        <v>0.34042553191489361</v>
      </c>
      <c r="Q98" s="67">
        <v>0.45327102803738317</v>
      </c>
    </row>
    <row r="99" spans="1:17" x14ac:dyDescent="0.4">
      <c r="A99" s="69">
        <v>96</v>
      </c>
      <c r="B99" s="66">
        <v>48.899999999999928</v>
      </c>
      <c r="C99" s="66">
        <v>0.50937499999999925</v>
      </c>
      <c r="D99" s="71">
        <v>1.9791666666666667</v>
      </c>
      <c r="E99" s="67">
        <v>0.34375</v>
      </c>
      <c r="F99" s="67">
        <v>0.32291666666666669</v>
      </c>
      <c r="G99" s="67">
        <v>0.27458492975734355</v>
      </c>
      <c r="H99" s="67">
        <v>0.14942528735632185</v>
      </c>
      <c r="I99" s="68">
        <v>8874.8837209302328</v>
      </c>
      <c r="J99" s="68">
        <v>-7229.0598290598291</v>
      </c>
      <c r="K99" s="67">
        <v>0.13541666666666666</v>
      </c>
      <c r="L99" s="67">
        <v>0.11458333333333333</v>
      </c>
      <c r="M99" s="67">
        <v>0.27713920817369092</v>
      </c>
      <c r="N99" s="67">
        <v>0.18135376756066413</v>
      </c>
      <c r="O99" s="67">
        <v>0.61290322580645162</v>
      </c>
      <c r="P99" s="67">
        <v>0.3380281690140845</v>
      </c>
      <c r="Q99" s="67">
        <v>0.45581395348837211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95E1F-A5DB-4AF5-BCC9-6878DC004874}">
  <sheetPr codeName="Sheet18"/>
  <dimension ref="A1:Q5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  <row r="48" spans="1:17" x14ac:dyDescent="0.4">
      <c r="A48" s="69">
        <v>45</v>
      </c>
      <c r="B48" s="66">
        <v>-295.39999999999998</v>
      </c>
      <c r="C48" s="66">
        <v>-6.5644444444444439</v>
      </c>
      <c r="D48" s="71">
        <v>2.088888888888889</v>
      </c>
      <c r="E48" s="67">
        <v>0.28888888888888886</v>
      </c>
      <c r="F48" s="67">
        <v>0.37777777777777777</v>
      </c>
      <c r="G48" s="67">
        <v>0.29820051413881749</v>
      </c>
      <c r="H48" s="67">
        <v>0.18766066838046272</v>
      </c>
      <c r="I48" s="68">
        <v>6945.6896551724139</v>
      </c>
      <c r="J48" s="68">
        <v>-7787.6712328767126</v>
      </c>
      <c r="K48" s="67">
        <v>0.1111111111111111</v>
      </c>
      <c r="L48" s="67">
        <v>6.6666666666666666E-2</v>
      </c>
      <c r="M48" s="67">
        <v>0.22879177377892032</v>
      </c>
      <c r="N48" s="67">
        <v>0.25449871465295631</v>
      </c>
      <c r="O48" s="67">
        <v>0.5842696629213483</v>
      </c>
      <c r="P48" s="67">
        <v>0.33333333333333331</v>
      </c>
      <c r="Q48" s="67">
        <v>0.50862068965517238</v>
      </c>
    </row>
    <row r="49" spans="1:17" x14ac:dyDescent="0.4">
      <c r="A49" s="69">
        <v>46</v>
      </c>
      <c r="B49" s="66">
        <v>-377.4</v>
      </c>
      <c r="C49" s="66">
        <v>-8.2043478260869556</v>
      </c>
      <c r="D49" s="71">
        <v>2.1086956521739131</v>
      </c>
      <c r="E49" s="67">
        <v>0.28260869565217389</v>
      </c>
      <c r="F49" s="67">
        <v>0.39130434782608697</v>
      </c>
      <c r="G49" s="67">
        <v>0.29367088607594938</v>
      </c>
      <c r="H49" s="67">
        <v>0.189873417721519</v>
      </c>
      <c r="I49" s="68">
        <v>6945.6896551724139</v>
      </c>
      <c r="J49" s="68">
        <v>-8300</v>
      </c>
      <c r="K49" s="67">
        <v>0.13043478260869565</v>
      </c>
      <c r="L49" s="67">
        <v>6.5217391304347824E-2</v>
      </c>
      <c r="M49" s="67">
        <v>0.22531645569620254</v>
      </c>
      <c r="N49" s="67">
        <v>0.25569620253164554</v>
      </c>
      <c r="O49" s="67">
        <v>0.5842696629213483</v>
      </c>
      <c r="P49" s="67">
        <v>0.32673267326732675</v>
      </c>
      <c r="Q49" s="67">
        <v>0.50862068965517238</v>
      </c>
    </row>
    <row r="50" spans="1:17" x14ac:dyDescent="0.4">
      <c r="A50" s="69">
        <v>47</v>
      </c>
      <c r="B50" s="66">
        <v>-439.7</v>
      </c>
      <c r="C50" s="66">
        <v>-9.3553191489361698</v>
      </c>
      <c r="D50" s="71">
        <v>2.1276595744680851</v>
      </c>
      <c r="E50" s="67">
        <v>0.27659574468085107</v>
      </c>
      <c r="F50" s="67">
        <v>0.40425531914893614</v>
      </c>
      <c r="G50" s="67">
        <v>0.28888888888888886</v>
      </c>
      <c r="H50" s="67">
        <v>0.19012345679012346</v>
      </c>
      <c r="I50" s="68">
        <v>6904.2735042735039</v>
      </c>
      <c r="J50" s="68">
        <v>-8290.9090909090901</v>
      </c>
      <c r="K50" s="67">
        <v>0.14893617021276595</v>
      </c>
      <c r="L50" s="67">
        <v>6.3829787234042548E-2</v>
      </c>
      <c r="M50" s="67">
        <v>0.21975308641975308</v>
      </c>
      <c r="N50" s="67">
        <v>0.25185185185185183</v>
      </c>
      <c r="O50" s="67">
        <v>0.5842696629213483</v>
      </c>
      <c r="P50" s="67">
        <v>0.3235294117647059</v>
      </c>
      <c r="Q50" s="67">
        <v>0.51282051282051277</v>
      </c>
    </row>
    <row r="51" spans="1:17" x14ac:dyDescent="0.4">
      <c r="A51" s="69">
        <v>48</v>
      </c>
      <c r="B51" s="66">
        <v>-387.7</v>
      </c>
      <c r="C51" s="66">
        <v>-8.0770833333333325</v>
      </c>
      <c r="D51" s="71">
        <v>2.1041666666666665</v>
      </c>
      <c r="E51" s="67">
        <v>0.29166666666666669</v>
      </c>
      <c r="F51" s="67">
        <v>0.39583333333333331</v>
      </c>
      <c r="G51" s="67">
        <v>0.29397590361445786</v>
      </c>
      <c r="H51" s="67">
        <v>0.1855421686746988</v>
      </c>
      <c r="I51" s="68">
        <v>6954.0983606557375</v>
      </c>
      <c r="J51" s="68">
        <v>-8290.9090909090901</v>
      </c>
      <c r="K51" s="67">
        <v>0.14583333333333334</v>
      </c>
      <c r="L51" s="67">
        <v>6.25E-2</v>
      </c>
      <c r="M51" s="67">
        <v>0.22168674698795179</v>
      </c>
      <c r="N51" s="67">
        <v>0.25301204819277107</v>
      </c>
      <c r="O51" s="67">
        <v>0.59782608695652173</v>
      </c>
      <c r="P51" s="67">
        <v>0.33333333333333331</v>
      </c>
      <c r="Q51" s="67">
        <v>0.50819672131147542</v>
      </c>
    </row>
    <row r="52" spans="1:17" x14ac:dyDescent="0.4">
      <c r="A52" s="69">
        <v>49</v>
      </c>
      <c r="B52" s="66">
        <v>-433</v>
      </c>
      <c r="C52" s="66">
        <v>-8.8367346938775508</v>
      </c>
      <c r="D52" s="71">
        <v>2.1224489795918369</v>
      </c>
      <c r="E52" s="67">
        <v>0.2857142857142857</v>
      </c>
      <c r="F52" s="67">
        <v>0.40816326530612246</v>
      </c>
      <c r="G52" s="67">
        <v>0.29146919431279622</v>
      </c>
      <c r="H52" s="67">
        <v>0.1872037914691943</v>
      </c>
      <c r="I52" s="68">
        <v>6913.8211382113823</v>
      </c>
      <c r="J52" s="68">
        <v>-8300</v>
      </c>
      <c r="K52" s="67">
        <v>0.14285714285714285</v>
      </c>
      <c r="L52" s="67">
        <v>6.1224489795918366E-2</v>
      </c>
      <c r="M52" s="67">
        <v>0.22274881516587677</v>
      </c>
      <c r="N52" s="67">
        <v>0.24881516587677724</v>
      </c>
      <c r="O52" s="67">
        <v>0.58510638297872342</v>
      </c>
      <c r="P52" s="67">
        <v>0.33333333333333331</v>
      </c>
      <c r="Q52" s="67">
        <v>0.50406504065040647</v>
      </c>
    </row>
    <row r="53" spans="1:17" x14ac:dyDescent="0.4">
      <c r="A53" s="69">
        <v>50</v>
      </c>
      <c r="B53" s="66">
        <v>-437.3</v>
      </c>
      <c r="C53" s="66">
        <v>-8.7460000000000004</v>
      </c>
      <c r="D53" s="71">
        <v>2.12</v>
      </c>
      <c r="E53" s="67">
        <v>0.28000000000000003</v>
      </c>
      <c r="F53" s="67">
        <v>0.4</v>
      </c>
      <c r="G53" s="67">
        <v>0.28868360277136257</v>
      </c>
      <c r="H53" s="67">
        <v>0.18706697459584296</v>
      </c>
      <c r="I53" s="68">
        <v>6941.6</v>
      </c>
      <c r="J53" s="68">
        <v>-8225.9259259259252</v>
      </c>
      <c r="K53" s="67">
        <v>0.14000000000000001</v>
      </c>
      <c r="L53" s="67">
        <v>0.06</v>
      </c>
      <c r="M53" s="67">
        <v>0.22632794457274827</v>
      </c>
      <c r="N53" s="67">
        <v>0.24249422632794457</v>
      </c>
      <c r="O53" s="67">
        <v>0.5714285714285714</v>
      </c>
      <c r="P53" s="67">
        <v>0.33333333333333331</v>
      </c>
      <c r="Q53" s="67">
        <v>0.504</v>
      </c>
    </row>
    <row r="54" spans="1:17" x14ac:dyDescent="0.4">
      <c r="A54" s="69">
        <v>51</v>
      </c>
      <c r="B54" s="66">
        <v>-495.90000000000003</v>
      </c>
      <c r="C54" s="66">
        <v>-9.7235294117647069</v>
      </c>
      <c r="D54" s="71">
        <v>2.1372549019607843</v>
      </c>
      <c r="E54" s="67">
        <v>0.27450980392156865</v>
      </c>
      <c r="F54" s="67">
        <v>0.41176470588235292</v>
      </c>
      <c r="G54" s="67">
        <v>0.28636363636363638</v>
      </c>
      <c r="H54" s="67">
        <v>0.18409090909090908</v>
      </c>
      <c r="I54" s="68">
        <v>6917.4603174603171</v>
      </c>
      <c r="J54" s="68">
        <v>-8225.9259259259252</v>
      </c>
      <c r="K54" s="67">
        <v>0.15686274509803921</v>
      </c>
      <c r="L54" s="67">
        <v>5.8823529411764705E-2</v>
      </c>
      <c r="M54" s="67">
        <v>0.22272727272727272</v>
      </c>
      <c r="N54" s="67">
        <v>0.24318181818181819</v>
      </c>
      <c r="O54" s="67">
        <v>0.5714285714285714</v>
      </c>
      <c r="P54" s="67">
        <v>0.32710280373831774</v>
      </c>
      <c r="Q54" s="67">
        <v>0.5</v>
      </c>
    </row>
    <row r="55" spans="1:17" x14ac:dyDescent="0.4">
      <c r="A55" s="69">
        <v>52</v>
      </c>
      <c r="B55" s="66">
        <v>-397.6</v>
      </c>
      <c r="C55" s="66">
        <v>-7.6461538461538465</v>
      </c>
      <c r="D55" s="71">
        <v>2.1153846153846154</v>
      </c>
      <c r="E55" s="67">
        <v>0.28846153846153844</v>
      </c>
      <c r="F55" s="67">
        <v>0.40384615384615385</v>
      </c>
      <c r="G55" s="67">
        <v>0.28666666666666668</v>
      </c>
      <c r="H55" s="67">
        <v>0.18222222222222223</v>
      </c>
      <c r="I55" s="68">
        <v>7534.1085271317834</v>
      </c>
      <c r="J55" s="68">
        <v>-8271.9512195121952</v>
      </c>
      <c r="K55" s="67">
        <v>0.15384615384615385</v>
      </c>
      <c r="L55" s="67">
        <v>7.6923076923076927E-2</v>
      </c>
      <c r="M55" s="67">
        <v>0.22666666666666666</v>
      </c>
      <c r="N55" s="67">
        <v>0.24</v>
      </c>
      <c r="O55" s="67">
        <v>0.55882352941176472</v>
      </c>
      <c r="P55" s="67">
        <v>0.33333333333333331</v>
      </c>
      <c r="Q55" s="67">
        <v>0.50387596899224807</v>
      </c>
    </row>
    <row r="56" spans="1:17" x14ac:dyDescent="0.4">
      <c r="A56" s="69">
        <v>53</v>
      </c>
      <c r="B56" s="66">
        <v>-396.70000000000005</v>
      </c>
      <c r="C56" s="66">
        <v>-7.4849056603773594</v>
      </c>
      <c r="D56" s="71">
        <v>2.1132075471698113</v>
      </c>
      <c r="E56" s="67">
        <v>0.28301886792452829</v>
      </c>
      <c r="F56" s="67">
        <v>0.39622641509433965</v>
      </c>
      <c r="G56" s="67">
        <v>0.2841648590021692</v>
      </c>
      <c r="H56" s="67">
        <v>0.1822125813449024</v>
      </c>
      <c r="I56" s="68">
        <v>7648.0916030534354</v>
      </c>
      <c r="J56" s="68">
        <v>-8327.3809523809523</v>
      </c>
      <c r="K56" s="67">
        <v>0.15094339622641509</v>
      </c>
      <c r="L56" s="67">
        <v>7.5471698113207544E-2</v>
      </c>
      <c r="M56" s="67">
        <v>0.22342733188720174</v>
      </c>
      <c r="N56" s="67">
        <v>0.23644251626898047</v>
      </c>
      <c r="O56" s="67">
        <v>0.55339805825242716</v>
      </c>
      <c r="P56" s="67">
        <v>0.33944954128440369</v>
      </c>
      <c r="Q56" s="67">
        <v>0.50381679389312972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D0FFD-7F63-40FB-B4A8-420A51A4FCAF}">
  <sheetPr codeName="Sheet16"/>
  <dimension ref="A1:Q10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  <row r="70" spans="1:17" x14ac:dyDescent="0.4">
      <c r="A70" s="69">
        <v>67</v>
      </c>
      <c r="B70" s="66">
        <v>1.8999999999999728</v>
      </c>
      <c r="C70" s="66">
        <v>2.8358208955223476E-2</v>
      </c>
      <c r="D70" s="71">
        <v>2.0298507462686568</v>
      </c>
      <c r="E70" s="67">
        <v>0.26865671641791045</v>
      </c>
      <c r="F70" s="67">
        <v>0.29850746268656714</v>
      </c>
      <c r="G70" s="67">
        <v>0.35689655172413792</v>
      </c>
      <c r="H70" s="67">
        <v>0.13275862068965516</v>
      </c>
      <c r="I70" s="68">
        <v>6609.6618357487923</v>
      </c>
      <c r="J70" s="68">
        <v>-9035.0649350649346</v>
      </c>
      <c r="K70" s="67">
        <v>4.4776119402985072E-2</v>
      </c>
      <c r="L70" s="67">
        <v>0.1044776119402985</v>
      </c>
      <c r="M70" s="67">
        <v>0.2189655172413793</v>
      </c>
      <c r="N70" s="67">
        <v>0.2982758620689655</v>
      </c>
      <c r="O70" s="67">
        <v>0.55118110236220474</v>
      </c>
      <c r="P70" s="67">
        <v>0.43352601156069365</v>
      </c>
      <c r="Q70" s="67">
        <v>0.42028985507246375</v>
      </c>
    </row>
    <row r="71" spans="1:17" x14ac:dyDescent="0.4">
      <c r="A71" s="69">
        <v>68</v>
      </c>
      <c r="B71" s="66">
        <v>-39.500000000000028</v>
      </c>
      <c r="C71" s="66">
        <v>-0.58088235294117685</v>
      </c>
      <c r="D71" s="71">
        <v>2.0441176470588234</v>
      </c>
      <c r="E71" s="67">
        <v>0.26470588235294118</v>
      </c>
      <c r="F71" s="67">
        <v>0.30882352941176472</v>
      </c>
      <c r="G71" s="67">
        <v>0.35204081632653061</v>
      </c>
      <c r="H71" s="67">
        <v>0.1326530612244898</v>
      </c>
      <c r="I71" s="68">
        <v>6609.6618357487923</v>
      </c>
      <c r="J71" s="68">
        <v>-9073.0769230769238</v>
      </c>
      <c r="K71" s="67">
        <v>4.4117647058823532E-2</v>
      </c>
      <c r="L71" s="67">
        <v>0.10294117647058823</v>
      </c>
      <c r="M71" s="67">
        <v>0.21598639455782312</v>
      </c>
      <c r="N71" s="67">
        <v>0.29421768707482993</v>
      </c>
      <c r="O71" s="67">
        <v>0.55118110236220474</v>
      </c>
      <c r="P71" s="67">
        <v>0.43352601156069365</v>
      </c>
      <c r="Q71" s="67">
        <v>0.42028985507246375</v>
      </c>
    </row>
    <row r="72" spans="1:17" x14ac:dyDescent="0.4">
      <c r="A72" s="69">
        <v>69</v>
      </c>
      <c r="B72" s="66">
        <v>-7.6000000000000298</v>
      </c>
      <c r="C72" s="66">
        <v>-0.11014492753623231</v>
      </c>
      <c r="D72" s="71">
        <v>2.0289855072463769</v>
      </c>
      <c r="E72" s="67">
        <v>0.27536231884057971</v>
      </c>
      <c r="F72" s="67">
        <v>0.30434782608695654</v>
      </c>
      <c r="G72" s="67">
        <v>0.35175879396984927</v>
      </c>
      <c r="H72" s="67">
        <v>0.13400335008375208</v>
      </c>
      <c r="I72" s="68">
        <v>6635.7142857142853</v>
      </c>
      <c r="J72" s="68">
        <v>-8927.5</v>
      </c>
      <c r="K72" s="67">
        <v>4.3478260869565216E-2</v>
      </c>
      <c r="L72" s="67">
        <v>0.10144927536231885</v>
      </c>
      <c r="M72" s="67">
        <v>0.21608040201005024</v>
      </c>
      <c r="N72" s="67">
        <v>0.29145728643216079</v>
      </c>
      <c r="O72" s="67">
        <v>0.55813953488372092</v>
      </c>
      <c r="P72" s="67">
        <v>0.43103448275862066</v>
      </c>
      <c r="Q72" s="67">
        <v>0.41904761904761906</v>
      </c>
    </row>
    <row r="73" spans="1:17" x14ac:dyDescent="0.4">
      <c r="A73" s="69">
        <v>70</v>
      </c>
      <c r="B73" s="66">
        <v>-32.000000000000028</v>
      </c>
      <c r="C73" s="66">
        <v>-0.45714285714285757</v>
      </c>
      <c r="D73" s="71">
        <v>2.0428571428571427</v>
      </c>
      <c r="E73" s="67">
        <v>0.27142857142857141</v>
      </c>
      <c r="F73" s="67">
        <v>0.31428571428571428</v>
      </c>
      <c r="G73" s="67">
        <v>0.35041322314049589</v>
      </c>
      <c r="H73" s="67">
        <v>0.13388429752066117</v>
      </c>
      <c r="I73" s="68">
        <v>6620.7547169811323</v>
      </c>
      <c r="J73" s="68">
        <v>-8912.3456790123455</v>
      </c>
      <c r="K73" s="67">
        <v>4.2857142857142858E-2</v>
      </c>
      <c r="L73" s="67">
        <v>0.1</v>
      </c>
      <c r="M73" s="67">
        <v>0.21818181818181817</v>
      </c>
      <c r="N73" s="67">
        <v>0.28760330578512394</v>
      </c>
      <c r="O73" s="67">
        <v>0.55303030303030298</v>
      </c>
      <c r="P73" s="67">
        <v>0.43103448275862066</v>
      </c>
      <c r="Q73" s="67">
        <v>0.419811320754717</v>
      </c>
    </row>
    <row r="74" spans="1:17" x14ac:dyDescent="0.4">
      <c r="A74" s="69">
        <v>71</v>
      </c>
      <c r="B74" s="66">
        <v>-76.600000000000023</v>
      </c>
      <c r="C74" s="66">
        <v>-1.0788732394366201</v>
      </c>
      <c r="D74" s="71">
        <v>2.056338028169014</v>
      </c>
      <c r="E74" s="67">
        <v>0.26760563380281688</v>
      </c>
      <c r="F74" s="67">
        <v>0.323943661971831</v>
      </c>
      <c r="G74" s="67">
        <v>0.34584013050570961</v>
      </c>
      <c r="H74" s="67">
        <v>0.13703099510603589</v>
      </c>
      <c r="I74" s="68">
        <v>6620.7547169811323</v>
      </c>
      <c r="J74" s="68">
        <v>-8695.2380952380954</v>
      </c>
      <c r="K74" s="67">
        <v>4.2253521126760563E-2</v>
      </c>
      <c r="L74" s="67">
        <v>9.8591549295774641E-2</v>
      </c>
      <c r="M74" s="67">
        <v>0.21533442088091354</v>
      </c>
      <c r="N74" s="67">
        <v>0.28711256117455136</v>
      </c>
      <c r="O74" s="67">
        <v>0.55303030303030298</v>
      </c>
      <c r="P74" s="67">
        <v>0.42613636363636365</v>
      </c>
      <c r="Q74" s="67">
        <v>0.419811320754717</v>
      </c>
    </row>
    <row r="75" spans="1:17" x14ac:dyDescent="0.4">
      <c r="A75" s="69">
        <v>72</v>
      </c>
      <c r="B75" s="66">
        <v>-68.40000000000002</v>
      </c>
      <c r="C75" s="66">
        <v>-0.95000000000000029</v>
      </c>
      <c r="D75" s="71">
        <v>2.0555555555555554</v>
      </c>
      <c r="E75" s="67">
        <v>0.2638888888888889</v>
      </c>
      <c r="F75" s="67">
        <v>0.31944444444444442</v>
      </c>
      <c r="G75" s="67">
        <v>0.34460547504025762</v>
      </c>
      <c r="H75" s="67">
        <v>0.13687600644122383</v>
      </c>
      <c r="I75" s="68">
        <v>6643.4579439252338</v>
      </c>
      <c r="J75" s="68">
        <v>-8638.823529411764</v>
      </c>
      <c r="K75" s="67">
        <v>4.1666666666666664E-2</v>
      </c>
      <c r="L75" s="67">
        <v>9.7222222222222224E-2</v>
      </c>
      <c r="M75" s="67">
        <v>0.214170692431562</v>
      </c>
      <c r="N75" s="67">
        <v>0.28824476650563607</v>
      </c>
      <c r="O75" s="67">
        <v>0.55639097744360899</v>
      </c>
      <c r="P75" s="67">
        <v>0.42458100558659218</v>
      </c>
      <c r="Q75" s="67">
        <v>0.42523364485981308</v>
      </c>
    </row>
    <row r="76" spans="1:17" x14ac:dyDescent="0.4">
      <c r="A76" s="69">
        <v>73</v>
      </c>
      <c r="B76" s="66">
        <v>-129.30000000000001</v>
      </c>
      <c r="C76" s="66">
        <v>-1.7712328767123289</v>
      </c>
      <c r="D76" s="71">
        <v>2.0684931506849313</v>
      </c>
      <c r="E76" s="67">
        <v>0.26027397260273971</v>
      </c>
      <c r="F76" s="67">
        <v>0.32876712328767121</v>
      </c>
      <c r="G76" s="67">
        <v>0.34076433121019106</v>
      </c>
      <c r="H76" s="67">
        <v>0.13853503184713375</v>
      </c>
      <c r="I76" s="68">
        <v>6643.4579439252338</v>
      </c>
      <c r="J76" s="68">
        <v>-8577.0114942528744</v>
      </c>
      <c r="K76" s="67">
        <v>5.4794520547945202E-2</v>
      </c>
      <c r="L76" s="67">
        <v>9.5890410958904104E-2</v>
      </c>
      <c r="M76" s="67">
        <v>0.21178343949044587</v>
      </c>
      <c r="N76" s="67">
        <v>0.28980891719745222</v>
      </c>
      <c r="O76" s="67">
        <v>0.55639097744360899</v>
      </c>
      <c r="P76" s="67">
        <v>0.4175824175824176</v>
      </c>
      <c r="Q76" s="67">
        <v>0.42523364485981308</v>
      </c>
    </row>
    <row r="77" spans="1:17" x14ac:dyDescent="0.4">
      <c r="A77" s="69">
        <v>74</v>
      </c>
      <c r="B77" s="66">
        <v>-61.500000000000014</v>
      </c>
      <c r="C77" s="66">
        <v>-0.83108108108108125</v>
      </c>
      <c r="D77" s="71">
        <v>2.0540540540540539</v>
      </c>
      <c r="E77" s="67">
        <v>0.27027027027027029</v>
      </c>
      <c r="F77" s="67">
        <v>0.32432432432432434</v>
      </c>
      <c r="G77" s="67">
        <v>0.3449367088607595</v>
      </c>
      <c r="H77" s="67">
        <v>0.13765822784810128</v>
      </c>
      <c r="I77" s="68">
        <v>6722.4770642201838</v>
      </c>
      <c r="J77" s="68">
        <v>-8577.0114942528744</v>
      </c>
      <c r="K77" s="67">
        <v>5.4054054054054057E-2</v>
      </c>
      <c r="L77" s="67">
        <v>0.10810810810810811</v>
      </c>
      <c r="M77" s="67">
        <v>0.21202531645569619</v>
      </c>
      <c r="N77" s="67">
        <v>0.29113924050632911</v>
      </c>
      <c r="O77" s="67">
        <v>0.55970149253731338</v>
      </c>
      <c r="P77" s="67">
        <v>0.42391304347826086</v>
      </c>
      <c r="Q77" s="67">
        <v>0.42660550458715596</v>
      </c>
    </row>
    <row r="78" spans="1:17" x14ac:dyDescent="0.4">
      <c r="A78" s="69">
        <v>75</v>
      </c>
      <c r="B78" s="66">
        <v>-76.40000000000002</v>
      </c>
      <c r="C78" s="66">
        <v>-1.0186666666666668</v>
      </c>
      <c r="D78" s="71">
        <v>2.0533333333333332</v>
      </c>
      <c r="E78" s="67">
        <v>0.26666666666666666</v>
      </c>
      <c r="F78" s="67">
        <v>0.32</v>
      </c>
      <c r="G78" s="67">
        <v>0.34267912772585668</v>
      </c>
      <c r="H78" s="67">
        <v>0.13862928348909656</v>
      </c>
      <c r="I78" s="68">
        <v>6727.727272727273</v>
      </c>
      <c r="J78" s="68">
        <v>-8564.0449438202249</v>
      </c>
      <c r="K78" s="67">
        <v>5.3333333333333337E-2</v>
      </c>
      <c r="L78" s="67">
        <v>0.10666666666666667</v>
      </c>
      <c r="M78" s="67">
        <v>0.21339563862928349</v>
      </c>
      <c r="N78" s="67">
        <v>0.28971962616822428</v>
      </c>
      <c r="O78" s="67">
        <v>0.56204379562043794</v>
      </c>
      <c r="P78" s="67">
        <v>0.41935483870967744</v>
      </c>
      <c r="Q78" s="67">
        <v>0.42272727272727273</v>
      </c>
    </row>
    <row r="79" spans="1:17" x14ac:dyDescent="0.4">
      <c r="A79" s="69">
        <v>76</v>
      </c>
      <c r="B79" s="66">
        <v>-36.300000000000018</v>
      </c>
      <c r="C79" s="66">
        <v>-0.47763157894736868</v>
      </c>
      <c r="D79" s="71">
        <v>2.0394736842105261</v>
      </c>
      <c r="E79" s="67">
        <v>0.27631578947368424</v>
      </c>
      <c r="F79" s="67">
        <v>0.31578947368421051</v>
      </c>
      <c r="G79" s="67">
        <v>0.3446153846153846</v>
      </c>
      <c r="H79" s="67">
        <v>0.13846153846153847</v>
      </c>
      <c r="I79" s="68">
        <v>6741.5178571428569</v>
      </c>
      <c r="J79" s="68">
        <v>-8512.2222222222226</v>
      </c>
      <c r="K79" s="67">
        <v>5.2631578947368418E-2</v>
      </c>
      <c r="L79" s="67">
        <v>0.11842105263157894</v>
      </c>
      <c r="M79" s="67">
        <v>0.2153846153846154</v>
      </c>
      <c r="N79" s="67">
        <v>0.28769230769230769</v>
      </c>
      <c r="O79" s="67">
        <v>0.5714285714285714</v>
      </c>
      <c r="P79" s="67">
        <v>0.41711229946524064</v>
      </c>
      <c r="Q79" s="67">
        <v>0.42410714285714285</v>
      </c>
    </row>
    <row r="80" spans="1:17" x14ac:dyDescent="0.4">
      <c r="A80" s="69">
        <v>77</v>
      </c>
      <c r="B80" s="66">
        <v>-37.300000000000018</v>
      </c>
      <c r="C80" s="66">
        <v>-0.48441558441558463</v>
      </c>
      <c r="D80" s="71">
        <v>2.0389610389610389</v>
      </c>
      <c r="E80" s="67">
        <v>0.27272727272727271</v>
      </c>
      <c r="F80" s="67">
        <v>0.31168831168831168</v>
      </c>
      <c r="G80" s="67">
        <v>0.34446130500758726</v>
      </c>
      <c r="H80" s="67">
        <v>0.13960546282245828</v>
      </c>
      <c r="I80" s="68">
        <v>6792.070484581498</v>
      </c>
      <c r="J80" s="68">
        <v>-8579.347826086956</v>
      </c>
      <c r="K80" s="67">
        <v>5.1948051948051951E-2</v>
      </c>
      <c r="L80" s="67">
        <v>0.11688311688311688</v>
      </c>
      <c r="M80" s="67">
        <v>0.21396054628224584</v>
      </c>
      <c r="N80" s="67">
        <v>0.2883156297420334</v>
      </c>
      <c r="O80" s="67">
        <v>0.56737588652482274</v>
      </c>
      <c r="P80" s="67">
        <v>0.42105263157894735</v>
      </c>
      <c r="Q80" s="67">
        <v>0.42290748898678415</v>
      </c>
    </row>
    <row r="81" spans="1:17" x14ac:dyDescent="0.4">
      <c r="A81" s="69">
        <v>78</v>
      </c>
      <c r="B81" s="66">
        <v>-38.600000000000016</v>
      </c>
      <c r="C81" s="66">
        <v>-0.49487179487179506</v>
      </c>
      <c r="D81" s="71">
        <v>2.0384615384615383</v>
      </c>
      <c r="E81" s="67">
        <v>0.26923076923076922</v>
      </c>
      <c r="F81" s="67">
        <v>0.30769230769230771</v>
      </c>
      <c r="G81" s="67">
        <v>0.34384384384384387</v>
      </c>
      <c r="H81" s="67">
        <v>0.13813813813813813</v>
      </c>
      <c r="I81" s="68">
        <v>6775.1091703056773</v>
      </c>
      <c r="J81" s="68">
        <v>-8579.347826086956</v>
      </c>
      <c r="K81" s="67">
        <v>5.128205128205128E-2</v>
      </c>
      <c r="L81" s="67">
        <v>0.11538461538461539</v>
      </c>
      <c r="M81" s="67">
        <v>0.21321321321321321</v>
      </c>
      <c r="N81" s="67">
        <v>0.29129129129129128</v>
      </c>
      <c r="O81" s="67">
        <v>0.56338028169014087</v>
      </c>
      <c r="P81" s="67">
        <v>0.42268041237113402</v>
      </c>
      <c r="Q81" s="67">
        <v>0.42358078602620086</v>
      </c>
    </row>
    <row r="82" spans="1:17" x14ac:dyDescent="0.4">
      <c r="A82" s="69">
        <v>79</v>
      </c>
      <c r="B82" s="66">
        <v>-67.000000000000014</v>
      </c>
      <c r="C82" s="66">
        <v>-0.848101265822785</v>
      </c>
      <c r="D82" s="71">
        <v>2.037974683544304</v>
      </c>
      <c r="E82" s="67">
        <v>0.26582278481012656</v>
      </c>
      <c r="F82" s="67">
        <v>0.30379746835443039</v>
      </c>
      <c r="G82" s="67">
        <v>0.34328358208955223</v>
      </c>
      <c r="H82" s="67">
        <v>0.1373134328358209</v>
      </c>
      <c r="I82" s="68">
        <v>6787.391304347826</v>
      </c>
      <c r="J82" s="68">
        <v>-8579.347826086956</v>
      </c>
      <c r="K82" s="67">
        <v>5.0632911392405063E-2</v>
      </c>
      <c r="L82" s="67">
        <v>0.11392405063291139</v>
      </c>
      <c r="M82" s="67">
        <v>0.21343283582089553</v>
      </c>
      <c r="N82" s="67">
        <v>0.28955223880597014</v>
      </c>
      <c r="O82" s="67">
        <v>0.55944055944055948</v>
      </c>
      <c r="P82" s="67">
        <v>0.42268041237113402</v>
      </c>
      <c r="Q82" s="67">
        <v>0.42173913043478262</v>
      </c>
    </row>
    <row r="83" spans="1:17" x14ac:dyDescent="0.4">
      <c r="A83" s="69">
        <v>80</v>
      </c>
      <c r="B83" s="66">
        <v>-114.70000000000002</v>
      </c>
      <c r="C83" s="66">
        <v>-1.4337500000000003</v>
      </c>
      <c r="D83" s="71">
        <v>2.0499999999999998</v>
      </c>
      <c r="E83" s="67">
        <v>0.26250000000000001</v>
      </c>
      <c r="F83" s="67">
        <v>0.3125</v>
      </c>
      <c r="G83" s="67">
        <v>0.34264705882352942</v>
      </c>
      <c r="H83" s="67">
        <v>0.13970588235294118</v>
      </c>
      <c r="I83" s="68">
        <v>6754.0772532188839</v>
      </c>
      <c r="J83" s="68">
        <v>-8538.9473684210534</v>
      </c>
      <c r="K83" s="67">
        <v>0.05</v>
      </c>
      <c r="L83" s="67">
        <v>0.1125</v>
      </c>
      <c r="M83" s="67">
        <v>0.21029411764705883</v>
      </c>
      <c r="N83" s="67">
        <v>0.29264705882352943</v>
      </c>
      <c r="O83" s="67">
        <v>0.55944055944055948</v>
      </c>
      <c r="P83" s="67">
        <v>0.42713567839195982</v>
      </c>
      <c r="Q83" s="67">
        <v>0.41630901287553645</v>
      </c>
    </row>
    <row r="84" spans="1:17" x14ac:dyDescent="0.4">
      <c r="A84" s="69">
        <v>81</v>
      </c>
      <c r="B84" s="66">
        <v>-115.90000000000002</v>
      </c>
      <c r="C84" s="66">
        <v>-1.4308641975308645</v>
      </c>
      <c r="D84" s="71">
        <v>2.0493827160493829</v>
      </c>
      <c r="E84" s="67">
        <v>0.25925925925925924</v>
      </c>
      <c r="F84" s="67">
        <v>0.30864197530864196</v>
      </c>
      <c r="G84" s="67">
        <v>0.34438040345821325</v>
      </c>
      <c r="H84" s="67">
        <v>0.13832853025936601</v>
      </c>
      <c r="I84" s="68">
        <v>6772.3849372384939</v>
      </c>
      <c r="J84" s="68">
        <v>-8575</v>
      </c>
      <c r="K84" s="67">
        <v>4.9382716049382713E-2</v>
      </c>
      <c r="L84" s="67">
        <v>0.1111111111111111</v>
      </c>
      <c r="M84" s="67">
        <v>0.21037463976945245</v>
      </c>
      <c r="N84" s="67">
        <v>0.29394812680115273</v>
      </c>
      <c r="O84" s="67">
        <v>0.5547945205479452</v>
      </c>
      <c r="P84" s="67">
        <v>0.4264705882352941</v>
      </c>
      <c r="Q84" s="67">
        <v>0.41422594142259417</v>
      </c>
    </row>
    <row r="85" spans="1:17" x14ac:dyDescent="0.4">
      <c r="A85" s="69">
        <v>82</v>
      </c>
      <c r="B85" s="66">
        <v>-110.60000000000002</v>
      </c>
      <c r="C85" s="66">
        <v>-1.3487804878048784</v>
      </c>
      <c r="D85" s="71">
        <v>2.0487804878048781</v>
      </c>
      <c r="E85" s="67">
        <v>0.25609756097560976</v>
      </c>
      <c r="F85" s="67">
        <v>0.3048780487804878</v>
      </c>
      <c r="G85" s="67">
        <v>0.34566145092460882</v>
      </c>
      <c r="H85" s="67">
        <v>0.13940256045519203</v>
      </c>
      <c r="I85" s="68">
        <v>6810.2880658436216</v>
      </c>
      <c r="J85" s="68">
        <v>-8542.8571428571431</v>
      </c>
      <c r="K85" s="67">
        <v>4.878048780487805E-2</v>
      </c>
      <c r="L85" s="67">
        <v>0.10975609756097561</v>
      </c>
      <c r="M85" s="67">
        <v>0.21052631578947367</v>
      </c>
      <c r="N85" s="67">
        <v>0.29445234708392604</v>
      </c>
      <c r="O85" s="67">
        <v>0.55405405405405406</v>
      </c>
      <c r="P85" s="67">
        <v>0.4251207729468599</v>
      </c>
      <c r="Q85" s="67">
        <v>0.41152263374485598</v>
      </c>
    </row>
    <row r="86" spans="1:17" x14ac:dyDescent="0.4">
      <c r="A86" s="69">
        <v>83</v>
      </c>
      <c r="B86" s="66">
        <v>-101.20000000000002</v>
      </c>
      <c r="C86" s="66">
        <v>-1.219277108433735</v>
      </c>
      <c r="D86" s="71">
        <v>2.0481927710843375</v>
      </c>
      <c r="E86" s="67">
        <v>0.25301204819277107</v>
      </c>
      <c r="F86" s="67">
        <v>0.30120481927710846</v>
      </c>
      <c r="G86" s="67">
        <v>0.34696755994358253</v>
      </c>
      <c r="H86" s="67">
        <v>0.1382228490832158</v>
      </c>
      <c r="I86" s="68">
        <v>6806.9105691056911</v>
      </c>
      <c r="J86" s="68">
        <v>-8542.8571428571431</v>
      </c>
      <c r="K86" s="67">
        <v>4.8192771084337352E-2</v>
      </c>
      <c r="L86" s="67">
        <v>0.10843373493975904</v>
      </c>
      <c r="M86" s="67">
        <v>0.21015514809590974</v>
      </c>
      <c r="N86" s="67">
        <v>0.29478138222849082</v>
      </c>
      <c r="O86" s="67">
        <v>0.55704697986577179</v>
      </c>
      <c r="P86" s="67">
        <v>0.42583732057416268</v>
      </c>
      <c r="Q86" s="67">
        <v>0.41056910569105692</v>
      </c>
    </row>
    <row r="87" spans="1:17" x14ac:dyDescent="0.4">
      <c r="A87" s="69">
        <v>84</v>
      </c>
      <c r="B87" s="66">
        <v>-162.90000000000003</v>
      </c>
      <c r="C87" s="66">
        <v>-1.9392857142857147</v>
      </c>
      <c r="D87" s="71">
        <v>2.0595238095238093</v>
      </c>
      <c r="E87" s="67">
        <v>0.25</v>
      </c>
      <c r="F87" s="67">
        <v>0.30952380952380953</v>
      </c>
      <c r="G87" s="67">
        <v>0.34401114206128136</v>
      </c>
      <c r="H87" s="67">
        <v>0.13788300835654596</v>
      </c>
      <c r="I87" s="68">
        <v>6827.9352226720648</v>
      </c>
      <c r="J87" s="68">
        <v>-8638.3838383838392</v>
      </c>
      <c r="K87" s="67">
        <v>5.9523809523809521E-2</v>
      </c>
      <c r="L87" s="67">
        <v>0.10714285714285714</v>
      </c>
      <c r="M87" s="67">
        <v>0.2116991643454039</v>
      </c>
      <c r="N87" s="67">
        <v>0.29247910863509752</v>
      </c>
      <c r="O87" s="67">
        <v>0.55263157894736847</v>
      </c>
      <c r="P87" s="67">
        <v>0.4238095238095238</v>
      </c>
      <c r="Q87" s="67">
        <v>0.40890688259109309</v>
      </c>
    </row>
    <row r="88" spans="1:17" x14ac:dyDescent="0.4">
      <c r="A88" s="69">
        <v>85</v>
      </c>
      <c r="B88" s="66">
        <v>-121.30000000000004</v>
      </c>
      <c r="C88" s="66">
        <v>-1.4270588235294122</v>
      </c>
      <c r="D88" s="71">
        <v>2.0470588235294116</v>
      </c>
      <c r="E88" s="67">
        <v>0.25882352941176473</v>
      </c>
      <c r="F88" s="67">
        <v>0.30588235294117649</v>
      </c>
      <c r="G88" s="67">
        <v>0.34482758620689657</v>
      </c>
      <c r="H88" s="67">
        <v>0.13793103448275862</v>
      </c>
      <c r="I88" s="68">
        <v>6866.4</v>
      </c>
      <c r="J88" s="68">
        <v>-8632</v>
      </c>
      <c r="K88" s="67">
        <v>5.8823529411764705E-2</v>
      </c>
      <c r="L88" s="67">
        <v>0.10588235294117647</v>
      </c>
      <c r="M88" s="67">
        <v>0.21241379310344827</v>
      </c>
      <c r="N88" s="67">
        <v>0.29103448275862071</v>
      </c>
      <c r="O88" s="67">
        <v>0.55194805194805197</v>
      </c>
      <c r="P88" s="67">
        <v>0.42654028436018959</v>
      </c>
      <c r="Q88" s="67">
        <v>0.40400000000000003</v>
      </c>
    </row>
    <row r="89" spans="1:17" x14ac:dyDescent="0.4">
      <c r="A89" s="69">
        <v>86</v>
      </c>
      <c r="B89" s="66">
        <v>-133.30000000000004</v>
      </c>
      <c r="C89" s="66">
        <v>-1.5500000000000005</v>
      </c>
      <c r="D89" s="71">
        <v>2.0465116279069768</v>
      </c>
      <c r="E89" s="67">
        <v>0.2558139534883721</v>
      </c>
      <c r="F89" s="67">
        <v>0.30232558139534882</v>
      </c>
      <c r="G89" s="67">
        <v>0.34430727023319618</v>
      </c>
      <c r="H89" s="67">
        <v>0.13717421124828533</v>
      </c>
      <c r="I89" s="68">
        <v>6886.852589641434</v>
      </c>
      <c r="J89" s="68">
        <v>-8632</v>
      </c>
      <c r="K89" s="67">
        <v>5.8139534883720929E-2</v>
      </c>
      <c r="L89" s="67">
        <v>0.10465116279069768</v>
      </c>
      <c r="M89" s="67">
        <v>0.21262002743484226</v>
      </c>
      <c r="N89" s="67">
        <v>0.29218106995884774</v>
      </c>
      <c r="O89" s="67">
        <v>0.55483870967741933</v>
      </c>
      <c r="P89" s="67">
        <v>0.42253521126760563</v>
      </c>
      <c r="Q89" s="67">
        <v>0.40239043824701193</v>
      </c>
    </row>
    <row r="90" spans="1:17" x14ac:dyDescent="0.4">
      <c r="A90" s="69">
        <v>87</v>
      </c>
      <c r="B90" s="66">
        <v>-118.60000000000004</v>
      </c>
      <c r="C90" s="66">
        <v>-1.3632183908045981</v>
      </c>
      <c r="D90" s="71">
        <v>2.0459770114942528</v>
      </c>
      <c r="E90" s="67">
        <v>0.25287356321839083</v>
      </c>
      <c r="F90" s="67">
        <v>0.2988505747126437</v>
      </c>
      <c r="G90" s="67">
        <v>0.34515688949522511</v>
      </c>
      <c r="H90" s="67">
        <v>0.13642564802182811</v>
      </c>
      <c r="I90" s="68">
        <v>6910.276679841897</v>
      </c>
      <c r="J90" s="68">
        <v>-8632</v>
      </c>
      <c r="K90" s="67">
        <v>5.7471264367816091E-2</v>
      </c>
      <c r="L90" s="67">
        <v>0.10344827586206896</v>
      </c>
      <c r="M90" s="67">
        <v>0.21282401091405184</v>
      </c>
      <c r="N90" s="67">
        <v>0.29195088676671216</v>
      </c>
      <c r="O90" s="67">
        <v>0.55769230769230771</v>
      </c>
      <c r="P90" s="67">
        <v>0.42523364485981308</v>
      </c>
      <c r="Q90" s="67">
        <v>0.40316205533596838</v>
      </c>
    </row>
    <row r="91" spans="1:17" x14ac:dyDescent="0.4">
      <c r="A91" s="69">
        <v>88</v>
      </c>
      <c r="B91" s="66">
        <v>-163.20000000000005</v>
      </c>
      <c r="C91" s="66">
        <v>-1.8545454545454552</v>
      </c>
      <c r="D91" s="71">
        <v>2.0568181818181817</v>
      </c>
      <c r="E91" s="67">
        <v>0.25</v>
      </c>
      <c r="F91" s="67">
        <v>0.30681818181818182</v>
      </c>
      <c r="G91" s="67">
        <v>0.34454912516823688</v>
      </c>
      <c r="H91" s="67">
        <v>0.13728129205921938</v>
      </c>
      <c r="I91" s="68">
        <v>6866.015625</v>
      </c>
      <c r="J91" s="68">
        <v>-8717.6470588235297</v>
      </c>
      <c r="K91" s="67">
        <v>5.6818181818181816E-2</v>
      </c>
      <c r="L91" s="67">
        <v>0.10227272727272728</v>
      </c>
      <c r="M91" s="67">
        <v>0.20995962314939434</v>
      </c>
      <c r="N91" s="67">
        <v>0.29340511440107669</v>
      </c>
      <c r="O91" s="67">
        <v>0.55769230769230771</v>
      </c>
      <c r="P91" s="67">
        <v>0.42660550458715596</v>
      </c>
      <c r="Q91" s="67">
        <v>0.3984375</v>
      </c>
    </row>
    <row r="92" spans="1:17" x14ac:dyDescent="0.4">
      <c r="A92" s="69">
        <v>89</v>
      </c>
      <c r="B92" s="66">
        <v>-123.90000000000005</v>
      </c>
      <c r="C92" s="66">
        <v>-1.3921348314606747</v>
      </c>
      <c r="D92" s="71">
        <v>2.0449438202247192</v>
      </c>
      <c r="E92" s="67">
        <v>0.25842696629213485</v>
      </c>
      <c r="F92" s="67">
        <v>0.30337078651685395</v>
      </c>
      <c r="G92" s="67">
        <v>0.34487350199733691</v>
      </c>
      <c r="H92" s="67">
        <v>0.1384820239680426</v>
      </c>
      <c r="I92" s="68">
        <v>6886.1003861003865</v>
      </c>
      <c r="J92" s="68">
        <v>-8679.8076923076915</v>
      </c>
      <c r="K92" s="67">
        <v>5.6179775280898875E-2</v>
      </c>
      <c r="L92" s="67">
        <v>0.11235955056179775</v>
      </c>
      <c r="M92" s="67">
        <v>0.2103861517976032</v>
      </c>
      <c r="N92" s="67">
        <v>0.29294274300932088</v>
      </c>
      <c r="O92" s="67">
        <v>0.55696202531645567</v>
      </c>
      <c r="P92" s="67">
        <v>0.42727272727272725</v>
      </c>
      <c r="Q92" s="67">
        <v>0.39382239382239381</v>
      </c>
    </row>
    <row r="93" spans="1:17" x14ac:dyDescent="0.4">
      <c r="A93" s="69">
        <v>90</v>
      </c>
      <c r="B93" s="66">
        <v>-122.80000000000005</v>
      </c>
      <c r="C93" s="66">
        <v>-1.364444444444445</v>
      </c>
      <c r="D93" s="71">
        <v>2.0444444444444443</v>
      </c>
      <c r="E93" s="67">
        <v>0.25555555555555554</v>
      </c>
      <c r="F93" s="67">
        <v>0.3</v>
      </c>
      <c r="G93" s="67">
        <v>0.34473684210526317</v>
      </c>
      <c r="H93" s="67">
        <v>0.14210526315789473</v>
      </c>
      <c r="I93" s="68">
        <v>6890.0763358778622</v>
      </c>
      <c r="J93" s="68">
        <v>-8488.8888888888887</v>
      </c>
      <c r="K93" s="67">
        <v>5.5555555555555552E-2</v>
      </c>
      <c r="L93" s="67">
        <v>0.1111111111111111</v>
      </c>
      <c r="M93" s="67">
        <v>0.21447368421052632</v>
      </c>
      <c r="N93" s="67">
        <v>0.29078947368421054</v>
      </c>
      <c r="O93" s="67">
        <v>0.55828220858895705</v>
      </c>
      <c r="P93" s="67">
        <v>0.42533936651583709</v>
      </c>
      <c r="Q93" s="67">
        <v>0.3931297709923664</v>
      </c>
    </row>
    <row r="94" spans="1:17" x14ac:dyDescent="0.4">
      <c r="A94" s="69">
        <v>91</v>
      </c>
      <c r="B94" s="66">
        <v>-121.50000000000006</v>
      </c>
      <c r="C94" s="66">
        <v>-1.3351648351648358</v>
      </c>
      <c r="D94" s="71">
        <v>2.0439560439560438</v>
      </c>
      <c r="E94" s="67">
        <v>0.25274725274725274</v>
      </c>
      <c r="F94" s="67">
        <v>0.2967032967032967</v>
      </c>
      <c r="G94" s="67">
        <v>0.3433420365535248</v>
      </c>
      <c r="H94" s="67">
        <v>0.14229765013054829</v>
      </c>
      <c r="I94" s="68">
        <v>6894.2965779467677</v>
      </c>
      <c r="J94" s="68">
        <v>-8425.6880733944963</v>
      </c>
      <c r="K94" s="67">
        <v>5.4945054945054944E-2</v>
      </c>
      <c r="L94" s="67">
        <v>0.10989010989010989</v>
      </c>
      <c r="M94" s="67">
        <v>0.21279373368146215</v>
      </c>
      <c r="N94" s="67">
        <v>0.28851174934725848</v>
      </c>
      <c r="O94" s="67">
        <v>0.55828220858895705</v>
      </c>
      <c r="P94" s="67">
        <v>0.42533936651583709</v>
      </c>
      <c r="Q94" s="67">
        <v>0.39163498098859317</v>
      </c>
    </row>
    <row r="95" spans="1:17" x14ac:dyDescent="0.4">
      <c r="A95" s="69">
        <v>92</v>
      </c>
      <c r="B95" s="66">
        <v>-120.50000000000006</v>
      </c>
      <c r="C95" s="66">
        <v>-1.3097826086956528</v>
      </c>
      <c r="D95" s="71">
        <v>2.0434782608695654</v>
      </c>
      <c r="E95" s="67">
        <v>0.25</v>
      </c>
      <c r="F95" s="67">
        <v>0.29347826086956524</v>
      </c>
      <c r="G95" s="67">
        <v>0.34326424870466321</v>
      </c>
      <c r="H95" s="67">
        <v>0.14119170984455959</v>
      </c>
      <c r="I95" s="68">
        <v>6872.4528301886794</v>
      </c>
      <c r="J95" s="68">
        <v>-8425.6880733944963</v>
      </c>
      <c r="K95" s="67">
        <v>5.434782608695652E-2</v>
      </c>
      <c r="L95" s="67">
        <v>0.10869565217391304</v>
      </c>
      <c r="M95" s="67">
        <v>0.21243523316062177</v>
      </c>
      <c r="N95" s="67">
        <v>0.28756476683937826</v>
      </c>
      <c r="O95" s="67">
        <v>0.56097560975609762</v>
      </c>
      <c r="P95" s="67">
        <v>0.42792792792792794</v>
      </c>
      <c r="Q95" s="67">
        <v>0.39622641509433965</v>
      </c>
    </row>
    <row r="96" spans="1:17" x14ac:dyDescent="0.4">
      <c r="A96" s="69">
        <v>93</v>
      </c>
      <c r="B96" s="66">
        <v>-155.10000000000005</v>
      </c>
      <c r="C96" s="66">
        <v>-1.6677419354838716</v>
      </c>
      <c r="D96" s="71">
        <v>2.053763440860215</v>
      </c>
      <c r="E96" s="67">
        <v>0.24731182795698925</v>
      </c>
      <c r="F96" s="67">
        <v>0.30107526881720431</v>
      </c>
      <c r="G96" s="67">
        <v>0.34058898847631242</v>
      </c>
      <c r="H96" s="67">
        <v>0.14084507042253522</v>
      </c>
      <c r="I96" s="68">
        <v>6856.3909774436088</v>
      </c>
      <c r="J96" s="68">
        <v>-8396.363636363636</v>
      </c>
      <c r="K96" s="67">
        <v>5.3763440860215055E-2</v>
      </c>
      <c r="L96" s="67">
        <v>0.10752688172043011</v>
      </c>
      <c r="M96" s="67">
        <v>0.21510883482714468</v>
      </c>
      <c r="N96" s="67">
        <v>0.28681177976952626</v>
      </c>
      <c r="O96" s="67">
        <v>0.5535714285714286</v>
      </c>
      <c r="P96" s="67">
        <v>0.42410714285714285</v>
      </c>
      <c r="Q96" s="67">
        <v>0.39473684210526316</v>
      </c>
    </row>
    <row r="97" spans="1:17" x14ac:dyDescent="0.4">
      <c r="A97" s="69">
        <v>94</v>
      </c>
      <c r="B97" s="66">
        <v>-184.60000000000005</v>
      </c>
      <c r="C97" s="66">
        <v>-1.9638297872340431</v>
      </c>
      <c r="D97" s="71">
        <v>2.0638297872340425</v>
      </c>
      <c r="E97" s="67">
        <v>0.24468085106382978</v>
      </c>
      <c r="F97" s="67">
        <v>0.30851063829787234</v>
      </c>
      <c r="G97" s="67">
        <v>0.34007585335018964</v>
      </c>
      <c r="H97" s="67">
        <v>0.14412136536030343</v>
      </c>
      <c r="I97" s="68">
        <v>6815.613382899628</v>
      </c>
      <c r="J97" s="68">
        <v>-8238.5964912280706</v>
      </c>
      <c r="K97" s="67">
        <v>5.3191489361702128E-2</v>
      </c>
      <c r="L97" s="67">
        <v>0.10638297872340426</v>
      </c>
      <c r="M97" s="67">
        <v>0.21744627054361568</v>
      </c>
      <c r="N97" s="67">
        <v>0.28445006321112515</v>
      </c>
      <c r="O97" s="67">
        <v>0.54651162790697672</v>
      </c>
      <c r="P97" s="67">
        <v>0.42666666666666669</v>
      </c>
      <c r="Q97" s="67">
        <v>0.39405204460966542</v>
      </c>
    </row>
    <row r="98" spans="1:17" x14ac:dyDescent="0.4">
      <c r="A98" s="69">
        <v>95</v>
      </c>
      <c r="B98" s="66">
        <v>-161.50000000000006</v>
      </c>
      <c r="C98" s="66">
        <v>-1.7000000000000006</v>
      </c>
      <c r="D98" s="71">
        <v>2.0526315789473686</v>
      </c>
      <c r="E98" s="67">
        <v>0.25263157894736843</v>
      </c>
      <c r="F98" s="67">
        <v>0.30526315789473685</v>
      </c>
      <c r="G98" s="67">
        <v>0.34127979924717694</v>
      </c>
      <c r="H98" s="67">
        <v>0.14303638644918445</v>
      </c>
      <c r="I98" s="68">
        <v>6786.7647058823532</v>
      </c>
      <c r="J98" s="68">
        <v>-8238.5964912280706</v>
      </c>
      <c r="K98" s="67">
        <v>5.2631578947368418E-2</v>
      </c>
      <c r="L98" s="67">
        <v>0.10526315789473684</v>
      </c>
      <c r="M98" s="67">
        <v>0.21580928481806774</v>
      </c>
      <c r="N98" s="67">
        <v>0.28356336260978671</v>
      </c>
      <c r="O98" s="67">
        <v>0.54651162790697672</v>
      </c>
      <c r="P98" s="67">
        <v>0.42920353982300885</v>
      </c>
      <c r="Q98" s="67">
        <v>0.40073529411764708</v>
      </c>
    </row>
    <row r="99" spans="1:17" x14ac:dyDescent="0.4">
      <c r="A99" s="69">
        <v>96</v>
      </c>
      <c r="B99" s="66">
        <v>-202.00000000000006</v>
      </c>
      <c r="C99" s="66">
        <v>-2.1041666666666674</v>
      </c>
      <c r="D99" s="71">
        <v>2.0625</v>
      </c>
      <c r="E99" s="67">
        <v>0.25</v>
      </c>
      <c r="F99" s="67">
        <v>0.3125</v>
      </c>
      <c r="G99" s="67">
        <v>0.33995037220843671</v>
      </c>
      <c r="H99" s="67">
        <v>0.14392059553349876</v>
      </c>
      <c r="I99" s="68">
        <v>6774.8175182481755</v>
      </c>
      <c r="J99" s="68">
        <v>-8190.5172413793107</v>
      </c>
      <c r="K99" s="67">
        <v>5.2083333333333336E-2</v>
      </c>
      <c r="L99" s="67">
        <v>0.10416666666666667</v>
      </c>
      <c r="M99" s="67">
        <v>0.21588089330024815</v>
      </c>
      <c r="N99" s="67">
        <v>0.28411910669975188</v>
      </c>
      <c r="O99" s="67">
        <v>0.54597701149425293</v>
      </c>
      <c r="P99" s="67">
        <v>0.42794759825327511</v>
      </c>
      <c r="Q99" s="67">
        <v>0.3978102189781022</v>
      </c>
    </row>
    <row r="100" spans="1:17" x14ac:dyDescent="0.4">
      <c r="A100" s="69">
        <v>97</v>
      </c>
      <c r="B100" s="66">
        <v>-200.50000000000006</v>
      </c>
      <c r="C100" s="66">
        <v>-2.0670103092783512</v>
      </c>
      <c r="D100" s="71">
        <v>2.0618556701030926</v>
      </c>
      <c r="E100" s="67">
        <v>0.24742268041237114</v>
      </c>
      <c r="F100" s="67">
        <v>0.30927835051546393</v>
      </c>
      <c r="G100" s="67">
        <v>0.33740831295843521</v>
      </c>
      <c r="H100" s="67">
        <v>0.14180929095354522</v>
      </c>
      <c r="I100" s="68">
        <v>6819.927536231884</v>
      </c>
      <c r="J100" s="68">
        <v>-8190.5172413793107</v>
      </c>
      <c r="K100" s="67">
        <v>5.1546391752577317E-2</v>
      </c>
      <c r="L100" s="67">
        <v>0.10309278350515463</v>
      </c>
      <c r="M100" s="67">
        <v>0.2139364303178484</v>
      </c>
      <c r="N100" s="67">
        <v>0.2823960880195599</v>
      </c>
      <c r="O100" s="67">
        <v>0.5485714285714286</v>
      </c>
      <c r="P100" s="67">
        <v>0.42857142857142855</v>
      </c>
      <c r="Q100" s="67">
        <v>0.39855072463768115</v>
      </c>
    </row>
    <row r="101" spans="1:17" x14ac:dyDescent="0.4">
      <c r="A101" s="69">
        <v>98</v>
      </c>
      <c r="B101" s="66">
        <v>-164.70000000000005</v>
      </c>
      <c r="C101" s="66">
        <v>-1.6806122448979597</v>
      </c>
      <c r="D101" s="71">
        <v>2.0510204081632653</v>
      </c>
      <c r="E101" s="67">
        <v>0.25510204081632654</v>
      </c>
      <c r="F101" s="67">
        <v>0.30612244897959184</v>
      </c>
      <c r="G101" s="67">
        <v>0.3385731559854897</v>
      </c>
      <c r="H101" s="67">
        <v>0.14147521160822249</v>
      </c>
      <c r="I101" s="68">
        <v>6786.7857142857147</v>
      </c>
      <c r="J101" s="68">
        <v>-8153.8461538461543</v>
      </c>
      <c r="K101" s="67">
        <v>5.1020408163265307E-2</v>
      </c>
      <c r="L101" s="67">
        <v>0.10204081632653061</v>
      </c>
      <c r="M101" s="67">
        <v>0.21402660217654171</v>
      </c>
      <c r="N101" s="67">
        <v>0.2841596130592503</v>
      </c>
      <c r="O101" s="67">
        <v>0.5536723163841808</v>
      </c>
      <c r="P101" s="67">
        <v>0.42553191489361702</v>
      </c>
      <c r="Q101" s="67">
        <v>0.4</v>
      </c>
    </row>
    <row r="102" spans="1:17" x14ac:dyDescent="0.4">
      <c r="A102" s="69">
        <v>99</v>
      </c>
      <c r="B102" s="66">
        <v>-172.90000000000003</v>
      </c>
      <c r="C102" s="66">
        <v>-1.7464646464646467</v>
      </c>
      <c r="D102" s="71">
        <v>2.0505050505050506</v>
      </c>
      <c r="E102" s="67">
        <v>0.25252525252525254</v>
      </c>
      <c r="F102" s="67">
        <v>0.30303030303030304</v>
      </c>
      <c r="G102" s="67">
        <v>0.33693045563549162</v>
      </c>
      <c r="H102" s="67">
        <v>0.14028776978417265</v>
      </c>
      <c r="I102" s="68">
        <v>6766.9039145907473</v>
      </c>
      <c r="J102" s="68">
        <v>-8153.8461538461543</v>
      </c>
      <c r="K102" s="67">
        <v>5.0505050505050504E-2</v>
      </c>
      <c r="L102" s="67">
        <v>0.10101010101010101</v>
      </c>
      <c r="M102" s="67">
        <v>0.21223021582733814</v>
      </c>
      <c r="N102" s="67">
        <v>0.28776978417266186</v>
      </c>
      <c r="O102" s="67">
        <v>0.5536723163841808</v>
      </c>
      <c r="P102" s="67">
        <v>0.42083333333333334</v>
      </c>
      <c r="Q102" s="67">
        <v>0.40213523131672596</v>
      </c>
    </row>
    <row r="103" spans="1:17" x14ac:dyDescent="0.4">
      <c r="A103" s="69">
        <v>100</v>
      </c>
      <c r="B103" s="66">
        <v>-177.80000000000004</v>
      </c>
      <c r="C103" s="66">
        <v>-1.7780000000000005</v>
      </c>
      <c r="D103" s="71">
        <v>2.0499999999999998</v>
      </c>
      <c r="E103" s="67">
        <v>0.25</v>
      </c>
      <c r="F103" s="67">
        <v>0.3</v>
      </c>
      <c r="G103" s="67">
        <v>0.33847980997624705</v>
      </c>
      <c r="H103" s="67">
        <v>0.14133016627078385</v>
      </c>
      <c r="I103" s="68">
        <v>6753.333333333333</v>
      </c>
      <c r="J103" s="68">
        <v>-8181.5126050420167</v>
      </c>
      <c r="K103" s="67">
        <v>0.05</v>
      </c>
      <c r="L103" s="67">
        <v>0.1</v>
      </c>
      <c r="M103" s="67">
        <v>0.21377672209026127</v>
      </c>
      <c r="N103" s="67">
        <v>0.28978622327790976</v>
      </c>
      <c r="O103" s="67">
        <v>0.55555555555555558</v>
      </c>
      <c r="P103" s="67">
        <v>0.42213114754098363</v>
      </c>
      <c r="Q103" s="67">
        <v>0.4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44F56-DB7E-4DEB-ABF7-6BE0A345FFA2}">
  <sheetPr codeName="Sheet14"/>
  <dimension ref="A1:Q10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  <row r="89" spans="1:17" x14ac:dyDescent="0.4">
      <c r="A89" s="69">
        <v>86</v>
      </c>
      <c r="B89" s="66">
        <v>158.50000000000003</v>
      </c>
      <c r="C89" s="66">
        <v>1.8430232558139539</v>
      </c>
      <c r="D89" s="71">
        <v>2.0232558139534884</v>
      </c>
      <c r="E89" s="67">
        <v>0.31395348837209303</v>
      </c>
      <c r="F89" s="67">
        <v>0.33720930232558138</v>
      </c>
      <c r="G89" s="67">
        <v>0.28491620111731841</v>
      </c>
      <c r="H89" s="67">
        <v>0.1717877094972067</v>
      </c>
      <c r="I89" s="68">
        <v>10033.823529411764</v>
      </c>
      <c r="J89" s="68">
        <v>-8311.3821138211388</v>
      </c>
      <c r="K89" s="67">
        <v>8.1395348837209308E-2</v>
      </c>
      <c r="L89" s="67">
        <v>0.13953488372093023</v>
      </c>
      <c r="M89" s="67">
        <v>0.29329608938547486</v>
      </c>
      <c r="N89" s="67">
        <v>0.18854748603351956</v>
      </c>
      <c r="O89" s="67">
        <v>0.56666666666666665</v>
      </c>
      <c r="P89" s="67">
        <v>0.42222222222222222</v>
      </c>
      <c r="Q89" s="67">
        <v>0.40686274509803921</v>
      </c>
    </row>
    <row r="90" spans="1:17" x14ac:dyDescent="0.4">
      <c r="A90" s="69">
        <v>87</v>
      </c>
      <c r="B90" s="66">
        <v>102.50000000000003</v>
      </c>
      <c r="C90" s="66">
        <v>1.1781609195402303</v>
      </c>
      <c r="D90" s="71">
        <v>2.0344827586206895</v>
      </c>
      <c r="E90" s="67">
        <v>0.31034482758620691</v>
      </c>
      <c r="F90" s="67">
        <v>0.34482758620689657</v>
      </c>
      <c r="G90" s="67">
        <v>0.28254847645429365</v>
      </c>
      <c r="H90" s="67">
        <v>0.17313019390581719</v>
      </c>
      <c r="I90" s="68">
        <v>10033.823529411764</v>
      </c>
      <c r="J90" s="68">
        <v>-8434.4</v>
      </c>
      <c r="K90" s="67">
        <v>9.1954022988505746E-2</v>
      </c>
      <c r="L90" s="67">
        <v>0.13793103448275862</v>
      </c>
      <c r="M90" s="67">
        <v>0.29224376731301938</v>
      </c>
      <c r="N90" s="67">
        <v>0.18975069252077562</v>
      </c>
      <c r="O90" s="67">
        <v>0.56398104265402849</v>
      </c>
      <c r="P90" s="67">
        <v>0.41605839416058393</v>
      </c>
      <c r="Q90" s="67">
        <v>0.40686274509803921</v>
      </c>
    </row>
    <row r="91" spans="1:17" x14ac:dyDescent="0.4">
      <c r="A91" s="69">
        <v>88</v>
      </c>
      <c r="B91" s="66">
        <v>46.300000000000026</v>
      </c>
      <c r="C91" s="66">
        <v>0.52613636363636396</v>
      </c>
      <c r="D91" s="71">
        <v>2.0454545454545454</v>
      </c>
      <c r="E91" s="67">
        <v>0.30681818181818182</v>
      </c>
      <c r="F91" s="67">
        <v>0.35227272727272729</v>
      </c>
      <c r="G91" s="67">
        <v>0.28159340659340659</v>
      </c>
      <c r="H91" s="67">
        <v>0.17445054945054944</v>
      </c>
      <c r="I91" s="68">
        <v>10010.731707317073</v>
      </c>
      <c r="J91" s="68">
        <v>-8534.645669291338</v>
      </c>
      <c r="K91" s="67">
        <v>0.10227272727272728</v>
      </c>
      <c r="L91" s="67">
        <v>0.13636363636363635</v>
      </c>
      <c r="M91" s="67">
        <v>0.29120879120879123</v>
      </c>
      <c r="N91" s="67">
        <v>0.18818681318681318</v>
      </c>
      <c r="O91" s="67">
        <v>0.56603773584905659</v>
      </c>
      <c r="P91" s="67">
        <v>0.41605839416058393</v>
      </c>
      <c r="Q91" s="67">
        <v>0.40975609756097559</v>
      </c>
    </row>
    <row r="92" spans="1:17" x14ac:dyDescent="0.4">
      <c r="A92" s="69">
        <v>89</v>
      </c>
      <c r="B92" s="66">
        <v>32.000000000000028</v>
      </c>
      <c r="C92" s="66">
        <v>0.35955056179775313</v>
      </c>
      <c r="D92" s="71">
        <v>2.0449438202247192</v>
      </c>
      <c r="E92" s="67">
        <v>0.30337078651685395</v>
      </c>
      <c r="F92" s="67">
        <v>0.34831460674157305</v>
      </c>
      <c r="G92" s="67">
        <v>0.28360215053763443</v>
      </c>
      <c r="H92" s="67">
        <v>0.17473118279569894</v>
      </c>
      <c r="I92" s="68">
        <v>9831.2796208530799</v>
      </c>
      <c r="J92" s="68">
        <v>-8504.6153846153848</v>
      </c>
      <c r="K92" s="67">
        <v>0.10112359550561797</v>
      </c>
      <c r="L92" s="67">
        <v>0.1348314606741573</v>
      </c>
      <c r="M92" s="67">
        <v>0.29166666666666669</v>
      </c>
      <c r="N92" s="67">
        <v>0.18817204301075269</v>
      </c>
      <c r="O92" s="67">
        <v>0.56221198156682028</v>
      </c>
      <c r="P92" s="67">
        <v>0.41428571428571431</v>
      </c>
      <c r="Q92" s="67">
        <v>0.41232227488151657</v>
      </c>
    </row>
    <row r="93" spans="1:17" x14ac:dyDescent="0.4">
      <c r="A93" s="69">
        <v>90</v>
      </c>
      <c r="B93" s="66">
        <v>1.7000000000000277</v>
      </c>
      <c r="C93" s="66">
        <v>1.8888888888889198E-2</v>
      </c>
      <c r="D93" s="71">
        <v>2.0444444444444443</v>
      </c>
      <c r="E93" s="67">
        <v>0.3</v>
      </c>
      <c r="F93" s="67">
        <v>0.34444444444444444</v>
      </c>
      <c r="G93" s="67">
        <v>0.28249336870026526</v>
      </c>
      <c r="H93" s="67">
        <v>0.17506631299734748</v>
      </c>
      <c r="I93" s="68">
        <v>9828.1690140845076</v>
      </c>
      <c r="J93" s="68">
        <v>-8572.7272727272721</v>
      </c>
      <c r="K93" s="67">
        <v>0.1</v>
      </c>
      <c r="L93" s="67">
        <v>0.13333333333333333</v>
      </c>
      <c r="M93" s="67">
        <v>0.29045092838196285</v>
      </c>
      <c r="N93" s="67">
        <v>0.18965517241379309</v>
      </c>
      <c r="O93" s="67">
        <v>0.56164383561643838</v>
      </c>
      <c r="P93" s="67">
        <v>0.41258741258741261</v>
      </c>
      <c r="Q93" s="67">
        <v>0.41314553990610331</v>
      </c>
    </row>
    <row r="94" spans="1:17" x14ac:dyDescent="0.4">
      <c r="A94" s="69">
        <v>91</v>
      </c>
      <c r="B94" s="66">
        <v>-9.1999999999999726</v>
      </c>
      <c r="C94" s="66">
        <v>-0.1010989010989008</v>
      </c>
      <c r="D94" s="71">
        <v>2.0439560439560438</v>
      </c>
      <c r="E94" s="67">
        <v>0.2967032967032967</v>
      </c>
      <c r="F94" s="67">
        <v>0.34065934065934067</v>
      </c>
      <c r="G94" s="67">
        <v>0.28252299605781866</v>
      </c>
      <c r="H94" s="67">
        <v>0.1773981603153745</v>
      </c>
      <c r="I94" s="68">
        <v>9848.3720930232557</v>
      </c>
      <c r="J94" s="68">
        <v>-8548.1481481481478</v>
      </c>
      <c r="K94" s="67">
        <v>9.8901098901098897E-2</v>
      </c>
      <c r="L94" s="67">
        <v>0.13186813186813187</v>
      </c>
      <c r="M94" s="67">
        <v>0.29040735873850199</v>
      </c>
      <c r="N94" s="67">
        <v>0.18922470433639949</v>
      </c>
      <c r="O94" s="67">
        <v>0.56561085972850678</v>
      </c>
      <c r="P94" s="67">
        <v>0.40972222222222221</v>
      </c>
      <c r="Q94" s="67">
        <v>0.413953488372093</v>
      </c>
    </row>
    <row r="95" spans="1:17" x14ac:dyDescent="0.4">
      <c r="A95" s="69">
        <v>92</v>
      </c>
      <c r="B95" s="66">
        <v>-69.199999999999974</v>
      </c>
      <c r="C95" s="66">
        <v>-0.75217391304347803</v>
      </c>
      <c r="D95" s="71">
        <v>2.0543478260869565</v>
      </c>
      <c r="E95" s="67">
        <v>0.29347826086956524</v>
      </c>
      <c r="F95" s="67">
        <v>0.34782608695652173</v>
      </c>
      <c r="G95" s="67">
        <v>0.28088426527958388</v>
      </c>
      <c r="H95" s="67">
        <v>0.17685305591677503</v>
      </c>
      <c r="I95" s="68">
        <v>9812.0370370370365</v>
      </c>
      <c r="J95" s="68">
        <v>-8544.1176470588234</v>
      </c>
      <c r="K95" s="67">
        <v>0.10869565217391304</v>
      </c>
      <c r="L95" s="67">
        <v>0.13043478260869565</v>
      </c>
      <c r="M95" s="67">
        <v>0.28998699609882966</v>
      </c>
      <c r="N95" s="67">
        <v>0.19115734720416125</v>
      </c>
      <c r="O95" s="67">
        <v>0.5605381165919282</v>
      </c>
      <c r="P95" s="67">
        <v>0.40816326530612246</v>
      </c>
      <c r="Q95" s="67">
        <v>0.41203703703703703</v>
      </c>
    </row>
    <row r="96" spans="1:17" x14ac:dyDescent="0.4">
      <c r="A96" s="69">
        <v>93</v>
      </c>
      <c r="B96" s="66">
        <v>-125.79999999999998</v>
      </c>
      <c r="C96" s="66">
        <v>-1.3526881720430106</v>
      </c>
      <c r="D96" s="71">
        <v>2.064516129032258</v>
      </c>
      <c r="E96" s="67">
        <v>0.29032258064516131</v>
      </c>
      <c r="F96" s="67">
        <v>0.35483870967741937</v>
      </c>
      <c r="G96" s="67">
        <v>0.27963917525773196</v>
      </c>
      <c r="H96" s="67">
        <v>0.17912371134020619</v>
      </c>
      <c r="I96" s="68">
        <v>9790.7834101382487</v>
      </c>
      <c r="J96" s="68">
        <v>-8467.625899280576</v>
      </c>
      <c r="K96" s="67">
        <v>0.11827956989247312</v>
      </c>
      <c r="L96" s="67">
        <v>0.12903225806451613</v>
      </c>
      <c r="M96" s="67">
        <v>0.29123711340206188</v>
      </c>
      <c r="N96" s="67">
        <v>0.19072164948453607</v>
      </c>
      <c r="O96" s="67">
        <v>0.55752212389380529</v>
      </c>
      <c r="P96" s="67">
        <v>0.40540540540540543</v>
      </c>
      <c r="Q96" s="67">
        <v>0.41013824884792627</v>
      </c>
    </row>
    <row r="97" spans="1:17" x14ac:dyDescent="0.4">
      <c r="A97" s="69">
        <v>94</v>
      </c>
      <c r="B97" s="66">
        <v>-44.799999999999983</v>
      </c>
      <c r="C97" s="66">
        <v>-0.47659574468085086</v>
      </c>
      <c r="D97" s="71">
        <v>2.0531914893617023</v>
      </c>
      <c r="E97" s="67">
        <v>0.2978723404255319</v>
      </c>
      <c r="F97" s="67">
        <v>0.35106382978723405</v>
      </c>
      <c r="G97" s="67">
        <v>0.28241335044929394</v>
      </c>
      <c r="H97" s="67">
        <v>0.17843388960205392</v>
      </c>
      <c r="I97" s="68">
        <v>9930</v>
      </c>
      <c r="J97" s="68">
        <v>-8467.625899280576</v>
      </c>
      <c r="K97" s="67">
        <v>0.11702127659574468</v>
      </c>
      <c r="L97" s="67">
        <v>0.13829787234042554</v>
      </c>
      <c r="M97" s="67">
        <v>0.29396662387676509</v>
      </c>
      <c r="N97" s="67">
        <v>0.18998716302952504</v>
      </c>
      <c r="O97" s="67">
        <v>0.5633187772925764</v>
      </c>
      <c r="P97" s="67">
        <v>0.40540540540540543</v>
      </c>
      <c r="Q97" s="67">
        <v>0.40909090909090912</v>
      </c>
    </row>
    <row r="98" spans="1:17" x14ac:dyDescent="0.4">
      <c r="A98" s="69">
        <v>95</v>
      </c>
      <c r="B98" s="66">
        <v>-1.8999999999999844</v>
      </c>
      <c r="C98" s="66">
        <v>-1.9999999999999834E-2</v>
      </c>
      <c r="D98" s="71">
        <v>2.0421052631578949</v>
      </c>
      <c r="E98" s="67">
        <v>0.30526315789473685</v>
      </c>
      <c r="F98" s="67">
        <v>0.3473684210526316</v>
      </c>
      <c r="G98" s="67">
        <v>0.28517110266159695</v>
      </c>
      <c r="H98" s="67">
        <v>0.17870722433460076</v>
      </c>
      <c r="I98" s="68">
        <v>9938.6666666666661</v>
      </c>
      <c r="J98" s="68">
        <v>-8431.9148936170204</v>
      </c>
      <c r="K98" s="67">
        <v>0.11578947368421053</v>
      </c>
      <c r="L98" s="67">
        <v>0.14736842105263157</v>
      </c>
      <c r="M98" s="67">
        <v>0.29404309252217997</v>
      </c>
      <c r="N98" s="67">
        <v>0.1926489226869455</v>
      </c>
      <c r="O98" s="67">
        <v>0.56465517241379315</v>
      </c>
      <c r="P98" s="67">
        <v>0.40789473684210525</v>
      </c>
      <c r="Q98" s="67">
        <v>0.40888888888888891</v>
      </c>
    </row>
    <row r="99" spans="1:17" x14ac:dyDescent="0.4">
      <c r="A99" s="69">
        <v>96</v>
      </c>
      <c r="B99" s="66">
        <v>-48.599999999999987</v>
      </c>
      <c r="C99" s="66">
        <v>-0.50624999999999987</v>
      </c>
      <c r="D99" s="71">
        <v>2.0520833333333335</v>
      </c>
      <c r="E99" s="67">
        <v>0.30208333333333331</v>
      </c>
      <c r="F99" s="67">
        <v>0.35416666666666669</v>
      </c>
      <c r="G99" s="67">
        <v>0.28339575530586769</v>
      </c>
      <c r="H99" s="67">
        <v>0.17852684144818975</v>
      </c>
      <c r="I99" s="68">
        <v>9990.7488986784138</v>
      </c>
      <c r="J99" s="68">
        <v>-8548.9510489510485</v>
      </c>
      <c r="K99" s="67">
        <v>0.11458333333333333</v>
      </c>
      <c r="L99" s="67">
        <v>0.14583333333333334</v>
      </c>
      <c r="M99" s="67">
        <v>0.2908863920099875</v>
      </c>
      <c r="N99" s="67">
        <v>0.19475655430711611</v>
      </c>
      <c r="O99" s="67">
        <v>0.5622317596566524</v>
      </c>
      <c r="P99" s="67">
        <v>0.41025641025641024</v>
      </c>
      <c r="Q99" s="67">
        <v>0.40528634361233479</v>
      </c>
    </row>
    <row r="100" spans="1:17" x14ac:dyDescent="0.4">
      <c r="A100" s="69">
        <v>97</v>
      </c>
      <c r="B100" s="66">
        <v>-49.399999999999984</v>
      </c>
      <c r="C100" s="66">
        <v>-0.50927835051546377</v>
      </c>
      <c r="D100" s="71">
        <v>2.0515463917525771</v>
      </c>
      <c r="E100" s="67">
        <v>0.29896907216494845</v>
      </c>
      <c r="F100" s="67">
        <v>0.35051546391752575</v>
      </c>
      <c r="G100" s="67">
        <v>0.28252788104089221</v>
      </c>
      <c r="H100" s="67">
        <v>0.17719950433705081</v>
      </c>
      <c r="I100" s="68">
        <v>9982.0175438596489</v>
      </c>
      <c r="J100" s="68">
        <v>-8548.9510489510485</v>
      </c>
      <c r="K100" s="67">
        <v>0.1134020618556701</v>
      </c>
      <c r="L100" s="67">
        <v>0.14432989690721648</v>
      </c>
      <c r="M100" s="67">
        <v>0.29120198265179675</v>
      </c>
      <c r="N100" s="67">
        <v>0.19454770755885997</v>
      </c>
      <c r="O100" s="67">
        <v>0.5617021276595745</v>
      </c>
      <c r="P100" s="67">
        <v>0.40764331210191085</v>
      </c>
      <c r="Q100" s="67">
        <v>0.40350877192982454</v>
      </c>
    </row>
    <row r="101" spans="1:17" x14ac:dyDescent="0.4">
      <c r="A101" s="69">
        <v>98</v>
      </c>
      <c r="B101" s="66">
        <v>22.600000000000016</v>
      </c>
      <c r="C101" s="66">
        <v>0.23061224489795934</v>
      </c>
      <c r="D101" s="71">
        <v>2.0408163265306123</v>
      </c>
      <c r="E101" s="67">
        <v>0.30612244897959184</v>
      </c>
      <c r="F101" s="67">
        <v>0.34693877551020408</v>
      </c>
      <c r="G101" s="67">
        <v>0.28518518518518521</v>
      </c>
      <c r="H101" s="67">
        <v>0.17654320987654321</v>
      </c>
      <c r="I101" s="68">
        <v>10060.173160173161</v>
      </c>
      <c r="J101" s="68">
        <v>-8548.9510489510485</v>
      </c>
      <c r="K101" s="67">
        <v>0.11224489795918367</v>
      </c>
      <c r="L101" s="67">
        <v>0.15306122448979592</v>
      </c>
      <c r="M101" s="67">
        <v>0.29259259259259257</v>
      </c>
      <c r="N101" s="67">
        <v>0.19382716049382717</v>
      </c>
      <c r="O101" s="67">
        <v>0.56540084388185652</v>
      </c>
      <c r="P101" s="67">
        <v>0.40764331210191085</v>
      </c>
      <c r="Q101" s="67">
        <v>0.40259740259740262</v>
      </c>
    </row>
    <row r="102" spans="1:17" x14ac:dyDescent="0.4">
      <c r="A102" s="69">
        <v>99</v>
      </c>
      <c r="B102" s="66">
        <v>-10.099999999999987</v>
      </c>
      <c r="C102" s="66">
        <v>-0.10202020202020189</v>
      </c>
      <c r="D102" s="71">
        <v>2.0505050505050506</v>
      </c>
      <c r="E102" s="67">
        <v>0.30303030303030304</v>
      </c>
      <c r="F102" s="67">
        <v>0.35353535353535354</v>
      </c>
      <c r="G102" s="67">
        <v>0.28414634146341461</v>
      </c>
      <c r="H102" s="67">
        <v>0.17682926829268292</v>
      </c>
      <c r="I102" s="68">
        <v>10025.321888412018</v>
      </c>
      <c r="J102" s="68">
        <v>-8497.9310344827591</v>
      </c>
      <c r="K102" s="67">
        <v>0.1111111111111111</v>
      </c>
      <c r="L102" s="67">
        <v>0.15151515151515152</v>
      </c>
      <c r="M102" s="67">
        <v>0.28902439024390242</v>
      </c>
      <c r="N102" s="67">
        <v>0.19390243902439025</v>
      </c>
      <c r="O102" s="67">
        <v>0.56540084388185652</v>
      </c>
      <c r="P102" s="67">
        <v>0.41509433962264153</v>
      </c>
      <c r="Q102" s="67">
        <v>0.40772532188841204</v>
      </c>
    </row>
    <row r="103" spans="1:17" x14ac:dyDescent="0.4">
      <c r="A103" s="69">
        <v>100</v>
      </c>
      <c r="B103" s="66">
        <v>-46.699999999999989</v>
      </c>
      <c r="C103" s="66">
        <v>-0.46699999999999986</v>
      </c>
      <c r="D103" s="71">
        <v>2.06</v>
      </c>
      <c r="E103" s="67">
        <v>0.3</v>
      </c>
      <c r="F103" s="67">
        <v>0.36</v>
      </c>
      <c r="G103" s="67">
        <v>0.28226779252110978</v>
      </c>
      <c r="H103" s="67">
        <v>0.1773220747889023</v>
      </c>
      <c r="I103" s="68">
        <v>9999.1452991452988</v>
      </c>
      <c r="J103" s="68">
        <v>-8448.299319727892</v>
      </c>
      <c r="K103" s="67">
        <v>0.11</v>
      </c>
      <c r="L103" s="67">
        <v>0.15</v>
      </c>
      <c r="M103" s="67">
        <v>0.28829915560916769</v>
      </c>
      <c r="N103" s="67">
        <v>0.19662243667068757</v>
      </c>
      <c r="O103" s="67">
        <v>0.56485355648535562</v>
      </c>
      <c r="P103" s="67">
        <v>0.40490797546012269</v>
      </c>
      <c r="Q103" s="67">
        <v>0.40598290598290598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3B148-5FE5-4533-B55C-576C47F3F382}">
  <sheetPr codeName="Sheet12"/>
  <dimension ref="A1:Q14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  <row r="79" spans="1:17" x14ac:dyDescent="0.4">
      <c r="A79" s="69">
        <v>76</v>
      </c>
      <c r="B79" s="66">
        <v>-1183.9999999999998</v>
      </c>
      <c r="C79" s="66">
        <v>-15.57894736842105</v>
      </c>
      <c r="D79" s="71">
        <v>2.263157894736842</v>
      </c>
      <c r="E79" s="67">
        <v>0.23684210526315788</v>
      </c>
      <c r="F79" s="67">
        <v>0.5</v>
      </c>
      <c r="G79" s="67">
        <v>0.23064770932069512</v>
      </c>
      <c r="H79" s="67">
        <v>0.19273301737756715</v>
      </c>
      <c r="I79" s="68">
        <v>8984.2465753424658</v>
      </c>
      <c r="J79" s="68">
        <v>-9299.1803278688531</v>
      </c>
      <c r="K79" s="67">
        <v>0.18421052631578946</v>
      </c>
      <c r="L79" s="67">
        <v>0.10526315789473684</v>
      </c>
      <c r="M79" s="67">
        <v>0.28120063191153238</v>
      </c>
      <c r="N79" s="67">
        <v>0.15797788309636651</v>
      </c>
      <c r="O79" s="67">
        <v>0.5112359550561798</v>
      </c>
      <c r="P79" s="67">
        <v>0.23</v>
      </c>
      <c r="Q79" s="67">
        <v>0.4589041095890411</v>
      </c>
    </row>
    <row r="80" spans="1:17" x14ac:dyDescent="0.4">
      <c r="A80" s="69">
        <v>77</v>
      </c>
      <c r="B80" s="66">
        <v>-1135.9999999999998</v>
      </c>
      <c r="C80" s="66">
        <v>-14.753246753246751</v>
      </c>
      <c r="D80" s="71">
        <v>2.2467532467532467</v>
      </c>
      <c r="E80" s="67">
        <v>0.24675324675324675</v>
      </c>
      <c r="F80" s="67">
        <v>0.4935064935064935</v>
      </c>
      <c r="G80" s="67">
        <v>0.23556942277691106</v>
      </c>
      <c r="H80" s="67">
        <v>0.19188767550702029</v>
      </c>
      <c r="I80" s="68">
        <v>8934.4370860927156</v>
      </c>
      <c r="J80" s="68">
        <v>-9255.2845528455291</v>
      </c>
      <c r="K80" s="67">
        <v>0.18181818181818182</v>
      </c>
      <c r="L80" s="67">
        <v>0.1038961038961039</v>
      </c>
      <c r="M80" s="67">
        <v>0.28237129485179407</v>
      </c>
      <c r="N80" s="67">
        <v>0.15600624024960999</v>
      </c>
      <c r="O80" s="67">
        <v>0.51933701657458564</v>
      </c>
      <c r="P80" s="67">
        <v>0.23</v>
      </c>
      <c r="Q80" s="67">
        <v>0.45695364238410596</v>
      </c>
    </row>
    <row r="81" spans="1:17" x14ac:dyDescent="0.4">
      <c r="A81" s="69">
        <v>78</v>
      </c>
      <c r="B81" s="66">
        <v>-1169.8999999999999</v>
      </c>
      <c r="C81" s="66">
        <v>-14.998717948717948</v>
      </c>
      <c r="D81" s="71">
        <v>2.2564102564102564</v>
      </c>
      <c r="E81" s="67">
        <v>0.24358974358974358</v>
      </c>
      <c r="F81" s="67">
        <v>0.5</v>
      </c>
      <c r="G81" s="67">
        <v>0.23538461538461539</v>
      </c>
      <c r="H81" s="67">
        <v>0.19076923076923077</v>
      </c>
      <c r="I81" s="68">
        <v>8882.3529411764703</v>
      </c>
      <c r="J81" s="68">
        <v>-9277.4193548387102</v>
      </c>
      <c r="K81" s="67">
        <v>0.17948717948717949</v>
      </c>
      <c r="L81" s="67">
        <v>0.10256410256410256</v>
      </c>
      <c r="M81" s="67">
        <v>0.28153846153846152</v>
      </c>
      <c r="N81" s="67">
        <v>0.15538461538461537</v>
      </c>
      <c r="O81" s="67">
        <v>0.51912568306010931</v>
      </c>
      <c r="P81" s="67">
        <v>0.23762376237623761</v>
      </c>
      <c r="Q81" s="67">
        <v>0.45751633986928103</v>
      </c>
    </row>
    <row r="82" spans="1:17" x14ac:dyDescent="0.4">
      <c r="A82" s="69">
        <v>79</v>
      </c>
      <c r="B82" s="66">
        <v>-1226.5999999999999</v>
      </c>
      <c r="C82" s="66">
        <v>-15.526582278481012</v>
      </c>
      <c r="D82" s="71">
        <v>2.2658227848101267</v>
      </c>
      <c r="E82" s="67">
        <v>0.24050632911392406</v>
      </c>
      <c r="F82" s="67">
        <v>0.50632911392405067</v>
      </c>
      <c r="G82" s="67">
        <v>0.23404255319148937</v>
      </c>
      <c r="H82" s="67">
        <v>0.19300911854103345</v>
      </c>
      <c r="I82" s="68">
        <v>8833.1168831168834</v>
      </c>
      <c r="J82" s="68">
        <v>-9254.3307086614168</v>
      </c>
      <c r="K82" s="67">
        <v>0.189873417721519</v>
      </c>
      <c r="L82" s="67">
        <v>0.10126582278481013</v>
      </c>
      <c r="M82" s="67">
        <v>0.27811550151975684</v>
      </c>
      <c r="N82" s="67">
        <v>0.15501519756838905</v>
      </c>
      <c r="O82" s="67">
        <v>0.51912568306010931</v>
      </c>
      <c r="P82" s="67">
        <v>0.23529411764705882</v>
      </c>
      <c r="Q82" s="67">
        <v>0.45454545454545453</v>
      </c>
    </row>
    <row r="83" spans="1:17" x14ac:dyDescent="0.4">
      <c r="A83" s="69">
        <v>80</v>
      </c>
      <c r="B83" s="66">
        <v>-1201</v>
      </c>
      <c r="C83" s="66">
        <v>-15.012499999999999</v>
      </c>
      <c r="D83" s="71">
        <v>2.25</v>
      </c>
      <c r="E83" s="67">
        <v>0.25</v>
      </c>
      <c r="F83" s="67">
        <v>0.5</v>
      </c>
      <c r="G83" s="67">
        <v>0.23423423423423423</v>
      </c>
      <c r="H83" s="67">
        <v>0.19219219219219219</v>
      </c>
      <c r="I83" s="68">
        <v>8818.5897435897441</v>
      </c>
      <c r="J83" s="68">
        <v>-9244.53125</v>
      </c>
      <c r="K83" s="67">
        <v>0.1875</v>
      </c>
      <c r="L83" s="67">
        <v>0.1</v>
      </c>
      <c r="M83" s="67">
        <v>0.27777777777777779</v>
      </c>
      <c r="N83" s="67">
        <v>0.15915915915915915</v>
      </c>
      <c r="O83" s="67">
        <v>0.51891891891891895</v>
      </c>
      <c r="P83" s="67">
        <v>0.23584905660377359</v>
      </c>
      <c r="Q83" s="67">
        <v>0.45512820512820512</v>
      </c>
    </row>
    <row r="84" spans="1:17" x14ac:dyDescent="0.4">
      <c r="A84" s="69">
        <v>81</v>
      </c>
      <c r="B84" s="66">
        <v>-1265.7</v>
      </c>
      <c r="C84" s="66">
        <v>-15.625925925925927</v>
      </c>
      <c r="D84" s="71">
        <v>2.2592592592592591</v>
      </c>
      <c r="E84" s="67">
        <v>0.24691358024691357</v>
      </c>
      <c r="F84" s="67">
        <v>0.50617283950617287</v>
      </c>
      <c r="G84" s="67">
        <v>0.2314540059347181</v>
      </c>
      <c r="H84" s="67">
        <v>0.19287833827893175</v>
      </c>
      <c r="I84" s="68">
        <v>8818.5897435897441</v>
      </c>
      <c r="J84" s="68">
        <v>-9243.8461538461543</v>
      </c>
      <c r="K84" s="67">
        <v>0.19753086419753085</v>
      </c>
      <c r="L84" s="67">
        <v>9.8765432098765427E-2</v>
      </c>
      <c r="M84" s="67">
        <v>0.27448071216617209</v>
      </c>
      <c r="N84" s="67">
        <v>0.16172106824925817</v>
      </c>
      <c r="O84" s="67">
        <v>0.51891891891891895</v>
      </c>
      <c r="P84" s="67">
        <v>0.22935779816513763</v>
      </c>
      <c r="Q84" s="67">
        <v>0.45512820512820512</v>
      </c>
    </row>
    <row r="85" spans="1:17" x14ac:dyDescent="0.4">
      <c r="A85" s="69">
        <v>82</v>
      </c>
      <c r="B85" s="66">
        <v>-1267.2</v>
      </c>
      <c r="C85" s="66">
        <v>-15.453658536585367</v>
      </c>
      <c r="D85" s="71">
        <v>2.2560975609756095</v>
      </c>
      <c r="E85" s="67">
        <v>0.24390243902439024</v>
      </c>
      <c r="F85" s="67">
        <v>0.5</v>
      </c>
      <c r="G85" s="67">
        <v>0.23065693430656933</v>
      </c>
      <c r="H85" s="67">
        <v>0.19270072992700729</v>
      </c>
      <c r="I85" s="68">
        <v>8856.32911392405</v>
      </c>
      <c r="J85" s="68">
        <v>-9184.0909090909099</v>
      </c>
      <c r="K85" s="67">
        <v>0.1951219512195122</v>
      </c>
      <c r="L85" s="67">
        <v>9.7560975609756101E-2</v>
      </c>
      <c r="M85" s="67">
        <v>0.27299270072992698</v>
      </c>
      <c r="N85" s="67">
        <v>0.1635036496350365</v>
      </c>
      <c r="O85" s="67">
        <v>0.52406417112299464</v>
      </c>
      <c r="P85" s="67">
        <v>0.22321428571428573</v>
      </c>
      <c r="Q85" s="67">
        <v>0.45569620253164556</v>
      </c>
    </row>
    <row r="86" spans="1:17" x14ac:dyDescent="0.4">
      <c r="A86" s="69">
        <v>83</v>
      </c>
      <c r="B86" s="66">
        <v>-1270.6000000000001</v>
      </c>
      <c r="C86" s="66">
        <v>-15.308433734939761</v>
      </c>
      <c r="D86" s="71">
        <v>2.2530120481927711</v>
      </c>
      <c r="E86" s="67">
        <v>0.24096385542168675</v>
      </c>
      <c r="F86" s="67">
        <v>0.49397590361445781</v>
      </c>
      <c r="G86" s="67">
        <v>0.23088023088023088</v>
      </c>
      <c r="H86" s="67">
        <v>0.19336219336219337</v>
      </c>
      <c r="I86" s="68">
        <v>8826.25</v>
      </c>
      <c r="J86" s="68">
        <v>-9076.8656716417918</v>
      </c>
      <c r="K86" s="67">
        <v>0.19277108433734941</v>
      </c>
      <c r="L86" s="67">
        <v>9.6385542168674704E-2</v>
      </c>
      <c r="M86" s="67">
        <v>0.27272727272727271</v>
      </c>
      <c r="N86" s="67">
        <v>0.16450216450216451</v>
      </c>
      <c r="O86" s="67">
        <v>0.52380952380952384</v>
      </c>
      <c r="P86" s="67">
        <v>0.22807017543859648</v>
      </c>
      <c r="Q86" s="67">
        <v>0.45624999999999999</v>
      </c>
    </row>
    <row r="87" spans="1:17" x14ac:dyDescent="0.4">
      <c r="A87" s="69">
        <v>84</v>
      </c>
      <c r="B87" s="66">
        <v>-1264.8000000000002</v>
      </c>
      <c r="C87" s="66">
        <v>-15.057142857142859</v>
      </c>
      <c r="D87" s="71">
        <v>2.25</v>
      </c>
      <c r="E87" s="67">
        <v>0.23809523809523808</v>
      </c>
      <c r="F87" s="67">
        <v>0.48809523809523808</v>
      </c>
      <c r="G87" s="67">
        <v>0.23229461756373937</v>
      </c>
      <c r="H87" s="67">
        <v>0.19263456090651557</v>
      </c>
      <c r="I87" s="68">
        <v>8782.3170731707323</v>
      </c>
      <c r="J87" s="68">
        <v>-9042.6470588235297</v>
      </c>
      <c r="K87" s="67">
        <v>0.19047619047619047</v>
      </c>
      <c r="L87" s="67">
        <v>9.5238095238095233E-2</v>
      </c>
      <c r="M87" s="67">
        <v>0.27620396600566571</v>
      </c>
      <c r="N87" s="67">
        <v>0.1643059490084986</v>
      </c>
      <c r="O87" s="67">
        <v>0.52820512820512822</v>
      </c>
      <c r="P87" s="67">
        <v>0.22413793103448276</v>
      </c>
      <c r="Q87" s="67">
        <v>0.45731707317073172</v>
      </c>
    </row>
    <row r="88" spans="1:17" x14ac:dyDescent="0.4">
      <c r="A88" s="69">
        <v>85</v>
      </c>
      <c r="B88" s="66">
        <v>-1322.1000000000001</v>
      </c>
      <c r="C88" s="66">
        <v>-15.554117647058826</v>
      </c>
      <c r="D88" s="71">
        <v>2.2588235294117647</v>
      </c>
      <c r="E88" s="67">
        <v>0.23529411764705882</v>
      </c>
      <c r="F88" s="67">
        <v>0.49411764705882355</v>
      </c>
      <c r="G88" s="67">
        <v>0.23109243697478993</v>
      </c>
      <c r="H88" s="67">
        <v>0.19467787114845939</v>
      </c>
      <c r="I88" s="68">
        <v>8761.2121212121219</v>
      </c>
      <c r="J88" s="68">
        <v>-9028.0575539568345</v>
      </c>
      <c r="K88" s="67">
        <v>0.2</v>
      </c>
      <c r="L88" s="67">
        <v>9.4117647058823528E-2</v>
      </c>
      <c r="M88" s="67">
        <v>0.27591036414565828</v>
      </c>
      <c r="N88" s="67">
        <v>0.1638655462184874</v>
      </c>
      <c r="O88" s="67">
        <v>0.52284263959390864</v>
      </c>
      <c r="P88" s="67">
        <v>0.23076923076923078</v>
      </c>
      <c r="Q88" s="67">
        <v>0.46060606060606063</v>
      </c>
    </row>
    <row r="89" spans="1:17" x14ac:dyDescent="0.4">
      <c r="A89" s="69">
        <v>86</v>
      </c>
      <c r="B89" s="66">
        <v>-1272.1000000000001</v>
      </c>
      <c r="C89" s="66">
        <v>-14.791860465116281</v>
      </c>
      <c r="D89" s="71">
        <v>2.2441860465116279</v>
      </c>
      <c r="E89" s="67">
        <v>0.2441860465116279</v>
      </c>
      <c r="F89" s="67">
        <v>0.48837209302325579</v>
      </c>
      <c r="G89" s="67">
        <v>0.23472222222222222</v>
      </c>
      <c r="H89" s="67">
        <v>0.19583333333333333</v>
      </c>
      <c r="I89" s="68">
        <v>8861.538461538461</v>
      </c>
      <c r="J89" s="68">
        <v>-9070.2127659574471</v>
      </c>
      <c r="K89" s="67">
        <v>0.19767441860465115</v>
      </c>
      <c r="L89" s="67">
        <v>0.10465116279069768</v>
      </c>
      <c r="M89" s="67">
        <v>0.27638888888888891</v>
      </c>
      <c r="N89" s="67">
        <v>0.16666666666666666</v>
      </c>
      <c r="O89" s="67">
        <v>0.52763819095477382</v>
      </c>
      <c r="P89" s="67">
        <v>0.24166666666666667</v>
      </c>
      <c r="Q89" s="67">
        <v>0.44970414201183434</v>
      </c>
    </row>
    <row r="90" spans="1:17" x14ac:dyDescent="0.4">
      <c r="A90" s="69">
        <v>87</v>
      </c>
      <c r="B90" s="66">
        <v>-1283.8000000000002</v>
      </c>
      <c r="C90" s="66">
        <v>-14.756321839080462</v>
      </c>
      <c r="D90" s="71">
        <v>2.2413793103448274</v>
      </c>
      <c r="E90" s="67">
        <v>0.2413793103448276</v>
      </c>
      <c r="F90" s="67">
        <v>0.48275862068965519</v>
      </c>
      <c r="G90" s="67">
        <v>0.23415977961432508</v>
      </c>
      <c r="H90" s="67">
        <v>0.19421487603305784</v>
      </c>
      <c r="I90" s="68">
        <v>8877.6470588235297</v>
      </c>
      <c r="J90" s="68">
        <v>-9070.2127659574471</v>
      </c>
      <c r="K90" s="67">
        <v>0.19540229885057472</v>
      </c>
      <c r="L90" s="67">
        <v>0.10344827586206896</v>
      </c>
      <c r="M90" s="67">
        <v>0.27961432506887052</v>
      </c>
      <c r="N90" s="67">
        <v>0.16528925619834711</v>
      </c>
      <c r="O90" s="67">
        <v>0.52216748768472909</v>
      </c>
      <c r="P90" s="67">
        <v>0.24166666666666667</v>
      </c>
      <c r="Q90" s="67">
        <v>0.44705882352941179</v>
      </c>
    </row>
    <row r="91" spans="1:17" x14ac:dyDescent="0.4">
      <c r="A91" s="69">
        <v>88</v>
      </c>
      <c r="B91" s="66">
        <v>-1241.1000000000001</v>
      </c>
      <c r="C91" s="66">
        <v>-14.103409090909093</v>
      </c>
      <c r="D91" s="71">
        <v>2.2272727272727271</v>
      </c>
      <c r="E91" s="67">
        <v>0.25</v>
      </c>
      <c r="F91" s="67">
        <v>0.47727272727272729</v>
      </c>
      <c r="G91" s="67">
        <v>0.23777173913043478</v>
      </c>
      <c r="H91" s="67">
        <v>0.19429347826086957</v>
      </c>
      <c r="I91" s="68">
        <v>8818.2857142857138</v>
      </c>
      <c r="J91" s="68">
        <v>-9054.545454545454</v>
      </c>
      <c r="K91" s="67">
        <v>0.19318181818181818</v>
      </c>
      <c r="L91" s="67">
        <v>0.10227272727272728</v>
      </c>
      <c r="M91" s="67">
        <v>0.28396739130434784</v>
      </c>
      <c r="N91" s="67">
        <v>0.16440217391304349</v>
      </c>
      <c r="O91" s="67">
        <v>0.52153110047846885</v>
      </c>
      <c r="P91" s="67">
        <v>0.24793388429752067</v>
      </c>
      <c r="Q91" s="67">
        <v>0.43428571428571427</v>
      </c>
    </row>
    <row r="92" spans="1:17" x14ac:dyDescent="0.4">
      <c r="A92" s="69">
        <v>89</v>
      </c>
      <c r="B92" s="66">
        <v>-1288.1000000000001</v>
      </c>
      <c r="C92" s="66">
        <v>-14.47303370786517</v>
      </c>
      <c r="D92" s="71">
        <v>2.2359550561797752</v>
      </c>
      <c r="E92" s="67">
        <v>0.24719101123595505</v>
      </c>
      <c r="F92" s="67">
        <v>0.48314606741573035</v>
      </c>
      <c r="G92" s="67">
        <v>0.23790322580645162</v>
      </c>
      <c r="H92" s="67">
        <v>0.19489247311827956</v>
      </c>
      <c r="I92" s="68">
        <v>8809.0395480225998</v>
      </c>
      <c r="J92" s="68">
        <v>-9233.1034482758623</v>
      </c>
      <c r="K92" s="67">
        <v>0.19101123595505617</v>
      </c>
      <c r="L92" s="67">
        <v>0.10112359550561797</v>
      </c>
      <c r="M92" s="67">
        <v>0.28629032258064518</v>
      </c>
      <c r="N92" s="67">
        <v>0.16263440860215053</v>
      </c>
      <c r="O92" s="67">
        <v>0.52112676056338025</v>
      </c>
      <c r="P92" s="67">
        <v>0.24793388429752067</v>
      </c>
      <c r="Q92" s="67">
        <v>0.42937853107344631</v>
      </c>
    </row>
    <row r="93" spans="1:17" x14ac:dyDescent="0.4">
      <c r="A93" s="69">
        <v>90</v>
      </c>
      <c r="B93" s="66">
        <v>-1324.2</v>
      </c>
      <c r="C93" s="66">
        <v>-14.713333333333335</v>
      </c>
      <c r="D93" s="71">
        <v>2.2444444444444445</v>
      </c>
      <c r="E93" s="67">
        <v>0.24444444444444444</v>
      </c>
      <c r="F93" s="67">
        <v>0.48888888888888887</v>
      </c>
      <c r="G93" s="67">
        <v>0.2381578947368421</v>
      </c>
      <c r="H93" s="67">
        <v>0.19210526315789472</v>
      </c>
      <c r="I93" s="68">
        <v>8701.1049723756914</v>
      </c>
      <c r="J93" s="68">
        <v>-9189.7260273972606</v>
      </c>
      <c r="K93" s="67">
        <v>0.18888888888888888</v>
      </c>
      <c r="L93" s="67">
        <v>0.1</v>
      </c>
      <c r="M93" s="67">
        <v>0.28026315789473683</v>
      </c>
      <c r="N93" s="67">
        <v>0.16052631578947368</v>
      </c>
      <c r="O93" s="67">
        <v>0.52112676056338025</v>
      </c>
      <c r="P93" s="67">
        <v>0.25409836065573771</v>
      </c>
      <c r="Q93" s="67">
        <v>0.43093922651933703</v>
      </c>
    </row>
    <row r="94" spans="1:17" x14ac:dyDescent="0.4">
      <c r="A94" s="69">
        <v>91</v>
      </c>
      <c r="B94" s="66">
        <v>-1253.1000000000001</v>
      </c>
      <c r="C94" s="66">
        <v>-13.770329670329671</v>
      </c>
      <c r="D94" s="71">
        <v>2.2307692307692308</v>
      </c>
      <c r="E94" s="67">
        <v>0.25274725274725274</v>
      </c>
      <c r="F94" s="67">
        <v>0.48351648351648352</v>
      </c>
      <c r="G94" s="67">
        <v>0.24119947848761408</v>
      </c>
      <c r="H94" s="67">
        <v>0.19035202086049544</v>
      </c>
      <c r="I94" s="68">
        <v>8782.7027027027034</v>
      </c>
      <c r="J94" s="68">
        <v>-9189.7260273972606</v>
      </c>
      <c r="K94" s="67">
        <v>0.18681318681318682</v>
      </c>
      <c r="L94" s="67">
        <v>0.10989010989010989</v>
      </c>
      <c r="M94" s="67">
        <v>0.28031290743155152</v>
      </c>
      <c r="N94" s="67">
        <v>0.16166883963494133</v>
      </c>
      <c r="O94" s="67">
        <v>0.52093023255813953</v>
      </c>
      <c r="P94" s="67">
        <v>0.25</v>
      </c>
      <c r="Q94" s="67">
        <v>0.42702702702702705</v>
      </c>
    </row>
    <row r="95" spans="1:17" x14ac:dyDescent="0.4">
      <c r="A95" s="69">
        <v>92</v>
      </c>
      <c r="B95" s="66">
        <v>-1291.9000000000001</v>
      </c>
      <c r="C95" s="66">
        <v>-14.042391304347827</v>
      </c>
      <c r="D95" s="71">
        <v>2.2391304347826089</v>
      </c>
      <c r="E95" s="67">
        <v>0.25</v>
      </c>
      <c r="F95" s="67">
        <v>0.4891304347826087</v>
      </c>
      <c r="G95" s="67">
        <v>0.24289405684754523</v>
      </c>
      <c r="H95" s="67">
        <v>0.18992248062015504</v>
      </c>
      <c r="I95" s="68">
        <v>8755.3191489361707</v>
      </c>
      <c r="J95" s="68">
        <v>-9236.0544217687075</v>
      </c>
      <c r="K95" s="67">
        <v>0.18478260869565216</v>
      </c>
      <c r="L95" s="67">
        <v>0.10869565217391304</v>
      </c>
      <c r="M95" s="67">
        <v>0.27777777777777779</v>
      </c>
      <c r="N95" s="67">
        <v>0.16020671834625322</v>
      </c>
      <c r="O95" s="67">
        <v>0.52093023255813953</v>
      </c>
      <c r="P95" s="67">
        <v>0.25</v>
      </c>
      <c r="Q95" s="67">
        <v>0.42553191489361702</v>
      </c>
    </row>
    <row r="96" spans="1:17" x14ac:dyDescent="0.4">
      <c r="A96" s="69">
        <v>93</v>
      </c>
      <c r="B96" s="66">
        <v>-1348.9</v>
      </c>
      <c r="C96" s="66">
        <v>-14.504301075268819</v>
      </c>
      <c r="D96" s="71">
        <v>2.247311827956989</v>
      </c>
      <c r="E96" s="67">
        <v>0.24731182795698925</v>
      </c>
      <c r="F96" s="67">
        <v>0.4946236559139785</v>
      </c>
      <c r="G96" s="67">
        <v>0.2416452442159383</v>
      </c>
      <c r="H96" s="67">
        <v>0.18894601542416453</v>
      </c>
      <c r="I96" s="68">
        <v>8755.3191489361707</v>
      </c>
      <c r="J96" s="68">
        <v>-9236.0544217687075</v>
      </c>
      <c r="K96" s="67">
        <v>0.19354838709677419</v>
      </c>
      <c r="L96" s="67">
        <v>0.10752688172043011</v>
      </c>
      <c r="M96" s="67">
        <v>0.2763496143958869</v>
      </c>
      <c r="N96" s="67">
        <v>0.15938303341902313</v>
      </c>
      <c r="O96" s="67">
        <v>0.52093023255813953</v>
      </c>
      <c r="P96" s="67">
        <v>0.25</v>
      </c>
      <c r="Q96" s="67">
        <v>0.42553191489361702</v>
      </c>
    </row>
    <row r="97" spans="1:17" x14ac:dyDescent="0.4">
      <c r="A97" s="69">
        <v>94</v>
      </c>
      <c r="B97" s="66">
        <v>-1306.3000000000002</v>
      </c>
      <c r="C97" s="66">
        <v>-13.8968085106383</v>
      </c>
      <c r="D97" s="71">
        <v>2.2340425531914891</v>
      </c>
      <c r="E97" s="67">
        <v>0.25531914893617019</v>
      </c>
      <c r="F97" s="67">
        <v>0.48936170212765956</v>
      </c>
      <c r="G97" s="67">
        <v>0.24585987261146497</v>
      </c>
      <c r="H97" s="67">
        <v>0.18726114649681527</v>
      </c>
      <c r="I97" s="68">
        <v>8661.1398963730571</v>
      </c>
      <c r="J97" s="68">
        <v>-9236.0544217687075</v>
      </c>
      <c r="K97" s="67">
        <v>0.19148936170212766</v>
      </c>
      <c r="L97" s="67">
        <v>0.10638297872340426</v>
      </c>
      <c r="M97" s="67">
        <v>0.27643312101910827</v>
      </c>
      <c r="N97" s="67">
        <v>0.16305732484076432</v>
      </c>
      <c r="O97" s="67">
        <v>0.52073732718894006</v>
      </c>
      <c r="P97" s="67">
        <v>0.265625</v>
      </c>
      <c r="Q97" s="67">
        <v>0.42487046632124353</v>
      </c>
    </row>
    <row r="98" spans="1:17" x14ac:dyDescent="0.4">
      <c r="A98" s="69">
        <v>95</v>
      </c>
      <c r="B98" s="66">
        <v>-1362.6000000000001</v>
      </c>
      <c r="C98" s="66">
        <v>-14.343157894736844</v>
      </c>
      <c r="D98" s="71">
        <v>2.2421052631578946</v>
      </c>
      <c r="E98" s="67">
        <v>0.25263157894736843</v>
      </c>
      <c r="F98" s="67">
        <v>0.49473684210526314</v>
      </c>
      <c r="G98" s="67">
        <v>0.24464060529634299</v>
      </c>
      <c r="H98" s="67">
        <v>0.19167717528373265</v>
      </c>
      <c r="I98" s="68">
        <v>8643.2989690721643</v>
      </c>
      <c r="J98" s="68">
        <v>-9165.78947368421</v>
      </c>
      <c r="K98" s="67">
        <v>0.2</v>
      </c>
      <c r="L98" s="67">
        <v>0.10526315789473684</v>
      </c>
      <c r="M98" s="67">
        <v>0.27490542244640603</v>
      </c>
      <c r="N98" s="67">
        <v>0.16393442622950818</v>
      </c>
      <c r="O98" s="67">
        <v>0.52293577981651373</v>
      </c>
      <c r="P98" s="67">
        <v>0.26153846153846155</v>
      </c>
      <c r="Q98" s="67">
        <v>0.42268041237113402</v>
      </c>
    </row>
    <row r="99" spans="1:17" x14ac:dyDescent="0.4">
      <c r="A99" s="69">
        <v>96</v>
      </c>
      <c r="B99" s="66">
        <v>-1335.8000000000002</v>
      </c>
      <c r="C99" s="66">
        <v>-13.914583333333335</v>
      </c>
      <c r="D99" s="71">
        <v>2.2291666666666665</v>
      </c>
      <c r="E99" s="67">
        <v>0.26041666666666669</v>
      </c>
      <c r="F99" s="67">
        <v>0.48958333333333331</v>
      </c>
      <c r="G99" s="67">
        <v>0.2456359102244389</v>
      </c>
      <c r="H99" s="67">
        <v>0.19201995012468828</v>
      </c>
      <c r="I99" s="68">
        <v>8740.1015228426404</v>
      </c>
      <c r="J99" s="68">
        <v>-9226.6233766233763</v>
      </c>
      <c r="K99" s="67">
        <v>0.19791666666666666</v>
      </c>
      <c r="L99" s="67">
        <v>0.10416666666666667</v>
      </c>
      <c r="M99" s="67">
        <v>0.27306733167082292</v>
      </c>
      <c r="N99" s="67">
        <v>0.16583541147132169</v>
      </c>
      <c r="O99" s="67">
        <v>0.52511415525114158</v>
      </c>
      <c r="P99" s="67">
        <v>0.26315789473684209</v>
      </c>
      <c r="Q99" s="67">
        <v>0.42131979695431471</v>
      </c>
    </row>
    <row r="100" spans="1:17" x14ac:dyDescent="0.4">
      <c r="A100" s="69">
        <v>97</v>
      </c>
      <c r="B100" s="66">
        <v>-1299.4000000000001</v>
      </c>
      <c r="C100" s="66">
        <v>-13.395876288659794</v>
      </c>
      <c r="D100" s="71">
        <v>2.2164948453608249</v>
      </c>
      <c r="E100" s="67">
        <v>0.26804123711340205</v>
      </c>
      <c r="F100" s="67">
        <v>0.4845360824742268</v>
      </c>
      <c r="G100" s="67">
        <v>0.24752475247524752</v>
      </c>
      <c r="H100" s="67">
        <v>0.1905940594059406</v>
      </c>
      <c r="I100" s="68">
        <v>8715</v>
      </c>
      <c r="J100" s="68">
        <v>-9226.6233766233763</v>
      </c>
      <c r="K100" s="67">
        <v>0.19587628865979381</v>
      </c>
      <c r="L100" s="67">
        <v>0.10309278350515463</v>
      </c>
      <c r="M100" s="67">
        <v>0.27103960396039606</v>
      </c>
      <c r="N100" s="67">
        <v>0.16831683168316833</v>
      </c>
      <c r="O100" s="67">
        <v>0.52511415525114158</v>
      </c>
      <c r="P100" s="67">
        <v>0.27205882352941174</v>
      </c>
      <c r="Q100" s="67">
        <v>0.43</v>
      </c>
    </row>
    <row r="101" spans="1:17" x14ac:dyDescent="0.4">
      <c r="A101" s="69">
        <v>98</v>
      </c>
      <c r="B101" s="66">
        <v>-1305.7</v>
      </c>
      <c r="C101" s="66">
        <v>-13.323469387755102</v>
      </c>
      <c r="D101" s="71">
        <v>2.2142857142857144</v>
      </c>
      <c r="E101" s="67">
        <v>0.26530612244897961</v>
      </c>
      <c r="F101" s="67">
        <v>0.47959183673469385</v>
      </c>
      <c r="G101" s="67">
        <v>0.24725943970767356</v>
      </c>
      <c r="H101" s="67">
        <v>0.1900121802679659</v>
      </c>
      <c r="I101" s="68">
        <v>8733.9901477832518</v>
      </c>
      <c r="J101" s="68">
        <v>-9167.3076923076915</v>
      </c>
      <c r="K101" s="67">
        <v>0.19387755102040816</v>
      </c>
      <c r="L101" s="67">
        <v>0.10204081632653061</v>
      </c>
      <c r="M101" s="67">
        <v>0.27161997563946405</v>
      </c>
      <c r="N101" s="67">
        <v>0.17052375152253349</v>
      </c>
      <c r="O101" s="67">
        <v>0.52017937219730936</v>
      </c>
      <c r="P101" s="67">
        <v>0.27857142857142858</v>
      </c>
      <c r="Q101" s="67">
        <v>0.43842364532019706</v>
      </c>
    </row>
    <row r="102" spans="1:17" x14ac:dyDescent="0.4">
      <c r="A102" s="69">
        <v>99</v>
      </c>
      <c r="B102" s="66">
        <v>-1267.5</v>
      </c>
      <c r="C102" s="66">
        <v>-12.803030303030303</v>
      </c>
      <c r="D102" s="71">
        <v>2.202020202020202</v>
      </c>
      <c r="E102" s="67">
        <v>0.27272727272727271</v>
      </c>
      <c r="F102" s="67">
        <v>0.47474747474747475</v>
      </c>
      <c r="G102" s="67">
        <v>0.24849215922798554</v>
      </c>
      <c r="H102" s="67">
        <v>0.1881785283474065</v>
      </c>
      <c r="I102" s="68">
        <v>8741.2621359223303</v>
      </c>
      <c r="J102" s="68">
        <v>-9167.3076923076915</v>
      </c>
      <c r="K102" s="67">
        <v>0.19191919191919191</v>
      </c>
      <c r="L102" s="67">
        <v>0.10101010101010101</v>
      </c>
      <c r="M102" s="67">
        <v>0.27382388419782872</v>
      </c>
      <c r="N102" s="67">
        <v>0.17008443908323281</v>
      </c>
      <c r="O102" s="67">
        <v>0.51982378854625555</v>
      </c>
      <c r="P102" s="67">
        <v>0.27659574468085107</v>
      </c>
      <c r="Q102" s="67">
        <v>0.44660194174757284</v>
      </c>
    </row>
    <row r="103" spans="1:17" x14ac:dyDescent="0.4">
      <c r="A103" s="69">
        <v>100</v>
      </c>
      <c r="B103" s="66">
        <v>-1255.3</v>
      </c>
      <c r="C103" s="66">
        <v>-12.552999999999999</v>
      </c>
      <c r="D103" s="71">
        <v>2.2000000000000002</v>
      </c>
      <c r="E103" s="67">
        <v>0.27</v>
      </c>
      <c r="F103" s="67">
        <v>0.47</v>
      </c>
      <c r="G103" s="67">
        <v>0.24910607866507747</v>
      </c>
      <c r="H103" s="67">
        <v>0.18712753277711561</v>
      </c>
      <c r="I103" s="68">
        <v>8788.0382775119615</v>
      </c>
      <c r="J103" s="68">
        <v>-9115.2866242038217</v>
      </c>
      <c r="K103" s="67">
        <v>0.19</v>
      </c>
      <c r="L103" s="67">
        <v>0.1</v>
      </c>
      <c r="M103" s="67">
        <v>0.27413587604290823</v>
      </c>
      <c r="N103" s="67">
        <v>0.17401668653158522</v>
      </c>
      <c r="O103" s="67">
        <v>0.52173913043478259</v>
      </c>
      <c r="P103" s="67">
        <v>0.27397260273972601</v>
      </c>
      <c r="Q103" s="67">
        <v>0.44497607655502391</v>
      </c>
    </row>
    <row r="104" spans="1:17" x14ac:dyDescent="0.4">
      <c r="A104" s="69">
        <v>101</v>
      </c>
      <c r="B104" s="66">
        <v>-1246.3</v>
      </c>
      <c r="C104" s="66">
        <v>-12.339603960396039</v>
      </c>
      <c r="D104" s="71">
        <v>2.1980198019801982</v>
      </c>
      <c r="E104" s="67">
        <v>0.26732673267326734</v>
      </c>
      <c r="F104" s="67">
        <v>0.46534653465346537</v>
      </c>
      <c r="G104" s="67">
        <v>0.25146886016451236</v>
      </c>
      <c r="H104" s="67">
        <v>0.18683901292596944</v>
      </c>
      <c r="I104" s="68">
        <v>8814.0186915887843</v>
      </c>
      <c r="J104" s="68">
        <v>-9200</v>
      </c>
      <c r="K104" s="67">
        <v>0.18811881188118812</v>
      </c>
      <c r="L104" s="67">
        <v>9.9009900990099015E-2</v>
      </c>
      <c r="M104" s="67">
        <v>0.27262044653348999</v>
      </c>
      <c r="N104" s="67">
        <v>0.1762632197414806</v>
      </c>
      <c r="O104" s="67">
        <v>0.52586206896551724</v>
      </c>
      <c r="P104" s="67">
        <v>0.28000000000000003</v>
      </c>
      <c r="Q104" s="67">
        <v>0.44859813084112149</v>
      </c>
    </row>
    <row r="105" spans="1:17" x14ac:dyDescent="0.4">
      <c r="A105" s="69">
        <v>102</v>
      </c>
      <c r="B105" s="66">
        <v>-1206.5</v>
      </c>
      <c r="C105" s="66">
        <v>-11.828431372549019</v>
      </c>
      <c r="D105" s="71">
        <v>2.1862745098039214</v>
      </c>
      <c r="E105" s="67">
        <v>0.27450980392156865</v>
      </c>
      <c r="F105" s="67">
        <v>0.46078431372549017</v>
      </c>
      <c r="G105" s="67">
        <v>0.25407925407925408</v>
      </c>
      <c r="H105" s="67">
        <v>0.18648018648018649</v>
      </c>
      <c r="I105" s="68">
        <v>8779.3577981651379</v>
      </c>
      <c r="J105" s="68">
        <v>-9166.875</v>
      </c>
      <c r="K105" s="67">
        <v>0.18627450980392157</v>
      </c>
      <c r="L105" s="67">
        <v>9.8039215686274508E-2</v>
      </c>
      <c r="M105" s="67">
        <v>0.27272727272727271</v>
      </c>
      <c r="N105" s="67">
        <v>0.17482517482517482</v>
      </c>
      <c r="O105" s="67">
        <v>0.52991452991452992</v>
      </c>
      <c r="P105" s="67">
        <v>0.28000000000000003</v>
      </c>
      <c r="Q105" s="67">
        <v>0.45871559633027525</v>
      </c>
    </row>
    <row r="106" spans="1:17" x14ac:dyDescent="0.4">
      <c r="A106" s="69">
        <v>103</v>
      </c>
      <c r="B106" s="66">
        <v>-1144.9000000000001</v>
      </c>
      <c r="C106" s="66">
        <v>-11.115533980582525</v>
      </c>
      <c r="D106" s="71">
        <v>2.174757281553398</v>
      </c>
      <c r="E106" s="67">
        <v>0.28155339805825241</v>
      </c>
      <c r="F106" s="67">
        <v>0.4563106796116505</v>
      </c>
      <c r="G106" s="67">
        <v>0.25573394495412843</v>
      </c>
      <c r="H106" s="67">
        <v>0.18692660550458715</v>
      </c>
      <c r="I106" s="68">
        <v>8813.4529147982066</v>
      </c>
      <c r="J106" s="68">
        <v>-9095.0920245398775</v>
      </c>
      <c r="K106" s="67">
        <v>0.18446601941747573</v>
      </c>
      <c r="L106" s="67">
        <v>9.7087378640776698E-2</v>
      </c>
      <c r="M106" s="67">
        <v>0.26949541284403672</v>
      </c>
      <c r="N106" s="67">
        <v>0.17545871559633028</v>
      </c>
      <c r="O106" s="67">
        <v>0.53191489361702127</v>
      </c>
      <c r="P106" s="67">
        <v>0.28104575163398693</v>
      </c>
      <c r="Q106" s="67">
        <v>0.452914798206278</v>
      </c>
    </row>
    <row r="107" spans="1:17" x14ac:dyDescent="0.4">
      <c r="A107" s="69">
        <v>104</v>
      </c>
      <c r="B107" s="66">
        <v>-1134.8000000000002</v>
      </c>
      <c r="C107" s="66">
        <v>-10.911538461538463</v>
      </c>
      <c r="D107" s="71">
        <v>2.1730769230769229</v>
      </c>
      <c r="E107" s="67">
        <v>0.27884615384615385</v>
      </c>
      <c r="F107" s="67">
        <v>0.45192307692307693</v>
      </c>
      <c r="G107" s="67">
        <v>0.25539160045402953</v>
      </c>
      <c r="H107" s="67">
        <v>0.18501702610669693</v>
      </c>
      <c r="I107" s="68">
        <v>8806.2222222222226</v>
      </c>
      <c r="J107" s="68">
        <v>-9095.0920245398775</v>
      </c>
      <c r="K107" s="67">
        <v>0.18269230769230768</v>
      </c>
      <c r="L107" s="67">
        <v>9.6153846153846159E-2</v>
      </c>
      <c r="M107" s="67">
        <v>0.26787741203178206</v>
      </c>
      <c r="N107" s="67">
        <v>0.17593643586833144</v>
      </c>
      <c r="O107" s="67">
        <v>0.52966101694915257</v>
      </c>
      <c r="P107" s="67">
        <v>0.27741935483870966</v>
      </c>
      <c r="Q107" s="67">
        <v>0.45777777777777778</v>
      </c>
    </row>
    <row r="108" spans="1:17" x14ac:dyDescent="0.4">
      <c r="A108" s="69">
        <v>105</v>
      </c>
      <c r="B108" s="66">
        <v>-1138.7000000000003</v>
      </c>
      <c r="C108" s="66">
        <v>-10.844761904761908</v>
      </c>
      <c r="D108" s="71">
        <v>2.1714285714285713</v>
      </c>
      <c r="E108" s="67">
        <v>0.27619047619047621</v>
      </c>
      <c r="F108" s="67">
        <v>0.44761904761904764</v>
      </c>
      <c r="G108" s="67">
        <v>0.2556053811659193</v>
      </c>
      <c r="H108" s="67">
        <v>0.18497757847533633</v>
      </c>
      <c r="I108" s="68">
        <v>8817.105263157895</v>
      </c>
      <c r="J108" s="68">
        <v>-9147.878787878788</v>
      </c>
      <c r="K108" s="67">
        <v>0.18095238095238095</v>
      </c>
      <c r="L108" s="67">
        <v>9.5238095238095233E-2</v>
      </c>
      <c r="M108" s="67">
        <v>0.26905829596412556</v>
      </c>
      <c r="N108" s="67">
        <v>0.17713004484304934</v>
      </c>
      <c r="O108" s="67">
        <v>0.52916666666666667</v>
      </c>
      <c r="P108" s="67">
        <v>0.27848101265822783</v>
      </c>
      <c r="Q108" s="67">
        <v>0.45614035087719296</v>
      </c>
    </row>
    <row r="109" spans="1:17" x14ac:dyDescent="0.4">
      <c r="A109" s="69">
        <v>106</v>
      </c>
      <c r="B109" s="66">
        <v>-1119.7000000000003</v>
      </c>
      <c r="C109" s="66">
        <v>-10.563207547169814</v>
      </c>
      <c r="D109" s="71">
        <v>2.1698113207547172</v>
      </c>
      <c r="E109" s="67">
        <v>0.27358490566037735</v>
      </c>
      <c r="F109" s="67">
        <v>0.44339622641509435</v>
      </c>
      <c r="G109" s="67">
        <v>0.25777777777777777</v>
      </c>
      <c r="H109" s="67">
        <v>0.18555555555555556</v>
      </c>
      <c r="I109" s="68">
        <v>8818.1034482758623</v>
      </c>
      <c r="J109" s="68">
        <v>-9158.0838323353291</v>
      </c>
      <c r="K109" s="67">
        <v>0.17924528301886791</v>
      </c>
      <c r="L109" s="67">
        <v>9.4339622641509441E-2</v>
      </c>
      <c r="M109" s="67">
        <v>0.26777777777777778</v>
      </c>
      <c r="N109" s="67">
        <v>0.17888888888888888</v>
      </c>
      <c r="O109" s="67">
        <v>0.53112033195020747</v>
      </c>
      <c r="P109" s="67">
        <v>0.2857142857142857</v>
      </c>
      <c r="Q109" s="67">
        <v>0.45258620689655171</v>
      </c>
    </row>
    <row r="110" spans="1:17" x14ac:dyDescent="0.4">
      <c r="A110" s="69">
        <v>107</v>
      </c>
      <c r="B110" s="66">
        <v>-1085.0000000000002</v>
      </c>
      <c r="C110" s="66">
        <v>-10.140186915887853</v>
      </c>
      <c r="D110" s="71">
        <v>2.1588785046728973</v>
      </c>
      <c r="E110" s="67">
        <v>0.28037383177570091</v>
      </c>
      <c r="F110" s="67">
        <v>0.43925233644859812</v>
      </c>
      <c r="G110" s="67">
        <v>0.25962596259625964</v>
      </c>
      <c r="H110" s="67">
        <v>0.18371837183718373</v>
      </c>
      <c r="I110" s="68">
        <v>8735.1694915254229</v>
      </c>
      <c r="J110" s="68">
        <v>-9158.0838323353291</v>
      </c>
      <c r="K110" s="67">
        <v>0.17757009345794392</v>
      </c>
      <c r="L110" s="67">
        <v>9.3457943925233641E-2</v>
      </c>
      <c r="M110" s="67">
        <v>0.26622662266226621</v>
      </c>
      <c r="N110" s="67">
        <v>0.18041804180418042</v>
      </c>
      <c r="O110" s="67">
        <v>0.53305785123966942</v>
      </c>
      <c r="P110" s="67">
        <v>0.29268292682926828</v>
      </c>
      <c r="Q110" s="67">
        <v>0.44915254237288138</v>
      </c>
    </row>
    <row r="111" spans="1:17" x14ac:dyDescent="0.4">
      <c r="A111" s="69">
        <v>108</v>
      </c>
      <c r="B111" s="66">
        <v>-1048.6000000000001</v>
      </c>
      <c r="C111" s="66">
        <v>-9.7092592592592606</v>
      </c>
      <c r="D111" s="71">
        <v>2.1481481481481484</v>
      </c>
      <c r="E111" s="67">
        <v>0.28703703703703703</v>
      </c>
      <c r="F111" s="67">
        <v>0.43518518518518517</v>
      </c>
      <c r="G111" s="67">
        <v>0.26195652173913042</v>
      </c>
      <c r="H111" s="67">
        <v>0.18260869565217391</v>
      </c>
      <c r="I111" s="68">
        <v>8658.9211618257268</v>
      </c>
      <c r="J111" s="68">
        <v>-9126.7857142857138</v>
      </c>
      <c r="K111" s="67">
        <v>0.17592592592592593</v>
      </c>
      <c r="L111" s="67">
        <v>9.2592592592592587E-2</v>
      </c>
      <c r="M111" s="67">
        <v>0.26521739130434785</v>
      </c>
      <c r="N111" s="67">
        <v>0.18260869565217391</v>
      </c>
      <c r="O111" s="67">
        <v>0.53688524590163933</v>
      </c>
      <c r="P111" s="67">
        <v>0.29761904761904762</v>
      </c>
      <c r="Q111" s="67">
        <v>0.44398340248962653</v>
      </c>
    </row>
    <row r="112" spans="1:17" x14ac:dyDescent="0.4">
      <c r="A112" s="69">
        <v>109</v>
      </c>
      <c r="B112" s="66">
        <v>-982.60000000000014</v>
      </c>
      <c r="C112" s="66">
        <v>-9.0146788990825701</v>
      </c>
      <c r="D112" s="71">
        <v>2.1376146788990824</v>
      </c>
      <c r="E112" s="67">
        <v>0.29357798165137616</v>
      </c>
      <c r="F112" s="67">
        <v>0.43119266055045874</v>
      </c>
      <c r="G112" s="67">
        <v>0.26213592233009708</v>
      </c>
      <c r="H112" s="67">
        <v>0.18446601941747573</v>
      </c>
      <c r="I112" s="68">
        <v>8883.9506172839501</v>
      </c>
      <c r="J112" s="68">
        <v>-9054.3859649122805</v>
      </c>
      <c r="K112" s="67">
        <v>0.1743119266055046</v>
      </c>
      <c r="L112" s="67">
        <v>0.10091743119266056</v>
      </c>
      <c r="M112" s="67">
        <v>0.26429341963322545</v>
      </c>
      <c r="N112" s="67">
        <v>0.18230852211434737</v>
      </c>
      <c r="O112" s="67">
        <v>0.53877551020408165</v>
      </c>
      <c r="P112" s="67">
        <v>0.29585798816568049</v>
      </c>
      <c r="Q112" s="67">
        <v>0.44855967078189302</v>
      </c>
    </row>
    <row r="113" spans="1:17" x14ac:dyDescent="0.4">
      <c r="A113" s="69">
        <v>110</v>
      </c>
      <c r="B113" s="66">
        <v>-940.00000000000011</v>
      </c>
      <c r="C113" s="66">
        <v>-8.5454545454545467</v>
      </c>
      <c r="D113" s="71">
        <v>2.1272727272727274</v>
      </c>
      <c r="E113" s="67">
        <v>0.3</v>
      </c>
      <c r="F113" s="67">
        <v>0.42727272727272725</v>
      </c>
      <c r="G113" s="67">
        <v>0.26315789473684209</v>
      </c>
      <c r="H113" s="67">
        <v>0.18367346938775511</v>
      </c>
      <c r="I113" s="68">
        <v>8896.7346938775518</v>
      </c>
      <c r="J113" s="68">
        <v>-9054.3859649122805</v>
      </c>
      <c r="K113" s="67">
        <v>0.17272727272727273</v>
      </c>
      <c r="L113" s="67">
        <v>0.10909090909090909</v>
      </c>
      <c r="M113" s="67">
        <v>0.26423200859291085</v>
      </c>
      <c r="N113" s="67">
        <v>0.18259935553168635</v>
      </c>
      <c r="O113" s="67">
        <v>0.54065040650406504</v>
      </c>
      <c r="P113" s="67">
        <v>0.3</v>
      </c>
      <c r="Q113" s="67">
        <v>0.44897959183673469</v>
      </c>
    </row>
    <row r="114" spans="1:17" x14ac:dyDescent="0.4">
      <c r="A114" s="69">
        <v>111</v>
      </c>
      <c r="B114" s="66">
        <v>-890.80000000000007</v>
      </c>
      <c r="C114" s="66">
        <v>-8.0252252252252259</v>
      </c>
      <c r="D114" s="71">
        <v>2.1171171171171173</v>
      </c>
      <c r="E114" s="67">
        <v>0.30630630630630629</v>
      </c>
      <c r="F114" s="67">
        <v>0.42342342342342343</v>
      </c>
      <c r="G114" s="67">
        <v>0.26567481402763016</v>
      </c>
      <c r="H114" s="67">
        <v>0.18278427205100956</v>
      </c>
      <c r="I114" s="68">
        <v>8854</v>
      </c>
      <c r="J114" s="68">
        <v>-9071.5116279069771</v>
      </c>
      <c r="K114" s="67">
        <v>0.17117117117117117</v>
      </c>
      <c r="L114" s="67">
        <v>0.11711711711711711</v>
      </c>
      <c r="M114" s="67">
        <v>0.26673751328374068</v>
      </c>
      <c r="N114" s="67">
        <v>0.18172157279489903</v>
      </c>
      <c r="O114" s="67">
        <v>0.53784860557768921</v>
      </c>
      <c r="P114" s="67">
        <v>0.30409356725146197</v>
      </c>
      <c r="Q114" s="67">
        <v>0.44400000000000001</v>
      </c>
    </row>
    <row r="115" spans="1:17" x14ac:dyDescent="0.4">
      <c r="A115" s="69">
        <v>112</v>
      </c>
      <c r="B115" s="66">
        <v>-971.2</v>
      </c>
      <c r="C115" s="66">
        <v>-8.6714285714285726</v>
      </c>
      <c r="D115" s="71">
        <v>2.125</v>
      </c>
      <c r="E115" s="67">
        <v>0.30357142857142855</v>
      </c>
      <c r="F115" s="67">
        <v>0.42857142857142855</v>
      </c>
      <c r="G115" s="67">
        <v>0.26498422712933756</v>
      </c>
      <c r="H115" s="67">
        <v>0.18506834910620398</v>
      </c>
      <c r="I115" s="68">
        <v>8851.9841269841272</v>
      </c>
      <c r="J115" s="68">
        <v>-8952.8409090909099</v>
      </c>
      <c r="K115" s="67">
        <v>0.17857142857142858</v>
      </c>
      <c r="L115" s="67">
        <v>0.11607142857142858</v>
      </c>
      <c r="M115" s="67">
        <v>0.26498422712933756</v>
      </c>
      <c r="N115" s="67">
        <v>0.18191377497371189</v>
      </c>
      <c r="O115" s="67">
        <v>0.53968253968253965</v>
      </c>
      <c r="P115" s="67">
        <v>0.30635838150289019</v>
      </c>
      <c r="Q115" s="67">
        <v>0.44047619047619047</v>
      </c>
    </row>
    <row r="116" spans="1:17" x14ac:dyDescent="0.4">
      <c r="A116" s="69">
        <v>113</v>
      </c>
      <c r="B116" s="66">
        <v>-921.2</v>
      </c>
      <c r="C116" s="66">
        <v>-8.1522123893805318</v>
      </c>
      <c r="D116" s="71">
        <v>2.1150442477876106</v>
      </c>
      <c r="E116" s="67">
        <v>0.30973451327433627</v>
      </c>
      <c r="F116" s="67">
        <v>0.4247787610619469</v>
      </c>
      <c r="G116" s="67">
        <v>0.2664576802507837</v>
      </c>
      <c r="H116" s="67">
        <v>0.18390804597701149</v>
      </c>
      <c r="I116" s="68">
        <v>8873.3333333333339</v>
      </c>
      <c r="J116" s="68">
        <v>-8952.8409090909099</v>
      </c>
      <c r="K116" s="67">
        <v>0.17699115044247787</v>
      </c>
      <c r="L116" s="67">
        <v>0.12389380530973451</v>
      </c>
      <c r="M116" s="67">
        <v>0.26436781609195403</v>
      </c>
      <c r="N116" s="67">
        <v>0.18181818181818182</v>
      </c>
      <c r="O116" s="67">
        <v>0.54150197628458496</v>
      </c>
      <c r="P116" s="67">
        <v>0.3045977011494253</v>
      </c>
      <c r="Q116" s="67">
        <v>0.4392156862745098</v>
      </c>
    </row>
    <row r="117" spans="1:17" x14ac:dyDescent="0.4">
      <c r="A117" s="69">
        <v>114</v>
      </c>
      <c r="B117" s="66">
        <v>-924.7</v>
      </c>
      <c r="C117" s="66">
        <v>-8.1114035087719305</v>
      </c>
      <c r="D117" s="71">
        <v>2.1140350877192984</v>
      </c>
      <c r="E117" s="67">
        <v>0.30701754385964913</v>
      </c>
      <c r="F117" s="67">
        <v>0.42105263157894735</v>
      </c>
      <c r="G117" s="67">
        <v>0.265625</v>
      </c>
      <c r="H117" s="67">
        <v>0.18333333333333332</v>
      </c>
      <c r="I117" s="68">
        <v>8873.3333333333339</v>
      </c>
      <c r="J117" s="68">
        <v>-8952.8409090909099</v>
      </c>
      <c r="K117" s="67">
        <v>0.17543859649122806</v>
      </c>
      <c r="L117" s="67">
        <v>0.12280701754385964</v>
      </c>
      <c r="M117" s="67">
        <v>0.26354166666666667</v>
      </c>
      <c r="N117" s="67">
        <v>0.18124999999999999</v>
      </c>
      <c r="O117" s="67">
        <v>0.54150197628458496</v>
      </c>
      <c r="P117" s="67">
        <v>0.3045977011494253</v>
      </c>
      <c r="Q117" s="67">
        <v>0.4392156862745098</v>
      </c>
    </row>
    <row r="118" spans="1:17" x14ac:dyDescent="0.4">
      <c r="A118" s="69">
        <v>115</v>
      </c>
      <c r="B118" s="66">
        <v>-919.7</v>
      </c>
      <c r="C118" s="66">
        <v>-7.9973913043478264</v>
      </c>
      <c r="D118" s="71">
        <v>2.1130434782608694</v>
      </c>
      <c r="E118" s="67">
        <v>0.30434782608695654</v>
      </c>
      <c r="F118" s="67">
        <v>0.41739130434782606</v>
      </c>
      <c r="G118" s="67">
        <v>0.26646090534979422</v>
      </c>
      <c r="H118" s="67">
        <v>0.18415637860082304</v>
      </c>
      <c r="I118" s="68">
        <v>8866.0231660231657</v>
      </c>
      <c r="J118" s="68">
        <v>-8887.7094972067043</v>
      </c>
      <c r="K118" s="67">
        <v>0.17391304347826086</v>
      </c>
      <c r="L118" s="67">
        <v>0.12173913043478261</v>
      </c>
      <c r="M118" s="67">
        <v>0.26131687242798352</v>
      </c>
      <c r="N118" s="67">
        <v>0.18209876543209877</v>
      </c>
      <c r="O118" s="67">
        <v>0.54330708661417326</v>
      </c>
      <c r="P118" s="67">
        <v>0.30508474576271188</v>
      </c>
      <c r="Q118" s="67">
        <v>0.44015444015444016</v>
      </c>
    </row>
    <row r="119" spans="1:17" x14ac:dyDescent="0.4">
      <c r="A119" s="69">
        <v>116</v>
      </c>
      <c r="B119" s="66">
        <v>-880.80000000000007</v>
      </c>
      <c r="C119" s="66">
        <v>-7.5931034482758628</v>
      </c>
      <c r="D119" s="71">
        <v>2.103448275862069</v>
      </c>
      <c r="E119" s="67">
        <v>0.31034482758620691</v>
      </c>
      <c r="F119" s="67">
        <v>0.41379310344827586</v>
      </c>
      <c r="G119" s="67">
        <v>0.26653102746693796</v>
      </c>
      <c r="H119" s="67">
        <v>0.18413021363173956</v>
      </c>
      <c r="I119" s="68">
        <v>8908.0152671755732</v>
      </c>
      <c r="J119" s="68">
        <v>-8871.8232044198903</v>
      </c>
      <c r="K119" s="67">
        <v>0.17241379310344829</v>
      </c>
      <c r="L119" s="67">
        <v>0.1206896551724138</v>
      </c>
      <c r="M119" s="67">
        <v>0.26144455747711087</v>
      </c>
      <c r="N119" s="67">
        <v>0.18107833163784334</v>
      </c>
      <c r="O119" s="67">
        <v>0.54474708171206221</v>
      </c>
      <c r="P119" s="67">
        <v>0.3089887640449438</v>
      </c>
      <c r="Q119" s="67">
        <v>0.43893129770992367</v>
      </c>
    </row>
    <row r="120" spans="1:17" x14ac:dyDescent="0.4">
      <c r="A120" s="69">
        <v>117</v>
      </c>
      <c r="B120" s="66">
        <v>-932.80000000000007</v>
      </c>
      <c r="C120" s="66">
        <v>-7.9726495726495736</v>
      </c>
      <c r="D120" s="71">
        <v>2.1111111111111112</v>
      </c>
      <c r="E120" s="67">
        <v>0.30769230769230771</v>
      </c>
      <c r="F120" s="67">
        <v>0.41880341880341881</v>
      </c>
      <c r="G120" s="67">
        <v>0.2651209677419355</v>
      </c>
      <c r="H120" s="67">
        <v>0.18548387096774194</v>
      </c>
      <c r="I120" s="68">
        <v>8903.4220532319396</v>
      </c>
      <c r="J120" s="68">
        <v>-8885.8695652173919</v>
      </c>
      <c r="K120" s="67">
        <v>0.17094017094017094</v>
      </c>
      <c r="L120" s="67">
        <v>0.11965811965811966</v>
      </c>
      <c r="M120" s="67">
        <v>0.26008064516129031</v>
      </c>
      <c r="N120" s="67">
        <v>0.17943548387096775</v>
      </c>
      <c r="O120" s="67">
        <v>0.54263565891472865</v>
      </c>
      <c r="P120" s="67">
        <v>0.3089887640449438</v>
      </c>
      <c r="Q120" s="67">
        <v>0.43726235741444869</v>
      </c>
    </row>
    <row r="121" spans="1:17" x14ac:dyDescent="0.4">
      <c r="A121" s="69">
        <v>118</v>
      </c>
      <c r="B121" s="66">
        <v>-988.7</v>
      </c>
      <c r="C121" s="66">
        <v>-8.378813559322035</v>
      </c>
      <c r="D121" s="71">
        <v>2.1186440677966103</v>
      </c>
      <c r="E121" s="67">
        <v>0.30508474576271188</v>
      </c>
      <c r="F121" s="67">
        <v>0.42372881355932202</v>
      </c>
      <c r="G121" s="67">
        <v>0.26352705410821642</v>
      </c>
      <c r="H121" s="67">
        <v>0.18637274549098196</v>
      </c>
      <c r="I121" s="68">
        <v>8903.4220532319396</v>
      </c>
      <c r="J121" s="68">
        <v>-8930.1075268817203</v>
      </c>
      <c r="K121" s="67">
        <v>0.17796610169491525</v>
      </c>
      <c r="L121" s="67">
        <v>0.11864406779661017</v>
      </c>
      <c r="M121" s="67">
        <v>0.25851703406813625</v>
      </c>
      <c r="N121" s="67">
        <v>0.18136272545090179</v>
      </c>
      <c r="O121" s="67">
        <v>0.54263565891472865</v>
      </c>
      <c r="P121" s="67">
        <v>0.30386740331491713</v>
      </c>
      <c r="Q121" s="67">
        <v>0.43726235741444869</v>
      </c>
    </row>
    <row r="122" spans="1:17" x14ac:dyDescent="0.4">
      <c r="A122" s="69">
        <v>119</v>
      </c>
      <c r="B122" s="66">
        <v>-950.40000000000009</v>
      </c>
      <c r="C122" s="66">
        <v>-7.9865546218487404</v>
      </c>
      <c r="D122" s="71">
        <v>2.1092436974789917</v>
      </c>
      <c r="E122" s="67">
        <v>0.31092436974789917</v>
      </c>
      <c r="F122" s="67">
        <v>0.42016806722689076</v>
      </c>
      <c r="G122" s="67">
        <v>0.26467661691542288</v>
      </c>
      <c r="H122" s="67">
        <v>0.18507462686567164</v>
      </c>
      <c r="I122" s="68">
        <v>8885.7142857142862</v>
      </c>
      <c r="J122" s="68">
        <v>-8930.1075268817203</v>
      </c>
      <c r="K122" s="67">
        <v>0.17647058823529413</v>
      </c>
      <c r="L122" s="67">
        <v>0.11764705882352941</v>
      </c>
      <c r="M122" s="67">
        <v>0.25870646766169153</v>
      </c>
      <c r="N122" s="67">
        <v>0.18308457711442785</v>
      </c>
      <c r="O122" s="67">
        <v>0.5461538461538461</v>
      </c>
      <c r="P122" s="67">
        <v>0.30434782608695654</v>
      </c>
      <c r="Q122" s="67">
        <v>0.43233082706766918</v>
      </c>
    </row>
    <row r="123" spans="1:17" x14ac:dyDescent="0.4">
      <c r="A123" s="69">
        <v>120</v>
      </c>
      <c r="B123" s="66">
        <v>-902.50000000000011</v>
      </c>
      <c r="C123" s="66">
        <v>-7.5208333333333339</v>
      </c>
      <c r="D123" s="71">
        <v>2.1</v>
      </c>
      <c r="E123" s="67">
        <v>0.31666666666666665</v>
      </c>
      <c r="F123" s="67">
        <v>0.41666666666666669</v>
      </c>
      <c r="G123" s="67">
        <v>0.26554787759131293</v>
      </c>
      <c r="H123" s="67">
        <v>0.18361303060217177</v>
      </c>
      <c r="I123" s="68">
        <v>8920.4460966542756</v>
      </c>
      <c r="J123" s="68">
        <v>-8930.1075268817203</v>
      </c>
      <c r="K123" s="67">
        <v>0.17499999999999999</v>
      </c>
      <c r="L123" s="67">
        <v>0.125</v>
      </c>
      <c r="M123" s="67">
        <v>0.26061204343534056</v>
      </c>
      <c r="N123" s="67">
        <v>0.18262586377097728</v>
      </c>
      <c r="O123" s="67">
        <v>0.5492424242424242</v>
      </c>
      <c r="P123" s="67">
        <v>0.30270270270270272</v>
      </c>
      <c r="Q123" s="67">
        <v>0.43122676579925651</v>
      </c>
    </row>
    <row r="124" spans="1:17" x14ac:dyDescent="0.4">
      <c r="A124" s="69">
        <v>121</v>
      </c>
      <c r="B124" s="66">
        <v>-911.60000000000014</v>
      </c>
      <c r="C124" s="66">
        <v>-7.5338842975206619</v>
      </c>
      <c r="D124" s="71">
        <v>2.0991735537190084</v>
      </c>
      <c r="E124" s="67">
        <v>0.31404958677685951</v>
      </c>
      <c r="F124" s="67">
        <v>0.41322314049586778</v>
      </c>
      <c r="G124" s="67">
        <v>0.26516634050880628</v>
      </c>
      <c r="H124" s="67">
        <v>0.18493150684931506</v>
      </c>
      <c r="I124" s="68">
        <v>8898.8929889298888</v>
      </c>
      <c r="J124" s="68">
        <v>-8870.8994708994705</v>
      </c>
      <c r="K124" s="67">
        <v>0.17355371900826447</v>
      </c>
      <c r="L124" s="67">
        <v>0.12396694214876033</v>
      </c>
      <c r="M124" s="67">
        <v>0.26027397260273971</v>
      </c>
      <c r="N124" s="67">
        <v>0.18199608610567514</v>
      </c>
      <c r="O124" s="67">
        <v>0.54511278195488722</v>
      </c>
      <c r="P124" s="67">
        <v>0.30645161290322581</v>
      </c>
      <c r="Q124" s="67">
        <v>0.43542435424354242</v>
      </c>
    </row>
    <row r="125" spans="1:17" x14ac:dyDescent="0.4">
      <c r="A125" s="69">
        <v>122</v>
      </c>
      <c r="B125" s="66">
        <v>-881.60000000000014</v>
      </c>
      <c r="C125" s="66">
        <v>-7.2262295081967221</v>
      </c>
      <c r="D125" s="71">
        <v>2.0901639344262297</v>
      </c>
      <c r="E125" s="67">
        <v>0.31967213114754101</v>
      </c>
      <c r="F125" s="67">
        <v>0.4098360655737705</v>
      </c>
      <c r="G125" s="67">
        <v>0.26647286821705424</v>
      </c>
      <c r="H125" s="67">
        <v>0.18507751937984496</v>
      </c>
      <c r="I125" s="68">
        <v>8826.181818181818</v>
      </c>
      <c r="J125" s="68">
        <v>-8796.8586387434552</v>
      </c>
      <c r="K125" s="67">
        <v>0.1721311475409836</v>
      </c>
      <c r="L125" s="67">
        <v>0.12295081967213115</v>
      </c>
      <c r="M125" s="67">
        <v>0.25775193798449614</v>
      </c>
      <c r="N125" s="67">
        <v>0.18217054263565891</v>
      </c>
      <c r="O125" s="67">
        <v>0.54511278195488722</v>
      </c>
      <c r="P125" s="67">
        <v>0.31382978723404253</v>
      </c>
      <c r="Q125" s="67">
        <v>0.42909090909090908</v>
      </c>
    </row>
    <row r="126" spans="1:17" x14ac:dyDescent="0.4">
      <c r="A126" s="69">
        <v>123</v>
      </c>
      <c r="B126" s="66">
        <v>-881.00000000000011</v>
      </c>
      <c r="C126" s="66">
        <v>-7.1626016260162615</v>
      </c>
      <c r="D126" s="71">
        <v>2.089430894308943</v>
      </c>
      <c r="E126" s="67">
        <v>0.31707317073170732</v>
      </c>
      <c r="F126" s="67">
        <v>0.4065040650406504</v>
      </c>
      <c r="G126" s="67">
        <v>0.26685934489402696</v>
      </c>
      <c r="H126" s="67">
        <v>0.18400770712909442</v>
      </c>
      <c r="I126" s="68">
        <v>8805.7761732851977</v>
      </c>
      <c r="J126" s="68">
        <v>-8796.8586387434552</v>
      </c>
      <c r="K126" s="67">
        <v>0.17073170731707318</v>
      </c>
      <c r="L126" s="67">
        <v>0.12195121951219512</v>
      </c>
      <c r="M126" s="67">
        <v>0.25722543352601157</v>
      </c>
      <c r="N126" s="67">
        <v>0.1811175337186898</v>
      </c>
      <c r="O126" s="67">
        <v>0.54307116104868913</v>
      </c>
      <c r="P126" s="67">
        <v>0.31382978723404253</v>
      </c>
      <c r="Q126" s="67">
        <v>0.43321299638989169</v>
      </c>
    </row>
    <row r="127" spans="1:17" x14ac:dyDescent="0.4">
      <c r="A127" s="69">
        <v>124</v>
      </c>
      <c r="B127" s="66">
        <v>-849.50000000000011</v>
      </c>
      <c r="C127" s="66">
        <v>-6.8508064516129039</v>
      </c>
      <c r="D127" s="71">
        <v>2.0806451612903225</v>
      </c>
      <c r="E127" s="67">
        <v>0.32258064516129031</v>
      </c>
      <c r="F127" s="67">
        <v>0.40322580645161288</v>
      </c>
      <c r="G127" s="67">
        <v>0.26838586437440304</v>
      </c>
      <c r="H127" s="67">
        <v>0.18338108882521489</v>
      </c>
      <c r="I127" s="68">
        <v>8777.9359430604982</v>
      </c>
      <c r="J127" s="68">
        <v>-8771.3541666666661</v>
      </c>
      <c r="K127" s="67">
        <v>0.16935483870967741</v>
      </c>
      <c r="L127" s="67">
        <v>0.12096774193548387</v>
      </c>
      <c r="M127" s="67">
        <v>0.25692454632282713</v>
      </c>
      <c r="N127" s="67">
        <v>0.18051575931232092</v>
      </c>
      <c r="O127" s="67">
        <v>0.54275092936802971</v>
      </c>
      <c r="P127" s="67">
        <v>0.31746031746031744</v>
      </c>
      <c r="Q127" s="67">
        <v>0.43416370106761565</v>
      </c>
    </row>
    <row r="128" spans="1:17" x14ac:dyDescent="0.4">
      <c r="A128" s="69">
        <v>125</v>
      </c>
      <c r="B128" s="66">
        <v>-877.90000000000009</v>
      </c>
      <c r="C128" s="66">
        <v>-7.023200000000001</v>
      </c>
      <c r="D128" s="71">
        <v>2.0880000000000001</v>
      </c>
      <c r="E128" s="67">
        <v>0.32</v>
      </c>
      <c r="F128" s="67">
        <v>0.40799999999999997</v>
      </c>
      <c r="G128" s="67">
        <v>0.26817752596789424</v>
      </c>
      <c r="H128" s="67">
        <v>0.182247403210576</v>
      </c>
      <c r="I128" s="68">
        <v>8736.6197183098593</v>
      </c>
      <c r="J128" s="68">
        <v>-8732.6424870466326</v>
      </c>
      <c r="K128" s="67">
        <v>0.16800000000000001</v>
      </c>
      <c r="L128" s="67">
        <v>0.12</v>
      </c>
      <c r="M128" s="67">
        <v>0.25590179414542019</v>
      </c>
      <c r="N128" s="67">
        <v>0.17941454202077431</v>
      </c>
      <c r="O128" s="67">
        <v>0.54612546125461259</v>
      </c>
      <c r="P128" s="67">
        <v>0.31578947368421051</v>
      </c>
      <c r="Q128" s="67">
        <v>0.43309859154929575</v>
      </c>
    </row>
    <row r="129" spans="1:17" x14ac:dyDescent="0.4">
      <c r="A129" s="69">
        <v>126</v>
      </c>
      <c r="B129" s="66">
        <v>-883.00000000000011</v>
      </c>
      <c r="C129" s="66">
        <v>-7.0079365079365088</v>
      </c>
      <c r="D129" s="71">
        <v>2.0873015873015874</v>
      </c>
      <c r="E129" s="67">
        <v>0.31746031746031744</v>
      </c>
      <c r="F129" s="67">
        <v>0.40476190476190477</v>
      </c>
      <c r="G129" s="67">
        <v>0.26897844423617617</v>
      </c>
      <c r="H129" s="67">
        <v>0.18088097469540768</v>
      </c>
      <c r="I129" s="68">
        <v>8700</v>
      </c>
      <c r="J129" s="68">
        <v>-8732.6424870466326</v>
      </c>
      <c r="K129" s="67">
        <v>0.16666666666666666</v>
      </c>
      <c r="L129" s="67">
        <v>0.11904761904761904</v>
      </c>
      <c r="M129" s="67">
        <v>0.25585754451733833</v>
      </c>
      <c r="N129" s="67">
        <v>0.17900656044985941</v>
      </c>
      <c r="O129" s="67">
        <v>0.54578754578754574</v>
      </c>
      <c r="P129" s="67">
        <v>0.31413612565445026</v>
      </c>
      <c r="Q129" s="67">
        <v>0.43554006968641112</v>
      </c>
    </row>
    <row r="130" spans="1:17" x14ac:dyDescent="0.4">
      <c r="A130" s="69">
        <v>127</v>
      </c>
      <c r="B130" s="66">
        <v>-881.50000000000011</v>
      </c>
      <c r="C130" s="66">
        <v>-6.9409448818897648</v>
      </c>
      <c r="D130" s="71">
        <v>2.0866141732283463</v>
      </c>
      <c r="E130" s="67">
        <v>0.31496062992125984</v>
      </c>
      <c r="F130" s="67">
        <v>0.40157480314960631</v>
      </c>
      <c r="G130" s="67">
        <v>0.26976744186046514</v>
      </c>
      <c r="H130" s="67">
        <v>0.18046511627906978</v>
      </c>
      <c r="I130" s="68">
        <v>8663.4482758620688</v>
      </c>
      <c r="J130" s="68">
        <v>-8728.865979381444</v>
      </c>
      <c r="K130" s="67">
        <v>0.16535433070866143</v>
      </c>
      <c r="L130" s="67">
        <v>0.11811023622047244</v>
      </c>
      <c r="M130" s="67">
        <v>0.25674418604651161</v>
      </c>
      <c r="N130" s="67">
        <v>0.17767441860465116</v>
      </c>
      <c r="O130" s="67">
        <v>0.54710144927536231</v>
      </c>
      <c r="P130" s="67">
        <v>0.31413612565445026</v>
      </c>
      <c r="Q130" s="67">
        <v>0.43103448275862066</v>
      </c>
    </row>
    <row r="131" spans="1:17" x14ac:dyDescent="0.4">
      <c r="A131" s="69">
        <v>128</v>
      </c>
      <c r="B131" s="66">
        <v>-908.40000000000009</v>
      </c>
      <c r="C131" s="66">
        <v>-7.0968750000000007</v>
      </c>
      <c r="D131" s="71">
        <v>2.09375</v>
      </c>
      <c r="E131" s="67">
        <v>0.3125</v>
      </c>
      <c r="F131" s="67">
        <v>0.40625</v>
      </c>
      <c r="G131" s="67">
        <v>0.27012025901942643</v>
      </c>
      <c r="H131" s="67">
        <v>0.17946345975948197</v>
      </c>
      <c r="I131" s="68">
        <v>8627.3972602739723</v>
      </c>
      <c r="J131" s="68">
        <v>-8728.865979381444</v>
      </c>
      <c r="K131" s="67">
        <v>0.1640625</v>
      </c>
      <c r="L131" s="67">
        <v>0.1171875</v>
      </c>
      <c r="M131" s="67">
        <v>0.25531914893617019</v>
      </c>
      <c r="N131" s="67">
        <v>0.17853839037927843</v>
      </c>
      <c r="O131" s="67">
        <v>0.54710144927536231</v>
      </c>
      <c r="P131" s="67">
        <v>0.31606217616580312</v>
      </c>
      <c r="Q131" s="67">
        <v>0.43493150684931509</v>
      </c>
    </row>
    <row r="132" spans="1:17" x14ac:dyDescent="0.4">
      <c r="A132" s="69">
        <v>129</v>
      </c>
      <c r="B132" s="66">
        <v>-970.40000000000009</v>
      </c>
      <c r="C132" s="66">
        <v>-7.5224806201550392</v>
      </c>
      <c r="D132" s="71">
        <v>2.1007751937984498</v>
      </c>
      <c r="E132" s="67">
        <v>0.31007751937984496</v>
      </c>
      <c r="F132" s="67">
        <v>0.41085271317829458</v>
      </c>
      <c r="G132" s="67">
        <v>0.26937269372693728</v>
      </c>
      <c r="H132" s="67">
        <v>0.18081180811808117</v>
      </c>
      <c r="I132" s="68">
        <v>8627.3972602739723</v>
      </c>
      <c r="J132" s="68">
        <v>-8792.8571428571431</v>
      </c>
      <c r="K132" s="67">
        <v>0.17054263565891473</v>
      </c>
      <c r="L132" s="67">
        <v>0.11627906976744186</v>
      </c>
      <c r="M132" s="67">
        <v>0.25553505535055349</v>
      </c>
      <c r="N132" s="67">
        <v>0.17896678966789667</v>
      </c>
      <c r="O132" s="67">
        <v>0.54512635379061369</v>
      </c>
      <c r="P132" s="67">
        <v>0.31443298969072164</v>
      </c>
      <c r="Q132" s="67">
        <v>0.43493150684931509</v>
      </c>
    </row>
    <row r="133" spans="1:17" x14ac:dyDescent="0.4">
      <c r="A133" s="69">
        <v>130</v>
      </c>
      <c r="B133" s="66">
        <v>-939.30000000000007</v>
      </c>
      <c r="C133" s="66">
        <v>-7.2253846153846162</v>
      </c>
      <c r="D133" s="71">
        <v>2.0923076923076924</v>
      </c>
      <c r="E133" s="67">
        <v>0.31538461538461537</v>
      </c>
      <c r="F133" s="67">
        <v>0.40769230769230769</v>
      </c>
      <c r="G133" s="67">
        <v>0.27056672760511885</v>
      </c>
      <c r="H133" s="67">
        <v>0.17915904936014626</v>
      </c>
      <c r="I133" s="68">
        <v>8597.2972972972966</v>
      </c>
      <c r="J133" s="68">
        <v>-8792.8571428571431</v>
      </c>
      <c r="K133" s="67">
        <v>0.16923076923076924</v>
      </c>
      <c r="L133" s="67">
        <v>0.11538461538461539</v>
      </c>
      <c r="M133" s="67">
        <v>0.25959780621572209</v>
      </c>
      <c r="N133" s="67">
        <v>0.18007312614259599</v>
      </c>
      <c r="O133" s="67">
        <v>0.53873239436619713</v>
      </c>
      <c r="P133" s="67">
        <v>0.31979695431472083</v>
      </c>
      <c r="Q133" s="67">
        <v>0.43243243243243246</v>
      </c>
    </row>
    <row r="134" spans="1:17" x14ac:dyDescent="0.4">
      <c r="A134" s="69">
        <v>131</v>
      </c>
      <c r="B134" s="66">
        <v>-942.6</v>
      </c>
      <c r="C134" s="66">
        <v>-7.1954198473282442</v>
      </c>
      <c r="D134" s="71">
        <v>2.0916030534351147</v>
      </c>
      <c r="E134" s="67">
        <v>0.31297709923664124</v>
      </c>
      <c r="F134" s="67">
        <v>0.40458015267175573</v>
      </c>
      <c r="G134" s="67">
        <v>0.27198549410698097</v>
      </c>
      <c r="H134" s="67">
        <v>0.17951042611060744</v>
      </c>
      <c r="I134" s="68">
        <v>8582</v>
      </c>
      <c r="J134" s="68">
        <v>-8777.7777777777774</v>
      </c>
      <c r="K134" s="67">
        <v>0.16793893129770993</v>
      </c>
      <c r="L134" s="67">
        <v>0.11450381679389313</v>
      </c>
      <c r="M134" s="67">
        <v>0.25929283771532186</v>
      </c>
      <c r="N134" s="67">
        <v>0.18132366273798731</v>
      </c>
      <c r="O134" s="67">
        <v>0.54195804195804198</v>
      </c>
      <c r="P134" s="67">
        <v>0.32500000000000001</v>
      </c>
      <c r="Q134" s="67">
        <v>0.43</v>
      </c>
    </row>
    <row r="135" spans="1:17" x14ac:dyDescent="0.4">
      <c r="A135" s="69">
        <v>132</v>
      </c>
      <c r="B135" s="66">
        <v>-914.4</v>
      </c>
      <c r="C135" s="66">
        <v>-6.9272727272727268</v>
      </c>
      <c r="D135" s="71">
        <v>2.0833333333333335</v>
      </c>
      <c r="E135" s="67">
        <v>0.31818181818181818</v>
      </c>
      <c r="F135" s="67">
        <v>0.40151515151515149</v>
      </c>
      <c r="G135" s="67">
        <v>0.27231740306582508</v>
      </c>
      <c r="H135" s="67">
        <v>0.18034265103697025</v>
      </c>
      <c r="I135" s="68">
        <v>8582.1192052980132</v>
      </c>
      <c r="J135" s="68">
        <v>-8735</v>
      </c>
      <c r="K135" s="67">
        <v>0.16666666666666666</v>
      </c>
      <c r="L135" s="67">
        <v>0.11363636363636363</v>
      </c>
      <c r="M135" s="67">
        <v>0.25969341749323716</v>
      </c>
      <c r="N135" s="67">
        <v>0.18034265103697025</v>
      </c>
      <c r="O135" s="67">
        <v>0.54513888888888884</v>
      </c>
      <c r="P135" s="67">
        <v>0.32500000000000001</v>
      </c>
      <c r="Q135" s="67">
        <v>0.43046357615894038</v>
      </c>
    </row>
    <row r="136" spans="1:17" x14ac:dyDescent="0.4">
      <c r="A136" s="69">
        <v>133</v>
      </c>
      <c r="B136" s="66">
        <v>-918.6</v>
      </c>
      <c r="C136" s="66">
        <v>-6.9067669172932336</v>
      </c>
      <c r="D136" s="71">
        <v>2.0827067669172932</v>
      </c>
      <c r="E136" s="67">
        <v>0.31578947368421051</v>
      </c>
      <c r="F136" s="67">
        <v>0.39849624060150374</v>
      </c>
      <c r="G136" s="67">
        <v>0.27329749103942652</v>
      </c>
      <c r="H136" s="67">
        <v>0.17921146953405018</v>
      </c>
      <c r="I136" s="68">
        <v>8526.557377049181</v>
      </c>
      <c r="J136" s="68">
        <v>-8735</v>
      </c>
      <c r="K136" s="67">
        <v>0.16541353383458646</v>
      </c>
      <c r="L136" s="67">
        <v>0.11278195488721804</v>
      </c>
      <c r="M136" s="67">
        <v>0.25985663082437277</v>
      </c>
      <c r="N136" s="67">
        <v>0.18189964157706093</v>
      </c>
      <c r="O136" s="67">
        <v>0.54482758620689653</v>
      </c>
      <c r="P136" s="67">
        <v>0.33004926108374383</v>
      </c>
      <c r="Q136" s="67">
        <v>0.42622950819672129</v>
      </c>
    </row>
    <row r="137" spans="1:17" x14ac:dyDescent="0.4">
      <c r="A137" s="69">
        <v>134</v>
      </c>
      <c r="B137" s="66">
        <v>-921.5</v>
      </c>
      <c r="C137" s="66">
        <v>-6.8768656716417906</v>
      </c>
      <c r="D137" s="71">
        <v>2.0820895522388061</v>
      </c>
      <c r="E137" s="67">
        <v>0.31343283582089554</v>
      </c>
      <c r="F137" s="67">
        <v>0.39552238805970147</v>
      </c>
      <c r="G137" s="67">
        <v>0.27361853832442068</v>
      </c>
      <c r="H137" s="67">
        <v>0.18003565062388591</v>
      </c>
      <c r="I137" s="68">
        <v>8506.5146579804568</v>
      </c>
      <c r="J137" s="68">
        <v>-8687.1287128712866</v>
      </c>
      <c r="K137" s="67">
        <v>0.16417910447761194</v>
      </c>
      <c r="L137" s="67">
        <v>0.11194029850746269</v>
      </c>
      <c r="M137" s="67">
        <v>0.26024955436720143</v>
      </c>
      <c r="N137" s="67">
        <v>0.18181818181818182</v>
      </c>
      <c r="O137" s="67">
        <v>0.54452054794520544</v>
      </c>
      <c r="P137" s="67">
        <v>0.33333333333333331</v>
      </c>
      <c r="Q137" s="67">
        <v>0.42345276872964172</v>
      </c>
    </row>
    <row r="138" spans="1:17" x14ac:dyDescent="0.4">
      <c r="A138" s="69">
        <v>135</v>
      </c>
      <c r="B138" s="66">
        <v>-964.3</v>
      </c>
      <c r="C138" s="66">
        <v>-7.1429629629629625</v>
      </c>
      <c r="D138" s="71">
        <v>2.088888888888889</v>
      </c>
      <c r="E138" s="67">
        <v>0.31111111111111112</v>
      </c>
      <c r="F138" s="67">
        <v>0.4</v>
      </c>
      <c r="G138" s="67">
        <v>0.27280779450841453</v>
      </c>
      <c r="H138" s="67">
        <v>0.17980513728963685</v>
      </c>
      <c r="I138" s="68">
        <v>8495.7792207792209</v>
      </c>
      <c r="J138" s="68">
        <v>-8683.7438423645326</v>
      </c>
      <c r="K138" s="67">
        <v>0.16296296296296298</v>
      </c>
      <c r="L138" s="67">
        <v>0.1111111111111111</v>
      </c>
      <c r="M138" s="67">
        <v>0.25863596102745795</v>
      </c>
      <c r="N138" s="67">
        <v>0.18157661647475642</v>
      </c>
      <c r="O138" s="67">
        <v>0.54452054794520544</v>
      </c>
      <c r="P138" s="67">
        <v>0.33170731707317075</v>
      </c>
      <c r="Q138" s="67">
        <v>0.42207792207792205</v>
      </c>
    </row>
    <row r="139" spans="1:17" x14ac:dyDescent="0.4">
      <c r="A139" s="69">
        <v>136</v>
      </c>
      <c r="B139" s="66">
        <v>-954.5</v>
      </c>
      <c r="C139" s="66">
        <v>-7.0183823529411766</v>
      </c>
      <c r="D139" s="71">
        <v>2.0882352941176472</v>
      </c>
      <c r="E139" s="67">
        <v>0.30882352941176472</v>
      </c>
      <c r="F139" s="67">
        <v>0.39705882352941174</v>
      </c>
      <c r="G139" s="67">
        <v>0.27440633245382584</v>
      </c>
      <c r="H139" s="67">
        <v>0.17941952506596306</v>
      </c>
      <c r="I139" s="68">
        <v>8453.5256410256407</v>
      </c>
      <c r="J139" s="68">
        <v>-8700</v>
      </c>
      <c r="K139" s="67">
        <v>0.16176470588235295</v>
      </c>
      <c r="L139" s="67">
        <v>0.11029411764705882</v>
      </c>
      <c r="M139" s="67">
        <v>0.2594547053649956</v>
      </c>
      <c r="N139" s="67">
        <v>0.18029903254177659</v>
      </c>
      <c r="O139" s="67">
        <v>0.54576271186440672</v>
      </c>
      <c r="P139" s="67">
        <v>0.33170731707317075</v>
      </c>
      <c r="Q139" s="67">
        <v>0.42307692307692307</v>
      </c>
    </row>
    <row r="140" spans="1:17" x14ac:dyDescent="0.4">
      <c r="A140" s="69">
        <v>137</v>
      </c>
      <c r="B140" s="66">
        <v>-954.2</v>
      </c>
      <c r="C140" s="66">
        <v>-6.9649635036496358</v>
      </c>
      <c r="D140" s="71">
        <v>2.0875912408759123</v>
      </c>
      <c r="E140" s="67">
        <v>0.30656934306569344</v>
      </c>
      <c r="F140" s="67">
        <v>0.39416058394160586</v>
      </c>
      <c r="G140" s="67">
        <v>0.27550130775937226</v>
      </c>
      <c r="H140" s="67">
        <v>0.17872711421098517</v>
      </c>
      <c r="I140" s="68">
        <v>8448.7341772151904</v>
      </c>
      <c r="J140" s="68">
        <v>-8716.0975609756097</v>
      </c>
      <c r="K140" s="67">
        <v>0.16058394160583941</v>
      </c>
      <c r="L140" s="67">
        <v>0.10948905109489052</v>
      </c>
      <c r="M140" s="67">
        <v>0.25893635571054924</v>
      </c>
      <c r="N140" s="67">
        <v>0.18134263295553618</v>
      </c>
      <c r="O140" s="67">
        <v>0.54882154882154888</v>
      </c>
      <c r="P140" s="67">
        <v>0.33173076923076922</v>
      </c>
      <c r="Q140" s="67">
        <v>0.42405063291139239</v>
      </c>
    </row>
    <row r="141" spans="1:17" x14ac:dyDescent="0.4">
      <c r="A141" s="69">
        <v>138</v>
      </c>
      <c r="B141" s="66">
        <v>-988.30000000000007</v>
      </c>
      <c r="C141" s="66">
        <v>-7.1615942028985513</v>
      </c>
      <c r="D141" s="71">
        <v>2.0942028985507246</v>
      </c>
      <c r="E141" s="67">
        <v>0.30434782608695654</v>
      </c>
      <c r="F141" s="67">
        <v>0.39855072463768115</v>
      </c>
      <c r="G141" s="67">
        <v>0.2754749568221071</v>
      </c>
      <c r="H141" s="67">
        <v>0.17875647668393782</v>
      </c>
      <c r="I141" s="68">
        <v>8414.7335423197492</v>
      </c>
      <c r="J141" s="68">
        <v>-8707.7294685990346</v>
      </c>
      <c r="K141" s="67">
        <v>0.15942028985507245</v>
      </c>
      <c r="L141" s="67">
        <v>0.10869565217391304</v>
      </c>
      <c r="M141" s="67">
        <v>0.25734024179620035</v>
      </c>
      <c r="N141" s="67">
        <v>0.18134715025906736</v>
      </c>
      <c r="O141" s="67">
        <v>0.55033557046979864</v>
      </c>
      <c r="P141" s="67">
        <v>0.33809523809523812</v>
      </c>
      <c r="Q141" s="67">
        <v>0.42319749216300939</v>
      </c>
    </row>
    <row r="142" spans="1:17" x14ac:dyDescent="0.4">
      <c r="A142" s="69">
        <v>139</v>
      </c>
      <c r="B142" s="66">
        <v>-1025.7</v>
      </c>
      <c r="C142" s="66">
        <v>-7.3791366906474822</v>
      </c>
      <c r="D142" s="71">
        <v>2.1007194244604315</v>
      </c>
      <c r="E142" s="67">
        <v>0.30215827338129497</v>
      </c>
      <c r="F142" s="67">
        <v>0.40287769784172661</v>
      </c>
      <c r="G142" s="67">
        <v>0.27654109589041098</v>
      </c>
      <c r="H142" s="67">
        <v>0.17808219178082191</v>
      </c>
      <c r="I142" s="68">
        <v>8356.3467492260061</v>
      </c>
      <c r="J142" s="68">
        <v>-8704.3269230769238</v>
      </c>
      <c r="K142" s="67">
        <v>0.15827338129496402</v>
      </c>
      <c r="L142" s="67">
        <v>0.1079136690647482</v>
      </c>
      <c r="M142" s="67">
        <v>0.2577054794520548</v>
      </c>
      <c r="N142" s="67">
        <v>0.1815068493150685</v>
      </c>
      <c r="O142" s="67">
        <v>0.55149501661129563</v>
      </c>
      <c r="P142" s="67">
        <v>0.33962264150943394</v>
      </c>
      <c r="Q142" s="67">
        <v>0.42414860681114552</v>
      </c>
    </row>
    <row r="143" spans="1:17" x14ac:dyDescent="0.4">
      <c r="A143" s="69">
        <v>140</v>
      </c>
      <c r="B143" s="66">
        <v>-1026.5</v>
      </c>
      <c r="C143" s="66">
        <v>-7.3321428571428573</v>
      </c>
      <c r="D143" s="71">
        <v>2.1</v>
      </c>
      <c r="E143" s="67">
        <v>0.3</v>
      </c>
      <c r="F143" s="67">
        <v>0.4</v>
      </c>
      <c r="G143" s="67">
        <v>0.2764505119453925</v>
      </c>
      <c r="H143" s="67">
        <v>0.17832764505119453</v>
      </c>
      <c r="I143" s="68">
        <v>8367.5925925925931</v>
      </c>
      <c r="J143" s="68">
        <v>-8685.6459330143534</v>
      </c>
      <c r="K143" s="67">
        <v>0.15714285714285714</v>
      </c>
      <c r="L143" s="67">
        <v>0.10714285714285714</v>
      </c>
      <c r="M143" s="67">
        <v>0.25853242320819114</v>
      </c>
      <c r="N143" s="67">
        <v>0.18088737201365188</v>
      </c>
      <c r="O143" s="67">
        <v>0.55115511551155116</v>
      </c>
      <c r="P143" s="67">
        <v>0.33962264150943394</v>
      </c>
      <c r="Q143" s="67">
        <v>0.4228395061728395</v>
      </c>
    </row>
    <row r="144" spans="1:17" x14ac:dyDescent="0.4">
      <c r="A144" s="69">
        <v>141</v>
      </c>
      <c r="B144" s="66">
        <v>-1082.5999999999999</v>
      </c>
      <c r="C144" s="66">
        <v>-7.6780141843971625</v>
      </c>
      <c r="D144" s="71">
        <v>2.1063829787234041</v>
      </c>
      <c r="E144" s="67">
        <v>0.2978723404255319</v>
      </c>
      <c r="F144" s="67">
        <v>0.40425531914893614</v>
      </c>
      <c r="G144" s="67">
        <v>0.27426160337552741</v>
      </c>
      <c r="H144" s="67">
        <v>0.17890295358649788</v>
      </c>
      <c r="I144" s="68">
        <v>8353.8461538461543</v>
      </c>
      <c r="J144" s="68">
        <v>-8630.1886792452824</v>
      </c>
      <c r="K144" s="67">
        <v>0.16312056737588654</v>
      </c>
      <c r="L144" s="67">
        <v>0.10638297872340426</v>
      </c>
      <c r="M144" s="67">
        <v>0.25738396624472576</v>
      </c>
      <c r="N144" s="67">
        <v>0.18143459915611815</v>
      </c>
      <c r="O144" s="67">
        <v>0.55081967213114758</v>
      </c>
      <c r="P144" s="67">
        <v>0.33488372093023255</v>
      </c>
      <c r="Q144" s="67">
        <v>0.42153846153846153</v>
      </c>
    </row>
    <row r="145" spans="1:17" x14ac:dyDescent="0.4">
      <c r="A145" s="69">
        <v>142</v>
      </c>
      <c r="B145" s="66">
        <v>-1045</v>
      </c>
      <c r="C145" s="66">
        <v>-7.359154929577465</v>
      </c>
      <c r="D145" s="71">
        <v>2.0985915492957745</v>
      </c>
      <c r="E145" s="67">
        <v>0.30281690140845069</v>
      </c>
      <c r="F145" s="67">
        <v>0.40140845070422537</v>
      </c>
      <c r="G145" s="67">
        <v>0.27516778523489932</v>
      </c>
      <c r="H145" s="67">
        <v>0.17785234899328858</v>
      </c>
      <c r="I145" s="68">
        <v>8329.5731707317082</v>
      </c>
      <c r="J145" s="68">
        <v>-8630.1886792452824</v>
      </c>
      <c r="K145" s="67">
        <v>0.1619718309859155</v>
      </c>
      <c r="L145" s="67">
        <v>0.10563380281690141</v>
      </c>
      <c r="M145" s="67">
        <v>0.26006711409395972</v>
      </c>
      <c r="N145" s="67">
        <v>0.18204697986577181</v>
      </c>
      <c r="O145" s="67">
        <v>0.54838709677419351</v>
      </c>
      <c r="P145" s="67">
        <v>0.33640552995391704</v>
      </c>
      <c r="Q145" s="67">
        <v>0.42073170731707316</v>
      </c>
    </row>
    <row r="146" spans="1:17" x14ac:dyDescent="0.4">
      <c r="A146" s="69">
        <v>143</v>
      </c>
      <c r="B146" s="66">
        <v>-1104.5999999999999</v>
      </c>
      <c r="C146" s="66">
        <v>-7.7244755244755234</v>
      </c>
      <c r="D146" s="71">
        <v>2.104895104895105</v>
      </c>
      <c r="E146" s="67">
        <v>0.30069930069930068</v>
      </c>
      <c r="F146" s="67">
        <v>0.40559440559440557</v>
      </c>
      <c r="G146" s="67">
        <v>0.27439532944120099</v>
      </c>
      <c r="H146" s="67">
        <v>0.18015012510425354</v>
      </c>
      <c r="I146" s="68">
        <v>8310.33434650456</v>
      </c>
      <c r="J146" s="68">
        <v>-8624.5370370370365</v>
      </c>
      <c r="K146" s="67">
        <v>0.16783216783216784</v>
      </c>
      <c r="L146" s="67">
        <v>0.1048951048951049</v>
      </c>
      <c r="M146" s="67">
        <v>0.25938281901584653</v>
      </c>
      <c r="N146" s="67">
        <v>0.18181818181818182</v>
      </c>
      <c r="O146" s="67">
        <v>0.54662379421221863</v>
      </c>
      <c r="P146" s="67">
        <v>0.33944954128440369</v>
      </c>
      <c r="Q146" s="67">
        <v>0.41945288753799392</v>
      </c>
    </row>
    <row r="147" spans="1:17" x14ac:dyDescent="0.4">
      <c r="A147" s="69">
        <v>144</v>
      </c>
      <c r="B147" s="66">
        <v>-1103.8</v>
      </c>
      <c r="C147" s="66">
        <v>-7.6652777777777779</v>
      </c>
      <c r="D147" s="71">
        <v>2.1041666666666665</v>
      </c>
      <c r="E147" s="67">
        <v>0.2986111111111111</v>
      </c>
      <c r="F147" s="67">
        <v>0.40277777777777779</v>
      </c>
      <c r="G147" s="67">
        <v>0.27400662251655628</v>
      </c>
      <c r="H147" s="67">
        <v>0.17880794701986755</v>
      </c>
      <c r="I147" s="68">
        <v>8277.0392749244711</v>
      </c>
      <c r="J147" s="68">
        <v>-8624.5370370370365</v>
      </c>
      <c r="K147" s="67">
        <v>0.16666666666666666</v>
      </c>
      <c r="L147" s="67">
        <v>0.10416666666666667</v>
      </c>
      <c r="M147" s="67">
        <v>0.25910596026490068</v>
      </c>
      <c r="N147" s="67">
        <v>0.18211920529801323</v>
      </c>
      <c r="O147" s="67">
        <v>0.54313099041533541</v>
      </c>
      <c r="P147" s="67">
        <v>0.34090909090909088</v>
      </c>
      <c r="Q147" s="67">
        <v>0.42296072507552868</v>
      </c>
    </row>
    <row r="148" spans="1:17" x14ac:dyDescent="0.4">
      <c r="A148" s="69">
        <v>145</v>
      </c>
      <c r="B148" s="66">
        <v>-1133.2</v>
      </c>
      <c r="C148" s="66">
        <v>-7.8151724137931033</v>
      </c>
      <c r="D148" s="71">
        <v>2.1103448275862071</v>
      </c>
      <c r="E148" s="67">
        <v>0.29655172413793102</v>
      </c>
      <c r="F148" s="67">
        <v>0.40689655172413791</v>
      </c>
      <c r="G148" s="67">
        <v>0.27325102880658436</v>
      </c>
      <c r="H148" s="67">
        <v>0.17860082304526748</v>
      </c>
      <c r="I148" s="68">
        <v>8275.3012048192777</v>
      </c>
      <c r="J148" s="68">
        <v>-8620.2764976958533</v>
      </c>
      <c r="K148" s="67">
        <v>0.16551724137931034</v>
      </c>
      <c r="L148" s="67">
        <v>0.10344827586206896</v>
      </c>
      <c r="M148" s="67">
        <v>0.25761316872427986</v>
      </c>
      <c r="N148" s="67">
        <v>0.18518518518518517</v>
      </c>
      <c r="O148" s="67">
        <v>0.54313099041533541</v>
      </c>
      <c r="P148" s="67">
        <v>0.33777777777777779</v>
      </c>
      <c r="Q148" s="67">
        <v>0.4246987951807229</v>
      </c>
    </row>
    <row r="149" spans="1:17" x14ac:dyDescent="0.4">
      <c r="A149" s="69">
        <v>146</v>
      </c>
      <c r="B149" s="66">
        <v>-1181.5</v>
      </c>
      <c r="C149" s="66">
        <v>-8.0924657534246567</v>
      </c>
      <c r="D149" s="71">
        <v>2.1164383561643834</v>
      </c>
      <c r="E149" s="67">
        <v>0.29452054794520549</v>
      </c>
      <c r="F149" s="67">
        <v>0.41095890410958902</v>
      </c>
      <c r="G149" s="67">
        <v>0.27146361406377761</v>
      </c>
      <c r="H149" s="67">
        <v>0.17988552739165986</v>
      </c>
      <c r="I149" s="68">
        <v>8275.3012048192777</v>
      </c>
      <c r="J149" s="68">
        <v>-8580</v>
      </c>
      <c r="K149" s="67">
        <v>0.16438356164383561</v>
      </c>
      <c r="L149" s="67">
        <v>0.10273972602739725</v>
      </c>
      <c r="M149" s="67">
        <v>0.25592804578904332</v>
      </c>
      <c r="N149" s="67">
        <v>0.18642681929681112</v>
      </c>
      <c r="O149" s="67">
        <v>0.54313099041533541</v>
      </c>
      <c r="P149" s="67">
        <v>0.33333333333333331</v>
      </c>
      <c r="Q149" s="67">
        <v>0.4246987951807229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D7FF8-F240-4ADD-B073-E268AA976264}">
  <sheetPr codeName="Sheet10"/>
  <dimension ref="A1:Q16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  <row r="121" spans="1:17" x14ac:dyDescent="0.4">
      <c r="A121" s="69">
        <v>118</v>
      </c>
      <c r="B121" s="66">
        <v>-324.50000000000006</v>
      </c>
      <c r="C121" s="66">
        <v>-2.7500000000000004</v>
      </c>
      <c r="D121" s="71">
        <v>2.0762711864406778</v>
      </c>
      <c r="E121" s="67">
        <v>0.26271186440677968</v>
      </c>
      <c r="F121" s="67">
        <v>0.33898305084745761</v>
      </c>
      <c r="G121" s="67">
        <v>0.27132579650565264</v>
      </c>
      <c r="H121" s="67">
        <v>0.16957862281603289</v>
      </c>
      <c r="I121" s="68">
        <v>9312.878787878788</v>
      </c>
      <c r="J121" s="68">
        <v>-7744.242424242424</v>
      </c>
      <c r="K121" s="67">
        <v>0.1271186440677966</v>
      </c>
      <c r="L121" s="67">
        <v>9.3220338983050849E-2</v>
      </c>
      <c r="M121" s="67">
        <v>0.30010277492291881</v>
      </c>
      <c r="N121" s="67">
        <v>0.17985611510791366</v>
      </c>
      <c r="O121" s="67">
        <v>0.57876712328767121</v>
      </c>
      <c r="P121" s="67">
        <v>0.29714285714285715</v>
      </c>
      <c r="Q121" s="67">
        <v>0.42045454545454547</v>
      </c>
    </row>
    <row r="122" spans="1:17" x14ac:dyDescent="0.4">
      <c r="A122" s="69">
        <v>119</v>
      </c>
      <c r="B122" s="66">
        <v>-346.70000000000005</v>
      </c>
      <c r="C122" s="66">
        <v>-2.9134453781512608</v>
      </c>
      <c r="D122" s="71">
        <v>2.0840336134453783</v>
      </c>
      <c r="E122" s="67">
        <v>0.26050420168067229</v>
      </c>
      <c r="F122" s="67">
        <v>0.34453781512605042</v>
      </c>
      <c r="G122" s="67">
        <v>0.27235772357723576</v>
      </c>
      <c r="H122" s="67">
        <v>0.16971544715447154</v>
      </c>
      <c r="I122" s="68">
        <v>9262.686567164179</v>
      </c>
      <c r="J122" s="68">
        <v>-7754.4910179640719</v>
      </c>
      <c r="K122" s="67">
        <v>0.12605042016806722</v>
      </c>
      <c r="L122" s="67">
        <v>9.2436974789915971E-2</v>
      </c>
      <c r="M122" s="67">
        <v>0.30081300813008133</v>
      </c>
      <c r="N122" s="67">
        <v>0.18292682926829268</v>
      </c>
      <c r="O122" s="67">
        <v>0.58108108108108103</v>
      </c>
      <c r="P122" s="67">
        <v>0.28888888888888886</v>
      </c>
      <c r="Q122" s="67">
        <v>0.42164179104477612</v>
      </c>
    </row>
    <row r="123" spans="1:17" x14ac:dyDescent="0.4">
      <c r="A123" s="69">
        <v>120</v>
      </c>
      <c r="B123" s="66">
        <v>-371.00000000000006</v>
      </c>
      <c r="C123" s="66">
        <v>-3.0916666666666672</v>
      </c>
      <c r="D123" s="71">
        <v>2.0916666666666668</v>
      </c>
      <c r="E123" s="67">
        <v>0.25833333333333336</v>
      </c>
      <c r="F123" s="67">
        <v>0.35</v>
      </c>
      <c r="G123" s="67">
        <v>0.27116935483870969</v>
      </c>
      <c r="H123" s="67">
        <v>0.16935483870967741</v>
      </c>
      <c r="I123" s="68">
        <v>9272.8624535315994</v>
      </c>
      <c r="J123" s="68">
        <v>-7739.2857142857147</v>
      </c>
      <c r="K123" s="67">
        <v>0.125</v>
      </c>
      <c r="L123" s="67">
        <v>9.166666666666666E-2</v>
      </c>
      <c r="M123" s="67">
        <v>0.30141129032258063</v>
      </c>
      <c r="N123" s="67">
        <v>0.18245967741935484</v>
      </c>
      <c r="O123" s="67">
        <v>0.57859531772575246</v>
      </c>
      <c r="P123" s="67">
        <v>0.287292817679558</v>
      </c>
      <c r="Q123" s="67">
        <v>0.42379182156133827</v>
      </c>
    </row>
    <row r="124" spans="1:17" x14ac:dyDescent="0.4">
      <c r="A124" s="69">
        <v>121</v>
      </c>
      <c r="B124" s="66">
        <v>-422.10000000000008</v>
      </c>
      <c r="C124" s="66">
        <v>-3.4884297520661165</v>
      </c>
      <c r="D124" s="71">
        <v>2.0991735537190084</v>
      </c>
      <c r="E124" s="67">
        <v>0.256198347107438</v>
      </c>
      <c r="F124" s="67">
        <v>0.35537190082644626</v>
      </c>
      <c r="G124" s="67">
        <v>0.26965174129353237</v>
      </c>
      <c r="H124" s="67">
        <v>0.17014925373134329</v>
      </c>
      <c r="I124" s="68">
        <v>9253.1365313653132</v>
      </c>
      <c r="J124" s="68">
        <v>-7776.6081871345032</v>
      </c>
      <c r="K124" s="67">
        <v>0.12396694214876033</v>
      </c>
      <c r="L124" s="67">
        <v>9.0909090909090912E-2</v>
      </c>
      <c r="M124" s="67">
        <v>0.30149253731343284</v>
      </c>
      <c r="N124" s="67">
        <v>0.18009950248756218</v>
      </c>
      <c r="O124" s="67">
        <v>0.57755775577557755</v>
      </c>
      <c r="P124" s="67">
        <v>0.287292817679558</v>
      </c>
      <c r="Q124" s="67">
        <v>0.42435424354243545</v>
      </c>
    </row>
    <row r="125" spans="1:17" x14ac:dyDescent="0.4">
      <c r="A125" s="69">
        <v>122</v>
      </c>
      <c r="B125" s="66">
        <v>-478.00000000000006</v>
      </c>
      <c r="C125" s="66">
        <v>-3.9180327868852465</v>
      </c>
      <c r="D125" s="71">
        <v>2.1065573770491803</v>
      </c>
      <c r="E125" s="67">
        <v>0.25409836065573771</v>
      </c>
      <c r="F125" s="67">
        <v>0.36065573770491804</v>
      </c>
      <c r="G125" s="67">
        <v>0.26858275520317143</v>
      </c>
      <c r="H125" s="67">
        <v>0.17145688800792863</v>
      </c>
      <c r="I125" s="68">
        <v>9253.1365313653132</v>
      </c>
      <c r="J125" s="68">
        <v>-7825.4335260115604</v>
      </c>
      <c r="K125" s="67">
        <v>0.13114754098360656</v>
      </c>
      <c r="L125" s="67">
        <v>9.0163934426229511E-2</v>
      </c>
      <c r="M125" s="67">
        <v>0.30029732408325072</v>
      </c>
      <c r="N125" s="67">
        <v>0.17938553022794845</v>
      </c>
      <c r="O125" s="67">
        <v>0.57755775577557755</v>
      </c>
      <c r="P125" s="67">
        <v>0.287292817679558</v>
      </c>
      <c r="Q125" s="67">
        <v>0.42435424354243545</v>
      </c>
    </row>
    <row r="126" spans="1:17" x14ac:dyDescent="0.4">
      <c r="A126" s="69">
        <v>123</v>
      </c>
      <c r="B126" s="66">
        <v>-426.70000000000005</v>
      </c>
      <c r="C126" s="66">
        <v>-3.4691056910569111</v>
      </c>
      <c r="D126" s="71">
        <v>2.0975609756097562</v>
      </c>
      <c r="E126" s="67">
        <v>0.26016260162601629</v>
      </c>
      <c r="F126" s="67">
        <v>0.35772357723577236</v>
      </c>
      <c r="G126" s="67">
        <v>0.26987242394504418</v>
      </c>
      <c r="H126" s="67">
        <v>0.1717369970559372</v>
      </c>
      <c r="I126" s="68">
        <v>9285.454545454546</v>
      </c>
      <c r="J126" s="68">
        <v>-7819.4285714285716</v>
      </c>
      <c r="K126" s="67">
        <v>0.13008130081300814</v>
      </c>
      <c r="L126" s="67">
        <v>8.943089430894309E-2</v>
      </c>
      <c r="M126" s="67">
        <v>0.3012757605495584</v>
      </c>
      <c r="N126" s="67">
        <v>0.17958783120706576</v>
      </c>
      <c r="O126" s="67">
        <v>0.57654723127035834</v>
      </c>
      <c r="P126" s="67">
        <v>0.2896174863387978</v>
      </c>
      <c r="Q126" s="67">
        <v>0.42181818181818181</v>
      </c>
    </row>
    <row r="127" spans="1:17" x14ac:dyDescent="0.4">
      <c r="A127" s="69">
        <v>124</v>
      </c>
      <c r="B127" s="66">
        <v>-484.40000000000003</v>
      </c>
      <c r="C127" s="66">
        <v>-3.9064516129032261</v>
      </c>
      <c r="D127" s="71">
        <v>2.1048387096774195</v>
      </c>
      <c r="E127" s="67">
        <v>0.25806451612903225</v>
      </c>
      <c r="F127" s="67">
        <v>0.36290322580645162</v>
      </c>
      <c r="G127" s="67">
        <v>0.26777020447906524</v>
      </c>
      <c r="H127" s="67">
        <v>0.1733203505355404</v>
      </c>
      <c r="I127" s="68">
        <v>9285.454545454546</v>
      </c>
      <c r="J127" s="68">
        <v>-7806.7415730337079</v>
      </c>
      <c r="K127" s="67">
        <v>0.13709677419354838</v>
      </c>
      <c r="L127" s="67">
        <v>8.8709677419354843E-2</v>
      </c>
      <c r="M127" s="67">
        <v>0.29892891918208375</v>
      </c>
      <c r="N127" s="67">
        <v>0.17818889970788704</v>
      </c>
      <c r="O127" s="67">
        <v>0.57654723127035834</v>
      </c>
      <c r="P127" s="67">
        <v>0.2896174863387978</v>
      </c>
      <c r="Q127" s="67">
        <v>0.42181818181818181</v>
      </c>
    </row>
    <row r="128" spans="1:17" x14ac:dyDescent="0.4">
      <c r="A128" s="69">
        <v>125</v>
      </c>
      <c r="B128" s="66">
        <v>-449.70000000000005</v>
      </c>
      <c r="C128" s="66">
        <v>-3.5976000000000004</v>
      </c>
      <c r="D128" s="71">
        <v>2.0960000000000001</v>
      </c>
      <c r="E128" s="67">
        <v>0.26400000000000001</v>
      </c>
      <c r="F128" s="67">
        <v>0.36</v>
      </c>
      <c r="G128" s="67">
        <v>0.2688588007736944</v>
      </c>
      <c r="H128" s="67">
        <v>0.17214700193423599</v>
      </c>
      <c r="I128" s="68">
        <v>9251.7985611510794</v>
      </c>
      <c r="J128" s="68">
        <v>-7806.7415730337079</v>
      </c>
      <c r="K128" s="67">
        <v>0.13600000000000001</v>
      </c>
      <c r="L128" s="67">
        <v>8.7999999999999995E-2</v>
      </c>
      <c r="M128" s="67">
        <v>0.29980657640232106</v>
      </c>
      <c r="N128" s="67">
        <v>0.17794970986460348</v>
      </c>
      <c r="O128" s="67">
        <v>0.58064516129032262</v>
      </c>
      <c r="P128" s="67">
        <v>0.28804347826086957</v>
      </c>
      <c r="Q128" s="67">
        <v>0.42446043165467628</v>
      </c>
    </row>
    <row r="129" spans="1:17" x14ac:dyDescent="0.4">
      <c r="A129" s="69">
        <v>126</v>
      </c>
      <c r="B129" s="66">
        <v>-438.1</v>
      </c>
      <c r="C129" s="66">
        <v>-3.4769841269841271</v>
      </c>
      <c r="D129" s="71">
        <v>2.0952380952380953</v>
      </c>
      <c r="E129" s="67">
        <v>0.26190476190476192</v>
      </c>
      <c r="F129" s="67">
        <v>0.35714285714285715</v>
      </c>
      <c r="G129" s="67">
        <v>0.2687140115163148</v>
      </c>
      <c r="H129" s="67">
        <v>0.17082533589251439</v>
      </c>
      <c r="I129" s="68">
        <v>9241.7857142857138</v>
      </c>
      <c r="J129" s="68">
        <v>-7806.7415730337079</v>
      </c>
      <c r="K129" s="67">
        <v>0.13492063492063491</v>
      </c>
      <c r="L129" s="67">
        <v>8.7301587301587297E-2</v>
      </c>
      <c r="M129" s="67">
        <v>0.29942418426103645</v>
      </c>
      <c r="N129" s="67">
        <v>0.1765834932821497</v>
      </c>
      <c r="O129" s="67">
        <v>0.58333333333333337</v>
      </c>
      <c r="P129" s="67">
        <v>0.28804347826086957</v>
      </c>
      <c r="Q129" s="67">
        <v>0.42499999999999999</v>
      </c>
    </row>
    <row r="130" spans="1:17" x14ac:dyDescent="0.4">
      <c r="A130" s="69">
        <v>127</v>
      </c>
      <c r="B130" s="66">
        <v>-345.5</v>
      </c>
      <c r="C130" s="66">
        <v>-2.7204724409448819</v>
      </c>
      <c r="D130" s="71">
        <v>2.0866141732283463</v>
      </c>
      <c r="E130" s="67">
        <v>0.26771653543307089</v>
      </c>
      <c r="F130" s="67">
        <v>0.3543307086614173</v>
      </c>
      <c r="G130" s="67">
        <v>0.27186311787072243</v>
      </c>
      <c r="H130" s="67">
        <v>0.17015209125475286</v>
      </c>
      <c r="I130" s="68">
        <v>9320.279720279721</v>
      </c>
      <c r="J130" s="68">
        <v>-7768.7150837988829</v>
      </c>
      <c r="K130" s="67">
        <v>0.13385826771653545</v>
      </c>
      <c r="L130" s="67">
        <v>9.4488188976377951E-2</v>
      </c>
      <c r="M130" s="67">
        <v>0.30133079847908745</v>
      </c>
      <c r="N130" s="67">
        <v>0.17680608365019013</v>
      </c>
      <c r="O130" s="67">
        <v>0.58675078864353314</v>
      </c>
      <c r="P130" s="67">
        <v>0.29569892473118281</v>
      </c>
      <c r="Q130" s="67">
        <v>0.42307692307692307</v>
      </c>
    </row>
    <row r="131" spans="1:17" x14ac:dyDescent="0.4">
      <c r="A131" s="69">
        <v>128</v>
      </c>
      <c r="B131" s="66">
        <v>-355.2</v>
      </c>
      <c r="C131" s="66">
        <v>-2.7749999999999999</v>
      </c>
      <c r="D131" s="71">
        <v>2.0859375</v>
      </c>
      <c r="E131" s="67">
        <v>0.265625</v>
      </c>
      <c r="F131" s="67">
        <v>0.3515625</v>
      </c>
      <c r="G131" s="67">
        <v>0.27101038715769593</v>
      </c>
      <c r="H131" s="67">
        <v>0.16997167138810199</v>
      </c>
      <c r="I131" s="68">
        <v>9301.7421602787454</v>
      </c>
      <c r="J131" s="68">
        <v>-7768.333333333333</v>
      </c>
      <c r="K131" s="67">
        <v>0.1328125</v>
      </c>
      <c r="L131" s="67">
        <v>9.375E-2</v>
      </c>
      <c r="M131" s="67">
        <v>0.3002832861189802</v>
      </c>
      <c r="N131" s="67">
        <v>0.17658168083097261</v>
      </c>
      <c r="O131" s="67">
        <v>0.58805031446540879</v>
      </c>
      <c r="P131" s="67">
        <v>0.29411764705882354</v>
      </c>
      <c r="Q131" s="67">
        <v>0.42508710801393729</v>
      </c>
    </row>
    <row r="132" spans="1:17" x14ac:dyDescent="0.4">
      <c r="A132" s="69">
        <v>129</v>
      </c>
      <c r="B132" s="66">
        <v>-310.2</v>
      </c>
      <c r="C132" s="66">
        <v>-2.4046511627906977</v>
      </c>
      <c r="D132" s="71">
        <v>2.0775193798449614</v>
      </c>
      <c r="E132" s="67">
        <v>0.27131782945736432</v>
      </c>
      <c r="F132" s="67">
        <v>0.34883720930232559</v>
      </c>
      <c r="G132" s="67">
        <v>0.27272727272727271</v>
      </c>
      <c r="H132" s="67">
        <v>0.1696344892221181</v>
      </c>
      <c r="I132" s="68">
        <v>9275.94501718213</v>
      </c>
      <c r="J132" s="68">
        <v>-7754.1436464088401</v>
      </c>
      <c r="K132" s="67">
        <v>0.13178294573643412</v>
      </c>
      <c r="L132" s="67">
        <v>0.10077519379844961</v>
      </c>
      <c r="M132" s="67">
        <v>0.30178069353327086</v>
      </c>
      <c r="N132" s="67">
        <v>0.17619493908153702</v>
      </c>
      <c r="O132" s="67">
        <v>0.59316770186335399</v>
      </c>
      <c r="P132" s="67">
        <v>0.29255319148936171</v>
      </c>
      <c r="Q132" s="67">
        <v>0.42268041237113402</v>
      </c>
    </row>
    <row r="133" spans="1:17" x14ac:dyDescent="0.4">
      <c r="A133" s="69">
        <v>130</v>
      </c>
      <c r="B133" s="66">
        <v>-321</v>
      </c>
      <c r="C133" s="66">
        <v>-2.4692307692307693</v>
      </c>
      <c r="D133" s="71">
        <v>2.0769230769230771</v>
      </c>
      <c r="E133" s="67">
        <v>0.26923076923076922</v>
      </c>
      <c r="F133" s="67">
        <v>0.34615384615384615</v>
      </c>
      <c r="G133" s="67">
        <v>0.27298050139275765</v>
      </c>
      <c r="H133" s="67">
        <v>0.17270194986072424</v>
      </c>
      <c r="I133" s="68">
        <v>9268.7074829931971</v>
      </c>
      <c r="J133" s="68">
        <v>-7647.8494623655915</v>
      </c>
      <c r="K133" s="67">
        <v>0.13076923076923078</v>
      </c>
      <c r="L133" s="67">
        <v>0.1</v>
      </c>
      <c r="M133" s="67">
        <v>0.30083565459610029</v>
      </c>
      <c r="N133" s="67">
        <v>0.17548746518105848</v>
      </c>
      <c r="O133" s="67">
        <v>0.59567901234567899</v>
      </c>
      <c r="P133" s="67">
        <v>0.29629629629629628</v>
      </c>
      <c r="Q133" s="67">
        <v>0.42857142857142855</v>
      </c>
    </row>
    <row r="134" spans="1:17" x14ac:dyDescent="0.4">
      <c r="A134" s="69">
        <v>131</v>
      </c>
      <c r="B134" s="66">
        <v>-323.3</v>
      </c>
      <c r="C134" s="66">
        <v>-2.4679389312977098</v>
      </c>
      <c r="D134" s="71">
        <v>2.0763358778625953</v>
      </c>
      <c r="E134" s="67">
        <v>0.26717557251908397</v>
      </c>
      <c r="F134" s="67">
        <v>0.34351145038167941</v>
      </c>
      <c r="G134" s="67">
        <v>0.272140221402214</v>
      </c>
      <c r="H134" s="67">
        <v>0.17158671586715868</v>
      </c>
      <c r="I134" s="68">
        <v>9240.6779661016953</v>
      </c>
      <c r="J134" s="68">
        <v>-7647.8494623655915</v>
      </c>
      <c r="K134" s="67">
        <v>0.12977099236641221</v>
      </c>
      <c r="L134" s="67">
        <v>9.9236641221374045E-2</v>
      </c>
      <c r="M134" s="67">
        <v>0.2988929889298893</v>
      </c>
      <c r="N134" s="67">
        <v>0.17619926199261993</v>
      </c>
      <c r="O134" s="67">
        <v>0.59567901234567899</v>
      </c>
      <c r="P134" s="67">
        <v>0.29842931937172773</v>
      </c>
      <c r="Q134" s="67">
        <v>0.42711864406779659</v>
      </c>
    </row>
    <row r="135" spans="1:17" x14ac:dyDescent="0.4">
      <c r="A135" s="69">
        <v>132</v>
      </c>
      <c r="B135" s="66">
        <v>-347.8</v>
      </c>
      <c r="C135" s="66">
        <v>-2.6348484848484848</v>
      </c>
      <c r="D135" s="71">
        <v>2.0757575757575757</v>
      </c>
      <c r="E135" s="67">
        <v>0.26515151515151514</v>
      </c>
      <c r="F135" s="67">
        <v>0.34090909090909088</v>
      </c>
      <c r="G135" s="67">
        <v>0.27138914443422263</v>
      </c>
      <c r="H135" s="67">
        <v>0.17203311867525298</v>
      </c>
      <c r="I135" s="68">
        <v>9240.6779661016953</v>
      </c>
      <c r="J135" s="68">
        <v>-7671.1229946524063</v>
      </c>
      <c r="K135" s="67">
        <v>0.12878787878787878</v>
      </c>
      <c r="L135" s="67">
        <v>9.8484848484848481E-2</v>
      </c>
      <c r="M135" s="67">
        <v>0.29806807727690893</v>
      </c>
      <c r="N135" s="67">
        <v>0.17571297148114076</v>
      </c>
      <c r="O135" s="67">
        <v>0.59567901234567899</v>
      </c>
      <c r="P135" s="67">
        <v>0.29842931937172773</v>
      </c>
      <c r="Q135" s="67">
        <v>0.42711864406779659</v>
      </c>
    </row>
    <row r="136" spans="1:17" x14ac:dyDescent="0.4">
      <c r="A136" s="69">
        <v>133</v>
      </c>
      <c r="B136" s="66">
        <v>-403.7</v>
      </c>
      <c r="C136" s="66">
        <v>-3.0353383458646617</v>
      </c>
      <c r="D136" s="71">
        <v>2.0827067669172932</v>
      </c>
      <c r="E136" s="67">
        <v>0.26315789473684209</v>
      </c>
      <c r="F136" s="67">
        <v>0.34586466165413532</v>
      </c>
      <c r="G136" s="67">
        <v>0.26965265082266909</v>
      </c>
      <c r="H136" s="67">
        <v>0.17367458866544791</v>
      </c>
      <c r="I136" s="68">
        <v>9240.6779661016953</v>
      </c>
      <c r="J136" s="68">
        <v>-7700.5263157894733</v>
      </c>
      <c r="K136" s="67">
        <v>0.13533834586466165</v>
      </c>
      <c r="L136" s="67">
        <v>9.7744360902255634E-2</v>
      </c>
      <c r="M136" s="67">
        <v>0.29798903107861058</v>
      </c>
      <c r="N136" s="67">
        <v>0.17550274223034734</v>
      </c>
      <c r="O136" s="67">
        <v>0.59202453987730064</v>
      </c>
      <c r="P136" s="67">
        <v>0.296875</v>
      </c>
      <c r="Q136" s="67">
        <v>0.42711864406779659</v>
      </c>
    </row>
    <row r="137" spans="1:17" x14ac:dyDescent="0.4">
      <c r="A137" s="69">
        <v>134</v>
      </c>
      <c r="B137" s="66">
        <v>-341.2</v>
      </c>
      <c r="C137" s="66">
        <v>-2.5462686567164177</v>
      </c>
      <c r="D137" s="71">
        <v>2.0746268656716418</v>
      </c>
      <c r="E137" s="67">
        <v>0.26865671641791045</v>
      </c>
      <c r="F137" s="67">
        <v>0.34328358208955223</v>
      </c>
      <c r="G137" s="67">
        <v>0.27024567788899001</v>
      </c>
      <c r="H137" s="67">
        <v>0.17288444040036396</v>
      </c>
      <c r="I137" s="68">
        <v>9292.9292929292933</v>
      </c>
      <c r="J137" s="68">
        <v>-7700.5263157894733</v>
      </c>
      <c r="K137" s="67">
        <v>0.13432835820895522</v>
      </c>
      <c r="L137" s="67">
        <v>0.1044776119402985</v>
      </c>
      <c r="M137" s="67">
        <v>0.29936305732484075</v>
      </c>
      <c r="N137" s="67">
        <v>0.17561419472247497</v>
      </c>
      <c r="O137" s="67">
        <v>0.59270516717325228</v>
      </c>
      <c r="P137" s="67">
        <v>0.29533678756476683</v>
      </c>
      <c r="Q137" s="67">
        <v>0.42760942760942761</v>
      </c>
    </row>
    <row r="138" spans="1:17" x14ac:dyDescent="0.4">
      <c r="A138" s="69">
        <v>135</v>
      </c>
      <c r="B138" s="66">
        <v>-373.3</v>
      </c>
      <c r="C138" s="66">
        <v>-2.7651851851851852</v>
      </c>
      <c r="D138" s="71">
        <v>2.0814814814814815</v>
      </c>
      <c r="E138" s="67">
        <v>0.26666666666666666</v>
      </c>
      <c r="F138" s="67">
        <v>0.34814814814814815</v>
      </c>
      <c r="G138" s="67">
        <v>0.26936936936936939</v>
      </c>
      <c r="H138" s="67">
        <v>0.17387387387387387</v>
      </c>
      <c r="I138" s="68">
        <v>9270.5685618729094</v>
      </c>
      <c r="J138" s="68">
        <v>-7632.6424870466317</v>
      </c>
      <c r="K138" s="67">
        <v>0.13333333333333333</v>
      </c>
      <c r="L138" s="67">
        <v>0.1037037037037037</v>
      </c>
      <c r="M138" s="67">
        <v>0.3</v>
      </c>
      <c r="N138" s="67">
        <v>0.17657657657657658</v>
      </c>
      <c r="O138" s="67">
        <v>0.58858858858858853</v>
      </c>
      <c r="P138" s="67">
        <v>0.29591836734693877</v>
      </c>
      <c r="Q138" s="67">
        <v>0.42809364548494983</v>
      </c>
    </row>
    <row r="139" spans="1:17" x14ac:dyDescent="0.4">
      <c r="A139" s="69">
        <v>136</v>
      </c>
      <c r="B139" s="66">
        <v>-380.7</v>
      </c>
      <c r="C139" s="66">
        <v>-2.799264705882353</v>
      </c>
      <c r="D139" s="71">
        <v>2.0808823529411766</v>
      </c>
      <c r="E139" s="67">
        <v>0.26470588235294118</v>
      </c>
      <c r="F139" s="67">
        <v>0.34558823529411764</v>
      </c>
      <c r="G139" s="67">
        <v>0.27126230975828108</v>
      </c>
      <c r="H139" s="67">
        <v>0.17367949865711726</v>
      </c>
      <c r="I139" s="68">
        <v>9257.0957095709564</v>
      </c>
      <c r="J139" s="68">
        <v>-7613.4020618556697</v>
      </c>
      <c r="K139" s="67">
        <v>0.13235294117647059</v>
      </c>
      <c r="L139" s="67">
        <v>0.10294117647058823</v>
      </c>
      <c r="M139" s="67">
        <v>0.30080572963294538</v>
      </c>
      <c r="N139" s="67">
        <v>0.17726051924798567</v>
      </c>
      <c r="O139" s="67">
        <v>0.59226190476190477</v>
      </c>
      <c r="P139" s="67">
        <v>0.29797979797979796</v>
      </c>
      <c r="Q139" s="67">
        <v>0.42574257425742573</v>
      </c>
    </row>
    <row r="140" spans="1:17" x14ac:dyDescent="0.4">
      <c r="A140" s="69">
        <v>137</v>
      </c>
      <c r="B140" s="66">
        <v>-440.2</v>
      </c>
      <c r="C140" s="66">
        <v>-3.2131386861313866</v>
      </c>
      <c r="D140" s="71">
        <v>2.0875912408759123</v>
      </c>
      <c r="E140" s="67">
        <v>0.26277372262773724</v>
      </c>
      <c r="F140" s="67">
        <v>0.35036496350364965</v>
      </c>
      <c r="G140" s="67">
        <v>0.26981300089047194</v>
      </c>
      <c r="H140" s="67">
        <v>0.17542297417631345</v>
      </c>
      <c r="I140" s="68">
        <v>9257.0957095709564</v>
      </c>
      <c r="J140" s="68">
        <v>-7629.4416243654823</v>
      </c>
      <c r="K140" s="67">
        <v>0.13868613138686131</v>
      </c>
      <c r="L140" s="67">
        <v>0.10218978102189781</v>
      </c>
      <c r="M140" s="67">
        <v>0.30097951914514692</v>
      </c>
      <c r="N140" s="67">
        <v>0.17720391807658059</v>
      </c>
      <c r="O140" s="67">
        <v>0.58875739644970415</v>
      </c>
      <c r="P140" s="67">
        <v>0.29648241206030151</v>
      </c>
      <c r="Q140" s="67">
        <v>0.42574257425742573</v>
      </c>
    </row>
    <row r="141" spans="1:17" x14ac:dyDescent="0.4">
      <c r="A141" s="69">
        <v>138</v>
      </c>
      <c r="B141" s="66">
        <v>-381.4</v>
      </c>
      <c r="C141" s="66">
        <v>-2.7637681159420286</v>
      </c>
      <c r="D141" s="71">
        <v>2.0797101449275361</v>
      </c>
      <c r="E141" s="67">
        <v>0.26811594202898553</v>
      </c>
      <c r="F141" s="67">
        <v>0.34782608695652173</v>
      </c>
      <c r="G141" s="67">
        <v>0.27175843694493784</v>
      </c>
      <c r="H141" s="67">
        <v>0.17495559502664298</v>
      </c>
      <c r="I141" s="68">
        <v>9283.3333333333339</v>
      </c>
      <c r="J141" s="68">
        <v>-7629.4416243654823</v>
      </c>
      <c r="K141" s="67">
        <v>0.13768115942028986</v>
      </c>
      <c r="L141" s="67">
        <v>0.10869565217391304</v>
      </c>
      <c r="M141" s="67">
        <v>0.30195381882770872</v>
      </c>
      <c r="N141" s="67">
        <v>0.17761989342806395</v>
      </c>
      <c r="O141" s="67">
        <v>0.5911764705882353</v>
      </c>
      <c r="P141" s="67">
        <v>0.3</v>
      </c>
      <c r="Q141" s="67">
        <v>0.42483660130718953</v>
      </c>
    </row>
    <row r="142" spans="1:17" x14ac:dyDescent="0.4">
      <c r="A142" s="69">
        <v>139</v>
      </c>
      <c r="B142" s="66">
        <v>-417.4</v>
      </c>
      <c r="C142" s="66">
        <v>-3.0028776978417264</v>
      </c>
      <c r="D142" s="71">
        <v>2.0863309352517985</v>
      </c>
      <c r="E142" s="67">
        <v>0.26618705035971224</v>
      </c>
      <c r="F142" s="67">
        <v>0.35251798561151076</v>
      </c>
      <c r="G142" s="67">
        <v>0.27240773286467485</v>
      </c>
      <c r="H142" s="67">
        <v>0.17486818980667837</v>
      </c>
      <c r="I142" s="68">
        <v>9237.4193548387102</v>
      </c>
      <c r="J142" s="68">
        <v>-7686.43216080402</v>
      </c>
      <c r="K142" s="67">
        <v>0.1366906474820144</v>
      </c>
      <c r="L142" s="67">
        <v>0.1079136690647482</v>
      </c>
      <c r="M142" s="67">
        <v>0.30052724077328646</v>
      </c>
      <c r="N142" s="67">
        <v>0.17926186291739896</v>
      </c>
      <c r="O142" s="67">
        <v>0.59064327485380119</v>
      </c>
      <c r="P142" s="67">
        <v>0.30392156862745096</v>
      </c>
      <c r="Q142" s="67">
        <v>0.42258064516129035</v>
      </c>
    </row>
    <row r="143" spans="1:17" x14ac:dyDescent="0.4">
      <c r="A143" s="69">
        <v>140</v>
      </c>
      <c r="B143" s="66">
        <v>-421</v>
      </c>
      <c r="C143" s="66">
        <v>-3.0071428571428571</v>
      </c>
      <c r="D143" s="71">
        <v>2.0857142857142859</v>
      </c>
      <c r="E143" s="67">
        <v>0.26428571428571429</v>
      </c>
      <c r="F143" s="67">
        <v>0.35</v>
      </c>
      <c r="G143" s="67">
        <v>0.27328111401218452</v>
      </c>
      <c r="H143" s="67">
        <v>0.17493472584856398</v>
      </c>
      <c r="I143" s="68">
        <v>9200</v>
      </c>
      <c r="J143" s="68">
        <v>-7739.3034825870645</v>
      </c>
      <c r="K143" s="67">
        <v>0.1357142857142857</v>
      </c>
      <c r="L143" s="67">
        <v>0.10714285714285714</v>
      </c>
      <c r="M143" s="67">
        <v>0.29939077458659702</v>
      </c>
      <c r="N143" s="67">
        <v>0.1784160139251523</v>
      </c>
      <c r="O143" s="67">
        <v>0.59011627906976749</v>
      </c>
      <c r="P143" s="67">
        <v>0.30243902439024389</v>
      </c>
      <c r="Q143" s="67">
        <v>0.41719745222929938</v>
      </c>
    </row>
    <row r="144" spans="1:17" x14ac:dyDescent="0.4">
      <c r="A144" s="69">
        <v>141</v>
      </c>
      <c r="B144" s="66">
        <v>-393.5</v>
      </c>
      <c r="C144" s="66">
        <v>-2.7907801418439715</v>
      </c>
      <c r="D144" s="71">
        <v>2.0780141843971629</v>
      </c>
      <c r="E144" s="67">
        <v>0.26950354609929078</v>
      </c>
      <c r="F144" s="67">
        <v>0.3475177304964539</v>
      </c>
      <c r="G144" s="67">
        <v>0.27445887445887446</v>
      </c>
      <c r="H144" s="67">
        <v>0.1748917748917749</v>
      </c>
      <c r="I144" s="68">
        <v>9179.8107255520499</v>
      </c>
      <c r="J144" s="68">
        <v>-7739.1089108910892</v>
      </c>
      <c r="K144" s="67">
        <v>0.13475177304964539</v>
      </c>
      <c r="L144" s="67">
        <v>0.10638297872340426</v>
      </c>
      <c r="M144" s="67">
        <v>0.29956709956709959</v>
      </c>
      <c r="N144" s="67">
        <v>0.17835497835497835</v>
      </c>
      <c r="O144" s="67">
        <v>0.58959537572254339</v>
      </c>
      <c r="P144" s="67">
        <v>0.30582524271844658</v>
      </c>
      <c r="Q144" s="67">
        <v>0.4195583596214511</v>
      </c>
    </row>
    <row r="145" spans="1:17" x14ac:dyDescent="0.4">
      <c r="A145" s="69">
        <v>142</v>
      </c>
      <c r="B145" s="66">
        <v>-360.1</v>
      </c>
      <c r="C145" s="66">
        <v>-2.5359154929577468</v>
      </c>
      <c r="D145" s="71">
        <v>2.0704225352112675</v>
      </c>
      <c r="E145" s="67">
        <v>0.27464788732394368</v>
      </c>
      <c r="F145" s="67">
        <v>0.34507042253521125</v>
      </c>
      <c r="G145" s="67">
        <v>0.27639484978540774</v>
      </c>
      <c r="H145" s="67">
        <v>0.17510729613733905</v>
      </c>
      <c r="I145" s="68">
        <v>9171.4285714285706</v>
      </c>
      <c r="J145" s="68">
        <v>-7751.4705882352937</v>
      </c>
      <c r="K145" s="67">
        <v>0.13380281690140844</v>
      </c>
      <c r="L145" s="67">
        <v>0.10563380281690141</v>
      </c>
      <c r="M145" s="67">
        <v>0.29871244635193134</v>
      </c>
      <c r="N145" s="67">
        <v>0.17854077253218884</v>
      </c>
      <c r="O145" s="67">
        <v>0.59195402298850575</v>
      </c>
      <c r="P145" s="67">
        <v>0.3125</v>
      </c>
      <c r="Q145" s="67">
        <v>0.4254658385093168</v>
      </c>
    </row>
    <row r="146" spans="1:17" x14ac:dyDescent="0.4">
      <c r="A146" s="69">
        <v>143</v>
      </c>
      <c r="B146" s="66">
        <v>-367.70000000000005</v>
      </c>
      <c r="C146" s="66">
        <v>-2.5713286713286716</v>
      </c>
      <c r="D146" s="71">
        <v>2.06993006993007</v>
      </c>
      <c r="E146" s="67">
        <v>0.27272727272727271</v>
      </c>
      <c r="F146" s="67">
        <v>0.34265734265734266</v>
      </c>
      <c r="G146" s="67">
        <v>0.27730375426621162</v>
      </c>
      <c r="H146" s="67">
        <v>0.17491467576791808</v>
      </c>
      <c r="I146" s="68">
        <v>9123.3846153846152</v>
      </c>
      <c r="J146" s="68">
        <v>-7772.1951219512193</v>
      </c>
      <c r="K146" s="67">
        <v>0.13286713286713286</v>
      </c>
      <c r="L146" s="67">
        <v>0.1048951048951049</v>
      </c>
      <c r="M146" s="67">
        <v>0.29948805460750855</v>
      </c>
      <c r="N146" s="67">
        <v>0.17747440273037543</v>
      </c>
      <c r="O146" s="67">
        <v>0.58974358974358976</v>
      </c>
      <c r="P146" s="67">
        <v>0.3125</v>
      </c>
      <c r="Q146" s="67">
        <v>0.4276923076923077</v>
      </c>
    </row>
    <row r="147" spans="1:17" x14ac:dyDescent="0.4">
      <c r="A147" s="69">
        <v>144</v>
      </c>
      <c r="B147" s="66">
        <v>-324.00000000000006</v>
      </c>
      <c r="C147" s="66">
        <v>-2.2500000000000004</v>
      </c>
      <c r="D147" s="71">
        <v>2.0625</v>
      </c>
      <c r="E147" s="67">
        <v>0.27777777777777779</v>
      </c>
      <c r="F147" s="67">
        <v>0.34027777777777779</v>
      </c>
      <c r="G147" s="67">
        <v>0.27857747671464861</v>
      </c>
      <c r="H147" s="67">
        <v>0.17358171041490261</v>
      </c>
      <c r="I147" s="68">
        <v>9086.0182370820676</v>
      </c>
      <c r="J147" s="68">
        <v>-7772.1951219512193</v>
      </c>
      <c r="K147" s="67">
        <v>0.13194444444444445</v>
      </c>
      <c r="L147" s="67">
        <v>0.10416666666666667</v>
      </c>
      <c r="M147" s="67">
        <v>0.29974597798475866</v>
      </c>
      <c r="N147" s="67">
        <v>0.17781541066892464</v>
      </c>
      <c r="O147" s="67">
        <v>0.59322033898305082</v>
      </c>
      <c r="P147" s="67">
        <v>0.31428571428571428</v>
      </c>
      <c r="Q147" s="67">
        <v>0.42553191489361702</v>
      </c>
    </row>
    <row r="148" spans="1:17" x14ac:dyDescent="0.4">
      <c r="A148" s="69">
        <v>145</v>
      </c>
      <c r="B148" s="66">
        <v>-324.50000000000006</v>
      </c>
      <c r="C148" s="66">
        <v>-2.237931034482759</v>
      </c>
      <c r="D148" s="71">
        <v>2.0620689655172413</v>
      </c>
      <c r="E148" s="67">
        <v>0.27586206896551724</v>
      </c>
      <c r="F148" s="67">
        <v>0.33793103448275863</v>
      </c>
      <c r="G148" s="67">
        <v>0.2770780856423174</v>
      </c>
      <c r="H148" s="67">
        <v>0.17296389588581024</v>
      </c>
      <c r="I148" s="68">
        <v>9070.30303030303</v>
      </c>
      <c r="J148" s="68">
        <v>-7753.3980582524273</v>
      </c>
      <c r="K148" s="67">
        <v>0.1310344827586207</v>
      </c>
      <c r="L148" s="67">
        <v>0.10344827586206896</v>
      </c>
      <c r="M148" s="67">
        <v>0.29722921914357681</v>
      </c>
      <c r="N148" s="67">
        <v>0.17716204869857263</v>
      </c>
      <c r="O148" s="67">
        <v>0.59322033898305082</v>
      </c>
      <c r="P148" s="67">
        <v>0.31753554502369669</v>
      </c>
      <c r="Q148" s="67">
        <v>0.42424242424242425</v>
      </c>
    </row>
    <row r="149" spans="1:17" x14ac:dyDescent="0.4">
      <c r="A149" s="69">
        <v>146</v>
      </c>
      <c r="B149" s="66">
        <v>-357.30000000000007</v>
      </c>
      <c r="C149" s="66">
        <v>-2.4472602739726033</v>
      </c>
      <c r="D149" s="71">
        <v>2.0684931506849313</v>
      </c>
      <c r="E149" s="67">
        <v>0.27397260273972601</v>
      </c>
      <c r="F149" s="67">
        <v>0.34246575342465752</v>
      </c>
      <c r="G149" s="67">
        <v>0.27583333333333332</v>
      </c>
      <c r="H149" s="67">
        <v>0.17249999999999999</v>
      </c>
      <c r="I149" s="68">
        <v>9079.1540785498491</v>
      </c>
      <c r="J149" s="68">
        <v>-7743.9613526570047</v>
      </c>
      <c r="K149" s="67">
        <v>0.13013698630136986</v>
      </c>
      <c r="L149" s="67">
        <v>0.10273972602739725</v>
      </c>
      <c r="M149" s="67">
        <v>0.29833333333333334</v>
      </c>
      <c r="N149" s="67">
        <v>0.17666666666666667</v>
      </c>
      <c r="O149" s="67">
        <v>0.58938547486033521</v>
      </c>
      <c r="P149" s="67">
        <v>0.31603773584905659</v>
      </c>
      <c r="Q149" s="67">
        <v>0.42598187311178248</v>
      </c>
    </row>
    <row r="150" spans="1:17" x14ac:dyDescent="0.4">
      <c r="A150" s="69">
        <v>147</v>
      </c>
      <c r="B150" s="66">
        <v>-359.10000000000008</v>
      </c>
      <c r="C150" s="66">
        <v>-2.4428571428571435</v>
      </c>
      <c r="D150" s="71">
        <v>2.0680272108843538</v>
      </c>
      <c r="E150" s="67">
        <v>0.27210884353741499</v>
      </c>
      <c r="F150" s="67">
        <v>0.3401360544217687</v>
      </c>
      <c r="G150" s="67">
        <v>0.27694859038142622</v>
      </c>
      <c r="H150" s="67">
        <v>0.17247097844112769</v>
      </c>
      <c r="I150" s="68">
        <v>9047.6047904191619</v>
      </c>
      <c r="J150" s="68">
        <v>-7764.4230769230771</v>
      </c>
      <c r="K150" s="67">
        <v>0.12925170068027211</v>
      </c>
      <c r="L150" s="67">
        <v>0.10204081632653061</v>
      </c>
      <c r="M150" s="67">
        <v>0.29850746268656714</v>
      </c>
      <c r="N150" s="67">
        <v>0.17744610281923714</v>
      </c>
      <c r="O150" s="67">
        <v>0.59166666666666667</v>
      </c>
      <c r="P150" s="67">
        <v>0.31775700934579437</v>
      </c>
      <c r="Q150" s="67">
        <v>0.42215568862275449</v>
      </c>
    </row>
    <row r="151" spans="1:17" x14ac:dyDescent="0.4">
      <c r="A151" s="69">
        <v>148</v>
      </c>
      <c r="B151" s="66">
        <v>-415.90000000000009</v>
      </c>
      <c r="C151" s="66">
        <v>-2.8101351351351358</v>
      </c>
      <c r="D151" s="71">
        <v>2.0743243243243241</v>
      </c>
      <c r="E151" s="67">
        <v>0.27027027027027029</v>
      </c>
      <c r="F151" s="67">
        <v>0.34459459459459457</v>
      </c>
      <c r="G151" s="67">
        <v>0.27535037098103876</v>
      </c>
      <c r="H151" s="67">
        <v>0.1755976916735367</v>
      </c>
      <c r="I151" s="68">
        <v>9047.6047904191619</v>
      </c>
      <c r="J151" s="68">
        <v>-7689.2018779342725</v>
      </c>
      <c r="K151" s="67">
        <v>0.13513513513513514</v>
      </c>
      <c r="L151" s="67">
        <v>0.10135135135135136</v>
      </c>
      <c r="M151" s="67">
        <v>0.29843363561417974</v>
      </c>
      <c r="N151" s="67">
        <v>0.17642209398186315</v>
      </c>
      <c r="O151" s="67">
        <v>0.58839779005524862</v>
      </c>
      <c r="P151" s="67">
        <v>0.31775700934579437</v>
      </c>
      <c r="Q151" s="67">
        <v>0.42215568862275449</v>
      </c>
    </row>
    <row r="152" spans="1:17" x14ac:dyDescent="0.4">
      <c r="A152" s="69">
        <v>149</v>
      </c>
      <c r="B152" s="66">
        <v>-448.40000000000009</v>
      </c>
      <c r="C152" s="66">
        <v>-3.0093959731543629</v>
      </c>
      <c r="D152" s="71">
        <v>2.0805369127516777</v>
      </c>
      <c r="E152" s="67">
        <v>0.26845637583892618</v>
      </c>
      <c r="F152" s="67">
        <v>0.34899328859060402</v>
      </c>
      <c r="G152" s="67">
        <v>0.27481542247744051</v>
      </c>
      <c r="H152" s="67">
        <v>0.17719442165709598</v>
      </c>
      <c r="I152" s="68">
        <v>9044.4776119402977</v>
      </c>
      <c r="J152" s="68">
        <v>-7677.3148148148148</v>
      </c>
      <c r="K152" s="67">
        <v>0.13422818791946309</v>
      </c>
      <c r="L152" s="67">
        <v>0.10067114093959731</v>
      </c>
      <c r="M152" s="67">
        <v>0.2969647251845775</v>
      </c>
      <c r="N152" s="67">
        <v>0.1763740771123872</v>
      </c>
      <c r="O152" s="67">
        <v>0.58839779005524862</v>
      </c>
      <c r="P152" s="67">
        <v>0.31627906976744186</v>
      </c>
      <c r="Q152" s="67">
        <v>0.42388059701492536</v>
      </c>
    </row>
    <row r="153" spans="1:17" x14ac:dyDescent="0.4">
      <c r="A153" s="69">
        <v>150</v>
      </c>
      <c r="B153" s="66">
        <v>-461.10000000000008</v>
      </c>
      <c r="C153" s="66">
        <v>-3.0740000000000007</v>
      </c>
      <c r="D153" s="71">
        <v>2.08</v>
      </c>
      <c r="E153" s="67">
        <v>0.26666666666666666</v>
      </c>
      <c r="F153" s="67">
        <v>0.34666666666666668</v>
      </c>
      <c r="G153" s="67">
        <v>0.27487765089722677</v>
      </c>
      <c r="H153" s="67">
        <v>0.17781402936378465</v>
      </c>
      <c r="I153" s="68">
        <v>9030.2670623145405</v>
      </c>
      <c r="J153" s="68">
        <v>-7667.4311926605506</v>
      </c>
      <c r="K153" s="67">
        <v>0.13333333333333333</v>
      </c>
      <c r="L153" s="67">
        <v>0.1</v>
      </c>
      <c r="M153" s="67">
        <v>0.29853181076672103</v>
      </c>
      <c r="N153" s="67">
        <v>0.1769983686786297</v>
      </c>
      <c r="O153" s="67">
        <v>0.58469945355191255</v>
      </c>
      <c r="P153" s="67">
        <v>0.31797235023041476</v>
      </c>
      <c r="Q153" s="67">
        <v>0.42433234421364985</v>
      </c>
    </row>
    <row r="154" spans="1:17" x14ac:dyDescent="0.4">
      <c r="A154" s="69">
        <v>151</v>
      </c>
      <c r="B154" s="66">
        <v>-504.2000000000001</v>
      </c>
      <c r="C154" s="66">
        <v>-3.3390728476821199</v>
      </c>
      <c r="D154" s="71">
        <v>2.0860927152317883</v>
      </c>
      <c r="E154" s="67">
        <v>0.26490066225165565</v>
      </c>
      <c r="F154" s="67">
        <v>0.35099337748344372</v>
      </c>
      <c r="G154" s="67">
        <v>0.27390599675850891</v>
      </c>
      <c r="H154" s="67">
        <v>0.17990275526742303</v>
      </c>
      <c r="I154" s="68">
        <v>9018.9349112426044</v>
      </c>
      <c r="J154" s="68">
        <v>-7613.5135135135133</v>
      </c>
      <c r="K154" s="67">
        <v>0.13245033112582782</v>
      </c>
      <c r="L154" s="67">
        <v>9.9337748344370855E-2</v>
      </c>
      <c r="M154" s="67">
        <v>0.29821717990275526</v>
      </c>
      <c r="N154" s="67">
        <v>0.17585089141004862</v>
      </c>
      <c r="O154" s="67">
        <v>0.58423913043478259</v>
      </c>
      <c r="P154" s="67">
        <v>0.31797235023041476</v>
      </c>
      <c r="Q154" s="67">
        <v>0.42307692307692307</v>
      </c>
    </row>
    <row r="155" spans="1:17" x14ac:dyDescent="0.4">
      <c r="A155" s="69">
        <v>152</v>
      </c>
      <c r="B155" s="66">
        <v>-477.7000000000001</v>
      </c>
      <c r="C155" s="66">
        <v>-3.1427631578947377</v>
      </c>
      <c r="D155" s="71">
        <v>2.0789473684210527</v>
      </c>
      <c r="E155" s="67">
        <v>0.26973684210526316</v>
      </c>
      <c r="F155" s="67">
        <v>0.34868421052631576</v>
      </c>
      <c r="G155" s="67">
        <v>0.27491961414790994</v>
      </c>
      <c r="H155" s="67">
        <v>0.17926045016077172</v>
      </c>
      <c r="I155" s="68">
        <v>8982.4561403508778</v>
      </c>
      <c r="J155" s="68">
        <v>-7591.0313901345289</v>
      </c>
      <c r="K155" s="67">
        <v>0.13157894736842105</v>
      </c>
      <c r="L155" s="67">
        <v>9.8684210526315791E-2</v>
      </c>
      <c r="M155" s="67">
        <v>0.29823151125401931</v>
      </c>
      <c r="N155" s="67">
        <v>0.17604501607717041</v>
      </c>
      <c r="O155" s="67">
        <v>0.58490566037735847</v>
      </c>
      <c r="P155" s="67">
        <v>0.32420091324200911</v>
      </c>
      <c r="Q155" s="67">
        <v>0.42982456140350878</v>
      </c>
    </row>
    <row r="156" spans="1:17" x14ac:dyDescent="0.4">
      <c r="A156" s="69">
        <v>153</v>
      </c>
      <c r="B156" s="66">
        <v>-436.90000000000009</v>
      </c>
      <c r="C156" s="66">
        <v>-2.8555555555555561</v>
      </c>
      <c r="D156" s="71">
        <v>2.0718954248366015</v>
      </c>
      <c r="E156" s="67">
        <v>0.27450980392156865</v>
      </c>
      <c r="F156" s="67">
        <v>0.34640522875816993</v>
      </c>
      <c r="G156" s="67">
        <v>0.27569721115537849</v>
      </c>
      <c r="H156" s="67">
        <v>0.1800796812749004</v>
      </c>
      <c r="I156" s="68">
        <v>8992.7745664739887</v>
      </c>
      <c r="J156" s="68">
        <v>-7582.7433628318586</v>
      </c>
      <c r="K156" s="67">
        <v>0.13071895424836602</v>
      </c>
      <c r="L156" s="67">
        <v>9.8039215686274508E-2</v>
      </c>
      <c r="M156" s="67">
        <v>0.29960159362549799</v>
      </c>
      <c r="N156" s="67">
        <v>0.1752988047808765</v>
      </c>
      <c r="O156" s="67">
        <v>0.58776595744680848</v>
      </c>
      <c r="P156" s="67">
        <v>0.32272727272727275</v>
      </c>
      <c r="Q156" s="67">
        <v>0.430635838150289</v>
      </c>
    </row>
    <row r="157" spans="1:17" x14ac:dyDescent="0.4">
      <c r="A157" s="69">
        <v>154</v>
      </c>
      <c r="B157" s="66">
        <v>-439.90000000000009</v>
      </c>
      <c r="C157" s="66">
        <v>-2.8564935064935071</v>
      </c>
      <c r="D157" s="71">
        <v>2.0714285714285716</v>
      </c>
      <c r="E157" s="67">
        <v>0.27272727272727271</v>
      </c>
      <c r="F157" s="67">
        <v>0.34415584415584416</v>
      </c>
      <c r="G157" s="67">
        <v>0.27588932806324112</v>
      </c>
      <c r="H157" s="67">
        <v>0.18023715415019761</v>
      </c>
      <c r="I157" s="68">
        <v>8985.3868194842398</v>
      </c>
      <c r="J157" s="68">
        <v>-7536.8421052631575</v>
      </c>
      <c r="K157" s="67">
        <v>0.12987012987012986</v>
      </c>
      <c r="L157" s="67">
        <v>9.7402597402597407E-2</v>
      </c>
      <c r="M157" s="67">
        <v>0.29881422924901185</v>
      </c>
      <c r="N157" s="67">
        <v>0.17549407114624507</v>
      </c>
      <c r="O157" s="67">
        <v>0.58730158730158732</v>
      </c>
      <c r="P157" s="67">
        <v>0.32432432432432434</v>
      </c>
      <c r="Q157" s="67">
        <v>0.43266475644699143</v>
      </c>
    </row>
    <row r="158" spans="1:17" x14ac:dyDescent="0.4">
      <c r="A158" s="69">
        <v>155</v>
      </c>
      <c r="B158" s="66">
        <v>-381.10000000000008</v>
      </c>
      <c r="C158" s="66">
        <v>-2.4587096774193555</v>
      </c>
      <c r="D158" s="71">
        <v>2.064516129032258</v>
      </c>
      <c r="E158" s="67">
        <v>0.27741935483870966</v>
      </c>
      <c r="F158" s="67">
        <v>0.34193548387096773</v>
      </c>
      <c r="G158" s="67">
        <v>0.27738376674546888</v>
      </c>
      <c r="H158" s="67">
        <v>0.17966903073286053</v>
      </c>
      <c r="I158" s="68">
        <v>9007.670454545454</v>
      </c>
      <c r="J158" s="68">
        <v>-7536.8421052631575</v>
      </c>
      <c r="K158" s="67">
        <v>0.12903225806451613</v>
      </c>
      <c r="L158" s="67">
        <v>0.1032258064516129</v>
      </c>
      <c r="M158" s="67">
        <v>0.29866036249014971</v>
      </c>
      <c r="N158" s="67">
        <v>0.17494089834515367</v>
      </c>
      <c r="O158" s="67">
        <v>0.58839050131926118</v>
      </c>
      <c r="P158" s="67">
        <v>0.32432432432432434</v>
      </c>
      <c r="Q158" s="67">
        <v>0.43181818181818182</v>
      </c>
    </row>
    <row r="159" spans="1:17" x14ac:dyDescent="0.4">
      <c r="A159" s="69">
        <v>156</v>
      </c>
      <c r="B159" s="66">
        <v>-372.50000000000006</v>
      </c>
      <c r="C159" s="66">
        <v>-2.3878205128205132</v>
      </c>
      <c r="D159" s="71">
        <v>2.0641025641025643</v>
      </c>
      <c r="E159" s="67">
        <v>0.27564102564102566</v>
      </c>
      <c r="F159" s="67">
        <v>0.33974358974358976</v>
      </c>
      <c r="G159" s="67">
        <v>0.27769110764430577</v>
      </c>
      <c r="H159" s="67">
        <v>0.18096723868954759</v>
      </c>
      <c r="I159" s="68">
        <v>9005.0561797752816</v>
      </c>
      <c r="J159" s="68">
        <v>-7469.8275862068967</v>
      </c>
      <c r="K159" s="67">
        <v>0.12820512820512819</v>
      </c>
      <c r="L159" s="67">
        <v>0.10256410256410256</v>
      </c>
      <c r="M159" s="67">
        <v>0.29797191887675506</v>
      </c>
      <c r="N159" s="67">
        <v>0.17394695787831513</v>
      </c>
      <c r="O159" s="67">
        <v>0.58900523560209428</v>
      </c>
      <c r="P159" s="67">
        <v>0.32286995515695066</v>
      </c>
      <c r="Q159" s="67">
        <v>0.4353932584269663</v>
      </c>
    </row>
    <row r="160" spans="1:17" x14ac:dyDescent="0.4">
      <c r="A160" s="69">
        <v>157</v>
      </c>
      <c r="B160" s="66">
        <v>-408.20000000000005</v>
      </c>
      <c r="C160" s="66">
        <v>-2.6</v>
      </c>
      <c r="D160" s="71">
        <v>2.0700636942675161</v>
      </c>
      <c r="E160" s="67">
        <v>0.27388535031847133</v>
      </c>
      <c r="F160" s="67">
        <v>0.34394904458598724</v>
      </c>
      <c r="G160" s="67">
        <v>0.27695888285492631</v>
      </c>
      <c r="H160" s="67">
        <v>0.18153607447633824</v>
      </c>
      <c r="I160" s="68">
        <v>8991.0364145658259</v>
      </c>
      <c r="J160" s="68">
        <v>-7462.3931623931621</v>
      </c>
      <c r="K160" s="67">
        <v>0.12738853503184713</v>
      </c>
      <c r="L160" s="67">
        <v>0.10191082802547771</v>
      </c>
      <c r="M160" s="67">
        <v>0.29712955779674166</v>
      </c>
      <c r="N160" s="67">
        <v>0.1730023273855702</v>
      </c>
      <c r="O160" s="67">
        <v>0.58746736292428203</v>
      </c>
      <c r="P160" s="67">
        <v>0.32286995515695066</v>
      </c>
      <c r="Q160" s="67">
        <v>0.43697478991596639</v>
      </c>
    </row>
    <row r="161" spans="1:17" x14ac:dyDescent="0.4">
      <c r="A161" s="69">
        <v>158</v>
      </c>
      <c r="B161" s="66">
        <v>-403.00000000000006</v>
      </c>
      <c r="C161" s="66">
        <v>-2.5506329113924053</v>
      </c>
      <c r="D161" s="71">
        <v>2.0696202531645569</v>
      </c>
      <c r="E161" s="67">
        <v>0.27215189873417722</v>
      </c>
      <c r="F161" s="67">
        <v>0.34177215189873417</v>
      </c>
      <c r="G161" s="67">
        <v>0.27623456790123457</v>
      </c>
      <c r="H161" s="67">
        <v>0.18132716049382716</v>
      </c>
      <c r="I161" s="68">
        <v>8987.4301675977658</v>
      </c>
      <c r="J161" s="68">
        <v>-7439.1489361702124</v>
      </c>
      <c r="K161" s="67">
        <v>0.12658227848101267</v>
      </c>
      <c r="L161" s="67">
        <v>0.10126582278481013</v>
      </c>
      <c r="M161" s="67">
        <v>0.29706790123456789</v>
      </c>
      <c r="N161" s="67">
        <v>0.17206790123456789</v>
      </c>
      <c r="O161" s="67">
        <v>0.58701298701298699</v>
      </c>
      <c r="P161" s="67">
        <v>0.32286995515695066</v>
      </c>
      <c r="Q161" s="67">
        <v>0.43854748603351956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1B331-0F96-4086-9C94-68041D10FEEC}">
  <sheetPr codeName="Sheet8"/>
  <dimension ref="A1:Q19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  <row r="139" spans="1:17" x14ac:dyDescent="0.4">
      <c r="A139" s="69">
        <v>136</v>
      </c>
      <c r="B139" s="66">
        <v>1638.4000000000008</v>
      </c>
      <c r="C139" s="66">
        <v>12.047058823529417</v>
      </c>
      <c r="D139" s="71">
        <v>1.75</v>
      </c>
      <c r="E139" s="67">
        <v>0.49264705882352944</v>
      </c>
      <c r="F139" s="67">
        <v>0.24264705882352941</v>
      </c>
      <c r="G139" s="67">
        <v>0.34629294755877033</v>
      </c>
      <c r="H139" s="67">
        <v>0.16094032549728751</v>
      </c>
      <c r="I139" s="68">
        <v>9211.488250652741</v>
      </c>
      <c r="J139" s="68">
        <v>-8320.2247191011229</v>
      </c>
      <c r="K139" s="67">
        <v>0.11029411764705882</v>
      </c>
      <c r="L139" s="67">
        <v>0.17647058823529413</v>
      </c>
      <c r="M139" s="67">
        <v>0.32368896925858953</v>
      </c>
      <c r="N139" s="67">
        <v>0.21971066907775769</v>
      </c>
      <c r="O139" s="67">
        <v>0.57262569832402233</v>
      </c>
      <c r="P139" s="67">
        <v>0.51028806584362141</v>
      </c>
      <c r="Q139" s="67">
        <v>0.41253263707571802</v>
      </c>
    </row>
    <row r="140" spans="1:17" x14ac:dyDescent="0.4">
      <c r="A140" s="69">
        <v>137</v>
      </c>
      <c r="B140" s="66">
        <v>1631.8000000000009</v>
      </c>
      <c r="C140" s="66">
        <v>11.910948905109496</v>
      </c>
      <c r="D140" s="71">
        <v>1.7518248175182483</v>
      </c>
      <c r="E140" s="67">
        <v>0.48905109489051096</v>
      </c>
      <c r="F140" s="67">
        <v>0.24087591240875914</v>
      </c>
      <c r="G140" s="67">
        <v>0.34560143626570916</v>
      </c>
      <c r="H140" s="67">
        <v>0.1615798922800718</v>
      </c>
      <c r="I140" s="68">
        <v>9190.3896103896095</v>
      </c>
      <c r="J140" s="68">
        <v>-8250.5555555555547</v>
      </c>
      <c r="K140" s="67">
        <v>0.10948905109489052</v>
      </c>
      <c r="L140" s="67">
        <v>0.17518248175182483</v>
      </c>
      <c r="M140" s="67">
        <v>0.32226211849192099</v>
      </c>
      <c r="N140" s="67">
        <v>0.2199281867145422</v>
      </c>
      <c r="O140" s="67">
        <v>0.57381615598885793</v>
      </c>
      <c r="P140" s="67">
        <v>0.51020408163265307</v>
      </c>
      <c r="Q140" s="67">
        <v>0.41298701298701301</v>
      </c>
    </row>
    <row r="141" spans="1:17" x14ac:dyDescent="0.4">
      <c r="A141" s="69">
        <v>138</v>
      </c>
      <c r="B141" s="66">
        <v>1633.8000000000009</v>
      </c>
      <c r="C141" s="66">
        <v>11.839130434782614</v>
      </c>
      <c r="D141" s="71">
        <v>1.7536231884057971</v>
      </c>
      <c r="E141" s="67">
        <v>0.48550724637681159</v>
      </c>
      <c r="F141" s="67">
        <v>0.2391304347826087</v>
      </c>
      <c r="G141" s="67">
        <v>0.34550311665182548</v>
      </c>
      <c r="H141" s="67">
        <v>0.16206589492430989</v>
      </c>
      <c r="I141" s="68">
        <v>9176.8041237113393</v>
      </c>
      <c r="J141" s="68">
        <v>-8232.9670329670334</v>
      </c>
      <c r="K141" s="67">
        <v>0.10869565217391304</v>
      </c>
      <c r="L141" s="67">
        <v>0.17391304347826086</v>
      </c>
      <c r="M141" s="67">
        <v>0.32146037399821903</v>
      </c>
      <c r="N141" s="67">
        <v>0.21905609973285842</v>
      </c>
      <c r="O141" s="67">
        <v>0.57617728531855961</v>
      </c>
      <c r="P141" s="67">
        <v>0.50813008130081305</v>
      </c>
      <c r="Q141" s="67">
        <v>0.41237113402061853</v>
      </c>
    </row>
    <row r="142" spans="1:17" x14ac:dyDescent="0.4">
      <c r="A142" s="69">
        <v>139</v>
      </c>
      <c r="B142" s="66">
        <v>1701.6000000000008</v>
      </c>
      <c r="C142" s="66">
        <v>12.241726618705043</v>
      </c>
      <c r="D142" s="71">
        <v>1.7482014388489209</v>
      </c>
      <c r="E142" s="67">
        <v>0.48920863309352519</v>
      </c>
      <c r="F142" s="67">
        <v>0.23741007194244604</v>
      </c>
      <c r="G142" s="67">
        <v>0.34836427939876213</v>
      </c>
      <c r="H142" s="67">
        <v>0.16180371352785147</v>
      </c>
      <c r="I142" s="68">
        <v>9148.9847715736032</v>
      </c>
      <c r="J142" s="68">
        <v>-8195.0819672131147</v>
      </c>
      <c r="K142" s="67">
        <v>0.1079136690647482</v>
      </c>
      <c r="L142" s="67">
        <v>0.17985611510791366</v>
      </c>
      <c r="M142" s="67">
        <v>0.32183908045977011</v>
      </c>
      <c r="N142" s="67">
        <v>0.21927497789566755</v>
      </c>
      <c r="O142" s="67">
        <v>0.57967032967032972</v>
      </c>
      <c r="P142" s="67">
        <v>0.51209677419354838</v>
      </c>
      <c r="Q142" s="67">
        <v>0.4137055837563452</v>
      </c>
    </row>
    <row r="143" spans="1:17" x14ac:dyDescent="0.4">
      <c r="A143" s="69">
        <v>140</v>
      </c>
      <c r="B143" s="66">
        <v>1700.4000000000008</v>
      </c>
      <c r="C143" s="66">
        <v>12.145714285714291</v>
      </c>
      <c r="D143" s="71">
        <v>1.75</v>
      </c>
      <c r="E143" s="67">
        <v>0.48571428571428571</v>
      </c>
      <c r="F143" s="67">
        <v>0.23571428571428571</v>
      </c>
      <c r="G143" s="67">
        <v>0.34679543459174716</v>
      </c>
      <c r="H143" s="67">
        <v>0.16066725197541704</v>
      </c>
      <c r="I143" s="68">
        <v>9146.0759493670885</v>
      </c>
      <c r="J143" s="68">
        <v>-8195.0819672131147</v>
      </c>
      <c r="K143" s="67">
        <v>0.10714285714285714</v>
      </c>
      <c r="L143" s="67">
        <v>0.17857142857142858</v>
      </c>
      <c r="M143" s="67">
        <v>0.31957857769973663</v>
      </c>
      <c r="N143" s="67">
        <v>0.21861281826163301</v>
      </c>
      <c r="O143" s="67">
        <v>0.57967032967032972</v>
      </c>
      <c r="P143" s="67">
        <v>0.51405622489959835</v>
      </c>
      <c r="Q143" s="67">
        <v>0.41518987341772151</v>
      </c>
    </row>
    <row r="144" spans="1:17" x14ac:dyDescent="0.4">
      <c r="A144" s="69">
        <v>141</v>
      </c>
      <c r="B144" s="66">
        <v>1724.1000000000008</v>
      </c>
      <c r="C144" s="66">
        <v>12.22765957446809</v>
      </c>
      <c r="D144" s="71">
        <v>1.7446808510638299</v>
      </c>
      <c r="E144" s="67">
        <v>0.48936170212765956</v>
      </c>
      <c r="F144" s="67">
        <v>0.23404255319148937</v>
      </c>
      <c r="G144" s="67">
        <v>0.34695652173913044</v>
      </c>
      <c r="H144" s="67">
        <v>0.16086956521739129</v>
      </c>
      <c r="I144" s="68">
        <v>9147.6190476190477</v>
      </c>
      <c r="J144" s="68">
        <v>-8199.45945945946</v>
      </c>
      <c r="K144" s="67">
        <v>0.10638297872340426</v>
      </c>
      <c r="L144" s="67">
        <v>0.1773049645390071</v>
      </c>
      <c r="M144" s="67">
        <v>0.31826086956521737</v>
      </c>
      <c r="N144" s="67">
        <v>0.22086956521739132</v>
      </c>
      <c r="O144" s="67">
        <v>0.57650273224043713</v>
      </c>
      <c r="P144" s="67">
        <v>0.51968503937007871</v>
      </c>
      <c r="Q144" s="67">
        <v>0.41353383458646614</v>
      </c>
    </row>
    <row r="145" spans="1:17" x14ac:dyDescent="0.4">
      <c r="A145" s="69">
        <v>142</v>
      </c>
      <c r="B145" s="66">
        <v>1751.8000000000009</v>
      </c>
      <c r="C145" s="66">
        <v>12.336619718309866</v>
      </c>
      <c r="D145" s="71">
        <v>1.7394366197183098</v>
      </c>
      <c r="E145" s="67">
        <v>0.49295774647887325</v>
      </c>
      <c r="F145" s="67">
        <v>0.23239436619718309</v>
      </c>
      <c r="G145" s="67">
        <v>0.34801381692573402</v>
      </c>
      <c r="H145" s="67">
        <v>0.15975820379965458</v>
      </c>
      <c r="I145" s="68">
        <v>9101.7369727047153</v>
      </c>
      <c r="J145" s="68">
        <v>-8199.45945945946</v>
      </c>
      <c r="K145" s="67">
        <v>0.10563380281690141</v>
      </c>
      <c r="L145" s="67">
        <v>0.176056338028169</v>
      </c>
      <c r="M145" s="67">
        <v>0.31692573402417962</v>
      </c>
      <c r="N145" s="67">
        <v>0.21934369602763384</v>
      </c>
      <c r="O145" s="67">
        <v>0.57765667574931878</v>
      </c>
      <c r="P145" s="67">
        <v>0.51968503937007871</v>
      </c>
      <c r="Q145" s="67">
        <v>0.4143920595533499</v>
      </c>
    </row>
    <row r="146" spans="1:17" x14ac:dyDescent="0.4">
      <c r="A146" s="69">
        <v>143</v>
      </c>
      <c r="B146" s="66">
        <v>1797.1000000000008</v>
      </c>
      <c r="C146" s="66">
        <v>12.567132867132873</v>
      </c>
      <c r="D146" s="71">
        <v>1.7342657342657342</v>
      </c>
      <c r="E146" s="67">
        <v>0.49650349650349651</v>
      </c>
      <c r="F146" s="67">
        <v>0.23076923076923078</v>
      </c>
      <c r="G146" s="67">
        <v>0.34842015371477369</v>
      </c>
      <c r="H146" s="67">
        <v>0.15883859948761742</v>
      </c>
      <c r="I146" s="68">
        <v>9089.9509803921574</v>
      </c>
      <c r="J146" s="68">
        <v>-8183.333333333333</v>
      </c>
      <c r="K146" s="67">
        <v>0.1048951048951049</v>
      </c>
      <c r="L146" s="67">
        <v>0.17482517482517482</v>
      </c>
      <c r="M146" s="67">
        <v>0.3142613151152861</v>
      </c>
      <c r="N146" s="67">
        <v>0.22117847993168233</v>
      </c>
      <c r="O146" s="67">
        <v>0.57880434782608692</v>
      </c>
      <c r="P146" s="67">
        <v>0.51737451737451734</v>
      </c>
      <c r="Q146" s="67">
        <v>0.41421568627450983</v>
      </c>
    </row>
    <row r="147" spans="1:17" x14ac:dyDescent="0.4">
      <c r="A147" s="69">
        <v>144</v>
      </c>
      <c r="B147" s="66">
        <v>1806.1000000000008</v>
      </c>
      <c r="C147" s="66">
        <v>12.542361111111116</v>
      </c>
      <c r="D147" s="71">
        <v>1.7361111111111112</v>
      </c>
      <c r="E147" s="67">
        <v>0.49305555555555558</v>
      </c>
      <c r="F147" s="67">
        <v>0.22916666666666666</v>
      </c>
      <c r="G147" s="67">
        <v>0.34860050890585242</v>
      </c>
      <c r="H147" s="67">
        <v>0.15860899067005937</v>
      </c>
      <c r="I147" s="68">
        <v>9114.3552311435524</v>
      </c>
      <c r="J147" s="68">
        <v>-8235.8288770053477</v>
      </c>
      <c r="K147" s="67">
        <v>0.10416666666666667</v>
      </c>
      <c r="L147" s="67">
        <v>0.1736111111111111</v>
      </c>
      <c r="M147" s="67">
        <v>0.31297709923664124</v>
      </c>
      <c r="N147" s="67">
        <v>0.22222222222222221</v>
      </c>
      <c r="O147" s="67">
        <v>0.57723577235772361</v>
      </c>
      <c r="P147" s="67">
        <v>0.51908396946564883</v>
      </c>
      <c r="Q147" s="67">
        <v>0.41362530413625304</v>
      </c>
    </row>
    <row r="148" spans="1:17" x14ac:dyDescent="0.4">
      <c r="A148" s="69">
        <v>145</v>
      </c>
      <c r="B148" s="66">
        <v>1774.3000000000009</v>
      </c>
      <c r="C148" s="66">
        <v>12.236551724137938</v>
      </c>
      <c r="D148" s="71">
        <v>1.7448275862068965</v>
      </c>
      <c r="E148" s="67">
        <v>0.48965517241379308</v>
      </c>
      <c r="F148" s="67">
        <v>0.23448275862068965</v>
      </c>
      <c r="G148" s="67">
        <v>0.34819175777964678</v>
      </c>
      <c r="H148" s="67">
        <v>0.159798149705635</v>
      </c>
      <c r="I148" s="68">
        <v>9094.4444444444453</v>
      </c>
      <c r="J148" s="68">
        <v>-8250.5263157894733</v>
      </c>
      <c r="K148" s="67">
        <v>0.10344827586206896</v>
      </c>
      <c r="L148" s="67">
        <v>0.17241379310344829</v>
      </c>
      <c r="M148" s="67">
        <v>0.31286795626576958</v>
      </c>
      <c r="N148" s="67">
        <v>0.22035323801513879</v>
      </c>
      <c r="O148" s="67">
        <v>0.57795698924731187</v>
      </c>
      <c r="P148" s="67">
        <v>0.51908396946564883</v>
      </c>
      <c r="Q148" s="67">
        <v>0.41062801932367149</v>
      </c>
    </row>
    <row r="149" spans="1:17" x14ac:dyDescent="0.4">
      <c r="A149" s="69">
        <v>146</v>
      </c>
      <c r="B149" s="66">
        <v>1767.0000000000009</v>
      </c>
      <c r="C149" s="66">
        <v>12.102739726027403</v>
      </c>
      <c r="D149" s="71">
        <v>1.7465753424657535</v>
      </c>
      <c r="E149" s="67">
        <v>0.4863013698630137</v>
      </c>
      <c r="F149" s="67">
        <v>0.23287671232876711</v>
      </c>
      <c r="G149" s="67">
        <v>0.34670008354218879</v>
      </c>
      <c r="H149" s="67">
        <v>0.16040100250626566</v>
      </c>
      <c r="I149" s="68">
        <v>9091.0843373493972</v>
      </c>
      <c r="J149" s="68">
        <v>-8247.9166666666661</v>
      </c>
      <c r="K149" s="67">
        <v>0.10273972602739725</v>
      </c>
      <c r="L149" s="67">
        <v>0.17123287671232876</v>
      </c>
      <c r="M149" s="67">
        <v>0.31244778613199664</v>
      </c>
      <c r="N149" s="67">
        <v>0.21888053467000834</v>
      </c>
      <c r="O149" s="67">
        <v>0.57486631016042777</v>
      </c>
      <c r="P149" s="67">
        <v>0.51908396946564883</v>
      </c>
      <c r="Q149" s="67">
        <v>0.40963855421686746</v>
      </c>
    </row>
    <row r="150" spans="1:17" x14ac:dyDescent="0.4">
      <c r="A150" s="69">
        <v>147</v>
      </c>
      <c r="B150" s="66">
        <v>1763.5000000000009</v>
      </c>
      <c r="C150" s="66">
        <v>11.996598639455788</v>
      </c>
      <c r="D150" s="71">
        <v>1.7482993197278911</v>
      </c>
      <c r="E150" s="67">
        <v>0.48299319727891155</v>
      </c>
      <c r="F150" s="67">
        <v>0.23129251700680273</v>
      </c>
      <c r="G150" s="67">
        <v>0.34551495016611294</v>
      </c>
      <c r="H150" s="67">
        <v>0.15946843853820597</v>
      </c>
      <c r="I150" s="68">
        <v>9088.461538461539</v>
      </c>
      <c r="J150" s="68">
        <v>-8247.9166666666661</v>
      </c>
      <c r="K150" s="67">
        <v>0.10204081632653061</v>
      </c>
      <c r="L150" s="67">
        <v>0.17006802721088435</v>
      </c>
      <c r="M150" s="67">
        <v>0.31146179401993357</v>
      </c>
      <c r="N150" s="67">
        <v>0.22009966777408638</v>
      </c>
      <c r="O150" s="67">
        <v>0.57333333333333336</v>
      </c>
      <c r="P150" s="67">
        <v>0.51698113207547169</v>
      </c>
      <c r="Q150" s="67">
        <v>0.40865384615384615</v>
      </c>
    </row>
    <row r="151" spans="1:17" x14ac:dyDescent="0.4">
      <c r="A151" s="69">
        <v>148</v>
      </c>
      <c r="B151" s="66">
        <v>1727.1000000000008</v>
      </c>
      <c r="C151" s="66">
        <v>11.669594594594599</v>
      </c>
      <c r="D151" s="71">
        <v>1.7567567567567568</v>
      </c>
      <c r="E151" s="67">
        <v>0.47972972972972971</v>
      </c>
      <c r="F151" s="67">
        <v>0.23648648648648649</v>
      </c>
      <c r="G151" s="67">
        <v>0.34349258649093906</v>
      </c>
      <c r="H151" s="67">
        <v>0.15980230642504117</v>
      </c>
      <c r="I151" s="68">
        <v>9085.851318944844</v>
      </c>
      <c r="J151" s="68">
        <v>-8265.4639175257726</v>
      </c>
      <c r="K151" s="67">
        <v>0.10135135135135136</v>
      </c>
      <c r="L151" s="67">
        <v>0.16891891891891891</v>
      </c>
      <c r="M151" s="67">
        <v>0.30971993410214166</v>
      </c>
      <c r="N151" s="67">
        <v>0.21993410214168038</v>
      </c>
      <c r="O151" s="67">
        <v>0.57180851063829785</v>
      </c>
      <c r="P151" s="67">
        <v>0.5168539325842697</v>
      </c>
      <c r="Q151" s="67">
        <v>0.407673860911271</v>
      </c>
    </row>
    <row r="152" spans="1:17" x14ac:dyDescent="0.4">
      <c r="A152" s="69">
        <v>149</v>
      </c>
      <c r="B152" s="66">
        <v>1744.7000000000007</v>
      </c>
      <c r="C152" s="66">
        <v>11.709395973154367</v>
      </c>
      <c r="D152" s="71">
        <v>1.7583892617449663</v>
      </c>
      <c r="E152" s="67">
        <v>0.47651006711409394</v>
      </c>
      <c r="F152" s="67">
        <v>0.2348993288590604</v>
      </c>
      <c r="G152" s="67">
        <v>0.34369885433715219</v>
      </c>
      <c r="H152" s="67">
        <v>0.15875613747954173</v>
      </c>
      <c r="I152" s="68">
        <v>9075.9523809523816</v>
      </c>
      <c r="J152" s="68">
        <v>-8265.4639175257726</v>
      </c>
      <c r="K152" s="67">
        <v>0.10067114093959731</v>
      </c>
      <c r="L152" s="67">
        <v>0.16778523489932887</v>
      </c>
      <c r="M152" s="67">
        <v>0.31014729950900166</v>
      </c>
      <c r="N152" s="67">
        <v>0.21931260229132571</v>
      </c>
      <c r="O152" s="67">
        <v>0.57519788918205805</v>
      </c>
      <c r="P152" s="67">
        <v>0.5149253731343284</v>
      </c>
      <c r="Q152" s="67">
        <v>0.40714285714285714</v>
      </c>
    </row>
    <row r="153" spans="1:17" x14ac:dyDescent="0.4">
      <c r="A153" s="69">
        <v>150</v>
      </c>
      <c r="B153" s="66">
        <v>1788.5000000000007</v>
      </c>
      <c r="C153" s="66">
        <v>11.923333333333337</v>
      </c>
      <c r="D153" s="71">
        <v>1.7533333333333334</v>
      </c>
      <c r="E153" s="67">
        <v>0.48</v>
      </c>
      <c r="F153" s="67">
        <v>0.23333333333333334</v>
      </c>
      <c r="G153" s="67">
        <v>0.34471544715447155</v>
      </c>
      <c r="H153" s="67">
        <v>0.15772357723577235</v>
      </c>
      <c r="I153" s="68">
        <v>9064.3867924528295</v>
      </c>
      <c r="J153" s="68">
        <v>-8265.4639175257726</v>
      </c>
      <c r="K153" s="67">
        <v>0.1</v>
      </c>
      <c r="L153" s="67">
        <v>0.17333333333333334</v>
      </c>
      <c r="M153" s="67">
        <v>0.31056910569105689</v>
      </c>
      <c r="N153" s="67">
        <v>0.21951219512195122</v>
      </c>
      <c r="O153" s="67">
        <v>0.5759162303664922</v>
      </c>
      <c r="P153" s="67">
        <v>0.51851851851851849</v>
      </c>
      <c r="Q153" s="67">
        <v>0.40801886792452829</v>
      </c>
    </row>
    <row r="154" spans="1:17" x14ac:dyDescent="0.4">
      <c r="A154" s="69">
        <v>151</v>
      </c>
      <c r="B154" s="66">
        <v>1847.5000000000007</v>
      </c>
      <c r="C154" s="66">
        <v>12.235099337748348</v>
      </c>
      <c r="D154" s="71">
        <v>1.7483443708609272</v>
      </c>
      <c r="E154" s="67">
        <v>0.48344370860927155</v>
      </c>
      <c r="F154" s="67">
        <v>0.23178807947019867</v>
      </c>
      <c r="G154" s="67">
        <v>0.34543987086359967</v>
      </c>
      <c r="H154" s="67">
        <v>0.15738498789346247</v>
      </c>
      <c r="I154" s="68">
        <v>9089.9532710280382</v>
      </c>
      <c r="J154" s="68">
        <v>-8262.5641025641035</v>
      </c>
      <c r="K154" s="67">
        <v>9.9337748344370855E-2</v>
      </c>
      <c r="L154" s="67">
        <v>0.17880794701986755</v>
      </c>
      <c r="M154" s="67">
        <v>0.31234866828087166</v>
      </c>
      <c r="N154" s="67">
        <v>0.21791767554479419</v>
      </c>
      <c r="O154" s="67">
        <v>0.57622739018087854</v>
      </c>
      <c r="P154" s="67">
        <v>0.51851851851851849</v>
      </c>
      <c r="Q154" s="67">
        <v>0.40887850467289721</v>
      </c>
    </row>
    <row r="155" spans="1:17" x14ac:dyDescent="0.4">
      <c r="A155" s="69">
        <v>152</v>
      </c>
      <c r="B155" s="66">
        <v>1812.8000000000006</v>
      </c>
      <c r="C155" s="66">
        <v>11.926315789473689</v>
      </c>
      <c r="D155" s="71">
        <v>1.756578947368421</v>
      </c>
      <c r="E155" s="67">
        <v>0.48026315789473684</v>
      </c>
      <c r="F155" s="67">
        <v>0.23684210526315788</v>
      </c>
      <c r="G155" s="67">
        <v>0.34430176565008025</v>
      </c>
      <c r="H155" s="67">
        <v>0.15730337078651685</v>
      </c>
      <c r="I155" s="68">
        <v>9096.7365967365968</v>
      </c>
      <c r="J155" s="68">
        <v>-8253.0612244897966</v>
      </c>
      <c r="K155" s="67">
        <v>9.8684210526315791E-2</v>
      </c>
      <c r="L155" s="67">
        <v>0.17763157894736842</v>
      </c>
      <c r="M155" s="67">
        <v>0.3130016051364366</v>
      </c>
      <c r="N155" s="67">
        <v>0.21669341894060995</v>
      </c>
      <c r="O155" s="67">
        <v>0.57435897435897432</v>
      </c>
      <c r="P155" s="67">
        <v>0.51851851851851849</v>
      </c>
      <c r="Q155" s="67">
        <v>0.41025641025641024</v>
      </c>
    </row>
    <row r="156" spans="1:17" x14ac:dyDescent="0.4">
      <c r="A156" s="69">
        <v>153</v>
      </c>
      <c r="B156" s="66">
        <v>1805.4000000000005</v>
      </c>
      <c r="C156" s="66">
        <v>11.800000000000004</v>
      </c>
      <c r="D156" s="71">
        <v>1.7581699346405228</v>
      </c>
      <c r="E156" s="67">
        <v>0.47712418300653597</v>
      </c>
      <c r="F156" s="67">
        <v>0.23529411764705882</v>
      </c>
      <c r="G156" s="67">
        <v>0.34397446129289705</v>
      </c>
      <c r="H156" s="67">
        <v>0.15722266560255388</v>
      </c>
      <c r="I156" s="68">
        <v>9078.8863109048725</v>
      </c>
      <c r="J156" s="68">
        <v>-8230.9644670050766</v>
      </c>
      <c r="K156" s="67">
        <v>9.8039215686274508E-2</v>
      </c>
      <c r="L156" s="67">
        <v>0.17647058823529413</v>
      </c>
      <c r="M156" s="67">
        <v>0.31364724660814047</v>
      </c>
      <c r="N156" s="67">
        <v>0.2154828411811652</v>
      </c>
      <c r="O156" s="67">
        <v>0.5750636132315522</v>
      </c>
      <c r="P156" s="67">
        <v>0.51851851851851849</v>
      </c>
      <c r="Q156" s="67">
        <v>0.41067285382830626</v>
      </c>
    </row>
    <row r="157" spans="1:17" x14ac:dyDescent="0.4">
      <c r="A157" s="69">
        <v>154</v>
      </c>
      <c r="B157" s="66">
        <v>1855.1000000000006</v>
      </c>
      <c r="C157" s="66">
        <v>12.046103896103899</v>
      </c>
      <c r="D157" s="71">
        <v>1.7532467532467533</v>
      </c>
      <c r="E157" s="67">
        <v>0.48051948051948051</v>
      </c>
      <c r="F157" s="67">
        <v>0.23376623376623376</v>
      </c>
      <c r="G157" s="67">
        <v>0.34365079365079365</v>
      </c>
      <c r="H157" s="67">
        <v>0.15634920634920635</v>
      </c>
      <c r="I157" s="68">
        <v>9122.8637413394918</v>
      </c>
      <c r="J157" s="68">
        <v>-8230.9644670050766</v>
      </c>
      <c r="K157" s="67">
        <v>9.7402597402597407E-2</v>
      </c>
      <c r="L157" s="67">
        <v>0.17532467532467533</v>
      </c>
      <c r="M157" s="67">
        <v>0.31349206349206349</v>
      </c>
      <c r="N157" s="67">
        <v>0.21587301587301588</v>
      </c>
      <c r="O157" s="67">
        <v>0.57721518987341769</v>
      </c>
      <c r="P157" s="67">
        <v>0.51470588235294112</v>
      </c>
      <c r="Q157" s="67">
        <v>0.4110854503464203</v>
      </c>
    </row>
    <row r="158" spans="1:17" x14ac:dyDescent="0.4">
      <c r="A158" s="69">
        <v>155</v>
      </c>
      <c r="B158" s="66">
        <v>1940.5000000000007</v>
      </c>
      <c r="C158" s="66">
        <v>12.519354838709681</v>
      </c>
      <c r="D158" s="71">
        <v>1.7483870967741935</v>
      </c>
      <c r="E158" s="67">
        <v>0.4838709677419355</v>
      </c>
      <c r="F158" s="67">
        <v>0.23225806451612904</v>
      </c>
      <c r="G158" s="67">
        <v>0.34414556962025317</v>
      </c>
      <c r="H158" s="67">
        <v>0.15664556962025317</v>
      </c>
      <c r="I158" s="68">
        <v>9232.6436781609191</v>
      </c>
      <c r="J158" s="68">
        <v>-8237.878787878788</v>
      </c>
      <c r="K158" s="67">
        <v>9.6774193548387094E-2</v>
      </c>
      <c r="L158" s="67">
        <v>0.18064516129032257</v>
      </c>
      <c r="M158" s="67">
        <v>0.31329113924050633</v>
      </c>
      <c r="N158" s="67">
        <v>0.21677215189873417</v>
      </c>
      <c r="O158" s="67">
        <v>0.5757575757575758</v>
      </c>
      <c r="P158" s="67">
        <v>0.51459854014598538</v>
      </c>
      <c r="Q158" s="67">
        <v>0.41379310344827586</v>
      </c>
    </row>
    <row r="159" spans="1:17" x14ac:dyDescent="0.4">
      <c r="A159" s="69">
        <v>156</v>
      </c>
      <c r="B159" s="66">
        <v>2009.8000000000006</v>
      </c>
      <c r="C159" s="66">
        <v>12.883333333333338</v>
      </c>
      <c r="D159" s="71">
        <v>1.7435897435897436</v>
      </c>
      <c r="E159" s="67">
        <v>0.48717948717948717</v>
      </c>
      <c r="F159" s="67">
        <v>0.23076923076923078</v>
      </c>
      <c r="G159" s="67">
        <v>0.34536891679748821</v>
      </c>
      <c r="H159" s="67">
        <v>0.15620094191522763</v>
      </c>
      <c r="I159" s="68">
        <v>9240.681818181818</v>
      </c>
      <c r="J159" s="68">
        <v>-8216.0804020100495</v>
      </c>
      <c r="K159" s="67">
        <v>9.6153846153846159E-2</v>
      </c>
      <c r="L159" s="67">
        <v>0.17948717948717949</v>
      </c>
      <c r="M159" s="67">
        <v>0.31240188383045525</v>
      </c>
      <c r="N159" s="67">
        <v>0.21742543171114601</v>
      </c>
      <c r="O159" s="67">
        <v>0.57788944723618085</v>
      </c>
      <c r="P159" s="67">
        <v>0.51624548736462095</v>
      </c>
      <c r="Q159" s="67">
        <v>0.41590909090909089</v>
      </c>
    </row>
    <row r="160" spans="1:17" x14ac:dyDescent="0.4">
      <c r="A160" s="69">
        <v>157</v>
      </c>
      <c r="B160" s="66">
        <v>2024.8000000000006</v>
      </c>
      <c r="C160" s="66">
        <v>12.896815286624207</v>
      </c>
      <c r="D160" s="71">
        <v>1.7452229299363058</v>
      </c>
      <c r="E160" s="67">
        <v>0.48407643312101911</v>
      </c>
      <c r="F160" s="67">
        <v>0.22929936305732485</v>
      </c>
      <c r="G160" s="67">
        <v>0.34399375975039004</v>
      </c>
      <c r="H160" s="67">
        <v>0.15678627145085802</v>
      </c>
      <c r="I160" s="68">
        <v>9328.5714285714294</v>
      </c>
      <c r="J160" s="68">
        <v>-8203.9800995024871</v>
      </c>
      <c r="K160" s="67">
        <v>9.5541401273885357E-2</v>
      </c>
      <c r="L160" s="67">
        <v>0.17834394904458598</v>
      </c>
      <c r="M160" s="67">
        <v>0.31279251170046801</v>
      </c>
      <c r="N160" s="67">
        <v>0.21684867394695787</v>
      </c>
      <c r="O160" s="67">
        <v>0.57605985037406482</v>
      </c>
      <c r="P160" s="67">
        <v>0.51438848920863312</v>
      </c>
      <c r="Q160" s="67">
        <v>0.41723356009070295</v>
      </c>
    </row>
    <row r="161" spans="1:17" x14ac:dyDescent="0.4">
      <c r="A161" s="69">
        <v>158</v>
      </c>
      <c r="B161" s="66">
        <v>1973.9000000000005</v>
      </c>
      <c r="C161" s="66">
        <v>12.493037974683547</v>
      </c>
      <c r="D161" s="71">
        <v>1.7531645569620253</v>
      </c>
      <c r="E161" s="67">
        <v>0.48101265822784811</v>
      </c>
      <c r="F161" s="67">
        <v>0.23417721518987342</v>
      </c>
      <c r="G161" s="67">
        <v>0.34259259259259262</v>
      </c>
      <c r="H161" s="67">
        <v>0.15740740740740741</v>
      </c>
      <c r="I161" s="68">
        <v>9332.2072072072078</v>
      </c>
      <c r="J161" s="68">
        <v>-8229.4117647058829</v>
      </c>
      <c r="K161" s="67">
        <v>9.49367088607595E-2</v>
      </c>
      <c r="L161" s="67">
        <v>0.17721518987341772</v>
      </c>
      <c r="M161" s="67">
        <v>0.31095679012345678</v>
      </c>
      <c r="N161" s="67">
        <v>0.21527777777777779</v>
      </c>
      <c r="O161" s="67">
        <v>0.57816377171215882</v>
      </c>
      <c r="P161" s="67">
        <v>0.5161290322580645</v>
      </c>
      <c r="Q161" s="67">
        <v>0.42117117117117114</v>
      </c>
    </row>
    <row r="162" spans="1:17" x14ac:dyDescent="0.4">
      <c r="A162" s="69">
        <v>159</v>
      </c>
      <c r="B162" s="66">
        <v>1932.7000000000005</v>
      </c>
      <c r="C162" s="66">
        <v>12.155345911949688</v>
      </c>
      <c r="D162" s="71">
        <v>1.7610062893081762</v>
      </c>
      <c r="E162" s="67">
        <v>0.4779874213836478</v>
      </c>
      <c r="F162" s="67">
        <v>0.2389937106918239</v>
      </c>
      <c r="G162" s="67">
        <v>0.34150076569678406</v>
      </c>
      <c r="H162" s="67">
        <v>0.15620214395099541</v>
      </c>
      <c r="I162" s="68">
        <v>9309.192825112108</v>
      </c>
      <c r="J162" s="68">
        <v>-8229.4117647058829</v>
      </c>
      <c r="K162" s="67">
        <v>9.4339622641509441E-2</v>
      </c>
      <c r="L162" s="67">
        <v>0.1761006289308176</v>
      </c>
      <c r="M162" s="67">
        <v>0.31240428790199082</v>
      </c>
      <c r="N162" s="67">
        <v>0.21362940275650844</v>
      </c>
      <c r="O162" s="67">
        <v>0.5759803921568627</v>
      </c>
      <c r="P162" s="67">
        <v>0.5161290322580645</v>
      </c>
      <c r="Q162" s="67">
        <v>0.41928251121076232</v>
      </c>
    </row>
    <row r="163" spans="1:17" x14ac:dyDescent="0.4">
      <c r="A163" s="69">
        <v>160</v>
      </c>
      <c r="B163" s="66">
        <v>1899.8000000000004</v>
      </c>
      <c r="C163" s="66">
        <v>11.873750000000003</v>
      </c>
      <c r="D163" s="71">
        <v>1.76875</v>
      </c>
      <c r="E163" s="67">
        <v>0.47499999999999998</v>
      </c>
      <c r="F163" s="67">
        <v>0.24374999999999999</v>
      </c>
      <c r="G163" s="67">
        <v>0.34040940106141016</v>
      </c>
      <c r="H163" s="67">
        <v>0.15466262319939347</v>
      </c>
      <c r="I163" s="68">
        <v>9295.3229398663698</v>
      </c>
      <c r="J163" s="68">
        <v>-8229.4117647058829</v>
      </c>
      <c r="K163" s="67">
        <v>9.375E-2</v>
      </c>
      <c r="L163" s="67">
        <v>0.17499999999999999</v>
      </c>
      <c r="M163" s="67">
        <v>0.31235784685367701</v>
      </c>
      <c r="N163" s="67">
        <v>0.21228203184230476</v>
      </c>
      <c r="O163" s="67">
        <v>0.57524271844660191</v>
      </c>
      <c r="P163" s="67">
        <v>0.5178571428571429</v>
      </c>
      <c r="Q163" s="67">
        <v>0.41870824053452116</v>
      </c>
    </row>
    <row r="164" spans="1:17" x14ac:dyDescent="0.4">
      <c r="A164" s="69">
        <v>161</v>
      </c>
      <c r="B164" s="66">
        <v>1913.3000000000004</v>
      </c>
      <c r="C164" s="66">
        <v>11.883850931677021</v>
      </c>
      <c r="D164" s="71">
        <v>1.7701863354037266</v>
      </c>
      <c r="E164" s="67">
        <v>0.47204968944099379</v>
      </c>
      <c r="F164" s="67">
        <v>0.24223602484472051</v>
      </c>
      <c r="G164" s="67">
        <v>0.34061793519216277</v>
      </c>
      <c r="H164" s="67">
        <v>0.15373021853805577</v>
      </c>
      <c r="I164" s="68">
        <v>9299.5575221238942</v>
      </c>
      <c r="J164" s="68">
        <v>-8229.4117647058829</v>
      </c>
      <c r="K164" s="67">
        <v>9.3167701863354033E-2</v>
      </c>
      <c r="L164" s="67">
        <v>0.17391304347826086</v>
      </c>
      <c r="M164" s="67">
        <v>0.31424265259984929</v>
      </c>
      <c r="N164" s="67">
        <v>0.21175584024114544</v>
      </c>
      <c r="O164" s="67">
        <v>0.57314148681055155</v>
      </c>
      <c r="P164" s="67">
        <v>0.5195729537366548</v>
      </c>
      <c r="Q164" s="67">
        <v>0.42035398230088494</v>
      </c>
    </row>
    <row r="165" spans="1:17" x14ac:dyDescent="0.4">
      <c r="A165" s="69">
        <v>162</v>
      </c>
      <c r="B165" s="66">
        <v>1955.5000000000005</v>
      </c>
      <c r="C165" s="66">
        <v>12.070987654320991</v>
      </c>
      <c r="D165" s="71">
        <v>1.7654320987654322</v>
      </c>
      <c r="E165" s="67">
        <v>0.47530864197530864</v>
      </c>
      <c r="F165" s="67">
        <v>0.24074074074074073</v>
      </c>
      <c r="G165" s="67">
        <v>0.34107946026986508</v>
      </c>
      <c r="H165" s="67">
        <v>0.15367316341829085</v>
      </c>
      <c r="I165" s="68">
        <v>9312.3076923076915</v>
      </c>
      <c r="J165" s="68">
        <v>-8267.3170731707323</v>
      </c>
      <c r="K165" s="67">
        <v>9.2592592592592587E-2</v>
      </c>
      <c r="L165" s="67">
        <v>0.17901234567901234</v>
      </c>
      <c r="M165" s="67">
        <v>0.31409295352323841</v>
      </c>
      <c r="N165" s="67">
        <v>0.21139430284857572</v>
      </c>
      <c r="O165" s="67">
        <v>0.57279236276849643</v>
      </c>
      <c r="P165" s="67">
        <v>0.52127659574468088</v>
      </c>
      <c r="Q165" s="67">
        <v>0.41978021978021979</v>
      </c>
    </row>
    <row r="166" spans="1:17" x14ac:dyDescent="0.4">
      <c r="A166" s="69">
        <v>163</v>
      </c>
      <c r="B166" s="66">
        <v>1950.5000000000005</v>
      </c>
      <c r="C166" s="66">
        <v>11.966257668711659</v>
      </c>
      <c r="D166" s="71">
        <v>1.7668711656441718</v>
      </c>
      <c r="E166" s="67">
        <v>0.47239263803680981</v>
      </c>
      <c r="F166" s="67">
        <v>0.2392638036809816</v>
      </c>
      <c r="G166" s="67">
        <v>0.34055265123226286</v>
      </c>
      <c r="H166" s="67">
        <v>0.1530993278566094</v>
      </c>
      <c r="I166" s="68">
        <v>9309.4298245614027</v>
      </c>
      <c r="J166" s="68">
        <v>-8267.3170731707323</v>
      </c>
      <c r="K166" s="67">
        <v>9.202453987730061E-2</v>
      </c>
      <c r="L166" s="67">
        <v>0.17791411042944785</v>
      </c>
      <c r="M166" s="67">
        <v>0.31292008961911877</v>
      </c>
      <c r="N166" s="67">
        <v>0.210604929051531</v>
      </c>
      <c r="O166" s="67">
        <v>0.57279236276849643</v>
      </c>
      <c r="P166" s="67">
        <v>0.52127659574468088</v>
      </c>
      <c r="Q166" s="67">
        <v>0.41885964912280704</v>
      </c>
    </row>
    <row r="167" spans="1:17" x14ac:dyDescent="0.4">
      <c r="A167" s="69">
        <v>164</v>
      </c>
      <c r="B167" s="66">
        <v>1985.5000000000005</v>
      </c>
      <c r="C167" s="66">
        <v>12.106707317073173</v>
      </c>
      <c r="D167" s="71">
        <v>1.7621951219512195</v>
      </c>
      <c r="E167" s="67">
        <v>0.47560975609756095</v>
      </c>
      <c r="F167" s="67">
        <v>0.23780487804878048</v>
      </c>
      <c r="G167" s="67">
        <v>0.34025203854707192</v>
      </c>
      <c r="H167" s="67">
        <v>0.15418828762045961</v>
      </c>
      <c r="I167" s="68">
        <v>9294.3355119825701</v>
      </c>
      <c r="J167" s="68">
        <v>-8188.9423076923076</v>
      </c>
      <c r="K167" s="67">
        <v>9.1463414634146339E-2</v>
      </c>
      <c r="L167" s="67">
        <v>0.17682926829268292</v>
      </c>
      <c r="M167" s="67">
        <v>0.31356560415122314</v>
      </c>
      <c r="N167" s="67">
        <v>0.21052631578947367</v>
      </c>
      <c r="O167" s="67">
        <v>0.5721040189125296</v>
      </c>
      <c r="P167" s="67">
        <v>0.52112676056338025</v>
      </c>
      <c r="Q167" s="67">
        <v>0.41830065359477125</v>
      </c>
    </row>
    <row r="168" spans="1:17" x14ac:dyDescent="0.4">
      <c r="A168" s="69">
        <v>165</v>
      </c>
      <c r="B168" s="66">
        <v>1995.0000000000005</v>
      </c>
      <c r="C168" s="66">
        <v>12.090909090909093</v>
      </c>
      <c r="D168" s="71">
        <v>1.7636363636363637</v>
      </c>
      <c r="E168" s="67">
        <v>0.47272727272727272</v>
      </c>
      <c r="F168" s="67">
        <v>0.23636363636363636</v>
      </c>
      <c r="G168" s="67">
        <v>0.34022140221402214</v>
      </c>
      <c r="H168" s="67">
        <v>0.15350553505535056</v>
      </c>
      <c r="I168" s="68">
        <v>9275.7049891540137</v>
      </c>
      <c r="J168" s="68">
        <v>-8188.9423076923076</v>
      </c>
      <c r="K168" s="67">
        <v>9.0909090909090912E-2</v>
      </c>
      <c r="L168" s="67">
        <v>0.17575757575757575</v>
      </c>
      <c r="M168" s="67">
        <v>0.31291512915129149</v>
      </c>
      <c r="N168" s="67">
        <v>0.2095940959409594</v>
      </c>
      <c r="O168" s="67">
        <v>0.57311320754716977</v>
      </c>
      <c r="P168" s="67">
        <v>0.52112676056338025</v>
      </c>
      <c r="Q168" s="67">
        <v>0.41865509761388287</v>
      </c>
    </row>
    <row r="169" spans="1:17" x14ac:dyDescent="0.4">
      <c r="A169" s="69">
        <v>166</v>
      </c>
      <c r="B169" s="66">
        <v>1939.7000000000005</v>
      </c>
      <c r="C169" s="66">
        <v>11.684939759036148</v>
      </c>
      <c r="D169" s="71">
        <v>1.7710843373493976</v>
      </c>
      <c r="E169" s="67">
        <v>0.46987951807228917</v>
      </c>
      <c r="F169" s="67">
        <v>0.24096385542168675</v>
      </c>
      <c r="G169" s="67">
        <v>0.33946980854197351</v>
      </c>
      <c r="H169" s="67">
        <v>0.15463917525773196</v>
      </c>
      <c r="I169" s="68">
        <v>9275.7049891540137</v>
      </c>
      <c r="J169" s="68">
        <v>-8252.8571428571431</v>
      </c>
      <c r="K169" s="67">
        <v>9.6385542168674704E-2</v>
      </c>
      <c r="L169" s="67">
        <v>0.1746987951807229</v>
      </c>
      <c r="M169" s="67">
        <v>0.31222385861561119</v>
      </c>
      <c r="N169" s="67">
        <v>0.20913107511045656</v>
      </c>
      <c r="O169" s="67">
        <v>0.57311320754716977</v>
      </c>
      <c r="P169" s="67">
        <v>0.52112676056338025</v>
      </c>
      <c r="Q169" s="67">
        <v>0.41865509761388287</v>
      </c>
    </row>
    <row r="170" spans="1:17" x14ac:dyDescent="0.4">
      <c r="A170" s="69">
        <v>167</v>
      </c>
      <c r="B170" s="66">
        <v>1970.7000000000005</v>
      </c>
      <c r="C170" s="66">
        <v>11.800598802395212</v>
      </c>
      <c r="D170" s="71">
        <v>1.7664670658682635</v>
      </c>
      <c r="E170" s="67">
        <v>0.47305389221556887</v>
      </c>
      <c r="F170" s="67">
        <v>0.23952095808383234</v>
      </c>
      <c r="G170" s="67">
        <v>0.33868613138686132</v>
      </c>
      <c r="H170" s="67">
        <v>0.15401459854014599</v>
      </c>
      <c r="I170" s="68">
        <v>9264.439655172413</v>
      </c>
      <c r="J170" s="68">
        <v>-8220.8530805687205</v>
      </c>
      <c r="K170" s="67">
        <v>9.580838323353294E-2</v>
      </c>
      <c r="L170" s="67">
        <v>0.17365269461077845</v>
      </c>
      <c r="M170" s="67">
        <v>0.31459854014598543</v>
      </c>
      <c r="N170" s="67">
        <v>0.2072992700729927</v>
      </c>
      <c r="O170" s="67">
        <v>0.57076566125290018</v>
      </c>
      <c r="P170" s="67">
        <v>0.52112676056338025</v>
      </c>
      <c r="Q170" s="67">
        <v>0.42025862068965519</v>
      </c>
    </row>
    <row r="171" spans="1:17" x14ac:dyDescent="0.4">
      <c r="A171" s="69">
        <v>168</v>
      </c>
      <c r="B171" s="66">
        <v>1935.4000000000005</v>
      </c>
      <c r="C171" s="66">
        <v>11.520238095238099</v>
      </c>
      <c r="D171" s="71">
        <v>1.7738095238095237</v>
      </c>
      <c r="E171" s="67">
        <v>0.47023809523809523</v>
      </c>
      <c r="F171" s="67">
        <v>0.24404761904761904</v>
      </c>
      <c r="G171" s="67">
        <v>0.33816075307748011</v>
      </c>
      <c r="H171" s="67">
        <v>0.1556842867487328</v>
      </c>
      <c r="I171" s="68">
        <v>9254.1755888650969</v>
      </c>
      <c r="J171" s="68">
        <v>-8183.2558139534885</v>
      </c>
      <c r="K171" s="67">
        <v>9.5238095238095233E-2</v>
      </c>
      <c r="L171" s="67">
        <v>0.17261904761904762</v>
      </c>
      <c r="M171" s="67">
        <v>0.31426502534395367</v>
      </c>
      <c r="N171" s="67">
        <v>0.20854453294713976</v>
      </c>
      <c r="O171" s="67">
        <v>0.56912442396313367</v>
      </c>
      <c r="P171" s="67">
        <v>0.52083333333333337</v>
      </c>
      <c r="Q171" s="67">
        <v>0.41970021413276232</v>
      </c>
    </row>
    <row r="172" spans="1:17" x14ac:dyDescent="0.4">
      <c r="A172" s="69">
        <v>169</v>
      </c>
      <c r="B172" s="66">
        <v>1974.5000000000005</v>
      </c>
      <c r="C172" s="66">
        <v>11.683431952662724</v>
      </c>
      <c r="D172" s="71">
        <v>1.7692307692307692</v>
      </c>
      <c r="E172" s="67">
        <v>0.47337278106508873</v>
      </c>
      <c r="F172" s="67">
        <v>0.24260355029585798</v>
      </c>
      <c r="G172" s="67">
        <v>0.33741007194244604</v>
      </c>
      <c r="H172" s="67">
        <v>0.1553956834532374</v>
      </c>
      <c r="I172" s="68">
        <v>9265.8848614072504</v>
      </c>
      <c r="J172" s="68">
        <v>-8163.4259259259261</v>
      </c>
      <c r="K172" s="67">
        <v>9.4674556213017749E-2</v>
      </c>
      <c r="L172" s="67">
        <v>0.17159763313609466</v>
      </c>
      <c r="M172" s="67">
        <v>0.3143884892086331</v>
      </c>
      <c r="N172" s="67">
        <v>0.2079136690647482</v>
      </c>
      <c r="O172" s="67">
        <v>0.56979405034324948</v>
      </c>
      <c r="P172" s="67">
        <v>0.51903114186851207</v>
      </c>
      <c r="Q172" s="67">
        <v>0.41791044776119401</v>
      </c>
    </row>
    <row r="173" spans="1:17" x14ac:dyDescent="0.4">
      <c r="A173" s="69">
        <v>170</v>
      </c>
      <c r="B173" s="66">
        <v>2029.1000000000004</v>
      </c>
      <c r="C173" s="66">
        <v>11.935882352941178</v>
      </c>
      <c r="D173" s="71">
        <v>1.7647058823529411</v>
      </c>
      <c r="E173" s="67">
        <v>0.47647058823529409</v>
      </c>
      <c r="F173" s="67">
        <v>0.2411764705882353</v>
      </c>
      <c r="G173" s="67">
        <v>0.33882521489971346</v>
      </c>
      <c r="H173" s="67">
        <v>0.15472779369627507</v>
      </c>
      <c r="I173" s="68">
        <v>9252.2198731501048</v>
      </c>
      <c r="J173" s="68">
        <v>-8163.4259259259261</v>
      </c>
      <c r="K173" s="67">
        <v>9.4117647058823528E-2</v>
      </c>
      <c r="L173" s="67">
        <v>0.17647058823529413</v>
      </c>
      <c r="M173" s="67">
        <v>0.3144699140401146</v>
      </c>
      <c r="N173" s="67">
        <v>0.20845272206303725</v>
      </c>
      <c r="O173" s="67">
        <v>0.56947608200455579</v>
      </c>
      <c r="P173" s="67">
        <v>0.5223367697594502</v>
      </c>
      <c r="Q173" s="67">
        <v>0.41860465116279072</v>
      </c>
    </row>
    <row r="174" spans="1:17" x14ac:dyDescent="0.4">
      <c r="A174" s="69">
        <v>171</v>
      </c>
      <c r="B174" s="66">
        <v>2029.0000000000005</v>
      </c>
      <c r="C174" s="66">
        <v>11.865497076023395</v>
      </c>
      <c r="D174" s="71">
        <v>1.7660818713450293</v>
      </c>
      <c r="E174" s="67">
        <v>0.47368421052631576</v>
      </c>
      <c r="F174" s="67">
        <v>0.23976608187134502</v>
      </c>
      <c r="G174" s="67">
        <v>0.33854907539118068</v>
      </c>
      <c r="H174" s="67">
        <v>0.15433854907539118</v>
      </c>
      <c r="I174" s="68">
        <v>9247.6890756302528</v>
      </c>
      <c r="J174" s="68">
        <v>-8162.6728110599079</v>
      </c>
      <c r="K174" s="67">
        <v>9.3567251461988299E-2</v>
      </c>
      <c r="L174" s="67">
        <v>0.17543859649122806</v>
      </c>
      <c r="M174" s="67">
        <v>0.31436699857752487</v>
      </c>
      <c r="N174" s="67">
        <v>0.20768136557610242</v>
      </c>
      <c r="O174" s="67">
        <v>0.57239819004524883</v>
      </c>
      <c r="P174" s="67">
        <v>0.52054794520547942</v>
      </c>
      <c r="Q174" s="67">
        <v>0.42016806722689076</v>
      </c>
    </row>
    <row r="175" spans="1:17" x14ac:dyDescent="0.4">
      <c r="A175" s="69">
        <v>172</v>
      </c>
      <c r="B175" s="66">
        <v>2041.9000000000005</v>
      </c>
      <c r="C175" s="66">
        <v>11.87151162790698</v>
      </c>
      <c r="D175" s="71">
        <v>1.7674418604651163</v>
      </c>
      <c r="E175" s="67">
        <v>0.47093023255813954</v>
      </c>
      <c r="F175" s="67">
        <v>0.23837209302325582</v>
      </c>
      <c r="G175" s="67">
        <v>0.33828733191790517</v>
      </c>
      <c r="H175" s="67">
        <v>0.15428167020523709</v>
      </c>
      <c r="I175" s="68">
        <v>9259.2050209205026</v>
      </c>
      <c r="J175" s="68">
        <v>-8161.9266055045873</v>
      </c>
      <c r="K175" s="67">
        <v>9.3023255813953487E-2</v>
      </c>
      <c r="L175" s="67">
        <v>0.1744186046511628</v>
      </c>
      <c r="M175" s="67">
        <v>0.31422505307855625</v>
      </c>
      <c r="N175" s="67">
        <v>0.20736022646850671</v>
      </c>
      <c r="O175" s="67">
        <v>0.57432432432432434</v>
      </c>
      <c r="P175" s="67">
        <v>0.51877133105802042</v>
      </c>
      <c r="Q175" s="67">
        <v>0.42050209205020922</v>
      </c>
    </row>
    <row r="176" spans="1:17" x14ac:dyDescent="0.4">
      <c r="A176" s="69">
        <v>173</v>
      </c>
      <c r="B176" s="66">
        <v>2064.5000000000005</v>
      </c>
      <c r="C176" s="66">
        <v>11.933526011560696</v>
      </c>
      <c r="D176" s="71">
        <v>1.76878612716763</v>
      </c>
      <c r="E176" s="67">
        <v>0.46820809248554912</v>
      </c>
      <c r="F176" s="67">
        <v>0.23699421965317918</v>
      </c>
      <c r="G176" s="67">
        <v>0.33919774806474312</v>
      </c>
      <c r="H176" s="67">
        <v>0.15411681914144967</v>
      </c>
      <c r="I176" s="68">
        <v>9243.3609958506222</v>
      </c>
      <c r="J176" s="68">
        <v>-8151.1415525114153</v>
      </c>
      <c r="K176" s="67">
        <v>9.2485549132947972E-2</v>
      </c>
      <c r="L176" s="67">
        <v>0.17341040462427745</v>
      </c>
      <c r="M176" s="67">
        <v>0.3138634764250528</v>
      </c>
      <c r="N176" s="67">
        <v>0.20830401125967629</v>
      </c>
      <c r="O176" s="67">
        <v>0.57623318385650224</v>
      </c>
      <c r="P176" s="67">
        <v>0.52027027027027029</v>
      </c>
      <c r="Q176" s="67">
        <v>0.42323651452282157</v>
      </c>
    </row>
    <row r="177" spans="1:17" x14ac:dyDescent="0.4">
      <c r="A177" s="69">
        <v>174</v>
      </c>
      <c r="B177" s="66">
        <v>2119.1000000000004</v>
      </c>
      <c r="C177" s="66">
        <v>12.17873563218391</v>
      </c>
      <c r="D177" s="71">
        <v>1.764367816091954</v>
      </c>
      <c r="E177" s="67">
        <v>0.47126436781609193</v>
      </c>
      <c r="F177" s="67">
        <v>0.23563218390804597</v>
      </c>
      <c r="G177" s="67">
        <v>0.33963585434173671</v>
      </c>
      <c r="H177" s="67">
        <v>0.15406162464985995</v>
      </c>
      <c r="I177" s="68">
        <v>9272.783505154639</v>
      </c>
      <c r="J177" s="68">
        <v>-8125.909090909091</v>
      </c>
      <c r="K177" s="67">
        <v>9.1954022988505746E-2</v>
      </c>
      <c r="L177" s="67">
        <v>0.17241379310344829</v>
      </c>
      <c r="M177" s="67">
        <v>0.31512605042016806</v>
      </c>
      <c r="N177" s="67">
        <v>0.20728291316526612</v>
      </c>
      <c r="O177" s="67">
        <v>0.57777777777777772</v>
      </c>
      <c r="P177" s="67">
        <v>0.52027027027027029</v>
      </c>
      <c r="Q177" s="67">
        <v>0.42268041237113402</v>
      </c>
    </row>
    <row r="178" spans="1:17" x14ac:dyDescent="0.4">
      <c r="A178" s="69">
        <v>175</v>
      </c>
      <c r="B178" s="66">
        <v>2085.3000000000002</v>
      </c>
      <c r="C178" s="66">
        <v>11.916</v>
      </c>
      <c r="D178" s="71">
        <v>1.7714285714285714</v>
      </c>
      <c r="E178" s="67">
        <v>0.46857142857142858</v>
      </c>
      <c r="F178" s="67">
        <v>0.24</v>
      </c>
      <c r="G178" s="67">
        <v>0.33844011142061281</v>
      </c>
      <c r="H178" s="67">
        <v>0.15389972144846797</v>
      </c>
      <c r="I178" s="68">
        <v>9278.3950617283954</v>
      </c>
      <c r="J178" s="68">
        <v>-8132.5791855203624</v>
      </c>
      <c r="K178" s="67">
        <v>9.1428571428571428E-2</v>
      </c>
      <c r="L178" s="67">
        <v>0.17142857142857143</v>
      </c>
      <c r="M178" s="67">
        <v>0.314066852367688</v>
      </c>
      <c r="N178" s="67">
        <v>0.20891364902506965</v>
      </c>
      <c r="O178" s="67">
        <v>0.57649667405764971</v>
      </c>
      <c r="P178" s="67">
        <v>0.51666666666666672</v>
      </c>
      <c r="Q178" s="67">
        <v>0.42386831275720166</v>
      </c>
    </row>
    <row r="179" spans="1:17" x14ac:dyDescent="0.4">
      <c r="A179" s="69">
        <v>176</v>
      </c>
      <c r="B179" s="66">
        <v>2053.5</v>
      </c>
      <c r="C179" s="66">
        <v>11.667613636363637</v>
      </c>
      <c r="D179" s="71">
        <v>1.7784090909090908</v>
      </c>
      <c r="E179" s="67">
        <v>0.46590909090909088</v>
      </c>
      <c r="F179" s="67">
        <v>0.24431818181818182</v>
      </c>
      <c r="G179" s="67">
        <v>0.33795013850415512</v>
      </c>
      <c r="H179" s="67">
        <v>0.15512465373961218</v>
      </c>
      <c r="I179" s="68">
        <v>9281.3524590163943</v>
      </c>
      <c r="J179" s="68">
        <v>-8129.9107142857147</v>
      </c>
      <c r="K179" s="67">
        <v>9.0909090909090912E-2</v>
      </c>
      <c r="L179" s="67">
        <v>0.17045454545454544</v>
      </c>
      <c r="M179" s="67">
        <v>0.31440443213296398</v>
      </c>
      <c r="N179" s="67">
        <v>0.20914127423822715</v>
      </c>
      <c r="O179" s="67">
        <v>0.5770925110132159</v>
      </c>
      <c r="P179" s="67">
        <v>0.51324503311258274</v>
      </c>
      <c r="Q179" s="67">
        <v>0.42418032786885246</v>
      </c>
    </row>
    <row r="180" spans="1:17" x14ac:dyDescent="0.4">
      <c r="A180" s="69">
        <v>177</v>
      </c>
      <c r="B180" s="66">
        <v>2089.6</v>
      </c>
      <c r="C180" s="66">
        <v>11.805649717514124</v>
      </c>
      <c r="D180" s="71">
        <v>1.7740112994350283</v>
      </c>
      <c r="E180" s="67">
        <v>0.46892655367231639</v>
      </c>
      <c r="F180" s="67">
        <v>0.24293785310734464</v>
      </c>
      <c r="G180" s="67">
        <v>0.33860977288368893</v>
      </c>
      <c r="H180" s="67">
        <v>0.15554026152787337</v>
      </c>
      <c r="I180" s="68">
        <v>9292.4796747967484</v>
      </c>
      <c r="J180" s="68">
        <v>-8146.4601769911505</v>
      </c>
      <c r="K180" s="67">
        <v>9.03954802259887E-2</v>
      </c>
      <c r="L180" s="67">
        <v>0.16949152542372881</v>
      </c>
      <c r="M180" s="67">
        <v>0.31314521679284241</v>
      </c>
      <c r="N180" s="67">
        <v>0.20853406744666209</v>
      </c>
      <c r="O180" s="67">
        <v>0.57802197802197797</v>
      </c>
      <c r="P180" s="67">
        <v>0.51485148514851486</v>
      </c>
      <c r="Q180" s="67">
        <v>0.42479674796747968</v>
      </c>
    </row>
    <row r="181" spans="1:17" x14ac:dyDescent="0.4">
      <c r="A181" s="69">
        <v>178</v>
      </c>
      <c r="B181" s="66">
        <v>2063.1999999999998</v>
      </c>
      <c r="C181" s="66">
        <v>11.591011235955055</v>
      </c>
      <c r="D181" s="71">
        <v>1.7808988764044944</v>
      </c>
      <c r="E181" s="67">
        <v>0.46629213483146065</v>
      </c>
      <c r="F181" s="67">
        <v>0.24719101123595505</v>
      </c>
      <c r="G181" s="67">
        <v>0.33790267306374228</v>
      </c>
      <c r="H181" s="67">
        <v>0.15627141877998629</v>
      </c>
      <c r="I181" s="68">
        <v>9297.9716024340778</v>
      </c>
      <c r="J181" s="68">
        <v>-8131.5789473684208</v>
      </c>
      <c r="K181" s="67">
        <v>8.98876404494382E-2</v>
      </c>
      <c r="L181" s="67">
        <v>0.16853932584269662</v>
      </c>
      <c r="M181" s="67">
        <v>0.31254283755997259</v>
      </c>
      <c r="N181" s="67">
        <v>0.20904729266620972</v>
      </c>
      <c r="O181" s="67">
        <v>0.57675438596491224</v>
      </c>
      <c r="P181" s="67">
        <v>0.51475409836065578</v>
      </c>
      <c r="Q181" s="67">
        <v>0.42393509127789047</v>
      </c>
    </row>
    <row r="182" spans="1:17" x14ac:dyDescent="0.4">
      <c r="A182" s="69">
        <v>179</v>
      </c>
      <c r="B182" s="66">
        <v>2124.1999999999998</v>
      </c>
      <c r="C182" s="66">
        <v>11.867039106145251</v>
      </c>
      <c r="D182" s="71">
        <v>1.776536312849162</v>
      </c>
      <c r="E182" s="67">
        <v>0.46927374301675978</v>
      </c>
      <c r="F182" s="67">
        <v>0.24581005586592178</v>
      </c>
      <c r="G182" s="67">
        <v>0.33901773533424284</v>
      </c>
      <c r="H182" s="67">
        <v>0.15552523874488403</v>
      </c>
      <c r="I182" s="68">
        <v>9299.5975855130782</v>
      </c>
      <c r="J182" s="68">
        <v>-8131.5789473684208</v>
      </c>
      <c r="K182" s="67">
        <v>8.9385474860335198E-2</v>
      </c>
      <c r="L182" s="67">
        <v>0.17318435754189945</v>
      </c>
      <c r="M182" s="67">
        <v>0.31105047748976805</v>
      </c>
      <c r="N182" s="67">
        <v>0.21009549795361529</v>
      </c>
      <c r="O182" s="67">
        <v>0.57675438596491224</v>
      </c>
      <c r="P182" s="67">
        <v>0.51948051948051943</v>
      </c>
      <c r="Q182" s="67">
        <v>0.42454728370221329</v>
      </c>
    </row>
    <row r="183" spans="1:17" x14ac:dyDescent="0.4">
      <c r="A183" s="69">
        <v>180</v>
      </c>
      <c r="B183" s="66">
        <v>2159.6</v>
      </c>
      <c r="C183" s="66">
        <v>11.997777777777777</v>
      </c>
      <c r="D183" s="71">
        <v>1.7722222222222221</v>
      </c>
      <c r="E183" s="67">
        <v>0.47222222222222221</v>
      </c>
      <c r="F183" s="67">
        <v>0.24444444444444444</v>
      </c>
      <c r="G183" s="67">
        <v>0.33967391304347827</v>
      </c>
      <c r="H183" s="67">
        <v>0.15489130434782608</v>
      </c>
      <c r="I183" s="68">
        <v>9278.6</v>
      </c>
      <c r="J183" s="68">
        <v>-8131.5789473684208</v>
      </c>
      <c r="K183" s="67">
        <v>8.8888888888888892E-2</v>
      </c>
      <c r="L183" s="67">
        <v>0.17222222222222222</v>
      </c>
      <c r="M183" s="67">
        <v>0.31046195652173914</v>
      </c>
      <c r="N183" s="67">
        <v>0.21127717391304349</v>
      </c>
      <c r="O183" s="67">
        <v>0.57768052516411383</v>
      </c>
      <c r="P183" s="67">
        <v>0.51768488745980712</v>
      </c>
      <c r="Q183" s="67">
        <v>0.42199999999999999</v>
      </c>
    </row>
    <row r="184" spans="1:17" x14ac:dyDescent="0.4">
      <c r="A184" s="69">
        <v>181</v>
      </c>
      <c r="B184" s="66">
        <v>2215.1</v>
      </c>
      <c r="C184" s="66">
        <v>12.238121546961326</v>
      </c>
      <c r="D184" s="71">
        <v>1.7679558011049723</v>
      </c>
      <c r="E184" s="67">
        <v>0.47513812154696133</v>
      </c>
      <c r="F184" s="67">
        <v>0.24309392265193369</v>
      </c>
      <c r="G184" s="67">
        <v>0.34009465855307641</v>
      </c>
      <c r="H184" s="67">
        <v>0.15415821501014199</v>
      </c>
      <c r="I184" s="68">
        <v>9297.4155069582503</v>
      </c>
      <c r="J184" s="68">
        <v>-8131.5789473684208</v>
      </c>
      <c r="K184" s="67">
        <v>8.8397790055248615E-2</v>
      </c>
      <c r="L184" s="67">
        <v>0.17127071823204421</v>
      </c>
      <c r="M184" s="67">
        <v>0.3110209601081812</v>
      </c>
      <c r="N184" s="67">
        <v>0.21095334685598377</v>
      </c>
      <c r="O184" s="67">
        <v>0.58043478260869563</v>
      </c>
      <c r="P184" s="67">
        <v>0.51602564102564108</v>
      </c>
      <c r="Q184" s="67">
        <v>0.4234592445328032</v>
      </c>
    </row>
    <row r="185" spans="1:17" x14ac:dyDescent="0.4">
      <c r="A185" s="69">
        <v>182</v>
      </c>
      <c r="B185" s="66">
        <v>2248.4</v>
      </c>
      <c r="C185" s="66">
        <v>12.353846153846154</v>
      </c>
      <c r="D185" s="71">
        <v>1.7637362637362637</v>
      </c>
      <c r="E185" s="67">
        <v>0.47802197802197804</v>
      </c>
      <c r="F185" s="67">
        <v>0.24175824175824176</v>
      </c>
      <c r="G185" s="67">
        <v>0.34028244788164091</v>
      </c>
      <c r="H185" s="67">
        <v>0.15400134498991258</v>
      </c>
      <c r="I185" s="68">
        <v>9288.9328063241101</v>
      </c>
      <c r="J185" s="68">
        <v>-8118.7772925764193</v>
      </c>
      <c r="K185" s="67">
        <v>8.7912087912087919E-2</v>
      </c>
      <c r="L185" s="67">
        <v>0.17032967032967034</v>
      </c>
      <c r="M185" s="67">
        <v>0.30934767989240081</v>
      </c>
      <c r="N185" s="67">
        <v>0.2125084061869536</v>
      </c>
      <c r="O185" s="67">
        <v>0.58043478260869563</v>
      </c>
      <c r="P185" s="67">
        <v>0.51898734177215189</v>
      </c>
      <c r="Q185" s="67">
        <v>0.42094861660079053</v>
      </c>
    </row>
    <row r="186" spans="1:17" x14ac:dyDescent="0.4">
      <c r="A186" s="69">
        <v>183</v>
      </c>
      <c r="B186" s="66">
        <v>2221.6</v>
      </c>
      <c r="C186" s="66">
        <v>12.139890710382513</v>
      </c>
      <c r="D186" s="71">
        <v>1.7704918032786885</v>
      </c>
      <c r="E186" s="67">
        <v>0.47540983606557374</v>
      </c>
      <c r="F186" s="67">
        <v>0.24590163934426229</v>
      </c>
      <c r="G186" s="67">
        <v>0.33934535738142951</v>
      </c>
      <c r="H186" s="67">
        <v>0.15364061456245826</v>
      </c>
      <c r="I186" s="68">
        <v>9299.606299212599</v>
      </c>
      <c r="J186" s="68">
        <v>-8116.95652173913</v>
      </c>
      <c r="K186" s="67">
        <v>8.7431693989071038E-2</v>
      </c>
      <c r="L186" s="67">
        <v>0.16939890710382513</v>
      </c>
      <c r="M186" s="67">
        <v>0.30794923179692718</v>
      </c>
      <c r="N186" s="67">
        <v>0.21242484969939879</v>
      </c>
      <c r="O186" s="67">
        <v>0.57917570498915405</v>
      </c>
      <c r="P186" s="67">
        <v>0.51886792452830188</v>
      </c>
      <c r="Q186" s="67">
        <v>0.42125984251968501</v>
      </c>
    </row>
    <row r="187" spans="1:17" x14ac:dyDescent="0.4">
      <c r="A187" s="69">
        <v>184</v>
      </c>
      <c r="B187" s="66">
        <v>2214.9</v>
      </c>
      <c r="C187" s="66">
        <v>12.0375</v>
      </c>
      <c r="D187" s="71">
        <v>1.7717391304347827</v>
      </c>
      <c r="E187" s="67">
        <v>0.47282608695652173</v>
      </c>
      <c r="F187" s="67">
        <v>0.24456521739130435</v>
      </c>
      <c r="G187" s="67">
        <v>0.33753315649867371</v>
      </c>
      <c r="H187" s="67">
        <v>0.15251989389920426</v>
      </c>
      <c r="I187" s="68">
        <v>9297.0530451866398</v>
      </c>
      <c r="J187" s="68">
        <v>-8116.95652173913</v>
      </c>
      <c r="K187" s="67">
        <v>8.6956521739130432E-2</v>
      </c>
      <c r="L187" s="67">
        <v>0.16847826086956522</v>
      </c>
      <c r="M187" s="67">
        <v>0.30702917771883287</v>
      </c>
      <c r="N187" s="67">
        <v>0.21220159151193635</v>
      </c>
      <c r="O187" s="67">
        <v>0.5788336933045356</v>
      </c>
      <c r="P187" s="67">
        <v>0.515625</v>
      </c>
      <c r="Q187" s="67">
        <v>0.4204322200392927</v>
      </c>
    </row>
    <row r="188" spans="1:17" x14ac:dyDescent="0.4">
      <c r="A188" s="69">
        <v>185</v>
      </c>
      <c r="B188" s="66">
        <v>2255.3000000000002</v>
      </c>
      <c r="C188" s="66">
        <v>12.190810810810811</v>
      </c>
      <c r="D188" s="71">
        <v>1.7675675675675675</v>
      </c>
      <c r="E188" s="67">
        <v>0.4756756756756757</v>
      </c>
      <c r="F188" s="67">
        <v>0.24324324324324326</v>
      </c>
      <c r="G188" s="67">
        <v>0.33728590250329382</v>
      </c>
      <c r="H188" s="67">
        <v>0.15151515151515152</v>
      </c>
      <c r="I188" s="68">
        <v>9313.671875</v>
      </c>
      <c r="J188" s="68">
        <v>-8116.95652173913</v>
      </c>
      <c r="K188" s="67">
        <v>8.6486486486486491E-2</v>
      </c>
      <c r="L188" s="67">
        <v>0.16756756756756758</v>
      </c>
      <c r="M188" s="67">
        <v>0.30764163372859027</v>
      </c>
      <c r="N188" s="67">
        <v>0.21080368906455862</v>
      </c>
      <c r="O188" s="67">
        <v>0.57815845824411138</v>
      </c>
      <c r="P188" s="67">
        <v>0.515625</v>
      </c>
      <c r="Q188" s="67">
        <v>0.423828125</v>
      </c>
    </row>
    <row r="189" spans="1:17" x14ac:dyDescent="0.4">
      <c r="A189" s="69">
        <v>186</v>
      </c>
      <c r="B189" s="66">
        <v>2197.3000000000002</v>
      </c>
      <c r="C189" s="66">
        <v>11.813440860215055</v>
      </c>
      <c r="D189" s="71">
        <v>1.7741935483870968</v>
      </c>
      <c r="E189" s="67">
        <v>0.4731182795698925</v>
      </c>
      <c r="F189" s="67">
        <v>0.24731182795698925</v>
      </c>
      <c r="G189" s="67">
        <v>0.33639947437582129</v>
      </c>
      <c r="H189" s="67">
        <v>0.15243101182654403</v>
      </c>
      <c r="I189" s="68">
        <v>9313.671875</v>
      </c>
      <c r="J189" s="68">
        <v>-8176.2931034482763</v>
      </c>
      <c r="K189" s="67">
        <v>9.1397849462365593E-2</v>
      </c>
      <c r="L189" s="67">
        <v>0.16666666666666666</v>
      </c>
      <c r="M189" s="67">
        <v>0.30814717477003944</v>
      </c>
      <c r="N189" s="67">
        <v>0.2102496714848883</v>
      </c>
      <c r="O189" s="67">
        <v>0.57569296375266521</v>
      </c>
      <c r="P189" s="67">
        <v>0.515625</v>
      </c>
      <c r="Q189" s="67">
        <v>0.423828125</v>
      </c>
    </row>
    <row r="190" spans="1:17" x14ac:dyDescent="0.4">
      <c r="A190" s="69">
        <v>187</v>
      </c>
      <c r="B190" s="66">
        <v>2244.8000000000002</v>
      </c>
      <c r="C190" s="66">
        <v>12.004278074866312</v>
      </c>
      <c r="D190" s="71">
        <v>1.7700534759358288</v>
      </c>
      <c r="E190" s="67">
        <v>0.47593582887700536</v>
      </c>
      <c r="F190" s="67">
        <v>0.24598930481283424</v>
      </c>
      <c r="G190" s="67">
        <v>0.33811074918566775</v>
      </c>
      <c r="H190" s="67">
        <v>0.15179153094462541</v>
      </c>
      <c r="I190" s="68">
        <v>9245.4720616570321</v>
      </c>
      <c r="J190" s="68">
        <v>-8192.7038626609447</v>
      </c>
      <c r="K190" s="67">
        <v>9.0909090909090912E-2</v>
      </c>
      <c r="L190" s="67">
        <v>0.17112299465240641</v>
      </c>
      <c r="M190" s="67">
        <v>0.30749185667752443</v>
      </c>
      <c r="N190" s="67">
        <v>0.21107491856677524</v>
      </c>
      <c r="O190" s="67">
        <v>0.57415254237288138</v>
      </c>
      <c r="P190" s="67">
        <v>0.52160493827160492</v>
      </c>
      <c r="Q190" s="67">
        <v>0.42003853564547206</v>
      </c>
    </row>
    <row r="191" spans="1:17" x14ac:dyDescent="0.4">
      <c r="A191" s="69">
        <v>188</v>
      </c>
      <c r="B191" s="66">
        <v>2242.9</v>
      </c>
      <c r="C191" s="66">
        <v>11.930319148936171</v>
      </c>
      <c r="D191" s="71">
        <v>1.7712765957446808</v>
      </c>
      <c r="E191" s="67">
        <v>0.47340425531914893</v>
      </c>
      <c r="F191" s="67">
        <v>0.24468085106382978</v>
      </c>
      <c r="G191" s="67">
        <v>0.33722438391699094</v>
      </c>
      <c r="H191" s="67">
        <v>0.1517509727626459</v>
      </c>
      <c r="I191" s="68">
        <v>9243.0769230769238</v>
      </c>
      <c r="J191" s="68">
        <v>-8174.3589743589746</v>
      </c>
      <c r="K191" s="67">
        <v>9.0425531914893623E-2</v>
      </c>
      <c r="L191" s="67">
        <v>0.1702127659574468</v>
      </c>
      <c r="M191" s="67">
        <v>0.30674448767833984</v>
      </c>
      <c r="N191" s="67">
        <v>0.21206225680933852</v>
      </c>
      <c r="O191" s="67">
        <v>0.57505285412262153</v>
      </c>
      <c r="P191" s="67">
        <v>0.51681957186544347</v>
      </c>
      <c r="Q191" s="67">
        <v>0.41923076923076924</v>
      </c>
    </row>
    <row r="192" spans="1:17" x14ac:dyDescent="0.4">
      <c r="A192" s="69">
        <v>189</v>
      </c>
      <c r="B192" s="66">
        <v>2297.3000000000002</v>
      </c>
      <c r="C192" s="66">
        <v>12.155026455026457</v>
      </c>
      <c r="D192" s="71">
        <v>1.7671957671957672</v>
      </c>
      <c r="E192" s="67">
        <v>0.47619047619047616</v>
      </c>
      <c r="F192" s="67">
        <v>0.24338624338624337</v>
      </c>
      <c r="G192" s="67">
        <v>0.3382827630729503</v>
      </c>
      <c r="H192" s="67">
        <v>0.15106520335700452</v>
      </c>
      <c r="I192" s="68">
        <v>9236.0687022900765</v>
      </c>
      <c r="J192" s="68">
        <v>-8174.3589743589746</v>
      </c>
      <c r="K192" s="67">
        <v>8.9947089947089942E-2</v>
      </c>
      <c r="L192" s="67">
        <v>0.17460317460317459</v>
      </c>
      <c r="M192" s="67">
        <v>0.30729502905100065</v>
      </c>
      <c r="N192" s="67">
        <v>0.21239509360877987</v>
      </c>
      <c r="O192" s="67">
        <v>0.57563025210084029</v>
      </c>
      <c r="P192" s="67">
        <v>0.51975683890577506</v>
      </c>
      <c r="Q192" s="67">
        <v>0.41603053435114506</v>
      </c>
    </row>
    <row r="193" spans="1:17" x14ac:dyDescent="0.4">
      <c r="A193" s="69">
        <v>190</v>
      </c>
      <c r="B193" s="66">
        <v>2334.9</v>
      </c>
      <c r="C193" s="66">
        <v>12.288947368421054</v>
      </c>
      <c r="D193" s="71">
        <v>1.763157894736842</v>
      </c>
      <c r="E193" s="67">
        <v>0.47894736842105262</v>
      </c>
      <c r="F193" s="67">
        <v>0.24210526315789474</v>
      </c>
      <c r="G193" s="67">
        <v>0.33933161953727509</v>
      </c>
      <c r="H193" s="67">
        <v>0.15038560411311053</v>
      </c>
      <c r="I193" s="68">
        <v>9212.689393939394</v>
      </c>
      <c r="J193" s="68">
        <v>-8174.3589743589746</v>
      </c>
      <c r="K193" s="67">
        <v>8.9473684210526316E-2</v>
      </c>
      <c r="L193" s="67">
        <v>0.1736842105263158</v>
      </c>
      <c r="M193" s="67">
        <v>0.30784061696658099</v>
      </c>
      <c r="N193" s="67">
        <v>0.21272493573264781</v>
      </c>
      <c r="O193" s="67">
        <v>0.57620041753653439</v>
      </c>
      <c r="P193" s="67">
        <v>0.51963746223564955</v>
      </c>
      <c r="Q193" s="67">
        <v>0.41856060606060608</v>
      </c>
    </row>
    <row r="194" spans="1:17" x14ac:dyDescent="0.4">
      <c r="A194" s="69">
        <v>191</v>
      </c>
      <c r="B194" s="66">
        <v>2388.1</v>
      </c>
      <c r="C194" s="66">
        <v>12.503141361256544</v>
      </c>
      <c r="D194" s="71">
        <v>1.7591623036649215</v>
      </c>
      <c r="E194" s="67">
        <v>0.48167539267015708</v>
      </c>
      <c r="F194" s="67">
        <v>0.24083769633507854</v>
      </c>
      <c r="G194" s="67">
        <v>0.34015345268542202</v>
      </c>
      <c r="H194" s="67">
        <v>0.15025575447570333</v>
      </c>
      <c r="I194" s="68">
        <v>9217.8571428571431</v>
      </c>
      <c r="J194" s="68">
        <v>-8150.6382978723404</v>
      </c>
      <c r="K194" s="67">
        <v>8.9005235602094238E-2</v>
      </c>
      <c r="L194" s="67">
        <v>0.17277486910994763</v>
      </c>
      <c r="M194" s="67">
        <v>0.30754475703324807</v>
      </c>
      <c r="N194" s="67">
        <v>0.21355498721227623</v>
      </c>
      <c r="O194" s="67">
        <v>0.57796257796257799</v>
      </c>
      <c r="P194" s="67">
        <v>0.52095808383233533</v>
      </c>
      <c r="Q194" s="67">
        <v>0.41729323308270677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11772-395D-405C-A50D-8113948F93D3}">
  <sheetPr codeName="Sheet6"/>
  <dimension ref="A1:Q30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  <row r="204" spans="1:17" x14ac:dyDescent="0.4">
      <c r="A204" s="69">
        <v>201</v>
      </c>
      <c r="B204" s="66">
        <v>-2.1316282072803006E-14</v>
      </c>
      <c r="C204" s="66">
        <v>-3.5350384863686576E-17</v>
      </c>
      <c r="D204" s="71">
        <v>2</v>
      </c>
      <c r="E204" s="67">
        <v>0.33333333333333331</v>
      </c>
      <c r="F204" s="67">
        <v>0.33333333333333331</v>
      </c>
      <c r="G204" s="67">
        <v>0.2999004975124378</v>
      </c>
      <c r="H204" s="67">
        <v>0.16796019900497514</v>
      </c>
      <c r="I204" s="68">
        <v>8686.7949568679487</v>
      </c>
      <c r="J204" s="68">
        <v>-8328.0805687203792</v>
      </c>
      <c r="K204" s="67">
        <v>0.11608623548922056</v>
      </c>
      <c r="L204" s="67">
        <v>0.11608623548922056</v>
      </c>
      <c r="M204" s="67">
        <v>0.28139303482587064</v>
      </c>
      <c r="N204" s="67">
        <v>0.20955223880597015</v>
      </c>
      <c r="O204" s="67">
        <v>0.57779349363507782</v>
      </c>
      <c r="P204" s="67">
        <v>0.39316239316239315</v>
      </c>
      <c r="Q204" s="67">
        <v>0.43331121433311215</v>
      </c>
    </row>
    <row r="205" spans="1:17" x14ac:dyDescent="0.4">
      <c r="A205" s="69">
        <v>202</v>
      </c>
      <c r="B205" s="66">
        <v>-2.1316282072803006E-14</v>
      </c>
      <c r="C205" s="66">
        <v>-3.5175382958420802E-17</v>
      </c>
      <c r="D205" s="71">
        <v>2</v>
      </c>
      <c r="E205" s="67">
        <v>0.33333333333333331</v>
      </c>
      <c r="F205" s="67">
        <v>0.33333333333333331</v>
      </c>
      <c r="G205" s="67">
        <v>0.29986135868488811</v>
      </c>
      <c r="H205" s="67">
        <v>0.16795405030699148</v>
      </c>
      <c r="I205" s="68">
        <v>8678.1373844121536</v>
      </c>
      <c r="J205" s="68">
        <v>-8312.382075471698</v>
      </c>
      <c r="K205" s="67">
        <v>0.11551155115511551</v>
      </c>
      <c r="L205" s="67">
        <v>0.11551155115511551</v>
      </c>
      <c r="M205" s="67">
        <v>0.2808476926123985</v>
      </c>
      <c r="N205" s="67">
        <v>0.2089522677757972</v>
      </c>
      <c r="O205" s="67">
        <v>0.57898448519040902</v>
      </c>
      <c r="P205" s="67">
        <v>0.39336492890995262</v>
      </c>
      <c r="Q205" s="67">
        <v>0.4332892998678996</v>
      </c>
    </row>
    <row r="206" spans="1:17" x14ac:dyDescent="0.4">
      <c r="A206" s="69">
        <v>203</v>
      </c>
      <c r="B206" s="66">
        <v>-2.1316282072803006E-14</v>
      </c>
      <c r="C206" s="66">
        <v>-3.5002105209857152E-17</v>
      </c>
      <c r="D206" s="71">
        <v>2</v>
      </c>
      <c r="E206" s="67">
        <v>0.33333333333333331</v>
      </c>
      <c r="F206" s="67">
        <v>0.33333333333333331</v>
      </c>
      <c r="G206" s="67">
        <v>0.29984239558707643</v>
      </c>
      <c r="H206" s="67">
        <v>0.16804570527974783</v>
      </c>
      <c r="I206" s="68">
        <v>8670.3022339027593</v>
      </c>
      <c r="J206" s="68">
        <v>-8300.9378663540447</v>
      </c>
      <c r="K206" s="67">
        <v>0.11494252873563218</v>
      </c>
      <c r="L206" s="67">
        <v>0.11494252873563218</v>
      </c>
      <c r="M206" s="67">
        <v>0.28053585500394013</v>
      </c>
      <c r="N206" s="67">
        <v>0.20843183609141056</v>
      </c>
      <c r="O206" s="67">
        <v>0.5800561797752809</v>
      </c>
      <c r="P206" s="67">
        <v>0.3931947069943289</v>
      </c>
      <c r="Q206" s="67">
        <v>0.43298291721419185</v>
      </c>
    </row>
    <row r="207" spans="1:17" x14ac:dyDescent="0.4">
      <c r="A207" s="69">
        <v>204</v>
      </c>
      <c r="B207" s="66">
        <v>-2.8421709430404007E-14</v>
      </c>
      <c r="C207" s="66">
        <v>-4.644070168366668E-17</v>
      </c>
      <c r="D207" s="71">
        <v>2</v>
      </c>
      <c r="E207" s="67">
        <v>0.33333333333333331</v>
      </c>
      <c r="F207" s="67">
        <v>0.33333333333333331</v>
      </c>
      <c r="G207" s="67">
        <v>0.3</v>
      </c>
      <c r="H207" s="67">
        <v>0.16823529411764707</v>
      </c>
      <c r="I207" s="68">
        <v>8662.4836601307197</v>
      </c>
      <c r="J207" s="68">
        <v>-8292.424242424242</v>
      </c>
      <c r="K207" s="67">
        <v>0.11601307189542484</v>
      </c>
      <c r="L207" s="67">
        <v>0.11601307189542484</v>
      </c>
      <c r="M207" s="67">
        <v>0.28019607843137256</v>
      </c>
      <c r="N207" s="67">
        <v>0.20823529411764705</v>
      </c>
      <c r="O207" s="67">
        <v>0.58012596221133661</v>
      </c>
      <c r="P207" s="67">
        <v>0.3935969868173258</v>
      </c>
      <c r="Q207" s="67">
        <v>0.43267973856209152</v>
      </c>
    </row>
    <row r="208" spans="1:17" x14ac:dyDescent="0.4">
      <c r="A208" s="69">
        <v>205</v>
      </c>
      <c r="B208" s="66">
        <v>-2.4868995751603507E-14</v>
      </c>
      <c r="C208" s="66">
        <v>-4.0437391466021965E-17</v>
      </c>
      <c r="D208" s="71">
        <v>2</v>
      </c>
      <c r="E208" s="67">
        <v>0.33333333333333331</v>
      </c>
      <c r="F208" s="67">
        <v>0.33333333333333331</v>
      </c>
      <c r="G208" s="67">
        <v>0.29957064793130367</v>
      </c>
      <c r="H208" s="67">
        <v>0.16783762685402029</v>
      </c>
      <c r="I208" s="68">
        <v>8656.0912052117255</v>
      </c>
      <c r="J208" s="68">
        <v>-8291.3953488372099</v>
      </c>
      <c r="K208" s="67">
        <v>0.11544715447154472</v>
      </c>
      <c r="L208" s="67">
        <v>0.11544715447154472</v>
      </c>
      <c r="M208" s="67">
        <v>0.27985948477751754</v>
      </c>
      <c r="N208" s="67">
        <v>0.20823575331772054</v>
      </c>
      <c r="O208" s="67">
        <v>0.57949790794979084</v>
      </c>
      <c r="P208" s="67">
        <v>0.39362699156513592</v>
      </c>
      <c r="Q208" s="67">
        <v>0.43322475570032576</v>
      </c>
    </row>
    <row r="209" spans="1:17" x14ac:dyDescent="0.4">
      <c r="A209" s="69">
        <v>206</v>
      </c>
      <c r="B209" s="66">
        <v>-2.1316282072803006E-14</v>
      </c>
      <c r="C209" s="66">
        <v>-3.4492365813597093E-17</v>
      </c>
      <c r="D209" s="71">
        <v>2</v>
      </c>
      <c r="E209" s="67">
        <v>0.33333333333333331</v>
      </c>
      <c r="F209" s="67">
        <v>0.33333333333333331</v>
      </c>
      <c r="G209" s="67">
        <v>0.29972804972804973</v>
      </c>
      <c r="H209" s="67">
        <v>0.16783216783216784</v>
      </c>
      <c r="I209" s="68">
        <v>8637.7187297472465</v>
      </c>
      <c r="J209" s="68">
        <v>-8268.8657407407409</v>
      </c>
      <c r="K209" s="67">
        <v>0.11488673139158576</v>
      </c>
      <c r="L209" s="67">
        <v>0.11488673139158576</v>
      </c>
      <c r="M209" s="67">
        <v>0.27913752913752915</v>
      </c>
      <c r="N209" s="67">
        <v>0.20881895881895882</v>
      </c>
      <c r="O209" s="67">
        <v>0.58037578288100211</v>
      </c>
      <c r="P209" s="67">
        <v>0.39534883720930231</v>
      </c>
      <c r="Q209" s="67">
        <v>0.43357096565132858</v>
      </c>
    </row>
    <row r="210" spans="1:17" x14ac:dyDescent="0.4">
      <c r="A210" s="69">
        <v>207</v>
      </c>
      <c r="B210" s="66">
        <v>-2.1316282072803006E-14</v>
      </c>
      <c r="C210" s="66">
        <v>-3.4325736027057978E-17</v>
      </c>
      <c r="D210" s="71">
        <v>2</v>
      </c>
      <c r="E210" s="67">
        <v>0.33333333333333331</v>
      </c>
      <c r="F210" s="67">
        <v>0.33333333333333331</v>
      </c>
      <c r="G210" s="67">
        <v>0.29969064191802008</v>
      </c>
      <c r="H210" s="67">
        <v>0.16782675947409126</v>
      </c>
      <c r="I210" s="68">
        <v>8631.032258064517</v>
      </c>
      <c r="J210" s="68">
        <v>-8266.705069124424</v>
      </c>
      <c r="K210" s="67">
        <v>0.1143317230273752</v>
      </c>
      <c r="L210" s="67">
        <v>0.1143317230273752</v>
      </c>
      <c r="M210" s="67">
        <v>0.27938901778808972</v>
      </c>
      <c r="N210" s="67">
        <v>0.20862335653518949</v>
      </c>
      <c r="O210" s="67">
        <v>0.57993079584775087</v>
      </c>
      <c r="P210" s="67">
        <v>0.3948100092678406</v>
      </c>
      <c r="Q210" s="67">
        <v>0.43354838709677418</v>
      </c>
    </row>
    <row r="211" spans="1:17" x14ac:dyDescent="0.4">
      <c r="A211" s="69">
        <v>208</v>
      </c>
      <c r="B211" s="66">
        <v>-2.8421709430404007E-14</v>
      </c>
      <c r="C211" s="66">
        <v>-4.5547611266673087E-17</v>
      </c>
      <c r="D211" s="71">
        <v>2</v>
      </c>
      <c r="E211" s="67">
        <v>0.33333333333333331</v>
      </c>
      <c r="F211" s="67">
        <v>0.33333333333333331</v>
      </c>
      <c r="G211" s="67">
        <v>0.29946112394149343</v>
      </c>
      <c r="H211" s="67">
        <v>0.1676289453425712</v>
      </c>
      <c r="I211" s="68">
        <v>8635.2827763496152</v>
      </c>
      <c r="J211" s="68">
        <v>-8263.834672789897</v>
      </c>
      <c r="K211" s="67">
        <v>0.11538461538461539</v>
      </c>
      <c r="L211" s="67">
        <v>0.11538461538461539</v>
      </c>
      <c r="M211" s="67">
        <v>0.27925327174749809</v>
      </c>
      <c r="N211" s="67">
        <v>0.20919938414164743</v>
      </c>
      <c r="O211" s="67">
        <v>0.57960027567195038</v>
      </c>
      <c r="P211" s="67">
        <v>0.39374425022999082</v>
      </c>
      <c r="Q211" s="67">
        <v>0.43380462724935731</v>
      </c>
    </row>
    <row r="212" spans="1:17" x14ac:dyDescent="0.4">
      <c r="A212" s="69">
        <v>209</v>
      </c>
      <c r="B212" s="66">
        <v>-2.8421709430404007E-14</v>
      </c>
      <c r="C212" s="66">
        <v>-4.5329680112287093E-17</v>
      </c>
      <c r="D212" s="71">
        <v>2</v>
      </c>
      <c r="E212" s="67">
        <v>0.33333333333333331</v>
      </c>
      <c r="F212" s="67">
        <v>0.33333333333333331</v>
      </c>
      <c r="G212" s="67">
        <v>0.29948364888123924</v>
      </c>
      <c r="H212" s="67">
        <v>0.16771849301969785</v>
      </c>
      <c r="I212" s="68">
        <v>8634.1634738186458</v>
      </c>
      <c r="J212" s="68">
        <v>-8258.6088939566707</v>
      </c>
      <c r="K212" s="67">
        <v>0.11483253588516747</v>
      </c>
      <c r="L212" s="67">
        <v>0.11483253588516747</v>
      </c>
      <c r="M212" s="67">
        <v>0.27902084528590554</v>
      </c>
      <c r="N212" s="67">
        <v>0.21036527060623447</v>
      </c>
      <c r="O212" s="67">
        <v>0.57984921178889648</v>
      </c>
      <c r="P212" s="67">
        <v>0.3927272727272727</v>
      </c>
      <c r="Q212" s="67">
        <v>0.43358876117496808</v>
      </c>
    </row>
    <row r="213" spans="1:17" x14ac:dyDescent="0.4">
      <c r="A213" s="69">
        <v>210</v>
      </c>
      <c r="B213" s="66">
        <v>-2.9753977059954195E-14</v>
      </c>
      <c r="C213" s="66">
        <v>-4.7228535015800309E-17</v>
      </c>
      <c r="D213" s="71">
        <v>2</v>
      </c>
      <c r="E213" s="67">
        <v>0.33333333333333331</v>
      </c>
      <c r="F213" s="67">
        <v>0.33333333333333331</v>
      </c>
      <c r="G213" s="67">
        <v>0.29944793451361129</v>
      </c>
      <c r="H213" s="67">
        <v>0.16752332000761469</v>
      </c>
      <c r="I213" s="68">
        <v>8623.0769230769238</v>
      </c>
      <c r="J213" s="68">
        <v>-8240.9090909090901</v>
      </c>
      <c r="K213" s="67">
        <v>0.11428571428571428</v>
      </c>
      <c r="L213" s="67">
        <v>0.11428571428571428</v>
      </c>
      <c r="M213" s="67">
        <v>0.27888825433085856</v>
      </c>
      <c r="N213" s="67">
        <v>0.20997525223681707</v>
      </c>
      <c r="O213" s="67">
        <v>0.5795221843003413</v>
      </c>
      <c r="P213" s="67">
        <v>0.39256572982774252</v>
      </c>
      <c r="Q213" s="67">
        <v>0.43420216147488877</v>
      </c>
    </row>
    <row r="214" spans="1:17" x14ac:dyDescent="0.4">
      <c r="A214" s="69">
        <v>211</v>
      </c>
      <c r="B214" s="66">
        <v>-3.2862601528904634E-14</v>
      </c>
      <c r="C214" s="66">
        <v>-5.1915642225757717E-17</v>
      </c>
      <c r="D214" s="71">
        <v>2</v>
      </c>
      <c r="E214" s="67">
        <v>0.33333333333333331</v>
      </c>
      <c r="F214" s="67">
        <v>0.33333333333333331</v>
      </c>
      <c r="G214" s="67">
        <v>0.29931972789115646</v>
      </c>
      <c r="H214" s="67">
        <v>0.1674225245653817</v>
      </c>
      <c r="I214" s="68">
        <v>8614.9621212121219</v>
      </c>
      <c r="J214" s="68">
        <v>-8239.6162528216701</v>
      </c>
      <c r="K214" s="67">
        <v>0.11374407582938388</v>
      </c>
      <c r="L214" s="67">
        <v>0.11374407582938388</v>
      </c>
      <c r="M214" s="67">
        <v>0.27891156462585032</v>
      </c>
      <c r="N214" s="67">
        <v>0.20975056689342403</v>
      </c>
      <c r="O214" s="67">
        <v>0.57994579945799463</v>
      </c>
      <c r="P214" s="67">
        <v>0.39189189189189189</v>
      </c>
      <c r="Q214" s="67">
        <v>0.43434343434343436</v>
      </c>
    </row>
    <row r="215" spans="1:17" x14ac:dyDescent="0.4">
      <c r="A215" s="69">
        <v>212</v>
      </c>
      <c r="B215" s="66">
        <v>-2.8421709430404007E-14</v>
      </c>
      <c r="C215" s="66">
        <v>-4.4688222374849071E-17</v>
      </c>
      <c r="D215" s="71">
        <v>2</v>
      </c>
      <c r="E215" s="67">
        <v>0.33333333333333331</v>
      </c>
      <c r="F215" s="67">
        <v>0.33333333333333331</v>
      </c>
      <c r="G215" s="67">
        <v>0.29947328818660646</v>
      </c>
      <c r="H215" s="67">
        <v>0.16741911211437172</v>
      </c>
      <c r="I215" s="68">
        <v>8623.4296482412065</v>
      </c>
      <c r="J215" s="68">
        <v>-8251.0112359550567</v>
      </c>
      <c r="K215" s="67">
        <v>0.11477987421383648</v>
      </c>
      <c r="L215" s="67">
        <v>0.11477987421383648</v>
      </c>
      <c r="M215" s="67">
        <v>0.27878103837471785</v>
      </c>
      <c r="N215" s="67">
        <v>0.20974416854778027</v>
      </c>
      <c r="O215" s="67">
        <v>0.57962213225371118</v>
      </c>
      <c r="P215" s="67">
        <v>0.3937219730941704</v>
      </c>
      <c r="Q215" s="67">
        <v>0.43467336683417085</v>
      </c>
    </row>
    <row r="216" spans="1:17" x14ac:dyDescent="0.4">
      <c r="A216" s="69">
        <v>213</v>
      </c>
      <c r="B216" s="66">
        <v>-2.8421709430404007E-14</v>
      </c>
      <c r="C216" s="66">
        <v>-4.4478418513934285E-17</v>
      </c>
      <c r="D216" s="71">
        <v>2</v>
      </c>
      <c r="E216" s="67">
        <v>0.33333333333333331</v>
      </c>
      <c r="F216" s="67">
        <v>0.33333333333333331</v>
      </c>
      <c r="G216" s="67">
        <v>0.29958755155605549</v>
      </c>
      <c r="H216" s="67">
        <v>0.16797900262467191</v>
      </c>
      <c r="I216" s="68">
        <v>8638.6107634543187</v>
      </c>
      <c r="J216" s="68">
        <v>-8280.5803571428569</v>
      </c>
      <c r="K216" s="67">
        <v>0.11580594679186229</v>
      </c>
      <c r="L216" s="67">
        <v>0.11580594679186229</v>
      </c>
      <c r="M216" s="67">
        <v>0.27877765279340083</v>
      </c>
      <c r="N216" s="67">
        <v>0.20997375328083989</v>
      </c>
      <c r="O216" s="67">
        <v>0.58036314727639537</v>
      </c>
      <c r="P216" s="67">
        <v>0.39374999999999999</v>
      </c>
      <c r="Q216" s="67">
        <v>0.4330413016270338</v>
      </c>
    </row>
    <row r="217" spans="1:17" x14ac:dyDescent="0.4">
      <c r="A217" s="69">
        <v>214</v>
      </c>
      <c r="B217" s="66">
        <v>-2.4868995751603507E-14</v>
      </c>
      <c r="C217" s="66">
        <v>-3.8736753507170569E-17</v>
      </c>
      <c r="D217" s="71">
        <v>2</v>
      </c>
      <c r="E217" s="67">
        <v>0.33333333333333331</v>
      </c>
      <c r="F217" s="67">
        <v>0.33333333333333331</v>
      </c>
      <c r="G217" s="67">
        <v>0.29970104633781763</v>
      </c>
      <c r="H217" s="67">
        <v>0.16778774289985052</v>
      </c>
      <c r="I217" s="68">
        <v>8645.9476309226939</v>
      </c>
      <c r="J217" s="68">
        <v>-8295.1002227171484</v>
      </c>
      <c r="K217" s="67">
        <v>0.11682242990654206</v>
      </c>
      <c r="L217" s="67">
        <v>0.11682242990654206</v>
      </c>
      <c r="M217" s="67">
        <v>0.27933482810164423</v>
      </c>
      <c r="N217" s="67">
        <v>0.20964125560538116</v>
      </c>
      <c r="O217" s="67">
        <v>0.58060200668896322</v>
      </c>
      <c r="P217" s="67">
        <v>0.39393939393939392</v>
      </c>
      <c r="Q217" s="67">
        <v>0.43391521197007482</v>
      </c>
    </row>
    <row r="218" spans="1:17" x14ac:dyDescent="0.4">
      <c r="A218" s="69">
        <v>215</v>
      </c>
      <c r="B218" s="66">
        <v>-2.1316282072803006E-14</v>
      </c>
      <c r="C218" s="66">
        <v>-3.3048499337679078E-17</v>
      </c>
      <c r="D218" s="71">
        <v>2</v>
      </c>
      <c r="E218" s="67">
        <v>0.33333333333333331</v>
      </c>
      <c r="F218" s="67">
        <v>0.33333333333333331</v>
      </c>
      <c r="G218" s="67">
        <v>0.29970271274619098</v>
      </c>
      <c r="H218" s="67">
        <v>0.16833890746934224</v>
      </c>
      <c r="I218" s="68">
        <v>8635.4618722876621</v>
      </c>
      <c r="J218" s="68">
        <v>-8280.4635761589398</v>
      </c>
      <c r="K218" s="67">
        <v>0.11627906976744186</v>
      </c>
      <c r="L218" s="67">
        <v>0.11627906976744186</v>
      </c>
      <c r="M218" s="67">
        <v>0.28037904124860646</v>
      </c>
      <c r="N218" s="67">
        <v>0.20884429580081754</v>
      </c>
      <c r="O218" s="67">
        <v>0.57919151756129883</v>
      </c>
      <c r="P218" s="67">
        <v>0.39412811387900354</v>
      </c>
      <c r="Q218" s="67">
        <v>0.43211407315561068</v>
      </c>
    </row>
    <row r="219" spans="1:17" x14ac:dyDescent="0.4">
      <c r="A219" s="69">
        <v>216</v>
      </c>
      <c r="B219" s="66">
        <v>-2.1316282072803006E-14</v>
      </c>
      <c r="C219" s="66">
        <v>-3.2895497025930562E-17</v>
      </c>
      <c r="D219" s="71">
        <v>2</v>
      </c>
      <c r="E219" s="67">
        <v>0.33333333333333331</v>
      </c>
      <c r="F219" s="67">
        <v>0.33333333333333331</v>
      </c>
      <c r="G219" s="67">
        <v>0.29929707732149463</v>
      </c>
      <c r="H219" s="67">
        <v>0.1685164631890492</v>
      </c>
      <c r="I219" s="68">
        <v>8650.6180469715691</v>
      </c>
      <c r="J219" s="68">
        <v>-8309.3304061470917</v>
      </c>
      <c r="K219" s="67">
        <v>0.11574074074074074</v>
      </c>
      <c r="L219" s="67">
        <v>0.11574074074074074</v>
      </c>
      <c r="M219" s="67">
        <v>0.28042915279319275</v>
      </c>
      <c r="N219" s="67">
        <v>0.20828708842027377</v>
      </c>
      <c r="O219" s="67">
        <v>0.57849604221635886</v>
      </c>
      <c r="P219" s="67">
        <v>0.39431616341030196</v>
      </c>
      <c r="Q219" s="67">
        <v>0.43077873918417797</v>
      </c>
    </row>
    <row r="220" spans="1:17" x14ac:dyDescent="0.4">
      <c r="A220" s="69">
        <v>217</v>
      </c>
      <c r="B220" s="66">
        <v>-2.1316282072803006E-14</v>
      </c>
      <c r="C220" s="66">
        <v>-3.2743904873737336E-17</v>
      </c>
      <c r="D220" s="71">
        <v>2</v>
      </c>
      <c r="E220" s="67">
        <v>0.33333333333333331</v>
      </c>
      <c r="F220" s="67">
        <v>0.33333333333333331</v>
      </c>
      <c r="G220" s="67">
        <v>0.29922992299229922</v>
      </c>
      <c r="H220" s="67">
        <v>0.16813348001466813</v>
      </c>
      <c r="I220" s="68">
        <v>8627.6348039215682</v>
      </c>
      <c r="J220" s="68">
        <v>-8286.0414394765539</v>
      </c>
      <c r="K220" s="67">
        <v>0.1152073732718894</v>
      </c>
      <c r="L220" s="67">
        <v>0.1152073732718894</v>
      </c>
      <c r="M220" s="67">
        <v>0.28034470113678034</v>
      </c>
      <c r="N220" s="67">
        <v>0.20737073707370737</v>
      </c>
      <c r="O220" s="67">
        <v>0.57750163505559193</v>
      </c>
      <c r="P220" s="67">
        <v>0.39434129089301501</v>
      </c>
      <c r="Q220" s="67">
        <v>0.43198529411764708</v>
      </c>
    </row>
    <row r="221" spans="1:17" x14ac:dyDescent="0.4">
      <c r="A221" s="69">
        <v>218</v>
      </c>
      <c r="B221" s="66">
        <v>-1.4210854715202004E-14</v>
      </c>
      <c r="C221" s="66">
        <v>-2.1729135650155969E-17</v>
      </c>
      <c r="D221" s="71">
        <v>2</v>
      </c>
      <c r="E221" s="67">
        <v>0.33333333333333331</v>
      </c>
      <c r="F221" s="67">
        <v>0.33333333333333331</v>
      </c>
      <c r="G221" s="67">
        <v>0.29881278538812783</v>
      </c>
      <c r="H221" s="67">
        <v>0.16785388127853881</v>
      </c>
      <c r="I221" s="68">
        <v>8638.2640586797061</v>
      </c>
      <c r="J221" s="68">
        <v>-8280.9575625680081</v>
      </c>
      <c r="K221" s="67">
        <v>0.11620795107033639</v>
      </c>
      <c r="L221" s="67">
        <v>0.11620795107033639</v>
      </c>
      <c r="M221" s="67">
        <v>0.2798173515981735</v>
      </c>
      <c r="N221" s="67">
        <v>0.20767123287671233</v>
      </c>
      <c r="O221" s="67">
        <v>0.57702349869451697</v>
      </c>
      <c r="P221" s="67">
        <v>0.39313984168865435</v>
      </c>
      <c r="Q221" s="67">
        <v>0.43215158924205377</v>
      </c>
    </row>
    <row r="222" spans="1:17" x14ac:dyDescent="0.4">
      <c r="A222" s="69">
        <v>219</v>
      </c>
      <c r="B222" s="66">
        <v>-1.4210854715202004E-14</v>
      </c>
      <c r="C222" s="66">
        <v>-2.1629915852666671E-17</v>
      </c>
      <c r="D222" s="71">
        <v>2</v>
      </c>
      <c r="E222" s="67">
        <v>0.33333333333333331</v>
      </c>
      <c r="F222" s="67">
        <v>0.33333333333333331</v>
      </c>
      <c r="G222" s="67">
        <v>0.29888828139238199</v>
      </c>
      <c r="H222" s="67">
        <v>0.16785128485511208</v>
      </c>
      <c r="I222" s="68">
        <v>8643.9024390243903</v>
      </c>
      <c r="J222" s="68">
        <v>-8289.0336590662318</v>
      </c>
      <c r="K222" s="67">
        <v>0.11719939117199391</v>
      </c>
      <c r="L222" s="67">
        <v>0.11719939117199391</v>
      </c>
      <c r="M222" s="67">
        <v>0.27956989247311825</v>
      </c>
      <c r="N222" s="67">
        <v>0.20794605431018773</v>
      </c>
      <c r="O222" s="67">
        <v>0.57692307692307687</v>
      </c>
      <c r="P222" s="67">
        <v>0.39351446099912357</v>
      </c>
      <c r="Q222" s="67">
        <v>0.4323170731707317</v>
      </c>
    </row>
    <row r="223" spans="1:17" x14ac:dyDescent="0.4">
      <c r="A223" s="69">
        <v>220</v>
      </c>
      <c r="B223" s="66">
        <v>-1.4210854715202004E-14</v>
      </c>
      <c r="C223" s="66">
        <v>-2.1531598053336369E-17</v>
      </c>
      <c r="D223" s="71">
        <v>2</v>
      </c>
      <c r="E223" s="67">
        <v>0.33333333333333331</v>
      </c>
      <c r="F223" s="67">
        <v>0.33333333333333331</v>
      </c>
      <c r="G223" s="67">
        <v>0.29853181076672103</v>
      </c>
      <c r="H223" s="67">
        <v>0.16802610114192496</v>
      </c>
      <c r="I223" s="68">
        <v>8648.7553126897383</v>
      </c>
      <c r="J223" s="68">
        <v>-8289.8597626752962</v>
      </c>
      <c r="K223" s="67">
        <v>0.11666666666666667</v>
      </c>
      <c r="L223" s="67">
        <v>0.11666666666666667</v>
      </c>
      <c r="M223" s="67">
        <v>0.27949972811310497</v>
      </c>
      <c r="N223" s="67">
        <v>0.20790284574950155</v>
      </c>
      <c r="O223" s="67">
        <v>0.57652399481193251</v>
      </c>
      <c r="P223" s="67">
        <v>0.39319965126416739</v>
      </c>
      <c r="Q223" s="67">
        <v>0.43108682452944747</v>
      </c>
    </row>
    <row r="224" spans="1:17" x14ac:dyDescent="0.4">
      <c r="A224" s="69">
        <v>221</v>
      </c>
      <c r="B224" s="66">
        <v>-1.4210854715202004E-14</v>
      </c>
      <c r="C224" s="66">
        <v>-2.143417000784616E-17</v>
      </c>
      <c r="D224" s="71">
        <v>2</v>
      </c>
      <c r="E224" s="67">
        <v>0.33333333333333331</v>
      </c>
      <c r="F224" s="67">
        <v>0.33333333333333331</v>
      </c>
      <c r="G224" s="67">
        <v>0.29850207543764662</v>
      </c>
      <c r="H224" s="67">
        <v>0.16802021295794983</v>
      </c>
      <c r="I224" s="68">
        <v>8644.256348246674</v>
      </c>
      <c r="J224" s="68">
        <v>-8281.2030075187977</v>
      </c>
      <c r="K224" s="67">
        <v>0.11764705882352941</v>
      </c>
      <c r="L224" s="67">
        <v>0.11764705882352941</v>
      </c>
      <c r="M224" s="67">
        <v>0.27937195452084462</v>
      </c>
      <c r="N224" s="67">
        <v>0.20736329182458041</v>
      </c>
      <c r="O224" s="67">
        <v>0.57816537467700257</v>
      </c>
      <c r="P224" s="67">
        <v>0.39251523063533506</v>
      </c>
      <c r="Q224" s="67">
        <v>0.43107617896009676</v>
      </c>
    </row>
    <row r="225" spans="1:17" x14ac:dyDescent="0.4">
      <c r="A225" s="69">
        <v>222</v>
      </c>
      <c r="B225" s="66">
        <v>-7.1054273576010019E-15</v>
      </c>
      <c r="C225" s="66">
        <v>-1.066880984624775E-17</v>
      </c>
      <c r="D225" s="71">
        <v>2</v>
      </c>
      <c r="E225" s="67">
        <v>0.33333333333333331</v>
      </c>
      <c r="F225" s="67">
        <v>0.33333333333333331</v>
      </c>
      <c r="G225" s="67">
        <v>0.29863358504135201</v>
      </c>
      <c r="H225" s="67">
        <v>0.16792520676015821</v>
      </c>
      <c r="I225" s="68">
        <v>8631.246237206502</v>
      </c>
      <c r="J225" s="68">
        <v>-8268.0942184154173</v>
      </c>
      <c r="K225" s="67">
        <v>0.11711711711711711</v>
      </c>
      <c r="L225" s="67">
        <v>0.11711711711711711</v>
      </c>
      <c r="M225" s="67">
        <v>0.27957569219705142</v>
      </c>
      <c r="N225" s="67">
        <v>0.20693994965839627</v>
      </c>
      <c r="O225" s="67">
        <v>0.5787781350482315</v>
      </c>
      <c r="P225" s="67">
        <v>0.39183318853171156</v>
      </c>
      <c r="Q225" s="67">
        <v>0.43166767007826612</v>
      </c>
    </row>
    <row r="226" spans="1:17" x14ac:dyDescent="0.4">
      <c r="A226" s="69">
        <v>223</v>
      </c>
      <c r="B226" s="66">
        <v>-7.1054273576010019E-15</v>
      </c>
      <c r="C226" s="66">
        <v>-1.0620967649627806E-17</v>
      </c>
      <c r="D226" s="71">
        <v>2</v>
      </c>
      <c r="E226" s="67">
        <v>0.33333333333333331</v>
      </c>
      <c r="F226" s="67">
        <v>0.33333333333333331</v>
      </c>
      <c r="G226" s="67">
        <v>0.29860365198711064</v>
      </c>
      <c r="H226" s="67">
        <v>0.16774078052273542</v>
      </c>
      <c r="I226" s="68">
        <v>8624.5803357314144</v>
      </c>
      <c r="J226" s="68">
        <v>-8266.2753468516548</v>
      </c>
      <c r="K226" s="67">
        <v>0.11808669656203288</v>
      </c>
      <c r="L226" s="67">
        <v>0.11808669656203288</v>
      </c>
      <c r="M226" s="67">
        <v>0.27980665950590761</v>
      </c>
      <c r="N226" s="67">
        <v>0.20658789831722163</v>
      </c>
      <c r="O226" s="67">
        <v>0.57837492002559177</v>
      </c>
      <c r="P226" s="67">
        <v>0.39254766031195842</v>
      </c>
      <c r="Q226" s="67">
        <v>0.43225419664268583</v>
      </c>
    </row>
    <row r="227" spans="1:17" x14ac:dyDescent="0.4">
      <c r="A227" s="69">
        <v>224</v>
      </c>
      <c r="B227" s="66">
        <v>-7.1054273576010019E-15</v>
      </c>
      <c r="C227" s="66">
        <v>-1.0573552615477681E-17</v>
      </c>
      <c r="D227" s="71">
        <v>2</v>
      </c>
      <c r="E227" s="67">
        <v>0.33333333333333331</v>
      </c>
      <c r="F227" s="67">
        <v>0.33333333333333331</v>
      </c>
      <c r="G227" s="67">
        <v>0.29841439515410656</v>
      </c>
      <c r="H227" s="67">
        <v>0.16764653482985925</v>
      </c>
      <c r="I227" s="68">
        <v>8635.6417910447763</v>
      </c>
      <c r="J227" s="68">
        <v>-8276.7268862911787</v>
      </c>
      <c r="K227" s="67">
        <v>0.11904761904761904</v>
      </c>
      <c r="L227" s="67">
        <v>0.11904761904761904</v>
      </c>
      <c r="M227" s="67">
        <v>0.28006413682522713</v>
      </c>
      <c r="N227" s="67">
        <v>0.20630678781400322</v>
      </c>
      <c r="O227" s="67">
        <v>0.57697201017811706</v>
      </c>
      <c r="P227" s="67">
        <v>0.39291882556131263</v>
      </c>
      <c r="Q227" s="67">
        <v>0.43223880597014924</v>
      </c>
    </row>
    <row r="228" spans="1:17" x14ac:dyDescent="0.4">
      <c r="A228" s="69">
        <v>225</v>
      </c>
      <c r="B228" s="66">
        <v>-7.1054273576010019E-15</v>
      </c>
      <c r="C228" s="66">
        <v>-1.052655904829778E-17</v>
      </c>
      <c r="D228" s="71">
        <v>2</v>
      </c>
      <c r="E228" s="67">
        <v>0.33333333333333331</v>
      </c>
      <c r="F228" s="67">
        <v>0.33333333333333331</v>
      </c>
      <c r="G228" s="67">
        <v>0.29836705715299966</v>
      </c>
      <c r="H228" s="67">
        <v>0.16737664181753639</v>
      </c>
      <c r="I228" s="68">
        <v>8634.6222486615115</v>
      </c>
      <c r="J228" s="68">
        <v>-8268.0805938494159</v>
      </c>
      <c r="K228" s="67">
        <v>0.11851851851851852</v>
      </c>
      <c r="L228" s="67">
        <v>0.11851851851851852</v>
      </c>
      <c r="M228" s="67">
        <v>0.28026269080582178</v>
      </c>
      <c r="N228" s="67">
        <v>0.20624778132765353</v>
      </c>
      <c r="O228" s="67">
        <v>0.57631412286257122</v>
      </c>
      <c r="P228" s="67">
        <v>0.39328743545611017</v>
      </c>
      <c r="Q228" s="67">
        <v>0.43307555026769778</v>
      </c>
    </row>
    <row r="229" spans="1:17" x14ac:dyDescent="0.4">
      <c r="A229" s="69">
        <v>226</v>
      </c>
      <c r="B229" s="66">
        <v>-1.4210854715202004E-14</v>
      </c>
      <c r="C229" s="66">
        <v>-2.0959962706787616E-17</v>
      </c>
      <c r="D229" s="71">
        <v>2</v>
      </c>
      <c r="E229" s="67">
        <v>0.33333333333333331</v>
      </c>
      <c r="F229" s="67">
        <v>0.33333333333333331</v>
      </c>
      <c r="G229" s="67">
        <v>0.29832007073386385</v>
      </c>
      <c r="H229" s="67">
        <v>0.16746242263483643</v>
      </c>
      <c r="I229" s="68">
        <v>8639.7154712507418</v>
      </c>
      <c r="J229" s="68">
        <v>-8274.4456177402317</v>
      </c>
      <c r="K229" s="67">
        <v>0.11946902654867257</v>
      </c>
      <c r="L229" s="67">
        <v>0.11946902654867257</v>
      </c>
      <c r="M229" s="67">
        <v>0.28028293545534927</v>
      </c>
      <c r="N229" s="67">
        <v>0.20636604774535808</v>
      </c>
      <c r="O229" s="67">
        <v>0.57602523659305993</v>
      </c>
      <c r="P229" s="67">
        <v>0.3916023993144816</v>
      </c>
      <c r="Q229" s="67">
        <v>0.43272080616478958</v>
      </c>
    </row>
    <row r="230" spans="1:17" x14ac:dyDescent="0.4">
      <c r="A230" s="69">
        <v>227</v>
      </c>
      <c r="B230" s="66">
        <v>-1.4210854715202004E-14</v>
      </c>
      <c r="C230" s="66">
        <v>-2.086762806931278E-17</v>
      </c>
      <c r="D230" s="71">
        <v>2</v>
      </c>
      <c r="E230" s="67">
        <v>0.33333333333333331</v>
      </c>
      <c r="F230" s="67">
        <v>0.33333333333333331</v>
      </c>
      <c r="G230" s="67">
        <v>0.29860743874493212</v>
      </c>
      <c r="H230" s="67">
        <v>0.16781244491450731</v>
      </c>
      <c r="I230" s="68">
        <v>8652.4203069657615</v>
      </c>
      <c r="J230" s="68">
        <v>-8310.8193277310929</v>
      </c>
      <c r="K230" s="67">
        <v>0.12041116005873716</v>
      </c>
      <c r="L230" s="67">
        <v>0.12041116005873716</v>
      </c>
      <c r="M230" s="67">
        <v>0.28027498677948176</v>
      </c>
      <c r="N230" s="67">
        <v>0.20676890534108938</v>
      </c>
      <c r="O230" s="67">
        <v>0.57735849056603772</v>
      </c>
      <c r="P230" s="67">
        <v>0.39130434782608697</v>
      </c>
      <c r="Q230" s="67">
        <v>0.43152302243211332</v>
      </c>
    </row>
    <row r="231" spans="1:17" x14ac:dyDescent="0.4">
      <c r="A231" s="69">
        <v>228</v>
      </c>
      <c r="B231" s="66">
        <v>-1.4210854715202004E-14</v>
      </c>
      <c r="C231" s="66">
        <v>-2.077610338479825E-17</v>
      </c>
      <c r="D231" s="71">
        <v>2</v>
      </c>
      <c r="E231" s="67">
        <v>0.33333333333333331</v>
      </c>
      <c r="F231" s="67">
        <v>0.33333333333333331</v>
      </c>
      <c r="G231" s="67">
        <v>0.29861476415921445</v>
      </c>
      <c r="H231" s="67">
        <v>0.16780641767490795</v>
      </c>
      <c r="I231" s="68">
        <v>8664.8267762771575</v>
      </c>
      <c r="J231" s="68">
        <v>-8312.2257053291542</v>
      </c>
      <c r="K231" s="67">
        <v>0.12134502923976608</v>
      </c>
      <c r="L231" s="67">
        <v>0.12134502923976608</v>
      </c>
      <c r="M231" s="67">
        <v>0.28002805540943365</v>
      </c>
      <c r="N231" s="67">
        <v>0.20673329826407155</v>
      </c>
      <c r="O231" s="67">
        <v>0.577958672510958</v>
      </c>
      <c r="P231" s="67">
        <v>0.39185750636132316</v>
      </c>
      <c r="Q231" s="67">
        <v>0.43159130945390489</v>
      </c>
    </row>
    <row r="232" spans="1:17" x14ac:dyDescent="0.4">
      <c r="A232" s="69">
        <v>229</v>
      </c>
      <c r="B232" s="66">
        <v>-7.1054273576010019E-15</v>
      </c>
      <c r="C232" s="66">
        <v>-1.0342689021253278E-17</v>
      </c>
      <c r="D232" s="71">
        <v>2</v>
      </c>
      <c r="E232" s="67">
        <v>0.33333333333333331</v>
      </c>
      <c r="F232" s="67">
        <v>0.33333333333333331</v>
      </c>
      <c r="G232" s="67">
        <v>0.29874213836477986</v>
      </c>
      <c r="H232" s="67">
        <v>0.16788958770090845</v>
      </c>
      <c r="I232" s="68">
        <v>8677.5438596491222</v>
      </c>
      <c r="J232" s="68">
        <v>-8317.5858480749212</v>
      </c>
      <c r="K232" s="67">
        <v>0.12081513828238719</v>
      </c>
      <c r="L232" s="67">
        <v>0.12081513828238719</v>
      </c>
      <c r="M232" s="67">
        <v>0.27969951083158628</v>
      </c>
      <c r="N232" s="67">
        <v>0.20649895178197064</v>
      </c>
      <c r="O232" s="67">
        <v>0.57901311680199874</v>
      </c>
      <c r="P232" s="67">
        <v>0.39086294416243655</v>
      </c>
      <c r="Q232" s="67">
        <v>0.43157894736842106</v>
      </c>
    </row>
    <row r="233" spans="1:17" x14ac:dyDescent="0.4">
      <c r="A233" s="69">
        <v>230</v>
      </c>
      <c r="B233" s="66">
        <v>0</v>
      </c>
      <c r="C233" s="66">
        <v>0</v>
      </c>
      <c r="D233" s="71">
        <v>2</v>
      </c>
      <c r="E233" s="67">
        <v>0.33333333333333331</v>
      </c>
      <c r="F233" s="67">
        <v>0.33333333333333331</v>
      </c>
      <c r="G233" s="67">
        <v>0.29864016736401672</v>
      </c>
      <c r="H233" s="67">
        <v>0.16771269177126918</v>
      </c>
      <c r="I233" s="68">
        <v>8706.4798598949219</v>
      </c>
      <c r="J233" s="68">
        <v>-8318.9189189189183</v>
      </c>
      <c r="K233" s="67">
        <v>0.12173913043478261</v>
      </c>
      <c r="L233" s="67">
        <v>0.12173913043478261</v>
      </c>
      <c r="M233" s="67">
        <v>0.27946304044630405</v>
      </c>
      <c r="N233" s="67">
        <v>0.20641562064156208</v>
      </c>
      <c r="O233" s="67">
        <v>0.57829070492825951</v>
      </c>
      <c r="P233" s="67">
        <v>0.39104729729729731</v>
      </c>
      <c r="Q233" s="67">
        <v>0.4319906596614127</v>
      </c>
    </row>
    <row r="234" spans="1:17" x14ac:dyDescent="0.4">
      <c r="A234" s="69">
        <v>231</v>
      </c>
      <c r="B234" s="66">
        <v>-1.4210854715202004E-14</v>
      </c>
      <c r="C234" s="66">
        <v>-2.0506283860320352E-17</v>
      </c>
      <c r="D234" s="71">
        <v>2</v>
      </c>
      <c r="E234" s="67">
        <v>0.33333333333333331</v>
      </c>
      <c r="F234" s="67">
        <v>0.33333333333333331</v>
      </c>
      <c r="G234" s="67">
        <v>0.29864724245577523</v>
      </c>
      <c r="H234" s="67">
        <v>0.1678806798473812</v>
      </c>
      <c r="I234" s="68">
        <v>8699.4192799070843</v>
      </c>
      <c r="J234" s="68">
        <v>-8302.9958677685954</v>
      </c>
      <c r="K234" s="67">
        <v>0.12121212121212122</v>
      </c>
      <c r="L234" s="67">
        <v>0.12121212121212122</v>
      </c>
      <c r="M234" s="67">
        <v>0.27852930974679152</v>
      </c>
      <c r="N234" s="67">
        <v>0.20742282344779744</v>
      </c>
      <c r="O234" s="67">
        <v>0.57845579078455789</v>
      </c>
      <c r="P234" s="67">
        <v>0.39214046822742477</v>
      </c>
      <c r="Q234" s="67">
        <v>0.43147502903600465</v>
      </c>
    </row>
    <row r="235" spans="1:17" x14ac:dyDescent="0.4">
      <c r="A235" s="69">
        <v>232</v>
      </c>
      <c r="B235" s="66">
        <v>-7.1054273576010019E-15</v>
      </c>
      <c r="C235" s="66">
        <v>-1.0208947352875003E-17</v>
      </c>
      <c r="D235" s="71">
        <v>2</v>
      </c>
      <c r="E235" s="67">
        <v>0.33333333333333331</v>
      </c>
      <c r="F235" s="67">
        <v>0.33333333333333331</v>
      </c>
      <c r="G235" s="67">
        <v>0.2986003110419907</v>
      </c>
      <c r="H235" s="67">
        <v>0.16778987385519267</v>
      </c>
      <c r="I235" s="68">
        <v>8686.3425925925931</v>
      </c>
      <c r="J235" s="68">
        <v>-8290.0102986611746</v>
      </c>
      <c r="K235" s="67">
        <v>0.1206896551724138</v>
      </c>
      <c r="L235" s="67">
        <v>0.1206896551724138</v>
      </c>
      <c r="M235" s="67">
        <v>0.27820978054259549</v>
      </c>
      <c r="N235" s="67">
        <v>0.20787973043027475</v>
      </c>
      <c r="O235" s="67">
        <v>0.57826086956521738</v>
      </c>
      <c r="P235" s="67">
        <v>0.39235245220282627</v>
      </c>
      <c r="Q235" s="67">
        <v>0.43171296296296297</v>
      </c>
    </row>
    <row r="236" spans="1:17" x14ac:dyDescent="0.4">
      <c r="A236" s="69">
        <v>233</v>
      </c>
      <c r="B236" s="66">
        <v>0</v>
      </c>
      <c r="C236" s="66">
        <v>0</v>
      </c>
      <c r="D236" s="71">
        <v>2</v>
      </c>
      <c r="E236" s="67">
        <v>0.33333333333333331</v>
      </c>
      <c r="F236" s="67">
        <v>0.33333333333333331</v>
      </c>
      <c r="G236" s="67">
        <v>0.29857167441060056</v>
      </c>
      <c r="H236" s="67">
        <v>0.16812940974014801</v>
      </c>
      <c r="I236" s="68">
        <v>8681.6714697406333</v>
      </c>
      <c r="J236" s="68">
        <v>-8280.757420675538</v>
      </c>
      <c r="K236" s="67">
        <v>0.12160228898426323</v>
      </c>
      <c r="L236" s="67">
        <v>0.12160228898426323</v>
      </c>
      <c r="M236" s="67">
        <v>0.27843744622268113</v>
      </c>
      <c r="N236" s="67">
        <v>0.20770951643434865</v>
      </c>
      <c r="O236" s="67">
        <v>0.57972805933250926</v>
      </c>
      <c r="P236" s="67">
        <v>0.39105219552609777</v>
      </c>
      <c r="Q236" s="67">
        <v>0.43054755043227666</v>
      </c>
    </row>
    <row r="237" spans="1:17" x14ac:dyDescent="0.4">
      <c r="A237" s="69">
        <v>234</v>
      </c>
      <c r="B237" s="66">
        <v>0</v>
      </c>
      <c r="C237" s="66">
        <v>0</v>
      </c>
      <c r="D237" s="71">
        <v>2</v>
      </c>
      <c r="E237" s="67">
        <v>0.33333333333333331</v>
      </c>
      <c r="F237" s="67">
        <v>0.33333333333333331</v>
      </c>
      <c r="G237" s="67">
        <v>0.2983718937446444</v>
      </c>
      <c r="H237" s="67">
        <v>0.16795201371036847</v>
      </c>
      <c r="I237" s="68">
        <v>8703.4462952326248</v>
      </c>
      <c r="J237" s="68">
        <v>-8277.8571428571431</v>
      </c>
      <c r="K237" s="67">
        <v>0.12250712250712251</v>
      </c>
      <c r="L237" s="67">
        <v>0.12250712250712251</v>
      </c>
      <c r="M237" s="67">
        <v>0.27900599828620393</v>
      </c>
      <c r="N237" s="67">
        <v>0.20754070265638389</v>
      </c>
      <c r="O237" s="67">
        <v>0.57923832923832919</v>
      </c>
      <c r="P237" s="67">
        <v>0.39058629232039638</v>
      </c>
      <c r="Q237" s="67">
        <v>0.43078690407811604</v>
      </c>
    </row>
    <row r="238" spans="1:17" x14ac:dyDescent="0.4">
      <c r="A238" s="69">
        <v>235</v>
      </c>
      <c r="B238" s="66">
        <v>2.886579864025407E-15</v>
      </c>
      <c r="C238" s="66">
        <v>4.0944395234402934E-18</v>
      </c>
      <c r="D238" s="71">
        <v>2</v>
      </c>
      <c r="E238" s="67">
        <v>0.33333333333333331</v>
      </c>
      <c r="F238" s="67">
        <v>0.33333333333333331</v>
      </c>
      <c r="G238" s="67">
        <v>0.29845159094776247</v>
      </c>
      <c r="H238" s="67">
        <v>0.16760251829164541</v>
      </c>
      <c r="I238" s="68">
        <v>8709.7491448118581</v>
      </c>
      <c r="J238" s="68">
        <v>-8279.796954314721</v>
      </c>
      <c r="K238" s="67">
        <v>0.12198581560283688</v>
      </c>
      <c r="L238" s="67">
        <v>0.12198581560283688</v>
      </c>
      <c r="M238" s="67">
        <v>0.27837331972094609</v>
      </c>
      <c r="N238" s="67">
        <v>0.20792921558618344</v>
      </c>
      <c r="O238" s="67">
        <v>0.5794621026894865</v>
      </c>
      <c r="P238" s="67">
        <v>0.39034369885433717</v>
      </c>
      <c r="Q238" s="67">
        <v>0.4321550741163056</v>
      </c>
    </row>
    <row r="239" spans="1:17" x14ac:dyDescent="0.4">
      <c r="A239" s="69">
        <v>236</v>
      </c>
      <c r="B239" s="66">
        <v>0</v>
      </c>
      <c r="C239" s="66">
        <v>0</v>
      </c>
      <c r="D239" s="71">
        <v>2</v>
      </c>
      <c r="E239" s="67">
        <v>0.33333333333333331</v>
      </c>
      <c r="F239" s="67">
        <v>0.33333333333333331</v>
      </c>
      <c r="G239" s="67">
        <v>0.29862874555611985</v>
      </c>
      <c r="H239" s="67">
        <v>0.16759776536312848</v>
      </c>
      <c r="I239" s="68">
        <v>8702.7210884353735</v>
      </c>
      <c r="J239" s="68">
        <v>-8257.1717171717173</v>
      </c>
      <c r="K239" s="67">
        <v>0.12146892655367232</v>
      </c>
      <c r="L239" s="67">
        <v>0.12146892655367232</v>
      </c>
      <c r="M239" s="67">
        <v>0.27865244625021163</v>
      </c>
      <c r="N239" s="67">
        <v>0.20755036397494497</v>
      </c>
      <c r="O239" s="67">
        <v>0.58019441069258815</v>
      </c>
      <c r="P239" s="67">
        <v>0.39151712887438828</v>
      </c>
      <c r="Q239" s="67">
        <v>0.43253968253968256</v>
      </c>
    </row>
    <row r="240" spans="1:17" x14ac:dyDescent="0.4">
      <c r="A240" s="69">
        <v>237</v>
      </c>
      <c r="B240" s="66">
        <v>0</v>
      </c>
      <c r="C240" s="66">
        <v>0</v>
      </c>
      <c r="D240" s="71">
        <v>2</v>
      </c>
      <c r="E240" s="67">
        <v>0.33333333333333331</v>
      </c>
      <c r="F240" s="67">
        <v>0.33333333333333331</v>
      </c>
      <c r="G240" s="67">
        <v>0.29895517357600271</v>
      </c>
      <c r="H240" s="67">
        <v>0.16784630940343781</v>
      </c>
      <c r="I240" s="68">
        <v>8711.8940248027066</v>
      </c>
      <c r="J240" s="68">
        <v>-8252.9116465863463</v>
      </c>
      <c r="K240" s="67">
        <v>0.1209563994374121</v>
      </c>
      <c r="L240" s="67">
        <v>0.1209563994374121</v>
      </c>
      <c r="M240" s="67">
        <v>0.27839568587799124</v>
      </c>
      <c r="N240" s="67">
        <v>0.20812268284462421</v>
      </c>
      <c r="O240" s="67">
        <v>0.57990314769975781</v>
      </c>
      <c r="P240" s="67">
        <v>0.39190283400809717</v>
      </c>
      <c r="Q240" s="67">
        <v>0.43179255918827508</v>
      </c>
    </row>
    <row r="241" spans="1:17" x14ac:dyDescent="0.4">
      <c r="A241" s="69">
        <v>238</v>
      </c>
      <c r="B241" s="66">
        <v>0</v>
      </c>
      <c r="C241" s="66">
        <v>0</v>
      </c>
      <c r="D241" s="71">
        <v>2</v>
      </c>
      <c r="E241" s="67">
        <v>0.33333333333333331</v>
      </c>
      <c r="F241" s="67">
        <v>0.33333333333333331</v>
      </c>
      <c r="G241" s="67">
        <v>0.29905913978494625</v>
      </c>
      <c r="H241" s="67">
        <v>0.16767473118279569</v>
      </c>
      <c r="I241" s="68">
        <v>8705.4494382022476</v>
      </c>
      <c r="J241" s="68">
        <v>-8248.2965931863728</v>
      </c>
      <c r="K241" s="67">
        <v>0.12044817927170869</v>
      </c>
      <c r="L241" s="67">
        <v>0.12044817927170869</v>
      </c>
      <c r="M241" s="67">
        <v>0.27772177419354838</v>
      </c>
      <c r="N241" s="67">
        <v>0.2085013440860215</v>
      </c>
      <c r="O241" s="67">
        <v>0.58015728977616454</v>
      </c>
      <c r="P241" s="67">
        <v>0.39242546333601935</v>
      </c>
      <c r="Q241" s="67">
        <v>0.43258426966292135</v>
      </c>
    </row>
    <row r="242" spans="1:17" x14ac:dyDescent="0.4">
      <c r="A242" s="69">
        <v>239</v>
      </c>
      <c r="B242" s="66">
        <v>0</v>
      </c>
      <c r="C242" s="66">
        <v>0</v>
      </c>
      <c r="D242" s="71">
        <v>2</v>
      </c>
      <c r="E242" s="67">
        <v>0.33333333333333331</v>
      </c>
      <c r="F242" s="67">
        <v>0.33333333333333331</v>
      </c>
      <c r="G242" s="67">
        <v>0.29901222166415536</v>
      </c>
      <c r="H242" s="67">
        <v>0.16775489703666499</v>
      </c>
      <c r="I242" s="68">
        <v>8698.4882418812995</v>
      </c>
      <c r="J242" s="68">
        <v>-8235.5289421157686</v>
      </c>
      <c r="K242" s="67">
        <v>0.12133891213389121</v>
      </c>
      <c r="L242" s="67">
        <v>0.12133891213389121</v>
      </c>
      <c r="M242" s="67">
        <v>0.27758245437803447</v>
      </c>
      <c r="N242" s="67">
        <v>0.20860539092583291</v>
      </c>
      <c r="O242" s="67">
        <v>0.58021712907117007</v>
      </c>
      <c r="P242" s="67">
        <v>0.39325842696629215</v>
      </c>
      <c r="Q242" s="67">
        <v>0.43225083986562152</v>
      </c>
    </row>
    <row r="243" spans="1:17" x14ac:dyDescent="0.4">
      <c r="A243" s="69">
        <v>240</v>
      </c>
      <c r="B243" s="66">
        <v>0</v>
      </c>
      <c r="C243" s="66">
        <v>0</v>
      </c>
      <c r="D243" s="71">
        <v>2</v>
      </c>
      <c r="E243" s="67">
        <v>0.33333333333333331</v>
      </c>
      <c r="F243" s="67">
        <v>0.33333333333333331</v>
      </c>
      <c r="G243" s="67">
        <v>0.29906385824139081</v>
      </c>
      <c r="H243" s="67">
        <v>0.16783684386492811</v>
      </c>
      <c r="I243" s="68">
        <v>8717.4399105645607</v>
      </c>
      <c r="J243" s="68">
        <v>-8254.9800796812742</v>
      </c>
      <c r="K243" s="67">
        <v>0.12222222222222222</v>
      </c>
      <c r="L243" s="67">
        <v>0.12222222222222222</v>
      </c>
      <c r="M243" s="67">
        <v>0.27766633233032428</v>
      </c>
      <c r="N243" s="67">
        <v>0.2087930458040789</v>
      </c>
      <c r="O243" s="67">
        <v>0.5809753160746538</v>
      </c>
      <c r="P243" s="67">
        <v>0.3923138510808647</v>
      </c>
      <c r="Q243" s="67">
        <v>0.43208496366685301</v>
      </c>
    </row>
    <row r="244" spans="1:17" x14ac:dyDescent="0.4">
      <c r="A244" s="69">
        <v>241</v>
      </c>
      <c r="B244" s="66">
        <v>4.4408920985006262E-15</v>
      </c>
      <c r="C244" s="66">
        <v>6.14231272268413E-18</v>
      </c>
      <c r="D244" s="71">
        <v>2</v>
      </c>
      <c r="E244" s="67">
        <v>0.33333333333333331</v>
      </c>
      <c r="F244" s="67">
        <v>0.33333333333333331</v>
      </c>
      <c r="G244" s="67">
        <v>0.29895366218236175</v>
      </c>
      <c r="H244" s="67">
        <v>0.16724796545424347</v>
      </c>
      <c r="I244" s="68">
        <v>8714.9444444444453</v>
      </c>
      <c r="J244" s="68">
        <v>-8247.4677259185701</v>
      </c>
      <c r="K244" s="67">
        <v>0.12171507607192254</v>
      </c>
      <c r="L244" s="67">
        <v>0.12171507607192254</v>
      </c>
      <c r="M244" s="67">
        <v>0.27736256435808004</v>
      </c>
      <c r="N244" s="67">
        <v>0.20926756352765322</v>
      </c>
      <c r="O244" s="67">
        <v>0.57964071856287425</v>
      </c>
      <c r="P244" s="67">
        <v>0.39523809523809522</v>
      </c>
      <c r="Q244" s="67">
        <v>0.43388888888888888</v>
      </c>
    </row>
    <row r="245" spans="1:17" x14ac:dyDescent="0.4">
      <c r="A245" s="69">
        <v>242</v>
      </c>
      <c r="B245" s="66">
        <v>7.1054273576010019E-15</v>
      </c>
      <c r="C245" s="66">
        <v>9.7870900242438045E-18</v>
      </c>
      <c r="D245" s="71">
        <v>2</v>
      </c>
      <c r="E245" s="67">
        <v>0.33333333333333331</v>
      </c>
      <c r="F245" s="67">
        <v>0.33333333333333331</v>
      </c>
      <c r="G245" s="67">
        <v>0.29875930521091809</v>
      </c>
      <c r="H245" s="67">
        <v>0.16674937965260547</v>
      </c>
      <c r="I245" s="68">
        <v>8717.8294573643416</v>
      </c>
      <c r="J245" s="68">
        <v>-8245.039682539682</v>
      </c>
      <c r="K245" s="67">
        <v>0.12121212121212122</v>
      </c>
      <c r="L245" s="67">
        <v>0.12121212121212122</v>
      </c>
      <c r="M245" s="67">
        <v>0.27791563275434245</v>
      </c>
      <c r="N245" s="67">
        <v>0.20942928039702233</v>
      </c>
      <c r="O245" s="67">
        <v>0.57857142857142863</v>
      </c>
      <c r="P245" s="67">
        <v>0.39415481832543442</v>
      </c>
      <c r="Q245" s="67">
        <v>0.43521594684385384</v>
      </c>
    </row>
    <row r="246" spans="1:17" x14ac:dyDescent="0.4">
      <c r="A246" s="69">
        <v>243</v>
      </c>
      <c r="B246" s="66">
        <v>0</v>
      </c>
      <c r="C246" s="66">
        <v>0</v>
      </c>
      <c r="D246" s="71">
        <v>2</v>
      </c>
      <c r="E246" s="67">
        <v>0.33333333333333331</v>
      </c>
      <c r="F246" s="67">
        <v>0.33333333333333331</v>
      </c>
      <c r="G246" s="67">
        <v>0.29891304347826086</v>
      </c>
      <c r="H246" s="67">
        <v>0.16650197628458499</v>
      </c>
      <c r="I246" s="68">
        <v>8729.8622589531678</v>
      </c>
      <c r="J246" s="68">
        <v>-8258.1602373887235</v>
      </c>
      <c r="K246" s="67">
        <v>0.12208504801097393</v>
      </c>
      <c r="L246" s="67">
        <v>0.12208504801097393</v>
      </c>
      <c r="M246" s="67">
        <v>0.27799736495388672</v>
      </c>
      <c r="N246" s="67">
        <v>0.20965085638998682</v>
      </c>
      <c r="O246" s="67">
        <v>0.5781990521327014</v>
      </c>
      <c r="P246" s="67">
        <v>0.39512961508248234</v>
      </c>
      <c r="Q246" s="67">
        <v>0.43636363636363634</v>
      </c>
    </row>
    <row r="247" spans="1:17" x14ac:dyDescent="0.4">
      <c r="A247" s="69">
        <v>244</v>
      </c>
      <c r="B247" s="66">
        <v>3.5527136788005009E-15</v>
      </c>
      <c r="C247" s="66">
        <v>4.8534339874323783E-18</v>
      </c>
      <c r="D247" s="71">
        <v>2</v>
      </c>
      <c r="E247" s="67">
        <v>0.33333333333333331</v>
      </c>
      <c r="F247" s="67">
        <v>0.33333333333333331</v>
      </c>
      <c r="G247" s="67">
        <v>0.29886755292959133</v>
      </c>
      <c r="H247" s="67">
        <v>0.16674872804858035</v>
      </c>
      <c r="I247" s="68">
        <v>8727.5123558484356</v>
      </c>
      <c r="J247" s="68">
        <v>-8256.9881889763783</v>
      </c>
      <c r="K247" s="67">
        <v>0.12158469945355191</v>
      </c>
      <c r="L247" s="67">
        <v>0.12158469945355191</v>
      </c>
      <c r="M247" s="67">
        <v>0.2776957163958641</v>
      </c>
      <c r="N247" s="67">
        <v>0.21024126046282621</v>
      </c>
      <c r="O247" s="67">
        <v>0.57742316784869974</v>
      </c>
      <c r="P247" s="67">
        <v>0.39500390320062451</v>
      </c>
      <c r="Q247" s="67">
        <v>0.43547501372872049</v>
      </c>
    </row>
    <row r="248" spans="1:17" x14ac:dyDescent="0.4">
      <c r="A248" s="69">
        <v>245</v>
      </c>
      <c r="B248" s="66">
        <v>1.4210854715202004E-14</v>
      </c>
      <c r="C248" s="66">
        <v>1.9334496211159187E-17</v>
      </c>
      <c r="D248" s="71">
        <v>2</v>
      </c>
      <c r="E248" s="67">
        <v>0.33333333333333331</v>
      </c>
      <c r="F248" s="67">
        <v>0.33333333333333331</v>
      </c>
      <c r="G248" s="67">
        <v>0.29865881583251552</v>
      </c>
      <c r="H248" s="67">
        <v>0.16683022571148184</v>
      </c>
      <c r="I248" s="68">
        <v>8732.2562979189479</v>
      </c>
      <c r="J248" s="68">
        <v>-8268.3333333333339</v>
      </c>
      <c r="K248" s="67">
        <v>0.12244897959183673</v>
      </c>
      <c r="L248" s="67">
        <v>0.12244897959183673</v>
      </c>
      <c r="M248" s="67">
        <v>0.2778868171409879</v>
      </c>
      <c r="N248" s="67">
        <v>0.20984625449787372</v>
      </c>
      <c r="O248" s="67">
        <v>0.57680988816951151</v>
      </c>
      <c r="P248" s="67">
        <v>0.39516757599376462</v>
      </c>
      <c r="Q248" s="67">
        <v>0.43483023001095289</v>
      </c>
    </row>
    <row r="249" spans="1:17" x14ac:dyDescent="0.4">
      <c r="A249" s="69">
        <v>246</v>
      </c>
      <c r="B249" s="66">
        <v>1.4210854715202004E-14</v>
      </c>
      <c r="C249" s="66">
        <v>1.9255900698105696E-17</v>
      </c>
      <c r="D249" s="71">
        <v>2</v>
      </c>
      <c r="E249" s="67">
        <v>0.33333333333333331</v>
      </c>
      <c r="F249" s="67">
        <v>0.33333333333333331</v>
      </c>
      <c r="G249" s="67">
        <v>0.29841736009136888</v>
      </c>
      <c r="H249" s="67">
        <v>0.16674824604340022</v>
      </c>
      <c r="I249" s="68">
        <v>8740.8966648441765</v>
      </c>
      <c r="J249" s="68">
        <v>-8275.6360078277885</v>
      </c>
      <c r="K249" s="67">
        <v>0.12330623306233063</v>
      </c>
      <c r="L249" s="67">
        <v>0.12330623306233063</v>
      </c>
      <c r="M249" s="67">
        <v>0.27818567466144556</v>
      </c>
      <c r="N249" s="67">
        <v>0.2094958394517866</v>
      </c>
      <c r="O249" s="67">
        <v>0.57595307917888561</v>
      </c>
      <c r="P249" s="67">
        <v>0.39485981308411217</v>
      </c>
      <c r="Q249" s="67">
        <v>0.43466375068343355</v>
      </c>
    </row>
    <row r="250" spans="1:17" x14ac:dyDescent="0.4">
      <c r="A250" s="69">
        <v>247</v>
      </c>
      <c r="B250" s="66">
        <v>7.1054273576010019E-15</v>
      </c>
      <c r="C250" s="66">
        <v>9.5889707929838078E-18</v>
      </c>
      <c r="D250" s="71">
        <v>2</v>
      </c>
      <c r="E250" s="67">
        <v>0.33333333333333331</v>
      </c>
      <c r="F250" s="67">
        <v>0.33333333333333331</v>
      </c>
      <c r="G250" s="67">
        <v>0.29874979704497484</v>
      </c>
      <c r="H250" s="67">
        <v>0.16674784867673323</v>
      </c>
      <c r="I250" s="68">
        <v>8748.20652173913</v>
      </c>
      <c r="J250" s="68">
        <v>-8279.6494644595914</v>
      </c>
      <c r="K250" s="67">
        <v>0.12415654520917679</v>
      </c>
      <c r="L250" s="67">
        <v>0.12415654520917679</v>
      </c>
      <c r="M250" s="67">
        <v>0.27812956648806625</v>
      </c>
      <c r="N250" s="67">
        <v>0.21042377009254748</v>
      </c>
      <c r="O250" s="67">
        <v>0.57676590776415648</v>
      </c>
      <c r="P250" s="67">
        <v>0.39351851851851855</v>
      </c>
      <c r="Q250" s="67">
        <v>0.43478260869565216</v>
      </c>
    </row>
    <row r="251" spans="1:17" x14ac:dyDescent="0.4">
      <c r="A251" s="69">
        <v>248</v>
      </c>
      <c r="B251" s="66">
        <v>7.1054273576010019E-15</v>
      </c>
      <c r="C251" s="66">
        <v>9.5503055881733904E-18</v>
      </c>
      <c r="D251" s="71">
        <v>2</v>
      </c>
      <c r="E251" s="67">
        <v>0.33333333333333331</v>
      </c>
      <c r="F251" s="67">
        <v>0.33333333333333331</v>
      </c>
      <c r="G251" s="67">
        <v>0.29862792574656982</v>
      </c>
      <c r="H251" s="67">
        <v>0.1665859564164649</v>
      </c>
      <c r="I251" s="68">
        <v>8765.405405405405</v>
      </c>
      <c r="J251" s="68">
        <v>-8306.5891472868225</v>
      </c>
      <c r="K251" s="67">
        <v>0.12365591397849462</v>
      </c>
      <c r="L251" s="67">
        <v>0.12365591397849462</v>
      </c>
      <c r="M251" s="67">
        <v>0.27764326069410816</v>
      </c>
      <c r="N251" s="67">
        <v>0.21081517352703794</v>
      </c>
      <c r="O251" s="67">
        <v>0.57674418604651168</v>
      </c>
      <c r="P251" s="67">
        <v>0.39356814701378257</v>
      </c>
      <c r="Q251" s="67">
        <v>0.43513513513513513</v>
      </c>
    </row>
    <row r="252" spans="1:17" x14ac:dyDescent="0.4">
      <c r="A252" s="69">
        <v>249</v>
      </c>
      <c r="B252" s="66">
        <v>0</v>
      </c>
      <c r="C252" s="66">
        <v>0</v>
      </c>
      <c r="D252" s="71">
        <v>2</v>
      </c>
      <c r="E252" s="67">
        <v>0.33333333333333331</v>
      </c>
      <c r="F252" s="67">
        <v>0.33333333333333331</v>
      </c>
      <c r="G252" s="67">
        <v>0.29869502174963752</v>
      </c>
      <c r="H252" s="67">
        <v>0.16642500402771065</v>
      </c>
      <c r="I252" s="68">
        <v>8781.8770226537217</v>
      </c>
      <c r="J252" s="68">
        <v>-8321.3939980638916</v>
      </c>
      <c r="K252" s="67">
        <v>0.12449799196787148</v>
      </c>
      <c r="L252" s="67">
        <v>0.12449799196787148</v>
      </c>
      <c r="M252" s="67">
        <v>0.277428709521508</v>
      </c>
      <c r="N252" s="67">
        <v>0.2112131464475592</v>
      </c>
      <c r="O252" s="67">
        <v>0.57723577235772361</v>
      </c>
      <c r="P252" s="67">
        <v>0.39359267734553777</v>
      </c>
      <c r="Q252" s="67">
        <v>0.43527508090614886</v>
      </c>
    </row>
    <row r="253" spans="1:17" x14ac:dyDescent="0.4">
      <c r="A253" s="69">
        <v>250</v>
      </c>
      <c r="B253" s="66">
        <v>0</v>
      </c>
      <c r="C253" s="66">
        <v>0</v>
      </c>
      <c r="D253" s="71">
        <v>2</v>
      </c>
      <c r="E253" s="67">
        <v>0.33333333333333331</v>
      </c>
      <c r="F253" s="67">
        <v>0.33333333333333331</v>
      </c>
      <c r="G253" s="67">
        <v>0.2989226563756231</v>
      </c>
      <c r="H253" s="67">
        <v>0.16642547033285093</v>
      </c>
      <c r="I253" s="68">
        <v>8794.6745562130181</v>
      </c>
      <c r="J253" s="68">
        <v>-8351.4009661835753</v>
      </c>
      <c r="K253" s="67">
        <v>0.12533333333333332</v>
      </c>
      <c r="L253" s="67">
        <v>0.12533333333333332</v>
      </c>
      <c r="M253" s="67">
        <v>0.27721498633220776</v>
      </c>
      <c r="N253" s="67">
        <v>0.21144878597845312</v>
      </c>
      <c r="O253" s="67">
        <v>0.57772621809744784</v>
      </c>
      <c r="P253" s="67">
        <v>0.39391634980988594</v>
      </c>
      <c r="Q253" s="67">
        <v>0.43518020441097366</v>
      </c>
    </row>
    <row r="254" spans="1:17" x14ac:dyDescent="0.4">
      <c r="A254" s="69">
        <v>251</v>
      </c>
      <c r="B254" s="66">
        <v>-7.1054273576010019E-15</v>
      </c>
      <c r="C254" s="66">
        <v>-9.4361585094302807E-18</v>
      </c>
      <c r="D254" s="71">
        <v>2</v>
      </c>
      <c r="E254" s="67">
        <v>0.33333333333333331</v>
      </c>
      <c r="F254" s="67">
        <v>0.33333333333333331</v>
      </c>
      <c r="G254" s="67">
        <v>0.29903846153846153</v>
      </c>
      <c r="H254" s="67">
        <v>0.16618589743589743</v>
      </c>
      <c r="I254" s="68">
        <v>8788.9067524115762</v>
      </c>
      <c r="J254" s="68">
        <v>-8342.1407907425273</v>
      </c>
      <c r="K254" s="67">
        <v>0.1248339973439575</v>
      </c>
      <c r="L254" s="67">
        <v>0.1248339973439575</v>
      </c>
      <c r="M254" s="67">
        <v>0.27724358974358976</v>
      </c>
      <c r="N254" s="67">
        <v>0.21105769230769231</v>
      </c>
      <c r="O254" s="67">
        <v>0.5780346820809249</v>
      </c>
      <c r="P254" s="67">
        <v>0.39407744874715261</v>
      </c>
      <c r="Q254" s="67">
        <v>0.4362272240085745</v>
      </c>
    </row>
    <row r="255" spans="1:17" x14ac:dyDescent="0.4">
      <c r="A255" s="69">
        <v>252</v>
      </c>
      <c r="B255" s="66">
        <v>-7.1054273576010019E-15</v>
      </c>
      <c r="C255" s="66">
        <v>-9.3987134359801607E-18</v>
      </c>
      <c r="D255" s="71">
        <v>2</v>
      </c>
      <c r="E255" s="67">
        <v>0.33333333333333331</v>
      </c>
      <c r="F255" s="67">
        <v>0.33333333333333331</v>
      </c>
      <c r="G255" s="67">
        <v>0.29879019420566699</v>
      </c>
      <c r="H255" s="67">
        <v>0.16634829672078955</v>
      </c>
      <c r="I255" s="68">
        <v>8779.5950985615345</v>
      </c>
      <c r="J255" s="68">
        <v>-8327.0813397129186</v>
      </c>
      <c r="K255" s="67">
        <v>0.12433862433862433</v>
      </c>
      <c r="L255" s="67">
        <v>0.12433862433862433</v>
      </c>
      <c r="M255" s="67">
        <v>0.27602674307545366</v>
      </c>
      <c r="N255" s="67">
        <v>0.21155682903533907</v>
      </c>
      <c r="O255" s="67">
        <v>0.57785467128027679</v>
      </c>
      <c r="P255" s="67">
        <v>0.39277652370203159</v>
      </c>
      <c r="Q255" s="67">
        <v>0.43526904635055941</v>
      </c>
    </row>
    <row r="256" spans="1:17" x14ac:dyDescent="0.4">
      <c r="A256" s="69">
        <v>253</v>
      </c>
      <c r="B256" s="66">
        <v>-5.3290705182007514E-15</v>
      </c>
      <c r="C256" s="66">
        <v>-7.0211732782618591E-18</v>
      </c>
      <c r="D256" s="71">
        <v>2</v>
      </c>
      <c r="E256" s="67">
        <v>0.33333333333333331</v>
      </c>
      <c r="F256" s="67">
        <v>0.33333333333333331</v>
      </c>
      <c r="G256" s="67">
        <v>0.29846251386907591</v>
      </c>
      <c r="H256" s="67">
        <v>0.16595339990489777</v>
      </c>
      <c r="I256" s="68">
        <v>8776.2612851832182</v>
      </c>
      <c r="J256" s="68">
        <v>-8325.1193887297031</v>
      </c>
      <c r="K256" s="67">
        <v>0.12384716732542819</v>
      </c>
      <c r="L256" s="67">
        <v>0.12384716732542819</v>
      </c>
      <c r="M256" s="67">
        <v>0.2756379774924711</v>
      </c>
      <c r="N256" s="67">
        <v>0.21191948010778253</v>
      </c>
      <c r="O256" s="67">
        <v>0.57676825761932149</v>
      </c>
      <c r="P256" s="67">
        <v>0.39267015706806285</v>
      </c>
      <c r="Q256" s="67">
        <v>0.43600637280934679</v>
      </c>
    </row>
    <row r="257" spans="1:17" x14ac:dyDescent="0.4">
      <c r="A257" s="69">
        <v>254</v>
      </c>
      <c r="B257" s="66">
        <v>-1.3322676295501878E-15</v>
      </c>
      <c r="C257" s="66">
        <v>-1.7483827159451284E-18</v>
      </c>
      <c r="D257" s="71">
        <v>2</v>
      </c>
      <c r="E257" s="67">
        <v>0.33333333333333331</v>
      </c>
      <c r="F257" s="67">
        <v>0.33333333333333331</v>
      </c>
      <c r="G257" s="67">
        <v>0.29857819905213268</v>
      </c>
      <c r="H257" s="67">
        <v>0.1660347551342812</v>
      </c>
      <c r="I257" s="68">
        <v>8767.3015873015866</v>
      </c>
      <c r="J257" s="68">
        <v>-8319.4100856327314</v>
      </c>
      <c r="K257" s="67">
        <v>0.12335958005249344</v>
      </c>
      <c r="L257" s="67">
        <v>0.12335958005249344</v>
      </c>
      <c r="M257" s="67">
        <v>0.27582938388625594</v>
      </c>
      <c r="N257" s="67">
        <v>0.21169036334913113</v>
      </c>
      <c r="O257" s="67">
        <v>0.57617411225658643</v>
      </c>
      <c r="P257" s="67">
        <v>0.39253731343283582</v>
      </c>
      <c r="Q257" s="67">
        <v>0.43597883597883597</v>
      </c>
    </row>
    <row r="258" spans="1:17" x14ac:dyDescent="0.4">
      <c r="A258" s="69">
        <v>255</v>
      </c>
      <c r="B258" s="66">
        <v>-1.3322676295501878E-15</v>
      </c>
      <c r="C258" s="66">
        <v>-1.7415263131375004E-18</v>
      </c>
      <c r="D258" s="71">
        <v>2</v>
      </c>
      <c r="E258" s="67">
        <v>0.33333333333333331</v>
      </c>
      <c r="F258" s="67">
        <v>0.33333333333333331</v>
      </c>
      <c r="G258" s="67">
        <v>0.29860128870029862</v>
      </c>
      <c r="H258" s="67">
        <v>0.16611661166116612</v>
      </c>
      <c r="I258" s="68">
        <v>8774.6315789473683</v>
      </c>
      <c r="J258" s="68">
        <v>-8336.3292336802278</v>
      </c>
      <c r="K258" s="67">
        <v>0.12418300653594772</v>
      </c>
      <c r="L258" s="67">
        <v>0.12418300653594772</v>
      </c>
      <c r="M258" s="67">
        <v>0.27644192990727645</v>
      </c>
      <c r="N258" s="67">
        <v>0.21169259783121169</v>
      </c>
      <c r="O258" s="67">
        <v>0.5764638999431495</v>
      </c>
      <c r="P258" s="67">
        <v>0.39198218262806234</v>
      </c>
      <c r="Q258" s="67">
        <v>0.43526315789473685</v>
      </c>
    </row>
    <row r="259" spans="1:17" x14ac:dyDescent="0.4">
      <c r="A259" s="69">
        <v>256</v>
      </c>
      <c r="B259" s="66">
        <v>-1.7763568394002505E-15</v>
      </c>
      <c r="C259" s="66">
        <v>-2.3129646346357427E-18</v>
      </c>
      <c r="D259" s="71">
        <v>2</v>
      </c>
      <c r="E259" s="67">
        <v>0.33333333333333331</v>
      </c>
      <c r="F259" s="67">
        <v>0.33333333333333331</v>
      </c>
      <c r="G259" s="67">
        <v>0.29845143125293289</v>
      </c>
      <c r="H259" s="67">
        <v>0.16643203503832316</v>
      </c>
      <c r="I259" s="68">
        <v>8764.255765199161</v>
      </c>
      <c r="J259" s="68">
        <v>-8317.5751879699255</v>
      </c>
      <c r="K259" s="67">
        <v>0.12369791666666667</v>
      </c>
      <c r="L259" s="67">
        <v>0.12369791666666667</v>
      </c>
      <c r="M259" s="67">
        <v>0.27592679493195682</v>
      </c>
      <c r="N259" s="67">
        <v>0.21195057093696229</v>
      </c>
      <c r="O259" s="67">
        <v>0.57596371882086173</v>
      </c>
      <c r="P259" s="67">
        <v>0.39335793357933579</v>
      </c>
      <c r="Q259" s="67">
        <v>0.43396226415094341</v>
      </c>
    </row>
    <row r="260" spans="1:17" x14ac:dyDescent="0.4">
      <c r="A260" s="69">
        <v>257</v>
      </c>
      <c r="B260" s="66">
        <v>0</v>
      </c>
      <c r="C260" s="66">
        <v>0</v>
      </c>
      <c r="D260" s="71">
        <v>2</v>
      </c>
      <c r="E260" s="67">
        <v>0.33333333333333331</v>
      </c>
      <c r="F260" s="67">
        <v>0.33333333333333331</v>
      </c>
      <c r="G260" s="67">
        <v>0.29842605578930964</v>
      </c>
      <c r="H260" s="67">
        <v>0.16674458469689887</v>
      </c>
      <c r="I260" s="68">
        <v>8764.2297650130549</v>
      </c>
      <c r="J260" s="68">
        <v>-8322.6168224299072</v>
      </c>
      <c r="K260" s="67">
        <v>0.1245136186770428</v>
      </c>
      <c r="L260" s="67">
        <v>0.1245136186770428</v>
      </c>
      <c r="M260" s="67">
        <v>0.27551815490104409</v>
      </c>
      <c r="N260" s="67">
        <v>0.21209287829203677</v>
      </c>
      <c r="O260" s="67">
        <v>0.57579185520361986</v>
      </c>
      <c r="P260" s="67">
        <v>0.39382806759735489</v>
      </c>
      <c r="Q260" s="67">
        <v>0.43289817232375977</v>
      </c>
    </row>
    <row r="261" spans="1:17" x14ac:dyDescent="0.4">
      <c r="A261" s="69">
        <v>258</v>
      </c>
      <c r="B261" s="66">
        <v>7.1054273576010019E-15</v>
      </c>
      <c r="C261" s="66">
        <v>9.1801387049108555E-18</v>
      </c>
      <c r="D261" s="71">
        <v>2</v>
      </c>
      <c r="E261" s="67">
        <v>0.33333333333333331</v>
      </c>
      <c r="F261" s="67">
        <v>0.33333333333333331</v>
      </c>
      <c r="G261" s="67">
        <v>0.2984171322160149</v>
      </c>
      <c r="H261" s="67">
        <v>0.1669770328988206</v>
      </c>
      <c r="I261" s="68">
        <v>8748.4659386375461</v>
      </c>
      <c r="J261" s="68">
        <v>-8298.3271375464683</v>
      </c>
      <c r="K261" s="67">
        <v>0.12403100775193798</v>
      </c>
      <c r="L261" s="67">
        <v>0.12403100775193798</v>
      </c>
      <c r="M261" s="67">
        <v>0.27529484792054626</v>
      </c>
      <c r="N261" s="67">
        <v>0.21229050279329609</v>
      </c>
      <c r="O261" s="67">
        <v>0.57609921082299886</v>
      </c>
      <c r="P261" s="67">
        <v>0.39327485380116961</v>
      </c>
      <c r="Q261" s="67">
        <v>0.43213728549141966</v>
      </c>
    </row>
    <row r="262" spans="1:17" x14ac:dyDescent="0.4">
      <c r="A262" s="69">
        <v>259</v>
      </c>
      <c r="B262" s="66">
        <v>7.1054273576010019E-15</v>
      </c>
      <c r="C262" s="66">
        <v>9.144694153926643E-18</v>
      </c>
      <c r="D262" s="71">
        <v>2</v>
      </c>
      <c r="E262" s="67">
        <v>0.33333333333333331</v>
      </c>
      <c r="F262" s="67">
        <v>0.33333333333333331</v>
      </c>
      <c r="G262" s="67">
        <v>0.29828624363131079</v>
      </c>
      <c r="H262" s="67">
        <v>0.16705264783078586</v>
      </c>
      <c r="I262" s="68">
        <v>8735.9213250517605</v>
      </c>
      <c r="J262" s="68">
        <v>-8274.9537892791122</v>
      </c>
      <c r="K262" s="67">
        <v>0.12355212355212356</v>
      </c>
      <c r="L262" s="67">
        <v>0.12355212355212356</v>
      </c>
      <c r="M262" s="67">
        <v>0.27543615871545468</v>
      </c>
      <c r="N262" s="67">
        <v>0.21228964026555505</v>
      </c>
      <c r="O262" s="67">
        <v>0.57511210762331844</v>
      </c>
      <c r="P262" s="67">
        <v>0.39345454545454545</v>
      </c>
      <c r="Q262" s="67">
        <v>0.43167701863354035</v>
      </c>
    </row>
    <row r="263" spans="1:17" x14ac:dyDescent="0.4">
      <c r="A263" s="69">
        <v>260</v>
      </c>
      <c r="B263" s="66">
        <v>0</v>
      </c>
      <c r="C263" s="66">
        <v>0</v>
      </c>
      <c r="D263" s="71">
        <v>2</v>
      </c>
      <c r="E263" s="67">
        <v>0.33333333333333331</v>
      </c>
      <c r="F263" s="67">
        <v>0.33333333333333331</v>
      </c>
      <c r="G263" s="67">
        <v>0.29839950754078176</v>
      </c>
      <c r="H263" s="67">
        <v>0.16712834718374883</v>
      </c>
      <c r="I263" s="68">
        <v>8760.5466735430637</v>
      </c>
      <c r="J263" s="68">
        <v>-8261.8784530386747</v>
      </c>
      <c r="K263" s="67">
        <v>0.12435897435897436</v>
      </c>
      <c r="L263" s="67">
        <v>0.12435897435897436</v>
      </c>
      <c r="M263" s="67">
        <v>0.27516158818097874</v>
      </c>
      <c r="N263" s="67">
        <v>0.2123730378578024</v>
      </c>
      <c r="O263" s="67">
        <v>0.57606263982102912</v>
      </c>
      <c r="P263" s="67">
        <v>0.39275362318840579</v>
      </c>
      <c r="Q263" s="67">
        <v>0.43166580711707064</v>
      </c>
    </row>
    <row r="264" spans="1:17" x14ac:dyDescent="0.4">
      <c r="A264" s="69">
        <v>261</v>
      </c>
      <c r="B264" s="66">
        <v>7.1054273576010019E-15</v>
      </c>
      <c r="C264" s="66">
        <v>9.0746198692222252E-18</v>
      </c>
      <c r="D264" s="71">
        <v>2</v>
      </c>
      <c r="E264" s="67">
        <v>0.33333333333333331</v>
      </c>
      <c r="F264" s="67">
        <v>0.33333333333333331</v>
      </c>
      <c r="G264" s="67">
        <v>0.29846390168970816</v>
      </c>
      <c r="H264" s="67">
        <v>0.16712749615975422</v>
      </c>
      <c r="I264" s="68">
        <v>8762.1718991250636</v>
      </c>
      <c r="J264" s="68">
        <v>-8260.386029411764</v>
      </c>
      <c r="K264" s="67">
        <v>0.1251596424010217</v>
      </c>
      <c r="L264" s="67">
        <v>0.1251596424010217</v>
      </c>
      <c r="M264" s="67">
        <v>0.2749615975422427</v>
      </c>
      <c r="N264" s="67">
        <v>0.21244239631336406</v>
      </c>
      <c r="O264" s="67">
        <v>0.57653631284916196</v>
      </c>
      <c r="P264" s="67">
        <v>0.3926247288503254</v>
      </c>
      <c r="Q264" s="67">
        <v>0.43180648481729283</v>
      </c>
    </row>
    <row r="265" spans="1:17" x14ac:dyDescent="0.4">
      <c r="A265" s="69">
        <v>262</v>
      </c>
      <c r="B265" s="66">
        <v>1.4210854715202004E-14</v>
      </c>
      <c r="C265" s="66">
        <v>1.8079967831045808E-17</v>
      </c>
      <c r="D265" s="71">
        <v>2</v>
      </c>
      <c r="E265" s="67">
        <v>0.33333333333333331</v>
      </c>
      <c r="F265" s="67">
        <v>0.33333333333333331</v>
      </c>
      <c r="G265" s="67">
        <v>0.29831804281345564</v>
      </c>
      <c r="H265" s="67">
        <v>0.16712538226299695</v>
      </c>
      <c r="I265" s="68">
        <v>8752.8959507944637</v>
      </c>
      <c r="J265" s="68">
        <v>-8259.0118938700816</v>
      </c>
      <c r="K265" s="67">
        <v>0.12595419847328243</v>
      </c>
      <c r="L265" s="67">
        <v>0.12595419847328243</v>
      </c>
      <c r="M265" s="67">
        <v>0.27477064220183484</v>
      </c>
      <c r="N265" s="67">
        <v>0.21223241590214068</v>
      </c>
      <c r="O265" s="67">
        <v>0.57595993322203676</v>
      </c>
      <c r="P265" s="67">
        <v>0.39265129682997119</v>
      </c>
      <c r="Q265" s="67">
        <v>0.43157355202460279</v>
      </c>
    </row>
    <row r="266" spans="1:17" x14ac:dyDescent="0.4">
      <c r="A266" s="69">
        <v>263</v>
      </c>
      <c r="B266" s="66">
        <v>0</v>
      </c>
      <c r="C266" s="66">
        <v>0</v>
      </c>
      <c r="D266" s="71">
        <v>2</v>
      </c>
      <c r="E266" s="67">
        <v>0.33333333333333331</v>
      </c>
      <c r="F266" s="67">
        <v>0.33333333333333331</v>
      </c>
      <c r="G266" s="67">
        <v>0.29832572298325721</v>
      </c>
      <c r="H266" s="67">
        <v>0.16727549467275496</v>
      </c>
      <c r="I266" s="68">
        <v>8791.9897959183672</v>
      </c>
      <c r="J266" s="68">
        <v>-8243.5850773430393</v>
      </c>
      <c r="K266" s="67">
        <v>0.1267427122940431</v>
      </c>
      <c r="L266" s="67">
        <v>0.1267427122940431</v>
      </c>
      <c r="M266" s="67">
        <v>0.27488584474885847</v>
      </c>
      <c r="N266" s="67">
        <v>0.21202435312024354</v>
      </c>
      <c r="O266" s="67">
        <v>0.57585825027685489</v>
      </c>
      <c r="P266" s="67">
        <v>0.39339554917444364</v>
      </c>
      <c r="Q266" s="67">
        <v>0.43112244897959184</v>
      </c>
    </row>
    <row r="267" spans="1:17" x14ac:dyDescent="0.4">
      <c r="A267" s="69">
        <v>264</v>
      </c>
      <c r="B267" s="66">
        <v>0</v>
      </c>
      <c r="C267" s="66">
        <v>0</v>
      </c>
      <c r="D267" s="71">
        <v>2</v>
      </c>
      <c r="E267" s="67">
        <v>0.33333333333333331</v>
      </c>
      <c r="F267" s="67">
        <v>0.33333333333333331</v>
      </c>
      <c r="G267" s="67">
        <v>0.29826958105646628</v>
      </c>
      <c r="H267" s="67">
        <v>0.16727383120825745</v>
      </c>
      <c r="I267" s="68">
        <v>8790.9923664122143</v>
      </c>
      <c r="J267" s="68">
        <v>-8244.7368421052633</v>
      </c>
      <c r="K267" s="67">
        <v>0.12752525252525251</v>
      </c>
      <c r="L267" s="67">
        <v>0.12752525252525251</v>
      </c>
      <c r="M267" s="67">
        <v>0.27474195506982391</v>
      </c>
      <c r="N267" s="67">
        <v>0.21174863387978143</v>
      </c>
      <c r="O267" s="67">
        <v>0.57569060773480663</v>
      </c>
      <c r="P267" s="67">
        <v>0.392831541218638</v>
      </c>
      <c r="Q267" s="67">
        <v>0.43104325699745549</v>
      </c>
    </row>
    <row r="268" spans="1:17" x14ac:dyDescent="0.4">
      <c r="A268" s="69">
        <v>265</v>
      </c>
      <c r="B268" s="66">
        <v>0</v>
      </c>
      <c r="C268" s="66">
        <v>0</v>
      </c>
      <c r="D268" s="71">
        <v>2</v>
      </c>
      <c r="E268" s="67">
        <v>0.33333333333333331</v>
      </c>
      <c r="F268" s="67">
        <v>0.33333333333333331</v>
      </c>
      <c r="G268" s="67">
        <v>0.29831741700773079</v>
      </c>
      <c r="H268" s="67">
        <v>0.16734879490677582</v>
      </c>
      <c r="I268" s="68">
        <v>8795.7825203252032</v>
      </c>
      <c r="J268" s="68">
        <v>-8256.79347826087</v>
      </c>
      <c r="K268" s="67">
        <v>0.12830188679245283</v>
      </c>
      <c r="L268" s="67">
        <v>0.12830188679245283</v>
      </c>
      <c r="M268" s="67">
        <v>0.27467030468394726</v>
      </c>
      <c r="N268" s="67">
        <v>0.21161133848719116</v>
      </c>
      <c r="O268" s="67">
        <v>0.57615894039735094</v>
      </c>
      <c r="P268" s="67">
        <v>0.39326647564469913</v>
      </c>
      <c r="Q268" s="67">
        <v>0.43089430894308944</v>
      </c>
    </row>
    <row r="269" spans="1:17" x14ac:dyDescent="0.4">
      <c r="A269" s="69">
        <v>266</v>
      </c>
      <c r="B269" s="66">
        <v>0</v>
      </c>
      <c r="C269" s="66">
        <v>0</v>
      </c>
      <c r="D269" s="71">
        <v>2</v>
      </c>
      <c r="E269" s="67">
        <v>0.33333333333333331</v>
      </c>
      <c r="F269" s="67">
        <v>0.33333333333333331</v>
      </c>
      <c r="G269" s="67">
        <v>0.29835670134177594</v>
      </c>
      <c r="H269" s="67">
        <v>0.16734509271822703</v>
      </c>
      <c r="I269" s="68">
        <v>8786.8620515411822</v>
      </c>
      <c r="J269" s="68">
        <v>-8251.1711711711705</v>
      </c>
      <c r="K269" s="67">
        <v>0.12781954887218044</v>
      </c>
      <c r="L269" s="67">
        <v>0.12781954887218044</v>
      </c>
      <c r="M269" s="67">
        <v>0.2746871702095583</v>
      </c>
      <c r="N269" s="67">
        <v>0.21151816674204735</v>
      </c>
      <c r="O269" s="67">
        <v>0.57574094401756315</v>
      </c>
      <c r="P269" s="67">
        <v>0.39344262295081966</v>
      </c>
      <c r="Q269" s="67">
        <v>0.43102577059120767</v>
      </c>
    </row>
    <row r="270" spans="1:17" x14ac:dyDescent="0.4">
      <c r="A270" s="69">
        <v>267</v>
      </c>
      <c r="B270" s="66">
        <v>0</v>
      </c>
      <c r="C270" s="66">
        <v>0</v>
      </c>
      <c r="D270" s="71">
        <v>2</v>
      </c>
      <c r="E270" s="67">
        <v>0.33333333333333331</v>
      </c>
      <c r="F270" s="67">
        <v>0.33333333333333331</v>
      </c>
      <c r="G270" s="67">
        <v>0.29837983798379836</v>
      </c>
      <c r="H270" s="67">
        <v>0.16771677167716773</v>
      </c>
      <c r="I270" s="68">
        <v>8785.8220211161388</v>
      </c>
      <c r="J270" s="68">
        <v>-8250.8944543828256</v>
      </c>
      <c r="K270" s="67">
        <v>0.12734082397003746</v>
      </c>
      <c r="L270" s="67">
        <v>0.12734082397003746</v>
      </c>
      <c r="M270" s="67">
        <v>0.27452745274527451</v>
      </c>
      <c r="N270" s="67">
        <v>0.21137113711371136</v>
      </c>
      <c r="O270" s="67">
        <v>0.57540983606557372</v>
      </c>
      <c r="P270" s="67">
        <v>0.39389638041163944</v>
      </c>
      <c r="Q270" s="67">
        <v>0.42986425339366519</v>
      </c>
    </row>
    <row r="271" spans="1:17" x14ac:dyDescent="0.4">
      <c r="A271" s="69">
        <v>268</v>
      </c>
      <c r="B271" s="66">
        <v>-2</v>
      </c>
      <c r="C271" s="66">
        <v>-2.4875621890547263E-3</v>
      </c>
      <c r="D271" s="71">
        <v>2</v>
      </c>
      <c r="E271" s="67">
        <v>0.33333333333333331</v>
      </c>
      <c r="F271" s="67">
        <v>0.33333333333333331</v>
      </c>
      <c r="G271" s="67">
        <v>0.29822202300911399</v>
      </c>
      <c r="H271" s="67">
        <v>0.16778724040041834</v>
      </c>
      <c r="I271" s="68">
        <v>8783.4669338677359</v>
      </c>
      <c r="J271" s="68">
        <v>-8250.4897595725743</v>
      </c>
      <c r="K271" s="67">
        <v>0.12686567164179105</v>
      </c>
      <c r="L271" s="67">
        <v>0.12686567164179105</v>
      </c>
      <c r="M271" s="67">
        <v>0.27446585985357835</v>
      </c>
      <c r="N271" s="67">
        <v>0.21111609143881668</v>
      </c>
      <c r="O271" s="67">
        <v>0.57593903102885136</v>
      </c>
      <c r="P271" s="67">
        <v>0.39348903043170558</v>
      </c>
      <c r="Q271" s="67">
        <v>0.42935871743486975</v>
      </c>
    </row>
    <row r="272" spans="1:17" x14ac:dyDescent="0.4">
      <c r="A272" s="69">
        <v>269</v>
      </c>
      <c r="B272" s="66">
        <v>-2</v>
      </c>
      <c r="C272" s="66">
        <v>-2.4783147459727386E-3</v>
      </c>
      <c r="D272" s="71">
        <v>2</v>
      </c>
      <c r="E272" s="67">
        <v>0.33333333333333331</v>
      </c>
      <c r="F272" s="67">
        <v>0.33333333333333331</v>
      </c>
      <c r="G272" s="67">
        <v>0.29816718819848009</v>
      </c>
      <c r="H272" s="67">
        <v>0.16778423483832514</v>
      </c>
      <c r="I272" s="68">
        <v>8780.8095952023996</v>
      </c>
      <c r="J272" s="68">
        <v>-8253.0195381882768</v>
      </c>
      <c r="K272" s="67">
        <v>0.12763320941759604</v>
      </c>
      <c r="L272" s="67">
        <v>0.12763320941759604</v>
      </c>
      <c r="M272" s="67">
        <v>0.27402771569065715</v>
      </c>
      <c r="N272" s="67">
        <v>0.21129488898822829</v>
      </c>
      <c r="O272" s="67">
        <v>0.57585644371941269</v>
      </c>
      <c r="P272" s="67">
        <v>0.39351198871650211</v>
      </c>
      <c r="Q272" s="67">
        <v>0.42928535732133932</v>
      </c>
    </row>
    <row r="273" spans="1:17" x14ac:dyDescent="0.4">
      <c r="A273" s="69">
        <v>270</v>
      </c>
      <c r="B273" s="66">
        <v>-2</v>
      </c>
      <c r="C273" s="66">
        <v>-2.4691358024691358E-3</v>
      </c>
      <c r="D273" s="71">
        <v>2</v>
      </c>
      <c r="E273" s="67">
        <v>0.33333333333333331</v>
      </c>
      <c r="F273" s="67">
        <v>0.33333333333333331</v>
      </c>
      <c r="G273" s="67">
        <v>0.29826125724476149</v>
      </c>
      <c r="H273" s="67">
        <v>0.16763263486402141</v>
      </c>
      <c r="I273" s="68">
        <v>8772.9446935724955</v>
      </c>
      <c r="J273" s="68">
        <v>-8249.8226950354601</v>
      </c>
      <c r="K273" s="67">
        <v>0.12716049382716049</v>
      </c>
      <c r="L273" s="67">
        <v>0.12716049382716049</v>
      </c>
      <c r="M273" s="67">
        <v>0.27388913657304204</v>
      </c>
      <c r="N273" s="67">
        <v>0.2113241194828355</v>
      </c>
      <c r="O273" s="67">
        <v>0.57569180683667931</v>
      </c>
      <c r="P273" s="67">
        <v>0.39451476793248946</v>
      </c>
      <c r="Q273" s="67">
        <v>0.42999501743896362</v>
      </c>
    </row>
    <row r="274" spans="1:17" x14ac:dyDescent="0.4">
      <c r="A274" s="69">
        <v>271</v>
      </c>
      <c r="B274" s="66">
        <v>-1.9999999999999987</v>
      </c>
      <c r="C274" s="66">
        <v>-2.4600246002460008E-3</v>
      </c>
      <c r="D274" s="71">
        <v>2</v>
      </c>
      <c r="E274" s="67">
        <v>0.33333333333333331</v>
      </c>
      <c r="F274" s="67">
        <v>0.33333333333333331</v>
      </c>
      <c r="G274" s="67">
        <v>0.29826897470039948</v>
      </c>
      <c r="H274" s="67">
        <v>0.1673324456280515</v>
      </c>
      <c r="I274" s="68">
        <v>8775.8432539682544</v>
      </c>
      <c r="J274" s="68">
        <v>-8250.9283819628654</v>
      </c>
      <c r="K274" s="67">
        <v>0.12669126691266913</v>
      </c>
      <c r="L274" s="67">
        <v>0.12669126691266913</v>
      </c>
      <c r="M274" s="67">
        <v>0.27356117768900723</v>
      </c>
      <c r="N274" s="67">
        <v>0.21097795531883415</v>
      </c>
      <c r="O274" s="67">
        <v>0.57706868577609516</v>
      </c>
      <c r="P274" s="67">
        <v>0.39481065918653574</v>
      </c>
      <c r="Q274" s="67">
        <v>0.43105158730158732</v>
      </c>
    </row>
    <row r="275" spans="1:17" x14ac:dyDescent="0.4">
      <c r="A275" s="69">
        <v>272</v>
      </c>
      <c r="B275" s="66">
        <v>-2.0000000000000053</v>
      </c>
      <c r="C275" s="66">
        <v>-2.4509803921568692E-3</v>
      </c>
      <c r="D275" s="71">
        <v>2</v>
      </c>
      <c r="E275" s="67">
        <v>0.33333333333333331</v>
      </c>
      <c r="F275" s="67">
        <v>0.33333333333333331</v>
      </c>
      <c r="G275" s="67">
        <v>0.2982300884955752</v>
      </c>
      <c r="H275" s="67">
        <v>0.16740412979351033</v>
      </c>
      <c r="I275" s="68">
        <v>8773.9366963402572</v>
      </c>
      <c r="J275" s="68">
        <v>-8251.8061674008804</v>
      </c>
      <c r="K275" s="67">
        <v>0.12622549019607843</v>
      </c>
      <c r="L275" s="67">
        <v>0.12622549019607843</v>
      </c>
      <c r="M275" s="67">
        <v>0.27359882005899705</v>
      </c>
      <c r="N275" s="67">
        <v>0.21106194690265487</v>
      </c>
      <c r="O275" s="67">
        <v>0.57789757412398923</v>
      </c>
      <c r="P275" s="67">
        <v>0.3941299790356394</v>
      </c>
      <c r="Q275" s="67">
        <v>0.43076162215628089</v>
      </c>
    </row>
    <row r="276" spans="1:17" x14ac:dyDescent="0.4">
      <c r="A276" s="69">
        <v>273</v>
      </c>
      <c r="B276" s="66">
        <v>-2.0000000000000071</v>
      </c>
      <c r="C276" s="66">
        <v>-2.4420024420024507E-3</v>
      </c>
      <c r="D276" s="71">
        <v>2</v>
      </c>
      <c r="E276" s="67">
        <v>0.33333333333333331</v>
      </c>
      <c r="F276" s="67">
        <v>0.33333333333333331</v>
      </c>
      <c r="G276" s="67">
        <v>0.29835390946502055</v>
      </c>
      <c r="H276" s="67">
        <v>0.16725455614344503</v>
      </c>
      <c r="I276" s="68">
        <v>8774.4334975369457</v>
      </c>
      <c r="J276" s="68">
        <v>-8260.808435852372</v>
      </c>
      <c r="K276" s="67">
        <v>0.12698412698412698</v>
      </c>
      <c r="L276" s="67">
        <v>0.12698412698412698</v>
      </c>
      <c r="M276" s="67">
        <v>0.27351557907113461</v>
      </c>
      <c r="N276" s="67">
        <v>0.21134626690182245</v>
      </c>
      <c r="O276" s="67">
        <v>0.57872111767866741</v>
      </c>
      <c r="P276" s="67">
        <v>0.39429763560500697</v>
      </c>
      <c r="Q276" s="67">
        <v>0.43103448275862066</v>
      </c>
    </row>
    <row r="277" spans="1:17" x14ac:dyDescent="0.4">
      <c r="A277" s="69">
        <v>274</v>
      </c>
      <c r="B277" s="66">
        <v>-2.0000000000000071</v>
      </c>
      <c r="C277" s="66">
        <v>-2.433090024330909E-3</v>
      </c>
      <c r="D277" s="71">
        <v>2</v>
      </c>
      <c r="E277" s="67">
        <v>0.33333333333333331</v>
      </c>
      <c r="F277" s="67">
        <v>0.33333333333333331</v>
      </c>
      <c r="G277" s="67">
        <v>0.29831501831501833</v>
      </c>
      <c r="H277" s="67">
        <v>0.16717948717948719</v>
      </c>
      <c r="I277" s="68">
        <v>8775.0491159135563</v>
      </c>
      <c r="J277" s="68">
        <v>-8262.4014022787032</v>
      </c>
      <c r="K277" s="67">
        <v>0.12652068126520682</v>
      </c>
      <c r="L277" s="67">
        <v>0.12652068126520682</v>
      </c>
      <c r="M277" s="67">
        <v>0.27384615384615385</v>
      </c>
      <c r="N277" s="67">
        <v>0.21084249084249085</v>
      </c>
      <c r="O277" s="67">
        <v>0.57838416265382553</v>
      </c>
      <c r="P277" s="67">
        <v>0.39402362751911052</v>
      </c>
      <c r="Q277" s="67">
        <v>0.43123772102161101</v>
      </c>
    </row>
    <row r="278" spans="1:17" x14ac:dyDescent="0.4">
      <c r="A278" s="69">
        <v>275</v>
      </c>
      <c r="B278" s="66">
        <v>-2.0000000000000053</v>
      </c>
      <c r="C278" s="66">
        <v>-2.4242424242424307E-3</v>
      </c>
      <c r="D278" s="71">
        <v>2</v>
      </c>
      <c r="E278" s="67">
        <v>0.33333333333333331</v>
      </c>
      <c r="F278" s="67">
        <v>0.33333333333333331</v>
      </c>
      <c r="G278" s="67">
        <v>0.29816112084063046</v>
      </c>
      <c r="H278" s="67">
        <v>0.16710449503794514</v>
      </c>
      <c r="I278" s="68">
        <v>8763.9745472344584</v>
      </c>
      <c r="J278" s="68">
        <v>-8251.7030567685597</v>
      </c>
      <c r="K278" s="67">
        <v>0.12606060606060607</v>
      </c>
      <c r="L278" s="67">
        <v>0.12606060606060607</v>
      </c>
      <c r="M278" s="67">
        <v>0.27408056042031526</v>
      </c>
      <c r="N278" s="67">
        <v>0.21074138937536485</v>
      </c>
      <c r="O278" s="67">
        <v>0.57774227902023434</v>
      </c>
      <c r="P278" s="67">
        <v>0.3940443213296399</v>
      </c>
      <c r="Q278" s="67">
        <v>0.43122858541360742</v>
      </c>
    </row>
    <row r="279" spans="1:17" x14ac:dyDescent="0.4">
      <c r="A279" s="69">
        <v>276</v>
      </c>
      <c r="B279" s="66">
        <v>-2.0000000000000071</v>
      </c>
      <c r="C279" s="66">
        <v>-2.4154589371980762E-3</v>
      </c>
      <c r="D279" s="71">
        <v>2</v>
      </c>
      <c r="E279" s="67">
        <v>0.33333333333333331</v>
      </c>
      <c r="F279" s="67">
        <v>0.33333333333333331</v>
      </c>
      <c r="G279" s="67">
        <v>0.29802383028189477</v>
      </c>
      <c r="H279" s="67">
        <v>0.16739319965126417</v>
      </c>
      <c r="I279" s="68">
        <v>8743.9785470502193</v>
      </c>
      <c r="J279" s="68">
        <v>-8221.6145833333339</v>
      </c>
      <c r="K279" s="67">
        <v>0.12560386473429952</v>
      </c>
      <c r="L279" s="67">
        <v>0.12560386473429952</v>
      </c>
      <c r="M279" s="67">
        <v>0.27346701540249929</v>
      </c>
      <c r="N279" s="67">
        <v>0.21040395233943621</v>
      </c>
      <c r="O279" s="67">
        <v>0.5770456960680127</v>
      </c>
      <c r="P279" s="67">
        <v>0.39571823204419887</v>
      </c>
      <c r="Q279" s="67">
        <v>0.43003412969283278</v>
      </c>
    </row>
    <row r="280" spans="1:17" x14ac:dyDescent="0.4">
      <c r="A280" s="69">
        <v>277</v>
      </c>
      <c r="B280" s="66">
        <v>-2.0000000000000071</v>
      </c>
      <c r="C280" s="66">
        <v>-2.4067388688327404E-3</v>
      </c>
      <c r="D280" s="71">
        <v>2</v>
      </c>
      <c r="E280" s="67">
        <v>0.33333333333333331</v>
      </c>
      <c r="F280" s="67">
        <v>0.33333333333333331</v>
      </c>
      <c r="G280" s="67">
        <v>0.29804772234273319</v>
      </c>
      <c r="H280" s="67">
        <v>0.1673174258857556</v>
      </c>
      <c r="I280" s="68">
        <v>8744.5414847161574</v>
      </c>
      <c r="J280" s="68">
        <v>-8227.9170267934314</v>
      </c>
      <c r="K280" s="67">
        <v>0.12515042117930206</v>
      </c>
      <c r="L280" s="67">
        <v>0.12515042117930206</v>
      </c>
      <c r="M280" s="67">
        <v>0.27360809833694866</v>
      </c>
      <c r="N280" s="67">
        <v>0.21055676066522053</v>
      </c>
      <c r="O280" s="67">
        <v>0.57663847780126853</v>
      </c>
      <c r="P280" s="67">
        <v>0.39629120879120877</v>
      </c>
      <c r="Q280" s="67">
        <v>0.43037360504609412</v>
      </c>
    </row>
    <row r="281" spans="1:17" x14ac:dyDescent="0.4">
      <c r="A281" s="69">
        <v>278</v>
      </c>
      <c r="B281" s="66">
        <v>-2.0000000000000049</v>
      </c>
      <c r="C281" s="66">
        <v>-2.3980815347721882E-3</v>
      </c>
      <c r="D281" s="71">
        <v>2</v>
      </c>
      <c r="E281" s="67">
        <v>0.33333333333333331</v>
      </c>
      <c r="F281" s="67">
        <v>0.33333333333333331</v>
      </c>
      <c r="G281" s="67">
        <v>0.29813933362180872</v>
      </c>
      <c r="H281" s="67">
        <v>0.1668830232222703</v>
      </c>
      <c r="I281" s="68">
        <v>8734.9298500241894</v>
      </c>
      <c r="J281" s="68">
        <v>-8227.9170267934314</v>
      </c>
      <c r="K281" s="67">
        <v>0.12470023980815348</v>
      </c>
      <c r="L281" s="67">
        <v>0.12470023980815348</v>
      </c>
      <c r="M281" s="67">
        <v>0.27318621087552286</v>
      </c>
      <c r="N281" s="67">
        <v>0.21015433434299727</v>
      </c>
      <c r="O281" s="67">
        <v>0.57655755015839494</v>
      </c>
      <c r="P281" s="67">
        <v>0.39670555936856555</v>
      </c>
      <c r="Q281" s="67">
        <v>0.43202709240445092</v>
      </c>
    </row>
    <row r="282" spans="1:17" x14ac:dyDescent="0.4">
      <c r="A282" s="69">
        <v>279</v>
      </c>
      <c r="B282" s="66">
        <v>-2.0000000000000071</v>
      </c>
      <c r="C282" s="66">
        <v>-2.3894862604540109E-3</v>
      </c>
      <c r="D282" s="71">
        <v>2</v>
      </c>
      <c r="E282" s="67">
        <v>0.33333333333333331</v>
      </c>
      <c r="F282" s="67">
        <v>0.33333333333333331</v>
      </c>
      <c r="G282" s="67">
        <v>0.2982758620689655</v>
      </c>
      <c r="H282" s="67">
        <v>0.16695402298850576</v>
      </c>
      <c r="I282" s="68">
        <v>8730.6358381502887</v>
      </c>
      <c r="J282" s="68">
        <v>-8214.8881239242692</v>
      </c>
      <c r="K282" s="67">
        <v>0.12425328554360812</v>
      </c>
      <c r="L282" s="67">
        <v>0.12425328554360812</v>
      </c>
      <c r="M282" s="67">
        <v>0.27284482758620687</v>
      </c>
      <c r="N282" s="67">
        <v>0.21048850574712644</v>
      </c>
      <c r="O282" s="67">
        <v>0.57661927330173779</v>
      </c>
      <c r="P282" s="67">
        <v>0.39726962457337883</v>
      </c>
      <c r="Q282" s="67">
        <v>0.43208092485549132</v>
      </c>
    </row>
    <row r="283" spans="1:17" x14ac:dyDescent="0.4">
      <c r="A283" s="69">
        <v>280</v>
      </c>
      <c r="B283" s="66">
        <v>-2.0000000000000071</v>
      </c>
      <c r="C283" s="66">
        <v>-2.3809523809523894E-3</v>
      </c>
      <c r="D283" s="71">
        <v>2</v>
      </c>
      <c r="E283" s="67">
        <v>0.33333333333333331</v>
      </c>
      <c r="F283" s="67">
        <v>0.33333333333333331</v>
      </c>
      <c r="G283" s="67">
        <v>0.29831332189822757</v>
      </c>
      <c r="H283" s="67">
        <v>0.16666666666666666</v>
      </c>
      <c r="I283" s="68">
        <v>8723.7182558696695</v>
      </c>
      <c r="J283" s="68">
        <v>-8212.3499142367073</v>
      </c>
      <c r="K283" s="67">
        <v>0.12380952380952381</v>
      </c>
      <c r="L283" s="67">
        <v>0.12380952380952381</v>
      </c>
      <c r="M283" s="67">
        <v>0.27244139508290449</v>
      </c>
      <c r="N283" s="67">
        <v>0.21054888507718697</v>
      </c>
      <c r="O283" s="67">
        <v>0.57817418677859389</v>
      </c>
      <c r="P283" s="67">
        <v>0.39714867617107941</v>
      </c>
      <c r="Q283" s="67">
        <v>0.43315764254911354</v>
      </c>
    </row>
    <row r="284" spans="1:17" x14ac:dyDescent="0.4">
      <c r="A284" s="69">
        <v>281</v>
      </c>
      <c r="B284" s="66">
        <v>-2.0000000000000053</v>
      </c>
      <c r="C284" s="66">
        <v>-2.3724792408066492E-3</v>
      </c>
      <c r="D284" s="71">
        <v>2</v>
      </c>
      <c r="E284" s="67">
        <v>0.33333333333333331</v>
      </c>
      <c r="F284" s="67">
        <v>0.33333333333333331</v>
      </c>
      <c r="G284" s="67">
        <v>0.29829059829059829</v>
      </c>
      <c r="H284" s="67">
        <v>0.16623931623931623</v>
      </c>
      <c r="I284" s="68">
        <v>8720.0573065902572</v>
      </c>
      <c r="J284" s="68">
        <v>-8213.5389888603258</v>
      </c>
      <c r="K284" s="67">
        <v>0.12336892052194544</v>
      </c>
      <c r="L284" s="67">
        <v>0.12336892052194544</v>
      </c>
      <c r="M284" s="67">
        <v>0.2722222222222222</v>
      </c>
      <c r="N284" s="67">
        <v>0.21068376068376068</v>
      </c>
      <c r="O284" s="67">
        <v>0.57823129251700678</v>
      </c>
      <c r="P284" s="67">
        <v>0.3962136578769439</v>
      </c>
      <c r="Q284" s="67">
        <v>0.43457497612225404</v>
      </c>
    </row>
    <row r="285" spans="1:17" x14ac:dyDescent="0.4">
      <c r="A285" s="69">
        <v>282</v>
      </c>
      <c r="B285" s="66">
        <v>-2.0000000000000036</v>
      </c>
      <c r="C285" s="66">
        <v>-2.3640661938534322E-3</v>
      </c>
      <c r="D285" s="71">
        <v>2</v>
      </c>
      <c r="E285" s="67">
        <v>0.33333333333333331</v>
      </c>
      <c r="F285" s="67">
        <v>0.33333333333333331</v>
      </c>
      <c r="G285" s="67">
        <v>0.29826802952867687</v>
      </c>
      <c r="H285" s="67">
        <v>0.16638273708120385</v>
      </c>
      <c r="I285" s="68">
        <v>8719.3241313660164</v>
      </c>
      <c r="J285" s="68">
        <v>-8212.2013651877132</v>
      </c>
      <c r="K285" s="67">
        <v>0.12293144208037825</v>
      </c>
      <c r="L285" s="67">
        <v>0.12293144208037825</v>
      </c>
      <c r="M285" s="67">
        <v>0.27257240204429301</v>
      </c>
      <c r="N285" s="67">
        <v>0.21039182282793867</v>
      </c>
      <c r="O285" s="67">
        <v>0.578125</v>
      </c>
      <c r="P285" s="67">
        <v>0.39541160593792174</v>
      </c>
      <c r="Q285" s="67">
        <v>0.43407900999524035</v>
      </c>
    </row>
    <row r="286" spans="1:17" x14ac:dyDescent="0.4">
      <c r="A286" s="69">
        <v>283</v>
      </c>
      <c r="B286" s="66">
        <v>-2.0000000000000036</v>
      </c>
      <c r="C286" s="66">
        <v>-2.3557126030624305E-3</v>
      </c>
      <c r="D286" s="71">
        <v>2</v>
      </c>
      <c r="E286" s="67">
        <v>0.33333333333333331</v>
      </c>
      <c r="F286" s="67">
        <v>0.33333333333333331</v>
      </c>
      <c r="G286" s="67">
        <v>0.29821580288870009</v>
      </c>
      <c r="H286" s="67">
        <v>0.16610025488530161</v>
      </c>
      <c r="I286" s="68">
        <v>8714.5773979107307</v>
      </c>
      <c r="J286" s="68">
        <v>-8212.0204603580569</v>
      </c>
      <c r="K286" s="67">
        <v>0.12249705535924617</v>
      </c>
      <c r="L286" s="67">
        <v>0.12249705535924617</v>
      </c>
      <c r="M286" s="67">
        <v>0.27244406683659023</v>
      </c>
      <c r="N286" s="67">
        <v>0.21042197677711696</v>
      </c>
      <c r="O286" s="67">
        <v>0.57796257796257799</v>
      </c>
      <c r="P286" s="67">
        <v>0.39569313593539707</v>
      </c>
      <c r="Q286" s="67">
        <v>0.4349477682811016</v>
      </c>
    </row>
    <row r="287" spans="1:17" x14ac:dyDescent="0.4">
      <c r="A287" s="69">
        <v>284</v>
      </c>
      <c r="B287" s="66">
        <v>-2</v>
      </c>
      <c r="C287" s="66">
        <v>-2.3474178403755869E-3</v>
      </c>
      <c r="D287" s="71">
        <v>2</v>
      </c>
      <c r="E287" s="67">
        <v>0.33333333333333331</v>
      </c>
      <c r="F287" s="67">
        <v>0.33333333333333331</v>
      </c>
      <c r="G287" s="67">
        <v>0.29826050063640219</v>
      </c>
      <c r="H287" s="67">
        <v>0.16617168717295996</v>
      </c>
      <c r="I287" s="68">
        <v>8724.940730203889</v>
      </c>
      <c r="J287" s="68">
        <v>-8223.5744680851058</v>
      </c>
      <c r="K287" s="67">
        <v>0.12323943661971831</v>
      </c>
      <c r="L287" s="67">
        <v>0.12323943661971831</v>
      </c>
      <c r="M287" s="67">
        <v>0.27252156696365437</v>
      </c>
      <c r="N287" s="67">
        <v>0.21029557346909913</v>
      </c>
      <c r="O287" s="67">
        <v>0.57810067462376746</v>
      </c>
      <c r="P287" s="67">
        <v>0.3954270342972428</v>
      </c>
      <c r="Q287" s="67">
        <v>0.43480322427690848</v>
      </c>
    </row>
    <row r="288" spans="1:17" x14ac:dyDescent="0.4">
      <c r="A288" s="69">
        <v>285</v>
      </c>
      <c r="B288" s="66">
        <v>-2</v>
      </c>
      <c r="C288" s="66">
        <v>-2.3391812865497076E-3</v>
      </c>
      <c r="D288" s="71">
        <v>2</v>
      </c>
      <c r="E288" s="67">
        <v>0.33333333333333331</v>
      </c>
      <c r="F288" s="67">
        <v>0.33333333333333331</v>
      </c>
      <c r="G288" s="67">
        <v>0.29798619912688351</v>
      </c>
      <c r="H288" s="67">
        <v>0.16589212786931418</v>
      </c>
      <c r="I288" s="68">
        <v>8721.4083175803407</v>
      </c>
      <c r="J288" s="68">
        <v>-8214.176570458405</v>
      </c>
      <c r="K288" s="67">
        <v>0.12280701754385964</v>
      </c>
      <c r="L288" s="67">
        <v>0.12280701754385964</v>
      </c>
      <c r="M288" s="67">
        <v>0.2723560061963104</v>
      </c>
      <c r="N288" s="67">
        <v>0.21025207717222927</v>
      </c>
      <c r="O288" s="67">
        <v>0.57704239917269906</v>
      </c>
      <c r="P288" s="67">
        <v>0.39651707970529138</v>
      </c>
      <c r="Q288" s="67">
        <v>0.43525519848771266</v>
      </c>
    </row>
    <row r="289" spans="1:17" x14ac:dyDescent="0.4">
      <c r="A289" s="69">
        <v>286</v>
      </c>
      <c r="B289" s="66">
        <v>-1.9999999999999956</v>
      </c>
      <c r="C289" s="66">
        <v>-2.3310023310023258E-3</v>
      </c>
      <c r="D289" s="71">
        <v>2</v>
      </c>
      <c r="E289" s="67">
        <v>0.33333333333333331</v>
      </c>
      <c r="F289" s="67">
        <v>0.33333333333333331</v>
      </c>
      <c r="G289" s="67">
        <v>0.29812008978675647</v>
      </c>
      <c r="H289" s="67">
        <v>0.16596520763187431</v>
      </c>
      <c r="I289" s="68">
        <v>8724.1882352941175</v>
      </c>
      <c r="J289" s="68">
        <v>-8213.6094674556207</v>
      </c>
      <c r="K289" s="67">
        <v>0.12237762237762238</v>
      </c>
      <c r="L289" s="67">
        <v>0.12237762237762238</v>
      </c>
      <c r="M289" s="67">
        <v>0.27230639730639733</v>
      </c>
      <c r="N289" s="67">
        <v>0.21015712682379348</v>
      </c>
      <c r="O289" s="67">
        <v>0.57702215352910868</v>
      </c>
      <c r="P289" s="67">
        <v>0.39719626168224298</v>
      </c>
      <c r="Q289" s="67">
        <v>0.43529411764705883</v>
      </c>
    </row>
    <row r="290" spans="1:17" x14ac:dyDescent="0.4">
      <c r="A290" s="69">
        <v>287</v>
      </c>
      <c r="B290" s="66">
        <v>-1.9999999999999964</v>
      </c>
      <c r="C290" s="66">
        <v>-2.3228803716608551E-3</v>
      </c>
      <c r="D290" s="71">
        <v>2</v>
      </c>
      <c r="E290" s="67">
        <v>0.33333333333333331</v>
      </c>
      <c r="F290" s="67">
        <v>0.33333333333333331</v>
      </c>
      <c r="G290" s="67">
        <v>0.29820878813322138</v>
      </c>
      <c r="H290" s="67">
        <v>0.16624685138539042</v>
      </c>
      <c r="I290" s="68">
        <v>8721.1637728765836</v>
      </c>
      <c r="J290" s="68">
        <v>-8207.575757575758</v>
      </c>
      <c r="K290" s="67">
        <v>0.12195121951219512</v>
      </c>
      <c r="L290" s="67">
        <v>0.12195121951219512</v>
      </c>
      <c r="M290" s="67">
        <v>0.27232017912118667</v>
      </c>
      <c r="N290" s="67">
        <v>0.21018751749230338</v>
      </c>
      <c r="O290" s="67">
        <v>0.57759506680369987</v>
      </c>
      <c r="P290" s="67">
        <v>0.39747003994673769</v>
      </c>
      <c r="Q290" s="67">
        <v>0.43453777569216329</v>
      </c>
    </row>
    <row r="291" spans="1:17" x14ac:dyDescent="0.4">
      <c r="A291" s="69">
        <v>288</v>
      </c>
      <c r="B291" s="66">
        <v>-1.9999999999999973</v>
      </c>
      <c r="C291" s="66">
        <v>-2.3148148148148117E-3</v>
      </c>
      <c r="D291" s="71">
        <v>2</v>
      </c>
      <c r="E291" s="67">
        <v>0.33333333333333331</v>
      </c>
      <c r="F291" s="67">
        <v>0.33333333333333331</v>
      </c>
      <c r="G291" s="67">
        <v>0.29831170643225896</v>
      </c>
      <c r="H291" s="67">
        <v>0.16645737407562439</v>
      </c>
      <c r="I291" s="68">
        <v>8714.499532273152</v>
      </c>
      <c r="J291" s="68">
        <v>-8192.2883487007548</v>
      </c>
      <c r="K291" s="67">
        <v>0.12268518518518519</v>
      </c>
      <c r="L291" s="67">
        <v>0.12268518518518519</v>
      </c>
      <c r="M291" s="67">
        <v>0.27208036835496024</v>
      </c>
      <c r="N291" s="67">
        <v>0.21040881819450258</v>
      </c>
      <c r="O291" s="67">
        <v>0.57692307692307687</v>
      </c>
      <c r="P291" s="67">
        <v>0.39920424403183025</v>
      </c>
      <c r="Q291" s="67">
        <v>0.43405051449953225</v>
      </c>
    </row>
    <row r="292" spans="1:17" x14ac:dyDescent="0.4">
      <c r="A292" s="69">
        <v>289</v>
      </c>
      <c r="B292" s="66">
        <v>-2.0000000000000013</v>
      </c>
      <c r="C292" s="66">
        <v>-2.3068050749711663E-3</v>
      </c>
      <c r="D292" s="71">
        <v>2</v>
      </c>
      <c r="E292" s="67">
        <v>0.33333333333333331</v>
      </c>
      <c r="F292" s="67">
        <v>0.33333333333333331</v>
      </c>
      <c r="G292" s="67">
        <v>0.29839944328462076</v>
      </c>
      <c r="H292" s="67">
        <v>0.16673625608907447</v>
      </c>
      <c r="I292" s="68">
        <v>8707.0429104477607</v>
      </c>
      <c r="J292" s="68">
        <v>-8181.7195325542571</v>
      </c>
      <c r="K292" s="67">
        <v>0.12226066897347174</v>
      </c>
      <c r="L292" s="67">
        <v>0.12226066897347174</v>
      </c>
      <c r="M292" s="67">
        <v>0.27181628392484342</v>
      </c>
      <c r="N292" s="67">
        <v>0.21057759220598468</v>
      </c>
      <c r="O292" s="67">
        <v>0.57706093189964158</v>
      </c>
      <c r="P292" s="67">
        <v>0.39920687376074027</v>
      </c>
      <c r="Q292" s="67">
        <v>0.43330223880597013</v>
      </c>
    </row>
    <row r="293" spans="1:17" x14ac:dyDescent="0.4">
      <c r="A293" s="69">
        <v>290</v>
      </c>
      <c r="B293" s="66">
        <v>-2</v>
      </c>
      <c r="C293" s="66">
        <v>-2.2988505747126436E-3</v>
      </c>
      <c r="D293" s="71">
        <v>2</v>
      </c>
      <c r="E293" s="67">
        <v>0.33333333333333331</v>
      </c>
      <c r="F293" s="67">
        <v>0.33333333333333331</v>
      </c>
      <c r="G293" s="67">
        <v>0.29836247571468222</v>
      </c>
      <c r="H293" s="67">
        <v>0.16666666666666666</v>
      </c>
      <c r="I293" s="68">
        <v>8708.6976744186049</v>
      </c>
      <c r="J293" s="68">
        <v>-8178.9342214820981</v>
      </c>
      <c r="K293" s="67">
        <v>0.12183908045977011</v>
      </c>
      <c r="L293" s="67">
        <v>0.12183908045977011</v>
      </c>
      <c r="M293" s="67">
        <v>0.27199555925617541</v>
      </c>
      <c r="N293" s="67">
        <v>0.21051901193449904</v>
      </c>
      <c r="O293" s="67">
        <v>0.57704081632653059</v>
      </c>
      <c r="P293" s="67">
        <v>0.39881344759393539</v>
      </c>
      <c r="Q293" s="67">
        <v>0.43348837209302327</v>
      </c>
    </row>
    <row r="294" spans="1:17" x14ac:dyDescent="0.4">
      <c r="A294" s="69">
        <v>291</v>
      </c>
      <c r="B294" s="66">
        <v>-2.0000000000000036</v>
      </c>
      <c r="C294" s="66">
        <v>-2.290950744558996E-3</v>
      </c>
      <c r="D294" s="71">
        <v>2</v>
      </c>
      <c r="E294" s="67">
        <v>0.33333333333333331</v>
      </c>
      <c r="F294" s="67">
        <v>0.33333333333333331</v>
      </c>
      <c r="G294" s="67">
        <v>0.29847856154910096</v>
      </c>
      <c r="H294" s="67">
        <v>0.16694329183955739</v>
      </c>
      <c r="I294" s="68">
        <v>8699.3975903614464</v>
      </c>
      <c r="J294" s="68">
        <v>-8168.019884009942</v>
      </c>
      <c r="K294" s="67">
        <v>0.12142038946162657</v>
      </c>
      <c r="L294" s="67">
        <v>0.12142038946162657</v>
      </c>
      <c r="M294" s="67">
        <v>0.27178423236514521</v>
      </c>
      <c r="N294" s="67">
        <v>0.21037344398340249</v>
      </c>
      <c r="O294" s="67">
        <v>0.57709923664122142</v>
      </c>
      <c r="P294" s="67">
        <v>0.39973701512163051</v>
      </c>
      <c r="Q294" s="67">
        <v>0.43280815569972197</v>
      </c>
    </row>
    <row r="295" spans="1:17" x14ac:dyDescent="0.4">
      <c r="A295" s="69">
        <v>292</v>
      </c>
      <c r="B295" s="66">
        <v>-2.0000000000000044</v>
      </c>
      <c r="C295" s="66">
        <v>-2.2831050228310553E-3</v>
      </c>
      <c r="D295" s="71">
        <v>2</v>
      </c>
      <c r="E295" s="67">
        <v>0.33333333333333331</v>
      </c>
      <c r="F295" s="67">
        <v>0.33333333333333331</v>
      </c>
      <c r="G295" s="67">
        <v>0.29862258953168042</v>
      </c>
      <c r="H295" s="67">
        <v>0.16666666666666666</v>
      </c>
      <c r="I295" s="68">
        <v>8696.1254612546127</v>
      </c>
      <c r="J295" s="68">
        <v>-8166.1983471074382</v>
      </c>
      <c r="K295" s="67">
        <v>0.12100456621004566</v>
      </c>
      <c r="L295" s="67">
        <v>0.12100456621004566</v>
      </c>
      <c r="M295" s="67">
        <v>0.27148760330578514</v>
      </c>
      <c r="N295" s="67">
        <v>0.21046831955922865</v>
      </c>
      <c r="O295" s="67">
        <v>0.57737189244038556</v>
      </c>
      <c r="P295" s="67">
        <v>0.40052356020942409</v>
      </c>
      <c r="Q295" s="67">
        <v>0.43404059040590404</v>
      </c>
    </row>
    <row r="296" spans="1:17" x14ac:dyDescent="0.4">
      <c r="A296" s="69">
        <v>293</v>
      </c>
      <c r="B296" s="66">
        <v>-2.0000000000000142</v>
      </c>
      <c r="C296" s="66">
        <v>-2.27531285551765E-3</v>
      </c>
      <c r="D296" s="71">
        <v>2</v>
      </c>
      <c r="E296" s="67">
        <v>0.33333333333333331</v>
      </c>
      <c r="F296" s="67">
        <v>0.33333333333333331</v>
      </c>
      <c r="G296" s="67">
        <v>0.29836829836829837</v>
      </c>
      <c r="H296" s="67">
        <v>0.16659810777457837</v>
      </c>
      <c r="I296" s="68">
        <v>8692.6470588235297</v>
      </c>
      <c r="J296" s="68">
        <v>-8162.7160493827159</v>
      </c>
      <c r="K296" s="67">
        <v>0.12059158134243458</v>
      </c>
      <c r="L296" s="67">
        <v>0.12059158134243458</v>
      </c>
      <c r="M296" s="67">
        <v>0.27135609488550666</v>
      </c>
      <c r="N296" s="67">
        <v>0.21020156314273961</v>
      </c>
      <c r="O296" s="67">
        <v>0.57806973218797375</v>
      </c>
      <c r="P296" s="67">
        <v>0.40052185257664707</v>
      </c>
      <c r="Q296" s="67">
        <v>0.43382352941176472</v>
      </c>
    </row>
    <row r="297" spans="1:17" x14ac:dyDescent="0.4">
      <c r="A297" s="69">
        <v>294</v>
      </c>
      <c r="B297" s="66">
        <v>-2.0000000000000142</v>
      </c>
      <c r="C297" s="66">
        <v>-2.2675736961451408E-3</v>
      </c>
      <c r="D297" s="71">
        <v>2</v>
      </c>
      <c r="E297" s="67">
        <v>0.33333333333333331</v>
      </c>
      <c r="F297" s="67">
        <v>0.33333333333333331</v>
      </c>
      <c r="G297" s="67">
        <v>0.29851153898675409</v>
      </c>
      <c r="H297" s="67">
        <v>0.16632527652601392</v>
      </c>
      <c r="I297" s="68">
        <v>8687.465690759378</v>
      </c>
      <c r="J297" s="68">
        <v>-8153.0377668308702</v>
      </c>
      <c r="K297" s="67">
        <v>0.12018140589569161</v>
      </c>
      <c r="L297" s="67">
        <v>0.12018140589569161</v>
      </c>
      <c r="M297" s="67">
        <v>0.27147343984705724</v>
      </c>
      <c r="N297" s="67">
        <v>0.20988665847330329</v>
      </c>
      <c r="O297" s="67">
        <v>0.57796780684104632</v>
      </c>
      <c r="P297" s="67">
        <v>0.40078074170461941</v>
      </c>
      <c r="Q297" s="67">
        <v>0.43504117108874657</v>
      </c>
    </row>
    <row r="298" spans="1:17" x14ac:dyDescent="0.4">
      <c r="A298" s="69">
        <v>295</v>
      </c>
      <c r="B298" s="66">
        <v>-2.0000000000000169</v>
      </c>
      <c r="C298" s="66">
        <v>-2.2598870056497367E-3</v>
      </c>
      <c r="D298" s="71">
        <v>2</v>
      </c>
      <c r="E298" s="67">
        <v>0.33333333333333331</v>
      </c>
      <c r="F298" s="67">
        <v>0.33333333333333331</v>
      </c>
      <c r="G298" s="67">
        <v>0.29856850715746419</v>
      </c>
      <c r="H298" s="67">
        <v>0.16646216768916156</v>
      </c>
      <c r="I298" s="68">
        <v>8692.9680365296808</v>
      </c>
      <c r="J298" s="68">
        <v>-8161.5069615069615</v>
      </c>
      <c r="K298" s="67">
        <v>0.12090395480225989</v>
      </c>
      <c r="L298" s="67">
        <v>0.12090395480225989</v>
      </c>
      <c r="M298" s="67">
        <v>0.27171097477845946</v>
      </c>
      <c r="N298" s="67">
        <v>0.20954328561690524</v>
      </c>
      <c r="O298" s="67">
        <v>0.57752132463622674</v>
      </c>
      <c r="P298" s="67">
        <v>0.40078074170461941</v>
      </c>
      <c r="Q298" s="67">
        <v>0.43470319634703197</v>
      </c>
    </row>
    <row r="299" spans="1:17" x14ac:dyDescent="0.4">
      <c r="A299" s="69">
        <v>296</v>
      </c>
      <c r="B299" s="66">
        <v>-2.0000000000000213</v>
      </c>
      <c r="C299" s="66">
        <v>-2.2522522522522761E-3</v>
      </c>
      <c r="D299" s="71">
        <v>2</v>
      </c>
      <c r="E299" s="67">
        <v>0.33333333333333331</v>
      </c>
      <c r="F299" s="67">
        <v>0.33333333333333331</v>
      </c>
      <c r="G299" s="67">
        <v>0.2986167615947925</v>
      </c>
      <c r="H299" s="67">
        <v>0.16666666666666666</v>
      </c>
      <c r="I299" s="68">
        <v>8676.8392370572201</v>
      </c>
      <c r="J299" s="68">
        <v>-8141.6598860862487</v>
      </c>
      <c r="K299" s="67">
        <v>0.12162162162162163</v>
      </c>
      <c r="L299" s="67">
        <v>0.12162162162162163</v>
      </c>
      <c r="M299" s="67">
        <v>0.27135882831570385</v>
      </c>
      <c r="N299" s="67">
        <v>0.20951993490642798</v>
      </c>
      <c r="O299" s="67">
        <v>0.57721139430284862</v>
      </c>
      <c r="P299" s="67">
        <v>0.40129449838187703</v>
      </c>
      <c r="Q299" s="67">
        <v>0.43415077202543145</v>
      </c>
    </row>
    <row r="300" spans="1:17" x14ac:dyDescent="0.4">
      <c r="A300" s="69">
        <v>297</v>
      </c>
      <c r="B300" s="66">
        <v>-2.0000000000000213</v>
      </c>
      <c r="C300" s="66">
        <v>-2.244668911335602E-3</v>
      </c>
      <c r="D300" s="71">
        <v>2</v>
      </c>
      <c r="E300" s="67">
        <v>0.33333333333333331</v>
      </c>
      <c r="F300" s="67">
        <v>0.33333333333333331</v>
      </c>
      <c r="G300" s="67">
        <v>0.2984448951994591</v>
      </c>
      <c r="H300" s="67">
        <v>0.16659905341446923</v>
      </c>
      <c r="I300" s="68">
        <v>8670.3670140462164</v>
      </c>
      <c r="J300" s="68">
        <v>-8135.7142857142853</v>
      </c>
      <c r="K300" s="67">
        <v>0.12121212121212122</v>
      </c>
      <c r="L300" s="67">
        <v>0.12121212121212122</v>
      </c>
      <c r="M300" s="67">
        <v>0.27153482082488167</v>
      </c>
      <c r="N300" s="67">
        <v>0.20960108181203516</v>
      </c>
      <c r="O300" s="67">
        <v>0.57669322709163351</v>
      </c>
      <c r="P300" s="67">
        <v>0.40064516129032257</v>
      </c>
      <c r="Q300" s="67">
        <v>0.43407340280924334</v>
      </c>
    </row>
    <row r="301" spans="1:17" x14ac:dyDescent="0.4">
      <c r="A301" s="69">
        <v>298</v>
      </c>
      <c r="B301" s="66">
        <v>-2.0000000000000213</v>
      </c>
      <c r="C301" s="66">
        <v>-2.2371364653244086E-3</v>
      </c>
      <c r="D301" s="71">
        <v>2</v>
      </c>
      <c r="E301" s="67">
        <v>0.33333333333333331</v>
      </c>
      <c r="F301" s="67">
        <v>0.33333333333333331</v>
      </c>
      <c r="G301" s="67">
        <v>0.29840884573894283</v>
      </c>
      <c r="H301" s="67">
        <v>0.16680151024811218</v>
      </c>
      <c r="I301" s="68">
        <v>8666.2901039313147</v>
      </c>
      <c r="J301" s="68">
        <v>-8131.3662085691185</v>
      </c>
      <c r="K301" s="67">
        <v>0.12192393736017897</v>
      </c>
      <c r="L301" s="67">
        <v>0.12192393736017897</v>
      </c>
      <c r="M301" s="67">
        <v>0.2715749730312837</v>
      </c>
      <c r="N301" s="67">
        <v>0.20941208198489752</v>
      </c>
      <c r="O301" s="67">
        <v>0.57646474677259185</v>
      </c>
      <c r="P301" s="67">
        <v>0.40180296200901483</v>
      </c>
      <c r="Q301" s="67">
        <v>0.43334839584274742</v>
      </c>
    </row>
    <row r="302" spans="1:17" x14ac:dyDescent="0.4">
      <c r="A302" s="69">
        <v>299</v>
      </c>
      <c r="B302" s="66">
        <v>-2.0000000000000258</v>
      </c>
      <c r="C302" s="66">
        <v>-2.2296544035674756E-3</v>
      </c>
      <c r="D302" s="71">
        <v>2</v>
      </c>
      <c r="E302" s="67">
        <v>0.33333333333333331</v>
      </c>
      <c r="F302" s="67">
        <v>0.33333333333333331</v>
      </c>
      <c r="G302" s="67">
        <v>0.29826682789197906</v>
      </c>
      <c r="H302" s="67">
        <v>0.16659948945317749</v>
      </c>
      <c r="I302" s="68">
        <v>8651.3513513513517</v>
      </c>
      <c r="J302" s="68">
        <v>-8122.6612903225805</v>
      </c>
      <c r="K302" s="67">
        <v>0.12151616499442586</v>
      </c>
      <c r="L302" s="67">
        <v>0.12151616499442586</v>
      </c>
      <c r="M302" s="67">
        <v>0.27139594249630528</v>
      </c>
      <c r="N302" s="67">
        <v>0.20999596936719064</v>
      </c>
      <c r="O302" s="67">
        <v>0.57623762376237619</v>
      </c>
      <c r="P302" s="67">
        <v>0.40051183621241204</v>
      </c>
      <c r="Q302" s="67">
        <v>0.43378378378378379</v>
      </c>
    </row>
    <row r="303" spans="1:17" x14ac:dyDescent="0.4">
      <c r="A303" s="69">
        <v>300</v>
      </c>
      <c r="B303" s="66">
        <v>-2.0000000000000213</v>
      </c>
      <c r="C303" s="66">
        <v>-2.2222222222222461E-3</v>
      </c>
      <c r="D303" s="71">
        <v>2</v>
      </c>
      <c r="E303" s="67">
        <v>0.33333333333333331</v>
      </c>
      <c r="F303" s="67">
        <v>0.33333333333333331</v>
      </c>
      <c r="G303" s="67">
        <v>0.29823151125401931</v>
      </c>
      <c r="H303" s="67">
        <v>0.1662647374062165</v>
      </c>
      <c r="I303" s="68">
        <v>8643.0817610062895</v>
      </c>
      <c r="J303" s="68">
        <v>-8122.3207091055601</v>
      </c>
      <c r="K303" s="67">
        <v>0.12111111111111111</v>
      </c>
      <c r="L303" s="67">
        <v>0.12111111111111111</v>
      </c>
      <c r="M303" s="67">
        <v>0.27103429796355843</v>
      </c>
      <c r="N303" s="67">
        <v>0.21101286173633441</v>
      </c>
      <c r="O303" s="67">
        <v>0.57637172516065249</v>
      </c>
      <c r="P303" s="67">
        <v>0.39936507936507937</v>
      </c>
      <c r="Q303" s="67">
        <v>0.43486073674752918</v>
      </c>
    </row>
    <row r="304" spans="1:17" x14ac:dyDescent="0.4">
      <c r="A304" s="69">
        <v>301</v>
      </c>
      <c r="B304" s="66">
        <v>-2.0000000000000142</v>
      </c>
      <c r="C304" s="66">
        <v>-2.2148394241417657E-3</v>
      </c>
      <c r="D304" s="71">
        <v>2</v>
      </c>
      <c r="E304" s="67">
        <v>0.33333333333333331</v>
      </c>
      <c r="F304" s="67">
        <v>0.33333333333333331</v>
      </c>
      <c r="G304" s="67">
        <v>0.29834401709401709</v>
      </c>
      <c r="H304" s="67">
        <v>0.16653311965811965</v>
      </c>
      <c r="I304" s="68">
        <v>8640.2417188898835</v>
      </c>
      <c r="J304" s="68">
        <v>-8114.6752205292705</v>
      </c>
      <c r="K304" s="67">
        <v>0.12070874861572536</v>
      </c>
      <c r="L304" s="67">
        <v>0.12070874861572536</v>
      </c>
      <c r="M304" s="67">
        <v>0.27083333333333331</v>
      </c>
      <c r="N304" s="67">
        <v>0.21167200854700854</v>
      </c>
      <c r="O304" s="67">
        <v>0.57692307692307687</v>
      </c>
      <c r="P304" s="67">
        <v>0.39936908517350156</v>
      </c>
      <c r="Q304" s="67">
        <v>0.43419874664279318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585</vt:i4>
      </vt:variant>
    </vt:vector>
  </HeadingPairs>
  <TitlesOfParts>
    <vt:vector size="634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のり</vt:lpstr>
      <vt:lpstr>のり2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2019-07-14T16:24:16Z</dcterms:modified>
</cp:coreProperties>
</file>