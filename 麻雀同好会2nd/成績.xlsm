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8A7A12E2-3E7E-4BC6-B7B6-A34B60DC8A28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349" r:id="rId6"/>
    <sheet name="だいち" sheetId="5351" r:id="rId7"/>
    <sheet name="りくと" sheetId="5353" r:id="rId8"/>
    <sheet name="ただ" sheetId="5355" r:id="rId9"/>
    <sheet name="れんたろう" sheetId="5357" r:id="rId10"/>
    <sheet name="たかの" sheetId="5359" r:id="rId11"/>
    <sheet name="ぱぱ" sheetId="5361" r:id="rId12"/>
    <sheet name="まっつん" sheetId="5363" r:id="rId13"/>
    <sheet name="あさひ" sheetId="5365" r:id="rId14"/>
    <sheet name="いっしー" sheetId="5367" r:id="rId15"/>
    <sheet name="ほたに" sheetId="5369" r:id="rId16"/>
    <sheet name="かわたつ" sheetId="5371" r:id="rId17"/>
    <sheet name="やがさき" sheetId="5373" r:id="rId18"/>
    <sheet name="やがさき2" sheetId="5374" state="hidden" r:id="rId19"/>
    <sheet name="かわたつ2" sheetId="5372" state="hidden" r:id="rId20"/>
    <sheet name="ほたに2" sheetId="5370" state="hidden" r:id="rId21"/>
    <sheet name="いっしー2" sheetId="5368" state="hidden" r:id="rId22"/>
    <sheet name="あさひ2" sheetId="5366" state="hidden" r:id="rId23"/>
    <sheet name="まっつん2" sheetId="5364" state="hidden" r:id="rId24"/>
    <sheet name="ぱぱ2" sheetId="5362" state="hidden" r:id="rId25"/>
    <sheet name="たかの2" sheetId="5360" state="hidden" r:id="rId26"/>
    <sheet name="れんたろう2" sheetId="5358" state="hidden" r:id="rId27"/>
    <sheet name="ただ2" sheetId="5356" state="hidden" r:id="rId28"/>
    <sheet name="りくと2" sheetId="5354" state="hidden" r:id="rId29"/>
    <sheet name="だいち2" sheetId="5352" state="hidden" r:id="rId30"/>
    <sheet name="全体2" sheetId="5350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355" l="1"/>
  <c r="O16" i="5359"/>
  <c r="O15" i="5349"/>
  <c r="O16" i="5373"/>
  <c r="O15" i="5373"/>
  <c r="C27" i="5373"/>
  <c r="B24" i="5373"/>
  <c r="C20" i="5373"/>
  <c r="C17" i="5373"/>
  <c r="B17" i="5373"/>
  <c r="H48" i="5373" s="1"/>
  <c r="C16" i="5373"/>
  <c r="C15" i="5373"/>
  <c r="C14" i="5373"/>
  <c r="C13" i="5373"/>
  <c r="O12" i="5373"/>
  <c r="C12" i="5373"/>
  <c r="O11" i="5373"/>
  <c r="C11" i="5373"/>
  <c r="O10" i="5373"/>
  <c r="H10" i="5373"/>
  <c r="C10" i="5373"/>
  <c r="C9" i="5373"/>
  <c r="H8" i="5373"/>
  <c r="C8" i="5373"/>
  <c r="O7" i="5373"/>
  <c r="C7" i="5373"/>
  <c r="O6" i="5373"/>
  <c r="B6" i="5373"/>
  <c r="O5" i="5373"/>
  <c r="B5" i="5373"/>
  <c r="O4" i="5373"/>
  <c r="H4" i="5373"/>
  <c r="O3" i="5373"/>
  <c r="O2" i="5373"/>
  <c r="H2" i="5373"/>
  <c r="O15" i="5371"/>
  <c r="O16" i="5371"/>
  <c r="H48" i="5371"/>
  <c r="H32" i="5371"/>
  <c r="C27" i="5371"/>
  <c r="B24" i="5371"/>
  <c r="C20" i="5371"/>
  <c r="C18" i="5371"/>
  <c r="B17" i="5371"/>
  <c r="H51" i="5371" s="1"/>
  <c r="H16" i="5371"/>
  <c r="C16" i="5371"/>
  <c r="C15" i="5371"/>
  <c r="H14" i="5371"/>
  <c r="C14" i="5371"/>
  <c r="C13" i="5371"/>
  <c r="O12" i="5371"/>
  <c r="C12" i="5371"/>
  <c r="O11" i="5371"/>
  <c r="H11" i="5371"/>
  <c r="C11" i="5371"/>
  <c r="O10" i="5371"/>
  <c r="H10" i="5371"/>
  <c r="C10" i="5371"/>
  <c r="C9" i="5371"/>
  <c r="H8" i="5371"/>
  <c r="C8" i="5371"/>
  <c r="O7" i="5371"/>
  <c r="C7" i="5371"/>
  <c r="O6" i="5371"/>
  <c r="B6" i="5371"/>
  <c r="O5" i="5371"/>
  <c r="B5" i="5371"/>
  <c r="O4" i="5371"/>
  <c r="H4" i="5371"/>
  <c r="O3" i="5371"/>
  <c r="O2" i="5371"/>
  <c r="H2" i="5371"/>
  <c r="O23" i="5357"/>
  <c r="O17" i="5351"/>
  <c r="O25" i="5349"/>
  <c r="H18" i="5373" l="1"/>
  <c r="H20" i="5373"/>
  <c r="H23" i="5373"/>
  <c r="H26" i="5373"/>
  <c r="H29" i="5373"/>
  <c r="H33" i="5373"/>
  <c r="H37" i="5373"/>
  <c r="H41" i="5373"/>
  <c r="H45" i="5373"/>
  <c r="H49" i="5373"/>
  <c r="H7" i="5373"/>
  <c r="H13" i="5373"/>
  <c r="H15" i="5373"/>
  <c r="C19" i="5373"/>
  <c r="H21" i="5373"/>
  <c r="H30" i="5373"/>
  <c r="H34" i="5373"/>
  <c r="H38" i="5373"/>
  <c r="H42" i="5373"/>
  <c r="H46" i="5373"/>
  <c r="H50" i="5373"/>
  <c r="H3" i="5373"/>
  <c r="H6" i="5373"/>
  <c r="H9" i="5373"/>
  <c r="H12" i="5373"/>
  <c r="H17" i="5373"/>
  <c r="H19" i="5373"/>
  <c r="H22" i="5373"/>
  <c r="H24" i="5373"/>
  <c r="H27" i="5373"/>
  <c r="H31" i="5373"/>
  <c r="H35" i="5373"/>
  <c r="H39" i="5373"/>
  <c r="H43" i="5373"/>
  <c r="H47" i="5373"/>
  <c r="H51" i="5373"/>
  <c r="H5" i="5373"/>
  <c r="H11" i="5373"/>
  <c r="H14" i="5373"/>
  <c r="H16" i="5373"/>
  <c r="C18" i="5373"/>
  <c r="B23" i="5373"/>
  <c r="H25" i="5373"/>
  <c r="H28" i="5373"/>
  <c r="H32" i="5373"/>
  <c r="H36" i="5373"/>
  <c r="H40" i="5373"/>
  <c r="H44" i="5373"/>
  <c r="H36" i="5371"/>
  <c r="H5" i="5371"/>
  <c r="C17" i="5371"/>
  <c r="H25" i="5371"/>
  <c r="H40" i="5371"/>
  <c r="B23" i="5371"/>
  <c r="H28" i="5371"/>
  <c r="H44" i="5371"/>
  <c r="H18" i="5371"/>
  <c r="H20" i="5371"/>
  <c r="H26" i="5371"/>
  <c r="H33" i="5371"/>
  <c r="H49" i="5371"/>
  <c r="H7" i="5371"/>
  <c r="H13" i="5371"/>
  <c r="H15" i="5371"/>
  <c r="C19" i="5371"/>
  <c r="H21" i="5371"/>
  <c r="H30" i="5371"/>
  <c r="H34" i="5371"/>
  <c r="H38" i="5371"/>
  <c r="H42" i="5371"/>
  <c r="H46" i="5371"/>
  <c r="H50" i="5371"/>
  <c r="H23" i="5371"/>
  <c r="H29" i="5371"/>
  <c r="H37" i="5371"/>
  <c r="H41" i="5371"/>
  <c r="H45" i="5371"/>
  <c r="H3" i="5371"/>
  <c r="H6" i="5371"/>
  <c r="H9" i="5371"/>
  <c r="H12" i="5371"/>
  <c r="H17" i="5371"/>
  <c r="H19" i="5371"/>
  <c r="H22" i="5371"/>
  <c r="H24" i="5371"/>
  <c r="H27" i="5371"/>
  <c r="H31" i="5371"/>
  <c r="H35" i="5371"/>
  <c r="H39" i="5371"/>
  <c r="H43" i="5371"/>
  <c r="H47" i="5371"/>
  <c r="O17" i="5359" l="1"/>
  <c r="O18" i="5367"/>
  <c r="O20" i="5369" l="1"/>
  <c r="O18" i="5369"/>
  <c r="O15" i="5363"/>
  <c r="O20" i="5353"/>
  <c r="O24" i="5351" l="1"/>
  <c r="O16" i="5369"/>
  <c r="O21" i="5361"/>
  <c r="O15" i="5369"/>
  <c r="O17" i="5369" l="1"/>
  <c r="O19" i="5369"/>
  <c r="C27" i="5369"/>
  <c r="B24" i="5369"/>
  <c r="C20" i="5369"/>
  <c r="B17" i="5369"/>
  <c r="H51" i="5369" s="1"/>
  <c r="C16" i="5369"/>
  <c r="C15" i="5369"/>
  <c r="C14" i="5369"/>
  <c r="C13" i="5369"/>
  <c r="O12" i="5369"/>
  <c r="C12" i="5369"/>
  <c r="O11" i="5369"/>
  <c r="C11" i="5369"/>
  <c r="O10" i="5369"/>
  <c r="C10" i="5369"/>
  <c r="C9" i="5369"/>
  <c r="C8" i="5369"/>
  <c r="O7" i="5369"/>
  <c r="C7" i="5369"/>
  <c r="O6" i="5369"/>
  <c r="B6" i="5369"/>
  <c r="O5" i="5369"/>
  <c r="B5" i="5369"/>
  <c r="O4" i="5369"/>
  <c r="O3" i="5369"/>
  <c r="O2" i="5369"/>
  <c r="H2" i="5369"/>
  <c r="O21" i="5357"/>
  <c r="O18" i="5359"/>
  <c r="O19" i="5349"/>
  <c r="H4" i="5369" l="1"/>
  <c r="H8" i="5369"/>
  <c r="H36" i="5369"/>
  <c r="C17" i="5369"/>
  <c r="H40" i="5369"/>
  <c r="H10" i="5369"/>
  <c r="H25" i="5369"/>
  <c r="H7" i="5369"/>
  <c r="H13" i="5369"/>
  <c r="H15" i="5369"/>
  <c r="H21" i="5369"/>
  <c r="H3" i="5369"/>
  <c r="H6" i="5369"/>
  <c r="H9" i="5369"/>
  <c r="H12" i="5369"/>
  <c r="C18" i="5369"/>
  <c r="B23" i="5369"/>
  <c r="H28" i="5369"/>
  <c r="H44" i="5369"/>
  <c r="H5" i="5369"/>
  <c r="H11" i="5369"/>
  <c r="H14" i="5369"/>
  <c r="H16" i="5369"/>
  <c r="C19" i="5369"/>
  <c r="H32" i="5369"/>
  <c r="H48" i="5369"/>
  <c r="H18" i="5369"/>
  <c r="H20" i="5369"/>
  <c r="H23" i="5369"/>
  <c r="H26" i="5369"/>
  <c r="H29" i="5369"/>
  <c r="H33" i="5369"/>
  <c r="H37" i="5369"/>
  <c r="H41" i="5369"/>
  <c r="H45" i="5369"/>
  <c r="H49" i="5369"/>
  <c r="H30" i="5369"/>
  <c r="H34" i="5369"/>
  <c r="H38" i="5369"/>
  <c r="H42" i="5369"/>
  <c r="H46" i="5369"/>
  <c r="H50" i="5369"/>
  <c r="H17" i="5369"/>
  <c r="H19" i="5369"/>
  <c r="H22" i="5369"/>
  <c r="H24" i="5369"/>
  <c r="H27" i="5369"/>
  <c r="H31" i="5369"/>
  <c r="H35" i="5369"/>
  <c r="H39" i="5369"/>
  <c r="H43" i="5369"/>
  <c r="H47" i="5369"/>
  <c r="O20" i="5359" l="1"/>
  <c r="O16" i="5355"/>
  <c r="O21" i="5363"/>
  <c r="O20" i="5363"/>
  <c r="O22" i="5351" l="1"/>
  <c r="O16" i="5367"/>
  <c r="O20" i="5367" l="1"/>
  <c r="O15" i="5367"/>
  <c r="O16" i="5357"/>
  <c r="O22" i="5355"/>
  <c r="O17" i="5365" l="1"/>
  <c r="O22" i="5361"/>
  <c r="O15" i="5365"/>
  <c r="O21" i="5367"/>
  <c r="O15" i="5353"/>
  <c r="O18" i="5363"/>
  <c r="O17" i="5349"/>
  <c r="O19" i="5367"/>
  <c r="O17" i="5367"/>
  <c r="C27" i="5367"/>
  <c r="B24" i="5367"/>
  <c r="C20" i="5367"/>
  <c r="B17" i="5367"/>
  <c r="H51" i="5367" s="1"/>
  <c r="C16" i="5367"/>
  <c r="C15" i="5367"/>
  <c r="C14" i="5367"/>
  <c r="C13" i="5367"/>
  <c r="O12" i="5367"/>
  <c r="C12" i="5367"/>
  <c r="O11" i="5367"/>
  <c r="C11" i="5367"/>
  <c r="O10" i="5367"/>
  <c r="C10" i="5367"/>
  <c r="C9" i="5367"/>
  <c r="C8" i="5367"/>
  <c r="O7" i="5367"/>
  <c r="C7" i="5367"/>
  <c r="O6" i="5367"/>
  <c r="B6" i="5367"/>
  <c r="O5" i="5367"/>
  <c r="B5" i="5367"/>
  <c r="O4" i="5367"/>
  <c r="O3" i="5367"/>
  <c r="O2" i="5367"/>
  <c r="O16" i="5365"/>
  <c r="O18" i="5365"/>
  <c r="C27" i="5365"/>
  <c r="B24" i="5365"/>
  <c r="C20" i="5365"/>
  <c r="B17" i="5365"/>
  <c r="H51" i="5365" s="1"/>
  <c r="C16" i="5365"/>
  <c r="C15" i="5365"/>
  <c r="C14" i="5365"/>
  <c r="C13" i="5365"/>
  <c r="O12" i="5365"/>
  <c r="C12" i="5365"/>
  <c r="O11" i="5365"/>
  <c r="C11" i="5365"/>
  <c r="O10" i="5365"/>
  <c r="C10" i="5365"/>
  <c r="C9" i="5365"/>
  <c r="C8" i="5365"/>
  <c r="O7" i="5365"/>
  <c r="C7" i="5365"/>
  <c r="O6" i="5365"/>
  <c r="B6" i="5365"/>
  <c r="O5" i="5365"/>
  <c r="B5" i="5365"/>
  <c r="O4" i="5365"/>
  <c r="O3" i="5365"/>
  <c r="O2" i="5365"/>
  <c r="O22" i="5363"/>
  <c r="O23" i="5363"/>
  <c r="O15" i="5351"/>
  <c r="O18" i="5351"/>
  <c r="O26" i="5349"/>
  <c r="H4" i="5367" l="1"/>
  <c r="H8" i="5365"/>
  <c r="H14" i="5365"/>
  <c r="B23" i="5365"/>
  <c r="H28" i="5365"/>
  <c r="H44" i="5365"/>
  <c r="H5" i="5365"/>
  <c r="H4" i="5365"/>
  <c r="H11" i="5365"/>
  <c r="C18" i="5365"/>
  <c r="H25" i="5365"/>
  <c r="H36" i="5365"/>
  <c r="C17" i="5365"/>
  <c r="H32" i="5365"/>
  <c r="H48" i="5365"/>
  <c r="H2" i="5365"/>
  <c r="H10" i="5365"/>
  <c r="H16" i="5365"/>
  <c r="H40" i="5365"/>
  <c r="H10" i="5367"/>
  <c r="H2" i="5367"/>
  <c r="H8" i="5367"/>
  <c r="H5" i="5367"/>
  <c r="H11" i="5367"/>
  <c r="H14" i="5367"/>
  <c r="H16" i="5367"/>
  <c r="C19" i="5367"/>
  <c r="H30" i="5367"/>
  <c r="H38" i="5367"/>
  <c r="H25" i="5367"/>
  <c r="H32" i="5367"/>
  <c r="H40" i="5367"/>
  <c r="H34" i="5367"/>
  <c r="H7" i="5367"/>
  <c r="H13" i="5367"/>
  <c r="H15" i="5367"/>
  <c r="C17" i="5367"/>
  <c r="H21" i="5367"/>
  <c r="H44" i="5367"/>
  <c r="H3" i="5367"/>
  <c r="H6" i="5367"/>
  <c r="H9" i="5367"/>
  <c r="H12" i="5367"/>
  <c r="C18" i="5367"/>
  <c r="B23" i="5367"/>
  <c r="H28" i="5367"/>
  <c r="H36" i="5367"/>
  <c r="H48" i="5367"/>
  <c r="H18" i="5367"/>
  <c r="H20" i="5367"/>
  <c r="H23" i="5367"/>
  <c r="H26" i="5367"/>
  <c r="H29" i="5367"/>
  <c r="H33" i="5367"/>
  <c r="H37" i="5367"/>
  <c r="H41" i="5367"/>
  <c r="H45" i="5367"/>
  <c r="H49" i="5367"/>
  <c r="H42" i="5367"/>
  <c r="H46" i="5367"/>
  <c r="H50" i="5367"/>
  <c r="H17" i="5367"/>
  <c r="H19" i="5367"/>
  <c r="H22" i="5367"/>
  <c r="H24" i="5367"/>
  <c r="H27" i="5367"/>
  <c r="H31" i="5367"/>
  <c r="H35" i="5367"/>
  <c r="H39" i="5367"/>
  <c r="H43" i="5367"/>
  <c r="H47" i="5367"/>
  <c r="H18" i="5365"/>
  <c r="H20" i="5365"/>
  <c r="H23" i="5365"/>
  <c r="H26" i="5365"/>
  <c r="H29" i="5365"/>
  <c r="H33" i="5365"/>
  <c r="H37" i="5365"/>
  <c r="H41" i="5365"/>
  <c r="H45" i="5365"/>
  <c r="H49" i="5365"/>
  <c r="H7" i="5365"/>
  <c r="H13" i="5365"/>
  <c r="H15" i="5365"/>
  <c r="C19" i="5365"/>
  <c r="H21" i="5365"/>
  <c r="H30" i="5365"/>
  <c r="H34" i="5365"/>
  <c r="H38" i="5365"/>
  <c r="H42" i="5365"/>
  <c r="H46" i="5365"/>
  <c r="H50" i="5365"/>
  <c r="H3" i="5365"/>
  <c r="H6" i="5365"/>
  <c r="H9" i="5365"/>
  <c r="H12" i="5365"/>
  <c r="H17" i="5365"/>
  <c r="H19" i="5365"/>
  <c r="H22" i="5365"/>
  <c r="H24" i="5365"/>
  <c r="H27" i="5365"/>
  <c r="H31" i="5365"/>
  <c r="H35" i="5365"/>
  <c r="H39" i="5365"/>
  <c r="H43" i="5365"/>
  <c r="H47" i="5365"/>
  <c r="O17" i="5363" l="1"/>
  <c r="O20" i="5361"/>
  <c r="O16" i="5361"/>
  <c r="O17" i="5353"/>
  <c r="O19" i="5359" l="1"/>
  <c r="O17" i="5357"/>
  <c r="O17" i="5361"/>
  <c r="O18" i="5361"/>
  <c r="O15" i="5359" l="1"/>
  <c r="O15" i="5357"/>
  <c r="O21" i="5355"/>
  <c r="O19" i="5355"/>
  <c r="O16" i="5363"/>
  <c r="O19" i="5363"/>
  <c r="C27" i="5363"/>
  <c r="B24" i="5363"/>
  <c r="C20" i="5363"/>
  <c r="B17" i="5363"/>
  <c r="H51" i="5363" s="1"/>
  <c r="C16" i="5363"/>
  <c r="C15" i="5363"/>
  <c r="C14" i="5363"/>
  <c r="C13" i="5363"/>
  <c r="O12" i="5363"/>
  <c r="C12" i="5363"/>
  <c r="O11" i="5363"/>
  <c r="C11" i="5363"/>
  <c r="O10" i="5363"/>
  <c r="C10" i="5363"/>
  <c r="C9" i="5363"/>
  <c r="C8" i="5363"/>
  <c r="O7" i="5363"/>
  <c r="C7" i="5363"/>
  <c r="O6" i="5363"/>
  <c r="B6" i="5363"/>
  <c r="O5" i="5363"/>
  <c r="B5" i="5363"/>
  <c r="O4" i="5363"/>
  <c r="O3" i="5363"/>
  <c r="O2" i="5363"/>
  <c r="O22" i="5357"/>
  <c r="O21" i="5353"/>
  <c r="O23" i="5349"/>
  <c r="H13" i="5363" l="1"/>
  <c r="H4" i="5363"/>
  <c r="H2" i="5363"/>
  <c r="H8" i="5363"/>
  <c r="H25" i="5363"/>
  <c r="H36" i="5363"/>
  <c r="H10" i="5363"/>
  <c r="H7" i="5363"/>
  <c r="H15" i="5363"/>
  <c r="H21" i="5363"/>
  <c r="H9" i="5363"/>
  <c r="H12" i="5363"/>
  <c r="C18" i="5363"/>
  <c r="B23" i="5363"/>
  <c r="H28" i="5363"/>
  <c r="H44" i="5363"/>
  <c r="C17" i="5363"/>
  <c r="H40" i="5363"/>
  <c r="H3" i="5363"/>
  <c r="H6" i="5363"/>
  <c r="H5" i="5363"/>
  <c r="H11" i="5363"/>
  <c r="H14" i="5363"/>
  <c r="H16" i="5363"/>
  <c r="C19" i="5363"/>
  <c r="H32" i="5363"/>
  <c r="H48" i="5363"/>
  <c r="H18" i="5363"/>
  <c r="H20" i="5363"/>
  <c r="H23" i="5363"/>
  <c r="H26" i="5363"/>
  <c r="H29" i="5363"/>
  <c r="H33" i="5363"/>
  <c r="H37" i="5363"/>
  <c r="H41" i="5363"/>
  <c r="H45" i="5363"/>
  <c r="H49" i="5363"/>
  <c r="H30" i="5363"/>
  <c r="H34" i="5363"/>
  <c r="H38" i="5363"/>
  <c r="H42" i="5363"/>
  <c r="H46" i="5363"/>
  <c r="H50" i="5363"/>
  <c r="H17" i="5363"/>
  <c r="H19" i="5363"/>
  <c r="H22" i="5363"/>
  <c r="H24" i="5363"/>
  <c r="H27" i="5363"/>
  <c r="H31" i="5363"/>
  <c r="H35" i="5363"/>
  <c r="H39" i="5363"/>
  <c r="H43" i="5363"/>
  <c r="H47" i="5363"/>
  <c r="O18" i="5355" l="1"/>
  <c r="O19" i="5361"/>
  <c r="O15" i="5361"/>
  <c r="C27" i="5361"/>
  <c r="B24" i="5361"/>
  <c r="C20" i="5361"/>
  <c r="B17" i="5361"/>
  <c r="H51" i="5361" s="1"/>
  <c r="C16" i="5361"/>
  <c r="C15" i="5361"/>
  <c r="C14" i="5361"/>
  <c r="C13" i="5361"/>
  <c r="O12" i="5361"/>
  <c r="C12" i="5361"/>
  <c r="O11" i="5361"/>
  <c r="C11" i="5361"/>
  <c r="O10" i="5361"/>
  <c r="C10" i="5361"/>
  <c r="C9" i="5361"/>
  <c r="C8" i="5361"/>
  <c r="O7" i="5361"/>
  <c r="C7" i="5361"/>
  <c r="O6" i="5361"/>
  <c r="B6" i="5361"/>
  <c r="O5" i="5361"/>
  <c r="B5" i="5361"/>
  <c r="O4" i="5361"/>
  <c r="O3" i="5361"/>
  <c r="O2" i="5361"/>
  <c r="O20" i="5351"/>
  <c r="O18" i="5349"/>
  <c r="O21" i="5359"/>
  <c r="O19" i="5353"/>
  <c r="O18" i="5353"/>
  <c r="O19" i="5357"/>
  <c r="O22" i="5359"/>
  <c r="O23" i="5359"/>
  <c r="C27" i="5359"/>
  <c r="B24" i="5359"/>
  <c r="C20" i="5359"/>
  <c r="B17" i="5359"/>
  <c r="H51" i="5359" s="1"/>
  <c r="C16" i="5359"/>
  <c r="C15" i="5359"/>
  <c r="C14" i="5359"/>
  <c r="C13" i="5359"/>
  <c r="O12" i="5359"/>
  <c r="C12" i="5359"/>
  <c r="O11" i="5359"/>
  <c r="C11" i="5359"/>
  <c r="O10" i="5359"/>
  <c r="C10" i="5359"/>
  <c r="C9" i="5359"/>
  <c r="C8" i="5359"/>
  <c r="O7" i="5359"/>
  <c r="C7" i="5359"/>
  <c r="O6" i="5359"/>
  <c r="B6" i="5359"/>
  <c r="O5" i="5359"/>
  <c r="B5" i="5359"/>
  <c r="O4" i="5359"/>
  <c r="O3" i="5359"/>
  <c r="O2" i="5359"/>
  <c r="O20" i="5357"/>
  <c r="O18" i="5357"/>
  <c r="C27" i="5357"/>
  <c r="B24" i="5357"/>
  <c r="C20" i="5357"/>
  <c r="B17" i="5357"/>
  <c r="H5" i="5357" s="1"/>
  <c r="C16" i="5357"/>
  <c r="C15" i="5357"/>
  <c r="C14" i="5357"/>
  <c r="C13" i="5357"/>
  <c r="O12" i="5357"/>
  <c r="C12" i="5357"/>
  <c r="O11" i="5357"/>
  <c r="C11" i="5357"/>
  <c r="O10" i="5357"/>
  <c r="C10" i="5357"/>
  <c r="C9" i="5357"/>
  <c r="C8" i="5357"/>
  <c r="O7" i="5357"/>
  <c r="C7" i="5357"/>
  <c r="O6" i="5357"/>
  <c r="B6" i="5357"/>
  <c r="O5" i="5357"/>
  <c r="B5" i="5357"/>
  <c r="O4" i="5357"/>
  <c r="O3" i="5357"/>
  <c r="O2" i="5357"/>
  <c r="O19" i="5351"/>
  <c r="O23" i="5351"/>
  <c r="O21" i="5349"/>
  <c r="O22" i="5349"/>
  <c r="H2" i="5359" l="1"/>
  <c r="H14" i="5359"/>
  <c r="H8" i="5359"/>
  <c r="C18" i="5359"/>
  <c r="H36" i="5359"/>
  <c r="H11" i="5359"/>
  <c r="H40" i="5359"/>
  <c r="H4" i="5359"/>
  <c r="H10" i="5359"/>
  <c r="H16" i="5359"/>
  <c r="B23" i="5361"/>
  <c r="H28" i="5361"/>
  <c r="H44" i="5361"/>
  <c r="H4" i="5361"/>
  <c r="H11" i="5361"/>
  <c r="C18" i="5361"/>
  <c r="H25" i="5361"/>
  <c r="H36" i="5361"/>
  <c r="H2" i="5361"/>
  <c r="H10" i="5361"/>
  <c r="H16" i="5361"/>
  <c r="H40" i="5361"/>
  <c r="H8" i="5361"/>
  <c r="H14" i="5361"/>
  <c r="H5" i="5361"/>
  <c r="C17" i="5361"/>
  <c r="H32" i="5361"/>
  <c r="H48" i="5361"/>
  <c r="H20" i="5361"/>
  <c r="H26" i="5361"/>
  <c r="H33" i="5361"/>
  <c r="H37" i="5361"/>
  <c r="H41" i="5361"/>
  <c r="H45" i="5361"/>
  <c r="H7" i="5361"/>
  <c r="H13" i="5361"/>
  <c r="H15" i="5361"/>
  <c r="C19" i="5361"/>
  <c r="H21" i="5361"/>
  <c r="H30" i="5361"/>
  <c r="H34" i="5361"/>
  <c r="H38" i="5361"/>
  <c r="H42" i="5361"/>
  <c r="H46" i="5361"/>
  <c r="H50" i="5361"/>
  <c r="H18" i="5361"/>
  <c r="H23" i="5361"/>
  <c r="H29" i="5361"/>
  <c r="H49" i="5361"/>
  <c r="H3" i="5361"/>
  <c r="H6" i="5361"/>
  <c r="H9" i="5361"/>
  <c r="H12" i="5361"/>
  <c r="H17" i="5361"/>
  <c r="H19" i="5361"/>
  <c r="H22" i="5361"/>
  <c r="H24" i="5361"/>
  <c r="H27" i="5361"/>
  <c r="H31" i="5361"/>
  <c r="H35" i="5361"/>
  <c r="H39" i="5361"/>
  <c r="H43" i="5361"/>
  <c r="H47" i="5361"/>
  <c r="H25" i="5359"/>
  <c r="H38" i="5357"/>
  <c r="H10" i="5357"/>
  <c r="H11" i="5357"/>
  <c r="H27" i="5357"/>
  <c r="H24" i="5357"/>
  <c r="H6" i="5357"/>
  <c r="C18" i="5357"/>
  <c r="H3" i="5357"/>
  <c r="H2" i="5357"/>
  <c r="H23" i="5357"/>
  <c r="H4" i="5357"/>
  <c r="H14" i="5357"/>
  <c r="H42" i="5357"/>
  <c r="B23" i="5359"/>
  <c r="H28" i="5359"/>
  <c r="H44" i="5359"/>
  <c r="H5" i="5359"/>
  <c r="C17" i="5359"/>
  <c r="H32" i="5359"/>
  <c r="H48" i="5359"/>
  <c r="H18" i="5359"/>
  <c r="H23" i="5359"/>
  <c r="H29" i="5359"/>
  <c r="H37" i="5359"/>
  <c r="H41" i="5359"/>
  <c r="H45" i="5359"/>
  <c r="H7" i="5359"/>
  <c r="H13" i="5359"/>
  <c r="H15" i="5359"/>
  <c r="C19" i="5359"/>
  <c r="H21" i="5359"/>
  <c r="H30" i="5359"/>
  <c r="H34" i="5359"/>
  <c r="H38" i="5359"/>
  <c r="H42" i="5359"/>
  <c r="H46" i="5359"/>
  <c r="H50" i="5359"/>
  <c r="H20" i="5359"/>
  <c r="H26" i="5359"/>
  <c r="H33" i="5359"/>
  <c r="H49" i="5359"/>
  <c r="H3" i="5359"/>
  <c r="H6" i="5359"/>
  <c r="H9" i="5359"/>
  <c r="H12" i="5359"/>
  <c r="H17" i="5359"/>
  <c r="H19" i="5359"/>
  <c r="H22" i="5359"/>
  <c r="H24" i="5359"/>
  <c r="H27" i="5359"/>
  <c r="H31" i="5359"/>
  <c r="H35" i="5359"/>
  <c r="H39" i="5359"/>
  <c r="H43" i="5359"/>
  <c r="H47" i="5359"/>
  <c r="B23" i="5357"/>
  <c r="H33" i="5357"/>
  <c r="H46" i="5357"/>
  <c r="H8" i="5357"/>
  <c r="C17" i="5357"/>
  <c r="H34" i="5357"/>
  <c r="H50" i="5357"/>
  <c r="H29" i="5357"/>
  <c r="H30" i="5357"/>
  <c r="H31" i="5357"/>
  <c r="H32" i="5357"/>
  <c r="H17" i="5357"/>
  <c r="H35" i="5357"/>
  <c r="H39" i="5357"/>
  <c r="H43" i="5357"/>
  <c r="H47" i="5357"/>
  <c r="H51" i="5357"/>
  <c r="H18" i="5357"/>
  <c r="H28" i="5357"/>
  <c r="C19" i="5357"/>
  <c r="H16" i="5357"/>
  <c r="H21" i="5357"/>
  <c r="H36" i="5357"/>
  <c r="H40" i="5357"/>
  <c r="H44" i="5357"/>
  <c r="H48" i="5357"/>
  <c r="H22" i="5357"/>
  <c r="H7" i="5357"/>
  <c r="H13" i="5357"/>
  <c r="H26" i="5357"/>
  <c r="H19" i="5357"/>
  <c r="H15" i="5357"/>
  <c r="H20" i="5357"/>
  <c r="H12" i="5357"/>
  <c r="H9" i="5357"/>
  <c r="H25" i="5357"/>
  <c r="H37" i="5357"/>
  <c r="H41" i="5357"/>
  <c r="H45" i="5357"/>
  <c r="H49" i="5357"/>
  <c r="O17" i="5355" l="1"/>
  <c r="O20" i="5355"/>
  <c r="C27" i="5355"/>
  <c r="B24" i="5355"/>
  <c r="C20" i="5355"/>
  <c r="B17" i="5355"/>
  <c r="H50" i="5355" s="1"/>
  <c r="C16" i="5355"/>
  <c r="C15" i="5355"/>
  <c r="C14" i="5355"/>
  <c r="C13" i="5355"/>
  <c r="O12" i="5355"/>
  <c r="C12" i="5355"/>
  <c r="O11" i="5355"/>
  <c r="C11" i="5355"/>
  <c r="O10" i="5355"/>
  <c r="C10" i="5355"/>
  <c r="C9" i="5355"/>
  <c r="C8" i="5355"/>
  <c r="O7" i="5355"/>
  <c r="C7" i="5355"/>
  <c r="O6" i="5355"/>
  <c r="B6" i="5355"/>
  <c r="O5" i="5355"/>
  <c r="B5" i="5355"/>
  <c r="O4" i="5355"/>
  <c r="O3" i="5355"/>
  <c r="O2" i="5355"/>
  <c r="O22" i="5353"/>
  <c r="O16" i="5353"/>
  <c r="C27" i="5353"/>
  <c r="B24" i="5353"/>
  <c r="C20" i="5353"/>
  <c r="B17" i="5353"/>
  <c r="H51" i="5353" s="1"/>
  <c r="C16" i="5353"/>
  <c r="C15" i="5353"/>
  <c r="C14" i="5353"/>
  <c r="C13" i="5353"/>
  <c r="O12" i="5353"/>
  <c r="C12" i="5353"/>
  <c r="O11" i="5353"/>
  <c r="C11" i="5353"/>
  <c r="O10" i="5353"/>
  <c r="C10" i="5353"/>
  <c r="C9" i="5353"/>
  <c r="C8" i="5353"/>
  <c r="O7" i="5353"/>
  <c r="C7" i="5353"/>
  <c r="O6" i="5353"/>
  <c r="B6" i="5353"/>
  <c r="O5" i="5353"/>
  <c r="B5" i="5353"/>
  <c r="O4" i="5353"/>
  <c r="O3" i="5353"/>
  <c r="O2" i="5353"/>
  <c r="O24" i="5349"/>
  <c r="O16" i="5351"/>
  <c r="O21" i="5351"/>
  <c r="C27" i="5351"/>
  <c r="B24" i="5351"/>
  <c r="C20" i="5351"/>
  <c r="B17" i="5351"/>
  <c r="H51" i="5351" s="1"/>
  <c r="C16" i="5351"/>
  <c r="C15" i="5351"/>
  <c r="C14" i="5351"/>
  <c r="C13" i="5351"/>
  <c r="O12" i="5351"/>
  <c r="C12" i="5351"/>
  <c r="O11" i="5351"/>
  <c r="C11" i="5351"/>
  <c r="O10" i="5351"/>
  <c r="C10" i="5351"/>
  <c r="C9" i="5351"/>
  <c r="C8" i="5351"/>
  <c r="O7" i="5351"/>
  <c r="C7" i="5351"/>
  <c r="O6" i="5351"/>
  <c r="B6" i="5351"/>
  <c r="O5" i="5351"/>
  <c r="B5" i="5351"/>
  <c r="O4" i="5351"/>
  <c r="O3" i="5351"/>
  <c r="O2" i="5351"/>
  <c r="O16" i="5349"/>
  <c r="O20" i="5349"/>
  <c r="C27" i="5349"/>
  <c r="B24" i="5349"/>
  <c r="C20" i="5349"/>
  <c r="B17" i="5349"/>
  <c r="H50" i="5349" s="1"/>
  <c r="C16" i="5349"/>
  <c r="C15" i="5349"/>
  <c r="C14" i="5349"/>
  <c r="C13" i="5349"/>
  <c r="O12" i="5349"/>
  <c r="C12" i="5349"/>
  <c r="O11" i="5349"/>
  <c r="C11" i="5349"/>
  <c r="O10" i="5349"/>
  <c r="C10" i="5349"/>
  <c r="C9" i="5349"/>
  <c r="C8" i="5349"/>
  <c r="O7" i="5349"/>
  <c r="C7" i="5349"/>
  <c r="O6" i="5349"/>
  <c r="B6" i="5349"/>
  <c r="O5" i="5349"/>
  <c r="B5" i="5349"/>
  <c r="O4" i="5349"/>
  <c r="O3" i="5349"/>
  <c r="O2" i="5349"/>
  <c r="H21" i="5353" l="1"/>
  <c r="H12" i="5353"/>
  <c r="H2" i="5351"/>
  <c r="H9" i="5355"/>
  <c r="H4" i="5355"/>
  <c r="H19" i="5355"/>
  <c r="H31" i="5355"/>
  <c r="H2" i="5355"/>
  <c r="H6" i="5355"/>
  <c r="H12" i="5355"/>
  <c r="H3" i="5355"/>
  <c r="H8" i="5355"/>
  <c r="H10" i="5355"/>
  <c r="H17" i="5355"/>
  <c r="H24" i="5355"/>
  <c r="H20" i="5353"/>
  <c r="H17" i="5353"/>
  <c r="H7" i="5353"/>
  <c r="H4" i="5353"/>
  <c r="H27" i="5353"/>
  <c r="H29" i="5353"/>
  <c r="H9" i="5353"/>
  <c r="H6" i="5353"/>
  <c r="H10" i="5353"/>
  <c r="C18" i="5353"/>
  <c r="H3" i="5353"/>
  <c r="H2" i="5353"/>
  <c r="H19" i="5353"/>
  <c r="B23" i="5353"/>
  <c r="H35" i="5353"/>
  <c r="H30" i="5351"/>
  <c r="C17" i="5355"/>
  <c r="H22" i="5355"/>
  <c r="H27" i="5355"/>
  <c r="H35" i="5355"/>
  <c r="H39" i="5355"/>
  <c r="H43" i="5355"/>
  <c r="H47" i="5355"/>
  <c r="H51" i="5355"/>
  <c r="H5" i="5355"/>
  <c r="H11" i="5355"/>
  <c r="H14" i="5355"/>
  <c r="H16" i="5355"/>
  <c r="C18" i="5355"/>
  <c r="B23" i="5355"/>
  <c r="H25" i="5355"/>
  <c r="H28" i="5355"/>
  <c r="H32" i="5355"/>
  <c r="H36" i="5355"/>
  <c r="H40" i="5355"/>
  <c r="H44" i="5355"/>
  <c r="H48" i="5355"/>
  <c r="H18" i="5355"/>
  <c r="H20" i="5355"/>
  <c r="H23" i="5355"/>
  <c r="H26" i="5355"/>
  <c r="H29" i="5355"/>
  <c r="H33" i="5355"/>
  <c r="H37" i="5355"/>
  <c r="H41" i="5355"/>
  <c r="H45" i="5355"/>
  <c r="H49" i="5355"/>
  <c r="H7" i="5355"/>
  <c r="H13" i="5355"/>
  <c r="H15" i="5355"/>
  <c r="C19" i="5355"/>
  <c r="H21" i="5355"/>
  <c r="H30" i="5355"/>
  <c r="H34" i="5355"/>
  <c r="H38" i="5355"/>
  <c r="H42" i="5355"/>
  <c r="H46" i="5355"/>
  <c r="H13" i="5353"/>
  <c r="H44" i="5353"/>
  <c r="H8" i="5353"/>
  <c r="H22" i="5353"/>
  <c r="H23" i="5353"/>
  <c r="C17" i="5353"/>
  <c r="H14" i="5353"/>
  <c r="H45" i="5353"/>
  <c r="H11" i="5353"/>
  <c r="H38" i="5353"/>
  <c r="H49" i="5353"/>
  <c r="H15" i="5353"/>
  <c r="H34" i="5353"/>
  <c r="H40" i="5353"/>
  <c r="H50" i="5353"/>
  <c r="H36" i="5353"/>
  <c r="H41" i="5353"/>
  <c r="H46" i="5353"/>
  <c r="H18" i="5353"/>
  <c r="C19" i="5353"/>
  <c r="H24" i="5353"/>
  <c r="H33" i="5353"/>
  <c r="H26" i="5353"/>
  <c r="H37" i="5353"/>
  <c r="H42" i="5353"/>
  <c r="H48" i="5353"/>
  <c r="H5" i="5353"/>
  <c r="H30" i="5353"/>
  <c r="H31" i="5353"/>
  <c r="H32" i="5353"/>
  <c r="H25" i="5353"/>
  <c r="H16" i="5353"/>
  <c r="H28" i="5353"/>
  <c r="H39" i="5353"/>
  <c r="H43" i="5353"/>
  <c r="H47" i="5353"/>
  <c r="C17" i="5349"/>
  <c r="H2" i="5349"/>
  <c r="H4" i="5349"/>
  <c r="H3" i="5349"/>
  <c r="H11" i="5349"/>
  <c r="H36" i="5351"/>
  <c r="H41" i="5351"/>
  <c r="H4" i="5351"/>
  <c r="C18" i="5351"/>
  <c r="H13" i="5351"/>
  <c r="H20" i="5351"/>
  <c r="H46" i="5351"/>
  <c r="H6" i="5351"/>
  <c r="H17" i="5351"/>
  <c r="H14" i="5351"/>
  <c r="H26" i="5351"/>
  <c r="H16" i="5351"/>
  <c r="H25" i="5351"/>
  <c r="H48" i="5351"/>
  <c r="H8" i="5351"/>
  <c r="H22" i="5351"/>
  <c r="H23" i="5351"/>
  <c r="C17" i="5351"/>
  <c r="H15" i="5351"/>
  <c r="B23" i="5351"/>
  <c r="H27" i="5351"/>
  <c r="H38" i="5351"/>
  <c r="H44" i="5351"/>
  <c r="H49" i="5351"/>
  <c r="H11" i="5351"/>
  <c r="H3" i="5351"/>
  <c r="C19" i="5351"/>
  <c r="H33" i="5351"/>
  <c r="H21" i="5351"/>
  <c r="H37" i="5351"/>
  <c r="H42" i="5351"/>
  <c r="H5" i="5351"/>
  <c r="H10" i="5351"/>
  <c r="H7" i="5351"/>
  <c r="H12" i="5351"/>
  <c r="H29" i="5351"/>
  <c r="H19" i="5351"/>
  <c r="H9" i="5351"/>
  <c r="H35" i="5351"/>
  <c r="H40" i="5351"/>
  <c r="H45" i="5351"/>
  <c r="H50" i="5351"/>
  <c r="H31" i="5351"/>
  <c r="H32" i="5351"/>
  <c r="H24" i="5351"/>
  <c r="H34" i="5351"/>
  <c r="H18" i="5351"/>
  <c r="H28" i="5351"/>
  <c r="H39" i="5351"/>
  <c r="H43" i="5351"/>
  <c r="H47" i="5351"/>
  <c r="H34" i="5349"/>
  <c r="H35" i="5349"/>
  <c r="H28" i="5349"/>
  <c r="H29" i="5349"/>
  <c r="H17" i="5349"/>
  <c r="H31" i="5349"/>
  <c r="H40" i="5349"/>
  <c r="H43" i="5349"/>
  <c r="H47" i="5349"/>
  <c r="H51" i="5349"/>
  <c r="H8" i="5349"/>
  <c r="H20" i="5349"/>
  <c r="H26" i="5349"/>
  <c r="C19" i="5349"/>
  <c r="H14" i="5349"/>
  <c r="H23" i="5349"/>
  <c r="H37" i="5349"/>
  <c r="H41" i="5349"/>
  <c r="H44" i="5349"/>
  <c r="H48" i="5349"/>
  <c r="H19" i="5349"/>
  <c r="H9" i="5349"/>
  <c r="H6" i="5349"/>
  <c r="H12" i="5349"/>
  <c r="H22" i="5349"/>
  <c r="H18" i="5349"/>
  <c r="H15" i="5349"/>
  <c r="H27" i="5349"/>
  <c r="H13" i="5349"/>
  <c r="H10" i="5349"/>
  <c r="H25" i="5349"/>
  <c r="H38" i="5349"/>
  <c r="H32" i="5349"/>
  <c r="H45" i="5349"/>
  <c r="H49" i="5349"/>
  <c r="H5" i="5349"/>
  <c r="H7" i="5349"/>
  <c r="H21" i="5349"/>
  <c r="H33" i="5349"/>
  <c r="H16" i="5349"/>
  <c r="C18" i="5349"/>
  <c r="B23" i="5349"/>
  <c r="H24" i="5349"/>
  <c r="H30" i="5349"/>
  <c r="H36" i="5349"/>
  <c r="H39" i="5349"/>
  <c r="H42" i="5349"/>
  <c r="H46" i="5349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<sst xmlns="http://schemas.openxmlformats.org/spreadsheetml/2006/main" count="3216" uniqueCount="238">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</sst>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全体!$K$2:$K$542</c:f>
              <c:numCache>
                <c:formatCode>General</c:formatCode>
                <c:ptCount val="5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</c:numCache>
            </c:numRef>
          </c:xVal>
          <c:yVal>
            <c:numRef>
              <c:f>全体!$L$2:$L$542</c:f>
              <c:numCache>
                <c:formatCode>\+0.0;\-0.0;\±0</c:formatCode>
                <c:ptCount val="541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37.400000000000006</c:v>
                </c:pt>
                <c:pt idx="527">
                  <c:v>-5.5999999999999943</c:v>
                </c:pt>
                <c:pt idx="528">
                  <c:v>5.3290705182007514E-15</c:v>
                </c:pt>
                <c:pt idx="529">
                  <c:v>5.3290705182007514E-15</c:v>
                </c:pt>
                <c:pt idx="530">
                  <c:v>-56.999999999999993</c:v>
                </c:pt>
                <c:pt idx="531">
                  <c:v>7.1054273576010019E-15</c:v>
                </c:pt>
                <c:pt idx="532">
                  <c:v>-23.699999999999992</c:v>
                </c:pt>
                <c:pt idx="533">
                  <c:v>-1.2999999999999936</c:v>
                </c:pt>
                <c:pt idx="534">
                  <c:v>6.4392935428259079E-15</c:v>
                </c:pt>
                <c:pt idx="535">
                  <c:v>-2.9999999999999938</c:v>
                </c:pt>
                <c:pt idx="536">
                  <c:v>43.000000000000007</c:v>
                </c:pt>
                <c:pt idx="537">
                  <c:v>7.1054273576010019E-15</c:v>
                </c:pt>
                <c:pt idx="538">
                  <c:v>-78.699999999999989</c:v>
                </c:pt>
                <c:pt idx="539">
                  <c:v>-20.699999999999989</c:v>
                </c:pt>
                <c:pt idx="540">
                  <c:v>1.0658141036401503E-14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2-463D-89A1-B83358BFB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-14.814814814814815</c:v>
                </c:pt>
                <c:pt idx="1">
                  <c:v>-7.5757575757575761</c:v>
                </c:pt>
                <c:pt idx="2">
                  <c:v>12.048192771084338</c:v>
                </c:pt>
                <c:pt idx="3">
                  <c:v>6.666666666666667</c:v>
                </c:pt>
                <c:pt idx="4">
                  <c:v>-14.925373134328359</c:v>
                </c:pt>
                <c:pt idx="5">
                  <c:v>24.590163934426229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4C-4F9F-A36B-2D59FF6E1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だいち!$L$2:$L$122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1509.3000000000011</c:v>
                </c:pt>
                <c:pt idx="118">
                  <c:v>1509.3000000000011</c:v>
                </c:pt>
                <c:pt idx="119">
                  <c:v>1506.3000000000011</c:v>
                </c:pt>
                <c:pt idx="120">
                  <c:v>1527.0000000000011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46-45A4-9EE3-89C56C633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1727.5</c:v>
                </c:pt>
                <c:pt idx="1">
                  <c:v>1323.931623931624</c:v>
                </c:pt>
                <c:pt idx="2">
                  <c:v>1472.0720720720722</c:v>
                </c:pt>
                <c:pt idx="3">
                  <c:v>2295.0495049504952</c:v>
                </c:pt>
                <c:pt idx="4">
                  <c:v>781.81818181818187</c:v>
                </c:pt>
                <c:pt idx="5">
                  <c:v>715.38461538461536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63-4297-A561-17FC5A8FB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りくと!$L$2:$L$117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C0-4704-80C0-AA9F69FDD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444.3478260869565</c:v>
                </c:pt>
                <c:pt idx="1">
                  <c:v>-2309.0090090090089</c:v>
                </c:pt>
                <c:pt idx="2">
                  <c:v>62.037037037037038</c:v>
                </c:pt>
                <c:pt idx="3">
                  <c:v>256.25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E7-48E2-8D56-9B22A45E2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ただ!$L$2:$L$66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6B-4A9F-8FFE-BE65E4F29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-1973.4375</c:v>
                </c:pt>
                <c:pt idx="1">
                  <c:v>-1333.8709677419354</c:v>
                </c:pt>
                <c:pt idx="2">
                  <c:v>-1018.9655172413793</c:v>
                </c:pt>
                <c:pt idx="3">
                  <c:v>-5580</c:v>
                </c:pt>
                <c:pt idx="4">
                  <c:v>-1686.3636363636363</c:v>
                </c:pt>
                <c:pt idx="5">
                  <c:v>-2143.9024390243903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DC-43B6-A3FE-B1AD94716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41.299999999999983</c:v>
                </c:pt>
                <c:pt idx="74">
                  <c:v>87.299999999999983</c:v>
                </c:pt>
                <c:pt idx="75">
                  <c:v>145.29999999999998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6-4A35-A5B5-C39E1C58C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-1152</c:v>
                </c:pt>
                <c:pt idx="1">
                  <c:v>382.43243243243245</c:v>
                </c:pt>
                <c:pt idx="2">
                  <c:v>1686.9565217391305</c:v>
                </c:pt>
                <c:pt idx="3">
                  <c:v>2362.7118644067796</c:v>
                </c:pt>
                <c:pt idx="4">
                  <c:v>-838.46153846153845</c:v>
                </c:pt>
                <c:pt idx="5">
                  <c:v>462.5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C3-4EC1-AE2F-4237D5726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たかの!$L$2:$L$61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A-485E-B112-C8EF44B11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445.76271186440675</c:v>
                </c:pt>
                <c:pt idx="1">
                  <c:v>100</c:v>
                </c:pt>
                <c:pt idx="2">
                  <c:v>-1135.8490566037735</c:v>
                </c:pt>
                <c:pt idx="3">
                  <c:v>372</c:v>
                </c:pt>
                <c:pt idx="4">
                  <c:v>661.22448979591832</c:v>
                </c:pt>
                <c:pt idx="5">
                  <c:v>-351.16279069767444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9A-479E-834A-60E490593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ぱぱ!$L$2:$L$43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C3-4BCA-A18F-C8CC988DA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-3139.0243902439024</c:v>
                </c:pt>
                <c:pt idx="1">
                  <c:v>2056.0975609756097</c:v>
                </c:pt>
                <c:pt idx="2">
                  <c:v>-987.17948717948718</c:v>
                </c:pt>
                <c:pt idx="3">
                  <c:v>-3933.3333333333335</c:v>
                </c:pt>
                <c:pt idx="4">
                  <c:v>-46.875</c:v>
                </c:pt>
                <c:pt idx="5">
                  <c:v>270.96774193548384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48-4B5A-8C1E-202465590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7-4F93-A59E-A54AEE422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1352.3809523809523</c:v>
                </c:pt>
                <c:pt idx="1">
                  <c:v>1087.5</c:v>
                </c:pt>
                <c:pt idx="2">
                  <c:v>-1263.8888888888889</c:v>
                </c:pt>
                <c:pt idx="3">
                  <c:v>1545.7142857142858</c:v>
                </c:pt>
                <c:pt idx="4">
                  <c:v>-1325.8064516129032</c:v>
                </c:pt>
                <c:pt idx="5">
                  <c:v>307.69230769230768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1-47FC-9F4C-EE8E3AC11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2-4B80-8709-CAB2929B6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5A-4A0E-BCDA-FBC9C8598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5-43BE-9105-224ED6C21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-508.33333333333331</c:v>
                </c:pt>
                <c:pt idx="1">
                  <c:v>-1075</c:v>
                </c:pt>
                <c:pt idx="2">
                  <c:v>-550</c:v>
                </c:pt>
                <c:pt idx="3">
                  <c:v>-3772.7272727272725</c:v>
                </c:pt>
                <c:pt idx="4">
                  <c:v>390.90909090909093</c:v>
                </c:pt>
                <c:pt idx="5">
                  <c:v>-3072.7272727272725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8F-4052-B45F-DCA786442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69-4C52-BF0C-3F1130198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15-4EEC-A322-F8E81D2A6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4A-4CE0-B6A2-15564B389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8-4664-8683-A65677997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7E-4D0D-805A-ECB2884B9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A7-4FDD-8A35-6394E1095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れんたろう2!$B$3:$B$78</c:f>
              <c:numCache>
                <c:formatCode>\+0.0;\-0.0;\±0</c:formatCode>
                <c:ptCount val="76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41.299999999999983</c:v>
                </c:pt>
                <c:pt idx="74">
                  <c:v>87.299999999999983</c:v>
                </c:pt>
                <c:pt idx="75">
                  <c:v>145.29999999999998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065814103640150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れんたろう2!$C$3:$C$78</c:f>
              <c:numCache>
                <c:formatCode>\+0.0;\-0.0;\±0</c:formatCode>
                <c:ptCount val="76"/>
                <c:pt idx="1">
                  <c:v>-51.2</c:v>
                </c:pt>
                <c:pt idx="2">
                  <c:v>-46.650000000000006</c:v>
                </c:pt>
                <c:pt idx="3">
                  <c:v>-20.033333333333335</c:v>
                </c:pt>
                <c:pt idx="4">
                  <c:v>-2.8250000000000028</c:v>
                </c:pt>
                <c:pt idx="5">
                  <c:v>-7.2200000000000015</c:v>
                </c:pt>
                <c:pt idx="6">
                  <c:v>1.5166666666666657</c:v>
                </c:pt>
                <c:pt idx="7">
                  <c:v>-7.3285714285714292</c:v>
                </c:pt>
                <c:pt idx="8">
                  <c:v>-0.21250000000000036</c:v>
                </c:pt>
                <c:pt idx="9">
                  <c:v>-0.64444444444444471</c:v>
                </c:pt>
                <c:pt idx="10">
                  <c:v>-5.65</c:v>
                </c:pt>
                <c:pt idx="11">
                  <c:v>-2.5090909090909097</c:v>
                </c:pt>
                <c:pt idx="12">
                  <c:v>-3.5750000000000006</c:v>
                </c:pt>
                <c:pt idx="13">
                  <c:v>-4.5153846153846153</c:v>
                </c:pt>
                <c:pt idx="14">
                  <c:v>-2.1</c:v>
                </c:pt>
                <c:pt idx="15">
                  <c:v>-1.7533333333333334</c:v>
                </c:pt>
                <c:pt idx="16">
                  <c:v>-3.1437499999999998</c:v>
                </c:pt>
                <c:pt idx="17">
                  <c:v>-4.3705882352941172</c:v>
                </c:pt>
                <c:pt idx="18">
                  <c:v>-4.2277777777777779</c:v>
                </c:pt>
                <c:pt idx="19">
                  <c:v>3.1578947368421505E-2</c:v>
                </c:pt>
                <c:pt idx="20">
                  <c:v>-0.17999999999999958</c:v>
                </c:pt>
                <c:pt idx="21">
                  <c:v>-0.14761904761904723</c:v>
                </c:pt>
                <c:pt idx="22">
                  <c:v>-0.77727272727272689</c:v>
                </c:pt>
                <c:pt idx="23">
                  <c:v>-2.4217391304347822</c:v>
                </c:pt>
                <c:pt idx="24">
                  <c:v>-2.4791666666666661</c:v>
                </c:pt>
                <c:pt idx="25">
                  <c:v>-1.5999999999999994</c:v>
                </c:pt>
                <c:pt idx="26">
                  <c:v>-2.7346153846153842</c:v>
                </c:pt>
                <c:pt idx="27">
                  <c:v>-2.4518518518518513</c:v>
                </c:pt>
                <c:pt idx="28">
                  <c:v>-4.1607142857142856</c:v>
                </c:pt>
                <c:pt idx="29">
                  <c:v>-4.1999999999999993</c:v>
                </c:pt>
                <c:pt idx="30">
                  <c:v>-5.2066666666666661</c:v>
                </c:pt>
                <c:pt idx="31">
                  <c:v>-2.9645161290322579</c:v>
                </c:pt>
                <c:pt idx="32">
                  <c:v>-3.71875</c:v>
                </c:pt>
                <c:pt idx="33">
                  <c:v>-3.3000000000000003</c:v>
                </c:pt>
                <c:pt idx="34">
                  <c:v>-1.6676470588235295</c:v>
                </c:pt>
                <c:pt idx="35">
                  <c:v>-2.5257142857142858</c:v>
                </c:pt>
                <c:pt idx="36">
                  <c:v>-3.6305555555555551</c:v>
                </c:pt>
                <c:pt idx="37">
                  <c:v>-1.7324324324324323</c:v>
                </c:pt>
                <c:pt idx="38">
                  <c:v>-2.0157894736842104</c:v>
                </c:pt>
                <c:pt idx="39">
                  <c:v>-1.8282051282051281</c:v>
                </c:pt>
                <c:pt idx="40">
                  <c:v>-1.6300000000000001</c:v>
                </c:pt>
                <c:pt idx="41">
                  <c:v>-2.4390243902439024</c:v>
                </c:pt>
                <c:pt idx="42">
                  <c:v>-1.5595238095238095</c:v>
                </c:pt>
                <c:pt idx="43">
                  <c:v>-1.2093023255813953</c:v>
                </c:pt>
                <c:pt idx="44">
                  <c:v>0.19090909090909089</c:v>
                </c:pt>
                <c:pt idx="45">
                  <c:v>-0.72222222222222221</c:v>
                </c:pt>
                <c:pt idx="46">
                  <c:v>-0.13260869565217395</c:v>
                </c:pt>
                <c:pt idx="47">
                  <c:v>-0.70425531914893624</c:v>
                </c:pt>
                <c:pt idx="48">
                  <c:v>-0.70416666666666672</c:v>
                </c:pt>
                <c:pt idx="49">
                  <c:v>-0.47142857142857153</c:v>
                </c:pt>
                <c:pt idx="50">
                  <c:v>-1.5860000000000003</c:v>
                </c:pt>
                <c:pt idx="51">
                  <c:v>-0.32549019607843155</c:v>
                </c:pt>
                <c:pt idx="52">
                  <c:v>0.35576923076923062</c:v>
                </c:pt>
                <c:pt idx="53">
                  <c:v>-7.7358490566037899E-2</c:v>
                </c:pt>
                <c:pt idx="54">
                  <c:v>0.24259259259259242</c:v>
                </c:pt>
                <c:pt idx="55">
                  <c:v>0.4909090909090908</c:v>
                </c:pt>
                <c:pt idx="56">
                  <c:v>-0.83035714285714302</c:v>
                </c:pt>
                <c:pt idx="57">
                  <c:v>-0.61578947368421066</c:v>
                </c:pt>
                <c:pt idx="58">
                  <c:v>-1.1603448275862072</c:v>
                </c:pt>
                <c:pt idx="59">
                  <c:v>-0.89322033898305098</c:v>
                </c:pt>
                <c:pt idx="60">
                  <c:v>0.22666666666666646</c:v>
                </c:pt>
                <c:pt idx="61">
                  <c:v>-0.41147540983606584</c:v>
                </c:pt>
                <c:pt idx="62">
                  <c:v>-0.44516129032258089</c:v>
                </c:pt>
                <c:pt idx="63">
                  <c:v>0.31746031746031722</c:v>
                </c:pt>
                <c:pt idx="64">
                  <c:v>0.9390624999999998</c:v>
                </c:pt>
                <c:pt idx="65">
                  <c:v>2.0246153846153847</c:v>
                </c:pt>
                <c:pt idx="66">
                  <c:v>1.3045454545454545</c:v>
                </c:pt>
                <c:pt idx="67">
                  <c:v>2.2999999999999998</c:v>
                </c:pt>
                <c:pt idx="68">
                  <c:v>2.2397058823529408</c:v>
                </c:pt>
                <c:pt idx="69">
                  <c:v>1.5391304347826085</c:v>
                </c:pt>
                <c:pt idx="70">
                  <c:v>2.097142857142857</c:v>
                </c:pt>
                <c:pt idx="71">
                  <c:v>1.2507042253521123</c:v>
                </c:pt>
                <c:pt idx="72">
                  <c:v>1.3652777777777776</c:v>
                </c:pt>
                <c:pt idx="73">
                  <c:v>0.56575342465753398</c:v>
                </c:pt>
                <c:pt idx="74">
                  <c:v>1.1797297297297296</c:v>
                </c:pt>
                <c:pt idx="75">
                  <c:v>1.9373333333333331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73729821555833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れんたろう2!$D$3:$D$78</c:f>
              <c:numCache>
                <c:formatCode>0.00\ "位"</c:formatCode>
                <c:ptCount val="76"/>
                <c:pt idx="1">
                  <c:v>3</c:v>
                </c:pt>
                <c:pt idx="2">
                  <c:v>3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</c:v>
                </c:pt>
                <c:pt idx="9">
                  <c:v>2</c:v>
                </c:pt>
                <c:pt idx="10">
                  <c:v>2.1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1.9285714285714286</c:v>
                </c:pt>
                <c:pt idx="15">
                  <c:v>1.9333333333333333</c:v>
                </c:pt>
                <c:pt idx="16">
                  <c:v>2</c:v>
                </c:pt>
                <c:pt idx="17">
                  <c:v>2.0588235294117645</c:v>
                </c:pt>
                <c:pt idx="18">
                  <c:v>2.0555555555555554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2.0434782608695654</c:v>
                </c:pt>
                <c:pt idx="24">
                  <c:v>2.0416666666666665</c:v>
                </c:pt>
                <c:pt idx="25">
                  <c:v>2.04</c:v>
                </c:pt>
                <c:pt idx="26">
                  <c:v>2.0769230769230771</c:v>
                </c:pt>
                <c:pt idx="27">
                  <c:v>2.074074074074074</c:v>
                </c:pt>
                <c:pt idx="28">
                  <c:v>2.1071428571428572</c:v>
                </c:pt>
                <c:pt idx="29">
                  <c:v>2.103448275862069</c:v>
                </c:pt>
                <c:pt idx="30">
                  <c:v>2.1333333333333333</c:v>
                </c:pt>
                <c:pt idx="31">
                  <c:v>2.096774193548387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2.0882352941176472</c:v>
                </c:pt>
                <c:pt idx="35">
                  <c:v>2.1142857142857143</c:v>
                </c:pt>
                <c:pt idx="36">
                  <c:v>2.1388888888888888</c:v>
                </c:pt>
                <c:pt idx="37">
                  <c:v>2.1081081081081079</c:v>
                </c:pt>
                <c:pt idx="38">
                  <c:v>2.1052631578947367</c:v>
                </c:pt>
                <c:pt idx="39">
                  <c:v>2.1025641025641026</c:v>
                </c:pt>
                <c:pt idx="40">
                  <c:v>2.1</c:v>
                </c:pt>
                <c:pt idx="41">
                  <c:v>2.1219512195121952</c:v>
                </c:pt>
                <c:pt idx="42">
                  <c:v>2.0952380952380953</c:v>
                </c:pt>
                <c:pt idx="43">
                  <c:v>2.0930232558139537</c:v>
                </c:pt>
                <c:pt idx="44">
                  <c:v>2.0681818181818183</c:v>
                </c:pt>
                <c:pt idx="45">
                  <c:v>2.088888888888889</c:v>
                </c:pt>
                <c:pt idx="46">
                  <c:v>2.0652173913043477</c:v>
                </c:pt>
                <c:pt idx="47">
                  <c:v>2.0851063829787235</c:v>
                </c:pt>
                <c:pt idx="48">
                  <c:v>2.0833333333333335</c:v>
                </c:pt>
                <c:pt idx="49">
                  <c:v>2.0816326530612246</c:v>
                </c:pt>
                <c:pt idx="50">
                  <c:v>2.1</c:v>
                </c:pt>
                <c:pt idx="51">
                  <c:v>2.0784313725490198</c:v>
                </c:pt>
                <c:pt idx="52">
                  <c:v>2.0576923076923075</c:v>
                </c:pt>
                <c:pt idx="53">
                  <c:v>2.0754716981132075</c:v>
                </c:pt>
                <c:pt idx="54">
                  <c:v>2.074074074074074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2.0877192982456139</c:v>
                </c:pt>
                <c:pt idx="58">
                  <c:v>2.103448275862069</c:v>
                </c:pt>
                <c:pt idx="59">
                  <c:v>2.1016949152542375</c:v>
                </c:pt>
                <c:pt idx="60">
                  <c:v>2.0833333333333335</c:v>
                </c:pt>
                <c:pt idx="61">
                  <c:v>2.098360655737705</c:v>
                </c:pt>
                <c:pt idx="62">
                  <c:v>2.096774193548387</c:v>
                </c:pt>
                <c:pt idx="63">
                  <c:v>2.0793650793650795</c:v>
                </c:pt>
                <c:pt idx="64">
                  <c:v>2.0625</c:v>
                </c:pt>
                <c:pt idx="65">
                  <c:v>2.046153846153846</c:v>
                </c:pt>
                <c:pt idx="66">
                  <c:v>2.0606060606060606</c:v>
                </c:pt>
                <c:pt idx="67">
                  <c:v>2.044776119402985</c:v>
                </c:pt>
                <c:pt idx="68">
                  <c:v>2.0441176470588234</c:v>
                </c:pt>
                <c:pt idx="69">
                  <c:v>2.0579710144927534</c:v>
                </c:pt>
                <c:pt idx="70">
                  <c:v>2.0428571428571427</c:v>
                </c:pt>
                <c:pt idx="71">
                  <c:v>2.056338028169014</c:v>
                </c:pt>
                <c:pt idx="72">
                  <c:v>2.0555555555555554</c:v>
                </c:pt>
                <c:pt idx="73">
                  <c:v>2.0684931506849313</c:v>
                </c:pt>
                <c:pt idx="74">
                  <c:v>2.0540540540540539</c:v>
                </c:pt>
                <c:pt idx="75">
                  <c:v>2.04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れんたろう2!$E$3:$E$78</c:f>
              <c:numCache>
                <c:formatCode>0.0%</c:formatCode>
                <c:ptCount val="7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0.25806451612903225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0.25</c:v>
                </c:pt>
                <c:pt idx="37">
                  <c:v>0.27027027027027029</c:v>
                </c:pt>
                <c:pt idx="38">
                  <c:v>0.26315789473684209</c:v>
                </c:pt>
                <c:pt idx="39">
                  <c:v>0.25641025641025639</c:v>
                </c:pt>
                <c:pt idx="40">
                  <c:v>0.25</c:v>
                </c:pt>
                <c:pt idx="41">
                  <c:v>0.24390243902439024</c:v>
                </c:pt>
                <c:pt idx="42">
                  <c:v>0.26190476190476192</c:v>
                </c:pt>
                <c:pt idx="43">
                  <c:v>0.2558139534883721</c:v>
                </c:pt>
                <c:pt idx="44">
                  <c:v>0.27272727272727271</c:v>
                </c:pt>
                <c:pt idx="45">
                  <c:v>0.26666666666666666</c:v>
                </c:pt>
                <c:pt idx="46">
                  <c:v>0.28260869565217389</c:v>
                </c:pt>
                <c:pt idx="47">
                  <c:v>0.27659574468085107</c:v>
                </c:pt>
                <c:pt idx="48">
                  <c:v>0.27083333333333331</c:v>
                </c:pt>
                <c:pt idx="49">
                  <c:v>0.26530612244897961</c:v>
                </c:pt>
                <c:pt idx="50">
                  <c:v>0.26</c:v>
                </c:pt>
                <c:pt idx="51">
                  <c:v>0.27450980392156865</c:v>
                </c:pt>
                <c:pt idx="52">
                  <c:v>0.28846153846153844</c:v>
                </c:pt>
                <c:pt idx="53">
                  <c:v>0.28301886792452829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0.26785714285714285</c:v>
                </c:pt>
                <c:pt idx="57">
                  <c:v>0.26315789473684209</c:v>
                </c:pt>
                <c:pt idx="58">
                  <c:v>0.25862068965517243</c:v>
                </c:pt>
                <c:pt idx="59">
                  <c:v>0.25423728813559321</c:v>
                </c:pt>
                <c:pt idx="60">
                  <c:v>0.26666666666666666</c:v>
                </c:pt>
                <c:pt idx="61">
                  <c:v>0.26229508196721313</c:v>
                </c:pt>
                <c:pt idx="62">
                  <c:v>0.25806451612903225</c:v>
                </c:pt>
                <c:pt idx="63">
                  <c:v>0.26984126984126983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0.2878787878787879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0.29729729729729731</c:v>
                </c:pt>
                <c:pt idx="75">
                  <c:v>0.30666666666666664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れんたろう2!$F$3:$F$78</c:f>
              <c:numCache>
                <c:formatCode>0.0%</c:formatCode>
                <c:ptCount val="76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0.5714285714285714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0.37142857142857144</c:v>
                </c:pt>
                <c:pt idx="36">
                  <c:v>0.3888888888888889</c:v>
                </c:pt>
                <c:pt idx="37">
                  <c:v>0.3783783783783784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0.36585365853658536</c:v>
                </c:pt>
                <c:pt idx="42">
                  <c:v>0.35714285714285715</c:v>
                </c:pt>
                <c:pt idx="43">
                  <c:v>0.34883720930232559</c:v>
                </c:pt>
                <c:pt idx="44">
                  <c:v>0.34090909090909088</c:v>
                </c:pt>
                <c:pt idx="45">
                  <c:v>0.35555555555555557</c:v>
                </c:pt>
                <c:pt idx="46">
                  <c:v>0.34782608695652173</c:v>
                </c:pt>
                <c:pt idx="47">
                  <c:v>0.36170212765957449</c:v>
                </c:pt>
                <c:pt idx="48">
                  <c:v>0.35416666666666669</c:v>
                </c:pt>
                <c:pt idx="49">
                  <c:v>0.34693877551020408</c:v>
                </c:pt>
                <c:pt idx="50">
                  <c:v>0.36</c:v>
                </c:pt>
                <c:pt idx="51">
                  <c:v>0.35294117647058826</c:v>
                </c:pt>
                <c:pt idx="52">
                  <c:v>0.34615384615384615</c:v>
                </c:pt>
                <c:pt idx="53">
                  <c:v>0.35849056603773582</c:v>
                </c:pt>
                <c:pt idx="54">
                  <c:v>0.35185185185185186</c:v>
                </c:pt>
                <c:pt idx="55">
                  <c:v>0.34545454545454546</c:v>
                </c:pt>
                <c:pt idx="56">
                  <c:v>0.35714285714285715</c:v>
                </c:pt>
                <c:pt idx="57">
                  <c:v>0.35087719298245612</c:v>
                </c:pt>
                <c:pt idx="58">
                  <c:v>0.36206896551724138</c:v>
                </c:pt>
                <c:pt idx="59">
                  <c:v>0.3559322033898305</c:v>
                </c:pt>
                <c:pt idx="60">
                  <c:v>0.35</c:v>
                </c:pt>
                <c:pt idx="61">
                  <c:v>0.36065573770491804</c:v>
                </c:pt>
                <c:pt idx="62">
                  <c:v>0.35483870967741937</c:v>
                </c:pt>
                <c:pt idx="63">
                  <c:v>0.34920634920634919</c:v>
                </c:pt>
                <c:pt idx="64">
                  <c:v>0.34375</c:v>
                </c:pt>
                <c:pt idx="65">
                  <c:v>0.33846153846153848</c:v>
                </c:pt>
                <c:pt idx="66">
                  <c:v>0.34848484848484851</c:v>
                </c:pt>
                <c:pt idx="67">
                  <c:v>0.34328358208955223</c:v>
                </c:pt>
                <c:pt idx="68">
                  <c:v>0.33823529411764708</c:v>
                </c:pt>
                <c:pt idx="69">
                  <c:v>0.34782608695652173</c:v>
                </c:pt>
                <c:pt idx="70">
                  <c:v>0.34285714285714286</c:v>
                </c:pt>
                <c:pt idx="71">
                  <c:v>0.352112676056338</c:v>
                </c:pt>
                <c:pt idx="72">
                  <c:v>0.34722222222222221</c:v>
                </c:pt>
                <c:pt idx="73">
                  <c:v>0.35616438356164382</c:v>
                </c:pt>
                <c:pt idx="74">
                  <c:v>0.35135135135135137</c:v>
                </c:pt>
                <c:pt idx="75">
                  <c:v>0.34666666666666668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れんたろう2!$G$3:$G$78</c:f>
              <c:numCache>
                <c:formatCode>0.0%</c:formatCode>
                <c:ptCount val="76"/>
                <c:pt idx="1">
                  <c:v>0.14285714285714285</c:v>
                </c:pt>
                <c:pt idx="2">
                  <c:v>0.125</c:v>
                </c:pt>
                <c:pt idx="3">
                  <c:v>0.21739130434782608</c:v>
                </c:pt>
                <c:pt idx="4">
                  <c:v>0.22222222222222221</c:v>
                </c:pt>
                <c:pt idx="5">
                  <c:v>0.24324324324324326</c:v>
                </c:pt>
                <c:pt idx="6">
                  <c:v>0.26530612244897961</c:v>
                </c:pt>
                <c:pt idx="7">
                  <c:v>0.24561403508771928</c:v>
                </c:pt>
                <c:pt idx="8">
                  <c:v>0.27536231884057971</c:v>
                </c:pt>
                <c:pt idx="9">
                  <c:v>0.27272727272727271</c:v>
                </c:pt>
                <c:pt idx="10">
                  <c:v>0.25882352941176473</c:v>
                </c:pt>
                <c:pt idx="11">
                  <c:v>0.25263157894736843</c:v>
                </c:pt>
                <c:pt idx="12">
                  <c:v>0.22857142857142856</c:v>
                </c:pt>
                <c:pt idx="13">
                  <c:v>0.22033898305084745</c:v>
                </c:pt>
                <c:pt idx="14">
                  <c:v>0.23387096774193547</c:v>
                </c:pt>
                <c:pt idx="15">
                  <c:v>0.23255813953488372</c:v>
                </c:pt>
                <c:pt idx="16">
                  <c:v>0.22627737226277372</c:v>
                </c:pt>
                <c:pt idx="17">
                  <c:v>0.22068965517241379</c:v>
                </c:pt>
                <c:pt idx="18">
                  <c:v>0.23717948717948717</c:v>
                </c:pt>
                <c:pt idx="19">
                  <c:v>0.26035502958579881</c:v>
                </c:pt>
                <c:pt idx="20">
                  <c:v>0.25698324022346369</c:v>
                </c:pt>
                <c:pt idx="21">
                  <c:v>0.26063829787234044</c:v>
                </c:pt>
                <c:pt idx="22">
                  <c:v>0.25</c:v>
                </c:pt>
                <c:pt idx="23">
                  <c:v>0.2413793103448276</c:v>
                </c:pt>
                <c:pt idx="24">
                  <c:v>0.24285714285714285</c:v>
                </c:pt>
                <c:pt idx="25">
                  <c:v>0.24311926605504589</c:v>
                </c:pt>
                <c:pt idx="26">
                  <c:v>0.24229074889867841</c:v>
                </c:pt>
                <c:pt idx="27">
                  <c:v>0.24166666666666667</c:v>
                </c:pt>
                <c:pt idx="28">
                  <c:v>0.23577235772357724</c:v>
                </c:pt>
                <c:pt idx="29">
                  <c:v>0.23412698412698413</c:v>
                </c:pt>
                <c:pt idx="30">
                  <c:v>0.23574144486692014</c:v>
                </c:pt>
                <c:pt idx="31">
                  <c:v>0.23985239852398524</c:v>
                </c:pt>
                <c:pt idx="32">
                  <c:v>0.23843416370106763</c:v>
                </c:pt>
                <c:pt idx="33">
                  <c:v>0.24305555555555555</c:v>
                </c:pt>
                <c:pt idx="34">
                  <c:v>0.24914675767918087</c:v>
                </c:pt>
                <c:pt idx="35">
                  <c:v>0.24749163879598662</c:v>
                </c:pt>
                <c:pt idx="36">
                  <c:v>0.24104234527687296</c:v>
                </c:pt>
                <c:pt idx="37">
                  <c:v>0.24281150159744408</c:v>
                </c:pt>
                <c:pt idx="38">
                  <c:v>0.24374999999999999</c:v>
                </c:pt>
                <c:pt idx="39">
                  <c:v>0.24770642201834864</c:v>
                </c:pt>
                <c:pt idx="40">
                  <c:v>0.24850299401197604</c:v>
                </c:pt>
                <c:pt idx="41">
                  <c:v>0.24561403508771928</c:v>
                </c:pt>
                <c:pt idx="42">
                  <c:v>0.24645892351274787</c:v>
                </c:pt>
                <c:pt idx="43">
                  <c:v>0.24929971988795518</c:v>
                </c:pt>
                <c:pt idx="44">
                  <c:v>0.2541436464088398</c:v>
                </c:pt>
                <c:pt idx="45">
                  <c:v>0.25067385444743934</c:v>
                </c:pt>
                <c:pt idx="46">
                  <c:v>0.24934383202099739</c:v>
                </c:pt>
                <c:pt idx="47">
                  <c:v>0.25125628140703515</c:v>
                </c:pt>
                <c:pt idx="48">
                  <c:v>0.25247524752475248</c:v>
                </c:pt>
                <c:pt idx="49">
                  <c:v>0.25423728813559321</c:v>
                </c:pt>
                <c:pt idx="50">
                  <c:v>0.24882629107981222</c:v>
                </c:pt>
                <c:pt idx="51">
                  <c:v>0.25231481481481483</c:v>
                </c:pt>
                <c:pt idx="52">
                  <c:v>0.25623582766439912</c:v>
                </c:pt>
                <c:pt idx="53">
                  <c:v>0.25389755011135856</c:v>
                </c:pt>
                <c:pt idx="54">
                  <c:v>0.25934065934065936</c:v>
                </c:pt>
                <c:pt idx="55">
                  <c:v>0.26236559139784948</c:v>
                </c:pt>
                <c:pt idx="56">
                  <c:v>0.26012793176972282</c:v>
                </c:pt>
                <c:pt idx="57">
                  <c:v>0.26160337552742619</c:v>
                </c:pt>
                <c:pt idx="58">
                  <c:v>0.25933609958506226</c:v>
                </c:pt>
                <c:pt idx="59">
                  <c:v>0.25971370143149286</c:v>
                </c:pt>
                <c:pt idx="60">
                  <c:v>0.26534653465346536</c:v>
                </c:pt>
                <c:pt idx="61">
                  <c:v>0.26848249027237353</c:v>
                </c:pt>
                <c:pt idx="62">
                  <c:v>0.26782273603082851</c:v>
                </c:pt>
                <c:pt idx="63">
                  <c:v>0.27221172022684309</c:v>
                </c:pt>
                <c:pt idx="64">
                  <c:v>0.27339449541284405</c:v>
                </c:pt>
                <c:pt idx="65">
                  <c:v>0.27617328519855594</c:v>
                </c:pt>
                <c:pt idx="66">
                  <c:v>0.27886323268206037</c:v>
                </c:pt>
                <c:pt idx="67">
                  <c:v>0.28021015761821366</c:v>
                </c:pt>
                <c:pt idx="68">
                  <c:v>0.2795138888888889</c:v>
                </c:pt>
                <c:pt idx="69">
                  <c:v>0.27796610169491526</c:v>
                </c:pt>
                <c:pt idx="70">
                  <c:v>0.2797319932998325</c:v>
                </c:pt>
                <c:pt idx="71">
                  <c:v>0.27787021630615638</c:v>
                </c:pt>
                <c:pt idx="72">
                  <c:v>0.27941176470588236</c:v>
                </c:pt>
                <c:pt idx="73">
                  <c:v>0.2780487804878049</c:v>
                </c:pt>
                <c:pt idx="74">
                  <c:v>0.2825040128410915</c:v>
                </c:pt>
                <c:pt idx="75">
                  <c:v>0.28298887122416533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466355762824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れんたろう2!$H$3:$H$78</c:f>
              <c:numCache>
                <c:formatCode>0.0%</c:formatCode>
                <c:ptCount val="76"/>
                <c:pt idx="1">
                  <c:v>0.5714285714285714</c:v>
                </c:pt>
                <c:pt idx="2">
                  <c:v>0.4375</c:v>
                </c:pt>
                <c:pt idx="3">
                  <c:v>0.34782608695652173</c:v>
                </c:pt>
                <c:pt idx="4">
                  <c:v>0.33333333333333331</c:v>
                </c:pt>
                <c:pt idx="5">
                  <c:v>0.32432432432432434</c:v>
                </c:pt>
                <c:pt idx="6">
                  <c:v>0.26530612244897961</c:v>
                </c:pt>
                <c:pt idx="7">
                  <c:v>0.26315789473684209</c:v>
                </c:pt>
                <c:pt idx="8">
                  <c:v>0.21739130434782608</c:v>
                </c:pt>
                <c:pt idx="9">
                  <c:v>0.23376623376623376</c:v>
                </c:pt>
                <c:pt idx="10">
                  <c:v>0.24705882352941178</c:v>
                </c:pt>
                <c:pt idx="11">
                  <c:v>0.23157894736842105</c:v>
                </c:pt>
                <c:pt idx="12">
                  <c:v>0.20952380952380953</c:v>
                </c:pt>
                <c:pt idx="13">
                  <c:v>0.20338983050847459</c:v>
                </c:pt>
                <c:pt idx="14">
                  <c:v>0.19354838709677419</c:v>
                </c:pt>
                <c:pt idx="15">
                  <c:v>0.18604651162790697</c:v>
                </c:pt>
                <c:pt idx="16">
                  <c:v>0.18248175182481752</c:v>
                </c:pt>
                <c:pt idx="17">
                  <c:v>0.1793103448275862</c:v>
                </c:pt>
                <c:pt idx="18">
                  <c:v>0.17948717948717949</c:v>
                </c:pt>
                <c:pt idx="19">
                  <c:v>0.17751479289940827</c:v>
                </c:pt>
                <c:pt idx="20">
                  <c:v>0.17318435754189945</c:v>
                </c:pt>
                <c:pt idx="21">
                  <c:v>0.16489361702127658</c:v>
                </c:pt>
                <c:pt idx="22">
                  <c:v>0.15816326530612246</c:v>
                </c:pt>
                <c:pt idx="23">
                  <c:v>0.1625615763546798</c:v>
                </c:pt>
                <c:pt idx="24">
                  <c:v>0.16666666666666666</c:v>
                </c:pt>
                <c:pt idx="25">
                  <c:v>0.16513761467889909</c:v>
                </c:pt>
                <c:pt idx="26">
                  <c:v>0.16299559471365638</c:v>
                </c:pt>
                <c:pt idx="27">
                  <c:v>0.16666666666666666</c:v>
                </c:pt>
                <c:pt idx="28">
                  <c:v>0.17073170731707318</c:v>
                </c:pt>
                <c:pt idx="29">
                  <c:v>0.17460317460317459</c:v>
                </c:pt>
                <c:pt idx="30">
                  <c:v>0.17110266159695817</c:v>
                </c:pt>
                <c:pt idx="31">
                  <c:v>0.16974169741697417</c:v>
                </c:pt>
                <c:pt idx="32">
                  <c:v>0.16725978647686832</c:v>
                </c:pt>
                <c:pt idx="33">
                  <c:v>0.16666666666666666</c:v>
                </c:pt>
                <c:pt idx="34">
                  <c:v>0.16382252559726962</c:v>
                </c:pt>
                <c:pt idx="35">
                  <c:v>0.16053511705685619</c:v>
                </c:pt>
                <c:pt idx="36">
                  <c:v>0.15960912052117263</c:v>
                </c:pt>
                <c:pt idx="37">
                  <c:v>0.15654952076677317</c:v>
                </c:pt>
                <c:pt idx="38">
                  <c:v>0.15937499999999999</c:v>
                </c:pt>
                <c:pt idx="39">
                  <c:v>0.15596330275229359</c:v>
                </c:pt>
                <c:pt idx="40">
                  <c:v>0.15269461077844312</c:v>
                </c:pt>
                <c:pt idx="41">
                  <c:v>0.15497076023391812</c:v>
                </c:pt>
                <c:pt idx="42">
                  <c:v>0.15297450424929179</c:v>
                </c:pt>
                <c:pt idx="43">
                  <c:v>0.15126050420168066</c:v>
                </c:pt>
                <c:pt idx="44">
                  <c:v>0.15193370165745856</c:v>
                </c:pt>
                <c:pt idx="45">
                  <c:v>0.15633423180592992</c:v>
                </c:pt>
                <c:pt idx="46">
                  <c:v>0.15748031496062992</c:v>
                </c:pt>
                <c:pt idx="47">
                  <c:v>0.15577889447236182</c:v>
                </c:pt>
                <c:pt idx="48">
                  <c:v>0.15346534653465346</c:v>
                </c:pt>
                <c:pt idx="49">
                  <c:v>0.15254237288135594</c:v>
                </c:pt>
                <c:pt idx="50">
                  <c:v>0.15258215962441316</c:v>
                </c:pt>
                <c:pt idx="51">
                  <c:v>0.15509259259259259</c:v>
                </c:pt>
                <c:pt idx="52">
                  <c:v>0.15873015873015872</c:v>
                </c:pt>
                <c:pt idx="53">
                  <c:v>0.15812917594654788</c:v>
                </c:pt>
                <c:pt idx="54">
                  <c:v>0.16043956043956045</c:v>
                </c:pt>
                <c:pt idx="55">
                  <c:v>0.15698924731182795</c:v>
                </c:pt>
                <c:pt idx="56">
                  <c:v>0.15991471215351813</c:v>
                </c:pt>
                <c:pt idx="57">
                  <c:v>0.16033755274261605</c:v>
                </c:pt>
                <c:pt idx="58">
                  <c:v>0.15767634854771784</c:v>
                </c:pt>
                <c:pt idx="59">
                  <c:v>0.15746421267893659</c:v>
                </c:pt>
                <c:pt idx="60">
                  <c:v>0.15445544554455445</c:v>
                </c:pt>
                <c:pt idx="61">
                  <c:v>0.15953307392996108</c:v>
                </c:pt>
                <c:pt idx="62">
                  <c:v>0.15799614643545279</c:v>
                </c:pt>
                <c:pt idx="63">
                  <c:v>0.16068052930056712</c:v>
                </c:pt>
                <c:pt idx="64">
                  <c:v>0.16146788990825689</c:v>
                </c:pt>
                <c:pt idx="65">
                  <c:v>0.16064981949458484</c:v>
                </c:pt>
                <c:pt idx="66">
                  <c:v>0.16341030195381884</c:v>
                </c:pt>
                <c:pt idx="67">
                  <c:v>0.16462346760070051</c:v>
                </c:pt>
                <c:pt idx="68">
                  <c:v>0.16493055555555555</c:v>
                </c:pt>
                <c:pt idx="69">
                  <c:v>0.16271186440677965</c:v>
                </c:pt>
                <c:pt idx="70">
                  <c:v>0.1624790619765494</c:v>
                </c:pt>
                <c:pt idx="71">
                  <c:v>0.16638935108153077</c:v>
                </c:pt>
                <c:pt idx="72">
                  <c:v>0.16666666666666666</c:v>
                </c:pt>
                <c:pt idx="73">
                  <c:v>0.17073170731707318</c:v>
                </c:pt>
                <c:pt idx="74">
                  <c:v>0.17014446227929375</c:v>
                </c:pt>
                <c:pt idx="75">
                  <c:v>0.17170111287758347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777703753053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れんたろう2!$I$3:$I$78</c:f>
              <c:numCache>
                <c:formatCode>0</c:formatCode>
                <c:ptCount val="76"/>
                <c:pt idx="1">
                  <c:v>2000</c:v>
                </c:pt>
                <c:pt idx="2">
                  <c:v>2950</c:v>
                </c:pt>
                <c:pt idx="3">
                  <c:v>7100</c:v>
                </c:pt>
                <c:pt idx="4">
                  <c:v>11250</c:v>
                </c:pt>
                <c:pt idx="5">
                  <c:v>9266.6666666666661</c:v>
                </c:pt>
                <c:pt idx="6">
                  <c:v>9392.3076923076915</c:v>
                </c:pt>
                <c:pt idx="7">
                  <c:v>8921.4285714285706</c:v>
                </c:pt>
                <c:pt idx="8">
                  <c:v>8084.2105263157891</c:v>
                </c:pt>
                <c:pt idx="9">
                  <c:v>7695.2380952380954</c:v>
                </c:pt>
                <c:pt idx="10">
                  <c:v>7890.909090909091</c:v>
                </c:pt>
                <c:pt idx="11">
                  <c:v>7883.333333333333</c:v>
                </c:pt>
                <c:pt idx="12">
                  <c:v>7883.333333333333</c:v>
                </c:pt>
                <c:pt idx="13">
                  <c:v>7880.7692307692305</c:v>
                </c:pt>
                <c:pt idx="14">
                  <c:v>7686.2068965517237</c:v>
                </c:pt>
                <c:pt idx="15">
                  <c:v>7696.666666666667</c:v>
                </c:pt>
                <c:pt idx="16">
                  <c:v>7706.4516129032254</c:v>
                </c:pt>
                <c:pt idx="17">
                  <c:v>7715.625</c:v>
                </c:pt>
                <c:pt idx="18">
                  <c:v>7875.6756756756758</c:v>
                </c:pt>
                <c:pt idx="19">
                  <c:v>7934.090909090909</c:v>
                </c:pt>
                <c:pt idx="20">
                  <c:v>8008.695652173913</c:v>
                </c:pt>
                <c:pt idx="21">
                  <c:v>7983.6734693877552</c:v>
                </c:pt>
                <c:pt idx="22">
                  <c:v>7983.6734693877552</c:v>
                </c:pt>
                <c:pt idx="23">
                  <c:v>7983.6734693877552</c:v>
                </c:pt>
                <c:pt idx="24">
                  <c:v>7982.3529411764703</c:v>
                </c:pt>
                <c:pt idx="25">
                  <c:v>8284.9056603773588</c:v>
                </c:pt>
                <c:pt idx="26">
                  <c:v>8101.818181818182</c:v>
                </c:pt>
                <c:pt idx="27">
                  <c:v>8372.4137931034475</c:v>
                </c:pt>
                <c:pt idx="28">
                  <c:v>8372.4137931034475</c:v>
                </c:pt>
                <c:pt idx="29">
                  <c:v>8361.016949152543</c:v>
                </c:pt>
                <c:pt idx="30">
                  <c:v>8224.1935483870966</c:v>
                </c:pt>
                <c:pt idx="31">
                  <c:v>8490.7692307692305</c:v>
                </c:pt>
                <c:pt idx="32">
                  <c:v>8447.7611940298502</c:v>
                </c:pt>
                <c:pt idx="33">
                  <c:v>8422.8571428571431</c:v>
                </c:pt>
                <c:pt idx="34">
                  <c:v>8586.301369863013</c:v>
                </c:pt>
                <c:pt idx="35">
                  <c:v>8487.8378378378384</c:v>
                </c:pt>
                <c:pt idx="36">
                  <c:v>8487.8378378378384</c:v>
                </c:pt>
                <c:pt idx="37">
                  <c:v>9001.3157894736851</c:v>
                </c:pt>
                <c:pt idx="38">
                  <c:v>8955.1282051282051</c:v>
                </c:pt>
                <c:pt idx="39">
                  <c:v>8769.1358024691363</c:v>
                </c:pt>
                <c:pt idx="40">
                  <c:v>8744.5783132530123</c:v>
                </c:pt>
                <c:pt idx="41">
                  <c:v>8783.3333333333339</c:v>
                </c:pt>
                <c:pt idx="42">
                  <c:v>9121.8390804597693</c:v>
                </c:pt>
                <c:pt idx="43">
                  <c:v>9119.1011235955048</c:v>
                </c:pt>
                <c:pt idx="44">
                  <c:v>9278.2608695652179</c:v>
                </c:pt>
                <c:pt idx="45">
                  <c:v>9264.5161290322576</c:v>
                </c:pt>
                <c:pt idx="46">
                  <c:v>9300</c:v>
                </c:pt>
                <c:pt idx="47">
                  <c:v>9392</c:v>
                </c:pt>
                <c:pt idx="48">
                  <c:v>9400.9803921568619</c:v>
                </c:pt>
                <c:pt idx="49">
                  <c:v>9396.1904761904771</c:v>
                </c:pt>
                <c:pt idx="50">
                  <c:v>9334.9056603773588</c:v>
                </c:pt>
                <c:pt idx="51">
                  <c:v>9573.3944954128438</c:v>
                </c:pt>
                <c:pt idx="52">
                  <c:v>9616.8141592920347</c:v>
                </c:pt>
                <c:pt idx="53">
                  <c:v>9578.9473684210534</c:v>
                </c:pt>
                <c:pt idx="54">
                  <c:v>9636.4406779661022</c:v>
                </c:pt>
                <c:pt idx="55">
                  <c:v>9560.6557377049176</c:v>
                </c:pt>
                <c:pt idx="56">
                  <c:v>9560.6557377049176</c:v>
                </c:pt>
                <c:pt idx="57">
                  <c:v>9567.7419354838712</c:v>
                </c:pt>
                <c:pt idx="58">
                  <c:v>9512</c:v>
                </c:pt>
                <c:pt idx="59">
                  <c:v>9598.4251968503941</c:v>
                </c:pt>
                <c:pt idx="60">
                  <c:v>9640.2985074626868</c:v>
                </c:pt>
                <c:pt idx="61">
                  <c:v>9544.927536231884</c:v>
                </c:pt>
                <c:pt idx="62">
                  <c:v>9533.8129496402871</c:v>
                </c:pt>
                <c:pt idx="63">
                  <c:v>9534.0277777777774</c:v>
                </c:pt>
                <c:pt idx="64">
                  <c:v>9625.5033557046972</c:v>
                </c:pt>
                <c:pt idx="65">
                  <c:v>9700.6535947712418</c:v>
                </c:pt>
                <c:pt idx="66">
                  <c:v>9550.3184713375795</c:v>
                </c:pt>
                <c:pt idx="67">
                  <c:v>9796.25</c:v>
                </c:pt>
                <c:pt idx="68">
                  <c:v>9809.9378881987577</c:v>
                </c:pt>
                <c:pt idx="69">
                  <c:v>9756.707317073171</c:v>
                </c:pt>
                <c:pt idx="70">
                  <c:v>9797.0059880239514</c:v>
                </c:pt>
                <c:pt idx="71">
                  <c:v>9797.0059880239514</c:v>
                </c:pt>
                <c:pt idx="72">
                  <c:v>9761.9883040935674</c:v>
                </c:pt>
                <c:pt idx="73">
                  <c:v>9761.9883040935674</c:v>
                </c:pt>
                <c:pt idx="74">
                  <c:v>9780.113636363636</c:v>
                </c:pt>
                <c:pt idx="75">
                  <c:v>9939.8876404494385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83.14855875831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れんたろう2!$J$3:$J$78</c:f>
              <c:numCache>
                <c:formatCode>0</c:formatCode>
                <c:ptCount val="76"/>
                <c:pt idx="1">
                  <c:v>-5800</c:v>
                </c:pt>
                <c:pt idx="2">
                  <c:v>-5014.2857142857147</c:v>
                </c:pt>
                <c:pt idx="3">
                  <c:v>-5887.5</c:v>
                </c:pt>
                <c:pt idx="4">
                  <c:v>-5666.666666666667</c:v>
                </c:pt>
                <c:pt idx="5">
                  <c:v>-5333.333333333333</c:v>
                </c:pt>
                <c:pt idx="6">
                  <c:v>-5323.0769230769229</c:v>
                </c:pt>
                <c:pt idx="7">
                  <c:v>-6586.666666666667</c:v>
                </c:pt>
                <c:pt idx="8">
                  <c:v>-6586.666666666667</c:v>
                </c:pt>
                <c:pt idx="9">
                  <c:v>-6188.8888888888887</c:v>
                </c:pt>
                <c:pt idx="10">
                  <c:v>-6633.333333333333</c:v>
                </c:pt>
                <c:pt idx="11">
                  <c:v>-6450</c:v>
                </c:pt>
                <c:pt idx="12">
                  <c:v>-6450</c:v>
                </c:pt>
                <c:pt idx="13">
                  <c:v>-6895.833333333333</c:v>
                </c:pt>
                <c:pt idx="14">
                  <c:v>-6895.833333333333</c:v>
                </c:pt>
                <c:pt idx="15">
                  <c:v>-6895.833333333333</c:v>
                </c:pt>
                <c:pt idx="16">
                  <c:v>-7100</c:v>
                </c:pt>
                <c:pt idx="17">
                  <c:v>-7288.4615384615381</c:v>
                </c:pt>
                <c:pt idx="18">
                  <c:v>-7839.2857142857147</c:v>
                </c:pt>
                <c:pt idx="19">
                  <c:v>-7616.666666666667</c:v>
                </c:pt>
                <c:pt idx="20">
                  <c:v>-7629.0322580645161</c:v>
                </c:pt>
                <c:pt idx="21">
                  <c:v>-7629.0322580645161</c:v>
                </c:pt>
                <c:pt idx="22">
                  <c:v>-7629.0322580645161</c:v>
                </c:pt>
                <c:pt idx="23">
                  <c:v>-7372.727272727273</c:v>
                </c:pt>
                <c:pt idx="24">
                  <c:v>-7237.1428571428569</c:v>
                </c:pt>
                <c:pt idx="25">
                  <c:v>-7536.1111111111113</c:v>
                </c:pt>
                <c:pt idx="26">
                  <c:v>-7472.9729729729734</c:v>
                </c:pt>
                <c:pt idx="27">
                  <c:v>-7187.5</c:v>
                </c:pt>
                <c:pt idx="28">
                  <c:v>-7321.4285714285716</c:v>
                </c:pt>
                <c:pt idx="29">
                  <c:v>-7193.181818181818</c:v>
                </c:pt>
                <c:pt idx="30">
                  <c:v>-7300</c:v>
                </c:pt>
                <c:pt idx="31">
                  <c:v>-7226.086956521739</c:v>
                </c:pt>
                <c:pt idx="32">
                  <c:v>-7195.744680851064</c:v>
                </c:pt>
                <c:pt idx="33">
                  <c:v>-7206.25</c:v>
                </c:pt>
                <c:pt idx="34">
                  <c:v>-7206.25</c:v>
                </c:pt>
                <c:pt idx="35">
                  <c:v>-7206.25</c:v>
                </c:pt>
                <c:pt idx="36">
                  <c:v>-7222.4489795918371</c:v>
                </c:pt>
                <c:pt idx="37">
                  <c:v>-7222.4489795918371</c:v>
                </c:pt>
                <c:pt idx="38">
                  <c:v>-7225.4901960784309</c:v>
                </c:pt>
                <c:pt idx="39">
                  <c:v>-7225.4901960784309</c:v>
                </c:pt>
                <c:pt idx="40">
                  <c:v>-7225.4901960784309</c:v>
                </c:pt>
                <c:pt idx="41">
                  <c:v>-7277.3584905660373</c:v>
                </c:pt>
                <c:pt idx="42">
                  <c:v>-7290.7407407407409</c:v>
                </c:pt>
                <c:pt idx="43">
                  <c:v>-7290.7407407407409</c:v>
                </c:pt>
                <c:pt idx="44">
                  <c:v>-7205.454545454545</c:v>
                </c:pt>
                <c:pt idx="45">
                  <c:v>-7098.2758620689656</c:v>
                </c:pt>
                <c:pt idx="46">
                  <c:v>-7016.666666666667</c:v>
                </c:pt>
                <c:pt idx="47">
                  <c:v>-7070.9677419354839</c:v>
                </c:pt>
                <c:pt idx="48">
                  <c:v>-7070.9677419354839</c:v>
                </c:pt>
                <c:pt idx="49">
                  <c:v>-7085.7142857142853</c:v>
                </c:pt>
                <c:pt idx="50">
                  <c:v>-7267.6923076923076</c:v>
                </c:pt>
                <c:pt idx="51">
                  <c:v>-7189.5522388059699</c:v>
                </c:pt>
                <c:pt idx="52">
                  <c:v>-7332.8571428571431</c:v>
                </c:pt>
                <c:pt idx="53">
                  <c:v>-7243.6619718309857</c:v>
                </c:pt>
                <c:pt idx="54">
                  <c:v>-7427.3972602739723</c:v>
                </c:pt>
                <c:pt idx="55">
                  <c:v>-7427.3972602739723</c:v>
                </c:pt>
                <c:pt idx="56">
                  <c:v>-7709.333333333333</c:v>
                </c:pt>
                <c:pt idx="57">
                  <c:v>-7760.5263157894733</c:v>
                </c:pt>
                <c:pt idx="58">
                  <c:v>-7760.5263157894733</c:v>
                </c:pt>
                <c:pt idx="59">
                  <c:v>-7815.5844155844152</c:v>
                </c:pt>
                <c:pt idx="60">
                  <c:v>-7814.1025641025644</c:v>
                </c:pt>
                <c:pt idx="61">
                  <c:v>-7900</c:v>
                </c:pt>
                <c:pt idx="62">
                  <c:v>-7900</c:v>
                </c:pt>
                <c:pt idx="63">
                  <c:v>-7834.1176470588234</c:v>
                </c:pt>
                <c:pt idx="64">
                  <c:v>-7707.954545454545</c:v>
                </c:pt>
                <c:pt idx="65">
                  <c:v>-7643.8202247191011</c:v>
                </c:pt>
                <c:pt idx="66">
                  <c:v>-7795.652173913043</c:v>
                </c:pt>
                <c:pt idx="67">
                  <c:v>-7773.4042553191493</c:v>
                </c:pt>
                <c:pt idx="68">
                  <c:v>-7775.7894736842109</c:v>
                </c:pt>
                <c:pt idx="69">
                  <c:v>-7819.791666666667</c:v>
                </c:pt>
                <c:pt idx="70">
                  <c:v>-7779.3814432989693</c:v>
                </c:pt>
                <c:pt idx="71">
                  <c:v>-7806</c:v>
                </c:pt>
                <c:pt idx="72">
                  <c:v>-7748.0392156862745</c:v>
                </c:pt>
                <c:pt idx="73">
                  <c:v>-7869.5238095238092</c:v>
                </c:pt>
                <c:pt idx="74">
                  <c:v>-7870.7547169811323</c:v>
                </c:pt>
                <c:pt idx="75">
                  <c:v>-7845.3703703703704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57.39014647137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れんたろう2!$K$3:$K$78</c:f>
              <c:numCache>
                <c:formatCode>0.0%</c:formatCode>
                <c:ptCount val="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2.9411764705882353E-2</c:v>
                </c:pt>
                <c:pt idx="35">
                  <c:v>2.8571428571428571E-2</c:v>
                </c:pt>
                <c:pt idx="36">
                  <c:v>2.7777777777777776E-2</c:v>
                </c:pt>
                <c:pt idx="37">
                  <c:v>2.7027027027027029E-2</c:v>
                </c:pt>
                <c:pt idx="38">
                  <c:v>2.6315789473684209E-2</c:v>
                </c:pt>
                <c:pt idx="39">
                  <c:v>2.564102564102564E-2</c:v>
                </c:pt>
                <c:pt idx="40">
                  <c:v>2.5000000000000001E-2</c:v>
                </c:pt>
                <c:pt idx="41">
                  <c:v>2.4390243902439025E-2</c:v>
                </c:pt>
                <c:pt idx="42">
                  <c:v>2.3809523809523808E-2</c:v>
                </c:pt>
                <c:pt idx="43">
                  <c:v>2.3255813953488372E-2</c:v>
                </c:pt>
                <c:pt idx="44">
                  <c:v>2.2727272727272728E-2</c:v>
                </c:pt>
                <c:pt idx="45">
                  <c:v>2.2222222222222223E-2</c:v>
                </c:pt>
                <c:pt idx="46">
                  <c:v>2.1739130434782608E-2</c:v>
                </c:pt>
                <c:pt idx="47">
                  <c:v>2.1276595744680851E-2</c:v>
                </c:pt>
                <c:pt idx="48">
                  <c:v>2.0833333333333332E-2</c:v>
                </c:pt>
                <c:pt idx="49">
                  <c:v>2.0408163265306121E-2</c:v>
                </c:pt>
                <c:pt idx="50">
                  <c:v>0.04</c:v>
                </c:pt>
                <c:pt idx="51">
                  <c:v>3.9215686274509803E-2</c:v>
                </c:pt>
                <c:pt idx="52">
                  <c:v>3.8461538461538464E-2</c:v>
                </c:pt>
                <c:pt idx="53">
                  <c:v>3.7735849056603772E-2</c:v>
                </c:pt>
                <c:pt idx="54">
                  <c:v>3.7037037037037035E-2</c:v>
                </c:pt>
                <c:pt idx="55">
                  <c:v>3.6363636363636362E-2</c:v>
                </c:pt>
                <c:pt idx="56">
                  <c:v>5.3571428571428568E-2</c:v>
                </c:pt>
                <c:pt idx="57">
                  <c:v>5.2631578947368418E-2</c:v>
                </c:pt>
                <c:pt idx="58">
                  <c:v>5.1724137931034482E-2</c:v>
                </c:pt>
                <c:pt idx="59">
                  <c:v>5.0847457627118647E-2</c:v>
                </c:pt>
                <c:pt idx="60">
                  <c:v>0.05</c:v>
                </c:pt>
                <c:pt idx="61">
                  <c:v>4.9180327868852458E-2</c:v>
                </c:pt>
                <c:pt idx="62">
                  <c:v>4.8387096774193547E-2</c:v>
                </c:pt>
                <c:pt idx="63">
                  <c:v>4.7619047619047616E-2</c:v>
                </c:pt>
                <c:pt idx="64">
                  <c:v>4.6875E-2</c:v>
                </c:pt>
                <c:pt idx="65">
                  <c:v>4.6153846153846156E-2</c:v>
                </c:pt>
                <c:pt idx="66">
                  <c:v>4.5454545454545456E-2</c:v>
                </c:pt>
                <c:pt idx="67">
                  <c:v>4.4776119402985072E-2</c:v>
                </c:pt>
                <c:pt idx="68">
                  <c:v>4.4117647058823532E-2</c:v>
                </c:pt>
                <c:pt idx="69">
                  <c:v>4.3478260869565216E-2</c:v>
                </c:pt>
                <c:pt idx="70">
                  <c:v>4.2857142857142858E-2</c:v>
                </c:pt>
                <c:pt idx="71">
                  <c:v>5.6338028169014086E-2</c:v>
                </c:pt>
                <c:pt idx="72">
                  <c:v>5.5555555555555552E-2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814814814814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れんたろう2!$L$3:$L$78</c:f>
              <c:numCache>
                <c:formatCode>0.0%</c:formatCode>
                <c:ptCount val="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9.6774193548387094E-2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0.13636363636363635</c:v>
                </c:pt>
                <c:pt idx="45">
                  <c:v>0.13333333333333333</c:v>
                </c:pt>
                <c:pt idx="46">
                  <c:v>0.13043478260869565</c:v>
                </c:pt>
                <c:pt idx="47">
                  <c:v>0.1276595744680851</c:v>
                </c:pt>
                <c:pt idx="48">
                  <c:v>0.125</c:v>
                </c:pt>
                <c:pt idx="49">
                  <c:v>0.12244897959183673</c:v>
                </c:pt>
                <c:pt idx="50">
                  <c:v>0.12</c:v>
                </c:pt>
                <c:pt idx="51">
                  <c:v>0.13725490196078433</c:v>
                </c:pt>
                <c:pt idx="52">
                  <c:v>0.13461538461538461</c:v>
                </c:pt>
                <c:pt idx="53">
                  <c:v>0.13207547169811321</c:v>
                </c:pt>
                <c:pt idx="54">
                  <c:v>0.12962962962962962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0.12280701754385964</c:v>
                </c:pt>
                <c:pt idx="58">
                  <c:v>0.1206896551724138</c:v>
                </c:pt>
                <c:pt idx="59">
                  <c:v>0.11864406779661017</c:v>
                </c:pt>
                <c:pt idx="60">
                  <c:v>0.11666666666666667</c:v>
                </c:pt>
                <c:pt idx="61">
                  <c:v>0.11475409836065574</c:v>
                </c:pt>
                <c:pt idx="62">
                  <c:v>0.11290322580645161</c:v>
                </c:pt>
                <c:pt idx="63">
                  <c:v>0.1111111111111111</c:v>
                </c:pt>
                <c:pt idx="64">
                  <c:v>0.109375</c:v>
                </c:pt>
                <c:pt idx="65">
                  <c:v>0.12307692307692308</c:v>
                </c:pt>
                <c:pt idx="66">
                  <c:v>0.12121212121212122</c:v>
                </c:pt>
                <c:pt idx="67">
                  <c:v>0.13432835820895522</c:v>
                </c:pt>
                <c:pt idx="68">
                  <c:v>0.13235294117647059</c:v>
                </c:pt>
                <c:pt idx="69">
                  <c:v>0.13043478260869565</c:v>
                </c:pt>
                <c:pt idx="70">
                  <c:v>0.12857142857142856</c:v>
                </c:pt>
                <c:pt idx="71">
                  <c:v>0.12676056338028169</c:v>
                </c:pt>
                <c:pt idx="72">
                  <c:v>0.125</c:v>
                </c:pt>
                <c:pt idx="73">
                  <c:v>0.12328767123287671</c:v>
                </c:pt>
                <c:pt idx="74">
                  <c:v>0.12162162162162163</c:v>
                </c:pt>
                <c:pt idx="75">
                  <c:v>0.13333333333333333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814814814814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れんたろう2!$M$3:$M$78</c:f>
              <c:numCache>
                <c:formatCode>0.0%</c:formatCode>
                <c:ptCount val="76"/>
                <c:pt idx="1">
                  <c:v>0.2857142857142857</c:v>
                </c:pt>
                <c:pt idx="2">
                  <c:v>0.25</c:v>
                </c:pt>
                <c:pt idx="3">
                  <c:v>0.21739130434782608</c:v>
                </c:pt>
                <c:pt idx="4">
                  <c:v>0.18518518518518517</c:v>
                </c:pt>
                <c:pt idx="5">
                  <c:v>0.1891891891891892</c:v>
                </c:pt>
                <c:pt idx="6">
                  <c:v>0.22448979591836735</c:v>
                </c:pt>
                <c:pt idx="7">
                  <c:v>0.21052631578947367</c:v>
                </c:pt>
                <c:pt idx="8">
                  <c:v>0.24637681159420291</c:v>
                </c:pt>
                <c:pt idx="9">
                  <c:v>0.24675324675324675</c:v>
                </c:pt>
                <c:pt idx="10">
                  <c:v>0.23529411764705882</c:v>
                </c:pt>
                <c:pt idx="11">
                  <c:v>0.23157894736842105</c:v>
                </c:pt>
                <c:pt idx="12">
                  <c:v>0.22857142857142856</c:v>
                </c:pt>
                <c:pt idx="13">
                  <c:v>0.22033898305084745</c:v>
                </c:pt>
                <c:pt idx="14">
                  <c:v>0.22580645161290322</c:v>
                </c:pt>
                <c:pt idx="15">
                  <c:v>0.22480620155038761</c:v>
                </c:pt>
                <c:pt idx="16">
                  <c:v>0.22627737226277372</c:v>
                </c:pt>
                <c:pt idx="17">
                  <c:v>0.22758620689655173</c:v>
                </c:pt>
                <c:pt idx="18">
                  <c:v>0.25641025641025639</c:v>
                </c:pt>
                <c:pt idx="19">
                  <c:v>0.25443786982248523</c:v>
                </c:pt>
                <c:pt idx="20">
                  <c:v>0.24581005586592178</c:v>
                </c:pt>
                <c:pt idx="21">
                  <c:v>0.24468085106382978</c:v>
                </c:pt>
                <c:pt idx="22">
                  <c:v>0.24489795918367346</c:v>
                </c:pt>
                <c:pt idx="23">
                  <c:v>0.24630541871921183</c:v>
                </c:pt>
                <c:pt idx="24">
                  <c:v>0.23809523809523808</c:v>
                </c:pt>
                <c:pt idx="25">
                  <c:v>0.23853211009174313</c:v>
                </c:pt>
                <c:pt idx="26">
                  <c:v>0.23788546255506607</c:v>
                </c:pt>
                <c:pt idx="27">
                  <c:v>0.24583333333333332</c:v>
                </c:pt>
                <c:pt idx="28">
                  <c:v>0.24390243902439024</c:v>
                </c:pt>
                <c:pt idx="29">
                  <c:v>0.23809523809523808</c:v>
                </c:pt>
                <c:pt idx="30">
                  <c:v>0.23574144486692014</c:v>
                </c:pt>
                <c:pt idx="31">
                  <c:v>0.23985239852398524</c:v>
                </c:pt>
                <c:pt idx="32">
                  <c:v>0.23843416370106763</c:v>
                </c:pt>
                <c:pt idx="33">
                  <c:v>0.24305555555555555</c:v>
                </c:pt>
                <c:pt idx="34">
                  <c:v>0.24914675767918087</c:v>
                </c:pt>
                <c:pt idx="35">
                  <c:v>0.25083612040133779</c:v>
                </c:pt>
                <c:pt idx="36">
                  <c:v>0.24429967426710097</c:v>
                </c:pt>
                <c:pt idx="37">
                  <c:v>0.24281150159744408</c:v>
                </c:pt>
                <c:pt idx="38">
                  <c:v>0.24687500000000001</c:v>
                </c:pt>
                <c:pt idx="39">
                  <c:v>0.25076452599388377</c:v>
                </c:pt>
                <c:pt idx="40">
                  <c:v>0.24850299401197604</c:v>
                </c:pt>
                <c:pt idx="41">
                  <c:v>0.24853801169590642</c:v>
                </c:pt>
                <c:pt idx="42">
                  <c:v>0.25495750708215298</c:v>
                </c:pt>
                <c:pt idx="43">
                  <c:v>0.25490196078431371</c:v>
                </c:pt>
                <c:pt idx="44">
                  <c:v>0.25966850828729282</c:v>
                </c:pt>
                <c:pt idx="45">
                  <c:v>0.26145552560646901</c:v>
                </c:pt>
                <c:pt idx="46">
                  <c:v>0.2572178477690289</c:v>
                </c:pt>
                <c:pt idx="47">
                  <c:v>0.25879396984924624</c:v>
                </c:pt>
                <c:pt idx="48">
                  <c:v>0.26237623762376239</c:v>
                </c:pt>
                <c:pt idx="49">
                  <c:v>0.25907990314769974</c:v>
                </c:pt>
                <c:pt idx="50">
                  <c:v>0.25352112676056338</c:v>
                </c:pt>
                <c:pt idx="51">
                  <c:v>0.25925925925925924</c:v>
                </c:pt>
                <c:pt idx="52">
                  <c:v>0.26303854875283444</c:v>
                </c:pt>
                <c:pt idx="53">
                  <c:v>0.26280623608017817</c:v>
                </c:pt>
                <c:pt idx="54">
                  <c:v>0.2725274725274725</c:v>
                </c:pt>
                <c:pt idx="55">
                  <c:v>0.27526881720430108</c:v>
                </c:pt>
                <c:pt idx="56">
                  <c:v>0.27505330490405117</c:v>
                </c:pt>
                <c:pt idx="57">
                  <c:v>0.27637130801687765</c:v>
                </c:pt>
                <c:pt idx="58">
                  <c:v>0.27385892116182575</c:v>
                </c:pt>
                <c:pt idx="59">
                  <c:v>0.27198364008179959</c:v>
                </c:pt>
                <c:pt idx="60">
                  <c:v>0.26732673267326734</c:v>
                </c:pt>
                <c:pt idx="61">
                  <c:v>0.2723735408560311</c:v>
                </c:pt>
                <c:pt idx="62">
                  <c:v>0.26974951830443161</c:v>
                </c:pt>
                <c:pt idx="63">
                  <c:v>0.27221172022684309</c:v>
                </c:pt>
                <c:pt idx="64">
                  <c:v>0.27339449541284405</c:v>
                </c:pt>
                <c:pt idx="65">
                  <c:v>0.27978339350180503</c:v>
                </c:pt>
                <c:pt idx="66">
                  <c:v>0.28063943161634103</c:v>
                </c:pt>
                <c:pt idx="67">
                  <c:v>0.28021015761821366</c:v>
                </c:pt>
                <c:pt idx="68">
                  <c:v>0.2795138888888889</c:v>
                </c:pt>
                <c:pt idx="69">
                  <c:v>0.27796610169491526</c:v>
                </c:pt>
                <c:pt idx="70">
                  <c:v>0.27805695142378561</c:v>
                </c:pt>
                <c:pt idx="71">
                  <c:v>0.28286189683860236</c:v>
                </c:pt>
                <c:pt idx="72">
                  <c:v>0.28431372549019607</c:v>
                </c:pt>
                <c:pt idx="73">
                  <c:v>0.28292682926829266</c:v>
                </c:pt>
                <c:pt idx="74">
                  <c:v>0.2857142857142857</c:v>
                </c:pt>
                <c:pt idx="75">
                  <c:v>0.2861685214626391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9147235176548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れんたろう2!$N$3:$N$78</c:f>
              <c:numCache>
                <c:formatCode>0.0%</c:formatCode>
                <c:ptCount val="76"/>
                <c:pt idx="1">
                  <c:v>0.14285714285714285</c:v>
                </c:pt>
                <c:pt idx="2">
                  <c:v>6.25E-2</c:v>
                </c:pt>
                <c:pt idx="3">
                  <c:v>0.21739130434782608</c:v>
                </c:pt>
                <c:pt idx="4">
                  <c:v>0.25925925925925924</c:v>
                </c:pt>
                <c:pt idx="5">
                  <c:v>0.21621621621621623</c:v>
                </c:pt>
                <c:pt idx="6">
                  <c:v>0.24489795918367346</c:v>
                </c:pt>
                <c:pt idx="7">
                  <c:v>0.24561403508771928</c:v>
                </c:pt>
                <c:pt idx="8">
                  <c:v>0.2318840579710145</c:v>
                </c:pt>
                <c:pt idx="9">
                  <c:v>0.23376623376623376</c:v>
                </c:pt>
                <c:pt idx="10">
                  <c:v>0.21176470588235294</c:v>
                </c:pt>
                <c:pt idx="11">
                  <c:v>0.21052631578947367</c:v>
                </c:pt>
                <c:pt idx="12">
                  <c:v>0.20952380952380953</c:v>
                </c:pt>
                <c:pt idx="13">
                  <c:v>0.2288135593220339</c:v>
                </c:pt>
                <c:pt idx="14">
                  <c:v>0.23387096774193547</c:v>
                </c:pt>
                <c:pt idx="15">
                  <c:v>0.23255813953488372</c:v>
                </c:pt>
                <c:pt idx="16">
                  <c:v>0.22627737226277372</c:v>
                </c:pt>
                <c:pt idx="17">
                  <c:v>0.22068965517241379</c:v>
                </c:pt>
                <c:pt idx="18">
                  <c:v>0.21794871794871795</c:v>
                </c:pt>
                <c:pt idx="19">
                  <c:v>0.21893491124260356</c:v>
                </c:pt>
                <c:pt idx="20">
                  <c:v>0.21229050279329609</c:v>
                </c:pt>
                <c:pt idx="21">
                  <c:v>0.20744680851063829</c:v>
                </c:pt>
                <c:pt idx="22">
                  <c:v>0.19897959183673469</c:v>
                </c:pt>
                <c:pt idx="23">
                  <c:v>0.19704433497536947</c:v>
                </c:pt>
                <c:pt idx="24">
                  <c:v>0.2</c:v>
                </c:pt>
                <c:pt idx="25">
                  <c:v>0.19724770642201836</c:v>
                </c:pt>
                <c:pt idx="26">
                  <c:v>0.1894273127753304</c:v>
                </c:pt>
                <c:pt idx="27">
                  <c:v>0.18333333333333332</c:v>
                </c:pt>
                <c:pt idx="28">
                  <c:v>0.17886178861788618</c:v>
                </c:pt>
                <c:pt idx="29">
                  <c:v>0.17460317460317459</c:v>
                </c:pt>
                <c:pt idx="30">
                  <c:v>0.17490494296577946</c:v>
                </c:pt>
                <c:pt idx="31">
                  <c:v>0.17712177121771217</c:v>
                </c:pt>
                <c:pt idx="32">
                  <c:v>0.18149466192170818</c:v>
                </c:pt>
                <c:pt idx="33">
                  <c:v>0.17708333333333334</c:v>
                </c:pt>
                <c:pt idx="34">
                  <c:v>0.17406143344709898</c:v>
                </c:pt>
                <c:pt idx="35">
                  <c:v>0.1705685618729097</c:v>
                </c:pt>
                <c:pt idx="36">
                  <c:v>0.16938110749185667</c:v>
                </c:pt>
                <c:pt idx="37">
                  <c:v>0.16932907348242812</c:v>
                </c:pt>
                <c:pt idx="38">
                  <c:v>0.16875000000000001</c:v>
                </c:pt>
                <c:pt idx="39">
                  <c:v>0.16819571865443425</c:v>
                </c:pt>
                <c:pt idx="40">
                  <c:v>0.17065868263473055</c:v>
                </c:pt>
                <c:pt idx="41">
                  <c:v>0.16959064327485379</c:v>
                </c:pt>
                <c:pt idx="42">
                  <c:v>0.1643059490084986</c:v>
                </c:pt>
                <c:pt idx="43">
                  <c:v>0.16806722689075632</c:v>
                </c:pt>
                <c:pt idx="44">
                  <c:v>0.16574585635359115</c:v>
                </c:pt>
                <c:pt idx="45">
                  <c:v>0.16172506738544473</c:v>
                </c:pt>
                <c:pt idx="46">
                  <c:v>0.16535433070866143</c:v>
                </c:pt>
                <c:pt idx="47">
                  <c:v>0.17085427135678391</c:v>
                </c:pt>
                <c:pt idx="48">
                  <c:v>0.16831683168316833</c:v>
                </c:pt>
                <c:pt idx="49">
                  <c:v>0.16949152542372881</c:v>
                </c:pt>
                <c:pt idx="50">
                  <c:v>0.17840375586854459</c:v>
                </c:pt>
                <c:pt idx="51">
                  <c:v>0.17592592592592593</c:v>
                </c:pt>
                <c:pt idx="52">
                  <c:v>0.17460317460317459</c:v>
                </c:pt>
                <c:pt idx="53">
                  <c:v>0.17594654788418709</c:v>
                </c:pt>
                <c:pt idx="54">
                  <c:v>0.17362637362637362</c:v>
                </c:pt>
                <c:pt idx="55">
                  <c:v>0.17204301075268819</c:v>
                </c:pt>
                <c:pt idx="56">
                  <c:v>0.17270788912579957</c:v>
                </c:pt>
                <c:pt idx="57">
                  <c:v>0.17088607594936708</c:v>
                </c:pt>
                <c:pt idx="58">
                  <c:v>0.17012448132780084</c:v>
                </c:pt>
                <c:pt idx="59">
                  <c:v>0.17177914110429449</c:v>
                </c:pt>
                <c:pt idx="60">
                  <c:v>0.17821782178217821</c:v>
                </c:pt>
                <c:pt idx="61">
                  <c:v>0.18093385214007782</c:v>
                </c:pt>
                <c:pt idx="62">
                  <c:v>0.1811175337186898</c:v>
                </c:pt>
                <c:pt idx="63">
                  <c:v>0.18147448015122875</c:v>
                </c:pt>
                <c:pt idx="64">
                  <c:v>0.1853211009174312</c:v>
                </c:pt>
                <c:pt idx="65">
                  <c:v>0.18592057761732853</c:v>
                </c:pt>
                <c:pt idx="66">
                  <c:v>0.18650088809946713</c:v>
                </c:pt>
                <c:pt idx="67">
                  <c:v>0.18563922942206654</c:v>
                </c:pt>
                <c:pt idx="68">
                  <c:v>0.1857638888888889</c:v>
                </c:pt>
                <c:pt idx="69">
                  <c:v>0.1864406779661017</c:v>
                </c:pt>
                <c:pt idx="70">
                  <c:v>0.18592964824120603</c:v>
                </c:pt>
                <c:pt idx="71">
                  <c:v>0.18469217970049917</c:v>
                </c:pt>
                <c:pt idx="72">
                  <c:v>0.184640522875817</c:v>
                </c:pt>
                <c:pt idx="73">
                  <c:v>0.18699186991869918</c:v>
                </c:pt>
                <c:pt idx="74">
                  <c:v>0.18619582664526485</c:v>
                </c:pt>
                <c:pt idx="75">
                  <c:v>0.18759936406995231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9638019098378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れんたろう2!$O$3:$O$78</c:f>
              <c:numCache>
                <c:formatCode>0.0%</c:formatCode>
                <c:ptCount val="76"/>
                <c:pt idx="1">
                  <c:v>0</c:v>
                </c:pt>
                <c:pt idx="2">
                  <c:v>0.25</c:v>
                </c:pt>
                <c:pt idx="3">
                  <c:v>0.4</c:v>
                </c:pt>
                <c:pt idx="4">
                  <c:v>0.4</c:v>
                </c:pt>
                <c:pt idx="5">
                  <c:v>0.5714285714285714</c:v>
                </c:pt>
                <c:pt idx="6">
                  <c:v>0.54545454545454541</c:v>
                </c:pt>
                <c:pt idx="7">
                  <c:v>0.5</c:v>
                </c:pt>
                <c:pt idx="8">
                  <c:v>0.47058823529411764</c:v>
                </c:pt>
                <c:pt idx="9">
                  <c:v>0.52631578947368418</c:v>
                </c:pt>
                <c:pt idx="10">
                  <c:v>0.5</c:v>
                </c:pt>
                <c:pt idx="11">
                  <c:v>0.5</c:v>
                </c:pt>
                <c:pt idx="12">
                  <c:v>0.45833333333333331</c:v>
                </c:pt>
                <c:pt idx="13">
                  <c:v>0.46153846153846156</c:v>
                </c:pt>
                <c:pt idx="14">
                  <c:v>0.4642857142857143</c:v>
                </c:pt>
                <c:pt idx="15">
                  <c:v>0.48275862068965519</c:v>
                </c:pt>
                <c:pt idx="16">
                  <c:v>0.4838709677419355</c:v>
                </c:pt>
                <c:pt idx="17">
                  <c:v>0.48484848484848486</c:v>
                </c:pt>
                <c:pt idx="18">
                  <c:v>0.5</c:v>
                </c:pt>
                <c:pt idx="19">
                  <c:v>0.51162790697674421</c:v>
                </c:pt>
                <c:pt idx="20">
                  <c:v>0.5</c:v>
                </c:pt>
                <c:pt idx="21">
                  <c:v>0.52173913043478259</c:v>
                </c:pt>
                <c:pt idx="22">
                  <c:v>0.5</c:v>
                </c:pt>
                <c:pt idx="23">
                  <c:v>0.48</c:v>
                </c:pt>
                <c:pt idx="24">
                  <c:v>0.48</c:v>
                </c:pt>
                <c:pt idx="25">
                  <c:v>0.5</c:v>
                </c:pt>
                <c:pt idx="26">
                  <c:v>0.5</c:v>
                </c:pt>
                <c:pt idx="27">
                  <c:v>0.50847457627118642</c:v>
                </c:pt>
                <c:pt idx="28">
                  <c:v>0.5</c:v>
                </c:pt>
                <c:pt idx="29">
                  <c:v>0.5</c:v>
                </c:pt>
                <c:pt idx="30">
                  <c:v>0.5161290322580645</c:v>
                </c:pt>
                <c:pt idx="31">
                  <c:v>0.53846153846153844</c:v>
                </c:pt>
                <c:pt idx="32">
                  <c:v>0.53731343283582089</c:v>
                </c:pt>
                <c:pt idx="33">
                  <c:v>0.55714285714285716</c:v>
                </c:pt>
                <c:pt idx="34">
                  <c:v>0.57534246575342463</c:v>
                </c:pt>
                <c:pt idx="35">
                  <c:v>0.57333333333333336</c:v>
                </c:pt>
                <c:pt idx="36">
                  <c:v>0.57333333333333336</c:v>
                </c:pt>
                <c:pt idx="37">
                  <c:v>0.56578947368421051</c:v>
                </c:pt>
                <c:pt idx="38">
                  <c:v>0.55696202531645567</c:v>
                </c:pt>
                <c:pt idx="39">
                  <c:v>0.57317073170731703</c:v>
                </c:pt>
                <c:pt idx="40">
                  <c:v>0.5662650602409639</c:v>
                </c:pt>
                <c:pt idx="41">
                  <c:v>0.56470588235294117</c:v>
                </c:pt>
                <c:pt idx="42">
                  <c:v>0.56666666666666665</c:v>
                </c:pt>
                <c:pt idx="43">
                  <c:v>0.5714285714285714</c:v>
                </c:pt>
                <c:pt idx="44">
                  <c:v>0.58510638297872342</c:v>
                </c:pt>
                <c:pt idx="45">
                  <c:v>0.57731958762886593</c:v>
                </c:pt>
                <c:pt idx="46">
                  <c:v>0.58163265306122447</c:v>
                </c:pt>
                <c:pt idx="47">
                  <c:v>0.57281553398058249</c:v>
                </c:pt>
                <c:pt idx="48">
                  <c:v>0.57547169811320753</c:v>
                </c:pt>
                <c:pt idx="49">
                  <c:v>0.57943925233644855</c:v>
                </c:pt>
                <c:pt idx="50">
                  <c:v>0.57407407407407407</c:v>
                </c:pt>
                <c:pt idx="51">
                  <c:v>0.5803571428571429</c:v>
                </c:pt>
                <c:pt idx="52">
                  <c:v>0.57758620689655171</c:v>
                </c:pt>
                <c:pt idx="53">
                  <c:v>0.57627118644067798</c:v>
                </c:pt>
                <c:pt idx="54">
                  <c:v>0.58064516129032262</c:v>
                </c:pt>
                <c:pt idx="55">
                  <c:v>0.5859375</c:v>
                </c:pt>
                <c:pt idx="56">
                  <c:v>0.58139534883720934</c:v>
                </c:pt>
                <c:pt idx="57">
                  <c:v>0.58778625954198471</c:v>
                </c:pt>
                <c:pt idx="58">
                  <c:v>0.58333333333333337</c:v>
                </c:pt>
                <c:pt idx="59">
                  <c:v>0.5864661654135338</c:v>
                </c:pt>
                <c:pt idx="60">
                  <c:v>0.58518518518518514</c:v>
                </c:pt>
                <c:pt idx="61">
                  <c:v>0.59285714285714286</c:v>
                </c:pt>
                <c:pt idx="62">
                  <c:v>0.59285714285714286</c:v>
                </c:pt>
                <c:pt idx="63">
                  <c:v>0.59027777777777779</c:v>
                </c:pt>
                <c:pt idx="64">
                  <c:v>0.58389261744966447</c:v>
                </c:pt>
                <c:pt idx="65">
                  <c:v>0.58064516129032262</c:v>
                </c:pt>
                <c:pt idx="66">
                  <c:v>0.58227848101265822</c:v>
                </c:pt>
                <c:pt idx="67">
                  <c:v>0.58750000000000002</c:v>
                </c:pt>
                <c:pt idx="68">
                  <c:v>0.59006211180124224</c:v>
                </c:pt>
                <c:pt idx="69">
                  <c:v>0.58536585365853655</c:v>
                </c:pt>
                <c:pt idx="70">
                  <c:v>0.59036144578313254</c:v>
                </c:pt>
                <c:pt idx="71">
                  <c:v>0.57647058823529407</c:v>
                </c:pt>
                <c:pt idx="72">
                  <c:v>0.58045977011494254</c:v>
                </c:pt>
                <c:pt idx="73">
                  <c:v>0.58045977011494254</c:v>
                </c:pt>
                <c:pt idx="74">
                  <c:v>0.5842696629213483</c:v>
                </c:pt>
                <c:pt idx="75">
                  <c:v>0.58888888888888891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4725536992840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れんたろう2!$P$3:$P$78</c:f>
              <c:numCache>
                <c:formatCode>0.0%</c:formatCode>
                <c:ptCount val="76"/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0.2857142857142857</c:v>
                </c:pt>
                <c:pt idx="5">
                  <c:v>0.375</c:v>
                </c:pt>
                <c:pt idx="6">
                  <c:v>0.41666666666666669</c:v>
                </c:pt>
                <c:pt idx="7">
                  <c:v>0.35714285714285715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0.31818181818181818</c:v>
                </c:pt>
                <c:pt idx="13">
                  <c:v>0.29629629629629628</c:v>
                </c:pt>
                <c:pt idx="14">
                  <c:v>0.34482758620689657</c:v>
                </c:pt>
                <c:pt idx="15">
                  <c:v>0.33333333333333331</c:v>
                </c:pt>
                <c:pt idx="16">
                  <c:v>0.32258064516129031</c:v>
                </c:pt>
                <c:pt idx="17">
                  <c:v>0.3125</c:v>
                </c:pt>
                <c:pt idx="18">
                  <c:v>0.3235294117647059</c:v>
                </c:pt>
                <c:pt idx="19">
                  <c:v>0.35135135135135137</c:v>
                </c:pt>
                <c:pt idx="20">
                  <c:v>0.36842105263157893</c:v>
                </c:pt>
                <c:pt idx="21">
                  <c:v>0.35897435897435898</c:v>
                </c:pt>
                <c:pt idx="22">
                  <c:v>0.35897435897435898</c:v>
                </c:pt>
                <c:pt idx="23">
                  <c:v>0.35</c:v>
                </c:pt>
                <c:pt idx="24">
                  <c:v>0.35714285714285715</c:v>
                </c:pt>
                <c:pt idx="25">
                  <c:v>0.34883720930232559</c:v>
                </c:pt>
                <c:pt idx="26">
                  <c:v>0.34883720930232559</c:v>
                </c:pt>
                <c:pt idx="27">
                  <c:v>0.34090909090909088</c:v>
                </c:pt>
                <c:pt idx="28">
                  <c:v>0.34090909090909088</c:v>
                </c:pt>
                <c:pt idx="29">
                  <c:v>0.34090909090909088</c:v>
                </c:pt>
                <c:pt idx="30">
                  <c:v>0.34782608695652173</c:v>
                </c:pt>
                <c:pt idx="31">
                  <c:v>0.33333333333333331</c:v>
                </c:pt>
                <c:pt idx="32">
                  <c:v>0.31372549019607843</c:v>
                </c:pt>
                <c:pt idx="33">
                  <c:v>0.31372549019607843</c:v>
                </c:pt>
                <c:pt idx="34">
                  <c:v>0.31372549019607843</c:v>
                </c:pt>
                <c:pt idx="35">
                  <c:v>0.31372549019607843</c:v>
                </c:pt>
                <c:pt idx="36">
                  <c:v>0.30769230769230771</c:v>
                </c:pt>
                <c:pt idx="37">
                  <c:v>0.32075471698113206</c:v>
                </c:pt>
                <c:pt idx="38">
                  <c:v>0.31481481481481483</c:v>
                </c:pt>
                <c:pt idx="39">
                  <c:v>0.30909090909090908</c:v>
                </c:pt>
                <c:pt idx="40">
                  <c:v>0.33333333333333331</c:v>
                </c:pt>
                <c:pt idx="41">
                  <c:v>0.32758620689655171</c:v>
                </c:pt>
                <c:pt idx="42">
                  <c:v>0.32758620689655171</c:v>
                </c:pt>
                <c:pt idx="43">
                  <c:v>0.33333333333333331</c:v>
                </c:pt>
                <c:pt idx="44">
                  <c:v>0.33333333333333331</c:v>
                </c:pt>
                <c:pt idx="45">
                  <c:v>0.33333333333333331</c:v>
                </c:pt>
                <c:pt idx="46">
                  <c:v>0.33333333333333331</c:v>
                </c:pt>
                <c:pt idx="47">
                  <c:v>0.35294117647058826</c:v>
                </c:pt>
                <c:pt idx="48">
                  <c:v>0.35294117647058826</c:v>
                </c:pt>
                <c:pt idx="49">
                  <c:v>0.35714285714285715</c:v>
                </c:pt>
                <c:pt idx="50">
                  <c:v>0.34210526315789475</c:v>
                </c:pt>
                <c:pt idx="51">
                  <c:v>0.34210526315789475</c:v>
                </c:pt>
                <c:pt idx="52">
                  <c:v>0.35064935064935066</c:v>
                </c:pt>
                <c:pt idx="53">
                  <c:v>0.34177215189873417</c:v>
                </c:pt>
                <c:pt idx="54">
                  <c:v>0.34177215189873417</c:v>
                </c:pt>
                <c:pt idx="55">
                  <c:v>0.33750000000000002</c:v>
                </c:pt>
                <c:pt idx="56">
                  <c:v>0.33333333333333331</c:v>
                </c:pt>
                <c:pt idx="57">
                  <c:v>0.33333333333333331</c:v>
                </c:pt>
                <c:pt idx="58">
                  <c:v>0.34146341463414637</c:v>
                </c:pt>
                <c:pt idx="59">
                  <c:v>0.34523809523809523</c:v>
                </c:pt>
                <c:pt idx="60">
                  <c:v>0.36666666666666664</c:v>
                </c:pt>
                <c:pt idx="61">
                  <c:v>0.35483870967741937</c:v>
                </c:pt>
                <c:pt idx="62">
                  <c:v>0.36170212765957449</c:v>
                </c:pt>
                <c:pt idx="63">
                  <c:v>0.375</c:v>
                </c:pt>
                <c:pt idx="64">
                  <c:v>0.38613861386138615</c:v>
                </c:pt>
                <c:pt idx="65">
                  <c:v>0.38834951456310679</c:v>
                </c:pt>
                <c:pt idx="66">
                  <c:v>0.39047619047619048</c:v>
                </c:pt>
                <c:pt idx="67">
                  <c:v>0.39622641509433965</c:v>
                </c:pt>
                <c:pt idx="68">
                  <c:v>0.3925233644859813</c:v>
                </c:pt>
                <c:pt idx="69">
                  <c:v>0.4</c:v>
                </c:pt>
                <c:pt idx="70">
                  <c:v>0.40540540540540543</c:v>
                </c:pt>
                <c:pt idx="71">
                  <c:v>0.40540540540540543</c:v>
                </c:pt>
                <c:pt idx="72">
                  <c:v>0.40707964601769914</c:v>
                </c:pt>
                <c:pt idx="73">
                  <c:v>0.4</c:v>
                </c:pt>
                <c:pt idx="74">
                  <c:v>0.40517241379310343</c:v>
                </c:pt>
                <c:pt idx="75">
                  <c:v>0.39830508474576271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9830508474576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れんたろう2!$Q$1:$Q$2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れんたろう2!$Q$3:$Q$78</c:f>
              <c:numCache>
                <c:formatCode>0.0%</c:formatCode>
                <c:ptCount val="76"/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0.16666666666666666</c:v>
                </c:pt>
                <c:pt idx="5">
                  <c:v>0.22222222222222221</c:v>
                </c:pt>
                <c:pt idx="6">
                  <c:v>0.23076923076923078</c:v>
                </c:pt>
                <c:pt idx="7">
                  <c:v>0.2857142857142857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0.36363636363636365</c:v>
                </c:pt>
                <c:pt idx="11">
                  <c:v>0.375</c:v>
                </c:pt>
                <c:pt idx="12">
                  <c:v>0.375</c:v>
                </c:pt>
                <c:pt idx="13">
                  <c:v>0.34615384615384615</c:v>
                </c:pt>
                <c:pt idx="14">
                  <c:v>0.31034482758620691</c:v>
                </c:pt>
                <c:pt idx="15">
                  <c:v>0.3</c:v>
                </c:pt>
                <c:pt idx="16">
                  <c:v>0.32258064516129031</c:v>
                </c:pt>
                <c:pt idx="17">
                  <c:v>0.34375</c:v>
                </c:pt>
                <c:pt idx="18">
                  <c:v>0.29729729729729731</c:v>
                </c:pt>
                <c:pt idx="19">
                  <c:v>0.31818181818181818</c:v>
                </c:pt>
                <c:pt idx="20">
                  <c:v>0.32608695652173914</c:v>
                </c:pt>
                <c:pt idx="21">
                  <c:v>0.32653061224489793</c:v>
                </c:pt>
                <c:pt idx="22">
                  <c:v>0.32653061224489793</c:v>
                </c:pt>
                <c:pt idx="23">
                  <c:v>0.32653061224489793</c:v>
                </c:pt>
                <c:pt idx="24">
                  <c:v>0.33333333333333331</c:v>
                </c:pt>
                <c:pt idx="25">
                  <c:v>0.32075471698113206</c:v>
                </c:pt>
                <c:pt idx="26">
                  <c:v>0.30909090909090908</c:v>
                </c:pt>
                <c:pt idx="27">
                  <c:v>0.31034482758620691</c:v>
                </c:pt>
                <c:pt idx="28">
                  <c:v>0.31034482758620691</c:v>
                </c:pt>
                <c:pt idx="29">
                  <c:v>0.32203389830508472</c:v>
                </c:pt>
                <c:pt idx="30">
                  <c:v>0.32258064516129031</c:v>
                </c:pt>
                <c:pt idx="31">
                  <c:v>0.33846153846153848</c:v>
                </c:pt>
                <c:pt idx="32">
                  <c:v>0.34328358208955223</c:v>
                </c:pt>
                <c:pt idx="33">
                  <c:v>0.35714285714285715</c:v>
                </c:pt>
                <c:pt idx="34">
                  <c:v>0.35616438356164382</c:v>
                </c:pt>
                <c:pt idx="35">
                  <c:v>0.35135135135135137</c:v>
                </c:pt>
                <c:pt idx="36">
                  <c:v>0.35135135135135137</c:v>
                </c:pt>
                <c:pt idx="37">
                  <c:v>0.34210526315789475</c:v>
                </c:pt>
                <c:pt idx="38">
                  <c:v>0.34615384615384615</c:v>
                </c:pt>
                <c:pt idx="39">
                  <c:v>0.34567901234567899</c:v>
                </c:pt>
                <c:pt idx="40">
                  <c:v>0.33734939759036142</c:v>
                </c:pt>
                <c:pt idx="41">
                  <c:v>0.34523809523809523</c:v>
                </c:pt>
                <c:pt idx="42">
                  <c:v>0.35632183908045978</c:v>
                </c:pt>
                <c:pt idx="43">
                  <c:v>0.3595505617977528</c:v>
                </c:pt>
                <c:pt idx="44">
                  <c:v>0.34782608695652173</c:v>
                </c:pt>
                <c:pt idx="45">
                  <c:v>0.35483870967741937</c:v>
                </c:pt>
                <c:pt idx="46">
                  <c:v>0.35789473684210527</c:v>
                </c:pt>
                <c:pt idx="47">
                  <c:v>0.37</c:v>
                </c:pt>
                <c:pt idx="48">
                  <c:v>0.37254901960784315</c:v>
                </c:pt>
                <c:pt idx="49">
                  <c:v>0.39047619047619048</c:v>
                </c:pt>
                <c:pt idx="50">
                  <c:v>0.3867924528301887</c:v>
                </c:pt>
                <c:pt idx="51">
                  <c:v>0.39449541284403672</c:v>
                </c:pt>
                <c:pt idx="52">
                  <c:v>0.39823008849557523</c:v>
                </c:pt>
                <c:pt idx="53">
                  <c:v>0.40350877192982454</c:v>
                </c:pt>
                <c:pt idx="54">
                  <c:v>0.4152542372881356</c:v>
                </c:pt>
                <c:pt idx="55">
                  <c:v>0.40163934426229508</c:v>
                </c:pt>
                <c:pt idx="56">
                  <c:v>0.40163934426229508</c:v>
                </c:pt>
                <c:pt idx="57">
                  <c:v>0.41129032258064518</c:v>
                </c:pt>
                <c:pt idx="58">
                  <c:v>0.40799999999999997</c:v>
                </c:pt>
                <c:pt idx="59">
                  <c:v>0.40157480314960631</c:v>
                </c:pt>
                <c:pt idx="60">
                  <c:v>0.41791044776119401</c:v>
                </c:pt>
                <c:pt idx="61">
                  <c:v>0.40579710144927539</c:v>
                </c:pt>
                <c:pt idx="62">
                  <c:v>0.40287769784172661</c:v>
                </c:pt>
                <c:pt idx="63">
                  <c:v>0.40972222222222221</c:v>
                </c:pt>
                <c:pt idx="64">
                  <c:v>0.41610738255033558</c:v>
                </c:pt>
                <c:pt idx="65">
                  <c:v>0.42483660130718953</c:v>
                </c:pt>
                <c:pt idx="66">
                  <c:v>0.42675159235668791</c:v>
                </c:pt>
                <c:pt idx="67">
                  <c:v>0.43125000000000002</c:v>
                </c:pt>
                <c:pt idx="68">
                  <c:v>0.43478260869565216</c:v>
                </c:pt>
                <c:pt idx="69">
                  <c:v>0.43292682926829268</c:v>
                </c:pt>
                <c:pt idx="70">
                  <c:v>0.43712574850299402</c:v>
                </c:pt>
                <c:pt idx="71">
                  <c:v>0.43712574850299402</c:v>
                </c:pt>
                <c:pt idx="72">
                  <c:v>0.43274853801169588</c:v>
                </c:pt>
                <c:pt idx="73">
                  <c:v>0.43274853801169588</c:v>
                </c:pt>
                <c:pt idx="74">
                  <c:v>0.42613636363636365</c:v>
                </c:pt>
                <c:pt idx="75">
                  <c:v>0.42696629213483145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9024390243902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49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43607.939467592594</v>
      </c>
      <c r="C44" s="30" t="s">
        <v>130</v>
      </c>
    </row>
    <row r="45" spans="1:11" x14ac:dyDescent="0.4">
      <c r="A45" s="30" t="s">
        <v>232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43608.535393518519</v>
      </c>
      <c r="C47" s="30" t="s">
        <v>130</v>
      </c>
    </row>
    <row r="48" spans="1:11" x14ac:dyDescent="0.4">
      <c r="A48" s="30" t="s">
        <v>236</v>
      </c>
      <c r="B48" s="31">
        <v>43609.016342592593</v>
      </c>
      <c r="C48" s="30" t="s">
        <v>130</v>
      </c>
      <c r="D48" s="30" t="s">
        <v>131</v>
      </c>
      <c r="E48" s="30" t="s">
        <v>169</v>
      </c>
      <c r="F48" s="30" t="s">
        <v>174</v>
      </c>
    </row>
    <row r="49" spans="1:3" x14ac:dyDescent="0.4">
      <c r="A49" s="30" t="s">
        <v>237</v>
      </c>
      <c r="B49" s="31">
        <v>43609.017604166664</v>
      </c>
      <c r="C49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540</v>
      </c>
    </row>
    <row r="2" spans="1:2" x14ac:dyDescent="0.4">
      <c r="A2" t="s">
        <v>127</v>
      </c>
      <c r="B2">
        <v>120</v>
      </c>
    </row>
    <row r="3" spans="1:2" x14ac:dyDescent="0.4">
      <c r="A3" t="s">
        <v>128</v>
      </c>
      <c r="B3">
        <v>115</v>
      </c>
    </row>
    <row r="4" spans="1:2" x14ac:dyDescent="0.4">
      <c r="A4" t="s">
        <v>129</v>
      </c>
      <c r="B4">
        <v>64</v>
      </c>
    </row>
    <row r="5" spans="1:2" x14ac:dyDescent="0.4">
      <c r="A5" t="s">
        <v>171</v>
      </c>
      <c r="B5">
        <v>75</v>
      </c>
    </row>
    <row r="6" spans="1:2" x14ac:dyDescent="0.4">
      <c r="A6" t="s">
        <v>172</v>
      </c>
      <c r="B6">
        <v>59</v>
      </c>
    </row>
    <row r="7" spans="1:2" x14ac:dyDescent="0.4">
      <c r="A7" t="s">
        <v>173</v>
      </c>
      <c r="B7">
        <v>41</v>
      </c>
    </row>
    <row r="8" spans="1:2" x14ac:dyDescent="0.4">
      <c r="A8" t="s">
        <v>177</v>
      </c>
      <c r="B8">
        <v>42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12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0.38120819014498819</v>
      </c>
      <c r="G2" s="155"/>
      <c r="H2" s="154">
        <v>3.8408035841949136E-2</v>
      </c>
      <c r="I2" s="155"/>
      <c r="J2" s="154">
        <v>0.58500166142322219</v>
      </c>
      <c r="K2" s="155"/>
      <c r="L2" s="154">
        <v>0.1930248303111165</v>
      </c>
      <c r="M2" s="155"/>
      <c r="N2" s="154">
        <v>0.44501215162299346</v>
      </c>
      <c r="O2" s="155"/>
      <c r="P2" s="154">
        <v>0.46220452106127119</v>
      </c>
      <c r="Q2" s="155"/>
      <c r="R2" s="154">
        <v>-9.6803076048694606E-2</v>
      </c>
      <c r="S2" s="155"/>
      <c r="T2" s="154">
        <v>0.23465666477914876</v>
      </c>
      <c r="U2" s="155"/>
      <c r="V2" s="154">
        <v>0.65985034047802593</v>
      </c>
      <c r="W2" s="155"/>
      <c r="X2" s="154">
        <v>0.8460054033497687</v>
      </c>
      <c r="Y2" s="155"/>
      <c r="Z2" s="154">
        <v>-0.11255441200447808</v>
      </c>
      <c r="AA2" s="155"/>
      <c r="AB2" s="154">
        <v>-0.37920415006594921</v>
      </c>
      <c r="AC2" s="155"/>
      <c r="AD2" s="154">
        <v>-7.6471745910942608E-3</v>
      </c>
      <c r="AE2" s="155"/>
      <c r="AF2" s="154">
        <v>-0.4787637517433101</v>
      </c>
      <c r="AG2" s="155"/>
      <c r="AH2" s="154">
        <v>0.71118122098051539</v>
      </c>
      <c r="AI2" s="155"/>
    </row>
    <row r="3" spans="1:35" x14ac:dyDescent="0.4">
      <c r="A3" s="74">
        <v>1</v>
      </c>
      <c r="B3" s="75" t="s">
        <v>127</v>
      </c>
      <c r="C3" s="76">
        <v>1527.0000000000011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0.17499999999999999</v>
      </c>
      <c r="X3" s="77" t="s">
        <v>225</v>
      </c>
      <c r="Y3" s="80">
        <v>0.375</v>
      </c>
      <c r="Z3" s="77" t="s">
        <v>172</v>
      </c>
      <c r="AA3" s="80">
        <v>0.28875968992248063</v>
      </c>
      <c r="AB3" s="77" t="s">
        <v>225</v>
      </c>
      <c r="AC3" s="80">
        <v>1</v>
      </c>
      <c r="AD3" s="77" t="s">
        <v>127</v>
      </c>
      <c r="AE3" s="80">
        <v>0.51162790697674421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145.29999999999998</v>
      </c>
      <c r="D4" s="85" t="s">
        <v>224</v>
      </c>
      <c r="E4" s="97">
        <v>13.3</v>
      </c>
      <c r="F4" s="85" t="s">
        <v>127</v>
      </c>
      <c r="G4" s="86">
        <v>1.7333333333333334</v>
      </c>
      <c r="H4" s="85" t="s">
        <v>127</v>
      </c>
      <c r="I4" s="87">
        <v>0.49166666666666664</v>
      </c>
      <c r="J4" s="85" t="s">
        <v>224</v>
      </c>
      <c r="K4" s="87">
        <v>0</v>
      </c>
      <c r="L4" s="85" t="s">
        <v>172</v>
      </c>
      <c r="M4" s="88">
        <v>0.36434108527131781</v>
      </c>
      <c r="N4" s="85" t="s">
        <v>185</v>
      </c>
      <c r="O4" s="88">
        <v>0.10526315789473684</v>
      </c>
      <c r="P4" s="85" t="s">
        <v>171</v>
      </c>
      <c r="Q4" s="89">
        <v>9939.8876404494385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0.13333333333333333</v>
      </c>
      <c r="X4" s="85" t="s">
        <v>127</v>
      </c>
      <c r="Y4" s="88">
        <v>0.32818930041152261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177</v>
      </c>
      <c r="C5" s="84">
        <v>97.600000000000009</v>
      </c>
      <c r="D5" s="85" t="s">
        <v>127</v>
      </c>
      <c r="E5" s="97">
        <v>12.72500000000001</v>
      </c>
      <c r="F5" s="85" t="s">
        <v>177</v>
      </c>
      <c r="G5" s="86">
        <v>1.9285714285714286</v>
      </c>
      <c r="H5" s="85" t="s">
        <v>186</v>
      </c>
      <c r="I5" s="87">
        <v>0.41666666666666669</v>
      </c>
      <c r="J5" s="85" t="s">
        <v>202</v>
      </c>
      <c r="K5" s="87">
        <v>0.14285714285714285</v>
      </c>
      <c r="L5" s="85" t="s">
        <v>127</v>
      </c>
      <c r="M5" s="88">
        <v>0.3508230452674897</v>
      </c>
      <c r="N5" s="85" t="s">
        <v>172</v>
      </c>
      <c r="O5" s="88">
        <v>0.12790697674418605</v>
      </c>
      <c r="P5" s="85" t="s">
        <v>128</v>
      </c>
      <c r="Q5" s="89">
        <v>9304.2635658914733</v>
      </c>
      <c r="R5" s="85" t="s">
        <v>177</v>
      </c>
      <c r="S5" s="89">
        <v>-7670.3703703703704</v>
      </c>
      <c r="T5" s="85" t="s">
        <v>224</v>
      </c>
      <c r="U5" s="87">
        <v>0</v>
      </c>
      <c r="V5" s="85" t="s">
        <v>177</v>
      </c>
      <c r="W5" s="87">
        <v>0.11904761904761904</v>
      </c>
      <c r="X5" s="85" t="s">
        <v>128</v>
      </c>
      <c r="Y5" s="88">
        <v>0.29778247096092925</v>
      </c>
      <c r="Z5" s="85" t="s">
        <v>173</v>
      </c>
      <c r="AA5" s="88">
        <v>0.25352112676056338</v>
      </c>
      <c r="AB5" s="85" t="s">
        <v>177</v>
      </c>
      <c r="AC5" s="88">
        <v>0.69411764705882351</v>
      </c>
      <c r="AD5" s="85" t="s">
        <v>186</v>
      </c>
      <c r="AE5" s="88">
        <v>0.45</v>
      </c>
      <c r="AF5" s="85" t="s">
        <v>173</v>
      </c>
      <c r="AG5" s="88">
        <v>0.51923076923076927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185</v>
      </c>
      <c r="C6" s="84">
        <v>61</v>
      </c>
      <c r="D6" s="85" t="s">
        <v>177</v>
      </c>
      <c r="E6" s="97">
        <v>2.323809523809524</v>
      </c>
      <c r="F6" s="85" t="s">
        <v>145</v>
      </c>
      <c r="G6" s="86">
        <v>2</v>
      </c>
      <c r="H6" s="85" t="s">
        <v>177</v>
      </c>
      <c r="I6" s="87">
        <v>0.40476190476190477</v>
      </c>
      <c r="J6" s="85" t="s">
        <v>127</v>
      </c>
      <c r="K6" s="87">
        <v>0.22500000000000001</v>
      </c>
      <c r="L6" s="85" t="s">
        <v>177</v>
      </c>
      <c r="M6" s="88">
        <v>0.30791788856304986</v>
      </c>
      <c r="N6" s="85" t="s">
        <v>127</v>
      </c>
      <c r="O6" s="88">
        <v>0.15020576131687244</v>
      </c>
      <c r="P6" s="85" t="s">
        <v>129</v>
      </c>
      <c r="Q6" s="89">
        <v>9125.8333333333339</v>
      </c>
      <c r="R6" s="85" t="s">
        <v>173</v>
      </c>
      <c r="S6" s="89">
        <v>-7689.7058823529414</v>
      </c>
      <c r="T6" s="85" t="s">
        <v>225</v>
      </c>
      <c r="U6" s="87">
        <v>0</v>
      </c>
      <c r="V6" s="85" t="s">
        <v>145</v>
      </c>
      <c r="W6" s="87">
        <v>0.11481481481481481</v>
      </c>
      <c r="X6" s="85" t="s">
        <v>171</v>
      </c>
      <c r="Y6" s="88">
        <v>0.2861685214626391</v>
      </c>
      <c r="Z6" s="85" t="s">
        <v>127</v>
      </c>
      <c r="AA6" s="88">
        <v>0.22119341563786007</v>
      </c>
      <c r="AB6" s="85" t="s">
        <v>186</v>
      </c>
      <c r="AC6" s="88">
        <v>0.625</v>
      </c>
      <c r="AD6" s="85" t="s">
        <v>172</v>
      </c>
      <c r="AE6" s="88">
        <v>0.44295302013422821</v>
      </c>
      <c r="AF6" s="85" t="s">
        <v>129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172</v>
      </c>
      <c r="C7" s="84">
        <v>21.999999999999986</v>
      </c>
      <c r="D7" s="85" t="s">
        <v>171</v>
      </c>
      <c r="E7" s="97">
        <v>1.9373333333333331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0.30508474576271188</v>
      </c>
      <c r="L7" s="85" t="s">
        <v>202</v>
      </c>
      <c r="M7" s="88">
        <v>0.30434782608695654</v>
      </c>
      <c r="N7" s="85" t="s">
        <v>177</v>
      </c>
      <c r="O7" s="88">
        <v>0.15835777126099707</v>
      </c>
      <c r="P7" s="85" t="s">
        <v>127</v>
      </c>
      <c r="Q7" s="89">
        <v>9120.5278592375362</v>
      </c>
      <c r="R7" s="85" t="s">
        <v>186</v>
      </c>
      <c r="S7" s="89">
        <v>-7700</v>
      </c>
      <c r="T7" s="85" t="s">
        <v>172</v>
      </c>
      <c r="U7" s="87">
        <v>5.0847457627118647E-2</v>
      </c>
      <c r="V7" s="85" t="s">
        <v>129</v>
      </c>
      <c r="W7" s="87">
        <v>0.109375</v>
      </c>
      <c r="X7" s="85" t="s">
        <v>145</v>
      </c>
      <c r="Y7" s="88">
        <v>0.27914723517654899</v>
      </c>
      <c r="Z7" s="85" t="s">
        <v>185</v>
      </c>
      <c r="AA7" s="88">
        <v>0.21052631578947367</v>
      </c>
      <c r="AB7" s="85" t="s">
        <v>185</v>
      </c>
      <c r="AC7" s="88">
        <v>0.6</v>
      </c>
      <c r="AD7" s="85" t="s">
        <v>202</v>
      </c>
      <c r="AE7" s="88">
        <v>0.42105263157894735</v>
      </c>
      <c r="AF7" s="85" t="s">
        <v>186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224</v>
      </c>
      <c r="C8" s="84">
        <v>13.3</v>
      </c>
      <c r="D8" s="85" t="s">
        <v>172</v>
      </c>
      <c r="E8" s="97">
        <v>0.37288135593220317</v>
      </c>
      <c r="F8" s="85" t="s">
        <v>224</v>
      </c>
      <c r="G8" s="86">
        <v>2</v>
      </c>
      <c r="H8" s="85" t="s">
        <v>171</v>
      </c>
      <c r="I8" s="87">
        <v>0.30666666666666664</v>
      </c>
      <c r="J8" s="85" t="s">
        <v>177</v>
      </c>
      <c r="K8" s="87">
        <v>0.33333333333333331</v>
      </c>
      <c r="L8" s="85" t="s">
        <v>145</v>
      </c>
      <c r="M8" s="88">
        <v>0.30046635576282477</v>
      </c>
      <c r="N8" s="85" t="s">
        <v>145</v>
      </c>
      <c r="O8" s="88">
        <v>0.16677770375305351</v>
      </c>
      <c r="P8" s="85" t="s">
        <v>177</v>
      </c>
      <c r="Q8" s="89">
        <v>8869.5238095238092</v>
      </c>
      <c r="R8" s="85" t="s">
        <v>128</v>
      </c>
      <c r="S8" s="89">
        <v>-7741.1042944785277</v>
      </c>
      <c r="T8" s="85" t="s">
        <v>171</v>
      </c>
      <c r="U8" s="87">
        <v>6.6666666666666666E-2</v>
      </c>
      <c r="V8" s="85" t="s">
        <v>172</v>
      </c>
      <c r="W8" s="87">
        <v>0.10169491525423729</v>
      </c>
      <c r="X8" s="85" t="s">
        <v>129</v>
      </c>
      <c r="Y8" s="88">
        <v>0.26981132075471698</v>
      </c>
      <c r="Z8" s="85" t="s">
        <v>145</v>
      </c>
      <c r="AA8" s="88">
        <v>0.20963801909837887</v>
      </c>
      <c r="AB8" s="85" t="s">
        <v>173</v>
      </c>
      <c r="AC8" s="88">
        <v>0.59756097560975607</v>
      </c>
      <c r="AD8" s="85" t="s">
        <v>171</v>
      </c>
      <c r="AE8" s="88">
        <v>0.39830508474576271</v>
      </c>
      <c r="AF8" s="85" t="s">
        <v>224</v>
      </c>
      <c r="AG8" s="88">
        <v>0.5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1.0658141036401503E-14</v>
      </c>
      <c r="D9" s="85" t="s">
        <v>145</v>
      </c>
      <c r="E9" s="97">
        <v>1.9737298215558339E-17</v>
      </c>
      <c r="F9" s="85" t="s">
        <v>172</v>
      </c>
      <c r="G9" s="86">
        <v>2.0338983050847457</v>
      </c>
      <c r="H9" s="85" t="s">
        <v>172</v>
      </c>
      <c r="I9" s="87">
        <v>0.2711864406779661</v>
      </c>
      <c r="J9" s="85" t="s">
        <v>145</v>
      </c>
      <c r="K9" s="87">
        <v>0.33333333333333331</v>
      </c>
      <c r="L9" s="85" t="s">
        <v>173</v>
      </c>
      <c r="M9" s="88">
        <v>0.29295774647887324</v>
      </c>
      <c r="N9" s="85" t="s">
        <v>171</v>
      </c>
      <c r="O9" s="88">
        <v>0.17170111287758347</v>
      </c>
      <c r="P9" s="85" t="s">
        <v>145</v>
      </c>
      <c r="Q9" s="89">
        <v>8683.1485587583156</v>
      </c>
      <c r="R9" s="85" t="s">
        <v>171</v>
      </c>
      <c r="S9" s="89">
        <v>-7845.3703703703704</v>
      </c>
      <c r="T9" s="85" t="s">
        <v>127</v>
      </c>
      <c r="U9" s="87">
        <v>0.10833333333333334</v>
      </c>
      <c r="V9" s="85" t="s">
        <v>128</v>
      </c>
      <c r="W9" s="87">
        <v>9.5652173913043481E-2</v>
      </c>
      <c r="X9" s="85" t="s">
        <v>185</v>
      </c>
      <c r="Y9" s="88">
        <v>0.26315789473684209</v>
      </c>
      <c r="Z9" s="85" t="s">
        <v>177</v>
      </c>
      <c r="AA9" s="88">
        <v>0.20527859237536658</v>
      </c>
      <c r="AB9" s="85" t="s">
        <v>171</v>
      </c>
      <c r="AC9" s="88">
        <v>0.58888888888888891</v>
      </c>
      <c r="AD9" s="85" t="s">
        <v>145</v>
      </c>
      <c r="AE9" s="88">
        <v>0.38983050847457629</v>
      </c>
      <c r="AF9" s="85" t="s">
        <v>145</v>
      </c>
      <c r="AG9" s="88">
        <v>0.43902439024390244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202</v>
      </c>
      <c r="C10" s="84">
        <v>-25.300000000000004</v>
      </c>
      <c r="D10" s="85" t="s">
        <v>128</v>
      </c>
      <c r="E10" s="97">
        <v>-2.8486956521739137</v>
      </c>
      <c r="F10" s="85" t="s">
        <v>171</v>
      </c>
      <c r="G10" s="86">
        <v>2.04</v>
      </c>
      <c r="H10" s="85" t="s">
        <v>128</v>
      </c>
      <c r="I10" s="87">
        <v>0.26956521739130435</v>
      </c>
      <c r="J10" s="85" t="s">
        <v>171</v>
      </c>
      <c r="K10" s="87">
        <v>0.34666666666666668</v>
      </c>
      <c r="L10" s="85" t="s">
        <v>171</v>
      </c>
      <c r="M10" s="88">
        <v>0.28298887122416533</v>
      </c>
      <c r="N10" s="85" t="s">
        <v>128</v>
      </c>
      <c r="O10" s="88">
        <v>0.17212249208025343</v>
      </c>
      <c r="P10" s="85" t="s">
        <v>225</v>
      </c>
      <c r="Q10" s="89">
        <v>8666.6666666666661</v>
      </c>
      <c r="R10" s="85" t="s">
        <v>145</v>
      </c>
      <c r="S10" s="89">
        <v>-8257.3901464713708</v>
      </c>
      <c r="T10" s="85" t="s">
        <v>145</v>
      </c>
      <c r="U10" s="87">
        <v>0.11481481481481481</v>
      </c>
      <c r="V10" s="85" t="s">
        <v>173</v>
      </c>
      <c r="W10" s="87">
        <v>4.878048780487805E-2</v>
      </c>
      <c r="X10" s="85" t="s">
        <v>177</v>
      </c>
      <c r="Y10" s="88">
        <v>0.24926686217008798</v>
      </c>
      <c r="Z10" s="85" t="s">
        <v>186</v>
      </c>
      <c r="AA10" s="88">
        <v>0.19230769230769232</v>
      </c>
      <c r="AB10" s="85" t="s">
        <v>128</v>
      </c>
      <c r="AC10" s="88">
        <v>0.58510638297872342</v>
      </c>
      <c r="AD10" s="85" t="s">
        <v>177</v>
      </c>
      <c r="AE10" s="88">
        <v>0.37142857142857144</v>
      </c>
      <c r="AF10" s="85" t="s">
        <v>171</v>
      </c>
      <c r="AG10" s="88">
        <v>0.42696629213483145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225</v>
      </c>
      <c r="C11" s="84">
        <v>-37</v>
      </c>
      <c r="D11" s="85" t="s">
        <v>202</v>
      </c>
      <c r="E11" s="97">
        <v>-3.6142857142857148</v>
      </c>
      <c r="F11" s="85" t="s">
        <v>128</v>
      </c>
      <c r="G11" s="86">
        <v>2.0782608695652174</v>
      </c>
      <c r="H11" s="85" t="s">
        <v>173</v>
      </c>
      <c r="I11" s="87">
        <v>0.26829268292682928</v>
      </c>
      <c r="J11" s="85" t="s">
        <v>128</v>
      </c>
      <c r="K11" s="87">
        <v>0.34782608695652173</v>
      </c>
      <c r="L11" s="85" t="s">
        <v>128</v>
      </c>
      <c r="M11" s="88">
        <v>0.27243928194297784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127</v>
      </c>
      <c r="S11" s="89">
        <v>-8356.1643835616433</v>
      </c>
      <c r="T11" s="85" t="s">
        <v>173</v>
      </c>
      <c r="U11" s="87">
        <v>0.12195121951219512</v>
      </c>
      <c r="V11" s="85" t="s">
        <v>186</v>
      </c>
      <c r="W11" s="87">
        <v>0</v>
      </c>
      <c r="X11" s="85" t="s">
        <v>202</v>
      </c>
      <c r="Y11" s="88">
        <v>0.24637681159420291</v>
      </c>
      <c r="Z11" s="85" t="s">
        <v>171</v>
      </c>
      <c r="AA11" s="88">
        <v>0.18759936406995231</v>
      </c>
      <c r="AB11" s="85" t="s">
        <v>145</v>
      </c>
      <c r="AC11" s="88">
        <v>0.58472553699284013</v>
      </c>
      <c r="AD11" s="85" t="s">
        <v>173</v>
      </c>
      <c r="AE11" s="88">
        <v>0.32222222222222224</v>
      </c>
      <c r="AF11" s="85" t="s">
        <v>128</v>
      </c>
      <c r="AG11" s="88">
        <v>0.4263565891472868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-116.6</v>
      </c>
      <c r="D12" s="85" t="s">
        <v>173</v>
      </c>
      <c r="E12" s="97">
        <v>-7.4048780487804873</v>
      </c>
      <c r="F12" s="85" t="s">
        <v>186</v>
      </c>
      <c r="G12" s="86">
        <v>2.0833333333333335</v>
      </c>
      <c r="H12" s="85" t="s">
        <v>129</v>
      </c>
      <c r="I12" s="87">
        <v>0.234375</v>
      </c>
      <c r="J12" s="85" t="s">
        <v>173</v>
      </c>
      <c r="K12" s="87">
        <v>0.36585365853658536</v>
      </c>
      <c r="L12" s="85" t="s">
        <v>186</v>
      </c>
      <c r="M12" s="88">
        <v>0.26923076923076922</v>
      </c>
      <c r="N12" s="85" t="s">
        <v>173</v>
      </c>
      <c r="O12" s="88">
        <v>0.19154929577464788</v>
      </c>
      <c r="P12" s="85" t="s">
        <v>186</v>
      </c>
      <c r="Q12" s="89">
        <v>7700</v>
      </c>
      <c r="R12" s="85" t="s">
        <v>172</v>
      </c>
      <c r="S12" s="89">
        <v>-9269.69696969697</v>
      </c>
      <c r="T12" s="85" t="s">
        <v>128</v>
      </c>
      <c r="U12" s="87">
        <v>0.13043478260869565</v>
      </c>
      <c r="V12" s="85" t="s">
        <v>185</v>
      </c>
      <c r="W12" s="87">
        <v>0</v>
      </c>
      <c r="X12" s="85" t="s">
        <v>173</v>
      </c>
      <c r="Y12" s="88">
        <v>0.23098591549295774</v>
      </c>
      <c r="Z12" s="85" t="s">
        <v>128</v>
      </c>
      <c r="AA12" s="88">
        <v>0.18057022175290391</v>
      </c>
      <c r="AB12" s="85" t="s">
        <v>127</v>
      </c>
      <c r="AC12" s="88">
        <v>0.57993730407523514</v>
      </c>
      <c r="AD12" s="85" t="s">
        <v>128</v>
      </c>
      <c r="AE12" s="88">
        <v>0.2982456140350877</v>
      </c>
      <c r="AF12" s="85" t="s">
        <v>172</v>
      </c>
      <c r="AG12" s="88">
        <v>0.42021276595744683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-303.59999999999997</v>
      </c>
      <c r="D13" s="85" t="s">
        <v>186</v>
      </c>
      <c r="E13" s="97">
        <v>-9.7166666666666668</v>
      </c>
      <c r="F13" s="85" t="s">
        <v>173</v>
      </c>
      <c r="G13" s="86">
        <v>2.0975609756097562</v>
      </c>
      <c r="H13" s="85" t="s">
        <v>202</v>
      </c>
      <c r="I13" s="87">
        <v>0.14285714285714285</v>
      </c>
      <c r="J13" s="85" t="s">
        <v>129</v>
      </c>
      <c r="K13" s="87">
        <v>0.5</v>
      </c>
      <c r="L13" s="85" t="s">
        <v>185</v>
      </c>
      <c r="M13" s="88">
        <v>0.26315789473684209</v>
      </c>
      <c r="N13" s="85" t="s">
        <v>129</v>
      </c>
      <c r="O13" s="88">
        <v>0.19622641509433963</v>
      </c>
      <c r="P13" s="85" t="s">
        <v>202</v>
      </c>
      <c r="Q13" s="89">
        <v>7438.0952380952385</v>
      </c>
      <c r="R13" s="85" t="s">
        <v>129</v>
      </c>
      <c r="S13" s="89">
        <v>-9557.6923076923085</v>
      </c>
      <c r="T13" s="85" t="s">
        <v>177</v>
      </c>
      <c r="U13" s="87">
        <v>0.16666666666666666</v>
      </c>
      <c r="V13" s="85" t="s">
        <v>202</v>
      </c>
      <c r="W13" s="87">
        <v>0</v>
      </c>
      <c r="X13" s="85" t="s">
        <v>186</v>
      </c>
      <c r="Y13" s="88">
        <v>0.23076923076923078</v>
      </c>
      <c r="Z13" s="85" t="s">
        <v>129</v>
      </c>
      <c r="AA13" s="88">
        <v>0.16226415094339622</v>
      </c>
      <c r="AB13" s="85" t="s">
        <v>172</v>
      </c>
      <c r="AC13" s="88">
        <v>0.57894736842105265</v>
      </c>
      <c r="AD13" s="85" t="s">
        <v>129</v>
      </c>
      <c r="AE13" s="88">
        <v>0.23255813953488372</v>
      </c>
      <c r="AF13" s="85" t="s">
        <v>177</v>
      </c>
      <c r="AG13" s="88">
        <v>0.41904761904761906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-327.60000000000008</v>
      </c>
      <c r="D14" s="85" t="s">
        <v>129</v>
      </c>
      <c r="E14" s="97">
        <v>-16.501562499999995</v>
      </c>
      <c r="F14" s="85" t="s">
        <v>129</v>
      </c>
      <c r="G14" s="86">
        <v>2.265625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0.22641509433962265</v>
      </c>
      <c r="N14" s="85" t="s">
        <v>186</v>
      </c>
      <c r="O14" s="88">
        <v>0.23076923076923078</v>
      </c>
      <c r="P14" s="85" t="s">
        <v>173</v>
      </c>
      <c r="Q14" s="89">
        <v>7119.2307692307695</v>
      </c>
      <c r="R14" s="85" t="s">
        <v>224</v>
      </c>
      <c r="S14" s="89">
        <v>-12000</v>
      </c>
      <c r="T14" s="85" t="s">
        <v>186</v>
      </c>
      <c r="U14" s="87">
        <v>0.16666666666666666</v>
      </c>
      <c r="V14" s="85" t="s">
        <v>224</v>
      </c>
      <c r="W14" s="87">
        <v>0</v>
      </c>
      <c r="X14" s="85" t="s">
        <v>224</v>
      </c>
      <c r="Y14" s="88">
        <v>0.23076923076923078</v>
      </c>
      <c r="Z14" s="85" t="s">
        <v>225</v>
      </c>
      <c r="AA14" s="88">
        <v>0.125</v>
      </c>
      <c r="AB14" s="85" t="s">
        <v>129</v>
      </c>
      <c r="AC14" s="88">
        <v>0.49650349650349651</v>
      </c>
      <c r="AD14" s="85" t="s">
        <v>224</v>
      </c>
      <c r="AE14" s="88">
        <v>0</v>
      </c>
      <c r="AF14" s="85" t="s">
        <v>127</v>
      </c>
      <c r="AG14" s="88">
        <v>0.41348973607038125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-1056.0999999999997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6579.255319148936</v>
      </c>
      <c r="R15" s="85" t="s">
        <v>225</v>
      </c>
      <c r="S15" s="89">
        <v>-14000</v>
      </c>
      <c r="T15" s="85" t="s">
        <v>129</v>
      </c>
      <c r="U15" s="87">
        <v>0.1875</v>
      </c>
      <c r="V15" s="85" t="s">
        <v>225</v>
      </c>
      <c r="W15" s="87">
        <v>0</v>
      </c>
      <c r="X15" s="85" t="s">
        <v>172</v>
      </c>
      <c r="Y15" s="88">
        <v>0.22093023255813954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D851A-19D2-48E8-89FC-E1295470DCF3}">
  <sheetPr codeName="Sheet4"/>
  <dimension ref="A1:Q54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540</v>
      </c>
      <c r="C2" s="147"/>
      <c r="E2" s="62" t="s">
        <v>67</v>
      </c>
      <c r="F2" s="59" t="s">
        <v>23</v>
      </c>
      <c r="G2" s="46">
        <v>1003</v>
      </c>
      <c r="H2" s="132">
        <f>IF(B$17=0,0,G2/B$17)</f>
        <v>0.74131559497413158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-14.814814814814815</v>
      </c>
      <c r="P2" s="118">
        <v>540</v>
      </c>
      <c r="Q2" s="102">
        <v>-8000</v>
      </c>
    </row>
    <row r="3" spans="1:17" x14ac:dyDescent="0.4">
      <c r="A3" s="55" t="s">
        <v>8</v>
      </c>
      <c r="B3" s="148">
        <v>4503</v>
      </c>
      <c r="C3" s="149"/>
      <c r="E3" s="63" t="s">
        <v>65</v>
      </c>
      <c r="F3" s="60" t="s">
        <v>21</v>
      </c>
      <c r="G3" s="47">
        <v>703</v>
      </c>
      <c r="H3" s="133">
        <f>IF(B$17=0,0,G3/B$17)</f>
        <v>0.51958610495195856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-7.5757575757575761</v>
      </c>
      <c r="P3" s="119">
        <v>528</v>
      </c>
      <c r="Q3" s="103">
        <v>-4000</v>
      </c>
    </row>
    <row r="4" spans="1:17" x14ac:dyDescent="0.4">
      <c r="A4" s="55" t="s">
        <v>6</v>
      </c>
      <c r="B4" s="150">
        <v>1.0658141036401503E-14</v>
      </c>
      <c r="C4" s="151"/>
      <c r="E4" s="63" t="s">
        <v>73</v>
      </c>
      <c r="F4" s="60" t="s">
        <v>28</v>
      </c>
      <c r="G4" s="47">
        <v>689</v>
      </c>
      <c r="H4" s="133">
        <f>IF(B$17=0,0,G4/B$17)</f>
        <v>0.50923872875092391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12.048192771084338</v>
      </c>
      <c r="P4" s="119">
        <v>498</v>
      </c>
      <c r="Q4" s="103">
        <v>6000</v>
      </c>
    </row>
    <row r="5" spans="1:17" x14ac:dyDescent="0.4">
      <c r="A5" s="55" t="s">
        <v>7</v>
      </c>
      <c r="B5" s="152">
        <f>IF(B$2=0,0,B$4/B$2)</f>
        <v>1.9737298215558339E-17</v>
      </c>
      <c r="C5" s="153"/>
      <c r="E5" s="63" t="s">
        <v>181</v>
      </c>
      <c r="F5" s="60" t="s">
        <v>182</v>
      </c>
      <c r="G5" s="47">
        <v>557</v>
      </c>
      <c r="H5" s="133">
        <f>IF(B$17=0,0,G5/B$17)</f>
        <v>0.41167775314116778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6.666666666666667</v>
      </c>
      <c r="P5" s="119">
        <v>450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428</v>
      </c>
      <c r="H6" s="133">
        <f>IF(B$17=0,0,G6/B$17)</f>
        <v>0.31633407243163342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-14.925373134328359</v>
      </c>
      <c r="P6" s="119">
        <v>402</v>
      </c>
      <c r="Q6" s="103">
        <v>-6000</v>
      </c>
    </row>
    <row r="7" spans="1:17" x14ac:dyDescent="0.4">
      <c r="A7" s="55" t="s">
        <v>2</v>
      </c>
      <c r="B7" s="47">
        <v>180</v>
      </c>
      <c r="C7" s="39">
        <f>IF(B$2=0,0,B7/B$2)</f>
        <v>0.33333333333333331</v>
      </c>
      <c r="E7" s="63" t="s">
        <v>68</v>
      </c>
      <c r="F7" s="60" t="s">
        <v>24</v>
      </c>
      <c r="G7" s="47">
        <v>408</v>
      </c>
      <c r="H7" s="133">
        <f>IF(B$17=0,0,G7/B$17)</f>
        <v>0.30155210643015523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24.590163934426229</v>
      </c>
      <c r="P7" s="120">
        <v>366</v>
      </c>
      <c r="Q7" s="104">
        <v>9000</v>
      </c>
    </row>
    <row r="8" spans="1:17" x14ac:dyDescent="0.4">
      <c r="A8" s="55" t="s">
        <v>3</v>
      </c>
      <c r="B8" s="47">
        <v>180</v>
      </c>
      <c r="C8" s="39">
        <f>IF(B$2=0,0,B8/B$2)</f>
        <v>0.33333333333333331</v>
      </c>
      <c r="E8" s="63" t="s">
        <v>70</v>
      </c>
      <c r="F8" s="60" t="s">
        <v>25</v>
      </c>
      <c r="G8" s="47">
        <v>244</v>
      </c>
      <c r="H8" s="133">
        <f>IF(B$17=0,0,G8/B$17)</f>
        <v>0.18033998521803399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180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165</v>
      </c>
      <c r="H9" s="133">
        <f>IF(B$17=0,0,G9/B$17)</f>
        <v>0.12195121951219512</v>
      </c>
      <c r="I9" s="94">
        <v>4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62</v>
      </c>
      <c r="C10" s="40">
        <f>IF(B$2=0,0,B10/B$2)</f>
        <v>0.11481481481481481</v>
      </c>
      <c r="E10" s="63" t="s">
        <v>90</v>
      </c>
      <c r="F10" s="60" t="s">
        <v>45</v>
      </c>
      <c r="G10" s="47">
        <v>164</v>
      </c>
      <c r="H10" s="133">
        <f>IF(B$17=0,0,G10/B$17)</f>
        <v>0.12121212121212122</v>
      </c>
      <c r="I10" s="94">
        <v>8</v>
      </c>
      <c r="K10" s="38">
        <v>8</v>
      </c>
      <c r="L10" s="99">
        <v>19.699999999999996</v>
      </c>
      <c r="N10" s="114" t="s">
        <v>164</v>
      </c>
      <c r="O10" s="124">
        <f>IF(P10=0,0,Q10/P10)</f>
        <v>-2.3155555555555556</v>
      </c>
      <c r="P10" s="118">
        <v>180</v>
      </c>
      <c r="Q10" s="106">
        <v>-416.8</v>
      </c>
    </row>
    <row r="11" spans="1:17" x14ac:dyDescent="0.4">
      <c r="A11" s="56" t="s">
        <v>140</v>
      </c>
      <c r="B11" s="48">
        <v>62</v>
      </c>
      <c r="C11" s="40">
        <f>IF(B$2=0,0,B11/B$2)</f>
        <v>0.11481481481481481</v>
      </c>
      <c r="E11" s="63" t="s">
        <v>71</v>
      </c>
      <c r="F11" s="60" t="s">
        <v>26</v>
      </c>
      <c r="G11" s="47">
        <v>140</v>
      </c>
      <c r="H11" s="133">
        <f>IF(B$17=0,0,G11/B$17)</f>
        <v>0.10347376201034737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-0.67944444444444452</v>
      </c>
      <c r="P11" s="119">
        <v>180</v>
      </c>
      <c r="Q11" s="107">
        <v>-122.30000000000001</v>
      </c>
    </row>
    <row r="12" spans="1:17" x14ac:dyDescent="0.4">
      <c r="A12" s="57" t="s">
        <v>160</v>
      </c>
      <c r="B12" s="49">
        <v>46</v>
      </c>
      <c r="C12" s="42">
        <f>IF(B$2=0,0,B12/B$2)</f>
        <v>8.5185185185185183E-2</v>
      </c>
      <c r="E12" s="63" t="s">
        <v>72</v>
      </c>
      <c r="F12" s="60" t="s">
        <v>27</v>
      </c>
      <c r="G12" s="47">
        <v>89</v>
      </c>
      <c r="H12" s="133">
        <f>IF(B$17=0,0,G12/B$17)</f>
        <v>6.5779748706577976E-2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2.9950000000000006</v>
      </c>
      <c r="P12" s="120">
        <v>180</v>
      </c>
      <c r="Q12" s="108">
        <v>539.10000000000014</v>
      </c>
    </row>
    <row r="13" spans="1:17" x14ac:dyDescent="0.4">
      <c r="A13" s="58" t="s">
        <v>122</v>
      </c>
      <c r="B13" s="50">
        <v>1257</v>
      </c>
      <c r="C13" s="44">
        <f>IF(B$3=0,0,B13/B$3)</f>
        <v>0.27914723517654899</v>
      </c>
      <c r="E13" s="63" t="s">
        <v>87</v>
      </c>
      <c r="F13" s="60" t="s">
        <v>42</v>
      </c>
      <c r="G13" s="47">
        <v>76</v>
      </c>
      <c r="H13" s="133">
        <f>IF(B$17=0,0,G13/B$17)</f>
        <v>5.6171470805617151E-2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944</v>
      </c>
      <c r="C14" s="39">
        <f>IF(B$3=0,0,B14/B$3)</f>
        <v>0.20963801909837887</v>
      </c>
      <c r="E14" s="63" t="s">
        <v>84</v>
      </c>
      <c r="F14" s="60" t="s">
        <v>39</v>
      </c>
      <c r="G14" s="47">
        <v>60</v>
      </c>
      <c r="H14" s="133">
        <f>IF(B$17=0,0,G14/B$17)</f>
        <v>4.4345898004434593E-2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735</v>
      </c>
      <c r="C15" s="37">
        <f>IF(B$13=0,0,B15/B$13)</f>
        <v>0.58472553699284013</v>
      </c>
      <c r="E15" s="63" t="s">
        <v>82</v>
      </c>
      <c r="F15" s="60" t="s">
        <v>37</v>
      </c>
      <c r="G15" s="47">
        <v>39</v>
      </c>
      <c r="H15" s="133">
        <f>IF(B$17=0,0,G15/B$17)</f>
        <v>2.8824833702882482E-2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368</v>
      </c>
      <c r="C16" s="37">
        <f>IF(B$14=0,0,B16/B$14)</f>
        <v>0.38983050847457629</v>
      </c>
      <c r="E16" s="63" t="s">
        <v>79</v>
      </c>
      <c r="F16" s="60" t="s">
        <v>34</v>
      </c>
      <c r="G16" s="47">
        <v>36</v>
      </c>
      <c r="H16" s="133">
        <f>IF(B$17=0,0,G16/B$17)</f>
        <v>2.6607538802660754E-2</v>
      </c>
      <c r="I16" s="94">
        <v>6</v>
      </c>
      <c r="K16" s="38">
        <v>14</v>
      </c>
      <c r="L16" s="99">
        <v>18.79999999999999</v>
      </c>
      <c r="N16" s="115" t="s">
        <v>129</v>
      </c>
      <c r="O16" s="125">
        <f>IF(P16=0,0,Q16/P16)</f>
        <v>24.752343750000019</v>
      </c>
      <c r="P16" s="119">
        <v>128</v>
      </c>
      <c r="Q16" s="107">
        <v>3168.3000000000025</v>
      </c>
    </row>
    <row r="17" spans="1:17" x14ac:dyDescent="0.4">
      <c r="A17" s="54" t="s">
        <v>10</v>
      </c>
      <c r="B17" s="46">
        <f>B19+B18</f>
        <v>1353</v>
      </c>
      <c r="C17" s="37">
        <f>IF(B$3=0,0,B17/B$3)</f>
        <v>0.30046635576282477</v>
      </c>
      <c r="E17" s="63" t="s">
        <v>92</v>
      </c>
      <c r="F17" s="60" t="s">
        <v>47</v>
      </c>
      <c r="G17" s="47">
        <v>26</v>
      </c>
      <c r="H17" s="133">
        <f>IF(B$17=0,0,G17/B$17)</f>
        <v>1.9216555801921657E-2</v>
      </c>
      <c r="I17" s="94">
        <v>5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14.575000000000001</v>
      </c>
      <c r="P17" s="119">
        <v>24</v>
      </c>
      <c r="Q17" s="107">
        <v>349.8</v>
      </c>
    </row>
    <row r="18" spans="1:17" x14ac:dyDescent="0.4">
      <c r="A18" s="55" t="s">
        <v>12</v>
      </c>
      <c r="B18" s="47">
        <v>594</v>
      </c>
      <c r="C18" s="39">
        <f>IF(B$17=0,0,B18/B$17)</f>
        <v>0.43902439024390244</v>
      </c>
      <c r="E18" s="63" t="s">
        <v>80</v>
      </c>
      <c r="F18" s="60" t="s">
        <v>35</v>
      </c>
      <c r="G18" s="47">
        <v>21</v>
      </c>
      <c r="H18" s="133">
        <f>IF(B$17=0,0,G18/B$17)</f>
        <v>1.5521064301552107E-2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11.10731707317073</v>
      </c>
      <c r="P18" s="119">
        <v>82</v>
      </c>
      <c r="Q18" s="107">
        <v>910.79999999999984</v>
      </c>
    </row>
    <row r="19" spans="1:17" x14ac:dyDescent="0.4">
      <c r="A19" s="55" t="s">
        <v>11</v>
      </c>
      <c r="B19" s="47">
        <v>759</v>
      </c>
      <c r="C19" s="39">
        <f>IF(B$17=0,0,B19/B$17)</f>
        <v>0.56097560975609762</v>
      </c>
      <c r="E19" s="63" t="s">
        <v>180</v>
      </c>
      <c r="F19" s="60" t="s">
        <v>183</v>
      </c>
      <c r="G19" s="47">
        <v>19</v>
      </c>
      <c r="H19" s="133">
        <f>IF(B$17=0,0,G19/B$17)</f>
        <v>1.4042867701404288E-2</v>
      </c>
      <c r="I19" s="94">
        <v>3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751</v>
      </c>
      <c r="C20" s="39">
        <f>IF(B$3=0,0,B20/B$3)</f>
        <v>0.16677770375305351</v>
      </c>
      <c r="E20" s="63" t="s">
        <v>76</v>
      </c>
      <c r="F20" s="60" t="s">
        <v>31</v>
      </c>
      <c r="G20" s="47">
        <v>9</v>
      </c>
      <c r="H20" s="133">
        <f>IF(B$17=0,0,G20/B$17)</f>
        <v>6.6518847006651885E-3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4.2730434782608713</v>
      </c>
      <c r="P20" s="119">
        <v>230</v>
      </c>
      <c r="Q20" s="107">
        <v>982.80000000000041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8</v>
      </c>
      <c r="H21" s="133">
        <f>IF(B$17=0,0,G21/B$17)</f>
        <v>5.9127864005912786E-3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-0.5593220338983067</v>
      </c>
      <c r="P21" s="119">
        <v>118</v>
      </c>
      <c r="Q21" s="107">
        <v>-66.000000000000185</v>
      </c>
    </row>
    <row r="22" spans="1:17" x14ac:dyDescent="0.4">
      <c r="A22" s="55" t="s">
        <v>194</v>
      </c>
      <c r="B22" s="47">
        <v>31</v>
      </c>
      <c r="C22" s="135">
        <v>9</v>
      </c>
      <c r="E22" s="63" t="s">
        <v>75</v>
      </c>
      <c r="F22" s="60" t="s">
        <v>30</v>
      </c>
      <c r="G22" s="47">
        <v>6</v>
      </c>
      <c r="H22" s="133">
        <f>IF(B$17=0,0,G22/B$17)</f>
        <v>4.434589800443459E-3</v>
      </c>
      <c r="I22" s="94">
        <v>5</v>
      </c>
      <c r="K22" s="38">
        <v>20</v>
      </c>
      <c r="L22" s="99">
        <v>0.79999999999999716</v>
      </c>
      <c r="N22" s="115" t="s">
        <v>171</v>
      </c>
      <c r="O22" s="125">
        <f>IF(P22=0,0,Q22/P22)</f>
        <v>-2.9059999999999979</v>
      </c>
      <c r="P22" s="119">
        <v>150</v>
      </c>
      <c r="Q22" s="107">
        <v>-435.89999999999969</v>
      </c>
    </row>
    <row r="23" spans="1:17" x14ac:dyDescent="0.4">
      <c r="A23" s="55" t="s">
        <v>5</v>
      </c>
      <c r="B23" s="51">
        <f>IF(B$17=0,0,C23/B$17)</f>
        <v>8683.1485587583156</v>
      </c>
      <c r="C23" s="41">
        <v>11748300</v>
      </c>
      <c r="E23" s="63" t="s">
        <v>93</v>
      </c>
      <c r="F23" s="60" t="s">
        <v>48</v>
      </c>
      <c r="G23" s="47">
        <v>6</v>
      </c>
      <c r="H23" s="133">
        <f>IF(B$17=0,0,G23/B$17)</f>
        <v>4.434589800443459E-3</v>
      </c>
      <c r="I23" s="94">
        <v>4</v>
      </c>
      <c r="K23" s="38">
        <v>21</v>
      </c>
      <c r="L23" s="99">
        <v>-2.886579864025407E-15</v>
      </c>
      <c r="N23" s="115" t="s">
        <v>177</v>
      </c>
      <c r="O23" s="125">
        <f>IF(P23=0,0,Q23/P23)</f>
        <v>-3.485714285714288</v>
      </c>
      <c r="P23" s="119">
        <v>84</v>
      </c>
      <c r="Q23" s="107">
        <v>-292.80000000000018</v>
      </c>
    </row>
    <row r="24" spans="1:17" x14ac:dyDescent="0.4">
      <c r="A24" s="57" t="s">
        <v>14</v>
      </c>
      <c r="B24" s="52">
        <f>IF(B$20=0,0,C24/B$20)</f>
        <v>-8257.3901464713708</v>
      </c>
      <c r="C24" s="45">
        <v>-6201300</v>
      </c>
      <c r="E24" s="63" t="s">
        <v>88</v>
      </c>
      <c r="F24" s="60" t="s">
        <v>43</v>
      </c>
      <c r="G24" s="47">
        <v>5</v>
      </c>
      <c r="H24" s="133">
        <f>IF(B$17=0,0,G24/B$17)</f>
        <v>3.6954915003695491E-3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-19.087499999999967</v>
      </c>
      <c r="P24" s="119">
        <v>240</v>
      </c>
      <c r="Q24" s="107">
        <v>-4580.9999999999918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5</v>
      </c>
      <c r="H25" s="133">
        <f>IF(B$17=0,0,G25/B$17)</f>
        <v>3.6954915003695491E-3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78</v>
      </c>
      <c r="F26" s="60" t="s">
        <v>33</v>
      </c>
      <c r="G26" s="47">
        <v>3</v>
      </c>
      <c r="H26" s="133">
        <f>IF(B$17=0,0,G26/B$17)</f>
        <v>2.2172949002217295E-3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13</v>
      </c>
      <c r="C27" s="42">
        <f>IF(B$3=0,0,B27/B$3)</f>
        <v>2.8869642460581835E-3</v>
      </c>
      <c r="E27" s="63" t="s">
        <v>85</v>
      </c>
      <c r="F27" s="60" t="s">
        <v>40</v>
      </c>
      <c r="G27" s="47">
        <v>3</v>
      </c>
      <c r="H27" s="133">
        <f>IF(B$17=0,0,G27/B$17)</f>
        <v>2.2172949002217295E-3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3</v>
      </c>
      <c r="H28" s="133">
        <f>IF(B$17=0,0,G28/B$17)</f>
        <v>2.2172949002217295E-3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1.4781966001478197E-3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91</v>
      </c>
      <c r="F30" s="60" t="s">
        <v>46</v>
      </c>
      <c r="G30" s="47">
        <v>2</v>
      </c>
      <c r="H30" s="133">
        <f>IF(B$17=0,0,G30/B$17)</f>
        <v>1.4781966001478197E-3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1.4781966001478197E-3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7.3909830007390983E-4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37.400000000000006</v>
      </c>
    </row>
    <row r="529" spans="11:12" x14ac:dyDescent="0.4">
      <c r="K529" s="38">
        <v>527</v>
      </c>
      <c r="L529" s="99">
        <v>-5.5999999999999943</v>
      </c>
    </row>
    <row r="530" spans="11:12" x14ac:dyDescent="0.4">
      <c r="K530" s="38">
        <v>528</v>
      </c>
      <c r="L530" s="99">
        <v>5.3290705182007514E-15</v>
      </c>
    </row>
    <row r="531" spans="11:12" x14ac:dyDescent="0.4">
      <c r="K531" s="38">
        <v>529</v>
      </c>
      <c r="L531" s="99">
        <v>5.3290705182007514E-15</v>
      </c>
    </row>
    <row r="532" spans="11:12" x14ac:dyDescent="0.4">
      <c r="K532" s="38">
        <v>530</v>
      </c>
      <c r="L532" s="99">
        <v>-56.999999999999993</v>
      </c>
    </row>
    <row r="533" spans="11:12" x14ac:dyDescent="0.4">
      <c r="K533" s="38">
        <v>531</v>
      </c>
      <c r="L533" s="99">
        <v>7.1054273576010019E-15</v>
      </c>
    </row>
    <row r="534" spans="11:12" x14ac:dyDescent="0.4">
      <c r="K534" s="38">
        <v>532</v>
      </c>
      <c r="L534" s="99">
        <v>-23.699999999999992</v>
      </c>
    </row>
    <row r="535" spans="11:12" x14ac:dyDescent="0.4">
      <c r="K535" s="38">
        <v>533</v>
      </c>
      <c r="L535" s="99">
        <v>-1.2999999999999936</v>
      </c>
    </row>
    <row r="536" spans="11:12" x14ac:dyDescent="0.4">
      <c r="K536" s="38">
        <v>534</v>
      </c>
      <c r="L536" s="99">
        <v>6.4392935428259079E-15</v>
      </c>
    </row>
    <row r="537" spans="11:12" x14ac:dyDescent="0.4">
      <c r="K537" s="38">
        <v>535</v>
      </c>
      <c r="L537" s="99">
        <v>-2.9999999999999938</v>
      </c>
    </row>
    <row r="538" spans="11:12" x14ac:dyDescent="0.4">
      <c r="K538" s="38">
        <v>536</v>
      </c>
      <c r="L538" s="99">
        <v>43.000000000000007</v>
      </c>
    </row>
    <row r="539" spans="11:12" x14ac:dyDescent="0.4">
      <c r="K539" s="38">
        <v>537</v>
      </c>
      <c r="L539" s="99">
        <v>7.1054273576010019E-15</v>
      </c>
    </row>
    <row r="540" spans="11:12" x14ac:dyDescent="0.4">
      <c r="K540" s="38">
        <v>538</v>
      </c>
      <c r="L540" s="99">
        <v>-78.699999999999989</v>
      </c>
    </row>
    <row r="541" spans="11:12" x14ac:dyDescent="0.4">
      <c r="K541" s="38">
        <v>539</v>
      </c>
      <c r="L541" s="99">
        <v>-20.699999999999989</v>
      </c>
    </row>
    <row r="542" spans="11:12" x14ac:dyDescent="0.4">
      <c r="K542" s="38">
        <v>540</v>
      </c>
      <c r="L542" s="99">
        <v>1.0658141036401503E-14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7C00B-AF70-4F87-A64D-4C3390C25DD6}">
  <sheetPr codeName="Sheet7"/>
  <dimension ref="A1:Q12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120</v>
      </c>
      <c r="C2" s="147"/>
      <c r="E2" s="62" t="s">
        <v>67</v>
      </c>
      <c r="F2" s="59" t="s">
        <v>23</v>
      </c>
      <c r="G2" s="46">
        <v>249</v>
      </c>
      <c r="H2" s="132">
        <f>IF(B$17=0,0,G2/B$17)</f>
        <v>0.73020527859237538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1727.5</v>
      </c>
      <c r="P2" s="118">
        <v>120</v>
      </c>
      <c r="Q2" s="102">
        <v>207300</v>
      </c>
    </row>
    <row r="3" spans="1:17" x14ac:dyDescent="0.4">
      <c r="A3" s="55" t="s">
        <v>8</v>
      </c>
      <c r="B3" s="148">
        <v>972</v>
      </c>
      <c r="C3" s="149"/>
      <c r="E3" s="63" t="s">
        <v>73</v>
      </c>
      <c r="F3" s="60" t="s">
        <v>28</v>
      </c>
      <c r="G3" s="47">
        <v>192</v>
      </c>
      <c r="H3" s="133">
        <f>IF(B$17=0,0,G3/B$17)</f>
        <v>0.56304985337243407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1323.931623931624</v>
      </c>
      <c r="P3" s="119">
        <v>117</v>
      </c>
      <c r="Q3" s="103">
        <v>154900</v>
      </c>
    </row>
    <row r="4" spans="1:17" x14ac:dyDescent="0.4">
      <c r="A4" s="55" t="s">
        <v>6</v>
      </c>
      <c r="B4" s="150">
        <v>1527.0000000000011</v>
      </c>
      <c r="C4" s="151"/>
      <c r="E4" s="63" t="s">
        <v>65</v>
      </c>
      <c r="F4" s="60" t="s">
        <v>21</v>
      </c>
      <c r="G4" s="47">
        <v>171</v>
      </c>
      <c r="H4" s="133">
        <f>IF(B$17=0,0,G4/B$17)</f>
        <v>0.50146627565982405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1472.0720720720722</v>
      </c>
      <c r="P4" s="119">
        <v>111</v>
      </c>
      <c r="Q4" s="103">
        <v>163400</v>
      </c>
    </row>
    <row r="5" spans="1:17" x14ac:dyDescent="0.4">
      <c r="A5" s="55" t="s">
        <v>7</v>
      </c>
      <c r="B5" s="152">
        <f>IF(B$2=0,0,B$4/B$2)</f>
        <v>12.72500000000001</v>
      </c>
      <c r="C5" s="153"/>
      <c r="E5" s="63" t="s">
        <v>181</v>
      </c>
      <c r="F5" s="60" t="s">
        <v>182</v>
      </c>
      <c r="G5" s="47">
        <v>141</v>
      </c>
      <c r="H5" s="133">
        <f>IF(B$17=0,0,G5/B$17)</f>
        <v>0.41348973607038125</v>
      </c>
      <c r="I5" s="94">
        <v>4</v>
      </c>
      <c r="K5" s="38">
        <v>3</v>
      </c>
      <c r="L5" s="99">
        <v>70.399999999999991</v>
      </c>
      <c r="N5" s="115" t="s">
        <v>135</v>
      </c>
      <c r="O5" s="122">
        <f t="shared" si="0"/>
        <v>2295.0495049504952</v>
      </c>
      <c r="P5" s="119">
        <v>101</v>
      </c>
      <c r="Q5" s="103">
        <v>231800</v>
      </c>
    </row>
    <row r="6" spans="1:17" x14ac:dyDescent="0.4">
      <c r="A6" s="55" t="s">
        <v>1</v>
      </c>
      <c r="B6" s="142">
        <f>IF(B$2=0,0,(B$7*1+B$8*2+B$9*3)/B$2)</f>
        <v>1.7333333333333334</v>
      </c>
      <c r="C6" s="143"/>
      <c r="E6" s="63" t="s">
        <v>68</v>
      </c>
      <c r="F6" s="60" t="s">
        <v>24</v>
      </c>
      <c r="G6" s="47">
        <v>100</v>
      </c>
      <c r="H6" s="133">
        <f>IF(B$17=0,0,G6/B$17)</f>
        <v>0.2932551319648094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781.81818181818187</v>
      </c>
      <c r="P6" s="119">
        <v>88</v>
      </c>
      <c r="Q6" s="103">
        <v>68800</v>
      </c>
    </row>
    <row r="7" spans="1:17" x14ac:dyDescent="0.4">
      <c r="A7" s="55" t="s">
        <v>2</v>
      </c>
      <c r="B7" s="47">
        <v>59</v>
      </c>
      <c r="C7" s="39">
        <f>IF(B$2=0,0,B7/B$2)</f>
        <v>0.49166666666666664</v>
      </c>
      <c r="E7" s="63" t="s">
        <v>69</v>
      </c>
      <c r="F7" s="60" t="s">
        <v>12</v>
      </c>
      <c r="G7" s="47">
        <v>89</v>
      </c>
      <c r="H7" s="133">
        <f>IF(B$17=0,0,G7/B$17)</f>
        <v>0.26099706744868034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715.38461538461536</v>
      </c>
      <c r="P7" s="120">
        <v>78</v>
      </c>
      <c r="Q7" s="104">
        <v>55800</v>
      </c>
    </row>
    <row r="8" spans="1:17" x14ac:dyDescent="0.4">
      <c r="A8" s="55" t="s">
        <v>3</v>
      </c>
      <c r="B8" s="47">
        <v>34</v>
      </c>
      <c r="C8" s="39">
        <f>IF(B$2=0,0,B8/B$2)</f>
        <v>0.28333333333333333</v>
      </c>
      <c r="E8" s="63" t="s">
        <v>70</v>
      </c>
      <c r="F8" s="60" t="s">
        <v>25</v>
      </c>
      <c r="G8" s="47">
        <v>59</v>
      </c>
      <c r="H8" s="133">
        <f>IF(B$17=0,0,G8/B$17)</f>
        <v>0.17302052785923755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0.22500000000000001</v>
      </c>
      <c r="E9" s="63" t="s">
        <v>90</v>
      </c>
      <c r="F9" s="60" t="s">
        <v>45</v>
      </c>
      <c r="G9" s="47">
        <v>52</v>
      </c>
      <c r="H9" s="133">
        <f>IF(B$17=0,0,G9/B$17)</f>
        <v>0.15249266862170088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0.10833333333333334</v>
      </c>
      <c r="E10" s="63" t="s">
        <v>66</v>
      </c>
      <c r="F10" s="60" t="s">
        <v>22</v>
      </c>
      <c r="G10" s="47">
        <v>49</v>
      </c>
      <c r="H10" s="133">
        <f>IF(B$17=0,0,G10/B$17)</f>
        <v>0.14369501466275661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16.679411764705883</v>
      </c>
      <c r="P10" s="118">
        <v>34</v>
      </c>
      <c r="Q10" s="106">
        <v>567.1</v>
      </c>
    </row>
    <row r="11" spans="1:17" x14ac:dyDescent="0.4">
      <c r="A11" s="56" t="s">
        <v>140</v>
      </c>
      <c r="B11" s="48">
        <v>21</v>
      </c>
      <c r="C11" s="40">
        <f>IF(B$2=0,0,B11/B$2)</f>
        <v>0.17499999999999999</v>
      </c>
      <c r="E11" s="63" t="s">
        <v>71</v>
      </c>
      <c r="F11" s="60" t="s">
        <v>26</v>
      </c>
      <c r="G11" s="47">
        <v>33</v>
      </c>
      <c r="H11" s="133">
        <f>IF(B$17=0,0,G11/B$17)</f>
        <v>9.6774193548387094E-2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8.5289473684210524</v>
      </c>
      <c r="P11" s="119">
        <v>38</v>
      </c>
      <c r="Q11" s="107">
        <v>324.10000000000002</v>
      </c>
    </row>
    <row r="12" spans="1:17" x14ac:dyDescent="0.4">
      <c r="A12" s="57" t="s">
        <v>160</v>
      </c>
      <c r="B12" s="49">
        <v>18</v>
      </c>
      <c r="C12" s="42">
        <f>IF(B$2=0,0,B12/B$2)</f>
        <v>0.15</v>
      </c>
      <c r="E12" s="63" t="s">
        <v>72</v>
      </c>
      <c r="F12" s="60" t="s">
        <v>27</v>
      </c>
      <c r="G12" s="47">
        <v>23</v>
      </c>
      <c r="H12" s="133">
        <f>IF(B$17=0,0,G12/B$17)</f>
        <v>6.7448680351906154E-2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13.245833333333337</v>
      </c>
      <c r="P12" s="120">
        <v>48</v>
      </c>
      <c r="Q12" s="108">
        <v>635.80000000000018</v>
      </c>
    </row>
    <row r="13" spans="1:17" x14ac:dyDescent="0.4">
      <c r="A13" s="58" t="s">
        <v>122</v>
      </c>
      <c r="B13" s="50">
        <v>319</v>
      </c>
      <c r="C13" s="44">
        <f>IF(B$3=0,0,B13/B$3)</f>
        <v>0.32818930041152261</v>
      </c>
      <c r="E13" s="63" t="s">
        <v>87</v>
      </c>
      <c r="F13" s="60" t="s">
        <v>42</v>
      </c>
      <c r="G13" s="47">
        <v>23</v>
      </c>
      <c r="H13" s="133">
        <f>IF(B$17=0,0,G13/B$17)</f>
        <v>6.7448680351906154E-2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215</v>
      </c>
      <c r="C14" s="39">
        <f>IF(B$3=0,0,B14/B$3)</f>
        <v>0.22119341563786007</v>
      </c>
      <c r="E14" s="63" t="s">
        <v>84</v>
      </c>
      <c r="F14" s="60" t="s">
        <v>39</v>
      </c>
      <c r="G14" s="47">
        <v>17</v>
      </c>
      <c r="H14" s="133">
        <f>IF(B$17=0,0,G14/B$17)</f>
        <v>4.9853372434017593E-2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185</v>
      </c>
      <c r="C15" s="37">
        <f>IF(B$13=0,0,B15/B$13)</f>
        <v>0.57993730407523514</v>
      </c>
      <c r="E15" s="63" t="s">
        <v>82</v>
      </c>
      <c r="F15" s="60" t="s">
        <v>37</v>
      </c>
      <c r="G15" s="47">
        <v>11</v>
      </c>
      <c r="H15" s="133">
        <f>IF(B$17=0,0,G15/B$17)</f>
        <v>3.2258064516129031E-2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110</v>
      </c>
      <c r="C16" s="37">
        <f>IF(B$14=0,0,B16/B$14)</f>
        <v>0.51162790697674421</v>
      </c>
      <c r="E16" s="63" t="s">
        <v>180</v>
      </c>
      <c r="F16" s="60" t="s">
        <v>183</v>
      </c>
      <c r="G16" s="47">
        <v>11</v>
      </c>
      <c r="H16" s="133">
        <f>IF(B$17=0,0,G16/B$17)</f>
        <v>3.2258064516129031E-2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36.205263157894748</v>
      </c>
      <c r="P16" s="119">
        <v>38</v>
      </c>
      <c r="Q16" s="107">
        <v>1375.8000000000004</v>
      </c>
    </row>
    <row r="17" spans="1:17" x14ac:dyDescent="0.4">
      <c r="A17" s="54" t="s">
        <v>10</v>
      </c>
      <c r="B17" s="46">
        <f>B19+B18</f>
        <v>341</v>
      </c>
      <c r="C17" s="37">
        <f>IF(B$3=0,0,B17/B$3)</f>
        <v>0.3508230452674897</v>
      </c>
      <c r="E17" s="63" t="s">
        <v>79</v>
      </c>
      <c r="F17" s="60" t="s">
        <v>34</v>
      </c>
      <c r="G17" s="47">
        <v>7</v>
      </c>
      <c r="H17" s="133">
        <f>IF(B$17=0,0,G17/B$17)</f>
        <v>2.0527859237536656E-2</v>
      </c>
      <c r="I17" s="94">
        <v>7</v>
      </c>
      <c r="K17" s="38">
        <v>15</v>
      </c>
      <c r="L17" s="99">
        <v>481.50000000000006</v>
      </c>
      <c r="N17" s="115" t="s">
        <v>224</v>
      </c>
      <c r="O17" s="125">
        <f>IF(P17=0,0,Q17/P17)</f>
        <v>29.599999999999998</v>
      </c>
      <c r="P17" s="119">
        <v>1</v>
      </c>
      <c r="Q17" s="107">
        <v>29.599999999999998</v>
      </c>
    </row>
    <row r="18" spans="1:17" x14ac:dyDescent="0.4">
      <c r="A18" s="55" t="s">
        <v>12</v>
      </c>
      <c r="B18" s="47">
        <v>141</v>
      </c>
      <c r="C18" s="39">
        <f>IF(B$17=0,0,B18/B$17)</f>
        <v>0.41348973607038125</v>
      </c>
      <c r="E18" s="63" t="s">
        <v>92</v>
      </c>
      <c r="F18" s="60" t="s">
        <v>47</v>
      </c>
      <c r="G18" s="47">
        <v>6</v>
      </c>
      <c r="H18" s="133">
        <f>IF(B$17=0,0,G18/B$17)</f>
        <v>1.7595307917888565E-2</v>
      </c>
      <c r="I18" s="94">
        <v>6</v>
      </c>
      <c r="K18" s="38">
        <v>16</v>
      </c>
      <c r="L18" s="99">
        <v>425.50000000000006</v>
      </c>
      <c r="N18" s="115" t="s">
        <v>177</v>
      </c>
      <c r="O18" s="125">
        <f>IF(P18=0,0,Q18/P18)</f>
        <v>27.193750000000001</v>
      </c>
      <c r="P18" s="119">
        <v>16</v>
      </c>
      <c r="Q18" s="107">
        <v>435.1</v>
      </c>
    </row>
    <row r="19" spans="1:17" x14ac:dyDescent="0.4">
      <c r="A19" s="55" t="s">
        <v>11</v>
      </c>
      <c r="B19" s="47">
        <v>200</v>
      </c>
      <c r="C19" s="39">
        <f>IF(B$17=0,0,B19/B$17)</f>
        <v>0.5865102639296188</v>
      </c>
      <c r="E19" s="63" t="s">
        <v>80</v>
      </c>
      <c r="F19" s="60" t="s">
        <v>35</v>
      </c>
      <c r="G19" s="47">
        <v>4</v>
      </c>
      <c r="H19" s="133">
        <f>IF(B$17=0,0,G19/B$17)</f>
        <v>1.1730205278592375E-2</v>
      </c>
      <c r="I19" s="94">
        <v>7</v>
      </c>
      <c r="K19" s="38">
        <v>17</v>
      </c>
      <c r="L19" s="99">
        <v>427.40000000000003</v>
      </c>
      <c r="N19" s="115" t="s">
        <v>172</v>
      </c>
      <c r="O19" s="125">
        <f>IF(P19=0,0,Q19/P19)</f>
        <v>24.890322580645162</v>
      </c>
      <c r="P19" s="119">
        <v>31</v>
      </c>
      <c r="Q19" s="107">
        <v>771.6</v>
      </c>
    </row>
    <row r="20" spans="1:17" x14ac:dyDescent="0.4">
      <c r="A20" s="55" t="s">
        <v>13</v>
      </c>
      <c r="B20" s="47">
        <v>146</v>
      </c>
      <c r="C20" s="39">
        <f>IF(B$3=0,0,B20/B$3)</f>
        <v>0.15020576131687244</v>
      </c>
      <c r="E20" s="63" t="s">
        <v>74</v>
      </c>
      <c r="F20" s="60" t="s">
        <v>29</v>
      </c>
      <c r="G20" s="47">
        <v>2</v>
      </c>
      <c r="H20" s="133">
        <f>IF(B$17=0,0,G20/B$17)</f>
        <v>5.8651026392961877E-3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22.754999999999999</v>
      </c>
      <c r="P20" s="119">
        <v>20</v>
      </c>
      <c r="Q20" s="107">
        <v>455.09999999999997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93</v>
      </c>
      <c r="F21" s="60" t="s">
        <v>48</v>
      </c>
      <c r="G21" s="47">
        <v>2</v>
      </c>
      <c r="H21" s="133">
        <f>IF(B$17=0,0,G21/B$17)</f>
        <v>5.8651026392961877E-3</v>
      </c>
      <c r="I21" s="94">
        <v>3</v>
      </c>
      <c r="K21" s="38">
        <v>19</v>
      </c>
      <c r="L21" s="99">
        <v>405.40000000000003</v>
      </c>
      <c r="N21" s="115" t="s">
        <v>128</v>
      </c>
      <c r="O21" s="125">
        <f>IF(P21=0,0,Q21/P21)</f>
        <v>17.662025316455697</v>
      </c>
      <c r="P21" s="119">
        <v>79</v>
      </c>
      <c r="Q21" s="107">
        <v>1395.3000000000002</v>
      </c>
    </row>
    <row r="22" spans="1:17" x14ac:dyDescent="0.4">
      <c r="A22" s="55" t="s">
        <v>194</v>
      </c>
      <c r="B22" s="47">
        <v>39</v>
      </c>
      <c r="C22" s="135">
        <v>6</v>
      </c>
      <c r="E22" s="63" t="s">
        <v>76</v>
      </c>
      <c r="F22" s="60" t="s">
        <v>31</v>
      </c>
      <c r="G22" s="47">
        <v>1</v>
      </c>
      <c r="H22" s="133">
        <f>IF(B$17=0,0,G22/B$17)</f>
        <v>2.9325513196480938E-3</v>
      </c>
      <c r="I22" s="94">
        <v>7</v>
      </c>
      <c r="K22" s="38">
        <v>20</v>
      </c>
      <c r="L22" s="99">
        <v>469.6</v>
      </c>
      <c r="N22" s="115" t="s">
        <v>186</v>
      </c>
      <c r="O22" s="125">
        <f>IF(P22=0,0,Q22/P22)</f>
        <v>15.424999999999994</v>
      </c>
      <c r="P22" s="119">
        <v>8</v>
      </c>
      <c r="Q22" s="107">
        <v>123.39999999999995</v>
      </c>
    </row>
    <row r="23" spans="1:17" x14ac:dyDescent="0.4">
      <c r="A23" s="55" t="s">
        <v>5</v>
      </c>
      <c r="B23" s="51">
        <f>IF(B$17=0,0,C23/B$17)</f>
        <v>9120.5278592375362</v>
      </c>
      <c r="C23" s="41">
        <v>3110100</v>
      </c>
      <c r="E23" s="63" t="s">
        <v>78</v>
      </c>
      <c r="F23" s="60" t="s">
        <v>33</v>
      </c>
      <c r="G23" s="47">
        <v>1</v>
      </c>
      <c r="H23" s="133">
        <f>IF(B$17=0,0,G23/B$17)</f>
        <v>2.9325513196480938E-3</v>
      </c>
      <c r="I23" s="94">
        <v>3</v>
      </c>
      <c r="K23" s="38">
        <v>21</v>
      </c>
      <c r="L23" s="99">
        <v>468.3</v>
      </c>
      <c r="N23" s="115" t="s">
        <v>171</v>
      </c>
      <c r="O23" s="125">
        <f>IF(P23=0,0,Q23/P23)</f>
        <v>-1.0727272727272756</v>
      </c>
      <c r="P23" s="119">
        <v>44</v>
      </c>
      <c r="Q23" s="107">
        <v>-47.200000000000131</v>
      </c>
    </row>
    <row r="24" spans="1:17" x14ac:dyDescent="0.4">
      <c r="A24" s="57" t="s">
        <v>14</v>
      </c>
      <c r="B24" s="52">
        <f>IF(B$20=0,0,C24/B$20)</f>
        <v>-8356.1643835616433</v>
      </c>
      <c r="C24" s="45">
        <v>-1220000</v>
      </c>
      <c r="E24" s="63" t="s">
        <v>86</v>
      </c>
      <c r="F24" s="60" t="s">
        <v>41</v>
      </c>
      <c r="G24" s="47">
        <v>1</v>
      </c>
      <c r="H24" s="133">
        <f>IF(B$17=0,0,G24/B$17)</f>
        <v>2.9325513196480938E-3</v>
      </c>
      <c r="I24" s="94">
        <v>2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2.9325513196480938E-3</v>
      </c>
      <c r="I25" s="94">
        <v>6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91</v>
      </c>
      <c r="F26" s="60" t="s">
        <v>46</v>
      </c>
      <c r="G26" s="47">
        <v>1</v>
      </c>
      <c r="H26" s="133">
        <f>IF(B$17=0,0,G26/B$17)</f>
        <v>2.9325513196480938E-3</v>
      </c>
      <c r="I26" s="94">
        <v>2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1.02880658436214E-3</v>
      </c>
      <c r="E27" s="63" t="s">
        <v>94</v>
      </c>
      <c r="F27" s="60" t="s">
        <v>49</v>
      </c>
      <c r="G27" s="47">
        <v>1</v>
      </c>
      <c r="H27" s="133">
        <f>IF(B$17=0,0,G27/B$17)</f>
        <v>2.9325513196480938E-3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2.9325513196480938E-3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75</v>
      </c>
      <c r="F29" s="60" t="s">
        <v>30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85</v>
      </c>
      <c r="F33" s="60" t="s">
        <v>40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1509.3000000000011</v>
      </c>
    </row>
    <row r="120" spans="11:12" x14ac:dyDescent="0.4">
      <c r="K120" s="38">
        <v>118</v>
      </c>
      <c r="L120" s="99">
        <v>1509.3000000000011</v>
      </c>
    </row>
    <row r="121" spans="11:12" x14ac:dyDescent="0.4">
      <c r="K121" s="38">
        <v>119</v>
      </c>
      <c r="L121" s="99">
        <v>1506.3000000000011</v>
      </c>
    </row>
    <row r="122" spans="11:12" x14ac:dyDescent="0.4">
      <c r="K122" s="38">
        <v>120</v>
      </c>
      <c r="L122" s="99">
        <v>1527.0000000000011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8CAAE-90D3-4FE0-ABA1-2DA7876DD811}">
  <sheetPr codeName="Sheet9"/>
  <dimension ref="A1:Q11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115</v>
      </c>
      <c r="C2" s="147"/>
      <c r="E2" s="62" t="s">
        <v>67</v>
      </c>
      <c r="F2" s="59" t="s">
        <v>23</v>
      </c>
      <c r="G2" s="46">
        <v>197</v>
      </c>
      <c r="H2" s="132">
        <f>IF(B$17=0,0,G2/B$17)</f>
        <v>0.76356589147286824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444.3478260869565</v>
      </c>
      <c r="P2" s="118">
        <v>115</v>
      </c>
      <c r="Q2" s="102">
        <v>51100</v>
      </c>
    </row>
    <row r="3" spans="1:17" x14ac:dyDescent="0.4">
      <c r="A3" s="55" t="s">
        <v>8</v>
      </c>
      <c r="B3" s="148">
        <v>947</v>
      </c>
      <c r="C3" s="149"/>
      <c r="E3" s="63" t="s">
        <v>65</v>
      </c>
      <c r="F3" s="60" t="s">
        <v>21</v>
      </c>
      <c r="G3" s="47">
        <v>156</v>
      </c>
      <c r="H3" s="133">
        <f>IF(B$17=0,0,G3/B$17)</f>
        <v>0.60465116279069764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-2309.0090090090089</v>
      </c>
      <c r="P3" s="119">
        <v>111</v>
      </c>
      <c r="Q3" s="103">
        <v>-256300</v>
      </c>
    </row>
    <row r="4" spans="1:17" x14ac:dyDescent="0.4">
      <c r="A4" s="55" t="s">
        <v>6</v>
      </c>
      <c r="B4" s="150">
        <v>-327.60000000000008</v>
      </c>
      <c r="C4" s="151"/>
      <c r="E4" s="63" t="s">
        <v>73</v>
      </c>
      <c r="F4" s="60" t="s">
        <v>28</v>
      </c>
      <c r="G4" s="47">
        <v>120</v>
      </c>
      <c r="H4" s="133">
        <f>IF(B$17=0,0,G4/B$17)</f>
        <v>0.46511627906976744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62.037037037037038</v>
      </c>
      <c r="P4" s="119">
        <v>108</v>
      </c>
      <c r="Q4" s="103">
        <v>6700</v>
      </c>
    </row>
    <row r="5" spans="1:17" x14ac:dyDescent="0.4">
      <c r="A5" s="55" t="s">
        <v>7</v>
      </c>
      <c r="B5" s="152">
        <f>IF(B$2=0,0,B$4/B$2)</f>
        <v>-2.8486956521739137</v>
      </c>
      <c r="C5" s="153"/>
      <c r="E5" s="63" t="s">
        <v>181</v>
      </c>
      <c r="F5" s="60" t="s">
        <v>182</v>
      </c>
      <c r="G5" s="47">
        <v>114</v>
      </c>
      <c r="H5" s="133">
        <f>IF(B$17=0,0,G5/B$17)</f>
        <v>0.44186046511627908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256.25</v>
      </c>
      <c r="P5" s="119">
        <v>96</v>
      </c>
      <c r="Q5" s="103">
        <v>24600</v>
      </c>
    </row>
    <row r="6" spans="1:17" x14ac:dyDescent="0.4">
      <c r="A6" s="55" t="s">
        <v>1</v>
      </c>
      <c r="B6" s="142">
        <f>IF(B$2=0,0,(B$7*1+B$8*2+B$9*3)/B$2)</f>
        <v>2.0782608695652174</v>
      </c>
      <c r="C6" s="143"/>
      <c r="E6" s="63" t="s">
        <v>68</v>
      </c>
      <c r="F6" s="60" t="s">
        <v>24</v>
      </c>
      <c r="G6" s="47">
        <v>94</v>
      </c>
      <c r="H6" s="133">
        <f>IF(B$17=0,0,G6/B$17)</f>
        <v>0.36434108527131781</v>
      </c>
      <c r="I6" s="94">
        <v>5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31</v>
      </c>
      <c r="C7" s="39">
        <f>IF(B$2=0,0,B7/B$2)</f>
        <v>0.26956521739130435</v>
      </c>
      <c r="E7" s="63" t="s">
        <v>69</v>
      </c>
      <c r="F7" s="60" t="s">
        <v>12</v>
      </c>
      <c r="G7" s="47">
        <v>88</v>
      </c>
      <c r="H7" s="133">
        <f>IF(B$17=0,0,G7/B$17)</f>
        <v>0.34108527131782945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0.38260869565217392</v>
      </c>
      <c r="E8" s="63" t="s">
        <v>70</v>
      </c>
      <c r="F8" s="60" t="s">
        <v>25</v>
      </c>
      <c r="G8" s="47">
        <v>58</v>
      </c>
      <c r="H8" s="133">
        <f>IF(B$17=0,0,G8/B$17)</f>
        <v>0.22480620155038761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0.34782608695652173</v>
      </c>
      <c r="E9" s="63" t="s">
        <v>66</v>
      </c>
      <c r="F9" s="60" t="s">
        <v>22</v>
      </c>
      <c r="G9" s="47">
        <v>41</v>
      </c>
      <c r="H9" s="133">
        <f>IF(B$17=0,0,G9/B$17)</f>
        <v>0.15891472868217055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0.13043478260869565</v>
      </c>
      <c r="E10" s="63" t="s">
        <v>71</v>
      </c>
      <c r="F10" s="60" t="s">
        <v>26</v>
      </c>
      <c r="G10" s="47">
        <v>31</v>
      </c>
      <c r="H10" s="133">
        <f>IF(B$17=0,0,G10/B$17)</f>
        <v>0.12015503875968993</v>
      </c>
      <c r="I10" s="94">
        <v>4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9.5652173913043481E-2</v>
      </c>
      <c r="E11" s="63" t="s">
        <v>90</v>
      </c>
      <c r="F11" s="60" t="s">
        <v>45</v>
      </c>
      <c r="G11" s="47">
        <v>25</v>
      </c>
      <c r="H11" s="133">
        <f>IF(B$17=0,0,G11/B$17)</f>
        <v>9.6899224806201556E-2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6.9565217391304349E-2</v>
      </c>
      <c r="E12" s="63" t="s">
        <v>72</v>
      </c>
      <c r="F12" s="60" t="s">
        <v>27</v>
      </c>
      <c r="G12" s="47">
        <v>14</v>
      </c>
      <c r="H12" s="133">
        <f>IF(B$17=0,0,G12/B$17)</f>
        <v>5.4263565891472867E-2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282</v>
      </c>
      <c r="C13" s="44">
        <f>IF(B$3=0,0,B13/B$3)</f>
        <v>0.29778247096092925</v>
      </c>
      <c r="E13" s="63" t="s">
        <v>87</v>
      </c>
      <c r="F13" s="60" t="s">
        <v>42</v>
      </c>
      <c r="G13" s="47">
        <v>14</v>
      </c>
      <c r="H13" s="133">
        <f>IF(B$17=0,0,G13/B$17)</f>
        <v>5.4263565891472867E-2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171</v>
      </c>
      <c r="C14" s="39">
        <f>IF(B$3=0,0,B14/B$3)</f>
        <v>0.18057022175290391</v>
      </c>
      <c r="E14" s="63" t="s">
        <v>84</v>
      </c>
      <c r="F14" s="60" t="s">
        <v>39</v>
      </c>
      <c r="G14" s="47">
        <v>10</v>
      </c>
      <c r="H14" s="133">
        <f>IF(B$17=0,0,G14/B$17)</f>
        <v>3.875968992248062E-2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165</v>
      </c>
      <c r="C15" s="37">
        <f>IF(B$13=0,0,B15/B$13)</f>
        <v>0.58510638297872342</v>
      </c>
      <c r="E15" s="63" t="s">
        <v>82</v>
      </c>
      <c r="F15" s="60" t="s">
        <v>37</v>
      </c>
      <c r="G15" s="47">
        <v>8</v>
      </c>
      <c r="H15" s="133">
        <f>IF(B$17=0,0,G15/B$17)</f>
        <v>3.1007751937984496E-2</v>
      </c>
      <c r="I15" s="94">
        <v>6</v>
      </c>
      <c r="K15" s="38">
        <v>13</v>
      </c>
      <c r="L15" s="99">
        <v>-81.900000000000006</v>
      </c>
      <c r="N15" s="114" t="s">
        <v>186</v>
      </c>
      <c r="O15" s="124">
        <f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51</v>
      </c>
      <c r="C16" s="37">
        <f>IF(B$14=0,0,B16/B$14)</f>
        <v>0.2982456140350877</v>
      </c>
      <c r="E16" s="63" t="s">
        <v>92</v>
      </c>
      <c r="F16" s="60" t="s">
        <v>47</v>
      </c>
      <c r="G16" s="47">
        <v>6</v>
      </c>
      <c r="H16" s="133">
        <f>IF(B$17=0,0,G16/B$17)</f>
        <v>2.3255813953488372E-2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14.73142857142857</v>
      </c>
      <c r="P16" s="119">
        <v>35</v>
      </c>
      <c r="Q16" s="107">
        <v>515.59999999999991</v>
      </c>
    </row>
    <row r="17" spans="1:17" x14ac:dyDescent="0.4">
      <c r="A17" s="54" t="s">
        <v>10</v>
      </c>
      <c r="B17" s="46">
        <f>B19+B18</f>
        <v>258</v>
      </c>
      <c r="C17" s="37">
        <f>IF(B$3=0,0,B17/B$3)</f>
        <v>0.27243928194297784</v>
      </c>
      <c r="E17" s="63" t="s">
        <v>80</v>
      </c>
      <c r="F17" s="60" t="s">
        <v>35</v>
      </c>
      <c r="G17" s="47">
        <v>5</v>
      </c>
      <c r="H17" s="133">
        <f>IF(B$17=0,0,G17/B$17)</f>
        <v>1.937984496124031E-2</v>
      </c>
      <c r="I17" s="94">
        <v>2</v>
      </c>
      <c r="K17" s="38">
        <v>15</v>
      </c>
      <c r="L17" s="99">
        <v>47.999999999999986</v>
      </c>
      <c r="N17" s="115" t="s">
        <v>173</v>
      </c>
      <c r="O17" s="125">
        <f>IF(P17=0,0,Q17/P17)</f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0.4263565891472868</v>
      </c>
      <c r="E18" s="63" t="s">
        <v>180</v>
      </c>
      <c r="F18" s="60" t="s">
        <v>183</v>
      </c>
      <c r="G18" s="47">
        <v>5</v>
      </c>
      <c r="H18" s="133">
        <f>IF(B$17=0,0,G18/B$17)</f>
        <v>1.937984496124031E-2</v>
      </c>
      <c r="I18" s="94">
        <v>2</v>
      </c>
      <c r="K18" s="38">
        <v>16</v>
      </c>
      <c r="L18" s="99">
        <v>41.699999999999989</v>
      </c>
      <c r="N18" s="115" t="s">
        <v>172</v>
      </c>
      <c r="O18" s="125">
        <f>IF(P18=0,0,Q18/P18)</f>
        <v>1.070000000000001</v>
      </c>
      <c r="P18" s="119">
        <v>30</v>
      </c>
      <c r="Q18" s="107">
        <v>32.10000000000003</v>
      </c>
    </row>
    <row r="19" spans="1:17" x14ac:dyDescent="0.4">
      <c r="A19" s="55" t="s">
        <v>11</v>
      </c>
      <c r="B19" s="47">
        <v>148</v>
      </c>
      <c r="C19" s="39">
        <f>IF(B$17=0,0,B19/B$17)</f>
        <v>0.5736434108527132</v>
      </c>
      <c r="E19" s="63" t="s">
        <v>79</v>
      </c>
      <c r="F19" s="60" t="s">
        <v>34</v>
      </c>
      <c r="G19" s="47">
        <v>4</v>
      </c>
      <c r="H19" s="133">
        <f>IF(B$17=0,0,G19/B$17)</f>
        <v>1.5503875968992248E-2</v>
      </c>
      <c r="I19" s="94">
        <v>9</v>
      </c>
      <c r="K19" s="38">
        <v>17</v>
      </c>
      <c r="L19" s="99">
        <v>94.6</v>
      </c>
      <c r="N19" s="115" t="s">
        <v>171</v>
      </c>
      <c r="O19" s="125">
        <f>IF(P19=0,0,Q19/P19)</f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163</v>
      </c>
      <c r="C20" s="39">
        <f>IF(B$3=0,0,B20/B$3)</f>
        <v>0.17212249208025343</v>
      </c>
      <c r="E20" s="63" t="s">
        <v>74</v>
      </c>
      <c r="F20" s="60" t="s">
        <v>29</v>
      </c>
      <c r="G20" s="47">
        <v>2</v>
      </c>
      <c r="H20" s="133">
        <f>IF(B$17=0,0,G20/B$17)</f>
        <v>7.7519379844961239E-3</v>
      </c>
      <c r="I20" s="94">
        <v>3</v>
      </c>
      <c r="K20" s="38">
        <v>18</v>
      </c>
      <c r="L20" s="99">
        <v>116.69999999999999</v>
      </c>
      <c r="N20" s="115" t="s">
        <v>202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75</v>
      </c>
      <c r="F21" s="60" t="s">
        <v>30</v>
      </c>
      <c r="G21" s="47">
        <v>2</v>
      </c>
      <c r="H21" s="133">
        <f>IF(B$17=0,0,G21/B$17)</f>
        <v>7.7519379844961239E-3</v>
      </c>
      <c r="I21" s="94">
        <v>3</v>
      </c>
      <c r="K21" s="38">
        <v>19</v>
      </c>
      <c r="L21" s="99">
        <v>138.79999999999998</v>
      </c>
      <c r="N21" s="115" t="s">
        <v>177</v>
      </c>
      <c r="O21" s="125">
        <f>IF(P21=0,0,Q21/P21)</f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0</v>
      </c>
      <c r="E22" s="63" t="s">
        <v>76</v>
      </c>
      <c r="F22" s="60" t="s">
        <v>31</v>
      </c>
      <c r="G22" s="47">
        <v>2</v>
      </c>
      <c r="H22" s="133">
        <f>IF(B$17=0,0,G22/B$17)</f>
        <v>7.7519379844961239E-3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-17.662025316455697</v>
      </c>
      <c r="P22" s="119">
        <v>79</v>
      </c>
      <c r="Q22" s="107">
        <v>-1395.3000000000002</v>
      </c>
    </row>
    <row r="23" spans="1:17" x14ac:dyDescent="0.4">
      <c r="A23" s="55" t="s">
        <v>5</v>
      </c>
      <c r="B23" s="51">
        <f>IF(B$17=0,0,C23/B$17)</f>
        <v>9304.2635658914733</v>
      </c>
      <c r="C23" s="41">
        <v>2400500</v>
      </c>
      <c r="E23" s="63" t="s">
        <v>78</v>
      </c>
      <c r="F23" s="60" t="s">
        <v>33</v>
      </c>
      <c r="G23" s="47">
        <v>1</v>
      </c>
      <c r="H23" s="133">
        <f>IF(B$17=0,0,G23/B$17)</f>
        <v>3.875968992248062E-3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-7741.1042944785277</v>
      </c>
      <c r="C24" s="45">
        <v>-1261800</v>
      </c>
      <c r="E24" s="63" t="s">
        <v>85</v>
      </c>
      <c r="F24" s="60" t="s">
        <v>40</v>
      </c>
      <c r="G24" s="47">
        <v>1</v>
      </c>
      <c r="H24" s="133">
        <f>IF(B$17=0,0,G24/B$17)</f>
        <v>3.875968992248062E-3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3.875968992248062E-3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3.875968992248062E-3</v>
      </c>
      <c r="I26" s="94">
        <v>5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5.279831045406547E-3</v>
      </c>
      <c r="E27" s="63" t="s">
        <v>94</v>
      </c>
      <c r="F27" s="60" t="s">
        <v>49</v>
      </c>
      <c r="G27" s="47">
        <v>1</v>
      </c>
      <c r="H27" s="133">
        <f>IF(B$17=0,0,G27/B$17)</f>
        <v>3.875968992248062E-3</v>
      </c>
      <c r="I27" s="94">
        <v>3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3.875968992248062E-3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6A6F9-B802-4520-9D4F-8584E8A83314}">
  <sheetPr codeName="Sheet11"/>
  <dimension ref="A1:Q6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64</v>
      </c>
      <c r="C2" s="147"/>
      <c r="E2" s="62" t="s">
        <v>65</v>
      </c>
      <c r="F2" s="59" t="s">
        <v>21</v>
      </c>
      <c r="G2" s="46">
        <v>68</v>
      </c>
      <c r="H2" s="132">
        <f>IF(B$17=0,0,G2/B$17)</f>
        <v>0.56666666666666665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-1973.4375</v>
      </c>
      <c r="P2" s="118">
        <v>64</v>
      </c>
      <c r="Q2" s="102">
        <v>-126300</v>
      </c>
    </row>
    <row r="3" spans="1:17" x14ac:dyDescent="0.4">
      <c r="A3" s="55" t="s">
        <v>8</v>
      </c>
      <c r="B3" s="148">
        <v>530</v>
      </c>
      <c r="C3" s="149"/>
      <c r="E3" s="63" t="s">
        <v>66</v>
      </c>
      <c r="F3" s="60" t="s">
        <v>22</v>
      </c>
      <c r="G3" s="47">
        <v>9</v>
      </c>
      <c r="H3" s="133">
        <f>IF(B$17=0,0,G3/B$17)</f>
        <v>7.4999999999999997E-2</v>
      </c>
      <c r="I3" s="94">
        <v>8</v>
      </c>
      <c r="K3" s="38">
        <v>1</v>
      </c>
      <c r="L3" s="99">
        <v>-40.4</v>
      </c>
      <c r="N3" s="115" t="s">
        <v>133</v>
      </c>
      <c r="O3" s="122">
        <f t="shared" si="0"/>
        <v>-1333.8709677419354</v>
      </c>
      <c r="P3" s="119">
        <v>62</v>
      </c>
      <c r="Q3" s="103">
        <v>-82700</v>
      </c>
    </row>
    <row r="4" spans="1:17" x14ac:dyDescent="0.4">
      <c r="A4" s="55" t="s">
        <v>6</v>
      </c>
      <c r="B4" s="150">
        <v>-1056.0999999999997</v>
      </c>
      <c r="C4" s="151"/>
      <c r="E4" s="63" t="s">
        <v>67</v>
      </c>
      <c r="F4" s="60" t="s">
        <v>23</v>
      </c>
      <c r="G4" s="47">
        <v>107</v>
      </c>
      <c r="H4" s="133">
        <f>IF(B$17=0,0,G4/B$17)</f>
        <v>0.89166666666666672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-1018.9655172413793</v>
      </c>
      <c r="P4" s="119">
        <v>58</v>
      </c>
      <c r="Q4" s="103">
        <v>-59100</v>
      </c>
    </row>
    <row r="5" spans="1:17" x14ac:dyDescent="0.4">
      <c r="A5" s="55" t="s">
        <v>7</v>
      </c>
      <c r="B5" s="152">
        <f>IF(B$2=0,0,B$4/B$2)</f>
        <v>-16.501562499999995</v>
      </c>
      <c r="C5" s="153"/>
      <c r="E5" s="63" t="s">
        <v>68</v>
      </c>
      <c r="F5" s="60" t="s">
        <v>24</v>
      </c>
      <c r="G5" s="47">
        <v>41</v>
      </c>
      <c r="H5" s="133">
        <f>IF(B$17=0,0,G5/B$17)</f>
        <v>0.34166666666666667</v>
      </c>
      <c r="I5" s="94">
        <v>7</v>
      </c>
      <c r="K5" s="38">
        <v>3</v>
      </c>
      <c r="L5" s="99">
        <v>-23.099999999999998</v>
      </c>
      <c r="N5" s="115" t="s">
        <v>135</v>
      </c>
      <c r="O5" s="122">
        <f t="shared" si="0"/>
        <v>-5580</v>
      </c>
      <c r="P5" s="119">
        <v>50</v>
      </c>
      <c r="Q5" s="103">
        <v>-279000</v>
      </c>
    </row>
    <row r="6" spans="1:17" x14ac:dyDescent="0.4">
      <c r="A6" s="55" t="s">
        <v>1</v>
      </c>
      <c r="B6" s="142">
        <f>IF(B$2=0,0,(B$7*1+B$8*2+B$9*3)/B$2)</f>
        <v>2.265625</v>
      </c>
      <c r="C6" s="143"/>
      <c r="E6" s="63" t="s">
        <v>69</v>
      </c>
      <c r="F6" s="60" t="s">
        <v>12</v>
      </c>
      <c r="G6" s="47">
        <v>52</v>
      </c>
      <c r="H6" s="133">
        <f>IF(B$17=0,0,G6/B$17)</f>
        <v>0.43333333333333335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-1686.3636363636363</v>
      </c>
      <c r="P6" s="119">
        <v>44</v>
      </c>
      <c r="Q6" s="103">
        <v>-74200</v>
      </c>
    </row>
    <row r="7" spans="1:17" x14ac:dyDescent="0.4">
      <c r="A7" s="55" t="s">
        <v>2</v>
      </c>
      <c r="B7" s="47">
        <v>15</v>
      </c>
      <c r="C7" s="39">
        <f>IF(B$2=0,0,B7/B$2)</f>
        <v>0.234375</v>
      </c>
      <c r="E7" s="63" t="s">
        <v>70</v>
      </c>
      <c r="F7" s="60" t="s">
        <v>25</v>
      </c>
      <c r="G7" s="47">
        <v>27</v>
      </c>
      <c r="H7" s="133">
        <f>IF(B$17=0,0,G7/B$17)</f>
        <v>0.22500000000000001</v>
      </c>
      <c r="I7" s="94">
        <v>2</v>
      </c>
      <c r="K7" s="38">
        <v>5</v>
      </c>
      <c r="L7" s="99">
        <v>-32.199999999999996</v>
      </c>
      <c r="N7" s="116" t="s">
        <v>137</v>
      </c>
      <c r="O7" s="123">
        <f t="shared" si="0"/>
        <v>-2143.9024390243903</v>
      </c>
      <c r="P7" s="120">
        <v>41</v>
      </c>
      <c r="Q7" s="104">
        <v>-87900</v>
      </c>
    </row>
    <row r="8" spans="1:17" x14ac:dyDescent="0.4">
      <c r="A8" s="55" t="s">
        <v>3</v>
      </c>
      <c r="B8" s="47">
        <v>17</v>
      </c>
      <c r="C8" s="39">
        <f>IF(B$2=0,0,B8/B$2)</f>
        <v>0.265625</v>
      </c>
      <c r="E8" s="63" t="s">
        <v>71</v>
      </c>
      <c r="F8" s="60" t="s">
        <v>26</v>
      </c>
      <c r="G8" s="47">
        <v>20</v>
      </c>
      <c r="H8" s="133">
        <f>IF(B$17=0,0,G8/B$17)</f>
        <v>0.16666666666666666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32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13</v>
      </c>
      <c r="H9" s="133">
        <f>IF(B$17=0,0,G9/B$17)</f>
        <v>0.10833333333333334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0.1875</v>
      </c>
      <c r="E10" s="63" t="s">
        <v>73</v>
      </c>
      <c r="F10" s="60" t="s">
        <v>28</v>
      </c>
      <c r="G10" s="47">
        <v>42</v>
      </c>
      <c r="H10" s="133">
        <f>IF(B$17=0,0,G10/B$17)</f>
        <v>0.35</v>
      </c>
      <c r="I10" s="94">
        <v>11</v>
      </c>
      <c r="K10" s="38">
        <v>8</v>
      </c>
      <c r="L10" s="99">
        <v>-79.599999999999994</v>
      </c>
      <c r="N10" s="114" t="s">
        <v>164</v>
      </c>
      <c r="O10" s="124">
        <f>IF(P10=0,0,Q10/P10)</f>
        <v>-19.049999999999997</v>
      </c>
      <c r="P10" s="118">
        <v>20</v>
      </c>
      <c r="Q10" s="106">
        <v>-380.99999999999994</v>
      </c>
    </row>
    <row r="11" spans="1:17" x14ac:dyDescent="0.4">
      <c r="A11" s="56" t="s">
        <v>140</v>
      </c>
      <c r="B11" s="48">
        <v>7</v>
      </c>
      <c r="C11" s="40">
        <f>IF(B$2=0,0,B11/B$2)</f>
        <v>0.109375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-13.276923076923081</v>
      </c>
      <c r="P11" s="119">
        <v>26</v>
      </c>
      <c r="Q11" s="107">
        <v>-345.2000000000001</v>
      </c>
    </row>
    <row r="12" spans="1:17" x14ac:dyDescent="0.4">
      <c r="A12" s="57" t="s">
        <v>160</v>
      </c>
      <c r="B12" s="49">
        <v>5</v>
      </c>
      <c r="C12" s="42">
        <f>IF(B$2=0,0,B12/B$2)</f>
        <v>7.8125E-2</v>
      </c>
      <c r="E12" s="63" t="s">
        <v>75</v>
      </c>
      <c r="F12" s="60" t="s">
        <v>30</v>
      </c>
      <c r="G12" s="47">
        <v>2</v>
      </c>
      <c r="H12" s="133">
        <f>IF(B$17=0,0,G12/B$17)</f>
        <v>1.6666666666666666E-2</v>
      </c>
      <c r="I12" s="94">
        <v>1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143</v>
      </c>
      <c r="C13" s="44">
        <f>IF(B$3=0,0,B13/B$3)</f>
        <v>0.26981132075471698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86</v>
      </c>
      <c r="C14" s="39">
        <f>IF(B$3=0,0,B14/B$3)</f>
        <v>0.16226415094339622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71</v>
      </c>
      <c r="C15" s="37">
        <f>IF(B$13=0,0,B15/B$13)</f>
        <v>0.49650349650349651</v>
      </c>
      <c r="E15" s="63" t="s">
        <v>78</v>
      </c>
      <c r="F15" s="60" t="s">
        <v>33</v>
      </c>
      <c r="G15" s="47">
        <v>1</v>
      </c>
      <c r="H15" s="133">
        <f>IF(B$17=0,0,G15/B$17)</f>
        <v>8.3333333333333332E-3</v>
      </c>
      <c r="I15" s="94">
        <v>1</v>
      </c>
      <c r="K15" s="38">
        <v>13</v>
      </c>
      <c r="L15" s="99">
        <v>-369.1</v>
      </c>
      <c r="N15" s="114" t="s">
        <v>225</v>
      </c>
      <c r="O15" s="124">
        <f t="shared" ref="O15:O22" si="2"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20</v>
      </c>
      <c r="C16" s="37">
        <f>IF(B$14=0,0,B16/B$14)</f>
        <v>0.23255813953488372</v>
      </c>
      <c r="E16" s="63" t="s">
        <v>79</v>
      </c>
      <c r="F16" s="60" t="s">
        <v>34</v>
      </c>
      <c r="G16" s="47">
        <v>4</v>
      </c>
      <c r="H16" s="133">
        <f>IF(B$17=0,0,G16/B$17)</f>
        <v>3.3333333333333333E-2</v>
      </c>
      <c r="I16" s="94">
        <v>5</v>
      </c>
      <c r="K16" s="38">
        <v>14</v>
      </c>
      <c r="L16" s="99">
        <v>-394.6</v>
      </c>
      <c r="N16" s="115" t="s">
        <v>177</v>
      </c>
      <c r="O16" s="125">
        <f t="shared" si="2"/>
        <v>3.3454545454545457</v>
      </c>
      <c r="P16" s="119">
        <v>11</v>
      </c>
      <c r="Q16" s="107">
        <v>36.800000000000004</v>
      </c>
    </row>
    <row r="17" spans="1:17" x14ac:dyDescent="0.4">
      <c r="A17" s="54" t="s">
        <v>10</v>
      </c>
      <c r="B17" s="46">
        <f>B19+B18</f>
        <v>120</v>
      </c>
      <c r="C17" s="37">
        <f>IF(B$3=0,0,B17/B$3)</f>
        <v>0.22641509433962265</v>
      </c>
      <c r="E17" s="63" t="s">
        <v>80</v>
      </c>
      <c r="F17" s="60" t="s">
        <v>35</v>
      </c>
      <c r="G17" s="47">
        <v>1</v>
      </c>
      <c r="H17" s="133">
        <f>IF(B$17=0,0,G17/B$17)</f>
        <v>8.3333333333333332E-3</v>
      </c>
      <c r="I17" s="94">
        <v>9</v>
      </c>
      <c r="K17" s="38">
        <v>15</v>
      </c>
      <c r="L17" s="99">
        <v>-424.5</v>
      </c>
      <c r="N17" s="115" t="s">
        <v>128</v>
      </c>
      <c r="O17" s="125">
        <f t="shared" si="2"/>
        <v>-14.731428571428566</v>
      </c>
      <c r="P17" s="119">
        <v>35</v>
      </c>
      <c r="Q17" s="107">
        <v>-515.5999999999998</v>
      </c>
    </row>
    <row r="18" spans="1:17" x14ac:dyDescent="0.4">
      <c r="A18" s="55" t="s">
        <v>12</v>
      </c>
      <c r="B18" s="47">
        <v>60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173</v>
      </c>
      <c r="O18" s="125">
        <f t="shared" si="2"/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60</v>
      </c>
      <c r="C19" s="39">
        <f>IF(B$17=0,0,B19/B$17)</f>
        <v>0.5</v>
      </c>
      <c r="E19" s="63" t="s">
        <v>82</v>
      </c>
      <c r="F19" s="60" t="s">
        <v>37</v>
      </c>
      <c r="G19" s="47">
        <v>2</v>
      </c>
      <c r="H19" s="133">
        <f>IF(B$17=0,0,G19/B$17)</f>
        <v>1.6666666666666666E-2</v>
      </c>
      <c r="I19" s="94">
        <v>9</v>
      </c>
      <c r="K19" s="38">
        <v>17</v>
      </c>
      <c r="L19" s="99">
        <v>-538.29999999999995</v>
      </c>
      <c r="N19" s="115" t="s">
        <v>171</v>
      </c>
      <c r="O19" s="125">
        <f t="shared" si="2"/>
        <v>-26.395</v>
      </c>
      <c r="P19" s="119">
        <v>20</v>
      </c>
      <c r="Q19" s="107">
        <v>-527.9</v>
      </c>
    </row>
    <row r="20" spans="1:17" x14ac:dyDescent="0.4">
      <c r="A20" s="55" t="s">
        <v>13</v>
      </c>
      <c r="B20" s="47">
        <v>104</v>
      </c>
      <c r="C20" s="39">
        <f>IF(B$3=0,0,B20/B$3)</f>
        <v>0.19622641509433963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 t="shared" si="2"/>
        <v>-36.205263157894755</v>
      </c>
      <c r="P20" s="119">
        <v>38</v>
      </c>
      <c r="Q20" s="107">
        <v>-1375.8000000000006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4.1666666666666664E-2</v>
      </c>
      <c r="I21" s="94">
        <v>7</v>
      </c>
      <c r="K21" s="38">
        <v>19</v>
      </c>
      <c r="L21" s="99">
        <v>-569.49999999999989</v>
      </c>
      <c r="N21" s="115" t="s">
        <v>172</v>
      </c>
      <c r="O21" s="125">
        <f t="shared" si="2"/>
        <v>-44.76153846153845</v>
      </c>
      <c r="P21" s="119">
        <v>13</v>
      </c>
      <c r="Q21" s="107">
        <v>-581.89999999999986</v>
      </c>
    </row>
    <row r="22" spans="1:17" x14ac:dyDescent="0.4">
      <c r="A22" s="55" t="s">
        <v>194</v>
      </c>
      <c r="B22" s="47">
        <v>31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-632.99999999999989</v>
      </c>
      <c r="N22" s="115" t="s">
        <v>186</v>
      </c>
      <c r="O22" s="125">
        <f t="shared" si="2"/>
        <v>-54.849999999999994</v>
      </c>
      <c r="P22" s="119">
        <v>2</v>
      </c>
      <c r="Q22" s="107">
        <v>-109.69999999999999</v>
      </c>
    </row>
    <row r="23" spans="1:17" x14ac:dyDescent="0.4">
      <c r="A23" s="55" t="s">
        <v>5</v>
      </c>
      <c r="B23" s="51">
        <f>IF(B$17=0,0,C23/B$17)</f>
        <v>9125.8333333333339</v>
      </c>
      <c r="C23" s="41">
        <v>1095100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-9557.6923076923085</v>
      </c>
      <c r="C24" s="45">
        <v>-994000</v>
      </c>
      <c r="E24" s="63" t="s">
        <v>87</v>
      </c>
      <c r="F24" s="60" t="s">
        <v>42</v>
      </c>
      <c r="G24" s="47">
        <v>9</v>
      </c>
      <c r="H24" s="133">
        <f>IF(B$17=0,0,G24/B$17)</f>
        <v>7.4999999999999997E-2</v>
      </c>
      <c r="I24" s="94">
        <v>3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8.3333333333333332E-3</v>
      </c>
      <c r="I25" s="94">
        <v>2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8.3333333333333332E-3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1.8867924528301887E-3</v>
      </c>
      <c r="E27" s="63" t="s">
        <v>90</v>
      </c>
      <c r="F27" s="60" t="s">
        <v>45</v>
      </c>
      <c r="G27" s="47">
        <v>11</v>
      </c>
      <c r="H27" s="133">
        <f>IF(B$17=0,0,G27/B$17)</f>
        <v>9.166666666666666E-2</v>
      </c>
      <c r="I27" s="94">
        <v>11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8.3333333333333332E-3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1.6666666666666666E-2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-699.39999999999975</v>
      </c>
    </row>
    <row r="51" spans="5:12" x14ac:dyDescent="0.4">
      <c r="E51" s="64" t="s">
        <v>181</v>
      </c>
      <c r="F51" s="61" t="s">
        <v>182</v>
      </c>
      <c r="G51" s="49">
        <v>47</v>
      </c>
      <c r="H51" s="134">
        <f>IF(B$17=0,0,G51/B$17)</f>
        <v>0.39166666666666666</v>
      </c>
      <c r="I51" s="95">
        <v>8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</sheetData>
  <sortState ref="E2:I6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EF8DF-0910-4556-BBB4-E4F01EC90D08}">
  <sheetPr codeName="Sheet13"/>
  <dimension ref="A1:Q7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75</v>
      </c>
      <c r="C2" s="147"/>
      <c r="E2" s="62" t="s">
        <v>67</v>
      </c>
      <c r="F2" s="59" t="s">
        <v>23</v>
      </c>
      <c r="G2" s="46">
        <v>155</v>
      </c>
      <c r="H2" s="132">
        <f>IF(B$17=0,0,G2/B$17)</f>
        <v>0.8707865168539326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-1152</v>
      </c>
      <c r="P2" s="118">
        <v>75</v>
      </c>
      <c r="Q2" s="102">
        <v>-86400</v>
      </c>
    </row>
    <row r="3" spans="1:17" x14ac:dyDescent="0.4">
      <c r="A3" s="55" t="s">
        <v>8</v>
      </c>
      <c r="B3" s="148">
        <v>629</v>
      </c>
      <c r="C3" s="149"/>
      <c r="E3" s="63" t="s">
        <v>65</v>
      </c>
      <c r="F3" s="60" t="s">
        <v>21</v>
      </c>
      <c r="G3" s="47">
        <v>101</v>
      </c>
      <c r="H3" s="133">
        <f>IF(B$17=0,0,G3/B$17)</f>
        <v>0.56741573033707871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382.43243243243245</v>
      </c>
      <c r="P3" s="119">
        <v>74</v>
      </c>
      <c r="Q3" s="103">
        <v>28300</v>
      </c>
    </row>
    <row r="4" spans="1:17" x14ac:dyDescent="0.4">
      <c r="A4" s="55" t="s">
        <v>6</v>
      </c>
      <c r="B4" s="150">
        <v>145.29999999999998</v>
      </c>
      <c r="C4" s="151"/>
      <c r="E4" s="63" t="s">
        <v>73</v>
      </c>
      <c r="F4" s="60" t="s">
        <v>28</v>
      </c>
      <c r="G4" s="47">
        <v>89</v>
      </c>
      <c r="H4" s="133">
        <f>IF(B$17=0,0,G4/B$17)</f>
        <v>0.5</v>
      </c>
      <c r="I4" s="94">
        <v>8</v>
      </c>
      <c r="K4" s="38">
        <v>2</v>
      </c>
      <c r="L4" s="99">
        <v>-93.300000000000011</v>
      </c>
      <c r="N4" s="115" t="s">
        <v>134</v>
      </c>
      <c r="O4" s="122">
        <f t="shared" si="0"/>
        <v>1686.9565217391305</v>
      </c>
      <c r="P4" s="119">
        <v>69</v>
      </c>
      <c r="Q4" s="103">
        <v>116400</v>
      </c>
    </row>
    <row r="5" spans="1:17" x14ac:dyDescent="0.4">
      <c r="A5" s="55" t="s">
        <v>7</v>
      </c>
      <c r="B5" s="152">
        <f>IF(B$2=0,0,B$4/B$2)</f>
        <v>1.9373333333333331</v>
      </c>
      <c r="C5" s="153"/>
      <c r="E5" s="63" t="s">
        <v>181</v>
      </c>
      <c r="F5" s="60" t="s">
        <v>182</v>
      </c>
      <c r="G5" s="47">
        <v>70</v>
      </c>
      <c r="H5" s="133">
        <f>IF(B$17=0,0,G5/B$17)</f>
        <v>0.39325842696629215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2362.7118644067796</v>
      </c>
      <c r="P5" s="119">
        <v>59</v>
      </c>
      <c r="Q5" s="103">
        <v>139400</v>
      </c>
    </row>
    <row r="6" spans="1:17" x14ac:dyDescent="0.4">
      <c r="A6" s="55" t="s">
        <v>1</v>
      </c>
      <c r="B6" s="142">
        <f>IF(B$2=0,0,(B$7*1+B$8*2+B$9*3)/B$2)</f>
        <v>2.04</v>
      </c>
      <c r="C6" s="143"/>
      <c r="E6" s="63" t="s">
        <v>68</v>
      </c>
      <c r="F6" s="60" t="s">
        <v>24</v>
      </c>
      <c r="G6" s="47">
        <v>59</v>
      </c>
      <c r="H6" s="133">
        <f>IF(B$17=0,0,G6/B$17)</f>
        <v>0.33146067415730335</v>
      </c>
      <c r="I6" s="94">
        <v>8</v>
      </c>
      <c r="K6" s="38">
        <v>4</v>
      </c>
      <c r="L6" s="99">
        <v>-11.300000000000011</v>
      </c>
      <c r="N6" s="115" t="s">
        <v>136</v>
      </c>
      <c r="O6" s="122">
        <f t="shared" si="0"/>
        <v>-838.46153846153845</v>
      </c>
      <c r="P6" s="119">
        <v>52</v>
      </c>
      <c r="Q6" s="103">
        <v>-43600</v>
      </c>
    </row>
    <row r="7" spans="1:17" x14ac:dyDescent="0.4">
      <c r="A7" s="55" t="s">
        <v>2</v>
      </c>
      <c r="B7" s="47">
        <v>23</v>
      </c>
      <c r="C7" s="39">
        <f>IF(B$2=0,0,B7/B$2)</f>
        <v>0.30666666666666664</v>
      </c>
      <c r="E7" s="63" t="s">
        <v>69</v>
      </c>
      <c r="F7" s="60" t="s">
        <v>12</v>
      </c>
      <c r="G7" s="47">
        <v>56</v>
      </c>
      <c r="H7" s="133">
        <f>IF(B$17=0,0,G7/B$17)</f>
        <v>0.3146067415730337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462.5</v>
      </c>
      <c r="P7" s="120">
        <v>48</v>
      </c>
      <c r="Q7" s="104">
        <v>22200</v>
      </c>
    </row>
    <row r="8" spans="1:17" x14ac:dyDescent="0.4">
      <c r="A8" s="55" t="s">
        <v>3</v>
      </c>
      <c r="B8" s="47">
        <v>26</v>
      </c>
      <c r="C8" s="39">
        <f>IF(B$2=0,0,B8/B$2)</f>
        <v>0.34666666666666668</v>
      </c>
      <c r="E8" s="63" t="s">
        <v>70</v>
      </c>
      <c r="F8" s="60" t="s">
        <v>25</v>
      </c>
      <c r="G8" s="47">
        <v>35</v>
      </c>
      <c r="H8" s="133">
        <f>IF(B$17=0,0,G8/B$17)</f>
        <v>0.19662921348314608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0.34666666666666668</v>
      </c>
      <c r="E9" s="63" t="s">
        <v>90</v>
      </c>
      <c r="F9" s="60" t="s">
        <v>45</v>
      </c>
      <c r="G9" s="47">
        <v>27</v>
      </c>
      <c r="H9" s="133">
        <f>IF(B$17=0,0,G9/B$17)</f>
        <v>0.15168539325842698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6.6666666666666666E-2</v>
      </c>
      <c r="E10" s="63" t="s">
        <v>66</v>
      </c>
      <c r="F10" s="60" t="s">
        <v>22</v>
      </c>
      <c r="G10" s="47">
        <v>25</v>
      </c>
      <c r="H10" s="133">
        <f>IF(B$17=0,0,G10/B$17)</f>
        <v>0.1404494382022472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4.68</v>
      </c>
      <c r="P10" s="118">
        <v>20</v>
      </c>
      <c r="Q10" s="106">
        <v>93.6</v>
      </c>
    </row>
    <row r="11" spans="1:17" x14ac:dyDescent="0.4">
      <c r="A11" s="56" t="s">
        <v>140</v>
      </c>
      <c r="B11" s="48">
        <v>10</v>
      </c>
      <c r="C11" s="40">
        <f>IF(B$2=0,0,B11/B$2)</f>
        <v>0.13333333333333333</v>
      </c>
      <c r="E11" s="63" t="s">
        <v>71</v>
      </c>
      <c r="F11" s="60" t="s">
        <v>26</v>
      </c>
      <c r="G11" s="47">
        <v>20</v>
      </c>
      <c r="H11" s="133">
        <f>IF(B$17=0,0,G11/B$17)</f>
        <v>0.11235955056179775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-2.7357142857142844</v>
      </c>
      <c r="P11" s="119">
        <v>28</v>
      </c>
      <c r="Q11" s="107">
        <v>-76.599999999999966</v>
      </c>
    </row>
    <row r="12" spans="1:17" x14ac:dyDescent="0.4">
      <c r="A12" s="57" t="s">
        <v>160</v>
      </c>
      <c r="B12" s="49">
        <v>6</v>
      </c>
      <c r="C12" s="42">
        <f>IF(B$2=0,0,B12/B$2)</f>
        <v>0.08</v>
      </c>
      <c r="E12" s="63" t="s">
        <v>87</v>
      </c>
      <c r="F12" s="60" t="s">
        <v>42</v>
      </c>
      <c r="G12" s="47">
        <v>13</v>
      </c>
      <c r="H12" s="133">
        <f>IF(B$17=0,0,G12/B$17)</f>
        <v>7.3033707865168537E-2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4.7518518518518524</v>
      </c>
      <c r="P12" s="120">
        <v>27</v>
      </c>
      <c r="Q12" s="108">
        <v>128.30000000000001</v>
      </c>
    </row>
    <row r="13" spans="1:17" x14ac:dyDescent="0.4">
      <c r="A13" s="58" t="s">
        <v>122</v>
      </c>
      <c r="B13" s="50">
        <v>180</v>
      </c>
      <c r="C13" s="44">
        <f>IF(B$3=0,0,B13/B$3)</f>
        <v>0.2861685214626391</v>
      </c>
      <c r="E13" s="63" t="s">
        <v>72</v>
      </c>
      <c r="F13" s="60" t="s">
        <v>27</v>
      </c>
      <c r="G13" s="47">
        <v>12</v>
      </c>
      <c r="H13" s="133">
        <f>IF(B$17=0,0,G13/B$17)</f>
        <v>6.741573033707865E-2</v>
      </c>
      <c r="I13" s="94">
        <v>5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118</v>
      </c>
      <c r="C14" s="39">
        <f>IF(B$3=0,0,B14/B$3)</f>
        <v>0.18759936406995231</v>
      </c>
      <c r="E14" s="63" t="s">
        <v>79</v>
      </c>
      <c r="F14" s="60" t="s">
        <v>34</v>
      </c>
      <c r="G14" s="47">
        <v>9</v>
      </c>
      <c r="H14" s="133">
        <f>IF(B$17=0,0,G14/B$17)</f>
        <v>5.0561797752808987E-2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106</v>
      </c>
      <c r="C15" s="37">
        <f>IF(B$13=0,0,B15/B$13)</f>
        <v>0.58888888888888891</v>
      </c>
      <c r="E15" s="63" t="s">
        <v>82</v>
      </c>
      <c r="F15" s="60" t="s">
        <v>37</v>
      </c>
      <c r="G15" s="47">
        <v>7</v>
      </c>
      <c r="H15" s="133">
        <f>IF(B$17=0,0,G15/B$17)</f>
        <v>3.9325842696629212E-2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26.394999999999992</v>
      </c>
      <c r="P15" s="118">
        <v>20</v>
      </c>
      <c r="Q15" s="106">
        <v>527.89999999999986</v>
      </c>
    </row>
    <row r="16" spans="1:17" x14ac:dyDescent="0.4">
      <c r="A16" s="54" t="s">
        <v>125</v>
      </c>
      <c r="B16" s="46">
        <v>47</v>
      </c>
      <c r="C16" s="37">
        <f>IF(B$14=0,0,B16/B$14)</f>
        <v>0.39830508474576271</v>
      </c>
      <c r="E16" s="63" t="s">
        <v>84</v>
      </c>
      <c r="F16" s="60" t="s">
        <v>39</v>
      </c>
      <c r="G16" s="47">
        <v>7</v>
      </c>
      <c r="H16" s="133">
        <f>IF(B$17=0,0,G16/B$17)</f>
        <v>3.9325842696629212E-2</v>
      </c>
      <c r="I16" s="94">
        <v>8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178</v>
      </c>
      <c r="C17" s="37">
        <f>IF(B$3=0,0,B17/B$3)</f>
        <v>0.28298887122416533</v>
      </c>
      <c r="E17" s="63" t="s">
        <v>92</v>
      </c>
      <c r="F17" s="60" t="s">
        <v>47</v>
      </c>
      <c r="G17" s="47">
        <v>4</v>
      </c>
      <c r="H17" s="133">
        <f>IF(B$17=0,0,G17/B$17)</f>
        <v>2.247191011235955E-2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76</v>
      </c>
      <c r="C18" s="39">
        <f>IF(B$17=0,0,B18/B$17)</f>
        <v>0.42696629213483145</v>
      </c>
      <c r="E18" s="63" t="s">
        <v>76</v>
      </c>
      <c r="F18" s="60" t="s">
        <v>31</v>
      </c>
      <c r="G18" s="47">
        <v>3</v>
      </c>
      <c r="H18" s="133">
        <f>IF(B$17=0,0,G18/B$17)</f>
        <v>1.6853932584269662E-2</v>
      </c>
      <c r="I18" s="94">
        <v>2</v>
      </c>
      <c r="K18" s="38">
        <v>16</v>
      </c>
      <c r="L18" s="99">
        <v>-50.3</v>
      </c>
      <c r="N18" s="115" t="s">
        <v>172</v>
      </c>
      <c r="O18" s="125">
        <f>IF(P18=0,0,Q18/P18)</f>
        <v>3.6749999999999998</v>
      </c>
      <c r="P18" s="119">
        <v>16</v>
      </c>
      <c r="Q18" s="107">
        <v>58.8</v>
      </c>
    </row>
    <row r="19" spans="1:17" x14ac:dyDescent="0.4">
      <c r="A19" s="55" t="s">
        <v>11</v>
      </c>
      <c r="B19" s="47">
        <v>102</v>
      </c>
      <c r="C19" s="39">
        <f>IF(B$17=0,0,B19/B$17)</f>
        <v>0.5730337078651685</v>
      </c>
      <c r="E19" s="63" t="s">
        <v>80</v>
      </c>
      <c r="F19" s="60" t="s">
        <v>35</v>
      </c>
      <c r="G19" s="47">
        <v>3</v>
      </c>
      <c r="H19" s="133">
        <f>IF(B$17=0,0,G19/B$17)</f>
        <v>1.6853932584269662E-2</v>
      </c>
      <c r="I19" s="94">
        <v>5</v>
      </c>
      <c r="K19" s="38">
        <v>17</v>
      </c>
      <c r="L19" s="99">
        <v>-74.3</v>
      </c>
      <c r="N19" s="115" t="s">
        <v>128</v>
      </c>
      <c r="O19" s="125">
        <f>IF(P19=0,0,Q19/P19)</f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108</v>
      </c>
      <c r="C20" s="39">
        <f>IF(B$3=0,0,B20/B$3)</f>
        <v>0.17170111287758347</v>
      </c>
      <c r="E20" s="63" t="s">
        <v>85</v>
      </c>
      <c r="F20" s="60" t="s">
        <v>40</v>
      </c>
      <c r="G20" s="47">
        <v>2</v>
      </c>
      <c r="H20" s="133">
        <f>IF(B$17=0,0,G20/B$17)</f>
        <v>1.1235955056179775E-2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>IF(P20=0,0,Q20/P20)</f>
        <v>1.0727272727272774</v>
      </c>
      <c r="P20" s="119">
        <v>44</v>
      </c>
      <c r="Q20" s="107">
        <v>47.200000000000202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93</v>
      </c>
      <c r="F21" s="60" t="s">
        <v>48</v>
      </c>
      <c r="G21" s="47">
        <v>2</v>
      </c>
      <c r="H21" s="133">
        <f>IF(B$17=0,0,G21/B$17)</f>
        <v>1.1235955056179775E-2</v>
      </c>
      <c r="I21" s="94">
        <v>1</v>
      </c>
      <c r="K21" s="38">
        <v>19</v>
      </c>
      <c r="L21" s="99">
        <v>0.60000000000000853</v>
      </c>
      <c r="N21" s="115" t="s">
        <v>202</v>
      </c>
      <c r="O21" s="125">
        <f>IF(P21=0,0,Q21/P21)</f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3</v>
      </c>
      <c r="E22" s="63" t="s">
        <v>180</v>
      </c>
      <c r="F22" s="60" t="s">
        <v>183</v>
      </c>
      <c r="G22" s="47">
        <v>2</v>
      </c>
      <c r="H22" s="133">
        <f>IF(B$17=0,0,G22/B$17)</f>
        <v>1.1235955056179775E-2</v>
      </c>
      <c r="I22" s="94">
        <v>4</v>
      </c>
      <c r="K22" s="38">
        <v>20</v>
      </c>
      <c r="L22" s="99">
        <v>-3.5999999999999917</v>
      </c>
      <c r="N22" s="115" t="s">
        <v>177</v>
      </c>
      <c r="O22" s="125">
        <f>IF(P22=0,0,Q22/P22)</f>
        <v>-34.907692307692308</v>
      </c>
      <c r="P22" s="119">
        <v>13</v>
      </c>
      <c r="Q22" s="107">
        <v>-453.8</v>
      </c>
    </row>
    <row r="23" spans="1:17" x14ac:dyDescent="0.4">
      <c r="A23" s="55" t="s">
        <v>5</v>
      </c>
      <c r="B23" s="51">
        <f>IF(B$17=0,0,C23/B$17)</f>
        <v>9939.8876404494385</v>
      </c>
      <c r="C23" s="41">
        <v>1769300</v>
      </c>
      <c r="E23" s="63" t="s">
        <v>74</v>
      </c>
      <c r="F23" s="60" t="s">
        <v>29</v>
      </c>
      <c r="G23" s="47">
        <v>1</v>
      </c>
      <c r="H23" s="133">
        <f>IF(B$17=0,0,G23/B$17)</f>
        <v>5.6179775280898875E-3</v>
      </c>
      <c r="I23" s="94">
        <v>6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-7845.3703703703704</v>
      </c>
      <c r="C24" s="45">
        <v>-847300</v>
      </c>
      <c r="E24" s="63" t="s">
        <v>88</v>
      </c>
      <c r="F24" s="60" t="s">
        <v>43</v>
      </c>
      <c r="G24" s="47">
        <v>1</v>
      </c>
      <c r="H24" s="133">
        <f>IF(B$17=0,0,G24/B$17)</f>
        <v>5.6179775280898875E-3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1</v>
      </c>
      <c r="H25" s="133">
        <f>IF(B$17=0,0,G25/B$17)</f>
        <v>5.6179775280898875E-3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6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1.589825119236884E-3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41.299999999999983</v>
      </c>
    </row>
    <row r="76" spans="11:12" x14ac:dyDescent="0.4">
      <c r="K76" s="38">
        <v>74</v>
      </c>
      <c r="L76" s="99">
        <v>87.299999999999983</v>
      </c>
    </row>
    <row r="77" spans="11:12" x14ac:dyDescent="0.4">
      <c r="K77" s="38">
        <v>75</v>
      </c>
      <c r="L77" s="99">
        <v>145.29999999999998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AABC9-DCC0-4946-8564-6912072B0AF3}">
  <sheetPr codeName="Sheet15"/>
  <dimension ref="A1:Q6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59</v>
      </c>
      <c r="C2" s="147"/>
      <c r="E2" s="62" t="s">
        <v>65</v>
      </c>
      <c r="F2" s="59" t="s">
        <v>21</v>
      </c>
      <c r="G2" s="46">
        <v>66</v>
      </c>
      <c r="H2" s="132">
        <f>IF(B$17=0,0,G2/B$17)</f>
        <v>0.35106382978723405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445.76271186440675</v>
      </c>
      <c r="P2" s="118">
        <v>59</v>
      </c>
      <c r="Q2" s="102">
        <v>26300</v>
      </c>
    </row>
    <row r="3" spans="1:17" x14ac:dyDescent="0.4">
      <c r="A3" s="55" t="s">
        <v>8</v>
      </c>
      <c r="B3" s="148">
        <v>516</v>
      </c>
      <c r="C3" s="149"/>
      <c r="E3" s="63" t="s">
        <v>66</v>
      </c>
      <c r="F3" s="60" t="s">
        <v>22</v>
      </c>
      <c r="G3" s="47">
        <v>21</v>
      </c>
      <c r="H3" s="133">
        <f>IF(B$17=0,0,G3/B$17)</f>
        <v>0.11170212765957446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100</v>
      </c>
      <c r="P3" s="119">
        <v>59</v>
      </c>
      <c r="Q3" s="103">
        <v>5900</v>
      </c>
    </row>
    <row r="4" spans="1:17" x14ac:dyDescent="0.4">
      <c r="A4" s="55" t="s">
        <v>6</v>
      </c>
      <c r="B4" s="150">
        <v>21.999999999999986</v>
      </c>
      <c r="C4" s="151"/>
      <c r="E4" s="63" t="s">
        <v>67</v>
      </c>
      <c r="F4" s="60" t="s">
        <v>23</v>
      </c>
      <c r="G4" s="47">
        <v>125</v>
      </c>
      <c r="H4" s="133">
        <f>IF(B$17=0,0,G4/B$17)</f>
        <v>0.66489361702127658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-1135.8490566037735</v>
      </c>
      <c r="P4" s="119">
        <v>53</v>
      </c>
      <c r="Q4" s="103">
        <v>-60200</v>
      </c>
    </row>
    <row r="5" spans="1:17" x14ac:dyDescent="0.4">
      <c r="A5" s="55" t="s">
        <v>7</v>
      </c>
      <c r="B5" s="152">
        <f>IF(B$2=0,0,B$4/B$2)</f>
        <v>0.37288135593220317</v>
      </c>
      <c r="C5" s="153"/>
      <c r="E5" s="63" t="s">
        <v>68</v>
      </c>
      <c r="F5" s="60" t="s">
        <v>24</v>
      </c>
      <c r="G5" s="47">
        <v>32</v>
      </c>
      <c r="H5" s="133">
        <f>IF(B$17=0,0,G5/B$17)</f>
        <v>0.1702127659574468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372</v>
      </c>
      <c r="P5" s="119">
        <v>50</v>
      </c>
      <c r="Q5" s="103">
        <v>18600</v>
      </c>
    </row>
    <row r="6" spans="1:17" x14ac:dyDescent="0.4">
      <c r="A6" s="55" t="s">
        <v>1</v>
      </c>
      <c r="B6" s="142">
        <f>IF(B$2=0,0,(B$7*1+B$8*2+B$9*3)/B$2)</f>
        <v>2.0338983050847457</v>
      </c>
      <c r="C6" s="143"/>
      <c r="E6" s="63" t="s">
        <v>69</v>
      </c>
      <c r="F6" s="60" t="s">
        <v>12</v>
      </c>
      <c r="G6" s="47">
        <v>51</v>
      </c>
      <c r="H6" s="133">
        <f>IF(B$17=0,0,G6/B$17)</f>
        <v>0.27127659574468083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661.22448979591832</v>
      </c>
      <c r="P6" s="119">
        <v>49</v>
      </c>
      <c r="Q6" s="103">
        <v>32400</v>
      </c>
    </row>
    <row r="7" spans="1:17" x14ac:dyDescent="0.4">
      <c r="A7" s="55" t="s">
        <v>2</v>
      </c>
      <c r="B7" s="47">
        <v>16</v>
      </c>
      <c r="C7" s="39">
        <f>IF(B$2=0,0,B7/B$2)</f>
        <v>0.2711864406779661</v>
      </c>
      <c r="E7" s="63" t="s">
        <v>70</v>
      </c>
      <c r="F7" s="60" t="s">
        <v>25</v>
      </c>
      <c r="G7" s="47">
        <v>28</v>
      </c>
      <c r="H7" s="133">
        <f>IF(B$17=0,0,G7/B$17)</f>
        <v>0.14893617021276595</v>
      </c>
      <c r="I7" s="94">
        <v>9</v>
      </c>
      <c r="K7" s="38">
        <v>5</v>
      </c>
      <c r="L7" s="99">
        <v>29.4</v>
      </c>
      <c r="N7" s="116" t="s">
        <v>137</v>
      </c>
      <c r="O7" s="123">
        <f t="shared" si="0"/>
        <v>-351.16279069767444</v>
      </c>
      <c r="P7" s="120">
        <v>43</v>
      </c>
      <c r="Q7" s="104">
        <v>-15100</v>
      </c>
    </row>
    <row r="8" spans="1:17" x14ac:dyDescent="0.4">
      <c r="A8" s="55" t="s">
        <v>3</v>
      </c>
      <c r="B8" s="47">
        <v>25</v>
      </c>
      <c r="C8" s="39">
        <f>IF(B$2=0,0,B8/B$2)</f>
        <v>0.42372881355932202</v>
      </c>
      <c r="E8" s="63" t="s">
        <v>71</v>
      </c>
      <c r="F8" s="60" t="s">
        <v>26</v>
      </c>
      <c r="G8" s="47">
        <v>11</v>
      </c>
      <c r="H8" s="133">
        <f>IF(B$17=0,0,G8/B$17)</f>
        <v>5.8510638297872342E-2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0.30508474576271188</v>
      </c>
      <c r="E9" s="63" t="s">
        <v>72</v>
      </c>
      <c r="F9" s="60" t="s">
        <v>27</v>
      </c>
      <c r="G9" s="47">
        <v>15</v>
      </c>
      <c r="H9" s="133">
        <f>IF(B$17=0,0,G9/B$17)</f>
        <v>7.9787234042553196E-2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5.0847457627118647E-2</v>
      </c>
      <c r="E10" s="63" t="s">
        <v>73</v>
      </c>
      <c r="F10" s="60" t="s">
        <v>28</v>
      </c>
      <c r="G10" s="47">
        <v>106</v>
      </c>
      <c r="H10" s="133">
        <f>IF(B$17=0,0,G10/B$17)</f>
        <v>0.56382978723404253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-10.305882352941179</v>
      </c>
      <c r="P10" s="118">
        <v>17</v>
      </c>
      <c r="Q10" s="106">
        <v>-175.20000000000005</v>
      </c>
    </row>
    <row r="11" spans="1:17" x14ac:dyDescent="0.4">
      <c r="A11" s="56" t="s">
        <v>140</v>
      </c>
      <c r="B11" s="48">
        <v>6</v>
      </c>
      <c r="C11" s="40">
        <f>IF(B$2=0,0,B11/B$2)</f>
        <v>0.10169491525423729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6.7349999999999994</v>
      </c>
      <c r="P11" s="119">
        <v>20</v>
      </c>
      <c r="Q11" s="107">
        <v>134.69999999999999</v>
      </c>
    </row>
    <row r="12" spans="1:17" x14ac:dyDescent="0.4">
      <c r="A12" s="57" t="s">
        <v>160</v>
      </c>
      <c r="B12" s="49">
        <v>3</v>
      </c>
      <c r="C12" s="42">
        <f>IF(B$2=0,0,B12/B$2)</f>
        <v>5.0847457627118647E-2</v>
      </c>
      <c r="E12" s="63" t="s">
        <v>75</v>
      </c>
      <c r="F12" s="60" t="s">
        <v>30</v>
      </c>
      <c r="G12" s="47">
        <v>1</v>
      </c>
      <c r="H12" s="133">
        <f>IF(B$17=0,0,G12/B$17)</f>
        <v>5.3191489361702126E-3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2.8409090909090913</v>
      </c>
      <c r="P12" s="120">
        <v>22</v>
      </c>
      <c r="Q12" s="108">
        <v>62.500000000000007</v>
      </c>
    </row>
    <row r="13" spans="1:17" x14ac:dyDescent="0.4">
      <c r="A13" s="58" t="s">
        <v>122</v>
      </c>
      <c r="B13" s="50">
        <v>114</v>
      </c>
      <c r="C13" s="44">
        <f>IF(B$3=0,0,B13/B$3)</f>
        <v>0.22093023255813954</v>
      </c>
      <c r="E13" s="63" t="s">
        <v>76</v>
      </c>
      <c r="F13" s="60" t="s">
        <v>31</v>
      </c>
      <c r="G13" s="47">
        <v>1</v>
      </c>
      <c r="H13" s="133">
        <f>IF(B$17=0,0,G13/B$17)</f>
        <v>5.3191489361702126E-3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149</v>
      </c>
      <c r="C14" s="39">
        <f>IF(B$3=0,0,B14/B$3)</f>
        <v>0.28875968992248063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66</v>
      </c>
      <c r="C15" s="37">
        <f>IF(B$13=0,0,B15/B$13)</f>
        <v>0.57894736842105265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44.761538461538443</v>
      </c>
      <c r="P15" s="118">
        <v>13</v>
      </c>
      <c r="Q15" s="106">
        <v>581.89999999999975</v>
      </c>
    </row>
    <row r="16" spans="1:17" x14ac:dyDescent="0.4">
      <c r="A16" s="54" t="s">
        <v>125</v>
      </c>
      <c r="B16" s="46">
        <v>66</v>
      </c>
      <c r="C16" s="37">
        <f>IF(B$14=0,0,B16/B$14)</f>
        <v>0.44295302013422821</v>
      </c>
      <c r="E16" s="63" t="s">
        <v>79</v>
      </c>
      <c r="F16" s="60" t="s">
        <v>34</v>
      </c>
      <c r="G16" s="47">
        <v>2</v>
      </c>
      <c r="H16" s="133">
        <f>IF(B$17=0,0,G16/B$17)</f>
        <v>1.0638297872340425E-2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188</v>
      </c>
      <c r="C17" s="37">
        <f>IF(B$3=0,0,B17/B$3)</f>
        <v>0.36434108527131781</v>
      </c>
      <c r="E17" s="63" t="s">
        <v>80</v>
      </c>
      <c r="F17" s="60" t="s">
        <v>35</v>
      </c>
      <c r="G17" s="47">
        <v>2</v>
      </c>
      <c r="H17" s="133">
        <f>IF(B$17=0,0,G17/B$17)</f>
        <v>1.0638297872340425E-2</v>
      </c>
      <c r="I17" s="94">
        <v>8</v>
      </c>
      <c r="K17" s="38">
        <v>15</v>
      </c>
      <c r="L17" s="99">
        <v>-80.3</v>
      </c>
      <c r="N17" s="115" t="s">
        <v>186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79</v>
      </c>
      <c r="C18" s="39">
        <f>IF(B$17=0,0,B18/B$17)</f>
        <v>0.42021276595744683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202</v>
      </c>
      <c r="O18" s="125">
        <f t="shared" si="2"/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109</v>
      </c>
      <c r="C19" s="39">
        <f>IF(B$17=0,0,B19/B$17)</f>
        <v>0.57978723404255317</v>
      </c>
      <c r="E19" s="63" t="s">
        <v>82</v>
      </c>
      <c r="F19" s="60" t="s">
        <v>37</v>
      </c>
      <c r="G19" s="47">
        <v>6</v>
      </c>
      <c r="H19" s="133">
        <f>IF(B$17=0,0,G19/B$17)</f>
        <v>3.1914893617021274E-2</v>
      </c>
      <c r="I19" s="94">
        <v>5</v>
      </c>
      <c r="K19" s="38">
        <v>17</v>
      </c>
      <c r="L19" s="99">
        <v>-55.099999999999994</v>
      </c>
      <c r="N19" s="115" t="s">
        <v>173</v>
      </c>
      <c r="O19" s="125">
        <f t="shared" si="2"/>
        <v>12.590909090909088</v>
      </c>
      <c r="P19" s="119">
        <v>11</v>
      </c>
      <c r="Q19" s="107">
        <v>138.49999999999997</v>
      </c>
    </row>
    <row r="20" spans="1:17" x14ac:dyDescent="0.4">
      <c r="A20" s="55" t="s">
        <v>13</v>
      </c>
      <c r="B20" s="47">
        <v>66</v>
      </c>
      <c r="C20" s="39">
        <f>IF(B$3=0,0,B20/B$3)</f>
        <v>0.12790697674418605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177</v>
      </c>
      <c r="O20" s="125">
        <f t="shared" si="2"/>
        <v>7.7299999999999995</v>
      </c>
      <c r="P20" s="119">
        <v>10</v>
      </c>
      <c r="Q20" s="107">
        <v>77.3</v>
      </c>
    </row>
    <row r="21" spans="1:17" x14ac:dyDescent="0.4">
      <c r="A21" s="55" t="s">
        <v>193</v>
      </c>
      <c r="B21" s="47">
        <v>10</v>
      </c>
      <c r="C21" s="135">
        <v>3</v>
      </c>
      <c r="E21" s="63" t="s">
        <v>84</v>
      </c>
      <c r="F21" s="60" t="s">
        <v>39</v>
      </c>
      <c r="G21" s="47">
        <v>10</v>
      </c>
      <c r="H21" s="133">
        <f>IF(B$17=0,0,G21/B$17)</f>
        <v>5.3191489361702128E-2</v>
      </c>
      <c r="I21" s="94">
        <v>2</v>
      </c>
      <c r="K21" s="38">
        <v>19</v>
      </c>
      <c r="L21" s="99">
        <v>29.200000000000003</v>
      </c>
      <c r="N21" s="115" t="s">
        <v>128</v>
      </c>
      <c r="O21" s="125">
        <f t="shared" si="2"/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15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43</v>
      </c>
      <c r="N22" s="115" t="s">
        <v>171</v>
      </c>
      <c r="O22" s="125">
        <f t="shared" si="2"/>
        <v>-3.6750000000000007</v>
      </c>
      <c r="P22" s="119">
        <v>16</v>
      </c>
      <c r="Q22" s="107">
        <v>-58.800000000000011</v>
      </c>
    </row>
    <row r="23" spans="1:17" x14ac:dyDescent="0.4">
      <c r="A23" s="55" t="s">
        <v>5</v>
      </c>
      <c r="B23" s="51">
        <f>IF(B$17=0,0,C23/B$17)</f>
        <v>6579.255319148936</v>
      </c>
      <c r="C23" s="41">
        <v>1236900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-24.890322580645162</v>
      </c>
      <c r="P23" s="119">
        <v>31</v>
      </c>
      <c r="Q23" s="107">
        <v>-771.6</v>
      </c>
    </row>
    <row r="24" spans="1:17" x14ac:dyDescent="0.4">
      <c r="A24" s="57" t="s">
        <v>14</v>
      </c>
      <c r="B24" s="52">
        <f>IF(B$20=0,0,C24/B$20)</f>
        <v>-9269.69696969697</v>
      </c>
      <c r="C24" s="45">
        <v>-611800</v>
      </c>
      <c r="E24" s="63" t="s">
        <v>87</v>
      </c>
      <c r="F24" s="60" t="s">
        <v>42</v>
      </c>
      <c r="G24" s="47">
        <v>8</v>
      </c>
      <c r="H24" s="133">
        <f>IF(B$17=0,0,G24/B$17)</f>
        <v>4.2553191489361701E-2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5.3191489361702126E-3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1.937984496124031E-3</v>
      </c>
      <c r="E27" s="63" t="s">
        <v>90</v>
      </c>
      <c r="F27" s="60" t="s">
        <v>45</v>
      </c>
      <c r="G27" s="47">
        <v>12</v>
      </c>
      <c r="H27" s="133">
        <f>IF(B$17=0,0,G27/B$17)</f>
        <v>6.3829787234042548E-2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1.0638297872340425E-2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64" t="s">
        <v>181</v>
      </c>
      <c r="F51" s="61" t="s">
        <v>182</v>
      </c>
      <c r="G51" s="49">
        <v>86</v>
      </c>
      <c r="H51" s="134">
        <f>IF(B$17=0,0,G51/B$17)</f>
        <v>0.45744680851063829</v>
      </c>
      <c r="I51" s="95">
        <v>2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</sheetData>
  <sortState ref="E2:I6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71F2C-5B6A-4196-8AB8-C6FBD5D4E595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41</v>
      </c>
      <c r="C2" s="147"/>
      <c r="E2" s="62" t="s">
        <v>65</v>
      </c>
      <c r="F2" s="59" t="s">
        <v>21</v>
      </c>
      <c r="G2" s="46">
        <v>48</v>
      </c>
      <c r="H2" s="132">
        <f>IF(B$17=0,0,G2/B$17)</f>
        <v>0.46153846153846156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-3139.0243902439024</v>
      </c>
      <c r="P2" s="118">
        <v>41</v>
      </c>
      <c r="Q2" s="102">
        <v>-128700</v>
      </c>
    </row>
    <row r="3" spans="1:17" x14ac:dyDescent="0.4">
      <c r="A3" s="55" t="s">
        <v>8</v>
      </c>
      <c r="B3" s="148">
        <v>355</v>
      </c>
      <c r="C3" s="149"/>
      <c r="E3" s="63" t="s">
        <v>66</v>
      </c>
      <c r="F3" s="60" t="s">
        <v>22</v>
      </c>
      <c r="G3" s="47">
        <v>8</v>
      </c>
      <c r="H3" s="133">
        <f>IF(B$17=0,0,G3/B$17)</f>
        <v>7.6923076923076927E-2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2056.0975609756097</v>
      </c>
      <c r="P3" s="119">
        <v>41</v>
      </c>
      <c r="Q3" s="103">
        <v>84300</v>
      </c>
    </row>
    <row r="4" spans="1:17" x14ac:dyDescent="0.4">
      <c r="A4" s="55" t="s">
        <v>6</v>
      </c>
      <c r="B4" s="150">
        <v>-303.59999999999997</v>
      </c>
      <c r="C4" s="151"/>
      <c r="E4" s="63" t="s">
        <v>67</v>
      </c>
      <c r="F4" s="60" t="s">
        <v>23</v>
      </c>
      <c r="G4" s="47">
        <v>73</v>
      </c>
      <c r="H4" s="133">
        <f>IF(B$17=0,0,G4/B$17)</f>
        <v>0.70192307692307687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-987.17948717948718</v>
      </c>
      <c r="P4" s="119">
        <v>39</v>
      </c>
      <c r="Q4" s="103">
        <v>-38500</v>
      </c>
    </row>
    <row r="5" spans="1:17" x14ac:dyDescent="0.4">
      <c r="A5" s="55" t="s">
        <v>7</v>
      </c>
      <c r="B5" s="152">
        <f>IF(B$2=0,0,B$4/B$2)</f>
        <v>-7.4048780487804873</v>
      </c>
      <c r="C5" s="153"/>
      <c r="E5" s="63" t="s">
        <v>68</v>
      </c>
      <c r="F5" s="60" t="s">
        <v>24</v>
      </c>
      <c r="G5" s="47">
        <v>26</v>
      </c>
      <c r="H5" s="133">
        <f>IF(B$17=0,0,G5/B$17)</f>
        <v>0.25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-3933.3333333333335</v>
      </c>
      <c r="P5" s="119">
        <v>36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2.0975609756097562</v>
      </c>
      <c r="C6" s="143"/>
      <c r="E6" s="63" t="s">
        <v>69</v>
      </c>
      <c r="F6" s="60" t="s">
        <v>12</v>
      </c>
      <c r="G6" s="47">
        <v>41</v>
      </c>
      <c r="H6" s="133">
        <f>IF(B$17=0,0,G6/B$17)</f>
        <v>0.39423076923076922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-46.875</v>
      </c>
      <c r="P6" s="119">
        <v>32</v>
      </c>
      <c r="Q6" s="103">
        <v>-1500</v>
      </c>
    </row>
    <row r="7" spans="1:17" x14ac:dyDescent="0.4">
      <c r="A7" s="55" t="s">
        <v>2</v>
      </c>
      <c r="B7" s="47">
        <v>11</v>
      </c>
      <c r="C7" s="39">
        <f>IF(B$2=0,0,B7/B$2)</f>
        <v>0.26829268292682928</v>
      </c>
      <c r="E7" s="63" t="s">
        <v>70</v>
      </c>
      <c r="F7" s="60" t="s">
        <v>25</v>
      </c>
      <c r="G7" s="47">
        <v>11</v>
      </c>
      <c r="H7" s="133">
        <f>IF(B$17=0,0,G7/B$17)</f>
        <v>0.10576923076923077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270.96774193548384</v>
      </c>
      <c r="P7" s="120">
        <v>31</v>
      </c>
      <c r="Q7" s="104">
        <v>8400</v>
      </c>
    </row>
    <row r="8" spans="1:17" x14ac:dyDescent="0.4">
      <c r="A8" s="55" t="s">
        <v>3</v>
      </c>
      <c r="B8" s="47">
        <v>15</v>
      </c>
      <c r="C8" s="39">
        <f>IF(B$2=0,0,B8/B$2)</f>
        <v>0.36585365853658536</v>
      </c>
      <c r="E8" s="63" t="s">
        <v>71</v>
      </c>
      <c r="F8" s="60" t="s">
        <v>26</v>
      </c>
      <c r="G8" s="47">
        <v>13</v>
      </c>
      <c r="H8" s="133">
        <f>IF(B$17=0,0,G8/B$17)</f>
        <v>0.125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ref="C9" si="1">IF(B$2=0,0,B9/B$2)</f>
        <v>0.36585365853658536</v>
      </c>
      <c r="E9" s="63" t="s">
        <v>72</v>
      </c>
      <c r="F9" s="60" t="s">
        <v>27</v>
      </c>
      <c r="G9" s="47">
        <v>6</v>
      </c>
      <c r="H9" s="133">
        <f>IF(B$17=0,0,G9/B$17)</f>
        <v>5.7692307692307696E-2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0.12195121951219512</v>
      </c>
      <c r="E10" s="63" t="s">
        <v>73</v>
      </c>
      <c r="F10" s="60" t="s">
        <v>28</v>
      </c>
      <c r="G10" s="47">
        <v>53</v>
      </c>
      <c r="H10" s="133">
        <f>IF(B$17=0,0,G10/B$17)</f>
        <v>0.50961538461538458</v>
      </c>
      <c r="I10" s="94">
        <v>6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4.878048780487805E-2</v>
      </c>
      <c r="E11" s="63" t="s">
        <v>74</v>
      </c>
      <c r="F11" s="60" t="s">
        <v>29</v>
      </c>
      <c r="G11" s="47">
        <v>2</v>
      </c>
      <c r="H11" s="133">
        <f>IF(B$17=0,0,G11/B$17)</f>
        <v>1.9230769230769232E-2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-6.1842105263157885</v>
      </c>
      <c r="P11" s="119">
        <v>19</v>
      </c>
      <c r="Q11" s="107">
        <v>-117.49999999999999</v>
      </c>
    </row>
    <row r="12" spans="1:17" x14ac:dyDescent="0.4">
      <c r="A12" s="57" t="s">
        <v>160</v>
      </c>
      <c r="B12" s="49">
        <v>1</v>
      </c>
      <c r="C12" s="42">
        <f>IF(B$2=0,0,B12/B$2)</f>
        <v>2.4390243902439025E-2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82</v>
      </c>
      <c r="C13" s="44">
        <f>IF(B$3=0,0,B13/B$3)</f>
        <v>0.23098591549295774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90</v>
      </c>
      <c r="C14" s="39">
        <f>IF(B$3=0,0,B14/B$3)</f>
        <v>0.25352112676056338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49</v>
      </c>
      <c r="C15" s="37">
        <f>IF(B$13=0,0,B15/B$13)</f>
        <v>0.59756097560975607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29</v>
      </c>
      <c r="C16" s="37">
        <f>IF(B$14=0,0,B16/B$14)</f>
        <v>0.32222222222222224</v>
      </c>
      <c r="E16" s="63" t="s">
        <v>79</v>
      </c>
      <c r="F16" s="60" t="s">
        <v>34</v>
      </c>
      <c r="G16" s="47">
        <v>2</v>
      </c>
      <c r="H16" s="133">
        <f>IF(B$17=0,0,G16/B$17)</f>
        <v>1.9230769230769232E-2</v>
      </c>
      <c r="I16" s="94">
        <v>8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104</v>
      </c>
      <c r="C17" s="37">
        <f>IF(B$3=0,0,B17/B$3)</f>
        <v>0.29295774647887324</v>
      </c>
      <c r="E17" s="63" t="s">
        <v>80</v>
      </c>
      <c r="F17" s="60" t="s">
        <v>35</v>
      </c>
      <c r="G17" s="47">
        <v>2</v>
      </c>
      <c r="H17" s="133">
        <f>IF(B$17=0,0,G17/B$17)</f>
        <v>1.9230769230769232E-2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-12.590909090909088</v>
      </c>
      <c r="P17" s="119">
        <v>11</v>
      </c>
      <c r="Q17" s="107">
        <v>-138.49999999999997</v>
      </c>
    </row>
    <row r="18" spans="1:17" x14ac:dyDescent="0.4">
      <c r="A18" s="55" t="s">
        <v>12</v>
      </c>
      <c r="B18" s="47">
        <v>54</v>
      </c>
      <c r="C18" s="39">
        <f>IF(B$17=0,0,B18/B$17)</f>
        <v>0.51923076923076927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0.48076923076923078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127</v>
      </c>
      <c r="O19" s="125">
        <f t="shared" si="2"/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68</v>
      </c>
      <c r="C20" s="39">
        <f>IF(B$3=0,0,B20/B$3)</f>
        <v>0.19154929577464788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-31.450000000000003</v>
      </c>
      <c r="P20" s="119">
        <v>4</v>
      </c>
      <c r="Q20" s="107">
        <v>-125.80000000000001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1.9230769230769232E-2</v>
      </c>
      <c r="I21" s="94">
        <v>10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7119.2307692307695</v>
      </c>
      <c r="C23" s="41">
        <v>740400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-7689.7058823529414</v>
      </c>
      <c r="C24" s="45">
        <v>-522900</v>
      </c>
      <c r="E24" s="63" t="s">
        <v>87</v>
      </c>
      <c r="F24" s="60" t="s">
        <v>42</v>
      </c>
      <c r="G24" s="47">
        <v>4</v>
      </c>
      <c r="H24" s="133">
        <f>IF(B$17=0,0,G24/B$17)</f>
        <v>3.8461538461538464E-2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9.6153846153846159E-3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5.6338028169014088E-3</v>
      </c>
      <c r="E27" s="63" t="s">
        <v>90</v>
      </c>
      <c r="F27" s="60" t="s">
        <v>45</v>
      </c>
      <c r="G27" s="47">
        <v>12</v>
      </c>
      <c r="H27" s="133">
        <f>IF(B$17=0,0,G27/B$17)</f>
        <v>0.11538461538461539</v>
      </c>
      <c r="I27" s="94">
        <v>9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1.9230769230769232E-2</v>
      </c>
      <c r="I29" s="94">
        <v>3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1</v>
      </c>
      <c r="H50" s="133">
        <f>IF(B$17=0,0,G50/B$17)</f>
        <v>9.6153846153846159E-3</v>
      </c>
      <c r="I50" s="94">
        <v>5</v>
      </c>
    </row>
    <row r="51" spans="5:9" x14ac:dyDescent="0.4">
      <c r="E51" s="64" t="s">
        <v>181</v>
      </c>
      <c r="F51" s="61" t="s">
        <v>182</v>
      </c>
      <c r="G51" s="49">
        <v>38</v>
      </c>
      <c r="H51" s="134">
        <f>IF(B$17=0,0,G51/B$17)</f>
        <v>0.36538461538461536</v>
      </c>
      <c r="I51" s="95">
        <v>10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250E5-CCBE-41FB-B940-E51687679724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42</v>
      </c>
      <c r="C2" s="147"/>
      <c r="E2" s="62" t="s">
        <v>65</v>
      </c>
      <c r="F2" s="59" t="s">
        <v>21</v>
      </c>
      <c r="G2" s="46">
        <v>59</v>
      </c>
      <c r="H2" s="132">
        <f>IF(B$17=0,0,G2/B$17)</f>
        <v>0.56190476190476191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1352.3809523809523</v>
      </c>
      <c r="P2" s="118">
        <v>42</v>
      </c>
      <c r="Q2" s="102">
        <v>56800</v>
      </c>
    </row>
    <row r="3" spans="1:17" x14ac:dyDescent="0.4">
      <c r="A3" s="55" t="s">
        <v>8</v>
      </c>
      <c r="B3" s="148">
        <v>341</v>
      </c>
      <c r="C3" s="149"/>
      <c r="E3" s="63" t="s">
        <v>66</v>
      </c>
      <c r="F3" s="60" t="s">
        <v>22</v>
      </c>
      <c r="G3" s="47">
        <v>10</v>
      </c>
      <c r="H3" s="133">
        <f>IF(B$17=0,0,G3/B$17)</f>
        <v>9.5238095238095233E-2</v>
      </c>
      <c r="I3" s="94">
        <v>6</v>
      </c>
      <c r="K3" s="38">
        <v>1</v>
      </c>
      <c r="L3" s="99">
        <v>-1.9</v>
      </c>
      <c r="N3" s="115" t="s">
        <v>133</v>
      </c>
      <c r="O3" s="122">
        <f t="shared" si="0"/>
        <v>1087.5</v>
      </c>
      <c r="P3" s="119">
        <v>40</v>
      </c>
      <c r="Q3" s="103">
        <v>43500</v>
      </c>
    </row>
    <row r="4" spans="1:17" x14ac:dyDescent="0.4">
      <c r="A4" s="55" t="s">
        <v>6</v>
      </c>
      <c r="B4" s="150">
        <v>97.600000000000009</v>
      </c>
      <c r="C4" s="151"/>
      <c r="E4" s="63" t="s">
        <v>67</v>
      </c>
      <c r="F4" s="60" t="s">
        <v>23</v>
      </c>
      <c r="G4" s="47">
        <v>58</v>
      </c>
      <c r="H4" s="133">
        <f>IF(B$17=0,0,G4/B$17)</f>
        <v>0.55238095238095242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-1263.8888888888889</v>
      </c>
      <c r="P4" s="119">
        <v>36</v>
      </c>
      <c r="Q4" s="103">
        <v>-45500</v>
      </c>
    </row>
    <row r="5" spans="1:17" x14ac:dyDescent="0.4">
      <c r="A5" s="55" t="s">
        <v>7</v>
      </c>
      <c r="B5" s="152">
        <f>IF(B$2=0,0,B$4/B$2)</f>
        <v>2.323809523809524</v>
      </c>
      <c r="C5" s="153"/>
      <c r="E5" s="63" t="s">
        <v>68</v>
      </c>
      <c r="F5" s="60" t="s">
        <v>24</v>
      </c>
      <c r="G5" s="47">
        <v>36</v>
      </c>
      <c r="H5" s="133">
        <f>IF(B$17=0,0,G5/B$17)</f>
        <v>0.34285714285714286</v>
      </c>
      <c r="I5" s="94">
        <v>6</v>
      </c>
      <c r="K5" s="38">
        <v>3</v>
      </c>
      <c r="L5" s="99">
        <v>-10</v>
      </c>
      <c r="N5" s="115" t="s">
        <v>135</v>
      </c>
      <c r="O5" s="122">
        <f t="shared" si="0"/>
        <v>1545.7142857142858</v>
      </c>
      <c r="P5" s="119">
        <v>35</v>
      </c>
      <c r="Q5" s="103">
        <v>54100</v>
      </c>
    </row>
    <row r="6" spans="1:17" x14ac:dyDescent="0.4">
      <c r="A6" s="55" t="s">
        <v>1</v>
      </c>
      <c r="B6" s="142">
        <f>IF(B$2=0,0,(B$7*1+B$8*2+B$9*3)/B$2)</f>
        <v>1.9285714285714286</v>
      </c>
      <c r="C6" s="143"/>
      <c r="E6" s="63" t="s">
        <v>69</v>
      </c>
      <c r="F6" s="60" t="s">
        <v>12</v>
      </c>
      <c r="G6" s="47">
        <v>30</v>
      </c>
      <c r="H6" s="133">
        <f>IF(B$17=0,0,G6/B$17)</f>
        <v>0.2857142857142857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-1325.8064516129032</v>
      </c>
      <c r="P6" s="119">
        <v>31</v>
      </c>
      <c r="Q6" s="103">
        <v>-41100</v>
      </c>
    </row>
    <row r="7" spans="1:17" x14ac:dyDescent="0.4">
      <c r="A7" s="55" t="s">
        <v>2</v>
      </c>
      <c r="B7" s="47">
        <v>17</v>
      </c>
      <c r="C7" s="39">
        <f>IF(B$2=0,0,B7/B$2)</f>
        <v>0.40476190476190477</v>
      </c>
      <c r="E7" s="63" t="s">
        <v>70</v>
      </c>
      <c r="F7" s="60" t="s">
        <v>25</v>
      </c>
      <c r="G7" s="47">
        <v>16</v>
      </c>
      <c r="H7" s="133">
        <f>IF(B$17=0,0,G7/B$17)</f>
        <v>0.15238095238095239</v>
      </c>
      <c r="I7" s="94">
        <v>8</v>
      </c>
      <c r="K7" s="38">
        <v>5</v>
      </c>
      <c r="L7" s="99">
        <v>35.4</v>
      </c>
      <c r="N7" s="116" t="s">
        <v>137</v>
      </c>
      <c r="O7" s="123">
        <f t="shared" si="0"/>
        <v>307.69230769230768</v>
      </c>
      <c r="P7" s="120">
        <v>26</v>
      </c>
      <c r="Q7" s="104">
        <v>8000</v>
      </c>
    </row>
    <row r="8" spans="1:17" x14ac:dyDescent="0.4">
      <c r="A8" s="55" t="s">
        <v>3</v>
      </c>
      <c r="B8" s="47">
        <v>11</v>
      </c>
      <c r="C8" s="39">
        <f>IF(B$2=0,0,B8/B$2)</f>
        <v>0.26190476190476192</v>
      </c>
      <c r="E8" s="63" t="s">
        <v>71</v>
      </c>
      <c r="F8" s="60" t="s">
        <v>26</v>
      </c>
      <c r="G8" s="47">
        <v>8</v>
      </c>
      <c r="H8" s="133">
        <f>IF(B$17=0,0,G8/B$17)</f>
        <v>7.6190476190476197E-2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4</v>
      </c>
      <c r="H9" s="133">
        <f>IF(B$17=0,0,G9/B$17)</f>
        <v>3.8095238095238099E-2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0.16666666666666666</v>
      </c>
      <c r="E10" s="63" t="s">
        <v>73</v>
      </c>
      <c r="F10" s="60" t="s">
        <v>28</v>
      </c>
      <c r="G10" s="47">
        <v>51</v>
      </c>
      <c r="H10" s="133">
        <f>IF(B$17=0,0,G10/B$17)</f>
        <v>0.48571428571428571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7.8899999999999988</v>
      </c>
      <c r="P10" s="118">
        <v>10</v>
      </c>
      <c r="Q10" s="106">
        <v>78.899999999999991</v>
      </c>
    </row>
    <row r="11" spans="1:17" x14ac:dyDescent="0.4">
      <c r="A11" s="56" t="s">
        <v>140</v>
      </c>
      <c r="B11" s="48">
        <v>5</v>
      </c>
      <c r="C11" s="40">
        <f>IF(B$2=0,0,B11/B$2)</f>
        <v>0.11904761904761904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-128.6</v>
      </c>
      <c r="N11" s="115" t="s">
        <v>165</v>
      </c>
      <c r="O11" s="125">
        <f>IF(P11=0,0,Q11/P11)</f>
        <v>4.0352941176470587</v>
      </c>
      <c r="P11" s="119">
        <v>17</v>
      </c>
      <c r="Q11" s="107">
        <v>68.599999999999994</v>
      </c>
    </row>
    <row r="12" spans="1:17" x14ac:dyDescent="0.4">
      <c r="A12" s="57" t="s">
        <v>160</v>
      </c>
      <c r="B12" s="49">
        <v>4</v>
      </c>
      <c r="C12" s="42">
        <f>IF(B$2=0,0,B12/B$2)</f>
        <v>9.5238095238095233E-2</v>
      </c>
      <c r="E12" s="63" t="s">
        <v>75</v>
      </c>
      <c r="F12" s="60" t="s">
        <v>30</v>
      </c>
      <c r="G12" s="47">
        <v>1</v>
      </c>
      <c r="H12" s="133">
        <f>IF(B$17=0,0,G12/B$17)</f>
        <v>9.5238095238095247E-3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-3.3266666666666662</v>
      </c>
      <c r="P12" s="120">
        <v>15</v>
      </c>
      <c r="Q12" s="108">
        <v>-49.899999999999991</v>
      </c>
    </row>
    <row r="13" spans="1:17" x14ac:dyDescent="0.4">
      <c r="A13" s="58" t="s">
        <v>122</v>
      </c>
      <c r="B13" s="50">
        <v>85</v>
      </c>
      <c r="C13" s="44">
        <f>IF(B$3=0,0,B13/B$3)</f>
        <v>0.24926686217008798</v>
      </c>
      <c r="E13" s="63" t="s">
        <v>76</v>
      </c>
      <c r="F13" s="60" t="s">
        <v>31</v>
      </c>
      <c r="G13" s="47">
        <v>1</v>
      </c>
      <c r="H13" s="133">
        <f>IF(B$17=0,0,G13/B$17)</f>
        <v>9.5238095238095247E-3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70</v>
      </c>
      <c r="C14" s="39">
        <f>IF(B$3=0,0,B14/B$3)</f>
        <v>0.20527859237536658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59</v>
      </c>
      <c r="C15" s="37">
        <f>IF(B$13=0,0,B15/B$13)</f>
        <v>0.69411764705882351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 t="shared" ref="O15:O23" si="2"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0.37142857142857144</v>
      </c>
      <c r="E16" s="63" t="s">
        <v>79</v>
      </c>
      <c r="F16" s="60" t="s">
        <v>34</v>
      </c>
      <c r="G16" s="47">
        <v>5</v>
      </c>
      <c r="H16" s="133">
        <f>IF(B$17=0,0,G16/B$17)</f>
        <v>4.7619047619047616E-2</v>
      </c>
      <c r="I16" s="94">
        <v>3</v>
      </c>
      <c r="K16" s="38">
        <v>14</v>
      </c>
      <c r="L16" s="99">
        <v>-178.49999999999997</v>
      </c>
      <c r="N16" s="115" t="s">
        <v>171</v>
      </c>
      <c r="O16" s="125">
        <f t="shared" si="2"/>
        <v>34.907692307692315</v>
      </c>
      <c r="P16" s="119">
        <v>13</v>
      </c>
      <c r="Q16" s="107">
        <v>453.80000000000007</v>
      </c>
    </row>
    <row r="17" spans="1:17" x14ac:dyDescent="0.4">
      <c r="A17" s="54" t="s">
        <v>10</v>
      </c>
      <c r="B17" s="46">
        <f>B19+B18</f>
        <v>105</v>
      </c>
      <c r="C17" s="37">
        <f>IF(B$3=0,0,B17/B$3)</f>
        <v>0.30791788856304986</v>
      </c>
      <c r="E17" s="63" t="s">
        <v>80</v>
      </c>
      <c r="F17" s="60" t="s">
        <v>35</v>
      </c>
      <c r="G17" s="47">
        <v>2</v>
      </c>
      <c r="H17" s="133">
        <f>IF(B$17=0,0,G17/B$17)</f>
        <v>1.9047619047619049E-2</v>
      </c>
      <c r="I17" s="94">
        <v>4</v>
      </c>
      <c r="K17" s="38">
        <v>15</v>
      </c>
      <c r="L17" s="99">
        <v>-146.19999999999999</v>
      </c>
      <c r="N17" s="115" t="s">
        <v>173</v>
      </c>
      <c r="O17" s="125">
        <f t="shared" si="2"/>
        <v>31.450000000000003</v>
      </c>
      <c r="P17" s="119">
        <v>4</v>
      </c>
      <c r="Q17" s="107">
        <v>125.80000000000001</v>
      </c>
    </row>
    <row r="18" spans="1:17" x14ac:dyDescent="0.4">
      <c r="A18" s="55" t="s">
        <v>12</v>
      </c>
      <c r="B18" s="47">
        <v>44</v>
      </c>
      <c r="C18" s="39">
        <f>IF(B$17=0,0,B18/B$17)</f>
        <v>0.41904761904761906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186</v>
      </c>
      <c r="O18" s="125">
        <f t="shared" si="2"/>
        <v>15.833333333333337</v>
      </c>
      <c r="P18" s="119">
        <v>3</v>
      </c>
      <c r="Q18" s="107">
        <v>47.500000000000014</v>
      </c>
    </row>
    <row r="19" spans="1:17" x14ac:dyDescent="0.4">
      <c r="A19" s="55" t="s">
        <v>11</v>
      </c>
      <c r="B19" s="47">
        <v>61</v>
      </c>
      <c r="C19" s="39">
        <f>IF(B$17=0,0,B19/B$17)</f>
        <v>0.580952380952381</v>
      </c>
      <c r="E19" s="63" t="s">
        <v>82</v>
      </c>
      <c r="F19" s="60" t="s">
        <v>37</v>
      </c>
      <c r="G19" s="47">
        <v>3</v>
      </c>
      <c r="H19" s="133">
        <f>IF(B$17=0,0,G19/B$17)</f>
        <v>2.8571428571428571E-2</v>
      </c>
      <c r="I19" s="94">
        <v>8</v>
      </c>
      <c r="K19" s="38">
        <v>17</v>
      </c>
      <c r="L19" s="99">
        <v>-161.19999999999999</v>
      </c>
      <c r="N19" s="115" t="s">
        <v>128</v>
      </c>
      <c r="O19" s="125">
        <f t="shared" si="2"/>
        <v>10.631818181818183</v>
      </c>
      <c r="P19" s="119">
        <v>22</v>
      </c>
      <c r="Q19" s="107">
        <v>233.9</v>
      </c>
    </row>
    <row r="20" spans="1:17" x14ac:dyDescent="0.4">
      <c r="A20" s="55" t="s">
        <v>13</v>
      </c>
      <c r="B20" s="47">
        <v>54</v>
      </c>
      <c r="C20" s="39">
        <f>IF(B$3=0,0,B20/B$3)</f>
        <v>0.15835777126099707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129</v>
      </c>
      <c r="O20" s="125">
        <f t="shared" si="2"/>
        <v>-3.3454545454545483</v>
      </c>
      <c r="P20" s="119">
        <v>11</v>
      </c>
      <c r="Q20" s="107">
        <v>-36.800000000000033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4.7619047619047616E-2</v>
      </c>
      <c r="I21" s="94">
        <v>4</v>
      </c>
      <c r="K21" s="38">
        <v>19</v>
      </c>
      <c r="L21" s="99">
        <v>-235.6</v>
      </c>
      <c r="N21" s="115" t="s">
        <v>172</v>
      </c>
      <c r="O21" s="125">
        <f t="shared" si="2"/>
        <v>-7.730000000000004</v>
      </c>
      <c r="P21" s="119">
        <v>10</v>
      </c>
      <c r="Q21" s="107">
        <v>-77.30000000000004</v>
      </c>
    </row>
    <row r="22" spans="1:17" x14ac:dyDescent="0.4">
      <c r="A22" s="55" t="s">
        <v>194</v>
      </c>
      <c r="B22" s="47">
        <v>22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-200.8</v>
      </c>
      <c r="N22" s="115" t="s">
        <v>127</v>
      </c>
      <c r="O22" s="125">
        <f t="shared" si="2"/>
        <v>-27.193750000000001</v>
      </c>
      <c r="P22" s="119">
        <v>16</v>
      </c>
      <c r="Q22" s="107">
        <v>-435.1</v>
      </c>
    </row>
    <row r="23" spans="1:17" x14ac:dyDescent="0.4">
      <c r="A23" s="55" t="s">
        <v>5</v>
      </c>
      <c r="B23" s="51">
        <f>IF(B$17=0,0,C23/B$17)</f>
        <v>8869.5238095238092</v>
      </c>
      <c r="C23" s="41">
        <v>931300</v>
      </c>
      <c r="E23" s="63" t="s">
        <v>86</v>
      </c>
      <c r="F23" s="60" t="s">
        <v>41</v>
      </c>
      <c r="G23" s="47">
        <v>2</v>
      </c>
      <c r="H23" s="133">
        <f>IF(B$17=0,0,G23/B$17)</f>
        <v>1.9047619047619049E-2</v>
      </c>
      <c r="I23" s="94">
        <v>1</v>
      </c>
      <c r="K23" s="38">
        <v>21</v>
      </c>
      <c r="L23" s="99">
        <v>-188.60000000000002</v>
      </c>
      <c r="N23" s="115" t="s">
        <v>185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-7670.3703703703704</v>
      </c>
      <c r="C24" s="45">
        <v>-414200</v>
      </c>
      <c r="E24" s="63" t="s">
        <v>87</v>
      </c>
      <c r="F24" s="60" t="s">
        <v>42</v>
      </c>
      <c r="G24" s="47">
        <v>2</v>
      </c>
      <c r="H24" s="133">
        <f>IF(B$17=0,0,G24/B$17)</f>
        <v>1.9047619047619049E-2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5.8651026392961877E-3</v>
      </c>
      <c r="E27" s="63" t="s">
        <v>90</v>
      </c>
      <c r="F27" s="60" t="s">
        <v>45</v>
      </c>
      <c r="G27" s="47">
        <v>13</v>
      </c>
      <c r="H27" s="133">
        <f>IF(B$17=0,0,G27/B$17)</f>
        <v>0.12380952380952381</v>
      </c>
      <c r="I27" s="94">
        <v>7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9.5238095238095247E-3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4.7619047619047616E-2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9.5238095238095247E-3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9.5238095238095247E-3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42</v>
      </c>
      <c r="H51" s="134">
        <f>IF(B$17=0,0,G51/B$17)</f>
        <v>0.4</v>
      </c>
      <c r="I51" s="95">
        <v>6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9230C-8B14-47EE-B1AD-FF89D6D125AB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6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134A0-78EB-4B1D-8DAE-6B288A82B4E8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</v>
      </c>
      <c r="C2" s="147"/>
      <c r="E2" s="62" t="s">
        <v>65</v>
      </c>
      <c r="F2" s="59" t="s">
        <v>21</v>
      </c>
      <c r="G2" s="46">
        <v>15</v>
      </c>
      <c r="H2" s="132">
        <f>IF(B$17=0,0,G2/B$17)</f>
        <v>0.5357142857142857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-508.33333333333331</v>
      </c>
      <c r="P2" s="118">
        <v>12</v>
      </c>
      <c r="Q2" s="102">
        <v>-6100</v>
      </c>
    </row>
    <row r="3" spans="1:17" x14ac:dyDescent="0.4">
      <c r="A3" s="55" t="s">
        <v>8</v>
      </c>
      <c r="B3" s="148">
        <v>104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3.5714285714285712E-2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-1075</v>
      </c>
      <c r="P3" s="119">
        <v>12</v>
      </c>
      <c r="Q3" s="103">
        <v>-12900</v>
      </c>
    </row>
    <row r="4" spans="1:17" x14ac:dyDescent="0.4">
      <c r="A4" s="55" t="s">
        <v>6</v>
      </c>
      <c r="B4" s="150">
        <v>-116.6</v>
      </c>
      <c r="C4" s="151"/>
      <c r="E4" s="63" t="s">
        <v>67</v>
      </c>
      <c r="F4" s="60" t="s">
        <v>23</v>
      </c>
      <c r="G4" s="47">
        <v>22</v>
      </c>
      <c r="H4" s="133">
        <f>IF(B$17=0,0,G4/B$17)</f>
        <v>0.7857142857142857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-550</v>
      </c>
      <c r="P4" s="119">
        <v>12</v>
      </c>
      <c r="Q4" s="103">
        <v>-6600</v>
      </c>
    </row>
    <row r="5" spans="1:17" x14ac:dyDescent="0.4">
      <c r="A5" s="55" t="s">
        <v>7</v>
      </c>
      <c r="B5" s="152">
        <f>IF(B$2=0,0,B$4/B$2)</f>
        <v>-9.7166666666666668</v>
      </c>
      <c r="C5" s="153"/>
      <c r="E5" s="63" t="s">
        <v>68</v>
      </c>
      <c r="F5" s="60" t="s">
        <v>24</v>
      </c>
      <c r="G5" s="47">
        <v>6</v>
      </c>
      <c r="H5" s="133">
        <f>IF(B$17=0,0,G5/B$17)</f>
        <v>0.21428571428571427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-3772.7272727272725</v>
      </c>
      <c r="P5" s="119">
        <v>11</v>
      </c>
      <c r="Q5" s="103">
        <v>-41500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69</v>
      </c>
      <c r="F6" s="60" t="s">
        <v>12</v>
      </c>
      <c r="G6" s="47">
        <v>9</v>
      </c>
      <c r="H6" s="133">
        <f>IF(B$17=0,0,G6/B$17)</f>
        <v>0.32142857142857145</v>
      </c>
      <c r="I6" s="94">
        <v>7</v>
      </c>
      <c r="K6" s="38">
        <v>4</v>
      </c>
      <c r="L6" s="99">
        <v>-49.800000000000004</v>
      </c>
      <c r="N6" s="115" t="s">
        <v>136</v>
      </c>
      <c r="O6" s="122">
        <f t="shared" si="0"/>
        <v>390.90909090909093</v>
      </c>
      <c r="P6" s="119">
        <v>11</v>
      </c>
      <c r="Q6" s="103">
        <v>4300</v>
      </c>
    </row>
    <row r="7" spans="1:17" x14ac:dyDescent="0.4">
      <c r="A7" s="55" t="s">
        <v>2</v>
      </c>
      <c r="B7" s="47">
        <v>5</v>
      </c>
      <c r="C7" s="39">
        <f>IF(B$2=0,0,B7/B$2)</f>
        <v>0.41666666666666669</v>
      </c>
      <c r="E7" s="63" t="s">
        <v>70</v>
      </c>
      <c r="F7" s="60" t="s">
        <v>25</v>
      </c>
      <c r="G7" s="47">
        <v>4</v>
      </c>
      <c r="H7" s="133">
        <f>IF(B$17=0,0,G7/B$17)</f>
        <v>0.14285714285714285</v>
      </c>
      <c r="I7" s="94">
        <v>9</v>
      </c>
      <c r="K7" s="38">
        <v>5</v>
      </c>
      <c r="L7" s="99">
        <v>-121</v>
      </c>
      <c r="N7" s="116" t="s">
        <v>137</v>
      </c>
      <c r="O7" s="123">
        <f t="shared" si="0"/>
        <v>-3072.7272727272725</v>
      </c>
      <c r="P7" s="120">
        <v>11</v>
      </c>
      <c r="Q7" s="104">
        <v>-33800</v>
      </c>
    </row>
    <row r="8" spans="1:17" x14ac:dyDescent="0.4">
      <c r="A8" s="55" t="s">
        <v>3</v>
      </c>
      <c r="B8" s="47">
        <v>1</v>
      </c>
      <c r="C8" s="39">
        <f>IF(B$2=0,0,B8/B$2)</f>
        <v>8.3333333333333329E-2</v>
      </c>
      <c r="E8" s="63" t="s">
        <v>71</v>
      </c>
      <c r="F8" s="60" t="s">
        <v>26</v>
      </c>
      <c r="G8" s="47">
        <v>4</v>
      </c>
      <c r="H8" s="133">
        <f>IF(B$17=0,0,G8/B$17)</f>
        <v>0.14285714285714285</v>
      </c>
      <c r="I8" s="94">
        <v>2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1</v>
      </c>
      <c r="H9" s="133">
        <f>IF(B$17=0,0,G9/B$17)</f>
        <v>3.5714285714285712E-2</v>
      </c>
      <c r="I9" s="94">
        <v>10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28</v>
      </c>
      <c r="G10" s="47">
        <v>19</v>
      </c>
      <c r="H10" s="133">
        <f>IF(B$17=0,0,G10/B$17)</f>
        <v>0.6785714285714286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-9.759999999999998</v>
      </c>
      <c r="P10" s="118">
        <v>5</v>
      </c>
      <c r="Q10" s="106">
        <v>-48.79999999999999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3.5714285714285712E-2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8.3333333333333329E-2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24</v>
      </c>
      <c r="C13" s="44">
        <f>IF(B$3=0,0,B13/B$3)</f>
        <v>0.23076923076923078</v>
      </c>
      <c r="E13" s="63" t="s">
        <v>76</v>
      </c>
      <c r="F13" s="60" t="s">
        <v>31</v>
      </c>
      <c r="G13" s="47">
        <v>1</v>
      </c>
      <c r="H13" s="133">
        <f>IF(B$17=0,0,G13/B$17)</f>
        <v>3.5714285714285712E-2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0.19230769230769232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</v>
      </c>
      <c r="C15" s="37">
        <f>IF(B$13=0,0,B15/B$13)</f>
        <v>0.625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 t="shared" ref="O15:O21" si="2">IF(P15=0,0,Q15/P15)</f>
        <v>54.85</v>
      </c>
      <c r="P15" s="118">
        <v>2</v>
      </c>
      <c r="Q15" s="106">
        <v>109.7</v>
      </c>
    </row>
    <row r="16" spans="1:17" x14ac:dyDescent="0.4">
      <c r="A16" s="54" t="s">
        <v>125</v>
      </c>
      <c r="B16" s="46">
        <v>9</v>
      </c>
      <c r="C16" s="37">
        <f>IF(B$14=0,0,B16/B$14)</f>
        <v>0.45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 t="shared" si="2"/>
        <v>-15.425000000000002</v>
      </c>
      <c r="P16" s="119">
        <v>8</v>
      </c>
      <c r="Q16" s="107">
        <v>-123.40000000000002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0.26923076923076922</v>
      </c>
      <c r="E17" s="63" t="s">
        <v>80</v>
      </c>
      <c r="F17" s="60" t="s">
        <v>35</v>
      </c>
      <c r="G17" s="47">
        <v>2</v>
      </c>
      <c r="H17" s="133">
        <f>IF(B$17=0,0,G17/B$17)</f>
        <v>7.1428571428571425E-2</v>
      </c>
      <c r="I17" s="94">
        <v>1</v>
      </c>
      <c r="N17" s="115" t="s">
        <v>177</v>
      </c>
      <c r="O17" s="125">
        <f t="shared" si="2"/>
        <v>-15.833333333333337</v>
      </c>
      <c r="P17" s="119">
        <v>3</v>
      </c>
      <c r="Q17" s="107">
        <v>-47.500000000000014</v>
      </c>
    </row>
    <row r="18" spans="1:17" x14ac:dyDescent="0.4">
      <c r="A18" s="55" t="s">
        <v>12</v>
      </c>
      <c r="B18" s="47">
        <v>14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172</v>
      </c>
      <c r="O18" s="125">
        <f t="shared" si="2"/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14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3.5714285714285712E-2</v>
      </c>
      <c r="I19" s="94">
        <v>3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24</v>
      </c>
      <c r="C20" s="39">
        <f>IF(B$3=0,0,B20/B$3)</f>
        <v>0.23076923076923078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3</v>
      </c>
      <c r="H21" s="133">
        <f>IF(B$17=0,0,G21/B$17)</f>
        <v>0.10714285714285714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13</v>
      </c>
      <c r="C22" s="135">
        <v>13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7700</v>
      </c>
      <c r="C23" s="41">
        <v>215600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-7700</v>
      </c>
      <c r="C24" s="45">
        <v>-184800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0.17857142857142858</v>
      </c>
      <c r="I27" s="94">
        <v>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8</v>
      </c>
      <c r="H51" s="134">
        <f>IF(B$17=0,0,G51/B$17)</f>
        <v>0.2857142857142857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186D0-ECA3-4CCC-BDFB-0B33612F42E5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5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C7E9C-771D-4497-8E74-E44F2B6D0473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8DD29-9EE6-48D4-9713-9C5F05290D57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1</v>
      </c>
      <c r="I5" s="94">
        <v>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69</v>
      </c>
      <c r="F6" s="60" t="s">
        <v>12</v>
      </c>
      <c r="G6" s="47">
        <v>2</v>
      </c>
      <c r="H6" s="133">
        <f>IF(B$17=0,0,G6/B$17)</f>
        <v>0.66666666666666663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</v>
      </c>
      <c r="H10" s="133">
        <f>IF(B$17=0,0,G10/B$17)</f>
        <v>0.33333333333333331</v>
      </c>
      <c r="I10" s="94">
        <v>12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1</v>
      </c>
      <c r="H16" s="133">
        <f>IF(B$17=0,0,G16/B$17)</f>
        <v>0.33333333333333331</v>
      </c>
      <c r="I16" s="94">
        <v>1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18000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0.33333333333333331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DD594-B2B4-44C1-875F-C0B4FCC2FA9F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FE170-F72F-49A0-B8C0-5C40D2D5DA57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4BB9A-CC97-4EB6-B853-AC1D2C2653A2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5C30D-306E-455F-9363-262DD8FAC836}">
  <sheetPr codeName="Sheet24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01E2E-D86D-47C1-B4A1-AFFE198918AD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7BD27-3E30-47FB-8CDE-6C66DD83DBA6}">
  <sheetPr codeName="Sheet20"/>
  <dimension ref="A1:Q4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C8FB7-D367-4399-B702-995A1A0F4294}">
  <sheetPr codeName="Sheet18"/>
  <dimension ref="A1:Q4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ACB71-1393-41A8-BD7E-2F67D0AB2549}">
  <sheetPr codeName="Sheet16"/>
  <dimension ref="A1:Q6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2D54E-B4EC-4787-BD6B-1EAB6DC3A169}">
  <sheetPr codeName="Sheet14"/>
  <dimension ref="A1:Q7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41.299999999999983</v>
      </c>
      <c r="C76" s="66">
        <v>0.56575342465753398</v>
      </c>
      <c r="D76" s="71">
        <v>2.0684931506849313</v>
      </c>
      <c r="E76" s="67">
        <v>0.28767123287671231</v>
      </c>
      <c r="F76" s="67">
        <v>0.35616438356164382</v>
      </c>
      <c r="G76" s="67">
        <v>0.2780487804878049</v>
      </c>
      <c r="H76" s="67">
        <v>0.17073170731707318</v>
      </c>
      <c r="I76" s="68">
        <v>9761.9883040935674</v>
      </c>
      <c r="J76" s="68">
        <v>-7869.5238095238092</v>
      </c>
      <c r="K76" s="67">
        <v>6.8493150684931503E-2</v>
      </c>
      <c r="L76" s="67">
        <v>0.12328767123287671</v>
      </c>
      <c r="M76" s="67">
        <v>0.28292682926829266</v>
      </c>
      <c r="N76" s="67">
        <v>0.18699186991869918</v>
      </c>
      <c r="O76" s="67">
        <v>0.58045977011494254</v>
      </c>
      <c r="P76" s="67">
        <v>0.4</v>
      </c>
      <c r="Q76" s="67">
        <v>0.43274853801169588</v>
      </c>
    </row>
    <row r="77" spans="1:17" x14ac:dyDescent="0.4">
      <c r="A77" s="69">
        <v>74</v>
      </c>
      <c r="B77" s="66">
        <v>87.299999999999983</v>
      </c>
      <c r="C77" s="66">
        <v>1.1797297297297296</v>
      </c>
      <c r="D77" s="71">
        <v>2.0540540540540539</v>
      </c>
      <c r="E77" s="67">
        <v>0.29729729729729731</v>
      </c>
      <c r="F77" s="67">
        <v>0.35135135135135137</v>
      </c>
      <c r="G77" s="67">
        <v>0.2825040128410915</v>
      </c>
      <c r="H77" s="67">
        <v>0.17014446227929375</v>
      </c>
      <c r="I77" s="68">
        <v>9780.113636363636</v>
      </c>
      <c r="J77" s="68">
        <v>-7870.7547169811323</v>
      </c>
      <c r="K77" s="67">
        <v>6.7567567567567571E-2</v>
      </c>
      <c r="L77" s="67">
        <v>0.12162162162162163</v>
      </c>
      <c r="M77" s="67">
        <v>0.2857142857142857</v>
      </c>
      <c r="N77" s="67">
        <v>0.18619582664526485</v>
      </c>
      <c r="O77" s="67">
        <v>0.5842696629213483</v>
      </c>
      <c r="P77" s="67">
        <v>0.40517241379310343</v>
      </c>
      <c r="Q77" s="67">
        <v>0.42613636363636365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56BA9-A583-4A29-993D-F9BFB59FA2E4}">
  <sheetPr codeName="Sheet12"/>
  <dimension ref="A1:Q6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BE632-E302-449B-BCC8-207B96C75A69}">
  <sheetPr codeName="Sheet10"/>
  <dimension ref="A1:Q1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8E9A5-51DA-4FE9-83F7-6AFFB8C4289C}">
  <sheetPr codeName="Sheet8"/>
  <dimension ref="A1:Q1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1509.3000000000011</v>
      </c>
      <c r="C120" s="66">
        <v>12.900000000000009</v>
      </c>
      <c r="D120" s="71">
        <v>1.7264957264957266</v>
      </c>
      <c r="E120" s="67">
        <v>0.50427350427350426</v>
      </c>
      <c r="F120" s="67">
        <v>0.23076923076923078</v>
      </c>
      <c r="G120" s="67">
        <v>0.3518324607329843</v>
      </c>
      <c r="H120" s="67">
        <v>0.14973821989528796</v>
      </c>
      <c r="I120" s="68">
        <v>9063.6904761904771</v>
      </c>
      <c r="J120" s="68">
        <v>-8335.6643356643362</v>
      </c>
      <c r="K120" s="67">
        <v>0.1111111111111111</v>
      </c>
      <c r="L120" s="67">
        <v>0.17948717948717949</v>
      </c>
      <c r="M120" s="67">
        <v>0.32774869109947646</v>
      </c>
      <c r="N120" s="67">
        <v>0.22094240837696336</v>
      </c>
      <c r="O120" s="67">
        <v>0.58146964856230032</v>
      </c>
      <c r="P120" s="67">
        <v>0.51184834123222744</v>
      </c>
      <c r="Q120" s="67">
        <v>0.41666666666666669</v>
      </c>
    </row>
    <row r="121" spans="1:17" x14ac:dyDescent="0.4">
      <c r="A121" s="69">
        <v>118</v>
      </c>
      <c r="B121" s="66">
        <v>1509.3000000000011</v>
      </c>
      <c r="C121" s="66">
        <v>12.790677966101704</v>
      </c>
      <c r="D121" s="71">
        <v>1.728813559322034</v>
      </c>
      <c r="E121" s="67">
        <v>0.5</v>
      </c>
      <c r="F121" s="67">
        <v>0.2288135593220339</v>
      </c>
      <c r="G121" s="67">
        <v>0.35073068893528186</v>
      </c>
      <c r="H121" s="67">
        <v>0.14926931106471816</v>
      </c>
      <c r="I121" s="68">
        <v>9063.6904761904771</v>
      </c>
      <c r="J121" s="68">
        <v>-8335.6643356643362</v>
      </c>
      <c r="K121" s="67">
        <v>0.11016949152542373</v>
      </c>
      <c r="L121" s="67">
        <v>0.17796610169491525</v>
      </c>
      <c r="M121" s="67">
        <v>0.3267223382045929</v>
      </c>
      <c r="N121" s="67">
        <v>0.22025052192066805</v>
      </c>
      <c r="O121" s="67">
        <v>0.58146964856230032</v>
      </c>
      <c r="P121" s="67">
        <v>0.51184834123222744</v>
      </c>
      <c r="Q121" s="67">
        <v>0.41666666666666669</v>
      </c>
    </row>
    <row r="122" spans="1:17" x14ac:dyDescent="0.4">
      <c r="A122" s="69">
        <v>119</v>
      </c>
      <c r="B122" s="66">
        <v>1506.3000000000011</v>
      </c>
      <c r="C122" s="66">
        <v>12.657983193277319</v>
      </c>
      <c r="D122" s="71">
        <v>1.73109243697479</v>
      </c>
      <c r="E122" s="67">
        <v>0.49579831932773111</v>
      </c>
      <c r="F122" s="67">
        <v>0.22689075630252101</v>
      </c>
      <c r="G122" s="67">
        <v>0.34886128364389235</v>
      </c>
      <c r="H122" s="67">
        <v>0.15113871635610765</v>
      </c>
      <c r="I122" s="68">
        <v>9143.6201780415431</v>
      </c>
      <c r="J122" s="68">
        <v>-8356.1643835616433</v>
      </c>
      <c r="K122" s="67">
        <v>0.1092436974789916</v>
      </c>
      <c r="L122" s="67">
        <v>0.17647058823529413</v>
      </c>
      <c r="M122" s="67">
        <v>0.32815734989648032</v>
      </c>
      <c r="N122" s="67">
        <v>0.22049689440993789</v>
      </c>
      <c r="O122" s="67">
        <v>0.57728706624605675</v>
      </c>
      <c r="P122" s="67">
        <v>0.50704225352112675</v>
      </c>
      <c r="Q122" s="67">
        <v>0.41839762611275966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F9B2C-0D0C-4FB0-9463-CE9E2984650F}">
  <sheetPr codeName="Sheet6"/>
  <dimension ref="A1:Q18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5.3290705182007514E-15</v>
      </c>
      <c r="C179" s="66">
        <v>1.0092936587501423E-17</v>
      </c>
      <c r="D179" s="71">
        <v>2</v>
      </c>
      <c r="E179" s="67">
        <v>0.33333333333333331</v>
      </c>
      <c r="F179" s="67">
        <v>0.33333333333333331</v>
      </c>
      <c r="G179" s="67">
        <v>0.29990966576332428</v>
      </c>
      <c r="H179" s="67">
        <v>0.16621499548328816</v>
      </c>
      <c r="I179" s="68">
        <v>8605.6475903614464</v>
      </c>
      <c r="J179" s="68">
        <v>-8201.902173913044</v>
      </c>
      <c r="K179" s="67">
        <v>0.11363636363636363</v>
      </c>
      <c r="L179" s="67">
        <v>0.11363636363636363</v>
      </c>
      <c r="M179" s="67">
        <v>0.27777777777777779</v>
      </c>
      <c r="N179" s="67">
        <v>0.20980126467931345</v>
      </c>
      <c r="O179" s="67">
        <v>0.58373983739837398</v>
      </c>
      <c r="P179" s="67">
        <v>0.3907427341227126</v>
      </c>
      <c r="Q179" s="67">
        <v>0.43975903614457829</v>
      </c>
    </row>
    <row r="180" spans="1:17" x14ac:dyDescent="0.4">
      <c r="A180" s="69">
        <v>177</v>
      </c>
      <c r="B180" s="66">
        <v>7.1054273576010019E-15</v>
      </c>
      <c r="C180" s="66">
        <v>1.3381219129192093E-17</v>
      </c>
      <c r="D180" s="71">
        <v>2</v>
      </c>
      <c r="E180" s="67">
        <v>0.33333333333333331</v>
      </c>
      <c r="F180" s="67">
        <v>0.33333333333333331</v>
      </c>
      <c r="G180" s="67">
        <v>0.29997746224926752</v>
      </c>
      <c r="H180" s="67">
        <v>0.16655397791300428</v>
      </c>
      <c r="I180" s="68">
        <v>8613.2982719759584</v>
      </c>
      <c r="J180" s="68">
        <v>-8217.320703653586</v>
      </c>
      <c r="K180" s="67">
        <v>0.11487758945386065</v>
      </c>
      <c r="L180" s="67">
        <v>0.11487758945386065</v>
      </c>
      <c r="M180" s="67">
        <v>0.27789046653144017</v>
      </c>
      <c r="N180" s="67">
        <v>0.20982645931935992</v>
      </c>
      <c r="O180" s="67">
        <v>0.58475263584752635</v>
      </c>
      <c r="P180" s="67">
        <v>0.38990332975295383</v>
      </c>
      <c r="Q180" s="67">
        <v>0.43876784372652139</v>
      </c>
    </row>
    <row r="181" spans="1:17" x14ac:dyDescent="0.4">
      <c r="A181" s="69">
        <v>178</v>
      </c>
      <c r="B181" s="66">
        <v>6.4392935428259079E-15</v>
      </c>
      <c r="C181" s="66">
        <v>1.2058602140123423E-17</v>
      </c>
      <c r="D181" s="71">
        <v>2</v>
      </c>
      <c r="E181" s="67">
        <v>0.33333333333333331</v>
      </c>
      <c r="F181" s="67">
        <v>0.33333333333333331</v>
      </c>
      <c r="G181" s="67">
        <v>0.3001569154898005</v>
      </c>
      <c r="H181" s="67">
        <v>0.16610625420309347</v>
      </c>
      <c r="I181" s="68">
        <v>8641.9716206123976</v>
      </c>
      <c r="J181" s="68">
        <v>-8222.132253711201</v>
      </c>
      <c r="K181" s="67">
        <v>0.11423220973782772</v>
      </c>
      <c r="L181" s="67">
        <v>0.11423220973782772</v>
      </c>
      <c r="M181" s="67">
        <v>0.27796458193230217</v>
      </c>
      <c r="N181" s="67">
        <v>0.21004259134723155</v>
      </c>
      <c r="O181" s="67">
        <v>0.5854838709677419</v>
      </c>
      <c r="P181" s="67">
        <v>0.38954108858057629</v>
      </c>
      <c r="Q181" s="67">
        <v>0.44062733383121733</v>
      </c>
    </row>
    <row r="182" spans="1:17" x14ac:dyDescent="0.4">
      <c r="A182" s="69">
        <v>179</v>
      </c>
      <c r="B182" s="66">
        <v>7.1054273576010019E-15</v>
      </c>
      <c r="C182" s="66">
        <v>1.3231708300932964E-17</v>
      </c>
      <c r="D182" s="71">
        <v>2</v>
      </c>
      <c r="E182" s="67">
        <v>0.33333333333333331</v>
      </c>
      <c r="F182" s="67">
        <v>0.33333333333333331</v>
      </c>
      <c r="G182" s="67">
        <v>0.30033444816053512</v>
      </c>
      <c r="H182" s="67">
        <v>0.16633221850613156</v>
      </c>
      <c r="I182" s="68">
        <v>8664.8849294729025</v>
      </c>
      <c r="J182" s="68">
        <v>-8226.0053619302944</v>
      </c>
      <c r="K182" s="67">
        <v>0.11359404096834265</v>
      </c>
      <c r="L182" s="67">
        <v>0.11359404096834265</v>
      </c>
      <c r="M182" s="67">
        <v>0.27892976588628765</v>
      </c>
      <c r="N182" s="67">
        <v>0.20958751393534003</v>
      </c>
      <c r="O182" s="67">
        <v>0.5843325339728217</v>
      </c>
      <c r="P182" s="67">
        <v>0.38936170212765958</v>
      </c>
      <c r="Q182" s="67">
        <v>0.44023756495916855</v>
      </c>
    </row>
    <row r="183" spans="1:17" x14ac:dyDescent="0.4">
      <c r="A183" s="69">
        <v>180</v>
      </c>
      <c r="B183" s="66">
        <v>1.0658141036401503E-14</v>
      </c>
      <c r="C183" s="66">
        <v>1.9737298215558339E-17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2019-05-23T15:26:04Z</dcterms:modified>
</cp:coreProperties>
</file>