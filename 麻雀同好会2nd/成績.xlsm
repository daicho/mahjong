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69E8792-B22D-4D23-AF21-5678C259EF76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だいち" sheetId="5591" r:id="rId7"/>
    <sheet name="りくと" sheetId="5593" r:id="rId8"/>
    <sheet name="ただ" sheetId="5595" r:id="rId9"/>
    <sheet name="れんたろう" sheetId="5597" r:id="rId10"/>
    <sheet name="たかの" sheetId="5599" r:id="rId11"/>
    <sheet name="ぱぱ" sheetId="5601" r:id="rId12"/>
    <sheet name="まっつん" sheetId="5603" r:id="rId13"/>
    <sheet name="あさひ" sheetId="5605" r:id="rId14"/>
    <sheet name="いっしー" sheetId="5607" r:id="rId15"/>
    <sheet name="ほたに" sheetId="5609" r:id="rId16"/>
    <sheet name="かわたつ" sheetId="5611" r:id="rId17"/>
    <sheet name="やがさき" sheetId="5613" r:id="rId18"/>
    <sheet name="のり" sheetId="5615" r:id="rId19"/>
    <sheet name="ちさと" sheetId="5617" r:id="rId20"/>
    <sheet name="ちさと2" sheetId="5618" state="hidden" r:id="rId21"/>
    <sheet name="のり2" sheetId="5616" state="hidden" r:id="rId22"/>
    <sheet name="やがさき2" sheetId="5614" state="hidden" r:id="rId23"/>
    <sheet name="かわたつ2" sheetId="5612" state="hidden" r:id="rId24"/>
    <sheet name="ほたに2" sheetId="5610" state="hidden" r:id="rId25"/>
    <sheet name="いっしー2" sheetId="5608" state="hidden" r:id="rId26"/>
    <sheet name="あさひ2" sheetId="5606" state="hidden" r:id="rId27"/>
    <sheet name="まっつん2" sheetId="5604" state="hidden" r:id="rId28"/>
    <sheet name="ぱぱ2" sheetId="5602" state="hidden" r:id="rId29"/>
    <sheet name="たかの2" sheetId="5600" state="hidden" r:id="rId30"/>
    <sheet name="れんたろう2" sheetId="5598" state="hidden" r:id="rId31"/>
    <sheet name="ただ2" sheetId="5596" state="hidden" r:id="rId32"/>
    <sheet name="りくと2" sheetId="5594" state="hidden" r:id="rId33"/>
    <sheet name="だいち2" sheetId="5592" state="hidden" r:id="rId34"/>
    <sheet name="全体2" sheetId="559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9">ちさと!$B$27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9">ちさと!$C$27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9">ちさと!$B$25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9">ちさと!$B$26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595" l="1"/>
  <c r="O16" i="5617"/>
  <c r="O15" i="5617"/>
  <c r="C27" i="5617"/>
  <c r="B24" i="5617"/>
  <c r="C20" i="5617"/>
  <c r="B17" i="5617"/>
  <c r="H52" i="5617" s="1"/>
  <c r="C16" i="5617"/>
  <c r="C15" i="5617"/>
  <c r="C14" i="5617"/>
  <c r="C13" i="5617"/>
  <c r="O12" i="5617"/>
  <c r="C12" i="5617"/>
  <c r="O11" i="5617"/>
  <c r="C11" i="5617"/>
  <c r="O10" i="5617"/>
  <c r="C10" i="5617"/>
  <c r="C9" i="5617"/>
  <c r="C8" i="5617"/>
  <c r="O7" i="5617"/>
  <c r="C7" i="5617"/>
  <c r="O6" i="5617"/>
  <c r="B6" i="5617"/>
  <c r="O5" i="5617"/>
  <c r="B5" i="5617"/>
  <c r="O4" i="5617"/>
  <c r="O3" i="5617"/>
  <c r="O2" i="5617"/>
  <c r="O16" i="5603"/>
  <c r="O16" i="5589"/>
  <c r="H8" i="5617" l="1"/>
  <c r="H21" i="5617"/>
  <c r="H6" i="5617"/>
  <c r="H12" i="5617"/>
  <c r="H2" i="5617"/>
  <c r="H32" i="5617"/>
  <c r="H38" i="5617"/>
  <c r="H41" i="5617"/>
  <c r="H4" i="5617"/>
  <c r="H33" i="5617"/>
  <c r="H10" i="5617"/>
  <c r="H14" i="5617"/>
  <c r="H40" i="5617"/>
  <c r="H26" i="5617"/>
  <c r="H46" i="5617"/>
  <c r="H27" i="5617"/>
  <c r="H17" i="5617"/>
  <c r="C17" i="5617"/>
  <c r="H48" i="5617"/>
  <c r="H3" i="5617"/>
  <c r="H15" i="5617"/>
  <c r="H23" i="5617"/>
  <c r="H30" i="5617"/>
  <c r="H49" i="5617"/>
  <c r="H20" i="5617"/>
  <c r="C19" i="5617"/>
  <c r="H31" i="5617"/>
  <c r="H39" i="5617"/>
  <c r="H47" i="5617"/>
  <c r="H24" i="5617"/>
  <c r="H34" i="5617"/>
  <c r="H50" i="5617"/>
  <c r="H18" i="5617"/>
  <c r="H11" i="5617"/>
  <c r="H51" i="5617"/>
  <c r="H22" i="5617"/>
  <c r="H25" i="5617"/>
  <c r="H13" i="5617"/>
  <c r="H36" i="5617"/>
  <c r="H44" i="5617"/>
  <c r="H5" i="5617"/>
  <c r="H28" i="5617"/>
  <c r="H42" i="5617"/>
  <c r="H9" i="5617"/>
  <c r="H35" i="5617"/>
  <c r="H43" i="5617"/>
  <c r="H7" i="5617"/>
  <c r="H16" i="5617"/>
  <c r="H19" i="5617"/>
  <c r="C18" i="5617"/>
  <c r="B23" i="5617"/>
  <c r="H29" i="5617"/>
  <c r="H37" i="5617"/>
  <c r="H45" i="5617"/>
  <c r="O15" i="5601" l="1"/>
  <c r="O18" i="5615"/>
  <c r="O16" i="5609"/>
  <c r="O15" i="5615"/>
  <c r="O16" i="5595" l="1"/>
  <c r="O15" i="5603"/>
  <c r="O15" i="5589"/>
  <c r="O16" i="5615"/>
  <c r="O17" i="5615"/>
  <c r="C27" i="5615"/>
  <c r="B24" i="5615"/>
  <c r="C20" i="5615"/>
  <c r="B17" i="5615"/>
  <c r="H51" i="5615" s="1"/>
  <c r="C16" i="5615"/>
  <c r="C15" i="5615"/>
  <c r="C14" i="5615"/>
  <c r="C13" i="5615"/>
  <c r="O12" i="5615"/>
  <c r="C12" i="5615"/>
  <c r="O11" i="5615"/>
  <c r="C11" i="5615"/>
  <c r="O10" i="5615"/>
  <c r="C10" i="5615"/>
  <c r="C9" i="5615"/>
  <c r="C8" i="5615"/>
  <c r="O7" i="5615"/>
  <c r="C7" i="5615"/>
  <c r="O6" i="5615"/>
  <c r="B6" i="5615"/>
  <c r="O5" i="5615"/>
  <c r="B5" i="5615"/>
  <c r="O4" i="5615"/>
  <c r="O3" i="5615"/>
  <c r="O2" i="5615"/>
  <c r="H10" i="5615" l="1"/>
  <c r="H16" i="5615"/>
  <c r="H45" i="5615"/>
  <c r="H2" i="5615"/>
  <c r="H46" i="5615"/>
  <c r="H12" i="5615"/>
  <c r="H48" i="5615"/>
  <c r="H27" i="5615"/>
  <c r="H20" i="5615"/>
  <c r="H13" i="5615"/>
  <c r="H31" i="5615"/>
  <c r="H17" i="5615"/>
  <c r="H32" i="5615"/>
  <c r="H11" i="5615"/>
  <c r="C19" i="5615"/>
  <c r="H23" i="5615"/>
  <c r="H33" i="5615"/>
  <c r="H6" i="5615"/>
  <c r="H37" i="5615"/>
  <c r="H15" i="5615"/>
  <c r="H36" i="5615"/>
  <c r="C18" i="5615"/>
  <c r="H41" i="5615"/>
  <c r="H8" i="5615"/>
  <c r="H21" i="5615"/>
  <c r="H7" i="5615"/>
  <c r="H28" i="5615"/>
  <c r="H9" i="5615"/>
  <c r="H19" i="5615"/>
  <c r="H22" i="5615"/>
  <c r="H44" i="5615"/>
  <c r="H38" i="5615"/>
  <c r="H49" i="5615"/>
  <c r="H26" i="5615"/>
  <c r="H30" i="5615"/>
  <c r="H39" i="5615"/>
  <c r="H4" i="5615"/>
  <c r="H3" i="5615"/>
  <c r="H5" i="5615"/>
  <c r="C17" i="5615"/>
  <c r="B23" i="5615"/>
  <c r="H14" i="5615"/>
  <c r="H40" i="5615"/>
  <c r="H52" i="5615"/>
  <c r="H47" i="5615"/>
  <c r="H24" i="5615"/>
  <c r="H29" i="5615"/>
  <c r="H34" i="5615"/>
  <c r="H42" i="5615"/>
  <c r="H50" i="5615"/>
  <c r="H18" i="5615"/>
  <c r="H25" i="5615"/>
  <c r="H35" i="5615"/>
  <c r="H43" i="5615"/>
  <c r="O23" i="5607" l="1"/>
  <c r="O15" i="5613"/>
  <c r="O22" i="5609" l="1"/>
  <c r="O17" i="5595"/>
  <c r="O24" i="5601" l="1"/>
  <c r="O15" i="5607"/>
  <c r="O25" i="5591" l="1"/>
  <c r="O17" i="5613"/>
  <c r="O15" i="5595" l="1"/>
  <c r="O23" i="5599"/>
  <c r="O27" i="5589"/>
  <c r="O18" i="5613"/>
  <c r="O16" i="5613"/>
  <c r="C27" i="5613"/>
  <c r="B24" i="5613"/>
  <c r="C20" i="5613"/>
  <c r="B17" i="5613"/>
  <c r="H10" i="5613" s="1"/>
  <c r="C16" i="5613"/>
  <c r="C15" i="5613"/>
  <c r="C14" i="5613"/>
  <c r="C13" i="5613"/>
  <c r="O12" i="5613"/>
  <c r="C12" i="5613"/>
  <c r="O11" i="5613"/>
  <c r="C11" i="5613"/>
  <c r="O10" i="5613"/>
  <c r="C10" i="5613"/>
  <c r="C9" i="5613"/>
  <c r="C8" i="5613"/>
  <c r="O7" i="5613"/>
  <c r="C7" i="5613"/>
  <c r="O6" i="5613"/>
  <c r="B6" i="5613"/>
  <c r="O5" i="5613"/>
  <c r="B5" i="5613"/>
  <c r="O4" i="5613"/>
  <c r="O3" i="5613"/>
  <c r="O2" i="5613"/>
  <c r="O15" i="5611"/>
  <c r="O16" i="5611"/>
  <c r="C27" i="5611"/>
  <c r="B24" i="5611"/>
  <c r="C20" i="5611"/>
  <c r="B17" i="5611"/>
  <c r="H7" i="5611" s="1"/>
  <c r="C16" i="5611"/>
  <c r="C15" i="5611"/>
  <c r="C14" i="5611"/>
  <c r="C13" i="5611"/>
  <c r="O12" i="5611"/>
  <c r="C12" i="5611"/>
  <c r="O11" i="5611"/>
  <c r="H13" i="5611"/>
  <c r="C11" i="5611"/>
  <c r="O10" i="5611"/>
  <c r="C10" i="5611"/>
  <c r="C9" i="5611"/>
  <c r="C8" i="5611"/>
  <c r="O7" i="5611"/>
  <c r="C7" i="5611"/>
  <c r="O6" i="5611"/>
  <c r="B6" i="5611"/>
  <c r="O5" i="5611"/>
  <c r="B5" i="5611"/>
  <c r="O4" i="5611"/>
  <c r="H2" i="5611"/>
  <c r="O3" i="5611"/>
  <c r="O2" i="5611"/>
  <c r="O23" i="5597"/>
  <c r="O16" i="5591"/>
  <c r="O26" i="5589"/>
  <c r="H2" i="5613" l="1"/>
  <c r="H25" i="5613"/>
  <c r="H37" i="5613"/>
  <c r="H17" i="5613"/>
  <c r="H14" i="5613"/>
  <c r="C17" i="5613"/>
  <c r="B23" i="5613"/>
  <c r="H42" i="5613"/>
  <c r="H45" i="5613"/>
  <c r="H4" i="5613"/>
  <c r="H38" i="5613"/>
  <c r="H13" i="5613"/>
  <c r="H28" i="5613"/>
  <c r="H7" i="5613"/>
  <c r="H46" i="5613"/>
  <c r="H15" i="5613"/>
  <c r="H8" i="5613"/>
  <c r="H50" i="5613"/>
  <c r="H6" i="5613"/>
  <c r="H3" i="5613"/>
  <c r="C18" i="5613"/>
  <c r="H30" i="5613"/>
  <c r="H20" i="5613"/>
  <c r="H34" i="5613"/>
  <c r="H52" i="5613"/>
  <c r="H22" i="5613"/>
  <c r="H26" i="5613"/>
  <c r="H31" i="5613"/>
  <c r="H39" i="5613"/>
  <c r="H47" i="5613"/>
  <c r="H21" i="5613"/>
  <c r="C19" i="5613"/>
  <c r="H32" i="5613"/>
  <c r="H40" i="5613"/>
  <c r="H48" i="5613"/>
  <c r="H11" i="5613"/>
  <c r="H5" i="5613"/>
  <c r="H9" i="5613"/>
  <c r="H18" i="5613"/>
  <c r="H23" i="5613"/>
  <c r="H27" i="5613"/>
  <c r="H33" i="5613"/>
  <c r="H41" i="5613"/>
  <c r="H49" i="5613"/>
  <c r="H24" i="5613"/>
  <c r="H29" i="5613"/>
  <c r="H35" i="5613"/>
  <c r="H43" i="5613"/>
  <c r="H51" i="5613"/>
  <c r="H12" i="5613"/>
  <c r="H19" i="5613"/>
  <c r="H16" i="5613"/>
  <c r="H36" i="5613"/>
  <c r="H44" i="5613"/>
  <c r="B23" i="5611"/>
  <c r="C17" i="5611"/>
  <c r="H16" i="5611"/>
  <c r="H4" i="5611"/>
  <c r="H12" i="5611"/>
  <c r="H3" i="5611"/>
  <c r="H29" i="5611"/>
  <c r="H37" i="5611"/>
  <c r="H45" i="5611"/>
  <c r="C18" i="5611"/>
  <c r="H52" i="5611"/>
  <c r="H10" i="5611"/>
  <c r="H24" i="5611"/>
  <c r="H38" i="5611"/>
  <c r="H17" i="5611"/>
  <c r="C19" i="5611"/>
  <c r="H31" i="5611"/>
  <c r="H39" i="5611"/>
  <c r="H47" i="5611"/>
  <c r="H20" i="5611"/>
  <c r="H30" i="5611"/>
  <c r="H46" i="5611"/>
  <c r="H8" i="5611"/>
  <c r="H5" i="5611"/>
  <c r="H11" i="5611"/>
  <c r="H14" i="5611"/>
  <c r="H6" i="5611"/>
  <c r="H25" i="5611"/>
  <c r="H32" i="5611"/>
  <c r="H40" i="5611"/>
  <c r="H48" i="5611"/>
  <c r="H18" i="5611"/>
  <c r="H26" i="5611"/>
  <c r="H33" i="5611"/>
  <c r="H41" i="5611"/>
  <c r="H49" i="5611"/>
  <c r="H21" i="5611"/>
  <c r="H42" i="5611"/>
  <c r="H9" i="5611"/>
  <c r="H15" i="5611"/>
  <c r="H22" i="5611"/>
  <c r="H35" i="5611"/>
  <c r="H43" i="5611"/>
  <c r="H51" i="5611"/>
  <c r="H27" i="5611"/>
  <c r="H34" i="5611"/>
  <c r="H50" i="5611"/>
  <c r="H19" i="5611"/>
  <c r="H23" i="5611"/>
  <c r="H28" i="5611"/>
  <c r="H36" i="5611"/>
  <c r="H44" i="5611"/>
  <c r="O15" i="5599" l="1"/>
  <c r="O21" i="5607"/>
  <c r="O21" i="5609" l="1"/>
  <c r="O20" i="5609"/>
  <c r="O19" i="5603"/>
  <c r="O21" i="5593"/>
  <c r="O24" i="5591" l="1"/>
  <c r="O18" i="5609"/>
  <c r="O23" i="5601"/>
  <c r="O15" i="5609"/>
  <c r="O19" i="5609" l="1"/>
  <c r="O17" i="5609"/>
  <c r="C27" i="5609"/>
  <c r="B24" i="5609"/>
  <c r="C20" i="5609"/>
  <c r="B17" i="5609"/>
  <c r="H51" i="5609" s="1"/>
  <c r="C16" i="5609"/>
  <c r="C15" i="5609"/>
  <c r="C14" i="5609"/>
  <c r="C13" i="5609"/>
  <c r="O12" i="5609"/>
  <c r="C12" i="5609"/>
  <c r="O11" i="5609"/>
  <c r="C11" i="5609"/>
  <c r="O10" i="5609"/>
  <c r="C10" i="5609"/>
  <c r="C9" i="5609"/>
  <c r="C8" i="5609"/>
  <c r="O7" i="5609"/>
  <c r="C7" i="5609"/>
  <c r="O6" i="5609"/>
  <c r="B6" i="5609"/>
  <c r="O5" i="5609"/>
  <c r="B5" i="5609"/>
  <c r="O4" i="5609"/>
  <c r="O3" i="5609"/>
  <c r="O2" i="5609"/>
  <c r="O21" i="5597"/>
  <c r="O21" i="5599"/>
  <c r="O24" i="5589"/>
  <c r="H13" i="5609" l="1"/>
  <c r="H36" i="5609"/>
  <c r="H25" i="5609"/>
  <c r="H7" i="5609"/>
  <c r="B23" i="5609"/>
  <c r="H19" i="5609"/>
  <c r="H12" i="5609"/>
  <c r="H37" i="5609"/>
  <c r="H41" i="5609"/>
  <c r="C17" i="5609"/>
  <c r="H11" i="5609"/>
  <c r="H17" i="5609"/>
  <c r="H9" i="5609"/>
  <c r="H49" i="5609"/>
  <c r="H4" i="5609"/>
  <c r="H27" i="5609"/>
  <c r="H44" i="5609"/>
  <c r="H16" i="5609"/>
  <c r="H45" i="5609"/>
  <c r="H5" i="5609"/>
  <c r="H2" i="5609"/>
  <c r="C18" i="5609"/>
  <c r="H29" i="5609"/>
  <c r="H6" i="5609"/>
  <c r="H3" i="5609"/>
  <c r="H22" i="5609"/>
  <c r="H33" i="5609"/>
  <c r="H52" i="5609"/>
  <c r="H23" i="5609"/>
  <c r="H26" i="5609"/>
  <c r="H30" i="5609"/>
  <c r="H38" i="5609"/>
  <c r="H46" i="5609"/>
  <c r="H14" i="5609"/>
  <c r="C19" i="5609"/>
  <c r="H31" i="5609"/>
  <c r="H39" i="5609"/>
  <c r="H47" i="5609"/>
  <c r="H20" i="5609"/>
  <c r="H18" i="5609"/>
  <c r="H10" i="5609"/>
  <c r="H32" i="5609"/>
  <c r="H40" i="5609"/>
  <c r="H48" i="5609"/>
  <c r="H24" i="5609"/>
  <c r="H28" i="5609"/>
  <c r="H34" i="5609"/>
  <c r="H42" i="5609"/>
  <c r="H50" i="5609"/>
  <c r="H8" i="5609"/>
  <c r="H21" i="5609"/>
  <c r="H15" i="5609"/>
  <c r="H35" i="5609"/>
  <c r="H43" i="5609"/>
  <c r="O18" i="5599" l="1"/>
  <c r="O19" i="5595"/>
  <c r="O23" i="5603"/>
  <c r="O21" i="5603"/>
  <c r="O17" i="5591" l="1"/>
  <c r="O20" i="5607"/>
  <c r="O18" i="5607" l="1"/>
  <c r="O16" i="5607"/>
  <c r="O15" i="5597"/>
  <c r="O25" i="5595"/>
  <c r="O17" i="5605" l="1"/>
  <c r="O22" i="5601"/>
  <c r="O15" i="5605"/>
  <c r="O22" i="5607"/>
  <c r="O15" i="5593"/>
  <c r="O20" i="5603"/>
  <c r="O17" i="5589"/>
  <c r="O19" i="5607"/>
  <c r="O17" i="5607"/>
  <c r="C27" i="5607"/>
  <c r="B24" i="5607"/>
  <c r="C20" i="5607"/>
  <c r="B17" i="5607"/>
  <c r="H51" i="5607" s="1"/>
  <c r="C16" i="5607"/>
  <c r="C15" i="5607"/>
  <c r="C14" i="5607"/>
  <c r="C13" i="5607"/>
  <c r="O12" i="5607"/>
  <c r="C12" i="5607"/>
  <c r="O11" i="5607"/>
  <c r="C11" i="5607"/>
  <c r="O10" i="5607"/>
  <c r="C10" i="5607"/>
  <c r="C9" i="5607"/>
  <c r="C8" i="5607"/>
  <c r="O7" i="5607"/>
  <c r="C7" i="5607"/>
  <c r="O6" i="5607"/>
  <c r="B6" i="5607"/>
  <c r="O5" i="5607"/>
  <c r="B5" i="5607"/>
  <c r="O4" i="5607"/>
  <c r="O3" i="5607"/>
  <c r="O2" i="5607"/>
  <c r="O16" i="5605"/>
  <c r="O18" i="5605"/>
  <c r="C27" i="5605"/>
  <c r="B24" i="5605"/>
  <c r="C20" i="5605"/>
  <c r="B17" i="5605"/>
  <c r="H51" i="5605" s="1"/>
  <c r="C16" i="5605"/>
  <c r="C15" i="5605"/>
  <c r="C14" i="5605"/>
  <c r="C13" i="5605"/>
  <c r="O12" i="5605"/>
  <c r="C12" i="5605"/>
  <c r="O11" i="5605"/>
  <c r="C11" i="5605"/>
  <c r="O10" i="5605"/>
  <c r="C10" i="5605"/>
  <c r="C9" i="5605"/>
  <c r="H13" i="5605"/>
  <c r="C8" i="5605"/>
  <c r="O7" i="5605"/>
  <c r="C7" i="5605"/>
  <c r="O6" i="5605"/>
  <c r="B6" i="5605"/>
  <c r="O5" i="5605"/>
  <c r="B5" i="5605"/>
  <c r="O4" i="5605"/>
  <c r="O3" i="5605"/>
  <c r="O2" i="5605"/>
  <c r="O24" i="5603"/>
  <c r="O25" i="5603"/>
  <c r="O15" i="5591"/>
  <c r="O21" i="5591"/>
  <c r="O28" i="5589"/>
  <c r="H4" i="5607" l="1"/>
  <c r="H19" i="5607"/>
  <c r="H37" i="5607"/>
  <c r="H15" i="5607"/>
  <c r="H22" i="5607"/>
  <c r="C17" i="5605"/>
  <c r="H36" i="5605"/>
  <c r="H37" i="5605"/>
  <c r="C18" i="5605"/>
  <c r="H38" i="5605"/>
  <c r="H4" i="5605"/>
  <c r="H6" i="5605"/>
  <c r="H45" i="5605"/>
  <c r="H26" i="5605"/>
  <c r="H7" i="5605"/>
  <c r="H5" i="5605"/>
  <c r="H20" i="5605"/>
  <c r="H41" i="5605"/>
  <c r="H17" i="5605"/>
  <c r="H44" i="5605"/>
  <c r="H25" i="5605"/>
  <c r="H30" i="5605"/>
  <c r="H46" i="5605"/>
  <c r="H52" i="5605"/>
  <c r="H27" i="5605"/>
  <c r="H2" i="5605"/>
  <c r="H21" i="5605"/>
  <c r="H29" i="5605"/>
  <c r="H3" i="5605"/>
  <c r="H14" i="5605"/>
  <c r="H19" i="5605"/>
  <c r="B23" i="5605"/>
  <c r="H33" i="5605"/>
  <c r="H49" i="5605"/>
  <c r="H25" i="5607"/>
  <c r="H7" i="5607"/>
  <c r="H9" i="5607"/>
  <c r="B23" i="5607"/>
  <c r="H41" i="5607"/>
  <c r="H44" i="5607"/>
  <c r="H45" i="5607"/>
  <c r="H13" i="5607"/>
  <c r="H28" i="5607"/>
  <c r="H6" i="5607"/>
  <c r="H14" i="5607"/>
  <c r="H11" i="5607"/>
  <c r="H49" i="5607"/>
  <c r="H12" i="5607"/>
  <c r="H3" i="5607"/>
  <c r="C18" i="5607"/>
  <c r="H30" i="5607"/>
  <c r="H5" i="5607"/>
  <c r="H16" i="5607"/>
  <c r="C17" i="5607"/>
  <c r="H2" i="5607"/>
  <c r="H20" i="5607"/>
  <c r="H34" i="5607"/>
  <c r="H52" i="5607"/>
  <c r="H23" i="5607"/>
  <c r="H26" i="5607"/>
  <c r="H31" i="5607"/>
  <c r="H38" i="5607"/>
  <c r="H46" i="5607"/>
  <c r="H21" i="5607"/>
  <c r="C19" i="5607"/>
  <c r="H32" i="5607"/>
  <c r="H39" i="5607"/>
  <c r="H47" i="5607"/>
  <c r="H18" i="5607"/>
  <c r="H27" i="5607"/>
  <c r="H33" i="5607"/>
  <c r="H40" i="5607"/>
  <c r="H48" i="5607"/>
  <c r="H24" i="5607"/>
  <c r="H29" i="5607"/>
  <c r="H35" i="5607"/>
  <c r="H42" i="5607"/>
  <c r="H50" i="5607"/>
  <c r="H8" i="5607"/>
  <c r="H17" i="5607"/>
  <c r="H10" i="5607"/>
  <c r="H36" i="5607"/>
  <c r="H43" i="5607"/>
  <c r="H18" i="5605"/>
  <c r="C19" i="5605"/>
  <c r="H31" i="5605"/>
  <c r="H39" i="5605"/>
  <c r="H47" i="5605"/>
  <c r="H12" i="5605"/>
  <c r="H8" i="5605"/>
  <c r="H10" i="5605"/>
  <c r="H15" i="5605"/>
  <c r="H22" i="5605"/>
  <c r="H11" i="5605"/>
  <c r="H32" i="5605"/>
  <c r="H40" i="5605"/>
  <c r="H48" i="5605"/>
  <c r="H23" i="5605"/>
  <c r="H28" i="5605"/>
  <c r="H34" i="5605"/>
  <c r="H42" i="5605"/>
  <c r="H50" i="5605"/>
  <c r="H9" i="5605"/>
  <c r="H16" i="5605"/>
  <c r="H24" i="5605"/>
  <c r="H35" i="5605"/>
  <c r="H43" i="5605"/>
  <c r="O18" i="5603" l="1"/>
  <c r="O19" i="5601"/>
  <c r="O18" i="5601"/>
  <c r="O16" i="5593"/>
  <c r="O17" i="5599" l="1"/>
  <c r="O17" i="5597"/>
  <c r="O17" i="5601"/>
  <c r="O20" i="5601"/>
  <c r="O16" i="5599" l="1"/>
  <c r="O16" i="5597"/>
  <c r="O23" i="5595"/>
  <c r="O22" i="5595"/>
  <c r="O17" i="5603"/>
  <c r="O22" i="5603"/>
  <c r="C27" i="5603"/>
  <c r="B24" i="5603"/>
  <c r="C20" i="5603"/>
  <c r="B17" i="5603"/>
  <c r="H51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97"/>
  <c r="O18" i="5593"/>
  <c r="O22" i="5589"/>
  <c r="H23" i="5603" l="1"/>
  <c r="H15" i="5603"/>
  <c r="H3" i="5603"/>
  <c r="H31" i="5603"/>
  <c r="H41" i="5603"/>
  <c r="H20" i="5603"/>
  <c r="H18" i="5603"/>
  <c r="H9" i="5603"/>
  <c r="H44" i="5603"/>
  <c r="H7" i="5603"/>
  <c r="H25" i="5603"/>
  <c r="H46" i="5603"/>
  <c r="C18" i="5603"/>
  <c r="H14" i="5603"/>
  <c r="H29" i="5603"/>
  <c r="H38" i="5603"/>
  <c r="H49" i="5603"/>
  <c r="H16" i="5603"/>
  <c r="H45" i="5603"/>
  <c r="H19" i="5603"/>
  <c r="H48" i="5603"/>
  <c r="H17" i="5603"/>
  <c r="H39" i="5603"/>
  <c r="H5" i="5603"/>
  <c r="H12" i="5603"/>
  <c r="B23" i="5603"/>
  <c r="C17" i="5603"/>
  <c r="H4" i="5603"/>
  <c r="H34" i="5603"/>
  <c r="H2" i="5603"/>
  <c r="H37" i="5603"/>
  <c r="H28" i="5603"/>
  <c r="H32" i="5603"/>
  <c r="H27" i="5603"/>
  <c r="H6" i="5603"/>
  <c r="H11" i="5603"/>
  <c r="H10" i="5603"/>
  <c r="H26" i="5603"/>
  <c r="H52" i="5603"/>
  <c r="H22" i="5603"/>
  <c r="C19" i="5603"/>
  <c r="H24" i="5603"/>
  <c r="H40" i="5603"/>
  <c r="H47" i="5603"/>
  <c r="H30" i="5603"/>
  <c r="H33" i="5603"/>
  <c r="H35" i="5603"/>
  <c r="H42" i="5603"/>
  <c r="H50" i="5603"/>
  <c r="H8" i="5603"/>
  <c r="H21" i="5603"/>
  <c r="H13" i="5603"/>
  <c r="H36" i="5603"/>
  <c r="H43" i="5603"/>
  <c r="O20" i="5595" l="1"/>
  <c r="O21" i="5601"/>
  <c r="O16" i="5601"/>
  <c r="C27" i="5601"/>
  <c r="B24" i="5601"/>
  <c r="C20" i="5601"/>
  <c r="B17" i="5601"/>
  <c r="H6" i="5601" s="1"/>
  <c r="C16" i="5601"/>
  <c r="C15" i="5601"/>
  <c r="C14" i="5601"/>
  <c r="C13" i="5601"/>
  <c r="O12" i="5601"/>
  <c r="C12" i="5601"/>
  <c r="O11" i="5601"/>
  <c r="C11" i="5601"/>
  <c r="O10" i="5601"/>
  <c r="C10" i="5601"/>
  <c r="C9" i="5601"/>
  <c r="C8" i="5601"/>
  <c r="O7" i="5601"/>
  <c r="C7" i="5601"/>
  <c r="O6" i="5601"/>
  <c r="B6" i="5601"/>
  <c r="O5" i="5601"/>
  <c r="B5" i="5601"/>
  <c r="O4" i="5601"/>
  <c r="O3" i="5601"/>
  <c r="O2" i="5601"/>
  <c r="O18" i="5591"/>
  <c r="O18" i="5589"/>
  <c r="O19" i="5599"/>
  <c r="O19" i="5593"/>
  <c r="O20" i="5593"/>
  <c r="O20" i="5597"/>
  <c r="O20" i="5599"/>
  <c r="O22" i="5599"/>
  <c r="C27" i="5599"/>
  <c r="B24" i="5599"/>
  <c r="C20" i="5599"/>
  <c r="B17" i="5599"/>
  <c r="H4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9" i="5597"/>
  <c r="O18" i="5597"/>
  <c r="C27" i="5597"/>
  <c r="B24" i="5597"/>
  <c r="C20" i="5597"/>
  <c r="B17" i="5597"/>
  <c r="H5" i="5597" s="1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O3" i="5597"/>
  <c r="O2" i="5597"/>
  <c r="O19" i="5591"/>
  <c r="O23" i="5591"/>
  <c r="O21" i="5589"/>
  <c r="O23" i="5589"/>
  <c r="H11" i="5601" l="1"/>
  <c r="H13" i="5601"/>
  <c r="B23" i="5601"/>
  <c r="H35" i="5601"/>
  <c r="H5" i="5601"/>
  <c r="H37" i="5599"/>
  <c r="H40" i="5599"/>
  <c r="H14" i="5601"/>
  <c r="H23" i="5601"/>
  <c r="H39" i="5601"/>
  <c r="H17" i="5601"/>
  <c r="H16" i="5599"/>
  <c r="H5" i="5599"/>
  <c r="H20" i="5599"/>
  <c r="H9" i="5599"/>
  <c r="H33" i="5599"/>
  <c r="H14" i="5597"/>
  <c r="H52" i="5597"/>
  <c r="H30" i="5601"/>
  <c r="H8" i="5601"/>
  <c r="H43" i="5601"/>
  <c r="C18" i="5601"/>
  <c r="H2" i="5601"/>
  <c r="C17" i="5601"/>
  <c r="H7" i="5601"/>
  <c r="H15" i="5601"/>
  <c r="H27" i="5601"/>
  <c r="H47" i="5601"/>
  <c r="H24" i="5601"/>
  <c r="H21" i="5601"/>
  <c r="H4" i="5601"/>
  <c r="C19" i="5601"/>
  <c r="H32" i="5601"/>
  <c r="H50" i="5601"/>
  <c r="H3" i="5601"/>
  <c r="H40" i="5601"/>
  <c r="H22" i="5601"/>
  <c r="H25" i="5601"/>
  <c r="H10" i="5601"/>
  <c r="H26" i="5601"/>
  <c r="H19" i="5601"/>
  <c r="H52" i="5601"/>
  <c r="H33" i="5601"/>
  <c r="H41" i="5601"/>
  <c r="H48" i="5601"/>
  <c r="H20" i="5601"/>
  <c r="H12" i="5601"/>
  <c r="H34" i="5601"/>
  <c r="H42" i="5601"/>
  <c r="H49" i="5601"/>
  <c r="H28" i="5601"/>
  <c r="H31" i="5601"/>
  <c r="H36" i="5601"/>
  <c r="H44" i="5601"/>
  <c r="H51" i="5601"/>
  <c r="H37" i="5601"/>
  <c r="H45" i="5601"/>
  <c r="H18" i="5601"/>
  <c r="H16" i="5601"/>
  <c r="H29" i="5601"/>
  <c r="H9" i="5601"/>
  <c r="H38" i="5601"/>
  <c r="H46" i="5601"/>
  <c r="B23" i="5599"/>
  <c r="H12" i="5599"/>
  <c r="H7" i="5599"/>
  <c r="H6" i="5597"/>
  <c r="H31" i="5597"/>
  <c r="H11" i="5597"/>
  <c r="H38" i="5597"/>
  <c r="H41" i="5599"/>
  <c r="H11" i="5599"/>
  <c r="H14" i="5599"/>
  <c r="H23" i="5599"/>
  <c r="C18" i="5599"/>
  <c r="H48" i="5599"/>
  <c r="C17" i="5599"/>
  <c r="H3" i="5599"/>
  <c r="H2" i="5599"/>
  <c r="H24" i="5599"/>
  <c r="H49" i="5599"/>
  <c r="H19" i="5599"/>
  <c r="H6" i="5599"/>
  <c r="H45" i="5599"/>
  <c r="H26" i="5599"/>
  <c r="H25" i="5599"/>
  <c r="H15" i="5599"/>
  <c r="H32" i="5599"/>
  <c r="H52" i="5599"/>
  <c r="H29" i="5599"/>
  <c r="H17" i="5599"/>
  <c r="H38" i="5599"/>
  <c r="H46" i="5599"/>
  <c r="H22" i="5599"/>
  <c r="C19" i="5599"/>
  <c r="H31" i="5599"/>
  <c r="H39" i="5599"/>
  <c r="H47" i="5599"/>
  <c r="H27" i="5599"/>
  <c r="H34" i="5599"/>
  <c r="H50" i="5599"/>
  <c r="H30" i="5599"/>
  <c r="H8" i="5599"/>
  <c r="H21" i="5599"/>
  <c r="H13" i="5599"/>
  <c r="H35" i="5599"/>
  <c r="H43" i="5599"/>
  <c r="H51" i="5599"/>
  <c r="H42" i="5599"/>
  <c r="H18" i="5599"/>
  <c r="H28" i="5599"/>
  <c r="H10" i="5599"/>
  <c r="H36" i="5599"/>
  <c r="H44" i="5599"/>
  <c r="H39" i="5597"/>
  <c r="H40" i="5597"/>
  <c r="C18" i="5597"/>
  <c r="H33" i="5597"/>
  <c r="H46" i="5597"/>
  <c r="H4" i="5597"/>
  <c r="H25" i="5597"/>
  <c r="H3" i="5597"/>
  <c r="H28" i="5597"/>
  <c r="H29" i="5597"/>
  <c r="H8" i="5597"/>
  <c r="C19" i="5597"/>
  <c r="H16" i="5597"/>
  <c r="H47" i="5597"/>
  <c r="H20" i="5597"/>
  <c r="H22" i="5597"/>
  <c r="H23" i="5597"/>
  <c r="H48" i="5597"/>
  <c r="C17" i="5597"/>
  <c r="H42" i="5597"/>
  <c r="H2" i="5597"/>
  <c r="B23" i="5597"/>
  <c r="H34" i="5597"/>
  <c r="H50" i="5597"/>
  <c r="H10" i="5597"/>
  <c r="H7" i="5597"/>
  <c r="H13" i="5597"/>
  <c r="H27" i="5597"/>
  <c r="H17" i="5597"/>
  <c r="H12" i="5597"/>
  <c r="H26" i="5597"/>
  <c r="H41" i="5597"/>
  <c r="H49" i="5597"/>
  <c r="H30" i="5597"/>
  <c r="H32" i="5597"/>
  <c r="H35" i="5597"/>
  <c r="H43" i="5597"/>
  <c r="H51" i="5597"/>
  <c r="H21" i="5597"/>
  <c r="H15" i="5597"/>
  <c r="H36" i="5597"/>
  <c r="H44" i="5597"/>
  <c r="H19" i="5597"/>
  <c r="H18" i="5597"/>
  <c r="H24" i="5597"/>
  <c r="H9" i="5597"/>
  <c r="H37" i="5597"/>
  <c r="H45" i="5597"/>
  <c r="O21" i="5595" l="1"/>
  <c r="O24" i="5595"/>
  <c r="C27" i="5595"/>
  <c r="B24" i="5595"/>
  <c r="C20" i="5595"/>
  <c r="B17" i="5595"/>
  <c r="H52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22" i="5593"/>
  <c r="O17" i="5593"/>
  <c r="C27" i="5593"/>
  <c r="B24" i="5593"/>
  <c r="C20" i="5593"/>
  <c r="B17" i="5593"/>
  <c r="H5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25" i="5589"/>
  <c r="O20" i="5591"/>
  <c r="O22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C9" i="5591"/>
  <c r="C8" i="5591"/>
  <c r="O7" i="5591"/>
  <c r="C7" i="5591"/>
  <c r="O6" i="5591"/>
  <c r="B6" i="5591"/>
  <c r="O5" i="5591"/>
  <c r="B5" i="5591"/>
  <c r="O4" i="5591"/>
  <c r="O3" i="5591"/>
  <c r="O2" i="5591"/>
  <c r="O19" i="5589"/>
  <c r="O20" i="5589"/>
  <c r="C27" i="5589"/>
  <c r="B24" i="5589"/>
  <c r="C20" i="5589"/>
  <c r="B17" i="5589"/>
  <c r="H18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21" i="5593" l="1"/>
  <c r="H16" i="5593"/>
  <c r="H4" i="5595"/>
  <c r="H2" i="5595"/>
  <c r="H16" i="5591"/>
  <c r="H21" i="5589"/>
  <c r="H38" i="5589"/>
  <c r="C17" i="5595"/>
  <c r="H32" i="5595"/>
  <c r="H35" i="5595"/>
  <c r="H21" i="5595"/>
  <c r="H36" i="5595"/>
  <c r="H45" i="5595"/>
  <c r="H3" i="5595"/>
  <c r="H9" i="5595"/>
  <c r="H31" i="5595"/>
  <c r="H27" i="5595"/>
  <c r="H19" i="5595"/>
  <c r="H39" i="5595"/>
  <c r="H47" i="5595"/>
  <c r="H17" i="5595"/>
  <c r="C19" i="5595"/>
  <c r="H29" i="5595"/>
  <c r="H40" i="5595"/>
  <c r="H48" i="5595"/>
  <c r="H28" i="5595"/>
  <c r="H43" i="5595"/>
  <c r="H8" i="5595"/>
  <c r="H14" i="5595"/>
  <c r="H44" i="5595"/>
  <c r="H12" i="5595"/>
  <c r="H6" i="5595"/>
  <c r="H11" i="5595"/>
  <c r="H20" i="5595"/>
  <c r="H16" i="5595"/>
  <c r="H13" i="5595"/>
  <c r="H24" i="5595"/>
  <c r="H41" i="5595"/>
  <c r="H49" i="5595"/>
  <c r="H15" i="5595"/>
  <c r="H22" i="5595"/>
  <c r="H34" i="5595"/>
  <c r="H42" i="5595"/>
  <c r="H50" i="5595"/>
  <c r="H51" i="5595"/>
  <c r="H25" i="5595"/>
  <c r="H18" i="5595"/>
  <c r="H23" i="5595"/>
  <c r="H10" i="5595"/>
  <c r="H37" i="5595"/>
  <c r="H5" i="5595"/>
  <c r="H7" i="5595"/>
  <c r="H26" i="5595"/>
  <c r="H30" i="5595"/>
  <c r="C18" i="5595"/>
  <c r="B23" i="5595"/>
  <c r="H33" i="5595"/>
  <c r="H38" i="5595"/>
  <c r="H46" i="5595"/>
  <c r="H2" i="5593"/>
  <c r="H32" i="5593"/>
  <c r="H10" i="5593"/>
  <c r="H34" i="5593"/>
  <c r="H4" i="5593"/>
  <c r="H38" i="5593"/>
  <c r="H6" i="5593"/>
  <c r="H3" i="5593"/>
  <c r="H35" i="5593"/>
  <c r="H9" i="5593"/>
  <c r="H29" i="5593"/>
  <c r="H42" i="5593"/>
  <c r="C17" i="5593"/>
  <c r="C18" i="5593"/>
  <c r="H30" i="5593"/>
  <c r="B23" i="5593"/>
  <c r="H46" i="5593"/>
  <c r="H50" i="5593"/>
  <c r="H33" i="5593"/>
  <c r="H52" i="5593"/>
  <c r="H19" i="5593"/>
  <c r="H39" i="5593"/>
  <c r="H47" i="5593"/>
  <c r="H23" i="5593"/>
  <c r="C19" i="5593"/>
  <c r="H26" i="5593"/>
  <c r="H40" i="5593"/>
  <c r="H48" i="5593"/>
  <c r="H7" i="5593"/>
  <c r="H13" i="5593"/>
  <c r="H22" i="5593"/>
  <c r="H15" i="5593"/>
  <c r="H12" i="5593"/>
  <c r="H27" i="5593"/>
  <c r="H41" i="5593"/>
  <c r="H49" i="5593"/>
  <c r="H25" i="5593"/>
  <c r="H43" i="5593"/>
  <c r="H8" i="5593"/>
  <c r="H20" i="5593"/>
  <c r="H14" i="5593"/>
  <c r="H36" i="5593"/>
  <c r="H44" i="5593"/>
  <c r="H17" i="5593"/>
  <c r="H31" i="5593"/>
  <c r="H28" i="5593"/>
  <c r="H51" i="5593"/>
  <c r="H18" i="5593"/>
  <c r="H24" i="5593"/>
  <c r="H11" i="5593"/>
  <c r="H37" i="5593"/>
  <c r="H45" i="5593"/>
  <c r="H15" i="5589"/>
  <c r="H28" i="5589"/>
  <c r="H40" i="5589"/>
  <c r="B23" i="5589"/>
  <c r="H11" i="5589"/>
  <c r="H7" i="5589"/>
  <c r="H12" i="5589"/>
  <c r="H4" i="5589"/>
  <c r="H17" i="5589"/>
  <c r="H4" i="5591"/>
  <c r="H29" i="5591"/>
  <c r="H42" i="5591"/>
  <c r="C17" i="5591"/>
  <c r="H11" i="5591"/>
  <c r="H33" i="5591"/>
  <c r="H20" i="5591"/>
  <c r="H47" i="5591"/>
  <c r="H17" i="5591"/>
  <c r="H2" i="5591"/>
  <c r="H35" i="5591"/>
  <c r="H39" i="5591"/>
  <c r="H3" i="5591"/>
  <c r="H50" i="5591"/>
  <c r="H22" i="5591"/>
  <c r="H23" i="5591"/>
  <c r="H40" i="5591"/>
  <c r="H48" i="5591"/>
  <c r="C19" i="5591"/>
  <c r="H10" i="5591"/>
  <c r="H7" i="5591"/>
  <c r="H13" i="5591"/>
  <c r="H31" i="5591"/>
  <c r="H18" i="5591"/>
  <c r="H12" i="5591"/>
  <c r="H26" i="5591"/>
  <c r="H41" i="5591"/>
  <c r="H49" i="5591"/>
  <c r="H34" i="5591"/>
  <c r="H25" i="5591"/>
  <c r="H30" i="5591"/>
  <c r="H43" i="5591"/>
  <c r="H51" i="5591"/>
  <c r="H9" i="5591"/>
  <c r="H27" i="5591"/>
  <c r="H14" i="5591"/>
  <c r="H36" i="5591"/>
  <c r="H44" i="5591"/>
  <c r="H15" i="5591"/>
  <c r="H19" i="5591"/>
  <c r="H28" i="5591"/>
  <c r="H8" i="5591"/>
  <c r="H37" i="5591"/>
  <c r="H45" i="5591"/>
  <c r="H5" i="5591"/>
  <c r="H6" i="5591"/>
  <c r="H21" i="5591"/>
  <c r="H32" i="5591"/>
  <c r="C18" i="5591"/>
  <c r="B23" i="5591"/>
  <c r="H24" i="5591"/>
  <c r="H38" i="5591"/>
  <c r="H46" i="5591"/>
  <c r="C17" i="5589"/>
  <c r="H19" i="5589"/>
  <c r="H46" i="5589"/>
  <c r="H10" i="5589"/>
  <c r="H26" i="5589"/>
  <c r="C18" i="5589"/>
  <c r="H34" i="5589"/>
  <c r="H24" i="5589"/>
  <c r="H41" i="5589"/>
  <c r="H6" i="5589"/>
  <c r="H43" i="5589"/>
  <c r="H3" i="5589"/>
  <c r="H2" i="5589"/>
  <c r="H9" i="5589"/>
  <c r="H35" i="5589"/>
  <c r="H36" i="5589"/>
  <c r="H29" i="5589"/>
  <c r="H50" i="5589"/>
  <c r="H5" i="5589"/>
  <c r="H23" i="5589"/>
  <c r="H32" i="5589"/>
  <c r="H52" i="5589"/>
  <c r="H47" i="5589"/>
  <c r="H20" i="5589"/>
  <c r="C19" i="5589"/>
  <c r="H25" i="5589"/>
  <c r="H42" i="5589"/>
  <c r="H48" i="5589"/>
  <c r="H16" i="5589"/>
  <c r="H13" i="5589"/>
  <c r="H27" i="5589"/>
  <c r="H33" i="5589"/>
  <c r="H49" i="5589"/>
  <c r="H37" i="5589"/>
  <c r="H30" i="5589"/>
  <c r="H31" i="5589"/>
  <c r="H44" i="5589"/>
  <c r="H51" i="5589"/>
  <c r="H8" i="5589"/>
  <c r="H22" i="5589"/>
  <c r="H14" i="5589"/>
  <c r="H39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<sst xmlns="http://schemas.openxmlformats.org/spreadsheetml/2006/main" count="3906" uniqueCount="304">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</sst>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-1.0000000000000071</c:v>
                </c:pt>
                <c:pt idx="967">
                  <c:v>-67.5</c:v>
                </c:pt>
                <c:pt idx="968">
                  <c:v>-20.5</c:v>
                </c:pt>
                <c:pt idx="969">
                  <c:v>-1</c:v>
                </c:pt>
                <c:pt idx="970">
                  <c:v>10.1</c:v>
                </c:pt>
                <c:pt idx="971">
                  <c:v>-36.9</c:v>
                </c:pt>
                <c:pt idx="972">
                  <c:v>-1</c:v>
                </c:pt>
                <c:pt idx="973">
                  <c:v>-1.2</c:v>
                </c:pt>
                <c:pt idx="974">
                  <c:v>-27.5</c:v>
                </c:pt>
                <c:pt idx="975">
                  <c:v>-1</c:v>
                </c:pt>
                <c:pt idx="976">
                  <c:v>-8</c:v>
                </c:pt>
                <c:pt idx="977">
                  <c:v>49.5</c:v>
                </c:pt>
                <c:pt idx="978">
                  <c:v>-1</c:v>
                </c:pt>
                <c:pt idx="979">
                  <c:v>-1.4</c:v>
                </c:pt>
                <c:pt idx="980">
                  <c:v>23.400000000000002</c:v>
                </c:pt>
                <c:pt idx="981">
                  <c:v>-0.99999999999999645</c:v>
                </c:pt>
                <c:pt idx="982">
                  <c:v>-48.099999999999994</c:v>
                </c:pt>
                <c:pt idx="983">
                  <c:v>-65.199999999999989</c:v>
                </c:pt>
                <c:pt idx="984">
                  <c:v>-0.99999999999998579</c:v>
                </c:pt>
                <c:pt idx="985">
                  <c:v>-38.699999999999989</c:v>
                </c:pt>
                <c:pt idx="986">
                  <c:v>14.300000000000011</c:v>
                </c:pt>
                <c:pt idx="987">
                  <c:v>-0.99999999999998934</c:v>
                </c:pt>
                <c:pt idx="988">
                  <c:v>39.200000000000017</c:v>
                </c:pt>
                <c:pt idx="989">
                  <c:v>33.800000000000018</c:v>
                </c:pt>
                <c:pt idx="990">
                  <c:v>-0.99999999999997868</c:v>
                </c:pt>
                <c:pt idx="991">
                  <c:v>-9.9999999999978662E-2</c:v>
                </c:pt>
                <c:pt idx="992">
                  <c:v>-48.499999999999979</c:v>
                </c:pt>
                <c:pt idx="993">
                  <c:v>-0.99999999999997868</c:v>
                </c:pt>
                <c:pt idx="994">
                  <c:v>-62.59999999999998</c:v>
                </c:pt>
                <c:pt idx="995">
                  <c:v>-50.499999999999979</c:v>
                </c:pt>
                <c:pt idx="996">
                  <c:v>-0.99999999999997868</c:v>
                </c:pt>
                <c:pt idx="997">
                  <c:v>-44.899999999999977</c:v>
                </c:pt>
                <c:pt idx="998">
                  <c:v>-35.699999999999974</c:v>
                </c:pt>
                <c:pt idx="999">
                  <c:v>-0.99999999999997158</c:v>
                </c:pt>
                <c:pt idx="1000">
                  <c:v>61.700000000000031</c:v>
                </c:pt>
                <c:pt idx="1001">
                  <c:v>12.900000000000034</c:v>
                </c:pt>
                <c:pt idx="1002">
                  <c:v>-0.99999999999996625</c:v>
                </c:pt>
                <c:pt idx="1003">
                  <c:v>9.700000000000033</c:v>
                </c:pt>
                <c:pt idx="1004">
                  <c:v>-47.999999999999972</c:v>
                </c:pt>
                <c:pt idx="1005">
                  <c:v>-0.99999999999997158</c:v>
                </c:pt>
                <c:pt idx="1006">
                  <c:v>34.700000000000031</c:v>
                </c:pt>
                <c:pt idx="1007">
                  <c:v>-2.0999999999999659</c:v>
                </c:pt>
                <c:pt idx="1008">
                  <c:v>-0.99999999999996581</c:v>
                </c:pt>
                <c:pt idx="1009">
                  <c:v>26.200000000000035</c:v>
                </c:pt>
                <c:pt idx="1010">
                  <c:v>24.300000000000036</c:v>
                </c:pt>
                <c:pt idx="1011">
                  <c:v>-0.99999999999996447</c:v>
                </c:pt>
                <c:pt idx="1012">
                  <c:v>14.800000000000036</c:v>
                </c:pt>
                <c:pt idx="1013">
                  <c:v>55.000000000000043</c:v>
                </c:pt>
                <c:pt idx="1014">
                  <c:v>-0.99999999999995737</c:v>
                </c:pt>
                <c:pt idx="1015">
                  <c:v>24.200000000000042</c:v>
                </c:pt>
                <c:pt idx="1016">
                  <c:v>-4.5999999999999588</c:v>
                </c:pt>
                <c:pt idx="1017">
                  <c:v>-0.9999999999999587</c:v>
                </c:pt>
                <c:pt idx="1018">
                  <c:v>-10.29999999999996</c:v>
                </c:pt>
                <c:pt idx="1019">
                  <c:v>50.900000000000041</c:v>
                </c:pt>
                <c:pt idx="1020">
                  <c:v>-0.99999999999995737</c:v>
                </c:pt>
                <c:pt idx="1021">
                  <c:v>2.2000000000000428</c:v>
                </c:pt>
                <c:pt idx="1022">
                  <c:v>-28.599999999999959</c:v>
                </c:pt>
                <c:pt idx="1023">
                  <c:v>-0.99999999999995737</c:v>
                </c:pt>
                <c:pt idx="1024">
                  <c:v>-3.7999999999999572</c:v>
                </c:pt>
                <c:pt idx="1025">
                  <c:v>37.700000000000045</c:v>
                </c:pt>
                <c:pt idx="1026">
                  <c:v>-0.99999999999995737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A7-4B14-A8AE-BA3F3D92A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D79-B744-E813034CD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FB-40F1-AEF9-10B9DA7FA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B-4194-9C44-58B011D1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7-4E1D-9F2E-AEDB888B2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D-4D0F-ABE4-11427015A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4259-AA56-A5EFAE86C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A-4145-9120-D53E865A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197.1</c:v>
                </c:pt>
                <c:pt idx="108">
                  <c:v>180</c:v>
                </c:pt>
                <c:pt idx="109">
                  <c:v>166.1</c:v>
                </c:pt>
                <c:pt idx="110">
                  <c:v>135.29999999999998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9-400C-84F3-453B4B64B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ED-4AAE-B7FD-4C6DE3A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13-4DA2-81E1-E45F86855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2-4DF4-9D17-3411D02DB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18-4C3F-839B-301445DA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A9-43AA-8120-5005C4DF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7-494B-923E-63B8ADE91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889-8EFA-5B6B5260C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8-44B8-9F2C-4AD67C2F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B-4E8A-970B-22F2DBA02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A-4CED-B00D-1947796CB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1-4B17-A806-B14475023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8-414C-839A-B474419B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A-4E04-BE59-0117B3548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95-4634-9005-4A38EC831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154-B40A-1C158C92F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4-42CD-9D7A-9C3EA005B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B-4FB6-B5B3-2CA19153F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E-4684-84B3-75B49E05D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5-4C45-9DE8-B533100DF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39-4F1E-BD5C-9E7F50C37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A-4AF6-BA92-7509CDD68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57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7465886939566992E-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1934E5-9CB5-4647-92C5-AAAFD06BB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8CA32E-2DCC-450E-9D7B-86F676DCC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E75A8B-7EE1-4AA1-83B7-847216D39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E4CBA2-F96E-4DAF-8CA3-51925239D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FAA13F-CDC7-4DE7-902C-7CDF0F8E1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E70E02-113F-4B65-86CD-26BD672AF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0A0BC3-8E6F-464E-9F46-69F62FB2B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CA96B7-39D6-4862-9BD4-C51F77570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E24B3C-5BE1-4FED-9896-EF78243FF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94135C-50F9-4221-84AA-30D28D5EF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DD52D4-731C-4D47-9297-FEF34DD42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675440-45C6-4EB5-A314-47A6B6C1C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067AEC-01DC-4B8B-B337-ED7B12C91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C3DD49-5D1E-457B-A49F-09AB49E9B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051413-86F9-4D42-928E-5659600A2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3F4512-57D8-4AF1-B00E-28E1FF618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46EE58-A121-4B40-AB44-B451C3AF3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623E58-05C1-4C83-B92F-55E39C251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DC433D-7D58-43F2-BD28-5D435D619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250D42-D765-455B-8CAD-C9F7BAF3B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5FA50E-1F01-446E-9C58-37B726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8E7897-DF3D-4D07-B1B7-806055CBB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D43847-E63A-4325-B5A7-0AE1030B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CC1B52-7A68-40FE-BF8D-CD72F7C12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163AA8-F57A-4C4A-BFE6-8D40A095C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62BD3E-0AFA-4F31-B0D0-9CEDE9797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1705B-4902-4F75-B21A-4D70AD7E9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567D8D-27C0-40FC-AD15-9B6F9B081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E3684D-C67C-441F-B89E-E0401345D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3634A5-B3FE-4B61-BFE8-180240618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43686.797071759262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43686.797071759262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43686.797071759262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43686.797071759262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43686.797071759262</v>
      </c>
      <c r="C101" s="30" t="s">
        <v>130</v>
      </c>
    </row>
    <row r="102" spans="1:6" x14ac:dyDescent="0.4">
      <c r="A102" s="30" t="s">
        <v>297</v>
      </c>
      <c r="B102" s="31">
        <v>43686.797071759262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43686.797071759262</v>
      </c>
      <c r="C103" s="30" t="s">
        <v>130</v>
      </c>
      <c r="D103" s="30" t="s">
        <v>131</v>
      </c>
    </row>
    <row r="104" spans="1:6" x14ac:dyDescent="0.4">
      <c r="A104" s="30" t="s">
        <v>299</v>
      </c>
      <c r="B104" s="31">
        <v>43686.797071759262</v>
      </c>
      <c r="C104" s="30" t="s">
        <v>130</v>
      </c>
    </row>
    <row r="105" spans="1:6" x14ac:dyDescent="0.4">
      <c r="A105" s="30" t="s">
        <v>300</v>
      </c>
      <c r="B105" s="31">
        <v>43730.928703703707</v>
      </c>
      <c r="C105" s="30" t="s">
        <v>130</v>
      </c>
      <c r="D105" s="30" t="s">
        <v>131</v>
      </c>
      <c r="E105" s="30" t="s">
        <v>169</v>
      </c>
      <c r="F105" s="30" t="s">
        <v>174</v>
      </c>
    </row>
    <row r="106" spans="1:6" x14ac:dyDescent="0.4">
      <c r="A106" s="30" t="s">
        <v>302</v>
      </c>
      <c r="B106" s="31">
        <v>43732.363425925927</v>
      </c>
      <c r="C106" s="30" t="s">
        <v>130</v>
      </c>
      <c r="D106" s="30" t="s">
        <v>131</v>
      </c>
    </row>
    <row r="107" spans="1:6" x14ac:dyDescent="0.4">
      <c r="A107" s="30" t="s">
        <v>303</v>
      </c>
      <c r="B107" s="31">
        <v>43732.363425925927</v>
      </c>
      <c r="C107" s="30" t="s">
        <v>130</v>
      </c>
      <c r="D10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0.97482631237801731</v>
      </c>
      <c r="G2" s="159"/>
      <c r="H2" s="158">
        <v>0.70285162954799152</v>
      </c>
      <c r="I2" s="159"/>
      <c r="J2" s="158">
        <v>0.86991150243425697</v>
      </c>
      <c r="K2" s="159"/>
      <c r="L2" s="158">
        <v>0.68842040688856676</v>
      </c>
      <c r="M2" s="159"/>
      <c r="N2" s="158">
        <v>0.75041809859993536</v>
      </c>
      <c r="O2" s="159"/>
      <c r="P2" s="158">
        <v>0.39237974383985275</v>
      </c>
      <c r="Q2" s="159"/>
      <c r="R2" s="158">
        <v>0.37790898938501</v>
      </c>
      <c r="S2" s="159"/>
      <c r="T2" s="158">
        <v>0.67990069231633254</v>
      </c>
      <c r="U2" s="159"/>
      <c r="V2" s="158">
        <v>0.54133542248485611</v>
      </c>
      <c r="W2" s="159"/>
      <c r="X2" s="158">
        <v>0.64993682087456428</v>
      </c>
      <c r="Y2" s="159"/>
      <c r="Z2" s="158">
        <v>0.10246923239483675</v>
      </c>
      <c r="AA2" s="159"/>
      <c r="AB2" s="158">
        <v>-0.2127505792606717</v>
      </c>
      <c r="AC2" s="159"/>
      <c r="AD2" s="158">
        <v>0.75701215057259252</v>
      </c>
      <c r="AE2" s="159"/>
      <c r="AF2" s="158">
        <v>-0.17164975237378188</v>
      </c>
      <c r="AG2" s="159"/>
      <c r="AH2" s="158">
        <v>0.50941257591222144</v>
      </c>
      <c r="AI2" s="159"/>
    </row>
    <row r="3" spans="1:35" x14ac:dyDescent="0.4">
      <c r="A3" s="74">
        <v>1</v>
      </c>
      <c r="B3" s="75" t="s">
        <v>127</v>
      </c>
      <c r="C3" s="76">
        <v>2746.9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0.30228667038482987</v>
      </c>
      <c r="Z3" s="77" t="s">
        <v>301</v>
      </c>
      <c r="AA3" s="80">
        <v>0.375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135.29999999999998</v>
      </c>
      <c r="D4" s="85" t="s">
        <v>223</v>
      </c>
      <c r="E4" s="97">
        <v>16.733333333333331</v>
      </c>
      <c r="F4" s="85" t="s">
        <v>127</v>
      </c>
      <c r="G4" s="86">
        <v>1.7579908675799087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-7042.8571428571431</v>
      </c>
      <c r="T4" s="85" t="s">
        <v>222</v>
      </c>
      <c r="U4" s="87">
        <v>0</v>
      </c>
      <c r="V4" s="85" t="s">
        <v>301</v>
      </c>
      <c r="W4" s="87">
        <v>0.25</v>
      </c>
      <c r="X4" s="85" t="s">
        <v>128</v>
      </c>
      <c r="Y4" s="88">
        <v>0.29604772557792691</v>
      </c>
      <c r="Z4" s="85" t="s">
        <v>223</v>
      </c>
      <c r="AA4" s="88">
        <v>0.36956521739130432</v>
      </c>
      <c r="AB4" s="85" t="s">
        <v>271</v>
      </c>
      <c r="AC4" s="88">
        <v>0.7142857142857143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0.48401826484018262</v>
      </c>
      <c r="J5" s="85" t="s">
        <v>200</v>
      </c>
      <c r="K5" s="87">
        <v>0.19047619047619047</v>
      </c>
      <c r="L5" s="85" t="s">
        <v>127</v>
      </c>
      <c r="M5" s="88">
        <v>0.33742331288343558</v>
      </c>
      <c r="N5" s="85" t="s">
        <v>223</v>
      </c>
      <c r="O5" s="88">
        <v>0.13043478260869565</v>
      </c>
      <c r="P5" s="85" t="s">
        <v>171</v>
      </c>
      <c r="Q5" s="89">
        <v>10015.094339622641</v>
      </c>
      <c r="R5" s="85" t="s">
        <v>177</v>
      </c>
      <c r="S5" s="89">
        <v>-7062.9139072847684</v>
      </c>
      <c r="T5" s="85" t="s">
        <v>223</v>
      </c>
      <c r="U5" s="87">
        <v>0</v>
      </c>
      <c r="V5" s="85" t="s">
        <v>127</v>
      </c>
      <c r="W5" s="87">
        <v>0.16894977168949771</v>
      </c>
      <c r="X5" s="85" t="s">
        <v>171</v>
      </c>
      <c r="Y5" s="88">
        <v>0.28336980306345733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0.50340136054421769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12.542922374429224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0.24200913242009131</v>
      </c>
      <c r="L6" s="85" t="s">
        <v>172</v>
      </c>
      <c r="M6" s="88">
        <v>0.33258426966292137</v>
      </c>
      <c r="N6" s="85" t="s">
        <v>172</v>
      </c>
      <c r="O6" s="88">
        <v>0.14606741573033707</v>
      </c>
      <c r="P6" s="85" t="s">
        <v>127</v>
      </c>
      <c r="Q6" s="89">
        <v>9240.6611570247933</v>
      </c>
      <c r="R6" s="85" t="s">
        <v>128</v>
      </c>
      <c r="S6" s="89">
        <v>-7653.6585365853662</v>
      </c>
      <c r="T6" s="85" t="s">
        <v>172</v>
      </c>
      <c r="U6" s="87">
        <v>5.7142857142857141E-2</v>
      </c>
      <c r="V6" s="85" t="s">
        <v>171</v>
      </c>
      <c r="W6" s="87">
        <v>0.14545454545454545</v>
      </c>
      <c r="X6" s="85" t="s">
        <v>145</v>
      </c>
      <c r="Y6" s="88">
        <v>0.26521535580524347</v>
      </c>
      <c r="Z6" s="85" t="s">
        <v>271</v>
      </c>
      <c r="AA6" s="88">
        <v>0.3</v>
      </c>
      <c r="AB6" s="85" t="s">
        <v>177</v>
      </c>
      <c r="AC6" s="88">
        <v>0.60754716981132073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1.9834710743801653</v>
      </c>
      <c r="H7" s="85" t="s">
        <v>200</v>
      </c>
      <c r="I7" s="87">
        <v>0.33333333333333331</v>
      </c>
      <c r="J7" s="85" t="s">
        <v>172</v>
      </c>
      <c r="K7" s="87">
        <v>0.30476190476190479</v>
      </c>
      <c r="L7" s="85" t="s">
        <v>301</v>
      </c>
      <c r="M7" s="88">
        <v>0.3125</v>
      </c>
      <c r="N7" s="85" t="s">
        <v>127</v>
      </c>
      <c r="O7" s="88">
        <v>0.14947016174010039</v>
      </c>
      <c r="P7" s="85" t="s">
        <v>128</v>
      </c>
      <c r="Q7" s="89">
        <v>8929.380053908355</v>
      </c>
      <c r="R7" s="85" t="s">
        <v>145</v>
      </c>
      <c r="S7" s="89">
        <v>-8093.2072829131648</v>
      </c>
      <c r="T7" s="85" t="s">
        <v>127</v>
      </c>
      <c r="U7" s="87">
        <v>8.2191780821917804E-2</v>
      </c>
      <c r="V7" s="85" t="s">
        <v>145</v>
      </c>
      <c r="W7" s="87">
        <v>0.11598440545808966</v>
      </c>
      <c r="X7" s="85" t="s">
        <v>177</v>
      </c>
      <c r="Y7" s="88">
        <v>0.26315789473684209</v>
      </c>
      <c r="Z7" s="85" t="s">
        <v>172</v>
      </c>
      <c r="AA7" s="88">
        <v>0.28539325842696628</v>
      </c>
      <c r="AB7" s="85" t="s">
        <v>200</v>
      </c>
      <c r="AC7" s="88">
        <v>0.60416666666666663</v>
      </c>
      <c r="AD7" s="85" t="s">
        <v>172</v>
      </c>
      <c r="AE7" s="88">
        <v>0.42125984251968501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57.399999999999935</v>
      </c>
      <c r="D8" s="85" t="s">
        <v>171</v>
      </c>
      <c r="E8" s="97">
        <v>1.2299999999999998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0.31404958677685951</v>
      </c>
      <c r="L8" s="85" t="s">
        <v>145</v>
      </c>
      <c r="M8" s="88">
        <v>0.29751872659176032</v>
      </c>
      <c r="N8" s="85" t="s">
        <v>177</v>
      </c>
      <c r="O8" s="88">
        <v>0.1499503475670308</v>
      </c>
      <c r="P8" s="85" t="s">
        <v>177</v>
      </c>
      <c r="Q8" s="89">
        <v>8750.7299270072999</v>
      </c>
      <c r="R8" s="85" t="s">
        <v>172</v>
      </c>
      <c r="S8" s="89">
        <v>-8148.4615384615381</v>
      </c>
      <c r="T8" s="85" t="s">
        <v>171</v>
      </c>
      <c r="U8" s="87">
        <v>0.1</v>
      </c>
      <c r="V8" s="85" t="s">
        <v>129</v>
      </c>
      <c r="W8" s="87">
        <v>0.10614525139664804</v>
      </c>
      <c r="X8" s="85" t="s">
        <v>183</v>
      </c>
      <c r="Y8" s="88">
        <v>0.26315789473684209</v>
      </c>
      <c r="Z8" s="85" t="s">
        <v>184</v>
      </c>
      <c r="AA8" s="88">
        <v>0.24861878453038674</v>
      </c>
      <c r="AB8" s="85" t="s">
        <v>183</v>
      </c>
      <c r="AC8" s="88">
        <v>0.6</v>
      </c>
      <c r="AD8" s="85" t="s">
        <v>171</v>
      </c>
      <c r="AE8" s="88">
        <v>0.40883977900552487</v>
      </c>
      <c r="AF8" s="85" t="s">
        <v>128</v>
      </c>
      <c r="AG8" s="88">
        <v>0.44474393530997303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0.47438016528925564</v>
      </c>
      <c r="F9" s="85" t="s">
        <v>222</v>
      </c>
      <c r="G9" s="86">
        <v>2</v>
      </c>
      <c r="H9" s="85" t="s">
        <v>177</v>
      </c>
      <c r="I9" s="87">
        <v>0.33057851239669422</v>
      </c>
      <c r="J9" s="85" t="s">
        <v>145</v>
      </c>
      <c r="K9" s="87">
        <v>0.33333333333333331</v>
      </c>
      <c r="L9" s="85" t="s">
        <v>171</v>
      </c>
      <c r="M9" s="88">
        <v>0.28993435448577681</v>
      </c>
      <c r="N9" s="85" t="s">
        <v>301</v>
      </c>
      <c r="O9" s="88">
        <v>0.15625</v>
      </c>
      <c r="P9" s="85" t="s">
        <v>145</v>
      </c>
      <c r="Q9" s="89">
        <v>8590.5586152635715</v>
      </c>
      <c r="R9" s="85" t="s">
        <v>173</v>
      </c>
      <c r="S9" s="89">
        <v>-8151.4563106796113</v>
      </c>
      <c r="T9" s="85" t="s">
        <v>271</v>
      </c>
      <c r="U9" s="87">
        <v>0.1111111111111111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0.21862799776910205</v>
      </c>
      <c r="AB9" s="85" t="s">
        <v>127</v>
      </c>
      <c r="AC9" s="88">
        <v>0.58487084870848705</v>
      </c>
      <c r="AD9" s="85" t="s">
        <v>145</v>
      </c>
      <c r="AE9" s="88">
        <v>0.3973870440936309</v>
      </c>
      <c r="AF9" s="85" t="s">
        <v>177</v>
      </c>
      <c r="AG9" s="88">
        <v>0.44160583941605841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-0.99999999999995737</v>
      </c>
      <c r="D10" s="85" t="s">
        <v>145</v>
      </c>
      <c r="E10" s="97">
        <v>-9.7465886939566992E-4</v>
      </c>
      <c r="F10" s="85" t="s">
        <v>171</v>
      </c>
      <c r="G10" s="86">
        <v>2.0181818181818181</v>
      </c>
      <c r="H10" s="85" t="s">
        <v>171</v>
      </c>
      <c r="I10" s="87">
        <v>0.31818181818181818</v>
      </c>
      <c r="J10" s="85" t="s">
        <v>223</v>
      </c>
      <c r="K10" s="87">
        <v>0.33333333333333331</v>
      </c>
      <c r="L10" s="85" t="s">
        <v>173</v>
      </c>
      <c r="M10" s="88">
        <v>0.27788279773156899</v>
      </c>
      <c r="N10" s="85" t="s">
        <v>200</v>
      </c>
      <c r="O10" s="88">
        <v>0.16230366492146597</v>
      </c>
      <c r="P10" s="85" t="s">
        <v>184</v>
      </c>
      <c r="Q10" s="89">
        <v>8434</v>
      </c>
      <c r="R10" s="85" t="s">
        <v>127</v>
      </c>
      <c r="S10" s="89">
        <v>-8208.2089552238813</v>
      </c>
      <c r="T10" s="85" t="s">
        <v>145</v>
      </c>
      <c r="U10" s="87">
        <v>0.11598440545808966</v>
      </c>
      <c r="V10" s="85" t="s">
        <v>172</v>
      </c>
      <c r="W10" s="87">
        <v>9.5238095238095233E-2</v>
      </c>
      <c r="X10" s="85" t="s">
        <v>129</v>
      </c>
      <c r="Y10" s="88">
        <v>0.24535809018567639</v>
      </c>
      <c r="Z10" s="85" t="s">
        <v>173</v>
      </c>
      <c r="AA10" s="88">
        <v>0.21550094517958412</v>
      </c>
      <c r="AB10" s="85" t="s">
        <v>128</v>
      </c>
      <c r="AC10" s="88">
        <v>0.58438287153652391</v>
      </c>
      <c r="AD10" s="85" t="s">
        <v>184</v>
      </c>
      <c r="AE10" s="88">
        <v>0.37777777777777777</v>
      </c>
      <c r="AF10" s="85" t="s">
        <v>145</v>
      </c>
      <c r="AG10" s="88">
        <v>0.43036978756884342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301</v>
      </c>
      <c r="C11" s="84">
        <v>-56.2</v>
      </c>
      <c r="D11" s="85" t="s">
        <v>172</v>
      </c>
      <c r="E11" s="97">
        <v>-2.3190476190476197</v>
      </c>
      <c r="F11" s="85" t="s">
        <v>172</v>
      </c>
      <c r="G11" s="86">
        <v>2.0571428571428569</v>
      </c>
      <c r="H11" s="85" t="s">
        <v>129</v>
      </c>
      <c r="I11" s="87">
        <v>0.3016759776536313</v>
      </c>
      <c r="J11" s="85" t="s">
        <v>171</v>
      </c>
      <c r="K11" s="87">
        <v>0.33636363636363636</v>
      </c>
      <c r="L11" s="85" t="s">
        <v>128</v>
      </c>
      <c r="M11" s="88">
        <v>0.27665920954511558</v>
      </c>
      <c r="N11" s="85" t="s">
        <v>145</v>
      </c>
      <c r="O11" s="88">
        <v>0.16713483146067415</v>
      </c>
      <c r="P11" s="85" t="s">
        <v>129</v>
      </c>
      <c r="Q11" s="89">
        <v>8105.035971223022</v>
      </c>
      <c r="R11" s="85" t="s">
        <v>171</v>
      </c>
      <c r="S11" s="89">
        <v>-8357.6687116564426</v>
      </c>
      <c r="T11" s="85" t="s">
        <v>177</v>
      </c>
      <c r="U11" s="87">
        <v>0.12396694214876033</v>
      </c>
      <c r="V11" s="85" t="s">
        <v>177</v>
      </c>
      <c r="W11" s="87">
        <v>9.0909090909090912E-2</v>
      </c>
      <c r="X11" s="85" t="s">
        <v>184</v>
      </c>
      <c r="Y11" s="88">
        <v>0.23204419889502761</v>
      </c>
      <c r="Z11" s="85" t="s">
        <v>145</v>
      </c>
      <c r="AA11" s="88">
        <v>0.21500468164794007</v>
      </c>
      <c r="AB11" s="85" t="s">
        <v>145</v>
      </c>
      <c r="AC11" s="88">
        <v>0.57678729037952337</v>
      </c>
      <c r="AD11" s="85" t="s">
        <v>129</v>
      </c>
      <c r="AE11" s="88">
        <v>0.35737704918032787</v>
      </c>
      <c r="AF11" s="85" t="s">
        <v>271</v>
      </c>
      <c r="AG11" s="88">
        <v>0.42105263157894735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172</v>
      </c>
      <c r="C12" s="84">
        <v>-243.50000000000006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129</v>
      </c>
      <c r="M12" s="88">
        <v>0.27652519893899202</v>
      </c>
      <c r="N12" s="85" t="s">
        <v>129</v>
      </c>
      <c r="O12" s="88">
        <v>0.17241379310344829</v>
      </c>
      <c r="P12" s="85" t="s">
        <v>200</v>
      </c>
      <c r="Q12" s="89">
        <v>8000</v>
      </c>
      <c r="R12" s="85" t="s">
        <v>129</v>
      </c>
      <c r="S12" s="89">
        <v>-8398.8461538461543</v>
      </c>
      <c r="T12" s="85" t="s">
        <v>128</v>
      </c>
      <c r="U12" s="87">
        <v>0.13496932515337423</v>
      </c>
      <c r="V12" s="85" t="s">
        <v>184</v>
      </c>
      <c r="W12" s="87">
        <v>8.3333333333333329E-2</v>
      </c>
      <c r="X12" s="85" t="s">
        <v>222</v>
      </c>
      <c r="Y12" s="88">
        <v>0.23076923076923078</v>
      </c>
      <c r="Z12" s="85" t="s">
        <v>183</v>
      </c>
      <c r="AA12" s="88">
        <v>0.21052631578947367</v>
      </c>
      <c r="AB12" s="85" t="s">
        <v>173</v>
      </c>
      <c r="AC12" s="88">
        <v>0.57627118644067798</v>
      </c>
      <c r="AD12" s="85" t="s">
        <v>177</v>
      </c>
      <c r="AE12" s="88">
        <v>0.35567010309278352</v>
      </c>
      <c r="AF12" s="85" t="s">
        <v>127</v>
      </c>
      <c r="AG12" s="88">
        <v>0.41818181818181815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271</v>
      </c>
      <c r="C13" s="84">
        <v>-292.60000000000002</v>
      </c>
      <c r="D13" s="85" t="s">
        <v>129</v>
      </c>
      <c r="E13" s="97">
        <v>-6.7346368715083811</v>
      </c>
      <c r="F13" s="85" t="s">
        <v>129</v>
      </c>
      <c r="G13" s="86">
        <v>2.1061452513966481</v>
      </c>
      <c r="H13" s="85" t="s">
        <v>173</v>
      </c>
      <c r="I13" s="87">
        <v>0.26229508196721313</v>
      </c>
      <c r="J13" s="85" t="s">
        <v>129</v>
      </c>
      <c r="K13" s="87">
        <v>0.40782122905027934</v>
      </c>
      <c r="L13" s="85" t="s">
        <v>184</v>
      </c>
      <c r="M13" s="88">
        <v>0.27624309392265195</v>
      </c>
      <c r="N13" s="85" t="s">
        <v>171</v>
      </c>
      <c r="O13" s="88">
        <v>0.17833698030634573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0.13966480446927373</v>
      </c>
      <c r="V13" s="85" t="s">
        <v>173</v>
      </c>
      <c r="W13" s="87">
        <v>6.5573770491803282E-2</v>
      </c>
      <c r="X13" s="85" t="s">
        <v>173</v>
      </c>
      <c r="Y13" s="88">
        <v>0.22306238185255198</v>
      </c>
      <c r="Z13" s="85" t="s">
        <v>129</v>
      </c>
      <c r="AA13" s="88">
        <v>0.20225464190981432</v>
      </c>
      <c r="AB13" s="85" t="s">
        <v>171</v>
      </c>
      <c r="AC13" s="88">
        <v>0.56370656370656369</v>
      </c>
      <c r="AD13" s="85" t="s">
        <v>173</v>
      </c>
      <c r="AE13" s="88">
        <v>0.33333333333333331</v>
      </c>
      <c r="AF13" s="85" t="s">
        <v>129</v>
      </c>
      <c r="AG13" s="88">
        <v>0.41726618705035973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184</v>
      </c>
      <c r="C14" s="84">
        <v>-300.5</v>
      </c>
      <c r="D14" s="85" t="s">
        <v>173</v>
      </c>
      <c r="E14" s="97">
        <v>-9.1901639344262307</v>
      </c>
      <c r="F14" s="85" t="s">
        <v>173</v>
      </c>
      <c r="G14" s="86">
        <v>2.1475409836065573</v>
      </c>
      <c r="H14" s="85" t="s">
        <v>301</v>
      </c>
      <c r="I14" s="87">
        <v>0.25</v>
      </c>
      <c r="J14" s="85" t="s">
        <v>173</v>
      </c>
      <c r="K14" s="87">
        <v>0.4098360655737705</v>
      </c>
      <c r="L14" s="85" t="s">
        <v>177</v>
      </c>
      <c r="M14" s="88">
        <v>0.27209533267130087</v>
      </c>
      <c r="N14" s="85" t="s">
        <v>128</v>
      </c>
      <c r="O14" s="88">
        <v>0.18344519015659955</v>
      </c>
      <c r="P14" s="85" t="s">
        <v>173</v>
      </c>
      <c r="Q14" s="89">
        <v>7610.2040816326535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200</v>
      </c>
      <c r="W14" s="87">
        <v>4.7619047619047616E-2</v>
      </c>
      <c r="X14" s="85" t="s">
        <v>301</v>
      </c>
      <c r="Y14" s="88">
        <v>0.21875</v>
      </c>
      <c r="Z14" s="85" t="s">
        <v>171</v>
      </c>
      <c r="AA14" s="88">
        <v>0.19803063457330417</v>
      </c>
      <c r="AB14" s="85" t="s">
        <v>172</v>
      </c>
      <c r="AC14" s="88">
        <v>0.55026455026455023</v>
      </c>
      <c r="AD14" s="85" t="s">
        <v>128</v>
      </c>
      <c r="AE14" s="88">
        <v>0.31465517241379309</v>
      </c>
      <c r="AF14" s="85" t="s">
        <v>171</v>
      </c>
      <c r="AG14" s="88">
        <v>0.4037735849056604</v>
      </c>
      <c r="AH14" s="85" t="s">
        <v>301</v>
      </c>
      <c r="AI14" s="92">
        <v>55200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172</v>
      </c>
      <c r="I15" s="87">
        <v>0.24761904761904763</v>
      </c>
      <c r="J15" s="85" t="s">
        <v>301</v>
      </c>
      <c r="K15" s="87">
        <v>0.5</v>
      </c>
      <c r="L15" s="85" t="s">
        <v>183</v>
      </c>
      <c r="M15" s="88">
        <v>0.26315789473684209</v>
      </c>
      <c r="N15" s="85" t="s">
        <v>173</v>
      </c>
      <c r="O15" s="88">
        <v>0.19470699432892249</v>
      </c>
      <c r="P15" s="85" t="s">
        <v>271</v>
      </c>
      <c r="Q15" s="89">
        <v>6821.0526315789475</v>
      </c>
      <c r="R15" s="85" t="s">
        <v>223</v>
      </c>
      <c r="S15" s="89">
        <v>-10583.333333333334</v>
      </c>
      <c r="T15" s="85" t="s">
        <v>173</v>
      </c>
      <c r="U15" s="87">
        <v>0.16393442622950818</v>
      </c>
      <c r="V15" s="85" t="s">
        <v>183</v>
      </c>
      <c r="W15" s="87">
        <v>0</v>
      </c>
      <c r="X15" s="85" t="s">
        <v>172</v>
      </c>
      <c r="Y15" s="88">
        <v>0.21235955056179776</v>
      </c>
      <c r="Z15" s="85" t="s">
        <v>177</v>
      </c>
      <c r="AA15" s="88">
        <v>0.19265143992055611</v>
      </c>
      <c r="AB15" s="85" t="s">
        <v>129</v>
      </c>
      <c r="AC15" s="88">
        <v>0.54054054054054057</v>
      </c>
      <c r="AD15" s="85" t="s">
        <v>271</v>
      </c>
      <c r="AE15" s="88">
        <v>0.25</v>
      </c>
      <c r="AF15" s="85" t="s">
        <v>172</v>
      </c>
      <c r="AG15" s="88">
        <v>0.39527027027027029</v>
      </c>
      <c r="AH15" s="85" t="s">
        <v>183</v>
      </c>
      <c r="AI15" s="92">
        <v>53500</v>
      </c>
    </row>
    <row r="16" spans="1:35" x14ac:dyDescent="0.4">
      <c r="A16" s="82">
        <v>14</v>
      </c>
      <c r="B16" s="83" t="s">
        <v>173</v>
      </c>
      <c r="C16" s="84">
        <v>-560.6</v>
      </c>
      <c r="D16" s="85" t="s">
        <v>301</v>
      </c>
      <c r="E16" s="97">
        <v>-14.05</v>
      </c>
      <c r="F16" s="85" t="s">
        <v>301</v>
      </c>
      <c r="G16" s="86">
        <v>2.25</v>
      </c>
      <c r="H16" s="85" t="s">
        <v>222</v>
      </c>
      <c r="I16" s="87">
        <v>0</v>
      </c>
      <c r="J16" s="85" t="s">
        <v>184</v>
      </c>
      <c r="K16" s="87">
        <v>0.54166666666666663</v>
      </c>
      <c r="L16" s="85" t="s">
        <v>271</v>
      </c>
      <c r="M16" s="88">
        <v>0.23749999999999999</v>
      </c>
      <c r="N16" s="85" t="s">
        <v>184</v>
      </c>
      <c r="O16" s="88">
        <v>0.22651933701657459</v>
      </c>
      <c r="P16" s="85" t="s">
        <v>172</v>
      </c>
      <c r="Q16" s="89">
        <v>6762.5</v>
      </c>
      <c r="R16" s="85" t="s">
        <v>301</v>
      </c>
      <c r="S16" s="89">
        <v>-11280</v>
      </c>
      <c r="T16" s="85" t="s">
        <v>301</v>
      </c>
      <c r="U16" s="87">
        <v>0.25</v>
      </c>
      <c r="V16" s="85" t="s">
        <v>222</v>
      </c>
      <c r="W16" s="87">
        <v>0</v>
      </c>
      <c r="X16" s="85" t="s">
        <v>271</v>
      </c>
      <c r="Y16" s="88">
        <v>0.17499999999999999</v>
      </c>
      <c r="Z16" s="85" t="s">
        <v>128</v>
      </c>
      <c r="AA16" s="88">
        <v>0.17300521998508575</v>
      </c>
      <c r="AB16" s="85" t="s">
        <v>301</v>
      </c>
      <c r="AC16" s="88">
        <v>0.42857142857142855</v>
      </c>
      <c r="AD16" s="85" t="s">
        <v>301</v>
      </c>
      <c r="AE16" s="88">
        <v>0.25</v>
      </c>
      <c r="AF16" s="85" t="s">
        <v>301</v>
      </c>
      <c r="AG16" s="88">
        <v>0.3</v>
      </c>
      <c r="AH16" s="85" t="s">
        <v>271</v>
      </c>
      <c r="AI16" s="92">
        <v>52800</v>
      </c>
    </row>
    <row r="17" spans="1:35" x14ac:dyDescent="0.4">
      <c r="A17" s="82">
        <v>15</v>
      </c>
      <c r="B17" s="83" t="s">
        <v>129</v>
      </c>
      <c r="C17" s="84">
        <v>-1205.5000000000002</v>
      </c>
      <c r="D17" s="85" t="s">
        <v>271</v>
      </c>
      <c r="E17" s="97">
        <v>-32.511111111111113</v>
      </c>
      <c r="F17" s="85" t="s">
        <v>271</v>
      </c>
      <c r="G17" s="86">
        <v>2.6666666666666665</v>
      </c>
      <c r="H17" s="85" t="s">
        <v>271</v>
      </c>
      <c r="I17" s="87">
        <v>0</v>
      </c>
      <c r="J17" s="85" t="s">
        <v>271</v>
      </c>
      <c r="K17" s="87">
        <v>0.66666666666666663</v>
      </c>
      <c r="L17" s="85" t="s">
        <v>222</v>
      </c>
      <c r="M17" s="88">
        <v>0.15384615384615385</v>
      </c>
      <c r="N17" s="85" t="s">
        <v>271</v>
      </c>
      <c r="O17" s="88">
        <v>0.26250000000000001</v>
      </c>
      <c r="P17" s="85" t="s">
        <v>301</v>
      </c>
      <c r="Q17" s="89">
        <v>4940</v>
      </c>
      <c r="R17" s="85" t="s">
        <v>222</v>
      </c>
      <c r="S17" s="89">
        <v>-12000</v>
      </c>
      <c r="T17" s="85" t="s">
        <v>184</v>
      </c>
      <c r="U17" s="87">
        <v>0.29166666666666669</v>
      </c>
      <c r="V17" s="85" t="s">
        <v>271</v>
      </c>
      <c r="W17" s="87">
        <v>0</v>
      </c>
      <c r="X17" s="85" t="s">
        <v>223</v>
      </c>
      <c r="Y17" s="88">
        <v>0.15217391304347827</v>
      </c>
      <c r="Z17" s="85" t="s">
        <v>222</v>
      </c>
      <c r="AA17" s="88">
        <v>7.6923076923076927E-2</v>
      </c>
      <c r="AB17" s="85" t="s">
        <v>222</v>
      </c>
      <c r="AC17" s="88">
        <v>0.33333333333333331</v>
      </c>
      <c r="AD17" s="85" t="s">
        <v>222</v>
      </c>
      <c r="AE17" s="88">
        <v>0</v>
      </c>
      <c r="AF17" s="85" t="s">
        <v>183</v>
      </c>
      <c r="AG17" s="88">
        <v>0.2</v>
      </c>
      <c r="AH17" s="85" t="s">
        <v>222</v>
      </c>
      <c r="AI17" s="92">
        <v>48300</v>
      </c>
    </row>
  </sheetData>
  <sortState xmlns:xlrd2="http://schemas.microsoft.com/office/spreadsheetml/2017/richdata2" ref="AH3:AI4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1DB-D750-4F45-8170-E1E65F41B0E6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1026</v>
      </c>
      <c r="C2" s="151"/>
      <c r="E2" s="62" t="s">
        <v>67</v>
      </c>
      <c r="F2" s="59" t="s">
        <v>23</v>
      </c>
      <c r="G2" s="46">
        <v>1837</v>
      </c>
      <c r="H2" s="132">
        <f>IF(B$17=0,0,G2/B$17)</f>
        <v>0.72265932336742722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-18.572825024437929</v>
      </c>
      <c r="P2" s="118">
        <v>1023</v>
      </c>
      <c r="Q2" s="102">
        <v>-19000</v>
      </c>
    </row>
    <row r="3" spans="1:17" x14ac:dyDescent="0.4">
      <c r="A3" s="55" t="s">
        <v>8</v>
      </c>
      <c r="B3" s="152">
        <v>8544</v>
      </c>
      <c r="C3" s="153"/>
      <c r="E3" s="63" t="s">
        <v>73</v>
      </c>
      <c r="F3" s="60" t="s">
        <v>28</v>
      </c>
      <c r="G3" s="47">
        <v>1310</v>
      </c>
      <c r="H3" s="133">
        <f>IF(B$17=0,0,G3/B$17)</f>
        <v>0.51534225019669555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-6.9860279441117763</v>
      </c>
      <c r="P3" s="119">
        <v>1002</v>
      </c>
      <c r="Q3" s="103">
        <v>-7000</v>
      </c>
    </row>
    <row r="4" spans="1:17" x14ac:dyDescent="0.4">
      <c r="A4" s="55" t="s">
        <v>6</v>
      </c>
      <c r="B4" s="154">
        <v>-0.99999999999995737</v>
      </c>
      <c r="C4" s="155"/>
      <c r="E4" s="63" t="s">
        <v>65</v>
      </c>
      <c r="F4" s="60" t="s">
        <v>21</v>
      </c>
      <c r="G4" s="47">
        <v>1244</v>
      </c>
      <c r="H4" s="133">
        <f>IF(B$17=0,0,G4/B$17)</f>
        <v>0.48937844217151849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14.861995753715499</v>
      </c>
      <c r="P4" s="119">
        <v>942</v>
      </c>
      <c r="Q4" s="103">
        <v>14000</v>
      </c>
    </row>
    <row r="5" spans="1:17" x14ac:dyDescent="0.4">
      <c r="A5" s="55" t="s">
        <v>7</v>
      </c>
      <c r="B5" s="156">
        <f>IF(B$2=0,0,B$4/B$2)</f>
        <v>-9.7465886939566992E-4</v>
      </c>
      <c r="C5" s="157"/>
      <c r="E5" s="63" t="s">
        <v>245</v>
      </c>
      <c r="F5" s="60" t="s">
        <v>246</v>
      </c>
      <c r="G5" s="47">
        <v>1024</v>
      </c>
      <c r="H5" s="133">
        <f>IF(B$17=0,0,G5/B$17)</f>
        <v>0.4028324154209284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4.6136101499423301</v>
      </c>
      <c r="P5" s="119">
        <v>867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787</v>
      </c>
      <c r="H6" s="133">
        <f>IF(B$17=0,0,G6/B$17)</f>
        <v>0.30959874114870178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-10.296010296010296</v>
      </c>
      <c r="P6" s="119">
        <v>777</v>
      </c>
      <c r="Q6" s="103">
        <v>-8000</v>
      </c>
    </row>
    <row r="7" spans="1:17" x14ac:dyDescent="0.4">
      <c r="A7" s="55" t="s">
        <v>2</v>
      </c>
      <c r="B7" s="47">
        <v>342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759</v>
      </c>
      <c r="H7" s="133">
        <f>IF(B$17=0,0,G7/B$17)</f>
        <v>0.2985837922895358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22.222222222222221</v>
      </c>
      <c r="P7" s="120">
        <v>675</v>
      </c>
      <c r="Q7" s="104">
        <v>15000</v>
      </c>
    </row>
    <row r="8" spans="1:17" x14ac:dyDescent="0.4">
      <c r="A8" s="55" t="s">
        <v>3</v>
      </c>
      <c r="B8" s="47">
        <v>342</v>
      </c>
      <c r="C8" s="39">
        <f t="shared" si="1"/>
        <v>0.33333333333333331</v>
      </c>
      <c r="E8" s="63" t="s">
        <v>70</v>
      </c>
      <c r="F8" s="60" t="s">
        <v>25</v>
      </c>
      <c r="G8" s="47">
        <v>416</v>
      </c>
      <c r="H8" s="133">
        <f>IF(B$17=0,0,G8/B$17)</f>
        <v>0.16365066876475218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342</v>
      </c>
      <c r="C9" s="40">
        <f t="shared" si="1"/>
        <v>0.33333333333333331</v>
      </c>
      <c r="E9" s="63" t="s">
        <v>90</v>
      </c>
      <c r="F9" s="60" t="s">
        <v>45</v>
      </c>
      <c r="G9" s="47">
        <v>331</v>
      </c>
      <c r="H9" s="133">
        <f>IF(B$17=0,0,G9/B$17)</f>
        <v>0.13021243115656964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119</v>
      </c>
      <c r="C10" s="40">
        <f t="shared" si="1"/>
        <v>0.11598440545808966</v>
      </c>
      <c r="E10" s="63" t="s">
        <v>66</v>
      </c>
      <c r="F10" s="60" t="s">
        <v>22</v>
      </c>
      <c r="G10" s="47">
        <v>278</v>
      </c>
      <c r="H10" s="133">
        <f>IF(B$17=0,0,G10/B$17)</f>
        <v>0.10936270653029111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-1.9321637426900564</v>
      </c>
      <c r="P10" s="118">
        <v>342</v>
      </c>
      <c r="Q10" s="106">
        <v>-660.79999999999927</v>
      </c>
    </row>
    <row r="11" spans="1:17" x14ac:dyDescent="0.4">
      <c r="A11" s="56" t="s">
        <v>140</v>
      </c>
      <c r="B11" s="48">
        <v>119</v>
      </c>
      <c r="C11" s="40">
        <f t="shared" si="1"/>
        <v>0.11598440545808966</v>
      </c>
      <c r="E11" s="63" t="s">
        <v>71</v>
      </c>
      <c r="F11" s="60" t="s">
        <v>26</v>
      </c>
      <c r="G11" s="47">
        <v>256</v>
      </c>
      <c r="H11" s="133">
        <f>IF(B$17=0,0,G11/B$17)</f>
        <v>0.1007081038552321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0.36754385964912339</v>
      </c>
      <c r="P11" s="119">
        <v>342</v>
      </c>
      <c r="Q11" s="107">
        <v>125.7000000000002</v>
      </c>
    </row>
    <row r="12" spans="1:17" x14ac:dyDescent="0.4">
      <c r="A12" s="57" t="s">
        <v>160</v>
      </c>
      <c r="B12" s="49">
        <v>90</v>
      </c>
      <c r="C12" s="42">
        <f t="shared" si="1"/>
        <v>8.771929824561403E-2</v>
      </c>
      <c r="E12" s="63" t="s">
        <v>72</v>
      </c>
      <c r="F12" s="60" t="s">
        <v>27</v>
      </c>
      <c r="G12" s="47">
        <v>172</v>
      </c>
      <c r="H12" s="133">
        <f>IF(B$17=0,0,G12/B$17)</f>
        <v>6.7663257277734062E-2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1.5616959064327489</v>
      </c>
      <c r="P12" s="120">
        <v>342</v>
      </c>
      <c r="Q12" s="108">
        <v>534.10000000000014</v>
      </c>
    </row>
    <row r="13" spans="1:17" x14ac:dyDescent="0.4">
      <c r="A13" s="58" t="s">
        <v>122</v>
      </c>
      <c r="B13" s="50">
        <v>2266</v>
      </c>
      <c r="C13" s="44">
        <f>IF(B$3=0,0,B13/B$3)</f>
        <v>0.26521535580524347</v>
      </c>
      <c r="E13" s="63" t="s">
        <v>87</v>
      </c>
      <c r="F13" s="60" t="s">
        <v>42</v>
      </c>
      <c r="G13" s="47">
        <v>151</v>
      </c>
      <c r="H13" s="133">
        <f>IF(B$17=0,0,G13/B$17)</f>
        <v>5.940204563335956E-2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1837</v>
      </c>
      <c r="C14" s="39">
        <f>IF(B$3=0,0,B14/B$3)</f>
        <v>0.21500468164794007</v>
      </c>
      <c r="E14" s="63" t="s">
        <v>84</v>
      </c>
      <c r="F14" s="60" t="s">
        <v>39</v>
      </c>
      <c r="G14" s="47">
        <v>121</v>
      </c>
      <c r="H14" s="133">
        <f>IF(B$17=0,0,G14/B$17)</f>
        <v>4.7600314712824547E-2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1307</v>
      </c>
      <c r="C15" s="37">
        <f>IF(B$13=0,0,B15/B$13)</f>
        <v>0.57678729037952337</v>
      </c>
      <c r="E15" s="63" t="s">
        <v>79</v>
      </c>
      <c r="F15" s="60" t="s">
        <v>34</v>
      </c>
      <c r="G15" s="47">
        <v>71</v>
      </c>
      <c r="H15" s="133">
        <f>IF(B$17=0,0,G15/B$17)</f>
        <v>2.7930763178599528E-2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48.766666666666659</v>
      </c>
      <c r="P15" s="118">
        <v>18</v>
      </c>
      <c r="Q15" s="106">
        <v>877.79999999999984</v>
      </c>
    </row>
    <row r="16" spans="1:17" x14ac:dyDescent="0.4">
      <c r="A16" s="54" t="s">
        <v>125</v>
      </c>
      <c r="B16" s="46">
        <v>730</v>
      </c>
      <c r="C16" s="37">
        <f>IF(B$14=0,0,B16/B$14)</f>
        <v>0.3973870440936309</v>
      </c>
      <c r="E16" s="63" t="s">
        <v>82</v>
      </c>
      <c r="F16" s="60" t="s">
        <v>37</v>
      </c>
      <c r="G16" s="47">
        <v>63</v>
      </c>
      <c r="H16" s="133">
        <f>IF(B$17=0,0,G16/B$17)</f>
        <v>2.4783634933123525E-2</v>
      </c>
      <c r="I16" s="94">
        <v>8</v>
      </c>
      <c r="K16" s="38">
        <v>14</v>
      </c>
      <c r="L16" s="99">
        <v>18.79999999999999</v>
      </c>
      <c r="N16" s="115" t="s">
        <v>301</v>
      </c>
      <c r="O16" s="125">
        <f>IF(P16=0,0,Q16/P16)</f>
        <v>21.074999999999996</v>
      </c>
      <c r="P16" s="119">
        <v>8</v>
      </c>
      <c r="Q16" s="107">
        <v>168.59999999999997</v>
      </c>
    </row>
    <row r="17" spans="1:17" x14ac:dyDescent="0.4">
      <c r="A17" s="54" t="s">
        <v>10</v>
      </c>
      <c r="B17" s="46">
        <f>B19+B18</f>
        <v>2542</v>
      </c>
      <c r="C17" s="37">
        <f>IF(B$3=0,0,B17/B$3)</f>
        <v>0.29751872659176032</v>
      </c>
      <c r="E17" s="63" t="s">
        <v>92</v>
      </c>
      <c r="F17" s="60" t="s">
        <v>47</v>
      </c>
      <c r="G17" s="47">
        <v>52</v>
      </c>
      <c r="H17" s="133">
        <f>IF(B$17=0,0,G17/B$17)</f>
        <v>2.0456333595594022E-2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18.781250000000004</v>
      </c>
      <c r="P17" s="119">
        <v>48</v>
      </c>
      <c r="Q17" s="107">
        <v>901.50000000000023</v>
      </c>
    </row>
    <row r="18" spans="1:17" x14ac:dyDescent="0.4">
      <c r="A18" s="55" t="s">
        <v>12</v>
      </c>
      <c r="B18" s="47">
        <v>1094</v>
      </c>
      <c r="C18" s="39">
        <f>IF(B$17=0,0,B18/B$17)</f>
        <v>0.43036978756884342</v>
      </c>
      <c r="E18" s="63" t="s">
        <v>180</v>
      </c>
      <c r="F18" s="60" t="s">
        <v>181</v>
      </c>
      <c r="G18" s="47">
        <v>46</v>
      </c>
      <c r="H18" s="133">
        <f>IF(B$17=0,0,G18/B$17)</f>
        <v>1.8095987411487019E-2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13.785245901639341</v>
      </c>
      <c r="P18" s="119">
        <v>122</v>
      </c>
      <c r="Q18" s="107">
        <v>1681.7999999999995</v>
      </c>
    </row>
    <row r="19" spans="1:17" x14ac:dyDescent="0.4">
      <c r="A19" s="55" t="s">
        <v>11</v>
      </c>
      <c r="B19" s="47">
        <v>1448</v>
      </c>
      <c r="C19" s="39">
        <f>IF(B$17=0,0,B19/B$17)</f>
        <v>0.56963021243115652</v>
      </c>
      <c r="E19" s="63" t="s">
        <v>80</v>
      </c>
      <c r="F19" s="60" t="s">
        <v>35</v>
      </c>
      <c r="G19" s="47">
        <v>43</v>
      </c>
      <c r="H19" s="133">
        <f>IF(B$17=0,0,G19/B$17)</f>
        <v>1.6915814319433516E-2</v>
      </c>
      <c r="I19" s="94">
        <v>6</v>
      </c>
      <c r="K19" s="38">
        <v>17</v>
      </c>
      <c r="L19" s="99">
        <v>8.2999999999999972</v>
      </c>
      <c r="N19" s="115" t="s">
        <v>129</v>
      </c>
      <c r="O19" s="125">
        <f>IF(P19=0,0,Q19/P19)</f>
        <v>10.101955307262594</v>
      </c>
      <c r="P19" s="119">
        <v>358</v>
      </c>
      <c r="Q19" s="107">
        <v>3616.5000000000086</v>
      </c>
    </row>
    <row r="20" spans="1:17" x14ac:dyDescent="0.4">
      <c r="A20" s="55" t="s">
        <v>13</v>
      </c>
      <c r="B20" s="47">
        <v>1428</v>
      </c>
      <c r="C20" s="39">
        <f>IF(B$3=0,0,B20/B$3)</f>
        <v>0.16713483146067415</v>
      </c>
      <c r="E20" s="63" t="s">
        <v>78</v>
      </c>
      <c r="F20" s="60" t="s">
        <v>33</v>
      </c>
      <c r="G20" s="47">
        <v>20</v>
      </c>
      <c r="H20" s="133">
        <f>IF(B$17=0,0,G20/B$17)</f>
        <v>7.8678206136900079E-3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4.9619631901840506</v>
      </c>
      <c r="P20" s="119">
        <v>326</v>
      </c>
      <c r="Q20" s="107">
        <v>1617.6000000000004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>IF(B$17=0,0,G21/B$17)</f>
        <v>6.2942564909520063E-3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>IF(P21=0,0,Q21/P21)</f>
        <v>3.4785714285714282</v>
      </c>
      <c r="P21" s="119">
        <v>210</v>
      </c>
      <c r="Q21" s="107">
        <v>730.49999999999989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>IF(B$17=0,0,G22/B$17)</f>
        <v>5.9008654602675063E-3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-0.71570247933884479</v>
      </c>
      <c r="P22" s="119">
        <v>242</v>
      </c>
      <c r="Q22" s="107">
        <v>-173.20000000000044</v>
      </c>
    </row>
    <row r="23" spans="1:17" x14ac:dyDescent="0.4">
      <c r="A23" s="55" t="s">
        <v>5</v>
      </c>
      <c r="B23" s="51">
        <f>IF(B$17=0,0,C23/B$17)</f>
        <v>8590.5586152635715</v>
      </c>
      <c r="C23" s="41">
        <v>21837200</v>
      </c>
      <c r="E23" s="63" t="s">
        <v>86</v>
      </c>
      <c r="F23" s="60" t="s">
        <v>41</v>
      </c>
      <c r="G23" s="47">
        <v>12</v>
      </c>
      <c r="H23" s="133">
        <f>IF(B$17=0,0,G23/B$17)</f>
        <v>4.7206923682140047E-3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-1.8495454545454526</v>
      </c>
      <c r="P23" s="119">
        <v>220</v>
      </c>
      <c r="Q23" s="107">
        <v>-406.89999999999958</v>
      </c>
    </row>
    <row r="24" spans="1:17" x14ac:dyDescent="0.4">
      <c r="A24" s="57" t="s">
        <v>14</v>
      </c>
      <c r="B24" s="52">
        <f>IF(B$20=0,0,C24/B$20)</f>
        <v>-8093.2072829131648</v>
      </c>
      <c r="C24" s="45">
        <v>-11557100</v>
      </c>
      <c r="E24" s="63" t="s">
        <v>75</v>
      </c>
      <c r="F24" s="60" t="s">
        <v>30</v>
      </c>
      <c r="G24" s="47">
        <v>10</v>
      </c>
      <c r="H24" s="133">
        <f>IF(B$17=0,0,G24/B$17)</f>
        <v>3.9339103068450039E-3</v>
      </c>
      <c r="I24" s="94">
        <v>6</v>
      </c>
      <c r="K24" s="38">
        <v>22</v>
      </c>
      <c r="L24" s="99">
        <v>23.699999999999996</v>
      </c>
      <c r="N24" s="115" t="s">
        <v>200</v>
      </c>
      <c r="O24" s="125">
        <f>IF(P24=0,0,Q24/P24)</f>
        <v>-5.9142857142857093</v>
      </c>
      <c r="P24" s="119">
        <v>42</v>
      </c>
      <c r="Q24" s="107">
        <v>-248.39999999999981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>IF(B$17=0,0,G25/B$17)</f>
        <v>3.9339103068450039E-3</v>
      </c>
      <c r="I25" s="94">
        <v>3</v>
      </c>
      <c r="K25" s="38">
        <v>23</v>
      </c>
      <c r="L25" s="99">
        <v>26.299999999999997</v>
      </c>
      <c r="N25" s="115" t="s">
        <v>127</v>
      </c>
      <c r="O25" s="125">
        <f>IF(P25=0,0,Q25/P25)</f>
        <v>-18.816666666666659</v>
      </c>
      <c r="P25" s="119">
        <v>438</v>
      </c>
      <c r="Q25" s="107">
        <v>-8241.6999999999971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2.7537372147915028E-3</v>
      </c>
      <c r="I26" s="94">
        <v>5</v>
      </c>
      <c r="K26" s="38">
        <v>24</v>
      </c>
      <c r="L26" s="99">
        <v>-3.5527136788005009E-15</v>
      </c>
      <c r="N26" s="115" t="s">
        <v>222</v>
      </c>
      <c r="O26" s="125">
        <f>IF(P26=0,0,Q26/P26)</f>
        <v>-19.950000000000003</v>
      </c>
      <c r="P26" s="119">
        <v>2</v>
      </c>
      <c r="Q26" s="107">
        <v>-39.900000000000006</v>
      </c>
    </row>
    <row r="27" spans="1:17" x14ac:dyDescent="0.4">
      <c r="A27" s="57" t="s">
        <v>143</v>
      </c>
      <c r="B27" s="65">
        <v>22</v>
      </c>
      <c r="C27" s="42">
        <f>IF(B$3=0,0,B27/B$3)</f>
        <v>2.5749063670411983E-3</v>
      </c>
      <c r="E27" s="63" t="s">
        <v>94</v>
      </c>
      <c r="F27" s="60" t="s">
        <v>49</v>
      </c>
      <c r="G27" s="47">
        <v>7</v>
      </c>
      <c r="H27" s="133">
        <f>IF(B$17=0,0,G27/B$17)</f>
        <v>2.7537372147915028E-3</v>
      </c>
      <c r="I27" s="94">
        <v>5</v>
      </c>
      <c r="K27" s="38">
        <v>25</v>
      </c>
      <c r="L27" s="99">
        <v>-31.300000000000004</v>
      </c>
      <c r="N27" s="115" t="s">
        <v>223</v>
      </c>
      <c r="O27" s="125">
        <f>IF(P27=0,0,Q27/P27)</f>
        <v>-25.099999999999998</v>
      </c>
      <c r="P27" s="119">
        <v>12</v>
      </c>
      <c r="Q27" s="107">
        <v>-301.2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2.3603461841070024E-3</v>
      </c>
      <c r="I28" s="94">
        <v>4</v>
      </c>
      <c r="K28" s="38">
        <v>26</v>
      </c>
      <c r="L28" s="99">
        <v>1.8999999999999986</v>
      </c>
      <c r="N28" s="115" t="s">
        <v>183</v>
      </c>
      <c r="O28" s="125">
        <f>IF(P28=0,0,Q28/P28)</f>
        <v>-30.5</v>
      </c>
      <c r="P28" s="119">
        <v>6</v>
      </c>
      <c r="Q28" s="107">
        <v>-183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2.3603461841070024E-3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1.5735641227380016E-3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7.8678206136900079E-4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3.9339103068450039E-4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3.9339103068450039E-4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3.9339103068450039E-4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-1.0000000000000071</v>
      </c>
    </row>
    <row r="969" spans="11:12" x14ac:dyDescent="0.4">
      <c r="K969" s="38">
        <v>967</v>
      </c>
      <c r="L969" s="99">
        <v>-67.5</v>
      </c>
    </row>
    <row r="970" spans="11:12" x14ac:dyDescent="0.4">
      <c r="K970" s="38">
        <v>968</v>
      </c>
      <c r="L970" s="99">
        <v>-20.5</v>
      </c>
    </row>
    <row r="971" spans="11:12" x14ac:dyDescent="0.4">
      <c r="K971" s="38">
        <v>969</v>
      </c>
      <c r="L971" s="99">
        <v>-1</v>
      </c>
    </row>
    <row r="972" spans="11:12" x14ac:dyDescent="0.4">
      <c r="K972" s="38">
        <v>970</v>
      </c>
      <c r="L972" s="99">
        <v>10.1</v>
      </c>
    </row>
    <row r="973" spans="11:12" x14ac:dyDescent="0.4">
      <c r="K973" s="38">
        <v>971</v>
      </c>
      <c r="L973" s="99">
        <v>-36.9</v>
      </c>
    </row>
    <row r="974" spans="11:12" x14ac:dyDescent="0.4">
      <c r="K974" s="38">
        <v>972</v>
      </c>
      <c r="L974" s="99">
        <v>-1</v>
      </c>
    </row>
    <row r="975" spans="11:12" x14ac:dyDescent="0.4">
      <c r="K975" s="38">
        <v>973</v>
      </c>
      <c r="L975" s="99">
        <v>-1.2</v>
      </c>
    </row>
    <row r="976" spans="11:12" x14ac:dyDescent="0.4">
      <c r="K976" s="38">
        <v>974</v>
      </c>
      <c r="L976" s="99">
        <v>-27.5</v>
      </c>
    </row>
    <row r="977" spans="11:12" x14ac:dyDescent="0.4">
      <c r="K977" s="38">
        <v>975</v>
      </c>
      <c r="L977" s="99">
        <v>-1</v>
      </c>
    </row>
    <row r="978" spans="11:12" x14ac:dyDescent="0.4">
      <c r="K978" s="38">
        <v>976</v>
      </c>
      <c r="L978" s="99">
        <v>-8</v>
      </c>
    </row>
    <row r="979" spans="11:12" x14ac:dyDescent="0.4">
      <c r="K979" s="38">
        <v>977</v>
      </c>
      <c r="L979" s="99">
        <v>49.5</v>
      </c>
    </row>
    <row r="980" spans="11:12" x14ac:dyDescent="0.4">
      <c r="K980" s="38">
        <v>978</v>
      </c>
      <c r="L980" s="99">
        <v>-1</v>
      </c>
    </row>
    <row r="981" spans="11:12" x14ac:dyDescent="0.4">
      <c r="K981" s="38">
        <v>979</v>
      </c>
      <c r="L981" s="99">
        <v>-1.4</v>
      </c>
    </row>
    <row r="982" spans="11:12" x14ac:dyDescent="0.4">
      <c r="K982" s="38">
        <v>980</v>
      </c>
      <c r="L982" s="99">
        <v>23.400000000000002</v>
      </c>
    </row>
    <row r="983" spans="11:12" x14ac:dyDescent="0.4">
      <c r="K983" s="38">
        <v>981</v>
      </c>
      <c r="L983" s="99">
        <v>-0.99999999999999645</v>
      </c>
    </row>
    <row r="984" spans="11:12" x14ac:dyDescent="0.4">
      <c r="K984" s="38">
        <v>982</v>
      </c>
      <c r="L984" s="99">
        <v>-48.099999999999994</v>
      </c>
    </row>
    <row r="985" spans="11:12" x14ac:dyDescent="0.4">
      <c r="K985" s="38">
        <v>983</v>
      </c>
      <c r="L985" s="99">
        <v>-65.199999999999989</v>
      </c>
    </row>
    <row r="986" spans="11:12" x14ac:dyDescent="0.4">
      <c r="K986" s="38">
        <v>984</v>
      </c>
      <c r="L986" s="99">
        <v>-0.99999999999998579</v>
      </c>
    </row>
    <row r="987" spans="11:12" x14ac:dyDescent="0.4">
      <c r="K987" s="38">
        <v>985</v>
      </c>
      <c r="L987" s="99">
        <v>-38.699999999999989</v>
      </c>
    </row>
    <row r="988" spans="11:12" x14ac:dyDescent="0.4">
      <c r="K988" s="38">
        <v>986</v>
      </c>
      <c r="L988" s="99">
        <v>14.300000000000011</v>
      </c>
    </row>
    <row r="989" spans="11:12" x14ac:dyDescent="0.4">
      <c r="K989" s="38">
        <v>987</v>
      </c>
      <c r="L989" s="99">
        <v>-0.99999999999998934</v>
      </c>
    </row>
    <row r="990" spans="11:12" x14ac:dyDescent="0.4">
      <c r="K990" s="38">
        <v>988</v>
      </c>
      <c r="L990" s="99">
        <v>39.200000000000017</v>
      </c>
    </row>
    <row r="991" spans="11:12" x14ac:dyDescent="0.4">
      <c r="K991" s="38">
        <v>989</v>
      </c>
      <c r="L991" s="99">
        <v>33.800000000000018</v>
      </c>
    </row>
    <row r="992" spans="11:12" x14ac:dyDescent="0.4">
      <c r="K992" s="38">
        <v>990</v>
      </c>
      <c r="L992" s="99">
        <v>-0.99999999999997868</v>
      </c>
    </row>
    <row r="993" spans="11:12" x14ac:dyDescent="0.4">
      <c r="K993" s="38">
        <v>991</v>
      </c>
      <c r="L993" s="99">
        <v>-9.9999999999978662E-2</v>
      </c>
    </row>
    <row r="994" spans="11:12" x14ac:dyDescent="0.4">
      <c r="K994" s="38">
        <v>992</v>
      </c>
      <c r="L994" s="99">
        <v>-48.499999999999979</v>
      </c>
    </row>
    <row r="995" spans="11:12" x14ac:dyDescent="0.4">
      <c r="K995" s="38">
        <v>993</v>
      </c>
      <c r="L995" s="99">
        <v>-0.99999999999997868</v>
      </c>
    </row>
    <row r="996" spans="11:12" x14ac:dyDescent="0.4">
      <c r="K996" s="38">
        <v>994</v>
      </c>
      <c r="L996" s="99">
        <v>-62.59999999999998</v>
      </c>
    </row>
    <row r="997" spans="11:12" x14ac:dyDescent="0.4">
      <c r="K997" s="38">
        <v>995</v>
      </c>
      <c r="L997" s="99">
        <v>-50.499999999999979</v>
      </c>
    </row>
    <row r="998" spans="11:12" x14ac:dyDescent="0.4">
      <c r="K998" s="38">
        <v>996</v>
      </c>
      <c r="L998" s="99">
        <v>-0.99999999999997868</v>
      </c>
    </row>
    <row r="999" spans="11:12" x14ac:dyDescent="0.4">
      <c r="K999" s="38">
        <v>997</v>
      </c>
      <c r="L999" s="99">
        <v>-44.899999999999977</v>
      </c>
    </row>
    <row r="1000" spans="11:12" x14ac:dyDescent="0.4">
      <c r="K1000" s="38">
        <v>998</v>
      </c>
      <c r="L1000" s="99">
        <v>-35.699999999999974</v>
      </c>
    </row>
    <row r="1001" spans="11:12" x14ac:dyDescent="0.4">
      <c r="K1001" s="38">
        <v>999</v>
      </c>
      <c r="L1001" s="99">
        <v>-0.99999999999997158</v>
      </c>
    </row>
    <row r="1002" spans="11:12" x14ac:dyDescent="0.4">
      <c r="K1002" s="38">
        <v>1000</v>
      </c>
      <c r="L1002" s="99">
        <v>61.700000000000031</v>
      </c>
    </row>
    <row r="1003" spans="11:12" x14ac:dyDescent="0.4">
      <c r="K1003" s="38">
        <v>1001</v>
      </c>
      <c r="L1003" s="99">
        <v>12.900000000000034</v>
      </c>
    </row>
    <row r="1004" spans="11:12" x14ac:dyDescent="0.4">
      <c r="K1004" s="38">
        <v>1002</v>
      </c>
      <c r="L1004" s="99">
        <v>-0.99999999999996625</v>
      </c>
    </row>
    <row r="1005" spans="11:12" x14ac:dyDescent="0.4">
      <c r="K1005" s="38">
        <v>1003</v>
      </c>
      <c r="L1005" s="99">
        <v>9.700000000000033</v>
      </c>
    </row>
    <row r="1006" spans="11:12" x14ac:dyDescent="0.4">
      <c r="K1006" s="38">
        <v>1004</v>
      </c>
      <c r="L1006" s="99">
        <v>-47.999999999999972</v>
      </c>
    </row>
    <row r="1007" spans="11:12" x14ac:dyDescent="0.4">
      <c r="K1007" s="38">
        <v>1005</v>
      </c>
      <c r="L1007" s="99">
        <v>-0.99999999999997158</v>
      </c>
    </row>
    <row r="1008" spans="11:12" x14ac:dyDescent="0.4">
      <c r="K1008" s="38">
        <v>1006</v>
      </c>
      <c r="L1008" s="99">
        <v>34.700000000000031</v>
      </c>
    </row>
    <row r="1009" spans="11:12" x14ac:dyDescent="0.4">
      <c r="K1009" s="38">
        <v>1007</v>
      </c>
      <c r="L1009" s="99">
        <v>-2.0999999999999659</v>
      </c>
    </row>
    <row r="1010" spans="11:12" x14ac:dyDescent="0.4">
      <c r="K1010" s="38">
        <v>1008</v>
      </c>
      <c r="L1010" s="99">
        <v>-0.99999999999996581</v>
      </c>
    </row>
    <row r="1011" spans="11:12" x14ac:dyDescent="0.4">
      <c r="K1011" s="38">
        <v>1009</v>
      </c>
      <c r="L1011" s="99">
        <v>26.200000000000035</v>
      </c>
    </row>
    <row r="1012" spans="11:12" x14ac:dyDescent="0.4">
      <c r="K1012" s="38">
        <v>1010</v>
      </c>
      <c r="L1012" s="99">
        <v>24.300000000000036</v>
      </c>
    </row>
    <row r="1013" spans="11:12" x14ac:dyDescent="0.4">
      <c r="K1013" s="38">
        <v>1011</v>
      </c>
      <c r="L1013" s="99">
        <v>-0.99999999999996447</v>
      </c>
    </row>
    <row r="1014" spans="11:12" x14ac:dyDescent="0.4">
      <c r="K1014" s="38">
        <v>1012</v>
      </c>
      <c r="L1014" s="99">
        <v>14.800000000000036</v>
      </c>
    </row>
    <row r="1015" spans="11:12" x14ac:dyDescent="0.4">
      <c r="K1015" s="38">
        <v>1013</v>
      </c>
      <c r="L1015" s="99">
        <v>55.000000000000043</v>
      </c>
    </row>
    <row r="1016" spans="11:12" x14ac:dyDescent="0.4">
      <c r="K1016" s="38">
        <v>1014</v>
      </c>
      <c r="L1016" s="99">
        <v>-0.99999999999995737</v>
      </c>
    </row>
    <row r="1017" spans="11:12" x14ac:dyDescent="0.4">
      <c r="K1017" s="38">
        <v>1015</v>
      </c>
      <c r="L1017" s="99">
        <v>24.200000000000042</v>
      </c>
    </row>
    <row r="1018" spans="11:12" x14ac:dyDescent="0.4">
      <c r="K1018" s="38">
        <v>1016</v>
      </c>
      <c r="L1018" s="99">
        <v>-4.5999999999999588</v>
      </c>
    </row>
    <row r="1019" spans="11:12" x14ac:dyDescent="0.4">
      <c r="K1019" s="38">
        <v>1017</v>
      </c>
      <c r="L1019" s="99">
        <v>-0.9999999999999587</v>
      </c>
    </row>
    <row r="1020" spans="11:12" x14ac:dyDescent="0.4">
      <c r="K1020" s="38">
        <v>1018</v>
      </c>
      <c r="L1020" s="99">
        <v>-10.29999999999996</v>
      </c>
    </row>
    <row r="1021" spans="11:12" x14ac:dyDescent="0.4">
      <c r="K1021" s="38">
        <v>1019</v>
      </c>
      <c r="L1021" s="99">
        <v>50.900000000000041</v>
      </c>
    </row>
    <row r="1022" spans="11:12" x14ac:dyDescent="0.4">
      <c r="K1022" s="38">
        <v>1020</v>
      </c>
      <c r="L1022" s="99">
        <v>-0.99999999999995737</v>
      </c>
    </row>
    <row r="1023" spans="11:12" x14ac:dyDescent="0.4">
      <c r="K1023" s="38">
        <v>1021</v>
      </c>
      <c r="L1023" s="99">
        <v>2.2000000000000428</v>
      </c>
    </row>
    <row r="1024" spans="11:12" x14ac:dyDescent="0.4">
      <c r="K1024" s="38">
        <v>1022</v>
      </c>
      <c r="L1024" s="99">
        <v>-28.599999999999959</v>
      </c>
    </row>
    <row r="1025" spans="11:12" x14ac:dyDescent="0.4">
      <c r="K1025" s="38">
        <v>1023</v>
      </c>
      <c r="L1025" s="99">
        <v>-0.99999999999995737</v>
      </c>
    </row>
    <row r="1026" spans="11:12" x14ac:dyDescent="0.4">
      <c r="K1026" s="38">
        <v>1024</v>
      </c>
      <c r="L1026" s="99">
        <v>-3.7999999999999572</v>
      </c>
    </row>
    <row r="1027" spans="11:12" x14ac:dyDescent="0.4">
      <c r="K1027" s="38">
        <v>1025</v>
      </c>
      <c r="L1027" s="99">
        <v>37.700000000000045</v>
      </c>
    </row>
    <row r="1028" spans="11:12" x14ac:dyDescent="0.4">
      <c r="K1028" s="38">
        <v>1026</v>
      </c>
      <c r="L1028" s="99">
        <v>-0.99999999999995737</v>
      </c>
    </row>
  </sheetData>
  <sortState xmlns:xlrd2="http://schemas.microsoft.com/office/spreadsheetml/2017/richdata2" ref="N15:Q2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E4969-4F28-464F-BAEC-FD54963EB24A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219</v>
      </c>
      <c r="C2" s="151"/>
      <c r="E2" s="62" t="s">
        <v>67</v>
      </c>
      <c r="F2" s="59" t="s">
        <v>23</v>
      </c>
      <c r="G2" s="46">
        <v>466</v>
      </c>
      <c r="H2" s="132">
        <f>IF(B$17=0,0,G2/B$17)</f>
        <v>0.77024793388429758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1200.9174311926606</v>
      </c>
      <c r="P2" s="118">
        <v>218</v>
      </c>
      <c r="Q2" s="102">
        <v>261800</v>
      </c>
    </row>
    <row r="3" spans="1:17" x14ac:dyDescent="0.4">
      <c r="A3" s="55" t="s">
        <v>8</v>
      </c>
      <c r="B3" s="152">
        <v>1793</v>
      </c>
      <c r="C3" s="153"/>
      <c r="E3" s="63" t="s">
        <v>73</v>
      </c>
      <c r="F3" s="60" t="s">
        <v>28</v>
      </c>
      <c r="G3" s="47">
        <v>334</v>
      </c>
      <c r="H3" s="133">
        <f>IF(B$17=0,0,G3/B$17)</f>
        <v>0.55206611570247932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1853.0516431924882</v>
      </c>
      <c r="P3" s="119">
        <v>213</v>
      </c>
      <c r="Q3" s="103">
        <v>394700</v>
      </c>
    </row>
    <row r="4" spans="1:17" x14ac:dyDescent="0.4">
      <c r="A4" s="55" t="s">
        <v>6</v>
      </c>
      <c r="B4" s="154">
        <v>2746.9</v>
      </c>
      <c r="C4" s="155"/>
      <c r="E4" s="63" t="s">
        <v>65</v>
      </c>
      <c r="F4" s="60" t="s">
        <v>21</v>
      </c>
      <c r="G4" s="47">
        <v>287</v>
      </c>
      <c r="H4" s="133">
        <f>IF(B$17=0,0,G4/B$17)</f>
        <v>0.47438016528925619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700.98039215686276</v>
      </c>
      <c r="P4" s="119">
        <v>204</v>
      </c>
      <c r="Q4" s="103">
        <v>143000</v>
      </c>
    </row>
    <row r="5" spans="1:17" x14ac:dyDescent="0.4">
      <c r="A5" s="55" t="s">
        <v>7</v>
      </c>
      <c r="B5" s="156">
        <f>IF(B$2=0,0,B$4/B$2)</f>
        <v>12.542922374429224</v>
      </c>
      <c r="C5" s="157"/>
      <c r="E5" s="63" t="s">
        <v>245</v>
      </c>
      <c r="F5" s="60" t="s">
        <v>246</v>
      </c>
      <c r="G5" s="47">
        <v>241</v>
      </c>
      <c r="H5" s="133">
        <f>IF(B$17=0,0,G5/B$17)</f>
        <v>0.39834710743801655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2811.229946524064</v>
      </c>
      <c r="P5" s="119">
        <v>187</v>
      </c>
      <c r="Q5" s="103">
        <v>525700</v>
      </c>
    </row>
    <row r="6" spans="1:17" x14ac:dyDescent="0.4">
      <c r="A6" s="55" t="s">
        <v>1</v>
      </c>
      <c r="B6" s="146">
        <f>IF(B$2=0,0,(B$7*1+B$8*2+B$9*3)/B$2)</f>
        <v>1.7579908675799087</v>
      </c>
      <c r="C6" s="147"/>
      <c r="E6" s="63" t="s">
        <v>68</v>
      </c>
      <c r="F6" s="60" t="s">
        <v>24</v>
      </c>
      <c r="G6" s="47">
        <v>190</v>
      </c>
      <c r="H6" s="133">
        <f>IF(B$17=0,0,G6/B$17)</f>
        <v>0.31404958677685951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1247.5903614457832</v>
      </c>
      <c r="P6" s="119">
        <v>166</v>
      </c>
      <c r="Q6" s="103">
        <v>207100</v>
      </c>
    </row>
    <row r="7" spans="1:17" x14ac:dyDescent="0.4">
      <c r="A7" s="55" t="s">
        <v>2</v>
      </c>
      <c r="B7" s="47">
        <v>106</v>
      </c>
      <c r="C7" s="39">
        <f t="shared" ref="C7:C12" si="1">IF(B$2=0,0,B7/B$2)</f>
        <v>0.48401826484018262</v>
      </c>
      <c r="E7" s="63" t="s">
        <v>69</v>
      </c>
      <c r="F7" s="60" t="s">
        <v>12</v>
      </c>
      <c r="G7" s="47">
        <v>169</v>
      </c>
      <c r="H7" s="133">
        <f>IF(B$17=0,0,G7/B$17)</f>
        <v>0.27933884297520661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1222.5352112676057</v>
      </c>
      <c r="P7" s="120">
        <v>142</v>
      </c>
      <c r="Q7" s="104">
        <v>173600</v>
      </c>
    </row>
    <row r="8" spans="1:17" x14ac:dyDescent="0.4">
      <c r="A8" s="55" t="s">
        <v>3</v>
      </c>
      <c r="B8" s="47">
        <v>60</v>
      </c>
      <c r="C8" s="39">
        <f t="shared" si="1"/>
        <v>0.27397260273972601</v>
      </c>
      <c r="E8" s="63" t="s">
        <v>90</v>
      </c>
      <c r="F8" s="60" t="s">
        <v>45</v>
      </c>
      <c r="G8" s="47">
        <v>100</v>
      </c>
      <c r="H8" s="133">
        <f>IF(B$17=0,0,G8/B$17)</f>
        <v>0.16528925619834711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1"/>
        <v>0.24200913242009131</v>
      </c>
      <c r="E9" s="63" t="s">
        <v>70</v>
      </c>
      <c r="F9" s="60" t="s">
        <v>25</v>
      </c>
      <c r="G9" s="47">
        <v>96</v>
      </c>
      <c r="H9" s="133">
        <f>IF(B$17=0,0,G9/B$17)</f>
        <v>0.15867768595041323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1"/>
        <v>8.2191780821917804E-2</v>
      </c>
      <c r="E10" s="63" t="s">
        <v>66</v>
      </c>
      <c r="F10" s="60" t="s">
        <v>22</v>
      </c>
      <c r="G10" s="47">
        <v>74</v>
      </c>
      <c r="H10" s="133">
        <f>IF(B$17=0,0,G10/B$17)</f>
        <v>0.12231404958677686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1"/>
        <v>0.16894977168949771</v>
      </c>
      <c r="E11" s="63" t="s">
        <v>71</v>
      </c>
      <c r="F11" s="60" t="s">
        <v>26</v>
      </c>
      <c r="G11" s="47">
        <v>47</v>
      </c>
      <c r="H11" s="133">
        <f>IF(B$17=0,0,G11/B$17)</f>
        <v>7.768595041322314E-2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9.0685714285714294</v>
      </c>
      <c r="P11" s="119">
        <v>70</v>
      </c>
      <c r="Q11" s="107">
        <v>634.80000000000007</v>
      </c>
    </row>
    <row r="12" spans="1:17" x14ac:dyDescent="0.4">
      <c r="A12" s="57" t="s">
        <v>160</v>
      </c>
      <c r="B12" s="49">
        <v>30</v>
      </c>
      <c r="C12" s="42">
        <f t="shared" si="1"/>
        <v>0.13698630136986301</v>
      </c>
      <c r="E12" s="63" t="s">
        <v>87</v>
      </c>
      <c r="F12" s="60" t="s">
        <v>42</v>
      </c>
      <c r="G12" s="47">
        <v>43</v>
      </c>
      <c r="H12" s="133">
        <f>IF(B$17=0,0,G12/B$17)</f>
        <v>7.1074380165289261E-2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542</v>
      </c>
      <c r="C13" s="44">
        <f>IF(B$3=0,0,B13/B$3)</f>
        <v>0.30228667038482987</v>
      </c>
      <c r="E13" s="63" t="s">
        <v>72</v>
      </c>
      <c r="F13" s="60" t="s">
        <v>27</v>
      </c>
      <c r="G13" s="47">
        <v>39</v>
      </c>
      <c r="H13" s="133">
        <f>IF(B$17=0,0,G13/B$17)</f>
        <v>6.4462809917355368E-2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392</v>
      </c>
      <c r="C14" s="39">
        <f>IF(B$3=0,0,B14/B$3)</f>
        <v>0.21862799776910205</v>
      </c>
      <c r="E14" s="63" t="s">
        <v>84</v>
      </c>
      <c r="F14" s="60" t="s">
        <v>39</v>
      </c>
      <c r="G14" s="47">
        <v>29</v>
      </c>
      <c r="H14" s="133">
        <f>IF(B$17=0,0,G14/B$17)</f>
        <v>4.7933884297520664E-2</v>
      </c>
      <c r="I14" s="94">
        <v>6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317</v>
      </c>
      <c r="C15" s="37">
        <f>IF(B$13=0,0,B15/B$13)</f>
        <v>0.58487084870848705</v>
      </c>
      <c r="E15" s="63" t="s">
        <v>180</v>
      </c>
      <c r="F15" s="60" t="s">
        <v>181</v>
      </c>
      <c r="G15" s="47">
        <v>25</v>
      </c>
      <c r="H15" s="133">
        <f>IF(B$17=0,0,G15/B$17)</f>
        <v>4.1322314049586778E-2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196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>IF(B$17=0,0,G16/B$17)</f>
        <v>2.4793388429752067E-2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0.33742331288343558</v>
      </c>
      <c r="E17" s="63" t="s">
        <v>92</v>
      </c>
      <c r="F17" s="60" t="s">
        <v>47</v>
      </c>
      <c r="G17" s="47">
        <v>14</v>
      </c>
      <c r="H17" s="133">
        <f>IF(B$17=0,0,G17/B$17)</f>
        <v>2.3140495867768594E-2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253</v>
      </c>
      <c r="C18" s="39">
        <f>IF(B$17=0,0,B18/B$17)</f>
        <v>0.41818181818181815</v>
      </c>
      <c r="E18" s="63" t="s">
        <v>82</v>
      </c>
      <c r="F18" s="60" t="s">
        <v>37</v>
      </c>
      <c r="G18" s="47">
        <v>12</v>
      </c>
      <c r="H18" s="133">
        <f>IF(B$17=0,0,G18/B$17)</f>
        <v>1.9834710743801654E-2</v>
      </c>
      <c r="I18" s="94">
        <v>10</v>
      </c>
      <c r="K18" s="38">
        <v>16</v>
      </c>
      <c r="L18" s="99">
        <v>425.50000000000006</v>
      </c>
      <c r="N18" s="115" t="s">
        <v>173</v>
      </c>
      <c r="O18" s="125">
        <f>IF(P18=0,0,Q18/P18)</f>
        <v>27.999999999999996</v>
      </c>
      <c r="P18" s="119">
        <v>29</v>
      </c>
      <c r="Q18" s="107">
        <v>811.99999999999989</v>
      </c>
    </row>
    <row r="19" spans="1:17" x14ac:dyDescent="0.4">
      <c r="A19" s="55" t="s">
        <v>11</v>
      </c>
      <c r="B19" s="47">
        <v>352</v>
      </c>
      <c r="C19" s="39">
        <f>IF(B$17=0,0,B19/B$17)</f>
        <v>0.58181818181818179</v>
      </c>
      <c r="E19" s="63" t="s">
        <v>80</v>
      </c>
      <c r="F19" s="60" t="s">
        <v>35</v>
      </c>
      <c r="G19" s="47">
        <v>9</v>
      </c>
      <c r="H19" s="133">
        <f>IF(B$17=0,0,G19/B$17)</f>
        <v>1.487603305785124E-2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27.732075471698106</v>
      </c>
      <c r="P19" s="119">
        <v>53</v>
      </c>
      <c r="Q19" s="107">
        <v>1469.7999999999997</v>
      </c>
    </row>
    <row r="20" spans="1:17" x14ac:dyDescent="0.4">
      <c r="A20" s="55" t="s">
        <v>13</v>
      </c>
      <c r="B20" s="47">
        <v>268</v>
      </c>
      <c r="C20" s="39">
        <f>IF(B$3=0,0,B20/B$3)</f>
        <v>0.14947016174010039</v>
      </c>
      <c r="E20" s="63" t="s">
        <v>86</v>
      </c>
      <c r="F20" s="60" t="s">
        <v>41</v>
      </c>
      <c r="G20" s="47">
        <v>6</v>
      </c>
      <c r="H20" s="133">
        <f>IF(B$17=0,0,G20/B$17)</f>
        <v>9.9173553719008271E-3</v>
      </c>
      <c r="I20" s="94">
        <v>2</v>
      </c>
      <c r="K20" s="38">
        <v>18</v>
      </c>
      <c r="L20" s="99">
        <v>429.3</v>
      </c>
      <c r="N20" s="115" t="s">
        <v>129</v>
      </c>
      <c r="O20" s="125">
        <f>IF(P20=0,0,Q20/P20)</f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4</v>
      </c>
      <c r="H21" s="133">
        <f>IF(B$17=0,0,G21/B$17)</f>
        <v>6.6115702479338841E-3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78</v>
      </c>
      <c r="F22" s="60" t="s">
        <v>33</v>
      </c>
      <c r="G22" s="47">
        <v>4</v>
      </c>
      <c r="H22" s="133">
        <f>IF(B$17=0,0,G22/B$17)</f>
        <v>6.6115702479338841E-3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>IF(P22=0,0,Q22/P22)</f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9240.6611570247933</v>
      </c>
      <c r="C23" s="41">
        <v>5590600</v>
      </c>
      <c r="E23" s="63" t="s">
        <v>93</v>
      </c>
      <c r="F23" s="60" t="s">
        <v>48</v>
      </c>
      <c r="G23" s="47">
        <v>4</v>
      </c>
      <c r="H23" s="133">
        <f>IF(B$17=0,0,G23/B$17)</f>
        <v>6.6115702479338841E-3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-1.911111111111113</v>
      </c>
      <c r="P23" s="119">
        <v>63</v>
      </c>
      <c r="Q23" s="107">
        <v>-120.40000000000012</v>
      </c>
    </row>
    <row r="24" spans="1:17" x14ac:dyDescent="0.4">
      <c r="A24" s="57" t="s">
        <v>14</v>
      </c>
      <c r="B24" s="52">
        <f>IF(B$20=0,0,C24/B$20)</f>
        <v>-8208.2089552238813</v>
      </c>
      <c r="C24" s="45">
        <v>-2199800</v>
      </c>
      <c r="E24" s="63" t="s">
        <v>91</v>
      </c>
      <c r="F24" s="60" t="s">
        <v>46</v>
      </c>
      <c r="G24" s="47">
        <v>3</v>
      </c>
      <c r="H24" s="133">
        <f>IF(B$17=0,0,G24/B$17)</f>
        <v>4.9586776859504135E-3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3.3057851239669421E-3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3.3057851239669421E-3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5.5772448410485224E-4</v>
      </c>
      <c r="E27" s="63" t="s">
        <v>76</v>
      </c>
      <c r="F27" s="60" t="s">
        <v>31</v>
      </c>
      <c r="G27" s="47">
        <v>1</v>
      </c>
      <c r="H27" s="133">
        <f>IF(B$17=0,0,G27/B$17)</f>
        <v>1.652892561983471E-3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1.652892561983471E-3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1.652892561983471E-3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1.652892561983471E-3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  <row r="221" spans="11:12" x14ac:dyDescent="0.4">
      <c r="K221" s="38">
        <v>219</v>
      </c>
      <c r="L221" s="99">
        <v>2746.9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39E4C-AD0B-49E4-8F12-894213E10DD9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>IF(B$17=0,0,G3/B$17)</f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>IF(B$17=0,0,G4/B$17)</f>
        <v>0.44474393530997303</v>
      </c>
      <c r="I4" s="94">
        <v>13</v>
      </c>
      <c r="K4" s="38">
        <v>2</v>
      </c>
      <c r="L4" s="99">
        <v>6.2999999999999972</v>
      </c>
      <c r="N4" s="115" t="s">
        <v>134</v>
      </c>
      <c r="O4" s="122">
        <f t="shared" si="0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>IF(B$17=0,0,G5/B$17)</f>
        <v>0.42318059299191374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>IF(B$17=0,0,G6/B$17)</f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1">IF(B$2=0,0,B7/B$2)</f>
        <v>0.26993865030674846</v>
      </c>
      <c r="E7" s="63" t="s">
        <v>69</v>
      </c>
      <c r="F7" s="60" t="s">
        <v>12</v>
      </c>
      <c r="G7" s="47">
        <v>133</v>
      </c>
      <c r="H7" s="133">
        <f>IF(B$17=0,0,G7/B$17)</f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1"/>
        <v>0.38036809815950923</v>
      </c>
      <c r="E8" s="63" t="s">
        <v>70</v>
      </c>
      <c r="F8" s="60" t="s">
        <v>25</v>
      </c>
      <c r="G8" s="47">
        <v>81</v>
      </c>
      <c r="H8" s="133">
        <f>IF(B$17=0,0,G8/B$17)</f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1"/>
        <v>0.34969325153374231</v>
      </c>
      <c r="E9" s="63" t="s">
        <v>66</v>
      </c>
      <c r="F9" s="60" t="s">
        <v>22</v>
      </c>
      <c r="G9" s="47">
        <v>52</v>
      </c>
      <c r="H9" s="133">
        <f>IF(B$17=0,0,G9/B$17)</f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1"/>
        <v>0.13496932515337423</v>
      </c>
      <c r="E10" s="63" t="s">
        <v>71</v>
      </c>
      <c r="F10" s="60" t="s">
        <v>26</v>
      </c>
      <c r="G10" s="47">
        <v>48</v>
      </c>
      <c r="H10" s="133">
        <f>IF(B$17=0,0,G10/B$17)</f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1"/>
        <v>9.815950920245399E-2</v>
      </c>
      <c r="E11" s="63" t="s">
        <v>90</v>
      </c>
      <c r="F11" s="60" t="s">
        <v>45</v>
      </c>
      <c r="G11" s="47">
        <v>43</v>
      </c>
      <c r="H11" s="133">
        <f>IF(B$17=0,0,G11/B$17)</f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1"/>
        <v>5.5214723926380369E-2</v>
      </c>
      <c r="E12" s="63" t="s">
        <v>87</v>
      </c>
      <c r="F12" s="60" t="s">
        <v>42</v>
      </c>
      <c r="G12" s="47">
        <v>20</v>
      </c>
      <c r="H12" s="133">
        <f>IF(B$17=0,0,G12/B$17)</f>
        <v>5.3908355795148251E-2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>IF(B$17=0,0,G13/B$17)</f>
        <v>4.8517520215633422E-2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>IF(B$17=0,0,G14/B$17)</f>
        <v>4.0431266846361183E-2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>IF(B$17=0,0,G15/B$17)</f>
        <v>2.9649595687331536E-2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>IF(B$17=0,0,G16/B$17)</f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>IF(B$17=0,0,G17/B$17)</f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>IF(P17=0,0,Q17/P17)</f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>IF(B$17=0,0,G18/B$17)</f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>IF(P18=0,0,Q18/P18)</f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>IF(B$17=0,0,G19/B$17)</f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>IF(P19=0,0,Q19/P19)</f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>IF(B$17=0,0,G20/B$17)</f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>IF(B$17=0,0,G22/B$17)</f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>IF(B$17=0,0,G23/B$17)</f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>IF(B$17=0,0,G24/B$17)</f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>IF(B$17=0,0,G27/B$17)</f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B150-7622-43B5-8F0E-9CCF34257D73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179</v>
      </c>
      <c r="C2" s="151"/>
      <c r="E2" s="62" t="s">
        <v>67</v>
      </c>
      <c r="F2" s="59" t="s">
        <v>23</v>
      </c>
      <c r="G2" s="46">
        <v>335</v>
      </c>
      <c r="H2" s="132">
        <f>IF(B$17=0,0,G2/B$17)</f>
        <v>0.80335731414868106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-1697.1910112359551</v>
      </c>
      <c r="P2" s="118">
        <v>178</v>
      </c>
      <c r="Q2" s="102">
        <v>-302100</v>
      </c>
    </row>
    <row r="3" spans="1:17" x14ac:dyDescent="0.4">
      <c r="A3" s="55" t="s">
        <v>8</v>
      </c>
      <c r="B3" s="152">
        <v>1508</v>
      </c>
      <c r="C3" s="153"/>
      <c r="E3" s="63" t="s">
        <v>65</v>
      </c>
      <c r="F3" s="60" t="s">
        <v>21</v>
      </c>
      <c r="G3" s="47">
        <v>191</v>
      </c>
      <c r="H3" s="133">
        <f>IF(B$17=0,0,G3/B$17)</f>
        <v>0.45803357314148679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0"/>
        <v>-1649.4252873563219</v>
      </c>
      <c r="P3" s="119">
        <v>174</v>
      </c>
      <c r="Q3" s="103">
        <v>-287000</v>
      </c>
    </row>
    <row r="4" spans="1:17" x14ac:dyDescent="0.4">
      <c r="A4" s="55" t="s">
        <v>6</v>
      </c>
      <c r="B4" s="154">
        <v>-1205.5000000000002</v>
      </c>
      <c r="C4" s="155"/>
      <c r="E4" s="63" t="s">
        <v>73</v>
      </c>
      <c r="F4" s="60" t="s">
        <v>28</v>
      </c>
      <c r="G4" s="47">
        <v>190</v>
      </c>
      <c r="H4" s="133">
        <f>IF(B$17=0,0,G4/B$17)</f>
        <v>0.45563549160671463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1036.1445783132531</v>
      </c>
      <c r="P4" s="119">
        <v>166</v>
      </c>
      <c r="Q4" s="103">
        <v>172000</v>
      </c>
    </row>
    <row r="5" spans="1:17" x14ac:dyDescent="0.4">
      <c r="A5" s="55" t="s">
        <v>7</v>
      </c>
      <c r="B5" s="156">
        <f>IF(B$2=0,0,B$4/B$2)</f>
        <v>-6.7346368715083811</v>
      </c>
      <c r="C5" s="157"/>
      <c r="E5" s="63" t="s">
        <v>245</v>
      </c>
      <c r="F5" s="60" t="s">
        <v>246</v>
      </c>
      <c r="G5" s="47">
        <v>160</v>
      </c>
      <c r="H5" s="133">
        <f>IF(B$17=0,0,G5/B$17)</f>
        <v>0.38369304556354916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-2514.6666666666665</v>
      </c>
      <c r="P5" s="119">
        <v>150</v>
      </c>
      <c r="Q5" s="103">
        <v>-377200</v>
      </c>
    </row>
    <row r="6" spans="1:17" x14ac:dyDescent="0.4">
      <c r="A6" s="55" t="s">
        <v>1</v>
      </c>
      <c r="B6" s="146">
        <f>IF(B$2=0,0,(B$7*1+B$8*2+B$9*3)/B$2)</f>
        <v>2.1061452513966481</v>
      </c>
      <c r="C6" s="147"/>
      <c r="E6" s="63" t="s">
        <v>69</v>
      </c>
      <c r="F6" s="60" t="s">
        <v>12</v>
      </c>
      <c r="G6" s="47">
        <v>136</v>
      </c>
      <c r="H6" s="133">
        <f>IF(B$17=0,0,G6/B$17)</f>
        <v>0.32613908872901681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147.40740740740742</v>
      </c>
      <c r="P6" s="119">
        <v>135</v>
      </c>
      <c r="Q6" s="103">
        <v>19900</v>
      </c>
    </row>
    <row r="7" spans="1:17" x14ac:dyDescent="0.4">
      <c r="A7" s="55" t="s">
        <v>2</v>
      </c>
      <c r="B7" s="47">
        <v>54</v>
      </c>
      <c r="C7" s="39">
        <f t="shared" ref="C7:C12" si="1">IF(B$2=0,0,B7/B$2)</f>
        <v>0.3016759776536313</v>
      </c>
      <c r="E7" s="63" t="s">
        <v>68</v>
      </c>
      <c r="F7" s="60" t="s">
        <v>24</v>
      </c>
      <c r="G7" s="47">
        <v>103</v>
      </c>
      <c r="H7" s="133">
        <f>IF(B$17=0,0,G7/B$17)</f>
        <v>0.24700239808153476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0"/>
        <v>-552.54237288135596</v>
      </c>
      <c r="P7" s="120">
        <v>118</v>
      </c>
      <c r="Q7" s="104">
        <v>-65200</v>
      </c>
    </row>
    <row r="8" spans="1:17" x14ac:dyDescent="0.4">
      <c r="A8" s="55" t="s">
        <v>3</v>
      </c>
      <c r="B8" s="47">
        <v>52</v>
      </c>
      <c r="C8" s="39">
        <f t="shared" si="1"/>
        <v>0.29050279329608941</v>
      </c>
      <c r="E8" s="63" t="s">
        <v>70</v>
      </c>
      <c r="F8" s="60" t="s">
        <v>25</v>
      </c>
      <c r="G8" s="47">
        <v>61</v>
      </c>
      <c r="H8" s="133">
        <f>IF(B$17=0,0,G8/B$17)</f>
        <v>0.14628297362110312</v>
      </c>
      <c r="I8" s="94">
        <v>10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73</v>
      </c>
      <c r="C9" s="40">
        <f t="shared" si="1"/>
        <v>0.40782122905027934</v>
      </c>
      <c r="E9" s="63" t="s">
        <v>71</v>
      </c>
      <c r="F9" s="60" t="s">
        <v>26</v>
      </c>
      <c r="G9" s="47">
        <v>61</v>
      </c>
      <c r="H9" s="133">
        <f>IF(B$17=0,0,G9/B$17)</f>
        <v>0.14628297362110312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25</v>
      </c>
      <c r="C10" s="40">
        <f t="shared" si="1"/>
        <v>0.13966480446927373</v>
      </c>
      <c r="E10" s="63" t="s">
        <v>90</v>
      </c>
      <c r="F10" s="60" t="s">
        <v>45</v>
      </c>
      <c r="G10" s="47">
        <v>49</v>
      </c>
      <c r="H10" s="133">
        <f>IF(B$17=0,0,G10/B$17)</f>
        <v>0.11750599520383694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-12.033999999999994</v>
      </c>
      <c r="P10" s="118">
        <v>50</v>
      </c>
      <c r="Q10" s="106">
        <v>-601.6999999999997</v>
      </c>
    </row>
    <row r="11" spans="1:17" x14ac:dyDescent="0.4">
      <c r="A11" s="56" t="s">
        <v>140</v>
      </c>
      <c r="B11" s="48">
        <v>19</v>
      </c>
      <c r="C11" s="40">
        <f t="shared" si="1"/>
        <v>0.10614525139664804</v>
      </c>
      <c r="E11" s="63" t="s">
        <v>72</v>
      </c>
      <c r="F11" s="60" t="s">
        <v>27</v>
      </c>
      <c r="G11" s="47">
        <v>41</v>
      </c>
      <c r="H11" s="133">
        <f>IF(B$17=0,0,G11/B$17)</f>
        <v>9.8321342925659472E-2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-4.5333333333333359</v>
      </c>
      <c r="P11" s="119">
        <v>63</v>
      </c>
      <c r="Q11" s="107">
        <v>-285.60000000000014</v>
      </c>
    </row>
    <row r="12" spans="1:17" x14ac:dyDescent="0.4">
      <c r="A12" s="57" t="s">
        <v>160</v>
      </c>
      <c r="B12" s="49">
        <v>17</v>
      </c>
      <c r="C12" s="42">
        <f t="shared" si="1"/>
        <v>9.4972067039106142E-2</v>
      </c>
      <c r="E12" s="63" t="s">
        <v>66</v>
      </c>
      <c r="F12" s="60" t="s">
        <v>22</v>
      </c>
      <c r="G12" s="47">
        <v>36</v>
      </c>
      <c r="H12" s="133">
        <f>IF(B$17=0,0,G12/B$17)</f>
        <v>8.6330935251798566E-2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-4.8212121212121186</v>
      </c>
      <c r="P12" s="120">
        <v>66</v>
      </c>
      <c r="Q12" s="108">
        <v>-318.19999999999982</v>
      </c>
    </row>
    <row r="13" spans="1:17" x14ac:dyDescent="0.4">
      <c r="A13" s="58" t="s">
        <v>122</v>
      </c>
      <c r="B13" s="50">
        <v>370</v>
      </c>
      <c r="C13" s="44">
        <f>IF(B$3=0,0,B13/B$3)</f>
        <v>0.24535809018567639</v>
      </c>
      <c r="E13" s="63" t="s">
        <v>87</v>
      </c>
      <c r="F13" s="60" t="s">
        <v>42</v>
      </c>
      <c r="G13" s="47">
        <v>22</v>
      </c>
      <c r="H13" s="133">
        <f>IF(B$17=0,0,G13/B$17)</f>
        <v>5.2757793764988008E-2</v>
      </c>
      <c r="I13" s="94">
        <v>10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305</v>
      </c>
      <c r="C14" s="39">
        <f>IF(B$3=0,0,B14/B$3)</f>
        <v>0.20225464190981432</v>
      </c>
      <c r="E14" s="63" t="s">
        <v>84</v>
      </c>
      <c r="F14" s="60" t="s">
        <v>39</v>
      </c>
      <c r="G14" s="47">
        <v>16</v>
      </c>
      <c r="H14" s="133">
        <f>IF(B$17=0,0,G14/B$17)</f>
        <v>3.8369304556354913E-2</v>
      </c>
      <c r="I14" s="94">
        <v>11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0.54054054054054057</v>
      </c>
      <c r="E15" s="63" t="s">
        <v>79</v>
      </c>
      <c r="F15" s="60" t="s">
        <v>34</v>
      </c>
      <c r="G15" s="47">
        <v>12</v>
      </c>
      <c r="H15" s="133">
        <f>IF(B$17=0,0,G15/B$17)</f>
        <v>2.8776978417266189E-2</v>
      </c>
      <c r="I15" s="94">
        <v>6</v>
      </c>
      <c r="K15" s="38">
        <v>13</v>
      </c>
      <c r="L15" s="99">
        <v>-369.1</v>
      </c>
      <c r="N15" s="114" t="s">
        <v>223</v>
      </c>
      <c r="O15" s="124">
        <f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109</v>
      </c>
      <c r="C16" s="37">
        <f>IF(B$14=0,0,B16/B$14)</f>
        <v>0.35737704918032787</v>
      </c>
      <c r="E16" s="63" t="s">
        <v>82</v>
      </c>
      <c r="F16" s="60" t="s">
        <v>37</v>
      </c>
      <c r="G16" s="47">
        <v>11</v>
      </c>
      <c r="H16" s="133">
        <f>IF(B$17=0,0,G16/B$17)</f>
        <v>2.6378896882494004E-2</v>
      </c>
      <c r="I16" s="94">
        <v>6</v>
      </c>
      <c r="K16" s="38">
        <v>14</v>
      </c>
      <c r="L16" s="99">
        <v>-394.6</v>
      </c>
      <c r="N16" s="115" t="s">
        <v>271</v>
      </c>
      <c r="O16" s="125">
        <f>IF(P16=0,0,Q16/P16)</f>
        <v>38.15</v>
      </c>
      <c r="P16" s="119">
        <v>6</v>
      </c>
      <c r="Q16" s="107">
        <v>228.89999999999998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0.27652519893899202</v>
      </c>
      <c r="E17" s="63" t="s">
        <v>78</v>
      </c>
      <c r="F17" s="60" t="s">
        <v>33</v>
      </c>
      <c r="G17" s="47">
        <v>6</v>
      </c>
      <c r="H17" s="133">
        <f>IF(B$17=0,0,G17/B$17)</f>
        <v>1.4388489208633094E-2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174</v>
      </c>
      <c r="C18" s="39">
        <f>IF(B$17=0,0,B18/B$17)</f>
        <v>0.41726618705035973</v>
      </c>
      <c r="E18" s="63" t="s">
        <v>80</v>
      </c>
      <c r="F18" s="60" t="s">
        <v>35</v>
      </c>
      <c r="G18" s="47">
        <v>6</v>
      </c>
      <c r="H18" s="133">
        <f>IF(B$17=0,0,G18/B$17)</f>
        <v>1.4388489208633094E-2</v>
      </c>
      <c r="I18" s="94">
        <v>10</v>
      </c>
      <c r="K18" s="38">
        <v>16</v>
      </c>
      <c r="L18" s="99">
        <v>-472</v>
      </c>
      <c r="N18" s="115" t="s">
        <v>301</v>
      </c>
      <c r="O18" s="125">
        <f>IF(P18=0,0,Q18/P18)</f>
        <v>5.75</v>
      </c>
      <c r="P18" s="119">
        <v>4</v>
      </c>
      <c r="Q18" s="107">
        <v>23</v>
      </c>
    </row>
    <row r="19" spans="1:17" x14ac:dyDescent="0.4">
      <c r="A19" s="55" t="s">
        <v>11</v>
      </c>
      <c r="B19" s="47">
        <v>243</v>
      </c>
      <c r="C19" s="39">
        <f>IF(B$17=0,0,B19/B$17)</f>
        <v>0.58273381294964033</v>
      </c>
      <c r="E19" s="63" t="s">
        <v>92</v>
      </c>
      <c r="F19" s="60" t="s">
        <v>47</v>
      </c>
      <c r="G19" s="47">
        <v>5</v>
      </c>
      <c r="H19" s="133">
        <f>IF(B$17=0,0,G19/B$17)</f>
        <v>1.1990407673860911E-2</v>
      </c>
      <c r="I19" s="94">
        <v>9</v>
      </c>
      <c r="K19" s="38">
        <v>17</v>
      </c>
      <c r="L19" s="99">
        <v>-538.29999999999995</v>
      </c>
      <c r="N19" s="115" t="s">
        <v>177</v>
      </c>
      <c r="O19" s="125">
        <f>IF(P19=0,0,Q19/P19)</f>
        <v>0.19666666666666779</v>
      </c>
      <c r="P19" s="119">
        <v>60</v>
      </c>
      <c r="Q19" s="107">
        <v>11.800000000000068</v>
      </c>
    </row>
    <row r="20" spans="1:17" x14ac:dyDescent="0.4">
      <c r="A20" s="55" t="s">
        <v>13</v>
      </c>
      <c r="B20" s="47">
        <v>260</v>
      </c>
      <c r="C20" s="39">
        <f>IF(B$3=0,0,B20/B$3)</f>
        <v>0.17241379310344829</v>
      </c>
      <c r="E20" s="63" t="s">
        <v>75</v>
      </c>
      <c r="F20" s="60" t="s">
        <v>30</v>
      </c>
      <c r="G20" s="47">
        <v>3</v>
      </c>
      <c r="H20" s="133">
        <f>IF(B$17=0,0,G20/B$17)</f>
        <v>7.1942446043165471E-3</v>
      </c>
      <c r="I20" s="94">
        <v>3</v>
      </c>
      <c r="K20" s="38">
        <v>18</v>
      </c>
      <c r="L20" s="99">
        <v>-537.19999999999993</v>
      </c>
      <c r="N20" s="115" t="s">
        <v>173</v>
      </c>
      <c r="O20" s="125">
        <f>IF(P20=0,0,Q20/P20)</f>
        <v>-1.1117647058823463</v>
      </c>
      <c r="P20" s="119">
        <v>17</v>
      </c>
      <c r="Q20" s="107">
        <v>-18.899999999999888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7.1942446043165471E-3</v>
      </c>
      <c r="I21" s="94">
        <v>5</v>
      </c>
      <c r="K21" s="38">
        <v>19</v>
      </c>
      <c r="L21" s="99">
        <v>-569.49999999999989</v>
      </c>
      <c r="N21" s="115" t="s">
        <v>128</v>
      </c>
      <c r="O21" s="125">
        <f>IF(P21=0,0,Q21/P21)</f>
        <v>-2.8089552238805964</v>
      </c>
      <c r="P21" s="119">
        <v>67</v>
      </c>
      <c r="Q21" s="107">
        <v>-188.19999999999996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>IF(B$17=0,0,G22/B$17)</f>
        <v>7.1942446043165471E-3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>IF(P22=0,0,Q22/P22)</f>
        <v>-16.480952380952374</v>
      </c>
      <c r="P22" s="119">
        <v>42</v>
      </c>
      <c r="Q22" s="107">
        <v>-692.1999999999997</v>
      </c>
    </row>
    <row r="23" spans="1:17" x14ac:dyDescent="0.4">
      <c r="A23" s="55" t="s">
        <v>5</v>
      </c>
      <c r="B23" s="51">
        <f>IF(B$17=0,0,C23/B$17)</f>
        <v>8105.035971223022</v>
      </c>
      <c r="C23" s="41">
        <v>3379800</v>
      </c>
      <c r="E23" s="63" t="s">
        <v>85</v>
      </c>
      <c r="F23" s="60" t="s">
        <v>40</v>
      </c>
      <c r="G23" s="47">
        <v>2</v>
      </c>
      <c r="H23" s="133">
        <f>IF(B$17=0,0,G23/B$17)</f>
        <v>4.7961630695443642E-3</v>
      </c>
      <c r="I23" s="94">
        <v>2</v>
      </c>
      <c r="K23" s="38">
        <v>21</v>
      </c>
      <c r="L23" s="99">
        <v>-629.49999999999989</v>
      </c>
      <c r="N23" s="115" t="s">
        <v>172</v>
      </c>
      <c r="O23" s="125">
        <f>IF(P23=0,0,Q23/P23)</f>
        <v>-21.449999999999996</v>
      </c>
      <c r="P23" s="119">
        <v>38</v>
      </c>
      <c r="Q23" s="107">
        <v>-815.0999999999998</v>
      </c>
    </row>
    <row r="24" spans="1:17" x14ac:dyDescent="0.4">
      <c r="A24" s="57" t="s">
        <v>14</v>
      </c>
      <c r="B24" s="52">
        <f>IF(B$20=0,0,C24/B$20)</f>
        <v>-8398.8461538461543</v>
      </c>
      <c r="C24" s="45">
        <v>-2183700</v>
      </c>
      <c r="E24" s="63" t="s">
        <v>94</v>
      </c>
      <c r="F24" s="60" t="s">
        <v>49</v>
      </c>
      <c r="G24" s="47">
        <v>2</v>
      </c>
      <c r="H24" s="133">
        <f>IF(B$17=0,0,G24/B$17)</f>
        <v>4.7961630695443642E-3</v>
      </c>
      <c r="I24" s="94">
        <v>1</v>
      </c>
      <c r="K24" s="38">
        <v>22</v>
      </c>
      <c r="L24" s="99">
        <v>-670.19999999999993</v>
      </c>
      <c r="N24" s="115" t="s">
        <v>127</v>
      </c>
      <c r="O24" s="125">
        <f>IF(P24=0,0,Q24/P24)</f>
        <v>-21.925000000000015</v>
      </c>
      <c r="P24" s="119">
        <v>108</v>
      </c>
      <c r="Q24" s="107">
        <v>-2367.9000000000015</v>
      </c>
    </row>
    <row r="25" spans="1:17" x14ac:dyDescent="0.4">
      <c r="A25" s="90" t="s">
        <v>142</v>
      </c>
      <c r="B25" s="144">
        <v>7</v>
      </c>
      <c r="C25" s="145"/>
      <c r="E25" s="63" t="s">
        <v>180</v>
      </c>
      <c r="F25" s="60" t="s">
        <v>181</v>
      </c>
      <c r="G25" s="47">
        <v>2</v>
      </c>
      <c r="H25" s="133">
        <f>IF(B$17=0,0,G25/B$17)</f>
        <v>4.7961630695443642E-3</v>
      </c>
      <c r="I25" s="94">
        <v>7</v>
      </c>
      <c r="K25" s="38">
        <v>23</v>
      </c>
      <c r="L25" s="99">
        <v>-737.19999999999993</v>
      </c>
      <c r="N25" s="115" t="s">
        <v>184</v>
      </c>
      <c r="O25" s="125">
        <f>IF(P25=0,0,Q25/P25)</f>
        <v>-30.849999999999998</v>
      </c>
      <c r="P25" s="119">
        <v>6</v>
      </c>
      <c r="Q25" s="107">
        <v>-185.1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1</v>
      </c>
      <c r="H26" s="133">
        <f>IF(B$17=0,0,G26/B$17)</f>
        <v>2.3980815347721821E-3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1.9893899204244032E-3</v>
      </c>
      <c r="E27" s="63" t="s">
        <v>86</v>
      </c>
      <c r="F27" s="60" t="s">
        <v>41</v>
      </c>
      <c r="G27" s="47">
        <v>1</v>
      </c>
      <c r="H27" s="133">
        <f>IF(B$17=0,0,G27/B$17)</f>
        <v>2.3980815347721821E-3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89</v>
      </c>
      <c r="F28" s="60" t="s">
        <v>44</v>
      </c>
      <c r="G28" s="47">
        <v>1</v>
      </c>
      <c r="H28" s="133">
        <f>IF(B$17=0,0,G28/B$17)</f>
        <v>2.3980815347721821E-3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93</v>
      </c>
      <c r="F29" s="60" t="s">
        <v>48</v>
      </c>
      <c r="G29" s="47">
        <v>1</v>
      </c>
      <c r="H29" s="133">
        <f>IF(B$17=0,0,G29/B$17)</f>
        <v>2.3980815347721821E-3</v>
      </c>
      <c r="I29" s="94">
        <v>6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  <row r="174" spans="11:12" x14ac:dyDescent="0.4">
      <c r="K174" s="38">
        <v>172</v>
      </c>
      <c r="L174" s="99">
        <v>-1065.8999999999999</v>
      </c>
    </row>
    <row r="175" spans="11:12" x14ac:dyDescent="0.4">
      <c r="K175" s="38">
        <v>173</v>
      </c>
      <c r="L175" s="99">
        <v>-1064.8</v>
      </c>
    </row>
    <row r="176" spans="11:12" x14ac:dyDescent="0.4">
      <c r="K176" s="38">
        <v>174</v>
      </c>
      <c r="L176" s="99">
        <v>-1090.0999999999999</v>
      </c>
    </row>
    <row r="177" spans="11:12" x14ac:dyDescent="0.4">
      <c r="K177" s="38">
        <v>175</v>
      </c>
      <c r="L177" s="99">
        <v>-1146.0999999999999</v>
      </c>
    </row>
    <row r="178" spans="11:12" x14ac:dyDescent="0.4">
      <c r="K178" s="38">
        <v>176</v>
      </c>
      <c r="L178" s="99">
        <v>-1142.5</v>
      </c>
    </row>
    <row r="179" spans="11:12" x14ac:dyDescent="0.4">
      <c r="K179" s="38">
        <v>177</v>
      </c>
      <c r="L179" s="99">
        <v>-1194.4000000000001</v>
      </c>
    </row>
    <row r="180" spans="11:12" x14ac:dyDescent="0.4">
      <c r="K180" s="38">
        <v>178</v>
      </c>
      <c r="L180" s="99">
        <v>-1166.8000000000002</v>
      </c>
    </row>
    <row r="181" spans="11:12" x14ac:dyDescent="0.4">
      <c r="K181" s="38">
        <v>179</v>
      </c>
      <c r="L181" s="99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5EA57-AC21-4A4F-AA9C-4517EE17E758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110</v>
      </c>
      <c r="C2" s="151"/>
      <c r="E2" s="62" t="s">
        <v>67</v>
      </c>
      <c r="F2" s="59" t="s">
        <v>23</v>
      </c>
      <c r="G2" s="46">
        <v>208</v>
      </c>
      <c r="H2" s="132">
        <f>IF(B$17=0,0,G2/B$17)</f>
        <v>0.78490566037735854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1039.090909090909</v>
      </c>
      <c r="P2" s="118">
        <v>110</v>
      </c>
      <c r="Q2" s="102">
        <v>114300</v>
      </c>
    </row>
    <row r="3" spans="1:17" x14ac:dyDescent="0.4">
      <c r="A3" s="55" t="s">
        <v>8</v>
      </c>
      <c r="B3" s="152">
        <v>914</v>
      </c>
      <c r="C3" s="153"/>
      <c r="E3" s="63" t="s">
        <v>73</v>
      </c>
      <c r="F3" s="60" t="s">
        <v>28</v>
      </c>
      <c r="G3" s="47">
        <v>148</v>
      </c>
      <c r="H3" s="133">
        <f>IF(B$17=0,0,G3/B$17)</f>
        <v>0.55849056603773584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781.30841121495325</v>
      </c>
      <c r="P3" s="119">
        <v>107</v>
      </c>
      <c r="Q3" s="103">
        <v>83600</v>
      </c>
    </row>
    <row r="4" spans="1:17" x14ac:dyDescent="0.4">
      <c r="A4" s="55" t="s">
        <v>6</v>
      </c>
      <c r="B4" s="154">
        <v>135.29999999999998</v>
      </c>
      <c r="C4" s="155"/>
      <c r="E4" s="63" t="s">
        <v>65</v>
      </c>
      <c r="F4" s="60" t="s">
        <v>21</v>
      </c>
      <c r="G4" s="47">
        <v>137</v>
      </c>
      <c r="H4" s="133">
        <f>IF(B$17=0,0,G4/B$17)</f>
        <v>0.51698113207547169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1439.795918367347</v>
      </c>
      <c r="P4" s="119">
        <v>98</v>
      </c>
      <c r="Q4" s="103">
        <v>141100</v>
      </c>
    </row>
    <row r="5" spans="1:17" x14ac:dyDescent="0.4">
      <c r="A5" s="55" t="s">
        <v>7</v>
      </c>
      <c r="B5" s="156">
        <f>IF(B$2=0,0,B$4/B$2)</f>
        <v>1.2299999999999998</v>
      </c>
      <c r="C5" s="157"/>
      <c r="E5" s="63" t="s">
        <v>245</v>
      </c>
      <c r="F5" s="60" t="s">
        <v>246</v>
      </c>
      <c r="G5" s="47">
        <v>108</v>
      </c>
      <c r="H5" s="133">
        <f>IF(B$17=0,0,G5/B$17)</f>
        <v>0.40754716981132078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-250.57471264367817</v>
      </c>
      <c r="P5" s="119">
        <v>87</v>
      </c>
      <c r="Q5" s="103">
        <v>-21800</v>
      </c>
    </row>
    <row r="6" spans="1:17" x14ac:dyDescent="0.4">
      <c r="A6" s="55" t="s">
        <v>1</v>
      </c>
      <c r="B6" s="146">
        <f>IF(B$2=0,0,(B$7*1+B$8*2+B$9*3)/B$2)</f>
        <v>2.0181818181818181</v>
      </c>
      <c r="C6" s="147"/>
      <c r="E6" s="63" t="s">
        <v>68</v>
      </c>
      <c r="F6" s="60" t="s">
        <v>24</v>
      </c>
      <c r="G6" s="47">
        <v>88</v>
      </c>
      <c r="H6" s="133">
        <f>IF(B$17=0,0,G6/B$17)</f>
        <v>0.33207547169811319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-1970.5128205128206</v>
      </c>
      <c r="P6" s="119">
        <v>78</v>
      </c>
      <c r="Q6" s="103">
        <v>-153700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0.31818181818181818</v>
      </c>
      <c r="E7" s="63" t="s">
        <v>69</v>
      </c>
      <c r="F7" s="60" t="s">
        <v>12</v>
      </c>
      <c r="G7" s="47">
        <v>78</v>
      </c>
      <c r="H7" s="133">
        <f>IF(B$17=0,0,G7/B$17)</f>
        <v>0.29433962264150942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-242.25352112676057</v>
      </c>
      <c r="P7" s="120">
        <v>71</v>
      </c>
      <c r="Q7" s="104">
        <v>-17200</v>
      </c>
    </row>
    <row r="8" spans="1:17" x14ac:dyDescent="0.4">
      <c r="A8" s="55" t="s">
        <v>3</v>
      </c>
      <c r="B8" s="47">
        <v>38</v>
      </c>
      <c r="C8" s="39">
        <f t="shared" si="1"/>
        <v>0.34545454545454546</v>
      </c>
      <c r="E8" s="63" t="s">
        <v>70</v>
      </c>
      <c r="F8" s="60" t="s">
        <v>25</v>
      </c>
      <c r="G8" s="47">
        <v>49</v>
      </c>
      <c r="H8" s="133">
        <f>IF(B$17=0,0,G8/B$17)</f>
        <v>0.18490566037735848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1"/>
        <v>0.33636363636363636</v>
      </c>
      <c r="E9" s="63" t="s">
        <v>90</v>
      </c>
      <c r="F9" s="60" t="s">
        <v>45</v>
      </c>
      <c r="G9" s="47">
        <v>44</v>
      </c>
      <c r="H9" s="133">
        <f>IF(B$17=0,0,G9/B$17)</f>
        <v>0.16603773584905659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1"/>
        <v>0.1</v>
      </c>
      <c r="E10" s="63" t="s">
        <v>66</v>
      </c>
      <c r="F10" s="60" t="s">
        <v>22</v>
      </c>
      <c r="G10" s="47">
        <v>30</v>
      </c>
      <c r="H10" s="133">
        <f>IF(B$17=0,0,G10/B$17)</f>
        <v>0.11320754716981132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3.92</v>
      </c>
      <c r="P10" s="118">
        <v>30</v>
      </c>
      <c r="Q10" s="106">
        <v>117.6</v>
      </c>
    </row>
    <row r="11" spans="1:17" x14ac:dyDescent="0.4">
      <c r="A11" s="56" t="s">
        <v>140</v>
      </c>
      <c r="B11" s="48">
        <v>16</v>
      </c>
      <c r="C11" s="40">
        <f t="shared" si="1"/>
        <v>0.14545454545454545</v>
      </c>
      <c r="E11" s="63" t="s">
        <v>71</v>
      </c>
      <c r="F11" s="60" t="s">
        <v>26</v>
      </c>
      <c r="G11" s="47">
        <v>26</v>
      </c>
      <c r="H11" s="133">
        <f>IF(B$17=0,0,G11/B$17)</f>
        <v>9.8113207547169817E-2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-1.1846153846153833</v>
      </c>
      <c r="P11" s="119">
        <v>39</v>
      </c>
      <c r="Q11" s="107">
        <v>-46.199999999999946</v>
      </c>
    </row>
    <row r="12" spans="1:17" x14ac:dyDescent="0.4">
      <c r="A12" s="57" t="s">
        <v>160</v>
      </c>
      <c r="B12" s="49">
        <v>7</v>
      </c>
      <c r="C12" s="42">
        <f t="shared" si="1"/>
        <v>6.363636363636363E-2</v>
      </c>
      <c r="E12" s="63" t="s">
        <v>87</v>
      </c>
      <c r="F12" s="60" t="s">
        <v>42</v>
      </c>
      <c r="G12" s="47">
        <v>20</v>
      </c>
      <c r="H12" s="133">
        <f>IF(B$17=0,0,G12/B$17)</f>
        <v>7.5471698113207544E-2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1.5585365853658537</v>
      </c>
      <c r="P12" s="120">
        <v>41</v>
      </c>
      <c r="Q12" s="108">
        <v>63.9</v>
      </c>
    </row>
    <row r="13" spans="1:17" x14ac:dyDescent="0.4">
      <c r="A13" s="58" t="s">
        <v>122</v>
      </c>
      <c r="B13" s="50">
        <v>259</v>
      </c>
      <c r="C13" s="44">
        <f>IF(B$3=0,0,B13/B$3)</f>
        <v>0.28336980306345733</v>
      </c>
      <c r="E13" s="63" t="s">
        <v>72</v>
      </c>
      <c r="F13" s="60" t="s">
        <v>27</v>
      </c>
      <c r="G13" s="47">
        <v>16</v>
      </c>
      <c r="H13" s="133">
        <f>IF(B$17=0,0,G13/B$17)</f>
        <v>6.0377358490566038E-2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0.19803063457330417</v>
      </c>
      <c r="E14" s="63" t="s">
        <v>79</v>
      </c>
      <c r="F14" s="60" t="s">
        <v>34</v>
      </c>
      <c r="G14" s="47">
        <v>12</v>
      </c>
      <c r="H14" s="133">
        <f>IF(B$17=0,0,G14/B$17)</f>
        <v>4.5283018867924525E-2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84</v>
      </c>
      <c r="F15" s="60" t="s">
        <v>39</v>
      </c>
      <c r="G15" s="47">
        <v>11</v>
      </c>
      <c r="H15" s="133">
        <f>IF(B$17=0,0,G15/B$17)</f>
        <v>4.1509433962264149E-2</v>
      </c>
      <c r="I15" s="94">
        <v>9</v>
      </c>
      <c r="K15" s="38">
        <v>13</v>
      </c>
      <c r="L15" s="99">
        <v>-58.7</v>
      </c>
      <c r="N15" s="114" t="s">
        <v>184</v>
      </c>
      <c r="O15" s="124">
        <f>IF(P15=0,0,Q15/P15)</f>
        <v>18.200000000000003</v>
      </c>
      <c r="P15" s="118">
        <v>4</v>
      </c>
      <c r="Q15" s="106">
        <v>72.800000000000011</v>
      </c>
    </row>
    <row r="16" spans="1:17" x14ac:dyDescent="0.4">
      <c r="A16" s="54" t="s">
        <v>125</v>
      </c>
      <c r="B16" s="46">
        <v>74</v>
      </c>
      <c r="C16" s="37">
        <f>IF(B$14=0,0,B16/B$14)</f>
        <v>0.40883977900552487</v>
      </c>
      <c r="E16" s="63" t="s">
        <v>92</v>
      </c>
      <c r="F16" s="60" t="s">
        <v>47</v>
      </c>
      <c r="G16" s="47">
        <v>10</v>
      </c>
      <c r="H16" s="133">
        <f>IF(B$17=0,0,G16/B$17)</f>
        <v>3.7735849056603772E-2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16.48095238095237</v>
      </c>
      <c r="P16" s="119">
        <v>42</v>
      </c>
      <c r="Q16" s="107">
        <v>692.19999999999959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0.28993435448577681</v>
      </c>
      <c r="E17" s="63" t="s">
        <v>82</v>
      </c>
      <c r="F17" s="60" t="s">
        <v>37</v>
      </c>
      <c r="G17" s="47">
        <v>8</v>
      </c>
      <c r="H17" s="133">
        <f>IF(B$17=0,0,G17/B$17)</f>
        <v>3.0188679245283019E-2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>IF(P17=0,0,Q17/P17)</f>
        <v>13.94210526315789</v>
      </c>
      <c r="P17" s="119">
        <v>19</v>
      </c>
      <c r="Q17" s="107">
        <v>264.89999999999992</v>
      </c>
    </row>
    <row r="18" spans="1:17" x14ac:dyDescent="0.4">
      <c r="A18" s="55" t="s">
        <v>12</v>
      </c>
      <c r="B18" s="47">
        <v>107</v>
      </c>
      <c r="C18" s="39">
        <f>IF(B$17=0,0,B18/B$17)</f>
        <v>0.4037735849056604</v>
      </c>
      <c r="E18" s="63" t="s">
        <v>80</v>
      </c>
      <c r="F18" s="60" t="s">
        <v>35</v>
      </c>
      <c r="G18" s="47">
        <v>6</v>
      </c>
      <c r="H18" s="133">
        <f>IF(B$17=0,0,G18/B$17)</f>
        <v>2.2641509433962263E-2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158</v>
      </c>
      <c r="C19" s="39">
        <f>IF(B$17=0,0,B19/B$17)</f>
        <v>0.5962264150943396</v>
      </c>
      <c r="E19" s="63" t="s">
        <v>180</v>
      </c>
      <c r="F19" s="60" t="s">
        <v>181</v>
      </c>
      <c r="G19" s="47">
        <v>6</v>
      </c>
      <c r="H19" s="133">
        <f>IF(B$17=0,0,G19/B$17)</f>
        <v>2.2641509433962263E-2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1.9111111111111136</v>
      </c>
      <c r="P19" s="119">
        <v>63</v>
      </c>
      <c r="Q19" s="107">
        <v>120.40000000000016</v>
      </c>
    </row>
    <row r="20" spans="1:17" x14ac:dyDescent="0.4">
      <c r="A20" s="55" t="s">
        <v>13</v>
      </c>
      <c r="B20" s="47">
        <v>163</v>
      </c>
      <c r="C20" s="39">
        <f>IF(B$3=0,0,B20/B$3)</f>
        <v>0.17833698030634573</v>
      </c>
      <c r="E20" s="63" t="s">
        <v>74</v>
      </c>
      <c r="F20" s="60" t="s">
        <v>29</v>
      </c>
      <c r="G20" s="47">
        <v>3</v>
      </c>
      <c r="H20" s="133">
        <f>IF(B$17=0,0,G20/B$17)</f>
        <v>1.1320754716981131E-2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>IF(P20=0,0,Q20/P20)</f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1.1320754716981131E-2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78</v>
      </c>
      <c r="F22" s="60" t="s">
        <v>33</v>
      </c>
      <c r="G22" s="47">
        <v>3</v>
      </c>
      <c r="H22" s="133">
        <f>IF(B$17=0,0,G22/B$17)</f>
        <v>1.1320754716981131E-2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-30.444000000000003</v>
      </c>
      <c r="P22" s="119">
        <v>25</v>
      </c>
      <c r="Q22" s="107">
        <v>-761.1</v>
      </c>
    </row>
    <row r="23" spans="1:17" x14ac:dyDescent="0.4">
      <c r="A23" s="55" t="s">
        <v>5</v>
      </c>
      <c r="B23" s="51">
        <f>IF(B$17=0,0,C23/B$17)</f>
        <v>10015.094339622641</v>
      </c>
      <c r="C23" s="41">
        <v>2654000</v>
      </c>
      <c r="E23" s="63" t="s">
        <v>93</v>
      </c>
      <c r="F23" s="60" t="s">
        <v>48</v>
      </c>
      <c r="G23" s="47">
        <v>3</v>
      </c>
      <c r="H23" s="133">
        <f>IF(B$17=0,0,G23/B$17)</f>
        <v>1.1320754716981131E-2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-8357.6687116564426</v>
      </c>
      <c r="C24" s="45">
        <v>-1362300</v>
      </c>
      <c r="E24" s="63" t="s">
        <v>85</v>
      </c>
      <c r="F24" s="60" t="s">
        <v>40</v>
      </c>
      <c r="G24" s="47">
        <v>2</v>
      </c>
      <c r="H24" s="133">
        <f>IF(B$17=0,0,G24/B$17)</f>
        <v>7.5471698113207548E-3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3.7735849056603774E-3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3.7735849056603774E-3</v>
      </c>
      <c r="I26" s="94">
        <v>2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2.1881838074398249E-3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197.1</v>
      </c>
    </row>
    <row r="110" spans="11:12" x14ac:dyDescent="0.4">
      <c r="K110" s="38">
        <v>108</v>
      </c>
      <c r="L110" s="99">
        <v>180</v>
      </c>
    </row>
    <row r="111" spans="11:12" x14ac:dyDescent="0.4">
      <c r="K111" s="38">
        <v>109</v>
      </c>
      <c r="L111" s="99">
        <v>166.1</v>
      </c>
    </row>
    <row r="112" spans="11:12" x14ac:dyDescent="0.4">
      <c r="K112" s="38">
        <v>110</v>
      </c>
      <c r="L112" s="99">
        <v>135.29999999999998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4945-0EE6-4F90-A0BB-951BD4403628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105</v>
      </c>
      <c r="C2" s="151"/>
      <c r="E2" s="62" t="s">
        <v>67</v>
      </c>
      <c r="F2" s="59" t="s">
        <v>23</v>
      </c>
      <c r="G2" s="46">
        <v>190</v>
      </c>
      <c r="H2" s="132">
        <f>IF(B$17=0,0,G2/B$17)</f>
        <v>0.64189189189189189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37.142857142857146</v>
      </c>
      <c r="P2" s="118">
        <v>105</v>
      </c>
      <c r="Q2" s="102">
        <v>3900</v>
      </c>
    </row>
    <row r="3" spans="1:17" x14ac:dyDescent="0.4">
      <c r="A3" s="55" t="s">
        <v>8</v>
      </c>
      <c r="B3" s="152">
        <v>890</v>
      </c>
      <c r="C3" s="153"/>
      <c r="E3" s="63" t="s">
        <v>73</v>
      </c>
      <c r="F3" s="60" t="s">
        <v>28</v>
      </c>
      <c r="G3" s="47">
        <v>168</v>
      </c>
      <c r="H3" s="133">
        <f>IF(B$17=0,0,G3/B$17)</f>
        <v>0.56756756756756754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-963.80952380952385</v>
      </c>
      <c r="P3" s="119">
        <v>105</v>
      </c>
      <c r="Q3" s="103">
        <v>-101200</v>
      </c>
    </row>
    <row r="4" spans="1:17" x14ac:dyDescent="0.4">
      <c r="A4" s="55" t="s">
        <v>6</v>
      </c>
      <c r="B4" s="154">
        <v>-243.50000000000006</v>
      </c>
      <c r="C4" s="155"/>
      <c r="E4" s="63" t="s">
        <v>245</v>
      </c>
      <c r="F4" s="60" t="s">
        <v>246</v>
      </c>
      <c r="G4" s="47">
        <v>126</v>
      </c>
      <c r="H4" s="133">
        <f>IF(B$17=0,0,G4/B$17)</f>
        <v>0.42567567567567566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-1045.2631578947369</v>
      </c>
      <c r="P4" s="119">
        <v>95</v>
      </c>
      <c r="Q4" s="103">
        <v>-99300</v>
      </c>
    </row>
    <row r="5" spans="1:17" x14ac:dyDescent="0.4">
      <c r="A5" s="55" t="s">
        <v>7</v>
      </c>
      <c r="B5" s="156">
        <f>IF(B$2=0,0,B$4/B$2)</f>
        <v>-2.3190476190476197</v>
      </c>
      <c r="C5" s="157"/>
      <c r="E5" s="63" t="s">
        <v>65</v>
      </c>
      <c r="F5" s="60" t="s">
        <v>21</v>
      </c>
      <c r="G5" s="47">
        <v>105</v>
      </c>
      <c r="H5" s="133">
        <f>IF(B$17=0,0,G5/B$17)</f>
        <v>0.35472972972972971</v>
      </c>
      <c r="I5" s="94">
        <v>14</v>
      </c>
      <c r="K5" s="38">
        <v>3</v>
      </c>
      <c r="L5" s="99">
        <v>1.7999999999999989</v>
      </c>
      <c r="N5" s="115" t="s">
        <v>135</v>
      </c>
      <c r="O5" s="122">
        <f t="shared" si="0"/>
        <v>1017.7777777777778</v>
      </c>
      <c r="P5" s="119">
        <v>90</v>
      </c>
      <c r="Q5" s="103">
        <v>91600</v>
      </c>
    </row>
    <row r="6" spans="1:17" x14ac:dyDescent="0.4">
      <c r="A6" s="55" t="s">
        <v>1</v>
      </c>
      <c r="B6" s="146">
        <f>IF(B$2=0,0,(B$7*1+B$8*2+B$9*3)/B$2)</f>
        <v>2.0571428571428569</v>
      </c>
      <c r="C6" s="147"/>
      <c r="E6" s="63" t="s">
        <v>69</v>
      </c>
      <c r="F6" s="60" t="s">
        <v>12</v>
      </c>
      <c r="G6" s="47">
        <v>73</v>
      </c>
      <c r="H6" s="133">
        <f>IF(B$17=0,0,G6/B$17)</f>
        <v>0.24662162162162163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-176.1904761904762</v>
      </c>
      <c r="P6" s="119">
        <v>84</v>
      </c>
      <c r="Q6" s="103">
        <v>-14800</v>
      </c>
    </row>
    <row r="7" spans="1:17" x14ac:dyDescent="0.4">
      <c r="A7" s="55" t="s">
        <v>2</v>
      </c>
      <c r="B7" s="47">
        <v>26</v>
      </c>
      <c r="C7" s="39">
        <f t="shared" ref="C7:C12" si="1">IF(B$2=0,0,B7/B$2)</f>
        <v>0.24761904761904763</v>
      </c>
      <c r="E7" s="63" t="s">
        <v>68</v>
      </c>
      <c r="F7" s="60" t="s">
        <v>24</v>
      </c>
      <c r="G7" s="47">
        <v>53</v>
      </c>
      <c r="H7" s="133">
        <f>IF(B$17=0,0,G7/B$17)</f>
        <v>0.17905405405405406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-549.29577464788736</v>
      </c>
      <c r="P7" s="120">
        <v>71</v>
      </c>
      <c r="Q7" s="104">
        <v>-39000</v>
      </c>
    </row>
    <row r="8" spans="1:17" x14ac:dyDescent="0.4">
      <c r="A8" s="55" t="s">
        <v>3</v>
      </c>
      <c r="B8" s="47">
        <v>47</v>
      </c>
      <c r="C8" s="39">
        <f t="shared" si="1"/>
        <v>0.44761904761904764</v>
      </c>
      <c r="E8" s="63" t="s">
        <v>70</v>
      </c>
      <c r="F8" s="60" t="s">
        <v>25</v>
      </c>
      <c r="G8" s="47">
        <v>46</v>
      </c>
      <c r="H8" s="133">
        <f>IF(B$17=0,0,G8/B$17)</f>
        <v>0.1554054054054054</v>
      </c>
      <c r="I8" s="94">
        <v>7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0.30476190476190479</v>
      </c>
      <c r="E9" s="63" t="s">
        <v>66</v>
      </c>
      <c r="F9" s="60" t="s">
        <v>22</v>
      </c>
      <c r="G9" s="47">
        <v>31</v>
      </c>
      <c r="H9" s="133">
        <f>IF(B$17=0,0,G9/B$17)</f>
        <v>0.10472972972972973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1"/>
        <v>5.7142857142857141E-2</v>
      </c>
      <c r="E10" s="63" t="s">
        <v>90</v>
      </c>
      <c r="F10" s="60" t="s">
        <v>45</v>
      </c>
      <c r="G10" s="47">
        <v>24</v>
      </c>
      <c r="H10" s="133">
        <f>IF(B$17=0,0,G10/B$17)</f>
        <v>8.1081081081081086E-2</v>
      </c>
      <c r="I10" s="94">
        <v>13</v>
      </c>
      <c r="K10" s="38">
        <v>8</v>
      </c>
      <c r="L10" s="99">
        <v>-29.5</v>
      </c>
      <c r="N10" s="114" t="s">
        <v>164</v>
      </c>
      <c r="O10" s="124">
        <f>IF(P10=0,0,Q10/P10)</f>
        <v>-4.161764705882355</v>
      </c>
      <c r="P10" s="118">
        <v>34</v>
      </c>
      <c r="Q10" s="106">
        <v>-141.50000000000009</v>
      </c>
    </row>
    <row r="11" spans="1:17" x14ac:dyDescent="0.4">
      <c r="A11" s="56" t="s">
        <v>140</v>
      </c>
      <c r="B11" s="48">
        <v>10</v>
      </c>
      <c r="C11" s="40">
        <f t="shared" si="1"/>
        <v>9.5238095238095233E-2</v>
      </c>
      <c r="E11" s="63" t="s">
        <v>72</v>
      </c>
      <c r="F11" s="60" t="s">
        <v>27</v>
      </c>
      <c r="G11" s="47">
        <v>23</v>
      </c>
      <c r="H11" s="133">
        <f>IF(B$17=0,0,G11/B$17)</f>
        <v>7.77027027027027E-2</v>
      </c>
      <c r="I11" s="94">
        <v>4</v>
      </c>
      <c r="K11" s="38">
        <v>9</v>
      </c>
      <c r="L11" s="99">
        <v>-56.5</v>
      </c>
      <c r="N11" s="115" t="s">
        <v>165</v>
      </c>
      <c r="O11" s="125">
        <f>IF(P11=0,0,Q11/P11)</f>
        <v>1.9129032258064516</v>
      </c>
      <c r="P11" s="119">
        <v>31</v>
      </c>
      <c r="Q11" s="107">
        <v>59.3</v>
      </c>
    </row>
    <row r="12" spans="1:17" x14ac:dyDescent="0.4">
      <c r="A12" s="57" t="s">
        <v>160</v>
      </c>
      <c r="B12" s="49">
        <v>9</v>
      </c>
      <c r="C12" s="42">
        <f t="shared" si="1"/>
        <v>8.5714285714285715E-2</v>
      </c>
      <c r="E12" s="63" t="s">
        <v>71</v>
      </c>
      <c r="F12" s="60" t="s">
        <v>26</v>
      </c>
      <c r="G12" s="47">
        <v>21</v>
      </c>
      <c r="H12" s="133">
        <f>IF(B$17=0,0,G12/B$17)</f>
        <v>7.0945945945945943E-2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189</v>
      </c>
      <c r="C13" s="44">
        <f>IF(B$3=0,0,B13/B$3)</f>
        <v>0.21235955056179776</v>
      </c>
      <c r="E13" s="63" t="s">
        <v>84</v>
      </c>
      <c r="F13" s="60" t="s">
        <v>39</v>
      </c>
      <c r="G13" s="47">
        <v>21</v>
      </c>
      <c r="H13" s="133">
        <f>IF(B$17=0,0,G13/B$17)</f>
        <v>7.0945945945945943E-2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0.28539325842696628</v>
      </c>
      <c r="E14" s="63" t="s">
        <v>87</v>
      </c>
      <c r="F14" s="60" t="s">
        <v>42</v>
      </c>
      <c r="G14" s="47">
        <v>13</v>
      </c>
      <c r="H14" s="133">
        <f>IF(B$17=0,0,G14/B$17)</f>
        <v>4.3918918918918921E-2</v>
      </c>
      <c r="I14" s="94">
        <v>12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0.55026455026455023</v>
      </c>
      <c r="E15" s="63" t="s">
        <v>82</v>
      </c>
      <c r="F15" s="60" t="s">
        <v>37</v>
      </c>
      <c r="G15" s="47">
        <v>9</v>
      </c>
      <c r="H15" s="133">
        <f>IF(B$17=0,0,G15/B$17)</f>
        <v>3.0405405405405407E-2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107</v>
      </c>
      <c r="C16" s="37">
        <f>IF(B$14=0,0,B16/B$14)</f>
        <v>0.42125984251968501</v>
      </c>
      <c r="E16" s="63" t="s">
        <v>79</v>
      </c>
      <c r="F16" s="60" t="s">
        <v>34</v>
      </c>
      <c r="G16" s="47">
        <v>4</v>
      </c>
      <c r="H16" s="133">
        <f>IF(B$17=0,0,G16/B$17)</f>
        <v>1.3513513513513514E-2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21.449999999999992</v>
      </c>
      <c r="P16" s="119">
        <v>38</v>
      </c>
      <c r="Q16" s="107">
        <v>815.09999999999968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0.33258426966292137</v>
      </c>
      <c r="E17" s="63" t="s">
        <v>92</v>
      </c>
      <c r="F17" s="60" t="s">
        <v>47</v>
      </c>
      <c r="G17" s="47">
        <v>4</v>
      </c>
      <c r="H17" s="133">
        <f>IF(B$17=0,0,G17/B$17)</f>
        <v>1.3513513513513514E-2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117</v>
      </c>
      <c r="C18" s="39">
        <f>IF(B$17=0,0,B18/B$17)</f>
        <v>0.39527027027027029</v>
      </c>
      <c r="E18" s="63" t="s">
        <v>80</v>
      </c>
      <c r="F18" s="60" t="s">
        <v>35</v>
      </c>
      <c r="G18" s="47">
        <v>3</v>
      </c>
      <c r="H18" s="133">
        <f>IF(B$17=0,0,G18/B$17)</f>
        <v>1.0135135135135136E-2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>IF(P18=0,0,Q18/P18)</f>
        <v>1.6363636363636347</v>
      </c>
      <c r="P18" s="119">
        <v>33</v>
      </c>
      <c r="Q18" s="107">
        <v>53.999999999999943</v>
      </c>
    </row>
    <row r="19" spans="1:17" x14ac:dyDescent="0.4">
      <c r="A19" s="55" t="s">
        <v>11</v>
      </c>
      <c r="B19" s="47">
        <v>179</v>
      </c>
      <c r="C19" s="39">
        <f>IF(B$17=0,0,B19/B$17)</f>
        <v>0.60472972972972971</v>
      </c>
      <c r="E19" s="63" t="s">
        <v>75</v>
      </c>
      <c r="F19" s="60" t="s">
        <v>30</v>
      </c>
      <c r="G19" s="47">
        <v>2</v>
      </c>
      <c r="H19" s="133">
        <f>IF(B$17=0,0,G19/B$17)</f>
        <v>6.7567567567567571E-3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130</v>
      </c>
      <c r="C20" s="39">
        <f>IF(B$3=0,0,B20/B$3)</f>
        <v>0.14606741573033707</v>
      </c>
      <c r="E20" s="63" t="s">
        <v>74</v>
      </c>
      <c r="F20" s="60" t="s">
        <v>29</v>
      </c>
      <c r="G20" s="47">
        <v>1</v>
      </c>
      <c r="H20" s="133">
        <f>IF(B$17=0,0,G20/B$17)</f>
        <v>3.3783783783783786E-3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3.3783783783783786E-3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3.3783783783783786E-3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6762.5</v>
      </c>
      <c r="C23" s="41">
        <v>2001700</v>
      </c>
      <c r="E23" s="63" t="s">
        <v>88</v>
      </c>
      <c r="F23" s="60" t="s">
        <v>43</v>
      </c>
      <c r="G23" s="47">
        <v>1</v>
      </c>
      <c r="H23" s="133">
        <f>IF(B$17=0,0,G23/B$17)</f>
        <v>3.3783783783783786E-3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-8148.4615384615381</v>
      </c>
      <c r="C24" s="45">
        <v>-1059300</v>
      </c>
      <c r="E24" s="63" t="s">
        <v>91</v>
      </c>
      <c r="F24" s="60" t="s">
        <v>46</v>
      </c>
      <c r="G24" s="47">
        <v>1</v>
      </c>
      <c r="H24" s="133">
        <f>IF(B$17=0,0,G24/B$17)</f>
        <v>3.3783783783783786E-3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1.1235955056179776E-3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  <row r="106" spans="11:12" x14ac:dyDescent="0.4">
      <c r="K106" s="38">
        <v>104</v>
      </c>
      <c r="L106" s="99">
        <v>-234.20000000000005</v>
      </c>
    </row>
    <row r="107" spans="11:12" x14ac:dyDescent="0.4">
      <c r="K107" s="38">
        <v>105</v>
      </c>
      <c r="L107" s="99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7B8F-2159-45C2-ABD3-9E89AF4C450B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</v>
      </c>
      <c r="C2" s="151"/>
      <c r="E2" s="62" t="s">
        <v>67</v>
      </c>
      <c r="F2" s="59" t="s">
        <v>23</v>
      </c>
      <c r="G2" s="46">
        <v>96</v>
      </c>
      <c r="H2" s="132">
        <f>IF(B$17=0,0,G2/B$17)</f>
        <v>0.65306122448979587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-3171.6666666666665</v>
      </c>
      <c r="P2" s="118">
        <v>60</v>
      </c>
      <c r="Q2" s="102">
        <v>-190300</v>
      </c>
    </row>
    <row r="3" spans="1:17" x14ac:dyDescent="0.4">
      <c r="A3" s="55" t="s">
        <v>8</v>
      </c>
      <c r="B3" s="152">
        <v>529</v>
      </c>
      <c r="C3" s="153"/>
      <c r="E3" s="63" t="s">
        <v>73</v>
      </c>
      <c r="F3" s="60" t="s">
        <v>28</v>
      </c>
      <c r="G3" s="47">
        <v>70</v>
      </c>
      <c r="H3" s="133">
        <f>IF(B$17=0,0,G3/B$17)</f>
        <v>0.47619047619047616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1775</v>
      </c>
      <c r="P3" s="119">
        <v>60</v>
      </c>
      <c r="Q3" s="103">
        <v>106500</v>
      </c>
    </row>
    <row r="4" spans="1:17" x14ac:dyDescent="0.4">
      <c r="A4" s="55" t="s">
        <v>6</v>
      </c>
      <c r="B4" s="154">
        <v>-560.6</v>
      </c>
      <c r="C4" s="155"/>
      <c r="E4" s="63" t="s">
        <v>65</v>
      </c>
      <c r="F4" s="60" t="s">
        <v>21</v>
      </c>
      <c r="G4" s="47">
        <v>65</v>
      </c>
      <c r="H4" s="133">
        <f>IF(B$17=0,0,G4/B$17)</f>
        <v>0.44217687074829931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-1696.4912280701753</v>
      </c>
      <c r="P4" s="119">
        <v>57</v>
      </c>
      <c r="Q4" s="103">
        <v>-96700</v>
      </c>
    </row>
    <row r="5" spans="1:17" x14ac:dyDescent="0.4">
      <c r="A5" s="55" t="s">
        <v>7</v>
      </c>
      <c r="B5" s="156">
        <f>IF(B$2=0,0,B$4/B$2)</f>
        <v>-9.1901639344262307</v>
      </c>
      <c r="C5" s="157"/>
      <c r="E5" s="63" t="s">
        <v>69</v>
      </c>
      <c r="F5" s="60" t="s">
        <v>12</v>
      </c>
      <c r="G5" s="47">
        <v>58</v>
      </c>
      <c r="H5" s="133">
        <f>IF(B$17=0,0,G5/B$17)</f>
        <v>0.39455782312925169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0"/>
        <v>-4115.3846153846152</v>
      </c>
      <c r="P5" s="119">
        <v>52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2.1475409836065573</v>
      </c>
      <c r="C6" s="147"/>
      <c r="E6" s="63" t="s">
        <v>245</v>
      </c>
      <c r="F6" s="60" t="s">
        <v>246</v>
      </c>
      <c r="G6" s="47">
        <v>55</v>
      </c>
      <c r="H6" s="133">
        <f>IF(B$17=0,0,G6/B$17)</f>
        <v>0.37414965986394561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0"/>
        <v>10.869565217391305</v>
      </c>
      <c r="P6" s="119">
        <v>46</v>
      </c>
      <c r="Q6" s="103">
        <v>500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0.26229508196721313</v>
      </c>
      <c r="E7" s="63" t="s">
        <v>68</v>
      </c>
      <c r="F7" s="60" t="s">
        <v>24</v>
      </c>
      <c r="G7" s="47">
        <v>31</v>
      </c>
      <c r="H7" s="133">
        <f>IF(B$17=0,0,G7/B$17)</f>
        <v>0.21088435374149661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-281.39534883720933</v>
      </c>
      <c r="P7" s="120">
        <v>43</v>
      </c>
      <c r="Q7" s="104">
        <v>-12100</v>
      </c>
    </row>
    <row r="8" spans="1:17" x14ac:dyDescent="0.4">
      <c r="A8" s="55" t="s">
        <v>3</v>
      </c>
      <c r="B8" s="47">
        <v>20</v>
      </c>
      <c r="C8" s="39">
        <f t="shared" si="1"/>
        <v>0.32786885245901637</v>
      </c>
      <c r="E8" s="63" t="s">
        <v>70</v>
      </c>
      <c r="F8" s="60" t="s">
        <v>25</v>
      </c>
      <c r="G8" s="47">
        <v>19</v>
      </c>
      <c r="H8" s="133">
        <f>IF(B$17=0,0,G8/B$17)</f>
        <v>0.12925170068027211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si="1"/>
        <v>0.4098360655737705</v>
      </c>
      <c r="E9" s="63" t="s">
        <v>90</v>
      </c>
      <c r="F9" s="60" t="s">
        <v>45</v>
      </c>
      <c r="G9" s="47">
        <v>18</v>
      </c>
      <c r="H9" s="133">
        <f>IF(B$17=0,0,G9/B$17)</f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1"/>
        <v>0.16393442622950818</v>
      </c>
      <c r="E10" s="63" t="s">
        <v>71</v>
      </c>
      <c r="F10" s="60" t="s">
        <v>26</v>
      </c>
      <c r="G10" s="47">
        <v>17</v>
      </c>
      <c r="H10" s="133">
        <f>IF(B$17=0,0,G10/B$17)</f>
        <v>0.11564625850340136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1"/>
        <v>6.5573770491803282E-2</v>
      </c>
      <c r="E11" s="63" t="s">
        <v>66</v>
      </c>
      <c r="F11" s="60" t="s">
        <v>22</v>
      </c>
      <c r="G11" s="47">
        <v>11</v>
      </c>
      <c r="H11" s="133">
        <f>IF(B$17=0,0,G11/B$17)</f>
        <v>7.4829931972789115E-2</v>
      </c>
      <c r="I11" s="94">
        <v>12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1"/>
        <v>4.9180327868852458E-2</v>
      </c>
      <c r="E12" s="63" t="s">
        <v>87</v>
      </c>
      <c r="F12" s="60" t="s">
        <v>42</v>
      </c>
      <c r="G12" s="47">
        <v>8</v>
      </c>
      <c r="H12" s="133">
        <f>IF(B$17=0,0,G12/B$17)</f>
        <v>5.4421768707482991E-2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-9.1062499999999993</v>
      </c>
      <c r="P12" s="120">
        <v>16</v>
      </c>
      <c r="Q12" s="108">
        <v>-145.69999999999999</v>
      </c>
    </row>
    <row r="13" spans="1:17" x14ac:dyDescent="0.4">
      <c r="A13" s="58" t="s">
        <v>122</v>
      </c>
      <c r="B13" s="50">
        <v>118</v>
      </c>
      <c r="C13" s="44">
        <f>IF(B$3=0,0,B13/B$3)</f>
        <v>0.22306238185255198</v>
      </c>
      <c r="E13" s="63" t="s">
        <v>72</v>
      </c>
      <c r="F13" s="60" t="s">
        <v>27</v>
      </c>
      <c r="G13" s="47">
        <v>7</v>
      </c>
      <c r="H13" s="133">
        <f>IF(B$17=0,0,G13/B$17)</f>
        <v>4.7619047619047616E-2</v>
      </c>
      <c r="I13" s="94">
        <v>11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0.21550094517958412</v>
      </c>
      <c r="E14" s="63" t="s">
        <v>79</v>
      </c>
      <c r="F14" s="60" t="s">
        <v>34</v>
      </c>
      <c r="G14" s="47">
        <v>4</v>
      </c>
      <c r="H14" s="133">
        <f>IF(B$17=0,0,G14/B$17)</f>
        <v>2.7210884353741496E-2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74</v>
      </c>
      <c r="F15" s="60" t="s">
        <v>29</v>
      </c>
      <c r="G15" s="47">
        <v>3</v>
      </c>
      <c r="H15" s="133">
        <f>IF(B$17=0,0,G15/B$17)</f>
        <v>2.0408163265306121E-2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3</v>
      </c>
      <c r="H16" s="133">
        <f>IF(B$17=0,0,G16/B$17)</f>
        <v>2.0408163265306121E-2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>IF(P16=0,0,Q16/P16)</f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147</v>
      </c>
      <c r="C17" s="37">
        <f>IF(B$3=0,0,B17/B$3)</f>
        <v>0.27788279773156899</v>
      </c>
      <c r="E17" s="63" t="s">
        <v>84</v>
      </c>
      <c r="F17" s="60" t="s">
        <v>39</v>
      </c>
      <c r="G17" s="47">
        <v>3</v>
      </c>
      <c r="H17" s="133">
        <f>IF(B$17=0,0,G17/B$17)</f>
        <v>2.0408163265306121E-2</v>
      </c>
      <c r="I17" s="94">
        <v>12</v>
      </c>
      <c r="K17" s="38">
        <v>15</v>
      </c>
      <c r="L17" s="99">
        <v>-264.59999999999997</v>
      </c>
      <c r="N17" s="115" t="s">
        <v>172</v>
      </c>
      <c r="O17" s="125">
        <f>IF(P17=0,0,Q17/P17)</f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0.50340136054421769</v>
      </c>
      <c r="E18" s="63" t="s">
        <v>180</v>
      </c>
      <c r="F18" s="60" t="s">
        <v>181</v>
      </c>
      <c r="G18" s="47">
        <v>3</v>
      </c>
      <c r="H18" s="133">
        <f>IF(B$17=0,0,G18/B$17)</f>
        <v>2.0408163265306121E-2</v>
      </c>
      <c r="I18" s="94">
        <v>5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0.49659863945578231</v>
      </c>
      <c r="E19" s="63" t="s">
        <v>92</v>
      </c>
      <c r="F19" s="60" t="s">
        <v>47</v>
      </c>
      <c r="G19" s="47">
        <v>2</v>
      </c>
      <c r="H19" s="133">
        <f>IF(B$17=0,0,G19/B$17)</f>
        <v>1.3605442176870748E-2</v>
      </c>
      <c r="I19" s="94">
        <v>7</v>
      </c>
      <c r="K19" s="38">
        <v>17</v>
      </c>
      <c r="L19" s="99">
        <v>-248.89999999999995</v>
      </c>
      <c r="N19" s="115" t="s">
        <v>177</v>
      </c>
      <c r="O19" s="125">
        <f>IF(P19=0,0,Q19/P19)</f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103</v>
      </c>
      <c r="C20" s="39">
        <f>IF(B$3=0,0,B20/B$3)</f>
        <v>0.19470699432892249</v>
      </c>
      <c r="E20" s="63" t="s">
        <v>82</v>
      </c>
      <c r="F20" s="60" t="s">
        <v>37</v>
      </c>
      <c r="G20" s="47">
        <v>1</v>
      </c>
      <c r="H20" s="133">
        <f>IF(B$17=0,0,G20/B$17)</f>
        <v>6.8027210884353739E-3</v>
      </c>
      <c r="I20" s="94">
        <v>12</v>
      </c>
      <c r="K20" s="38">
        <v>18</v>
      </c>
      <c r="L20" s="99">
        <v>-218.99999999999994</v>
      </c>
      <c r="N20" s="115" t="s">
        <v>171</v>
      </c>
      <c r="O20" s="125">
        <f>IF(P20=0,0,Q20/P20)</f>
        <v>-13.942105263157893</v>
      </c>
      <c r="P20" s="119">
        <v>19</v>
      </c>
      <c r="Q20" s="107">
        <v>-264.89999999999998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6.8027210884353739E-3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>IF(P21=0,0,Q21/P21)</f>
        <v>-28</v>
      </c>
      <c r="P21" s="119">
        <v>29</v>
      </c>
      <c r="Q21" s="107">
        <v>-812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107</v>
      </c>
      <c r="F22" s="60" t="s">
        <v>114</v>
      </c>
      <c r="G22" s="47">
        <v>1</v>
      </c>
      <c r="H22" s="133">
        <f>IF(B$17=0,0,G22/B$17)</f>
        <v>6.8027210884353739E-3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7610.2040816326535</v>
      </c>
      <c r="C23" s="41">
        <v>1118700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-8151.4563106796113</v>
      </c>
      <c r="C24" s="45">
        <v>-839600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3.780718336483932E-3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  <row r="63" spans="5:12" x14ac:dyDescent="0.4">
      <c r="K63" s="38">
        <v>61</v>
      </c>
      <c r="L63" s="99">
        <v>-560.6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A0CF-4765-4985-9949-E5A02948679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165</v>
      </c>
      <c r="H2" s="132">
        <f>IF(B$17=0,0,G2/B$17)</f>
        <v>0.6021897810218978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379.3388429752066</v>
      </c>
      <c r="P2" s="118">
        <v>121</v>
      </c>
      <c r="Q2" s="102">
        <v>45900</v>
      </c>
    </row>
    <row r="3" spans="1:17" x14ac:dyDescent="0.4">
      <c r="A3" s="55" t="s">
        <v>8</v>
      </c>
      <c r="B3" s="152">
        <v>1007</v>
      </c>
      <c r="C3" s="153"/>
      <c r="E3" s="63" t="s">
        <v>65</v>
      </c>
      <c r="F3" s="60" t="s">
        <v>21</v>
      </c>
      <c r="G3" s="47">
        <v>162</v>
      </c>
      <c r="H3" s="133">
        <f>IF(B$17=0,0,G3/B$17)</f>
        <v>0.59124087591240881</v>
      </c>
      <c r="I3" s="94">
        <v>2</v>
      </c>
      <c r="K3" s="38">
        <v>1</v>
      </c>
      <c r="L3" s="99">
        <v>-1.9</v>
      </c>
      <c r="N3" s="115" t="s">
        <v>133</v>
      </c>
      <c r="O3" s="122">
        <f t="shared" si="0"/>
        <v>842.73504273504273</v>
      </c>
      <c r="P3" s="119">
        <v>117</v>
      </c>
      <c r="Q3" s="103">
        <v>98600</v>
      </c>
    </row>
    <row r="4" spans="1:17" x14ac:dyDescent="0.4">
      <c r="A4" s="55" t="s">
        <v>6</v>
      </c>
      <c r="B4" s="154">
        <v>57.399999999999935</v>
      </c>
      <c r="C4" s="155"/>
      <c r="E4" s="63" t="s">
        <v>73</v>
      </c>
      <c r="F4" s="60" t="s">
        <v>28</v>
      </c>
      <c r="G4" s="47">
        <v>126</v>
      </c>
      <c r="H4" s="133">
        <f>IF(B$17=0,0,G4/B$17)</f>
        <v>0.45985401459854014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-144.54545454545453</v>
      </c>
      <c r="P4" s="119">
        <v>110</v>
      </c>
      <c r="Q4" s="103">
        <v>-15900</v>
      </c>
    </row>
    <row r="5" spans="1:17" x14ac:dyDescent="0.4">
      <c r="A5" s="55" t="s">
        <v>7</v>
      </c>
      <c r="B5" s="156">
        <f>IF(B$2=0,0,B$4/B$2)</f>
        <v>0.47438016528925564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0.43795620437956206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460.57692307692309</v>
      </c>
      <c r="P5" s="119">
        <v>104</v>
      </c>
      <c r="Q5" s="103">
        <v>47900</v>
      </c>
    </row>
    <row r="6" spans="1:17" x14ac:dyDescent="0.4">
      <c r="A6" s="55" t="s">
        <v>1</v>
      </c>
      <c r="B6" s="146">
        <f>IF(B$2=0,0,(B$7*1+B$8*2+B$9*3)/B$2)</f>
        <v>1.9834710743801653</v>
      </c>
      <c r="C6" s="147"/>
      <c r="E6" s="63" t="s">
        <v>68</v>
      </c>
      <c r="F6" s="60" t="s">
        <v>24</v>
      </c>
      <c r="G6" s="47">
        <v>111</v>
      </c>
      <c r="H6" s="133">
        <f>IF(B$17=0,0,G6/B$17)</f>
        <v>0.4051094890510949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-1934.7368421052631</v>
      </c>
      <c r="P6" s="119">
        <v>95</v>
      </c>
      <c r="Q6" s="103">
        <v>-183800</v>
      </c>
    </row>
    <row r="7" spans="1:17" x14ac:dyDescent="0.4">
      <c r="A7" s="55" t="s">
        <v>2</v>
      </c>
      <c r="B7" s="47">
        <v>40</v>
      </c>
      <c r="C7" s="39">
        <f t="shared" ref="C7:C12" si="1">IF(B$2=0,0,B7/B$2)</f>
        <v>0.33057851239669422</v>
      </c>
      <c r="E7" s="63" t="s">
        <v>69</v>
      </c>
      <c r="F7" s="60" t="s">
        <v>12</v>
      </c>
      <c r="G7" s="47">
        <v>89</v>
      </c>
      <c r="H7" s="133">
        <f>IF(B$17=0,0,G7/B$17)</f>
        <v>0.32481751824817517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902.56410256410254</v>
      </c>
      <c r="P7" s="120">
        <v>78</v>
      </c>
      <c r="Q7" s="104">
        <v>70400</v>
      </c>
    </row>
    <row r="8" spans="1:17" x14ac:dyDescent="0.4">
      <c r="A8" s="55" t="s">
        <v>3</v>
      </c>
      <c r="B8" s="47">
        <v>43</v>
      </c>
      <c r="C8" s="39">
        <f t="shared" si="1"/>
        <v>0.35537190082644626</v>
      </c>
      <c r="E8" s="63" t="s">
        <v>70</v>
      </c>
      <c r="F8" s="60" t="s">
        <v>25</v>
      </c>
      <c r="G8" s="47">
        <v>41</v>
      </c>
      <c r="H8" s="133">
        <f>IF(B$17=0,0,G8/B$17)</f>
        <v>0.14963503649635038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si="1"/>
        <v>0.31404958677685951</v>
      </c>
      <c r="E9" s="63" t="s">
        <v>66</v>
      </c>
      <c r="F9" s="60" t="s">
        <v>22</v>
      </c>
      <c r="G9" s="47">
        <v>31</v>
      </c>
      <c r="H9" s="133">
        <f>IF(B$17=0,0,G9/B$17)</f>
        <v>0.11313868613138686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1"/>
        <v>0.12396694214876033</v>
      </c>
      <c r="E10" s="63" t="s">
        <v>90</v>
      </c>
      <c r="F10" s="60" t="s">
        <v>45</v>
      </c>
      <c r="G10" s="47">
        <v>31</v>
      </c>
      <c r="H10" s="133">
        <f>IF(B$17=0,0,G10/B$17)</f>
        <v>0.11313868613138686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-3.8090909090909095</v>
      </c>
      <c r="P10" s="118">
        <v>44</v>
      </c>
      <c r="Q10" s="106">
        <v>-167.60000000000002</v>
      </c>
    </row>
    <row r="11" spans="1:17" x14ac:dyDescent="0.4">
      <c r="A11" s="56" t="s">
        <v>140</v>
      </c>
      <c r="B11" s="48">
        <v>11</v>
      </c>
      <c r="C11" s="40">
        <f t="shared" si="1"/>
        <v>9.0909090909090912E-2</v>
      </c>
      <c r="E11" s="63" t="s">
        <v>71</v>
      </c>
      <c r="F11" s="60" t="s">
        <v>26</v>
      </c>
      <c r="G11" s="47">
        <v>23</v>
      </c>
      <c r="H11" s="133">
        <f>IF(B$17=0,0,G11/B$17)</f>
        <v>8.3941605839416053E-2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2.5756097560975606</v>
      </c>
      <c r="P11" s="119">
        <v>41</v>
      </c>
      <c r="Q11" s="107">
        <v>105.59999999999998</v>
      </c>
    </row>
    <row r="12" spans="1:17" x14ac:dyDescent="0.4">
      <c r="A12" s="57" t="s">
        <v>160</v>
      </c>
      <c r="B12" s="49">
        <v>8</v>
      </c>
      <c r="C12" s="42">
        <f t="shared" si="1"/>
        <v>6.6115702479338845E-2</v>
      </c>
      <c r="E12" s="63" t="s">
        <v>72</v>
      </c>
      <c r="F12" s="60" t="s">
        <v>27</v>
      </c>
      <c r="G12" s="47">
        <v>21</v>
      </c>
      <c r="H12" s="133">
        <f>IF(B$17=0,0,G12/B$17)</f>
        <v>7.6642335766423361E-2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3.316666666666666</v>
      </c>
      <c r="P12" s="120">
        <v>36</v>
      </c>
      <c r="Q12" s="108">
        <v>119.39999999999998</v>
      </c>
    </row>
    <row r="13" spans="1:17" x14ac:dyDescent="0.4">
      <c r="A13" s="58" t="s">
        <v>122</v>
      </c>
      <c r="B13" s="50">
        <v>265</v>
      </c>
      <c r="C13" s="44">
        <f>IF(B$3=0,0,B13/B$3)</f>
        <v>0.26315789473684209</v>
      </c>
      <c r="E13" s="63" t="s">
        <v>84</v>
      </c>
      <c r="F13" s="60" t="s">
        <v>39</v>
      </c>
      <c r="G13" s="47">
        <v>15</v>
      </c>
      <c r="H13" s="133">
        <f>IF(B$17=0,0,G13/B$17)</f>
        <v>5.4744525547445258E-2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0.19265143992055611</v>
      </c>
      <c r="E14" s="63" t="s">
        <v>87</v>
      </c>
      <c r="F14" s="60" t="s">
        <v>42</v>
      </c>
      <c r="G14" s="47">
        <v>13</v>
      </c>
      <c r="H14" s="133">
        <f>IF(B$17=0,0,G14/B$17)</f>
        <v>4.7445255474452552E-2</v>
      </c>
      <c r="I14" s="94">
        <v>11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0.60754716981132073</v>
      </c>
      <c r="E15" s="63" t="s">
        <v>79</v>
      </c>
      <c r="F15" s="60" t="s">
        <v>34</v>
      </c>
      <c r="G15" s="47">
        <v>9</v>
      </c>
      <c r="H15" s="133">
        <f>IF(B$17=0,0,G15/B$17)</f>
        <v>3.2846715328467155E-2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64.679999999999993</v>
      </c>
      <c r="P15" s="118">
        <v>5</v>
      </c>
      <c r="Q15" s="106">
        <v>323.39999999999998</v>
      </c>
    </row>
    <row r="16" spans="1:17" x14ac:dyDescent="0.4">
      <c r="A16" s="54" t="s">
        <v>125</v>
      </c>
      <c r="B16" s="46">
        <v>69</v>
      </c>
      <c r="C16" s="37">
        <f>IF(B$14=0,0,B16/B$14)</f>
        <v>0.35567010309278352</v>
      </c>
      <c r="E16" s="63" t="s">
        <v>92</v>
      </c>
      <c r="F16" s="60" t="s">
        <v>47</v>
      </c>
      <c r="G16" s="47">
        <v>9</v>
      </c>
      <c r="H16" s="133">
        <f>IF(B$17=0,0,G16/B$17)</f>
        <v>3.2846715328467155E-2</v>
      </c>
      <c r="I16" s="94">
        <v>3</v>
      </c>
      <c r="K16" s="38">
        <v>14</v>
      </c>
      <c r="L16" s="99">
        <v>-178.49999999999997</v>
      </c>
      <c r="N16" s="115" t="s">
        <v>301</v>
      </c>
      <c r="O16" s="125">
        <f>IF(P16=0,0,Q16/P16)</f>
        <v>36.400000000000006</v>
      </c>
      <c r="P16" s="119">
        <v>4</v>
      </c>
      <c r="Q16" s="107">
        <v>145.60000000000002</v>
      </c>
    </row>
    <row r="17" spans="1:17" x14ac:dyDescent="0.4">
      <c r="A17" s="54" t="s">
        <v>10</v>
      </c>
      <c r="B17" s="46">
        <f>B19+B18</f>
        <v>274</v>
      </c>
      <c r="C17" s="37">
        <f>IF(B$3=0,0,B17/B$3)</f>
        <v>0.27209533267130087</v>
      </c>
      <c r="E17" s="63" t="s">
        <v>82</v>
      </c>
      <c r="F17" s="60" t="s">
        <v>37</v>
      </c>
      <c r="G17" s="47">
        <v>7</v>
      </c>
      <c r="H17" s="133">
        <f>IF(B$17=0,0,G17/B$17)</f>
        <v>2.5547445255474453E-2</v>
      </c>
      <c r="I17" s="94">
        <v>7</v>
      </c>
      <c r="K17" s="38">
        <v>15</v>
      </c>
      <c r="L17" s="99">
        <v>-146.19999999999999</v>
      </c>
      <c r="N17" s="115" t="s">
        <v>171</v>
      </c>
      <c r="O17" s="125">
        <f>IF(P17=0,0,Q17/P17)</f>
        <v>30.444000000000006</v>
      </c>
      <c r="P17" s="119">
        <v>25</v>
      </c>
      <c r="Q17" s="107">
        <v>761.10000000000014</v>
      </c>
    </row>
    <row r="18" spans="1:17" x14ac:dyDescent="0.4">
      <c r="A18" s="55" t="s">
        <v>12</v>
      </c>
      <c r="B18" s="47">
        <v>121</v>
      </c>
      <c r="C18" s="39">
        <f>IF(B$17=0,0,B18/B$17)</f>
        <v>0.44160583941605841</v>
      </c>
      <c r="E18" s="63" t="s">
        <v>86</v>
      </c>
      <c r="F18" s="60" t="s">
        <v>41</v>
      </c>
      <c r="G18" s="47">
        <v>5</v>
      </c>
      <c r="H18" s="133">
        <f>IF(B$17=0,0,G18/B$17)</f>
        <v>1.824817518248175E-2</v>
      </c>
      <c r="I18" s="94">
        <v>1</v>
      </c>
      <c r="K18" s="38">
        <v>16</v>
      </c>
      <c r="L18" s="99">
        <v>-153.29999999999998</v>
      </c>
      <c r="N18" s="115" t="s">
        <v>173</v>
      </c>
      <c r="O18" s="125">
        <f>IF(P18=0,0,Q18/P18)</f>
        <v>10.354545454545457</v>
      </c>
      <c r="P18" s="119">
        <v>11</v>
      </c>
      <c r="Q18" s="107">
        <v>113.90000000000002</v>
      </c>
    </row>
    <row r="19" spans="1:17" x14ac:dyDescent="0.4">
      <c r="A19" s="55" t="s">
        <v>11</v>
      </c>
      <c r="B19" s="47">
        <v>153</v>
      </c>
      <c r="C19" s="39">
        <f>IF(B$17=0,0,B19/B$17)</f>
        <v>0.55839416058394165</v>
      </c>
      <c r="E19" s="63" t="s">
        <v>80</v>
      </c>
      <c r="F19" s="60" t="s">
        <v>35</v>
      </c>
      <c r="G19" s="47">
        <v>4</v>
      </c>
      <c r="H19" s="133">
        <f>IF(B$17=0,0,G19/B$17)</f>
        <v>1.4598540145985401E-2</v>
      </c>
      <c r="I19" s="94">
        <v>9</v>
      </c>
      <c r="K19" s="38">
        <v>17</v>
      </c>
      <c r="L19" s="99">
        <v>-161.19999999999999</v>
      </c>
      <c r="N19" s="115" t="s">
        <v>200</v>
      </c>
      <c r="O19" s="125">
        <f>IF(P19=0,0,Q19/P19)</f>
        <v>9.3545454545454572</v>
      </c>
      <c r="P19" s="119">
        <v>11</v>
      </c>
      <c r="Q19" s="107">
        <v>102.90000000000002</v>
      </c>
    </row>
    <row r="20" spans="1:17" x14ac:dyDescent="0.4">
      <c r="A20" s="55" t="s">
        <v>13</v>
      </c>
      <c r="B20" s="47">
        <v>151</v>
      </c>
      <c r="C20" s="39">
        <f>IF(B$3=0,0,B20/B$3)</f>
        <v>0.1499503475670308</v>
      </c>
      <c r="E20" s="63" t="s">
        <v>75</v>
      </c>
      <c r="F20" s="60" t="s">
        <v>30</v>
      </c>
      <c r="G20" s="47">
        <v>2</v>
      </c>
      <c r="H20" s="133">
        <f>IF(B$17=0,0,G20/B$17)</f>
        <v>7.2992700729927005E-3</v>
      </c>
      <c r="I20" s="94">
        <v>2</v>
      </c>
      <c r="K20" s="38">
        <v>18</v>
      </c>
      <c r="L20" s="99">
        <v>-159</v>
      </c>
      <c r="N20" s="115" t="s">
        <v>184</v>
      </c>
      <c r="O20" s="125">
        <f>IF(P20=0,0,Q20/P20)</f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2</v>
      </c>
      <c r="H21" s="133">
        <f>IF(B$17=0,0,G21/B$17)</f>
        <v>7.2992700729927005E-3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>IF(P21=0,0,Q21/P21)</f>
        <v>-0.1966666666666671</v>
      </c>
      <c r="P21" s="119">
        <v>60</v>
      </c>
      <c r="Q21" s="107">
        <v>-11.800000000000026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7.2992700729927005E-3</v>
      </c>
      <c r="I22" s="94">
        <v>5</v>
      </c>
      <c r="K22" s="38">
        <v>20</v>
      </c>
      <c r="L22" s="99">
        <v>-200.8</v>
      </c>
      <c r="N22" s="115" t="s">
        <v>128</v>
      </c>
      <c r="O22" s="125">
        <f>IF(P22=0,0,Q22/P22)</f>
        <v>-0.50909090909090871</v>
      </c>
      <c r="P22" s="119">
        <v>33</v>
      </c>
      <c r="Q22" s="107">
        <v>-16.799999999999986</v>
      </c>
    </row>
    <row r="23" spans="1:17" x14ac:dyDescent="0.4">
      <c r="A23" s="55" t="s">
        <v>5</v>
      </c>
      <c r="B23" s="51">
        <f>IF(B$17=0,0,C23/B$17)</f>
        <v>8750.7299270072999</v>
      </c>
      <c r="C23" s="41">
        <v>2397700</v>
      </c>
      <c r="E23" s="63" t="s">
        <v>91</v>
      </c>
      <c r="F23" s="60" t="s">
        <v>46</v>
      </c>
      <c r="G23" s="47">
        <v>2</v>
      </c>
      <c r="H23" s="133">
        <f>IF(B$17=0,0,G23/B$17)</f>
        <v>7.2992700729927005E-3</v>
      </c>
      <c r="I23" s="94">
        <v>1</v>
      </c>
      <c r="K23" s="38">
        <v>21</v>
      </c>
      <c r="L23" s="99">
        <v>-188.60000000000002</v>
      </c>
      <c r="N23" s="115" t="s">
        <v>172</v>
      </c>
      <c r="O23" s="125">
        <f>IF(P23=0,0,Q23/P23)</f>
        <v>-1.6363636363636371</v>
      </c>
      <c r="P23" s="119">
        <v>33</v>
      </c>
      <c r="Q23" s="107">
        <v>-54.000000000000028</v>
      </c>
    </row>
    <row r="24" spans="1:17" x14ac:dyDescent="0.4">
      <c r="A24" s="57" t="s">
        <v>14</v>
      </c>
      <c r="B24" s="52">
        <f>IF(B$20=0,0,C24/B$20)</f>
        <v>-7062.9139072847684</v>
      </c>
      <c r="C24" s="45">
        <v>-1066500</v>
      </c>
      <c r="E24" s="63" t="s">
        <v>93</v>
      </c>
      <c r="F24" s="60" t="s">
        <v>48</v>
      </c>
      <c r="G24" s="47">
        <v>1</v>
      </c>
      <c r="H24" s="133">
        <f>IF(B$17=0,0,G24/B$17)</f>
        <v>3.6496350364963502E-3</v>
      </c>
      <c r="I24" s="94">
        <v>4</v>
      </c>
      <c r="K24" s="38">
        <v>22</v>
      </c>
      <c r="L24" s="99">
        <v>-142.60000000000002</v>
      </c>
      <c r="N24" s="115" t="s">
        <v>127</v>
      </c>
      <c r="O24" s="125">
        <f>IF(P24=0,0,Q24/P24)</f>
        <v>-21.239215686274516</v>
      </c>
      <c r="P24" s="119">
        <v>51</v>
      </c>
      <c r="Q24" s="107">
        <v>-1083.2000000000003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3.6496350364963502E-3</v>
      </c>
      <c r="I25" s="94">
        <v>3</v>
      </c>
      <c r="K25" s="38">
        <v>23</v>
      </c>
      <c r="L25" s="99">
        <v>-145.80000000000001</v>
      </c>
      <c r="N25" s="115" t="s">
        <v>183</v>
      </c>
      <c r="O25" s="125">
        <f>IF(P25=0,0,Q25/P25)</f>
        <v>-45.699999999999996</v>
      </c>
      <c r="P25" s="119">
        <v>3</v>
      </c>
      <c r="Q25" s="107">
        <v>-137.1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3.6496350364963502E-3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4</v>
      </c>
      <c r="C27" s="42">
        <f>IF(B$3=0,0,B27/B$3)</f>
        <v>3.9721946375372392E-3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  <row r="116" spans="11:12" x14ac:dyDescent="0.4">
      <c r="K116" s="38">
        <v>114</v>
      </c>
      <c r="L116" s="99">
        <v>-98.400000000000077</v>
      </c>
    </row>
    <row r="117" spans="11:12" x14ac:dyDescent="0.4">
      <c r="K117" s="38">
        <v>115</v>
      </c>
      <c r="L117" s="99">
        <v>-62.700000000000074</v>
      </c>
    </row>
    <row r="118" spans="11:12" x14ac:dyDescent="0.4">
      <c r="K118" s="38">
        <v>116</v>
      </c>
      <c r="L118" s="99">
        <v>-35.500000000000071</v>
      </c>
    </row>
    <row r="119" spans="11:12" x14ac:dyDescent="0.4">
      <c r="K119" s="38">
        <v>117</v>
      </c>
      <c r="L119" s="99">
        <v>-19.70000000000007</v>
      </c>
    </row>
    <row r="120" spans="11:12" x14ac:dyDescent="0.4">
      <c r="K120" s="38">
        <v>118</v>
      </c>
      <c r="L120" s="99">
        <v>-48.500000000000071</v>
      </c>
    </row>
    <row r="121" spans="11:12" x14ac:dyDescent="0.4">
      <c r="K121" s="38">
        <v>119</v>
      </c>
      <c r="L121" s="99">
        <v>12.699999999999932</v>
      </c>
    </row>
    <row r="122" spans="11:12" x14ac:dyDescent="0.4">
      <c r="K122" s="38">
        <v>120</v>
      </c>
      <c r="L122" s="99">
        <v>15.899999999999931</v>
      </c>
    </row>
    <row r="123" spans="11:12" x14ac:dyDescent="0.4">
      <c r="K123" s="38">
        <v>121</v>
      </c>
      <c r="L123" s="99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8A2A-C2C0-40CD-AEE0-50D4FE82F00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1"/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13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13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80D-77C4-434E-8699-361A7712867A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>IF(B$17=0,0,G3/B$17)</f>
        <v>0.6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0.32</v>
      </c>
      <c r="I5" s="94">
        <v>14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12</v>
      </c>
      <c r="H7" s="133">
        <f>IF(B$17=0,0,G7/B$17)</f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1"/>
        <v>0.125</v>
      </c>
      <c r="E8" s="63" t="s">
        <v>70</v>
      </c>
      <c r="F8" s="60" t="s">
        <v>25</v>
      </c>
      <c r="G8" s="47">
        <v>8</v>
      </c>
      <c r="H8" s="133">
        <f>IF(B$17=0,0,G8/B$17)</f>
        <v>0.16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0.54166666666666663</v>
      </c>
      <c r="E9" s="63" t="s">
        <v>71</v>
      </c>
      <c r="F9" s="60" t="s">
        <v>26</v>
      </c>
      <c r="G9" s="47">
        <v>8</v>
      </c>
      <c r="H9" s="133">
        <f>IF(B$17=0,0,G9/B$17)</f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1"/>
        <v>0.29166666666666669</v>
      </c>
      <c r="E10" s="63" t="s">
        <v>84</v>
      </c>
      <c r="F10" s="60" t="s">
        <v>39</v>
      </c>
      <c r="G10" s="47">
        <v>6</v>
      </c>
      <c r="H10" s="133">
        <f>IF(B$17=0,0,G10/B$17)</f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1"/>
        <v>8.3333333333333329E-2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1"/>
        <v>0.125</v>
      </c>
      <c r="E12" s="63" t="s">
        <v>66</v>
      </c>
      <c r="F12" s="60" t="s">
        <v>22</v>
      </c>
      <c r="G12" s="47">
        <v>4</v>
      </c>
      <c r="H12" s="133">
        <f>IF(B$17=0,0,G12/B$17)</f>
        <v>0.08</v>
      </c>
      <c r="I12" s="94">
        <v>10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>IF(B$17=0,0,G13/B$17)</f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>IF(B$17=0,0,G14/B$17)</f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>IF(B$17=0,0,G16/B$17)</f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>IF(B$17=0,0,G18/B$17)</f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>IF(B$17=0,0,G19/B$17)</f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13AE3-8B49-4EAE-BFAE-9B543531BD3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73</v>
      </c>
      <c r="F2" s="59" t="s">
        <v>28</v>
      </c>
      <c r="G2" s="46">
        <v>48</v>
      </c>
      <c r="H2" s="132">
        <f>IF(B$17=0,0,G2/B$17)</f>
        <v>0.7384615384615385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34</v>
      </c>
      <c r="H3" s="133">
        <f>IF(B$17=0,0,G3/B$17)</f>
        <v>0.52307692307692311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65</v>
      </c>
      <c r="F4" s="60" t="s">
        <v>21</v>
      </c>
      <c r="G4" s="47">
        <v>29</v>
      </c>
      <c r="H4" s="133">
        <f>IF(B$17=0,0,G4/B$17)</f>
        <v>0.44615384615384618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69</v>
      </c>
      <c r="F5" s="60" t="s">
        <v>12</v>
      </c>
      <c r="G5" s="47">
        <v>23</v>
      </c>
      <c r="H5" s="133">
        <f>IF(B$17=0,0,G5/B$17)</f>
        <v>0.35384615384615387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245</v>
      </c>
      <c r="F6" s="60" t="s">
        <v>246</v>
      </c>
      <c r="G6" s="47">
        <v>21</v>
      </c>
      <c r="H6" s="133">
        <f>IF(B$17=0,0,G6/B$17)</f>
        <v>0.32307692307692309</v>
      </c>
      <c r="I6" s="94">
        <v>13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20</v>
      </c>
      <c r="H7" s="133">
        <f>IF(B$17=0,0,G7/B$17)</f>
        <v>0.30769230769230771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1"/>
        <v>0.47619047619047616</v>
      </c>
      <c r="E8" s="63" t="s">
        <v>70</v>
      </c>
      <c r="F8" s="60" t="s">
        <v>25</v>
      </c>
      <c r="G8" s="47">
        <v>10</v>
      </c>
      <c r="H8" s="133">
        <f>IF(B$17=0,0,G8/B$17)</f>
        <v>0.15384615384615385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0.19047619047619047</v>
      </c>
      <c r="E9" s="63" t="s">
        <v>90</v>
      </c>
      <c r="F9" s="60" t="s">
        <v>45</v>
      </c>
      <c r="G9" s="47">
        <v>10</v>
      </c>
      <c r="H9" s="133">
        <f>IF(B$17=0,0,G9/B$17)</f>
        <v>0.15384615384615385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87</v>
      </c>
      <c r="F10" s="60" t="s">
        <v>42</v>
      </c>
      <c r="G10" s="47">
        <v>7</v>
      </c>
      <c r="H10" s="133">
        <f>IF(B$17=0,0,G10/B$17)</f>
        <v>0.1076923076923077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1"/>
        <v>4.7619047619047616E-2</v>
      </c>
      <c r="E11" s="63" t="s">
        <v>66</v>
      </c>
      <c r="F11" s="60" t="s">
        <v>22</v>
      </c>
      <c r="G11" s="47">
        <v>5</v>
      </c>
      <c r="H11" s="133">
        <f>IF(B$17=0,0,G11/B$17)</f>
        <v>7.6923076923076927E-2</v>
      </c>
      <c r="I11" s="94">
        <v>11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1"/>
        <v>9.5238095238095233E-2</v>
      </c>
      <c r="E12" s="63" t="s">
        <v>79</v>
      </c>
      <c r="F12" s="60" t="s">
        <v>34</v>
      </c>
      <c r="G12" s="47">
        <v>4</v>
      </c>
      <c r="H12" s="133">
        <f>IF(B$17=0,0,G12/B$17)</f>
        <v>6.1538461538461542E-2</v>
      </c>
      <c r="I12" s="94">
        <v>3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71</v>
      </c>
      <c r="F13" s="60" t="s">
        <v>26</v>
      </c>
      <c r="G13" s="47">
        <v>3</v>
      </c>
      <c r="H13" s="133">
        <f>IF(B$17=0,0,G13/B$17)</f>
        <v>4.6153846153846156E-2</v>
      </c>
      <c r="I13" s="94">
        <v>12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78</v>
      </c>
      <c r="F14" s="60" t="s">
        <v>33</v>
      </c>
      <c r="G14" s="47">
        <v>3</v>
      </c>
      <c r="H14" s="133">
        <f>IF(B$17=0,0,G14/B$17)</f>
        <v>4.6153846153846156E-2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84</v>
      </c>
      <c r="F15" s="60" t="s">
        <v>39</v>
      </c>
      <c r="G15" s="47">
        <v>3</v>
      </c>
      <c r="H15" s="133">
        <f>IF(B$17=0,0,G15/B$17)</f>
        <v>4.6153846153846156E-2</v>
      </c>
      <c r="I15" s="94">
        <v>8</v>
      </c>
      <c r="K15" s="38">
        <v>13</v>
      </c>
      <c r="L15" s="99">
        <v>83.299999999999983</v>
      </c>
      <c r="N15" s="114" t="s">
        <v>173</v>
      </c>
      <c r="O15" s="124">
        <f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72</v>
      </c>
      <c r="F16" s="60" t="s">
        <v>27</v>
      </c>
      <c r="G16" s="47">
        <v>1</v>
      </c>
      <c r="H16" s="133">
        <f>IF(B$17=0,0,G16/B$17)</f>
        <v>1.5384615384615385E-2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>IF(P16=0,0,Q16/P16)</f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82</v>
      </c>
      <c r="F18" s="60" t="s">
        <v>37</v>
      </c>
      <c r="G18" s="47">
        <v>1</v>
      </c>
      <c r="H18" s="133">
        <f>IF(B$17=0,0,G18/B$17)</f>
        <v>1.5384615384615385E-2</v>
      </c>
      <c r="I18" s="94">
        <v>11</v>
      </c>
      <c r="K18" s="38">
        <v>16</v>
      </c>
      <c r="L18" s="99">
        <v>99.6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112.39999999999999</v>
      </c>
      <c r="N19" s="115" t="s">
        <v>171</v>
      </c>
      <c r="O19" s="125">
        <f>IF(P19=0,0,Q19/P19)</f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>IF(P20=0,0,Q20/P20)</f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>IF(P21=0,0,Q21/P21)</f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80.999999999999986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E1D58-C1C9-4A41-B0AD-4DC0867148BD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13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13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14C22-C02B-4487-BA1A-466E72F6207F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11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15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9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1"/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1"/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13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1"/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14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4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9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9B21D-8392-4DFA-BC73-68549CA0552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-5455.5555555555557</v>
      </c>
      <c r="P2" s="118">
        <v>9</v>
      </c>
      <c r="Q2" s="102">
        <v>-49100</v>
      </c>
    </row>
    <row r="3" spans="1:17" x14ac:dyDescent="0.4">
      <c r="A3" s="55" t="s">
        <v>8</v>
      </c>
      <c r="B3" s="152">
        <v>80</v>
      </c>
      <c r="C3" s="153"/>
      <c r="E3" s="63" t="s">
        <v>67</v>
      </c>
      <c r="F3" s="60" t="s">
        <v>23</v>
      </c>
      <c r="G3" s="47">
        <v>9</v>
      </c>
      <c r="H3" s="133">
        <f>IF(B$17=0,0,G3/B$17)</f>
        <v>0.47368421052631576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0"/>
        <v>-3577.7777777777778</v>
      </c>
      <c r="P3" s="119">
        <v>9</v>
      </c>
      <c r="Q3" s="103">
        <v>-32200</v>
      </c>
    </row>
    <row r="4" spans="1:17" x14ac:dyDescent="0.4">
      <c r="A4" s="55" t="s">
        <v>6</v>
      </c>
      <c r="B4" s="154">
        <v>-292.60000000000002</v>
      </c>
      <c r="C4" s="155"/>
      <c r="E4" s="63" t="s">
        <v>245</v>
      </c>
      <c r="F4" s="60" t="s">
        <v>246</v>
      </c>
      <c r="G4" s="47">
        <v>9</v>
      </c>
      <c r="H4" s="133">
        <f>IF(B$17=0,0,G4/B$17)</f>
        <v>0.47368421052631576</v>
      </c>
      <c r="I4" s="94">
        <v>2</v>
      </c>
      <c r="K4" s="38">
        <v>2</v>
      </c>
      <c r="L4" s="99">
        <v>-96.5</v>
      </c>
      <c r="N4" s="115" t="s">
        <v>134</v>
      </c>
      <c r="O4" s="122">
        <f t="shared" si="0"/>
        <v>37.5</v>
      </c>
      <c r="P4" s="119">
        <v>8</v>
      </c>
      <c r="Q4" s="103">
        <v>300</v>
      </c>
    </row>
    <row r="5" spans="1:17" x14ac:dyDescent="0.4">
      <c r="A5" s="55" t="s">
        <v>7</v>
      </c>
      <c r="B5" s="156">
        <f>IF(B$2=0,0,B$4/B$2)</f>
        <v>-32.511111111111113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0.36842105263157893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3050</v>
      </c>
      <c r="P5" s="119">
        <v>8</v>
      </c>
      <c r="Q5" s="103">
        <v>24400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0.26315789473684209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0"/>
        <v>-3828.5714285714284</v>
      </c>
      <c r="P6" s="119">
        <v>7</v>
      </c>
      <c r="Q6" s="103">
        <v>-26800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87</v>
      </c>
      <c r="F7" s="60" t="s">
        <v>42</v>
      </c>
      <c r="G7" s="47">
        <v>3</v>
      </c>
      <c r="H7" s="133">
        <f>IF(B$17=0,0,G7/B$17)</f>
        <v>0.15789473684210525</v>
      </c>
      <c r="I7" s="94">
        <v>2</v>
      </c>
      <c r="K7" s="38">
        <v>5</v>
      </c>
      <c r="L7" s="99">
        <v>-152</v>
      </c>
      <c r="N7" s="116" t="s">
        <v>137</v>
      </c>
      <c r="O7" s="123">
        <f t="shared" si="0"/>
        <v>-6450</v>
      </c>
      <c r="P7" s="120">
        <v>6</v>
      </c>
      <c r="Q7" s="104">
        <v>-38700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66</v>
      </c>
      <c r="F8" s="60" t="s">
        <v>22</v>
      </c>
      <c r="G8" s="47">
        <v>2</v>
      </c>
      <c r="H8" s="133">
        <f>IF(B$17=0,0,G8/B$17)</f>
        <v>0.10526315789473684</v>
      </c>
      <c r="I8" s="94">
        <v>6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0.66666666666666663</v>
      </c>
      <c r="E9" s="63" t="s">
        <v>70</v>
      </c>
      <c r="F9" s="60" t="s">
        <v>25</v>
      </c>
      <c r="G9" s="47">
        <v>2</v>
      </c>
      <c r="H9" s="133">
        <f>IF(B$17=0,0,G9/B$17)</f>
        <v>0.10526315789473684</v>
      </c>
      <c r="I9" s="94">
        <v>12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0.1111111111111111</v>
      </c>
      <c r="E10" s="63" t="s">
        <v>79</v>
      </c>
      <c r="F10" s="60" t="s">
        <v>34</v>
      </c>
      <c r="G10" s="47">
        <v>2</v>
      </c>
      <c r="H10" s="133">
        <f>IF(B$17=0,0,G10/B$17)</f>
        <v>0.10526315789473684</v>
      </c>
      <c r="I10" s="94">
        <v>1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68</v>
      </c>
      <c r="F11" s="60" t="s">
        <v>24</v>
      </c>
      <c r="G11" s="47">
        <v>1</v>
      </c>
      <c r="H11" s="133">
        <f>IF(B$17=0,0,G11/B$17)</f>
        <v>5.2631578947368418E-2</v>
      </c>
      <c r="I11" s="94">
        <v>15</v>
      </c>
      <c r="K11" s="38">
        <v>9</v>
      </c>
      <c r="L11" s="99">
        <v>-292.60000000000002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1</v>
      </c>
      <c r="H12" s="133">
        <f>IF(B$17=0,0,G12/B$17)</f>
        <v>5.2631578947368418E-2</v>
      </c>
      <c r="I12" s="94">
        <v>11</v>
      </c>
      <c r="N12" s="116" t="s">
        <v>166</v>
      </c>
      <c r="O12" s="126">
        <f>IF(P12=0,0,Q12/P12)</f>
        <v>-2.8</v>
      </c>
      <c r="P12" s="120">
        <v>1</v>
      </c>
      <c r="Q12" s="108">
        <v>-2.8</v>
      </c>
    </row>
    <row r="13" spans="1:17" x14ac:dyDescent="0.4">
      <c r="A13" s="58" t="s">
        <v>122</v>
      </c>
      <c r="B13" s="50">
        <v>14</v>
      </c>
      <c r="C13" s="44">
        <f>IF(B$3=0,0,B13/B$3)</f>
        <v>0.17499999999999999</v>
      </c>
      <c r="E13" s="63" t="s">
        <v>90</v>
      </c>
      <c r="F13" s="60" t="s">
        <v>45</v>
      </c>
      <c r="G13" s="47">
        <v>1</v>
      </c>
      <c r="H13" s="133">
        <f>IF(B$17=0,0,G13/B$17)</f>
        <v>5.2631578947368418E-2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</v>
      </c>
      <c r="E14" s="63" t="s">
        <v>92</v>
      </c>
      <c r="F14" s="60" t="s">
        <v>47</v>
      </c>
      <c r="G14" s="47">
        <v>1</v>
      </c>
      <c r="H14" s="133">
        <f>IF(B$17=0,0,G14/B$17)</f>
        <v>5.2631578947368418E-2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0.7142857142857143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13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9</v>
      </c>
      <c r="N16" s="115" t="s">
        <v>129</v>
      </c>
      <c r="O16" s="125">
        <f>IF(P16=0,0,Q16/P16)</f>
        <v>-38.15</v>
      </c>
      <c r="P16" s="119">
        <v>6</v>
      </c>
      <c r="Q16" s="107">
        <v>-228.89999999999998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0.23749999999999999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7</v>
      </c>
      <c r="N17" s="115" t="s">
        <v>177</v>
      </c>
      <c r="O17" s="125">
        <f>IF(P17=0,0,Q17/P17)</f>
        <v>-64.680000000000007</v>
      </c>
      <c r="P17" s="119">
        <v>5</v>
      </c>
      <c r="Q17" s="107">
        <v>-323.40000000000003</v>
      </c>
    </row>
    <row r="18" spans="1:17" x14ac:dyDescent="0.4">
      <c r="A18" s="55" t="s">
        <v>12</v>
      </c>
      <c r="B18" s="47">
        <v>8</v>
      </c>
      <c r="C18" s="39">
        <f>IF(B$17=0,0,B18/B$17)</f>
        <v>0.42105263157894735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9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11</v>
      </c>
      <c r="C19" s="39">
        <f>IF(B$17=0,0,B19/B$17)</f>
        <v>0.57894736842105265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21</v>
      </c>
      <c r="C20" s="39">
        <f>IF(B$3=0,0,B20/B$3)</f>
        <v>0.26250000000000001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9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6821.0526315789475</v>
      </c>
      <c r="C23" s="41">
        <v>129600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-7042.8571428571431</v>
      </c>
      <c r="C24" s="45">
        <v>-147900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13</v>
      </c>
    </row>
    <row r="26" spans="1:17" x14ac:dyDescent="0.4">
      <c r="A26" s="58" t="s">
        <v>152</v>
      </c>
      <c r="B26" s="142">
        <v>52800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6</v>
      </c>
    </row>
    <row r="27" spans="1:17" x14ac:dyDescent="0.4">
      <c r="A27" s="57" t="s">
        <v>143</v>
      </c>
      <c r="B27" s="65">
        <v>1</v>
      </c>
      <c r="C27" s="42">
        <f>IF(B$3=0,0,B27/B$3)</f>
        <v>1.2500000000000001E-2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1CCE7-7988-4B64-8DDF-B8F7ACB0D55E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301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7</v>
      </c>
      <c r="H2" s="132">
        <f>IF(B$17=0,0,G2/B$17)</f>
        <v>0.7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2675</v>
      </c>
      <c r="P2" s="118">
        <v>4</v>
      </c>
      <c r="Q2" s="102">
        <v>10700</v>
      </c>
    </row>
    <row r="3" spans="1:17" x14ac:dyDescent="0.4">
      <c r="A3" s="55" t="s">
        <v>8</v>
      </c>
      <c r="B3" s="152">
        <v>32</v>
      </c>
      <c r="C3" s="153"/>
      <c r="E3" s="63" t="s">
        <v>65</v>
      </c>
      <c r="F3" s="60" t="s">
        <v>21</v>
      </c>
      <c r="G3" s="47">
        <v>4</v>
      </c>
      <c r="H3" s="133">
        <f>IF(B$17=0,0,G3/B$17)</f>
        <v>0.4</v>
      </c>
      <c r="I3" s="94">
        <v>13</v>
      </c>
      <c r="K3" s="38">
        <v>1</v>
      </c>
      <c r="L3" s="99">
        <v>-57.7</v>
      </c>
      <c r="N3" s="115" t="s">
        <v>133</v>
      </c>
      <c r="O3" s="122">
        <f t="shared" si="0"/>
        <v>-7300</v>
      </c>
      <c r="P3" s="119">
        <v>4</v>
      </c>
      <c r="Q3" s="103">
        <v>-29200</v>
      </c>
    </row>
    <row r="4" spans="1:17" x14ac:dyDescent="0.4">
      <c r="A4" s="55" t="s">
        <v>6</v>
      </c>
      <c r="B4" s="154">
        <v>-56.2</v>
      </c>
      <c r="C4" s="155"/>
      <c r="E4" s="63" t="s">
        <v>67</v>
      </c>
      <c r="F4" s="60" t="s">
        <v>23</v>
      </c>
      <c r="G4" s="47">
        <v>2</v>
      </c>
      <c r="H4" s="133">
        <f>IF(B$17=0,0,G4/B$17)</f>
        <v>0.2</v>
      </c>
      <c r="I4" s="94">
        <v>15</v>
      </c>
      <c r="K4" s="38">
        <v>2</v>
      </c>
      <c r="L4" s="99">
        <v>-94.5</v>
      </c>
      <c r="N4" s="115" t="s">
        <v>134</v>
      </c>
      <c r="O4" s="122">
        <f t="shared" si="0"/>
        <v>-100</v>
      </c>
      <c r="P4" s="119">
        <v>4</v>
      </c>
      <c r="Q4" s="103">
        <v>-400</v>
      </c>
    </row>
    <row r="5" spans="1:17" x14ac:dyDescent="0.4">
      <c r="A5" s="55" t="s">
        <v>7</v>
      </c>
      <c r="B5" s="156">
        <f>IF(B$2=0,0,B$4/B$2)</f>
        <v>-14.05</v>
      </c>
      <c r="C5" s="157"/>
      <c r="E5" s="63" t="s">
        <v>245</v>
      </c>
      <c r="F5" s="60" t="s">
        <v>246</v>
      </c>
      <c r="G5" s="47">
        <v>2</v>
      </c>
      <c r="H5" s="133">
        <f>IF(B$17=0,0,G5/B$17)</f>
        <v>0.2</v>
      </c>
      <c r="I5" s="94">
        <v>15</v>
      </c>
      <c r="K5" s="38">
        <v>3</v>
      </c>
      <c r="L5" s="99">
        <v>-96.4</v>
      </c>
      <c r="N5" s="115" t="s">
        <v>135</v>
      </c>
      <c r="O5" s="122">
        <f t="shared" si="0"/>
        <v>3025</v>
      </c>
      <c r="P5" s="119">
        <v>4</v>
      </c>
      <c r="Q5" s="103">
        <v>12100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66</v>
      </c>
      <c r="F6" s="60" t="s">
        <v>22</v>
      </c>
      <c r="G6" s="47">
        <v>1</v>
      </c>
      <c r="H6" s="133">
        <f>IF(B$17=0,0,G6/B$17)</f>
        <v>0.1</v>
      </c>
      <c r="I6" s="94">
        <v>8</v>
      </c>
      <c r="K6" s="38">
        <v>4</v>
      </c>
      <c r="L6" s="99">
        <v>-56.2</v>
      </c>
      <c r="N6" s="115" t="s">
        <v>136</v>
      </c>
      <c r="O6" s="122">
        <f t="shared" si="0"/>
        <v>-6000</v>
      </c>
      <c r="P6" s="119">
        <v>3</v>
      </c>
      <c r="Q6" s="103">
        <v>-18000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68</v>
      </c>
      <c r="F7" s="60" t="s">
        <v>24</v>
      </c>
      <c r="G7" s="47">
        <v>1</v>
      </c>
      <c r="H7" s="133">
        <f>IF(B$17=0,0,G7/B$17)</f>
        <v>0.1</v>
      </c>
      <c r="I7" s="94">
        <v>14</v>
      </c>
      <c r="N7" s="116" t="s">
        <v>137</v>
      </c>
      <c r="O7" s="123">
        <f t="shared" si="0"/>
        <v>-5833.333333333333</v>
      </c>
      <c r="P7" s="120">
        <v>3</v>
      </c>
      <c r="Q7" s="104">
        <v>-17500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69</v>
      </c>
      <c r="F8" s="60" t="s">
        <v>12</v>
      </c>
      <c r="G8" s="47">
        <v>1</v>
      </c>
      <c r="H8" s="133">
        <f>IF(B$17=0,0,G8/B$17)</f>
        <v>0.1</v>
      </c>
      <c r="I8" s="94">
        <v>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70</v>
      </c>
      <c r="F9" s="60" t="s">
        <v>25</v>
      </c>
      <c r="G9" s="47">
        <v>1</v>
      </c>
      <c r="H9" s="133">
        <f>IF(B$17=0,0,G9/B$17)</f>
        <v>0.1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82</v>
      </c>
      <c r="F10" s="60" t="s">
        <v>37</v>
      </c>
      <c r="G10" s="47">
        <v>1</v>
      </c>
      <c r="H10" s="133">
        <f>IF(B$17=0,0,G10/B$17)</f>
        <v>0.1</v>
      </c>
      <c r="I10" s="94">
        <v>2</v>
      </c>
      <c r="N10" s="114" t="s">
        <v>164</v>
      </c>
      <c r="O10" s="124">
        <f>IF(P10=0,0,Q10/P10)</f>
        <v>-57.7</v>
      </c>
      <c r="P10" s="118">
        <v>1</v>
      </c>
      <c r="Q10" s="106">
        <v>-57.7</v>
      </c>
    </row>
    <row r="11" spans="1:17" x14ac:dyDescent="0.4">
      <c r="A11" s="56" t="s">
        <v>140</v>
      </c>
      <c r="B11" s="48">
        <v>1</v>
      </c>
      <c r="C11" s="40">
        <f t="shared" si="1"/>
        <v>0.25</v>
      </c>
      <c r="E11" s="63" t="s">
        <v>84</v>
      </c>
      <c r="F11" s="60" t="s">
        <v>39</v>
      </c>
      <c r="G11" s="47">
        <v>1</v>
      </c>
      <c r="H11" s="133">
        <f>IF(B$17=0,0,G11/B$17)</f>
        <v>0.1</v>
      </c>
      <c r="I11" s="94">
        <v>2</v>
      </c>
      <c r="N11" s="115" t="s">
        <v>165</v>
      </c>
      <c r="O11" s="125">
        <f>IF(P11=0,0,Q11/P11)</f>
        <v>0.50000000000000233</v>
      </c>
      <c r="P11" s="119">
        <v>3</v>
      </c>
      <c r="Q11" s="107">
        <v>1.5000000000000071</v>
      </c>
    </row>
    <row r="12" spans="1:17" x14ac:dyDescent="0.4">
      <c r="A12" s="57" t="s">
        <v>160</v>
      </c>
      <c r="B12" s="49">
        <v>1</v>
      </c>
      <c r="C12" s="42">
        <f t="shared" si="1"/>
        <v>0.25</v>
      </c>
      <c r="E12" s="63" t="s">
        <v>87</v>
      </c>
      <c r="F12" s="60" t="s">
        <v>42</v>
      </c>
      <c r="G12" s="47">
        <v>1</v>
      </c>
      <c r="H12" s="133">
        <f>IF(B$17=0,0,G12/B$17)</f>
        <v>0.1</v>
      </c>
      <c r="I12" s="94">
        <v>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0.21875</v>
      </c>
      <c r="E13" s="63" t="s">
        <v>90</v>
      </c>
      <c r="F13" s="60" t="s">
        <v>45</v>
      </c>
      <c r="G13" s="47">
        <v>1</v>
      </c>
      <c r="H13" s="133">
        <f>IF(B$17=0,0,G13/B$17)</f>
        <v>0.1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0.375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13</v>
      </c>
      <c r="N15" s="114" t="s">
        <v>129</v>
      </c>
      <c r="O15" s="124">
        <f>IF(P15=0,0,Q15/P15)</f>
        <v>-5.75</v>
      </c>
      <c r="P15" s="118">
        <v>4</v>
      </c>
      <c r="Q15" s="106">
        <v>-23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-36.400000000000006</v>
      </c>
      <c r="P16" s="119">
        <v>4</v>
      </c>
      <c r="Q16" s="107">
        <v>-145.60000000000002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7</v>
      </c>
    </row>
    <row r="18" spans="1:9" x14ac:dyDescent="0.4">
      <c r="A18" s="55" t="s">
        <v>12</v>
      </c>
      <c r="B18" s="47">
        <v>3</v>
      </c>
      <c r="C18" s="39">
        <f>IF(B$17=0,0,B18/B$17)</f>
        <v>0.3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9</v>
      </c>
    </row>
    <row r="19" spans="1:9" x14ac:dyDescent="0.4">
      <c r="A19" s="55" t="s">
        <v>11</v>
      </c>
      <c r="B19" s="47">
        <v>7</v>
      </c>
      <c r="C19" s="39">
        <f>IF(B$17=0,0,B19/B$17)</f>
        <v>0.7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0.15625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9</v>
      </c>
    </row>
    <row r="21" spans="1:9" x14ac:dyDescent="0.4">
      <c r="A21" s="55" t="s">
        <v>191</v>
      </c>
      <c r="B21" s="47">
        <v>4</v>
      </c>
      <c r="C21" s="135">
        <v>4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12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4940</v>
      </c>
      <c r="C23" s="41">
        <v>49400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-11280</v>
      </c>
      <c r="C24" s="45">
        <v>-56400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142</v>
      </c>
      <c r="B25" s="144">
        <v>2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42">
        <v>55200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6846F-DAC3-4F0E-821E-EA38663AB149}">
  <sheetPr codeName="Sheet35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301</v>
      </c>
      <c r="B1" s="70" t="s">
        <v>301</v>
      </c>
      <c r="C1" s="70" t="s">
        <v>301</v>
      </c>
      <c r="D1" s="71" t="s">
        <v>301</v>
      </c>
      <c r="E1" s="70" t="s">
        <v>301</v>
      </c>
      <c r="F1" s="70" t="s">
        <v>301</v>
      </c>
      <c r="G1" s="70" t="s">
        <v>301</v>
      </c>
      <c r="H1" s="70" t="s">
        <v>301</v>
      </c>
      <c r="I1" s="70" t="s">
        <v>301</v>
      </c>
      <c r="J1" s="70" t="s">
        <v>301</v>
      </c>
      <c r="K1" s="70" t="s">
        <v>301</v>
      </c>
      <c r="L1" s="70" t="s">
        <v>301</v>
      </c>
      <c r="M1" s="70" t="s">
        <v>301</v>
      </c>
      <c r="N1" s="70" t="s">
        <v>301</v>
      </c>
      <c r="O1" s="70" t="s">
        <v>301</v>
      </c>
      <c r="P1" s="70" t="s">
        <v>301</v>
      </c>
      <c r="Q1" s="70" t="s">
        <v>301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-57.7</v>
      </c>
      <c r="C4" s="66">
        <v>-57.7</v>
      </c>
      <c r="D4" s="71">
        <v>3</v>
      </c>
      <c r="E4" s="67">
        <v>0</v>
      </c>
      <c r="F4" s="67">
        <v>1</v>
      </c>
      <c r="G4" s="67">
        <v>0.27272727272727271</v>
      </c>
      <c r="H4" s="67">
        <v>0.36363636363636365</v>
      </c>
      <c r="I4" s="68">
        <v>4566.666666666667</v>
      </c>
      <c r="J4" s="68">
        <v>-11100</v>
      </c>
      <c r="K4" s="67">
        <v>1</v>
      </c>
      <c r="L4" s="67">
        <v>0</v>
      </c>
      <c r="M4" s="67">
        <v>0.18181818181818182</v>
      </c>
      <c r="N4" s="67">
        <v>0.27272727272727271</v>
      </c>
      <c r="O4" s="67">
        <v>0.5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-94.5</v>
      </c>
      <c r="C5" s="66">
        <v>-47.25</v>
      </c>
      <c r="D5" s="71">
        <v>3</v>
      </c>
      <c r="E5" s="67">
        <v>0</v>
      </c>
      <c r="F5" s="67">
        <v>1</v>
      </c>
      <c r="G5" s="67">
        <v>0.17647058823529413</v>
      </c>
      <c r="H5" s="67">
        <v>0.23529411764705882</v>
      </c>
      <c r="I5" s="68">
        <v>4566.666666666667</v>
      </c>
      <c r="J5" s="68">
        <v>-11100</v>
      </c>
      <c r="K5" s="67">
        <v>0.5</v>
      </c>
      <c r="L5" s="67">
        <v>0</v>
      </c>
      <c r="M5" s="67">
        <v>0.23529411764705882</v>
      </c>
      <c r="N5" s="67">
        <v>0.35294117647058826</v>
      </c>
      <c r="O5" s="67">
        <v>0.25</v>
      </c>
      <c r="P5" s="67">
        <v>0</v>
      </c>
      <c r="Q5" s="67">
        <v>0.33333333333333331</v>
      </c>
    </row>
    <row r="6" spans="1:17" x14ac:dyDescent="0.4">
      <c r="A6" s="69">
        <v>3</v>
      </c>
      <c r="B6" s="66">
        <v>-96.4</v>
      </c>
      <c r="C6" s="66">
        <v>-32.133333333333333</v>
      </c>
      <c r="D6" s="71">
        <v>2.6666666666666665</v>
      </c>
      <c r="E6" s="67">
        <v>0</v>
      </c>
      <c r="F6" s="67">
        <v>0.66666666666666663</v>
      </c>
      <c r="G6" s="67">
        <v>0.24</v>
      </c>
      <c r="H6" s="67">
        <v>0.2</v>
      </c>
      <c r="I6" s="68">
        <v>5616.666666666667</v>
      </c>
      <c r="J6" s="68">
        <v>-11280</v>
      </c>
      <c r="K6" s="67">
        <v>0.33333333333333331</v>
      </c>
      <c r="L6" s="67">
        <v>0</v>
      </c>
      <c r="M6" s="67">
        <v>0.24</v>
      </c>
      <c r="N6" s="67">
        <v>0.36</v>
      </c>
      <c r="O6" s="67">
        <v>0.5</v>
      </c>
      <c r="P6" s="67">
        <v>0.1111111111111111</v>
      </c>
      <c r="Q6" s="67">
        <v>0.33333333333333331</v>
      </c>
    </row>
    <row r="7" spans="1:17" x14ac:dyDescent="0.4">
      <c r="A7" s="69">
        <v>4</v>
      </c>
      <c r="B7" s="66">
        <v>-56.2</v>
      </c>
      <c r="C7" s="66">
        <v>-14.05</v>
      </c>
      <c r="D7" s="71">
        <v>2.25</v>
      </c>
      <c r="E7" s="67">
        <v>0.25</v>
      </c>
      <c r="F7" s="67">
        <v>0.5</v>
      </c>
      <c r="G7" s="67">
        <v>0.3125</v>
      </c>
      <c r="H7" s="67">
        <v>0.15625</v>
      </c>
      <c r="I7" s="68">
        <v>4940</v>
      </c>
      <c r="J7" s="68">
        <v>-11280</v>
      </c>
      <c r="K7" s="67">
        <v>0.25</v>
      </c>
      <c r="L7" s="67">
        <v>0.25</v>
      </c>
      <c r="M7" s="67">
        <v>0.21875</v>
      </c>
      <c r="N7" s="67">
        <v>0.375</v>
      </c>
      <c r="O7" s="67">
        <v>0.42857142857142855</v>
      </c>
      <c r="P7" s="67">
        <v>0.25</v>
      </c>
      <c r="Q7" s="67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0E1C-D552-409A-9A5E-1C331C94EB4A}">
  <sheetPr codeName="Sheet33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  <row r="12" spans="1:17" x14ac:dyDescent="0.4">
      <c r="A12" s="69">
        <v>9</v>
      </c>
      <c r="B12" s="66">
        <v>-292.60000000000002</v>
      </c>
      <c r="C12" s="66">
        <v>-32.511111111111113</v>
      </c>
      <c r="D12" s="71">
        <v>2.6666666666666665</v>
      </c>
      <c r="E12" s="67">
        <v>0</v>
      </c>
      <c r="F12" s="67">
        <v>0.66666666666666663</v>
      </c>
      <c r="G12" s="67">
        <v>0.23749999999999999</v>
      </c>
      <c r="H12" s="67">
        <v>0.26250000000000001</v>
      </c>
      <c r="I12" s="68">
        <v>6821.0526315789475</v>
      </c>
      <c r="J12" s="68">
        <v>-7042.8571428571431</v>
      </c>
      <c r="K12" s="67">
        <v>0.1111111111111111</v>
      </c>
      <c r="L12" s="67">
        <v>0</v>
      </c>
      <c r="M12" s="67">
        <v>0.17499999999999999</v>
      </c>
      <c r="N12" s="67">
        <v>0.3</v>
      </c>
      <c r="O12" s="67">
        <v>0.7142857142857143</v>
      </c>
      <c r="P12" s="67">
        <v>0.25</v>
      </c>
      <c r="Q12" s="67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49AE-2D7E-4D36-A13A-2155766CD6DA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2B8F5-2083-4FF2-8AE0-9081455A3CC0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7E979-E297-4027-B680-186CDF337997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6B6B9-E96B-4BF4-85BA-7D84B7542D6E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98712-B9FF-4C0A-AC05-AB3CE4E4D7A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F5A2E-B837-4375-AAD1-74CC124D2436}">
  <sheetPr codeName="Sheet2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  <row r="117" spans="1:17" x14ac:dyDescent="0.4">
      <c r="A117" s="69">
        <v>114</v>
      </c>
      <c r="B117" s="66">
        <v>-98.400000000000077</v>
      </c>
      <c r="C117" s="66">
        <v>-0.86315789473684279</v>
      </c>
      <c r="D117" s="71">
        <v>2.0087719298245612</v>
      </c>
      <c r="E117" s="67">
        <v>0.31578947368421051</v>
      </c>
      <c r="F117" s="67">
        <v>0.32456140350877194</v>
      </c>
      <c r="G117" s="67">
        <v>0.27061310782241016</v>
      </c>
      <c r="H117" s="67">
        <v>0.15221987315010571</v>
      </c>
      <c r="I117" s="68">
        <v>8657.03125</v>
      </c>
      <c r="J117" s="68">
        <v>-7183.333333333333</v>
      </c>
      <c r="K117" s="67">
        <v>0.13157894736842105</v>
      </c>
      <c r="L117" s="67">
        <v>9.6491228070175433E-2</v>
      </c>
      <c r="M117" s="67">
        <v>0.26532769556025371</v>
      </c>
      <c r="N117" s="67">
        <v>0.193446088794926</v>
      </c>
      <c r="O117" s="67">
        <v>0.60159362549800799</v>
      </c>
      <c r="P117" s="67">
        <v>0.3551912568306011</v>
      </c>
      <c r="Q117" s="67">
        <v>0.4453125</v>
      </c>
    </row>
    <row r="118" spans="1:17" x14ac:dyDescent="0.4">
      <c r="A118" s="69">
        <v>115</v>
      </c>
      <c r="B118" s="66">
        <v>-62.700000000000074</v>
      </c>
      <c r="C118" s="66">
        <v>-0.54521739130434843</v>
      </c>
      <c r="D118" s="71">
        <v>2</v>
      </c>
      <c r="E118" s="67">
        <v>0.32173913043478258</v>
      </c>
      <c r="F118" s="67">
        <v>0.32173913043478258</v>
      </c>
      <c r="G118" s="67">
        <v>0.27205882352941174</v>
      </c>
      <c r="H118" s="67">
        <v>0.15126050420168066</v>
      </c>
      <c r="I118" s="68">
        <v>8636.6795366795359</v>
      </c>
      <c r="J118" s="68">
        <v>-7183.333333333333</v>
      </c>
      <c r="K118" s="67">
        <v>0.13043478260869565</v>
      </c>
      <c r="L118" s="67">
        <v>9.5652173913043481E-2</v>
      </c>
      <c r="M118" s="67">
        <v>0.2657563025210084</v>
      </c>
      <c r="N118" s="67">
        <v>0.19222689075630253</v>
      </c>
      <c r="O118" s="67">
        <v>0.60474308300395252</v>
      </c>
      <c r="P118" s="67">
        <v>0.3551912568306011</v>
      </c>
      <c r="Q118" s="67">
        <v>0.44787644787644787</v>
      </c>
    </row>
    <row r="119" spans="1:17" x14ac:dyDescent="0.4">
      <c r="A119" s="69">
        <v>116</v>
      </c>
      <c r="B119" s="66">
        <v>-35.500000000000071</v>
      </c>
      <c r="C119" s="66">
        <v>-0.30603448275862133</v>
      </c>
      <c r="D119" s="71">
        <v>1.9913793103448276</v>
      </c>
      <c r="E119" s="67">
        <v>0.32758620689655171</v>
      </c>
      <c r="F119" s="67">
        <v>0.31896551724137934</v>
      </c>
      <c r="G119" s="67">
        <v>0.27291666666666664</v>
      </c>
      <c r="H119" s="67">
        <v>0.15104166666666666</v>
      </c>
      <c r="I119" s="68">
        <v>8644.6564885496191</v>
      </c>
      <c r="J119" s="68">
        <v>-7216.5517241379312</v>
      </c>
      <c r="K119" s="67">
        <v>0.12931034482758622</v>
      </c>
      <c r="L119" s="67">
        <v>9.4827586206896547E-2</v>
      </c>
      <c r="M119" s="67">
        <v>0.26458333333333334</v>
      </c>
      <c r="N119" s="67">
        <v>0.19375000000000001</v>
      </c>
      <c r="O119" s="67">
        <v>0.60629921259842523</v>
      </c>
      <c r="P119" s="67">
        <v>0.35483870967741937</v>
      </c>
      <c r="Q119" s="67">
        <v>0.45038167938931295</v>
      </c>
    </row>
    <row r="120" spans="1:17" x14ac:dyDescent="0.4">
      <c r="A120" s="69">
        <v>117</v>
      </c>
      <c r="B120" s="66">
        <v>-19.70000000000007</v>
      </c>
      <c r="C120" s="66">
        <v>-0.16837606837606897</v>
      </c>
      <c r="D120" s="71">
        <v>1.9914529914529915</v>
      </c>
      <c r="E120" s="67">
        <v>0.3247863247863248</v>
      </c>
      <c r="F120" s="67">
        <v>0.31623931623931623</v>
      </c>
      <c r="G120" s="67">
        <v>0.27197518097207857</v>
      </c>
      <c r="H120" s="67">
        <v>0.15098241985522234</v>
      </c>
      <c r="I120" s="68">
        <v>8672.6235741444871</v>
      </c>
      <c r="J120" s="68">
        <v>-7184.9315068493152</v>
      </c>
      <c r="K120" s="67">
        <v>0.12820512820512819</v>
      </c>
      <c r="L120" s="67">
        <v>9.4017094017094016E-2</v>
      </c>
      <c r="M120" s="67">
        <v>0.26370217166494314</v>
      </c>
      <c r="N120" s="67">
        <v>0.19338159255429163</v>
      </c>
      <c r="O120" s="67">
        <v>0.60392156862745094</v>
      </c>
      <c r="P120" s="67">
        <v>0.35828877005347592</v>
      </c>
      <c r="Q120" s="67">
        <v>0.44866920152091255</v>
      </c>
    </row>
    <row r="121" spans="1:17" x14ac:dyDescent="0.4">
      <c r="A121" s="69">
        <v>118</v>
      </c>
      <c r="B121" s="66">
        <v>-48.500000000000071</v>
      </c>
      <c r="C121" s="66">
        <v>-0.411016949152543</v>
      </c>
      <c r="D121" s="71">
        <v>2</v>
      </c>
      <c r="E121" s="67">
        <v>0.32203389830508472</v>
      </c>
      <c r="F121" s="67">
        <v>0.32203389830508472</v>
      </c>
      <c r="G121" s="67">
        <v>0.27049180327868855</v>
      </c>
      <c r="H121" s="67">
        <v>0.15061475409836064</v>
      </c>
      <c r="I121" s="68">
        <v>8659.8484848484841</v>
      </c>
      <c r="J121" s="68">
        <v>-7162.5850340136058</v>
      </c>
      <c r="K121" s="67">
        <v>0.1271186440677966</v>
      </c>
      <c r="L121" s="67">
        <v>9.3220338983050849E-2</v>
      </c>
      <c r="M121" s="67">
        <v>0.26331967213114754</v>
      </c>
      <c r="N121" s="67">
        <v>0.19262295081967212</v>
      </c>
      <c r="O121" s="67">
        <v>0.59922178988326846</v>
      </c>
      <c r="P121" s="67">
        <v>0.36170212765957449</v>
      </c>
      <c r="Q121" s="67">
        <v>0.45075757575757575</v>
      </c>
    </row>
    <row r="122" spans="1:17" x14ac:dyDescent="0.4">
      <c r="A122" s="69">
        <v>119</v>
      </c>
      <c r="B122" s="66">
        <v>12.699999999999932</v>
      </c>
      <c r="C122" s="66">
        <v>0.10672268907562968</v>
      </c>
      <c r="D122" s="71">
        <v>1.9915966386554622</v>
      </c>
      <c r="E122" s="67">
        <v>0.32773109243697479</v>
      </c>
      <c r="F122" s="67">
        <v>0.31932773109243695</v>
      </c>
      <c r="G122" s="67">
        <v>0.27190332326283989</v>
      </c>
      <c r="H122" s="67">
        <v>0.15005035246727089</v>
      </c>
      <c r="I122" s="68">
        <v>8703.7037037037044</v>
      </c>
      <c r="J122" s="68">
        <v>-7090.6040268456372</v>
      </c>
      <c r="K122" s="67">
        <v>0.12605042016806722</v>
      </c>
      <c r="L122" s="67">
        <v>9.2436974789915971E-2</v>
      </c>
      <c r="M122" s="67">
        <v>0.26384692849949648</v>
      </c>
      <c r="N122" s="67">
        <v>0.19234642497482377</v>
      </c>
      <c r="O122" s="67">
        <v>0.60687022900763354</v>
      </c>
      <c r="P122" s="67">
        <v>0.35602094240837695</v>
      </c>
      <c r="Q122" s="67">
        <v>0.44444444444444442</v>
      </c>
    </row>
    <row r="123" spans="1:17" x14ac:dyDescent="0.4">
      <c r="A123" s="69">
        <v>120</v>
      </c>
      <c r="B123" s="66">
        <v>15.899999999999931</v>
      </c>
      <c r="C123" s="66">
        <v>0.13249999999999942</v>
      </c>
      <c r="D123" s="71">
        <v>1.9916666666666667</v>
      </c>
      <c r="E123" s="67">
        <v>0.32500000000000001</v>
      </c>
      <c r="F123" s="67">
        <v>0.31666666666666665</v>
      </c>
      <c r="G123" s="67">
        <v>0.27127127127127126</v>
      </c>
      <c r="H123" s="67">
        <v>0.15015015015015015</v>
      </c>
      <c r="I123" s="68">
        <v>8700</v>
      </c>
      <c r="J123" s="68">
        <v>-7056.666666666667</v>
      </c>
      <c r="K123" s="67">
        <v>0.125</v>
      </c>
      <c r="L123" s="67">
        <v>9.166666666666666E-2</v>
      </c>
      <c r="M123" s="67">
        <v>0.26226226226226224</v>
      </c>
      <c r="N123" s="67">
        <v>0.19119119119119118</v>
      </c>
      <c r="O123" s="67">
        <v>0.60687022900763354</v>
      </c>
      <c r="P123" s="67">
        <v>0.35602094240837695</v>
      </c>
      <c r="Q123" s="67">
        <v>0.44649446494464945</v>
      </c>
    </row>
    <row r="124" spans="1:17" x14ac:dyDescent="0.4">
      <c r="A124" s="69">
        <v>121</v>
      </c>
      <c r="B124" s="66">
        <v>57.399999999999935</v>
      </c>
      <c r="C124" s="66">
        <v>0.47438016528925564</v>
      </c>
      <c r="D124" s="71">
        <v>1.9834710743801653</v>
      </c>
      <c r="E124" s="67">
        <v>0.33057851239669422</v>
      </c>
      <c r="F124" s="67">
        <v>0.31404958677685951</v>
      </c>
      <c r="G124" s="67">
        <v>0.27209533267130087</v>
      </c>
      <c r="H124" s="67">
        <v>0.1499503475670308</v>
      </c>
      <c r="I124" s="68">
        <v>8750.7299270072999</v>
      </c>
      <c r="J124" s="68">
        <v>-7062.9139072847684</v>
      </c>
      <c r="K124" s="67">
        <v>0.12396694214876033</v>
      </c>
      <c r="L124" s="67">
        <v>9.0909090909090912E-2</v>
      </c>
      <c r="M124" s="67">
        <v>0.26315789473684209</v>
      </c>
      <c r="N124" s="67">
        <v>0.19265143992055611</v>
      </c>
      <c r="O124" s="67">
        <v>0.60754716981132073</v>
      </c>
      <c r="P124" s="67">
        <v>0.35567010309278352</v>
      </c>
      <c r="Q124" s="67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3A6FF-DA58-4C36-80C7-BB19971C833C}">
  <sheetPr codeName="Sheet1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  <row r="64" spans="1:17" x14ac:dyDescent="0.4">
      <c r="A64" s="69">
        <v>61</v>
      </c>
      <c r="B64" s="66">
        <v>-560.6</v>
      </c>
      <c r="C64" s="66">
        <v>-9.1901639344262307</v>
      </c>
      <c r="D64" s="71">
        <v>2.1475409836065573</v>
      </c>
      <c r="E64" s="67">
        <v>0.26229508196721313</v>
      </c>
      <c r="F64" s="67">
        <v>0.4098360655737705</v>
      </c>
      <c r="G64" s="67">
        <v>0.27788279773156899</v>
      </c>
      <c r="H64" s="67">
        <v>0.19470699432892249</v>
      </c>
      <c r="I64" s="68">
        <v>7610.2040816326535</v>
      </c>
      <c r="J64" s="68">
        <v>-8151.4563106796113</v>
      </c>
      <c r="K64" s="67">
        <v>0.16393442622950818</v>
      </c>
      <c r="L64" s="67">
        <v>6.5573770491803282E-2</v>
      </c>
      <c r="M64" s="67">
        <v>0.22306238185255198</v>
      </c>
      <c r="N64" s="67">
        <v>0.21550094517958412</v>
      </c>
      <c r="O64" s="67">
        <v>0.57627118644067798</v>
      </c>
      <c r="P64" s="67">
        <v>0.33333333333333331</v>
      </c>
      <c r="Q64" s="67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17DF2-D0B5-43DD-B750-047F173FA28B}">
  <sheetPr codeName="Sheet16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  <row r="107" spans="1:17" x14ac:dyDescent="0.4">
      <c r="A107" s="69">
        <v>104</v>
      </c>
      <c r="B107" s="66">
        <v>-234.20000000000005</v>
      </c>
      <c r="C107" s="66">
        <v>-2.2519230769230774</v>
      </c>
      <c r="D107" s="71">
        <v>2.0576923076923075</v>
      </c>
      <c r="E107" s="67">
        <v>0.25</v>
      </c>
      <c r="F107" s="67">
        <v>0.30769230769230771</v>
      </c>
      <c r="G107" s="67">
        <v>0.3356242840778923</v>
      </c>
      <c r="H107" s="67">
        <v>0.14432989690721648</v>
      </c>
      <c r="I107" s="68">
        <v>6765.5290102389081</v>
      </c>
      <c r="J107" s="68">
        <v>-8262.6984126984134</v>
      </c>
      <c r="K107" s="67">
        <v>5.7692307692307696E-2</v>
      </c>
      <c r="L107" s="67">
        <v>9.6153846153846159E-2</v>
      </c>
      <c r="M107" s="67">
        <v>0.21191294387170675</v>
      </c>
      <c r="N107" s="67">
        <v>0.28751431844215347</v>
      </c>
      <c r="O107" s="67">
        <v>0.56216216216216219</v>
      </c>
      <c r="P107" s="67">
        <v>0.41832669322709165</v>
      </c>
      <c r="Q107" s="67">
        <v>0.39590443686006827</v>
      </c>
    </row>
    <row r="108" spans="1:17" x14ac:dyDescent="0.4">
      <c r="A108" s="69">
        <v>105</v>
      </c>
      <c r="B108" s="66">
        <v>-243.50000000000006</v>
      </c>
      <c r="C108" s="66">
        <v>-2.3190476190476197</v>
      </c>
      <c r="D108" s="71">
        <v>2.0571428571428569</v>
      </c>
      <c r="E108" s="67">
        <v>0.24761904761904763</v>
      </c>
      <c r="F108" s="67">
        <v>0.30476190476190479</v>
      </c>
      <c r="G108" s="67">
        <v>0.33258426966292137</v>
      </c>
      <c r="H108" s="67">
        <v>0.14606741573033707</v>
      </c>
      <c r="I108" s="68">
        <v>6762.5</v>
      </c>
      <c r="J108" s="68">
        <v>-8148.4615384615381</v>
      </c>
      <c r="K108" s="67">
        <v>5.7142857142857141E-2</v>
      </c>
      <c r="L108" s="67">
        <v>9.5238095238095233E-2</v>
      </c>
      <c r="M108" s="67">
        <v>0.21235955056179776</v>
      </c>
      <c r="N108" s="67">
        <v>0.28539325842696628</v>
      </c>
      <c r="O108" s="67">
        <v>0.55026455026455023</v>
      </c>
      <c r="P108" s="67">
        <v>0.42125984251968501</v>
      </c>
      <c r="Q108" s="67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F6D02-ABC1-4204-A632-A380240A8CD2}">
  <sheetPr codeName="Sheet14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197.1</v>
      </c>
      <c r="C110" s="66">
        <v>1.842056074766355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180</v>
      </c>
      <c r="C111" s="66">
        <v>1.6666666666666667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  <row r="112" spans="1:17" x14ac:dyDescent="0.4">
      <c r="A112" s="69">
        <v>109</v>
      </c>
      <c r="B112" s="66">
        <v>166.1</v>
      </c>
      <c r="C112" s="66">
        <v>1.5238532110091743</v>
      </c>
      <c r="D112" s="71">
        <v>2.0091743119266057</v>
      </c>
      <c r="E112" s="67">
        <v>0.32110091743119268</v>
      </c>
      <c r="F112" s="67">
        <v>0.33027522935779818</v>
      </c>
      <c r="G112" s="67">
        <v>0.29074889867841408</v>
      </c>
      <c r="H112" s="67">
        <v>0.17841409691629956</v>
      </c>
      <c r="I112" s="68">
        <v>10022.727272727272</v>
      </c>
      <c r="J112" s="68">
        <v>-8335.1851851851843</v>
      </c>
      <c r="K112" s="67">
        <v>0.10091743119266056</v>
      </c>
      <c r="L112" s="67">
        <v>0.14678899082568808</v>
      </c>
      <c r="M112" s="67">
        <v>0.28303964757709249</v>
      </c>
      <c r="N112" s="67">
        <v>0.19713656387665199</v>
      </c>
      <c r="O112" s="67">
        <v>0.56809338521400776</v>
      </c>
      <c r="P112" s="67">
        <v>0.40782122905027934</v>
      </c>
      <c r="Q112" s="67">
        <v>0.40530303030303028</v>
      </c>
    </row>
    <row r="113" spans="1:17" x14ac:dyDescent="0.4">
      <c r="A113" s="69">
        <v>110</v>
      </c>
      <c r="B113" s="66">
        <v>135.29999999999998</v>
      </c>
      <c r="C113" s="66">
        <v>1.2299999999999998</v>
      </c>
      <c r="D113" s="71">
        <v>2.0181818181818181</v>
      </c>
      <c r="E113" s="67">
        <v>0.31818181818181818</v>
      </c>
      <c r="F113" s="67">
        <v>0.33636363636363636</v>
      </c>
      <c r="G113" s="67">
        <v>0.28993435448577681</v>
      </c>
      <c r="H113" s="67">
        <v>0.17833698030634573</v>
      </c>
      <c r="I113" s="68">
        <v>10015.094339622641</v>
      </c>
      <c r="J113" s="68">
        <v>-8357.6687116564426</v>
      </c>
      <c r="K113" s="67">
        <v>0.1</v>
      </c>
      <c r="L113" s="67">
        <v>0.14545454545454545</v>
      </c>
      <c r="M113" s="67">
        <v>0.28336980306345733</v>
      </c>
      <c r="N113" s="67">
        <v>0.19803063457330417</v>
      </c>
      <c r="O113" s="67">
        <v>0.56370656370656369</v>
      </c>
      <c r="P113" s="67">
        <v>0.40883977900552487</v>
      </c>
      <c r="Q113" s="67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0A26-9C8C-4BD0-BB35-8EFC0735857F}">
  <sheetPr codeName="Sheet12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  <row r="175" spans="1:17" x14ac:dyDescent="0.4">
      <c r="A175" s="69">
        <v>172</v>
      </c>
      <c r="B175" s="66">
        <v>-1065.8999999999999</v>
      </c>
      <c r="C175" s="66">
        <v>-6.197093023255813</v>
      </c>
      <c r="D175" s="71">
        <v>2.0930232558139537</v>
      </c>
      <c r="E175" s="67">
        <v>0.30813953488372092</v>
      </c>
      <c r="F175" s="67">
        <v>0.40116279069767441</v>
      </c>
      <c r="G175" s="67">
        <v>0.27643400138217</v>
      </c>
      <c r="H175" s="67">
        <v>0.17000691085003455</v>
      </c>
      <c r="I175" s="68">
        <v>8211.25</v>
      </c>
      <c r="J175" s="68">
        <v>-8382.5203252032516</v>
      </c>
      <c r="K175" s="67">
        <v>0.13953488372093023</v>
      </c>
      <c r="L175" s="67">
        <v>0.11046511627906977</v>
      </c>
      <c r="M175" s="67">
        <v>0.24464409122322045</v>
      </c>
      <c r="N175" s="67">
        <v>0.20248790601243952</v>
      </c>
      <c r="O175" s="67">
        <v>0.53672316384180796</v>
      </c>
      <c r="P175" s="67">
        <v>0.36177474402730375</v>
      </c>
      <c r="Q175" s="67">
        <v>0.41499999999999998</v>
      </c>
    </row>
    <row r="176" spans="1:17" x14ac:dyDescent="0.4">
      <c r="A176" s="69">
        <v>173</v>
      </c>
      <c r="B176" s="66">
        <v>-1064.8</v>
      </c>
      <c r="C176" s="66">
        <v>-6.1549132947976872</v>
      </c>
      <c r="D176" s="71">
        <v>2.0924855491329479</v>
      </c>
      <c r="E176" s="67">
        <v>0.30635838150289019</v>
      </c>
      <c r="F176" s="67">
        <v>0.39884393063583817</v>
      </c>
      <c r="G176" s="67">
        <v>0.27666896077081898</v>
      </c>
      <c r="H176" s="67">
        <v>0.16999311768754302</v>
      </c>
      <c r="I176" s="68">
        <v>8210.1990049751239</v>
      </c>
      <c r="J176" s="68">
        <v>-8359.1093117408909</v>
      </c>
      <c r="K176" s="67">
        <v>0.13872832369942195</v>
      </c>
      <c r="L176" s="67">
        <v>0.10982658959537572</v>
      </c>
      <c r="M176" s="67">
        <v>0.24432209222298693</v>
      </c>
      <c r="N176" s="67">
        <v>0.20302821748107364</v>
      </c>
      <c r="O176" s="67">
        <v>0.53802816901408446</v>
      </c>
      <c r="P176" s="67">
        <v>0.35932203389830508</v>
      </c>
      <c r="Q176" s="67">
        <v>0.41791044776119401</v>
      </c>
    </row>
    <row r="177" spans="1:17" x14ac:dyDescent="0.4">
      <c r="A177" s="69">
        <v>174</v>
      </c>
      <c r="B177" s="66">
        <v>-1090.0999999999999</v>
      </c>
      <c r="C177" s="66">
        <v>-6.2649425287356317</v>
      </c>
      <c r="D177" s="71">
        <v>2.0977011494252875</v>
      </c>
      <c r="E177" s="67">
        <v>0.3045977011494253</v>
      </c>
      <c r="F177" s="67">
        <v>0.40229885057471265</v>
      </c>
      <c r="G177" s="67">
        <v>0.27583846680355922</v>
      </c>
      <c r="H177" s="67">
        <v>0.16974674880219029</v>
      </c>
      <c r="I177" s="68">
        <v>8208.9330024813898</v>
      </c>
      <c r="J177" s="68">
        <v>-8333.467741935483</v>
      </c>
      <c r="K177" s="67">
        <v>0.13793103448275862</v>
      </c>
      <c r="L177" s="67">
        <v>0.10919540229885058</v>
      </c>
      <c r="M177" s="67">
        <v>0.24366872005475701</v>
      </c>
      <c r="N177" s="67">
        <v>0.20328542094455851</v>
      </c>
      <c r="O177" s="67">
        <v>0.5393258426966292</v>
      </c>
      <c r="P177" s="67">
        <v>0.35690235690235689</v>
      </c>
      <c r="Q177" s="67">
        <v>0.41935483870967744</v>
      </c>
    </row>
    <row r="178" spans="1:17" x14ac:dyDescent="0.4">
      <c r="A178" s="69">
        <v>175</v>
      </c>
      <c r="B178" s="66">
        <v>-1146.0999999999999</v>
      </c>
      <c r="C178" s="66">
        <v>-6.5491428571428569</v>
      </c>
      <c r="D178" s="71">
        <v>2.1028571428571428</v>
      </c>
      <c r="E178" s="67">
        <v>0.30285714285714288</v>
      </c>
      <c r="F178" s="67">
        <v>0.40571428571428569</v>
      </c>
      <c r="G178" s="67">
        <v>0.27452316076294275</v>
      </c>
      <c r="H178" s="67">
        <v>0.17098092643051771</v>
      </c>
      <c r="I178" s="68">
        <v>8208.9330024813898</v>
      </c>
      <c r="J178" s="68">
        <v>-8341.035856573706</v>
      </c>
      <c r="K178" s="67">
        <v>0.14285714285714285</v>
      </c>
      <c r="L178" s="67">
        <v>0.10857142857142857</v>
      </c>
      <c r="M178" s="67">
        <v>0.2438692098092643</v>
      </c>
      <c r="N178" s="67">
        <v>0.20299727520435967</v>
      </c>
      <c r="O178" s="67">
        <v>0.53631284916201116</v>
      </c>
      <c r="P178" s="67">
        <v>0.35570469798657717</v>
      </c>
      <c r="Q178" s="67">
        <v>0.41935483870967744</v>
      </c>
    </row>
    <row r="179" spans="1:17" x14ac:dyDescent="0.4">
      <c r="A179" s="69">
        <v>176</v>
      </c>
      <c r="B179" s="66">
        <v>-1142.5</v>
      </c>
      <c r="C179" s="66">
        <v>-6.4914772727272725</v>
      </c>
      <c r="D179" s="71">
        <v>2.1022727272727271</v>
      </c>
      <c r="E179" s="67">
        <v>0.30113636363636365</v>
      </c>
      <c r="F179" s="67">
        <v>0.40340909090909088</v>
      </c>
      <c r="G179" s="67">
        <v>0.2755585646580907</v>
      </c>
      <c r="H179" s="67">
        <v>0.17061611374407584</v>
      </c>
      <c r="I179" s="68">
        <v>8167.8132678132679</v>
      </c>
      <c r="J179" s="68">
        <v>-8339.6825396825388</v>
      </c>
      <c r="K179" s="67">
        <v>0.14204545454545456</v>
      </c>
      <c r="L179" s="67">
        <v>0.10795454545454546</v>
      </c>
      <c r="M179" s="67">
        <v>0.24306025727826674</v>
      </c>
      <c r="N179" s="67">
        <v>0.2024373730534868</v>
      </c>
      <c r="O179" s="67">
        <v>0.53760445682451252</v>
      </c>
      <c r="P179" s="67">
        <v>0.35785953177257523</v>
      </c>
      <c r="Q179" s="67">
        <v>0.42014742014742013</v>
      </c>
    </row>
    <row r="180" spans="1:17" x14ac:dyDescent="0.4">
      <c r="A180" s="69">
        <v>177</v>
      </c>
      <c r="B180" s="66">
        <v>-1194.4000000000001</v>
      </c>
      <c r="C180" s="66">
        <v>-6.7480225988700573</v>
      </c>
      <c r="D180" s="71">
        <v>2.1073446327683616</v>
      </c>
      <c r="E180" s="67">
        <v>0.29943502824858759</v>
      </c>
      <c r="F180" s="67">
        <v>0.40677966101694918</v>
      </c>
      <c r="G180" s="67">
        <v>0.27510040160642568</v>
      </c>
      <c r="H180" s="67">
        <v>0.17135207496653279</v>
      </c>
      <c r="I180" s="68">
        <v>8127.9805352798057</v>
      </c>
      <c r="J180" s="68">
        <v>-8364.453125</v>
      </c>
      <c r="K180" s="67">
        <v>0.14124293785310735</v>
      </c>
      <c r="L180" s="67">
        <v>0.10734463276836158</v>
      </c>
      <c r="M180" s="67">
        <v>0.24364123159303883</v>
      </c>
      <c r="N180" s="67">
        <v>0.20281124497991967</v>
      </c>
      <c r="O180" s="67">
        <v>0.5357142857142857</v>
      </c>
      <c r="P180" s="67">
        <v>0.35643564356435642</v>
      </c>
      <c r="Q180" s="67">
        <v>0.41849148418491483</v>
      </c>
    </row>
    <row r="181" spans="1:17" x14ac:dyDescent="0.4">
      <c r="A181" s="69">
        <v>178</v>
      </c>
      <c r="B181" s="66">
        <v>-1166.8000000000002</v>
      </c>
      <c r="C181" s="66">
        <v>-6.5550561797752822</v>
      </c>
      <c r="D181" s="71">
        <v>2.101123595505618</v>
      </c>
      <c r="E181" s="67">
        <v>0.30337078651685395</v>
      </c>
      <c r="F181" s="67">
        <v>0.4044943820224719</v>
      </c>
      <c r="G181" s="67">
        <v>0.27600000000000002</v>
      </c>
      <c r="H181" s="67">
        <v>0.17133333333333334</v>
      </c>
      <c r="I181" s="68">
        <v>8112.5603864734303</v>
      </c>
      <c r="J181" s="68">
        <v>-8363.035019455252</v>
      </c>
      <c r="K181" s="67">
        <v>0.1404494382022472</v>
      </c>
      <c r="L181" s="67">
        <v>0.10674157303370786</v>
      </c>
      <c r="M181" s="67">
        <v>0.24399999999999999</v>
      </c>
      <c r="N181" s="67">
        <v>0.20333333333333334</v>
      </c>
      <c r="O181" s="67">
        <v>0.53825136612021862</v>
      </c>
      <c r="P181" s="67">
        <v>0.35737704918032787</v>
      </c>
      <c r="Q181" s="67">
        <v>0.41787439613526572</v>
      </c>
    </row>
    <row r="182" spans="1:17" x14ac:dyDescent="0.4">
      <c r="A182" s="69">
        <v>179</v>
      </c>
      <c r="B182" s="66">
        <v>-1205.5000000000002</v>
      </c>
      <c r="C182" s="66">
        <v>-6.7346368715083811</v>
      </c>
      <c r="D182" s="71">
        <v>2.1061452513966481</v>
      </c>
      <c r="E182" s="67">
        <v>0.3016759776536313</v>
      </c>
      <c r="F182" s="67">
        <v>0.40782122905027934</v>
      </c>
      <c r="G182" s="67">
        <v>0.27652519893899202</v>
      </c>
      <c r="H182" s="67">
        <v>0.17241379310344829</v>
      </c>
      <c r="I182" s="68">
        <v>8105.035971223022</v>
      </c>
      <c r="J182" s="68">
        <v>-8398.8461538461543</v>
      </c>
      <c r="K182" s="67">
        <v>0.13966480446927373</v>
      </c>
      <c r="L182" s="67">
        <v>0.10614525139664804</v>
      </c>
      <c r="M182" s="67">
        <v>0.24535809018567639</v>
      </c>
      <c r="N182" s="67">
        <v>0.20225464190981432</v>
      </c>
      <c r="O182" s="67">
        <v>0.54054054054054057</v>
      </c>
      <c r="P182" s="67">
        <v>0.35737704918032787</v>
      </c>
      <c r="Q182" s="67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8E05-9C97-47E6-ADD3-44DC5CE66D3F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158F-F293-4492-A20A-212D4B00D9D5}">
  <sheetPr codeName="Sheet8"/>
  <dimension ref="A1:Q2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  <row r="222" spans="1:17" x14ac:dyDescent="0.4">
      <c r="A222" s="69">
        <v>219</v>
      </c>
      <c r="B222" s="66">
        <v>2746.9</v>
      </c>
      <c r="C222" s="66">
        <v>12.542922374429224</v>
      </c>
      <c r="D222" s="71">
        <v>1.7579908675799087</v>
      </c>
      <c r="E222" s="67">
        <v>0.48401826484018262</v>
      </c>
      <c r="F222" s="67">
        <v>0.24200913242009131</v>
      </c>
      <c r="G222" s="67">
        <v>0.33742331288343558</v>
      </c>
      <c r="H222" s="67">
        <v>0.14947016174010039</v>
      </c>
      <c r="I222" s="68">
        <v>9240.6611570247933</v>
      </c>
      <c r="J222" s="68">
        <v>-8208.2089552238813</v>
      </c>
      <c r="K222" s="67">
        <v>8.2191780821917804E-2</v>
      </c>
      <c r="L222" s="67">
        <v>0.16894977168949771</v>
      </c>
      <c r="M222" s="67">
        <v>0.30228667038482987</v>
      </c>
      <c r="N222" s="67">
        <v>0.21862799776910205</v>
      </c>
      <c r="O222" s="67">
        <v>0.58487084870848705</v>
      </c>
      <c r="P222" s="67">
        <v>0.5</v>
      </c>
      <c r="Q222" s="67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B98B1-F198-4008-88FE-69CF6F433F06}">
  <sheetPr codeName="Sheet6"/>
  <dimension ref="A1:Q3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-1.0000000000000071</v>
      </c>
      <c r="C325" s="66">
        <v>-1.0351966873706079E-3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-1</v>
      </c>
      <c r="C326" s="66">
        <v>-1.0319917440660474E-3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-1</v>
      </c>
      <c r="C327" s="66">
        <v>-1.02880658436214E-3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-1</v>
      </c>
      <c r="C328" s="66">
        <v>-1.0256410256410256E-3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-1</v>
      </c>
      <c r="C329" s="66">
        <v>-1.0224948875255625E-3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-0.99999999999999645</v>
      </c>
      <c r="C330" s="66">
        <v>-1.0193679918450525E-3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-0.99999999999998579</v>
      </c>
      <c r="C331" s="66">
        <v>-1.0162601626016116E-3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-0.99999999999998934</v>
      </c>
      <c r="C332" s="66">
        <v>-1.0131712259371726E-3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-0.99999999999997868</v>
      </c>
      <c r="C333" s="66">
        <v>-1.0101010101009886E-3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-0.99999999999997868</v>
      </c>
      <c r="C334" s="66">
        <v>-1.007049345417904E-3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-0.99999999999997868</v>
      </c>
      <c r="C335" s="66">
        <v>-1.0040160642570068E-3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-0.99999999999997158</v>
      </c>
      <c r="C336" s="66">
        <v>-1.0010010010009726E-3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  <row r="337" spans="1:17" x14ac:dyDescent="0.4">
      <c r="A337" s="69">
        <v>334</v>
      </c>
      <c r="B337" s="66">
        <v>-0.99999999999996625</v>
      </c>
      <c r="C337" s="66">
        <v>-9.9800399201593437E-4</v>
      </c>
      <c r="D337" s="71">
        <v>2</v>
      </c>
      <c r="E337" s="67">
        <v>0.33333333333333331</v>
      </c>
      <c r="F337" s="67">
        <v>0.33333333333333331</v>
      </c>
      <c r="G337" s="67">
        <v>0.29803073967339094</v>
      </c>
      <c r="H337" s="67">
        <v>0.16690682036503363</v>
      </c>
      <c r="I337" s="68">
        <v>8620.0241740531837</v>
      </c>
      <c r="J337" s="68">
        <v>-8110.1438848920861</v>
      </c>
      <c r="K337" s="67">
        <v>0.11676646706586827</v>
      </c>
      <c r="L337" s="67">
        <v>0.11676646706586827</v>
      </c>
      <c r="M337" s="67">
        <v>0.26585014409221902</v>
      </c>
      <c r="N337" s="67">
        <v>0.21481748318924113</v>
      </c>
      <c r="O337" s="67">
        <v>0.57678410117434509</v>
      </c>
      <c r="P337" s="67">
        <v>0.40022358859698154</v>
      </c>
      <c r="Q337" s="67">
        <v>0.43190975020145045</v>
      </c>
    </row>
    <row r="338" spans="1:17" x14ac:dyDescent="0.4">
      <c r="A338" s="69">
        <v>335</v>
      </c>
      <c r="B338" s="66">
        <v>-0.99999999999997158</v>
      </c>
      <c r="C338" s="66">
        <v>-9.950248756218623E-4</v>
      </c>
      <c r="D338" s="71">
        <v>2</v>
      </c>
      <c r="E338" s="67">
        <v>0.33333333333333331</v>
      </c>
      <c r="F338" s="67">
        <v>0.33333333333333331</v>
      </c>
      <c r="G338" s="67">
        <v>0.29793086951321612</v>
      </c>
      <c r="H338" s="67">
        <v>0.16708527688075589</v>
      </c>
      <c r="I338" s="68">
        <v>8617.021276595744</v>
      </c>
      <c r="J338" s="68">
        <v>-8115.3185397279885</v>
      </c>
      <c r="K338" s="67">
        <v>0.11741293532338308</v>
      </c>
      <c r="L338" s="67">
        <v>0.11741293532338308</v>
      </c>
      <c r="M338" s="67">
        <v>0.26575768448750148</v>
      </c>
      <c r="N338" s="67">
        <v>0.2149264442052386</v>
      </c>
      <c r="O338" s="67">
        <v>0.57695769576957701</v>
      </c>
      <c r="P338" s="67">
        <v>0.39899833055091821</v>
      </c>
      <c r="Q338" s="67">
        <v>0.43115214773183458</v>
      </c>
    </row>
    <row r="339" spans="1:17" x14ac:dyDescent="0.4">
      <c r="A339" s="69">
        <v>336</v>
      </c>
      <c r="B339" s="66">
        <v>-0.99999999999996581</v>
      </c>
      <c r="C339" s="66">
        <v>-9.9206349206345818E-4</v>
      </c>
      <c r="D339" s="71">
        <v>2</v>
      </c>
      <c r="E339" s="67">
        <v>0.33333333333333331</v>
      </c>
      <c r="F339" s="67">
        <v>0.33333333333333331</v>
      </c>
      <c r="G339" s="67">
        <v>0.29788757608306482</v>
      </c>
      <c r="H339" s="67">
        <v>0.16684568564267813</v>
      </c>
      <c r="I339" s="68">
        <v>8614.4631410256407</v>
      </c>
      <c r="J339" s="68">
        <v>-8111.3733905579402</v>
      </c>
      <c r="K339" s="67">
        <v>0.11706349206349206</v>
      </c>
      <c r="L339" s="67">
        <v>0.11706349206349206</v>
      </c>
      <c r="M339" s="67">
        <v>0.26578350638501014</v>
      </c>
      <c r="N339" s="67">
        <v>0.21506146318176395</v>
      </c>
      <c r="O339" s="67">
        <v>0.57700942972608893</v>
      </c>
      <c r="P339" s="67">
        <v>0.39789123196448389</v>
      </c>
      <c r="Q339" s="67">
        <v>0.43189102564102566</v>
      </c>
    </row>
    <row r="340" spans="1:17" x14ac:dyDescent="0.4">
      <c r="A340" s="69">
        <v>337</v>
      </c>
      <c r="B340" s="66">
        <v>-0.99999999999996447</v>
      </c>
      <c r="C340" s="66">
        <v>-9.8911968348166612E-4</v>
      </c>
      <c r="D340" s="71">
        <v>2</v>
      </c>
      <c r="E340" s="67">
        <v>0.33333333333333331</v>
      </c>
      <c r="F340" s="67">
        <v>0.33333333333333331</v>
      </c>
      <c r="G340" s="67">
        <v>0.29786980840176125</v>
      </c>
      <c r="H340" s="67">
        <v>0.16672616922527669</v>
      </c>
      <c r="I340" s="68">
        <v>8612.6248501797836</v>
      </c>
      <c r="J340" s="68">
        <v>-8112.5624553890075</v>
      </c>
      <c r="K340" s="67">
        <v>0.11671612265084075</v>
      </c>
      <c r="L340" s="67">
        <v>0.11671612265084075</v>
      </c>
      <c r="M340" s="67">
        <v>0.26550041651791029</v>
      </c>
      <c r="N340" s="67">
        <v>0.21539926216827324</v>
      </c>
      <c r="O340" s="67">
        <v>0.57776781712236669</v>
      </c>
      <c r="P340" s="67">
        <v>0.39723756906077345</v>
      </c>
      <c r="Q340" s="67">
        <v>0.43228126248501797</v>
      </c>
    </row>
    <row r="341" spans="1:17" x14ac:dyDescent="0.4">
      <c r="A341" s="69">
        <v>338</v>
      </c>
      <c r="B341" s="66">
        <v>-0.99999999999995737</v>
      </c>
      <c r="C341" s="66">
        <v>-9.8619329388555956E-4</v>
      </c>
      <c r="D341" s="71">
        <v>2</v>
      </c>
      <c r="E341" s="67">
        <v>0.33333333333333331</v>
      </c>
      <c r="F341" s="67">
        <v>0.33333333333333331</v>
      </c>
      <c r="G341" s="67">
        <v>0.29772079772079774</v>
      </c>
      <c r="H341" s="67">
        <v>0.16678537511870845</v>
      </c>
      <c r="I341" s="68">
        <v>8608.0940988835719</v>
      </c>
      <c r="J341" s="68">
        <v>-8110.4626334519571</v>
      </c>
      <c r="K341" s="67">
        <v>0.11735700197238659</v>
      </c>
      <c r="L341" s="67">
        <v>0.11735700197238659</v>
      </c>
      <c r="M341" s="67">
        <v>0.2653133903133903</v>
      </c>
      <c r="N341" s="67">
        <v>0.21545584045584046</v>
      </c>
      <c r="O341" s="67">
        <v>0.57673378076062642</v>
      </c>
      <c r="P341" s="67">
        <v>0.39779614325068868</v>
      </c>
      <c r="Q341" s="67">
        <v>0.43181818181818182</v>
      </c>
    </row>
    <row r="342" spans="1:17" x14ac:dyDescent="0.4">
      <c r="A342" s="69">
        <v>339</v>
      </c>
      <c r="B342" s="66">
        <v>-0.9999999999999587</v>
      </c>
      <c r="C342" s="66">
        <v>-9.8328416912483638E-4</v>
      </c>
      <c r="D342" s="71">
        <v>2</v>
      </c>
      <c r="E342" s="67">
        <v>0.33333333333333331</v>
      </c>
      <c r="F342" s="67">
        <v>0.33333333333333331</v>
      </c>
      <c r="G342" s="67">
        <v>0.29771624659803575</v>
      </c>
      <c r="H342" s="67">
        <v>0.16672583126257248</v>
      </c>
      <c r="I342" s="68">
        <v>8596.3434022257552</v>
      </c>
      <c r="J342" s="68">
        <v>-8103.6195883605396</v>
      </c>
      <c r="K342" s="67">
        <v>0.11701081612586037</v>
      </c>
      <c r="L342" s="67">
        <v>0.11701081612586037</v>
      </c>
      <c r="M342" s="67">
        <v>0.26505738965802861</v>
      </c>
      <c r="N342" s="67">
        <v>0.21535912909714827</v>
      </c>
      <c r="O342" s="67">
        <v>0.57678571428571423</v>
      </c>
      <c r="P342" s="67">
        <v>0.39780219780219778</v>
      </c>
      <c r="Q342" s="67">
        <v>0.43203497615262321</v>
      </c>
    </row>
    <row r="343" spans="1:17" x14ac:dyDescent="0.4">
      <c r="A343" s="69">
        <v>340</v>
      </c>
      <c r="B343" s="66">
        <v>-0.99999999999995737</v>
      </c>
      <c r="C343" s="66">
        <v>-9.8039215686270323E-4</v>
      </c>
      <c r="D343" s="71">
        <v>2</v>
      </c>
      <c r="E343" s="67">
        <v>0.33333333333333331</v>
      </c>
      <c r="F343" s="67">
        <v>0.33333333333333331</v>
      </c>
      <c r="G343" s="67">
        <v>0.29745942131263231</v>
      </c>
      <c r="H343" s="67">
        <v>0.16690190543401554</v>
      </c>
      <c r="I343" s="68">
        <v>8591.4986160537755</v>
      </c>
      <c r="J343" s="68">
        <v>-8089.8520084566599</v>
      </c>
      <c r="K343" s="67">
        <v>0.11666666666666667</v>
      </c>
      <c r="L343" s="67">
        <v>0.11666666666666667</v>
      </c>
      <c r="M343" s="67">
        <v>0.26511409080216419</v>
      </c>
      <c r="N343" s="67">
        <v>0.21524347212420608</v>
      </c>
      <c r="O343" s="67">
        <v>0.57630878438331856</v>
      </c>
      <c r="P343" s="67">
        <v>0.39726775956284155</v>
      </c>
      <c r="Q343" s="67">
        <v>0.43100039541320678</v>
      </c>
    </row>
    <row r="344" spans="1:17" x14ac:dyDescent="0.4">
      <c r="A344" s="69">
        <v>341</v>
      </c>
      <c r="B344" s="66">
        <v>-0.99999999999995737</v>
      </c>
      <c r="C344" s="66">
        <v>-9.7751710654932298E-4</v>
      </c>
      <c r="D344" s="71">
        <v>2</v>
      </c>
      <c r="E344" s="67">
        <v>0.33333333333333331</v>
      </c>
      <c r="F344" s="67">
        <v>0.33333333333333331</v>
      </c>
      <c r="G344" s="67">
        <v>0.29741784037558683</v>
      </c>
      <c r="H344" s="67">
        <v>0.16690140845070423</v>
      </c>
      <c r="I344" s="68">
        <v>8587.8453038674033</v>
      </c>
      <c r="J344" s="68">
        <v>-8088.2559774964839</v>
      </c>
      <c r="K344" s="67">
        <v>0.11632453567937438</v>
      </c>
      <c r="L344" s="67">
        <v>0.11632453567937438</v>
      </c>
      <c r="M344" s="67">
        <v>0.26502347417840377</v>
      </c>
      <c r="N344" s="67">
        <v>0.21525821596244132</v>
      </c>
      <c r="O344" s="67">
        <v>0.57617360496014169</v>
      </c>
      <c r="P344" s="67">
        <v>0.39749182115594328</v>
      </c>
      <c r="Q344" s="67">
        <v>0.43093922651933703</v>
      </c>
    </row>
    <row r="345" spans="1:17" x14ac:dyDescent="0.4">
      <c r="A345" s="69">
        <v>342</v>
      </c>
      <c r="B345" s="66">
        <v>-0.99999999999995737</v>
      </c>
      <c r="C345" s="66">
        <v>-9.7465886939566992E-4</v>
      </c>
      <c r="D345" s="71">
        <v>2</v>
      </c>
      <c r="E345" s="67">
        <v>0.33333333333333331</v>
      </c>
      <c r="F345" s="67">
        <v>0.33333333333333331</v>
      </c>
      <c r="G345" s="67">
        <v>0.29751872659176032</v>
      </c>
      <c r="H345" s="67">
        <v>0.16713483146067415</v>
      </c>
      <c r="I345" s="68">
        <v>8590.5586152635715</v>
      </c>
      <c r="J345" s="68">
        <v>-8093.2072829131648</v>
      </c>
      <c r="K345" s="67">
        <v>0.11598440545808966</v>
      </c>
      <c r="L345" s="67">
        <v>0.11598440545808966</v>
      </c>
      <c r="M345" s="67">
        <v>0.26521535580524347</v>
      </c>
      <c r="N345" s="67">
        <v>0.21500468164794007</v>
      </c>
      <c r="O345" s="67">
        <v>0.57678729037952337</v>
      </c>
      <c r="P345" s="67">
        <v>0.3973870440936309</v>
      </c>
      <c r="Q345" s="67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2019-09-23T23:49:11Z</dcterms:modified>
</cp:coreProperties>
</file>