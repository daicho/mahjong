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2EDDE2B8-E733-4E17-BDDC-E8820FFCA9C0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041" r:id="rId6"/>
    <sheet name="だいち" sheetId="5043" r:id="rId7"/>
    <sheet name="りくと" sheetId="5045" r:id="rId8"/>
    <sheet name="ただ" sheetId="5047" r:id="rId9"/>
    <sheet name="れんたろう" sheetId="5049" r:id="rId10"/>
    <sheet name="たかの" sheetId="5051" r:id="rId11"/>
    <sheet name="ぱぱ" sheetId="5053" r:id="rId12"/>
    <sheet name="まっつん" sheetId="5055" r:id="rId13"/>
    <sheet name="あさひ" sheetId="5057" r:id="rId14"/>
    <sheet name="いっしー" sheetId="5059" r:id="rId15"/>
    <sheet name="ほたに" sheetId="5061" r:id="rId16"/>
    <sheet name="ほたに2" sheetId="5062" state="hidden" r:id="rId17"/>
    <sheet name="いっしー2" sheetId="5060" state="hidden" r:id="rId18"/>
    <sheet name="あさひ2" sheetId="5058" state="hidden" r:id="rId19"/>
    <sheet name="まっつん2" sheetId="5056" state="hidden" r:id="rId20"/>
    <sheet name="ぱぱ2" sheetId="5054" state="hidden" r:id="rId21"/>
    <sheet name="たかの2" sheetId="5052" state="hidden" r:id="rId22"/>
    <sheet name="れんたろう2" sheetId="5050" state="hidden" r:id="rId23"/>
    <sheet name="ただ2" sheetId="5048" state="hidden" r:id="rId24"/>
    <sheet name="りくと2" sheetId="5046" state="hidden" r:id="rId25"/>
    <sheet name="だいち2" sheetId="5044" state="hidden" r:id="rId26"/>
    <sheet name="全体2" sheetId="5042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3">あさひ!$B$17</definedName>
    <definedName name="アガリ数" localSheetId="14">いっしー!$B$17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5043" l="1"/>
  <c r="O18" i="5061"/>
  <c r="O21" i="5053"/>
  <c r="O16" i="5061"/>
  <c r="O15" i="5061" l="1"/>
  <c r="O17" i="5061"/>
  <c r="C27" i="5061"/>
  <c r="B24" i="5061"/>
  <c r="C20" i="5061"/>
  <c r="B17" i="5061"/>
  <c r="H7" i="5061" s="1"/>
  <c r="C16" i="5061"/>
  <c r="C15" i="5061"/>
  <c r="C14" i="5061"/>
  <c r="C13" i="5061"/>
  <c r="O12" i="5061"/>
  <c r="C12" i="5061"/>
  <c r="O11" i="5061"/>
  <c r="C11" i="5061"/>
  <c r="O10" i="5061"/>
  <c r="C10" i="5061"/>
  <c r="C9" i="5061"/>
  <c r="C8" i="5061"/>
  <c r="O7" i="5061"/>
  <c r="C7" i="5061"/>
  <c r="O6" i="5061"/>
  <c r="B6" i="5061"/>
  <c r="O5" i="5061"/>
  <c r="B5" i="5061"/>
  <c r="O4" i="5061"/>
  <c r="O3" i="5061"/>
  <c r="O2" i="5061"/>
  <c r="O22" i="5049"/>
  <c r="O16" i="5051"/>
  <c r="O22" i="5041"/>
  <c r="H8" i="5061" l="1"/>
  <c r="H43" i="5061"/>
  <c r="H2" i="5061"/>
  <c r="B23" i="5061"/>
  <c r="H31" i="5061"/>
  <c r="H26" i="5061"/>
  <c r="H33" i="5061"/>
  <c r="H15" i="5061"/>
  <c r="H35" i="5061"/>
  <c r="H13" i="5061"/>
  <c r="H48" i="5061"/>
  <c r="H4" i="5061"/>
  <c r="C17" i="5061"/>
  <c r="C18" i="5061"/>
  <c r="H45" i="5061"/>
  <c r="H18" i="5061"/>
  <c r="H12" i="5061"/>
  <c r="H3" i="5061"/>
  <c r="H27" i="5061"/>
  <c r="H47" i="5061"/>
  <c r="H10" i="5061"/>
  <c r="H49" i="5061"/>
  <c r="H41" i="5061"/>
  <c r="H17" i="5061"/>
  <c r="H32" i="5061"/>
  <c r="H5" i="5061"/>
  <c r="H21" i="5061"/>
  <c r="H46" i="5061"/>
  <c r="C19" i="5061"/>
  <c r="H37" i="5061"/>
  <c r="H19" i="5061"/>
  <c r="H22" i="5061"/>
  <c r="H38" i="5061"/>
  <c r="H6" i="5061"/>
  <c r="H14" i="5061"/>
  <c r="H16" i="5061"/>
  <c r="H29" i="5061"/>
  <c r="H39" i="5061"/>
  <c r="H11" i="5061"/>
  <c r="H24" i="5061"/>
  <c r="H30" i="5061"/>
  <c r="H40" i="5061"/>
  <c r="H51" i="5061"/>
  <c r="H23" i="5061"/>
  <c r="H28" i="5061"/>
  <c r="H34" i="5061"/>
  <c r="H42" i="5061"/>
  <c r="H50" i="5061"/>
  <c r="H20" i="5061"/>
  <c r="H25" i="5061"/>
  <c r="H9" i="5061"/>
  <c r="H36" i="5061"/>
  <c r="H44" i="5061"/>
  <c r="O18" i="5051" l="1"/>
  <c r="O15" i="5047"/>
  <c r="O19" i="5055"/>
  <c r="O22" i="5055"/>
  <c r="O19" i="5043" l="1"/>
  <c r="O17" i="5059"/>
  <c r="O16" i="5059" l="1"/>
  <c r="O15" i="5059"/>
  <c r="O16" i="5049"/>
  <c r="O20" i="5047"/>
  <c r="O17" i="5057" l="1"/>
  <c r="O22" i="5053"/>
  <c r="O15" i="5057"/>
  <c r="O20" i="5059"/>
  <c r="O15" i="5045"/>
  <c r="O15" i="5055"/>
  <c r="O16" i="5041"/>
  <c r="O18" i="5059"/>
  <c r="O19" i="5059"/>
  <c r="C27" i="5059"/>
  <c r="B24" i="5059"/>
  <c r="C20" i="5059"/>
  <c r="B17" i="5059"/>
  <c r="H7" i="5059" s="1"/>
  <c r="C16" i="5059"/>
  <c r="C15" i="5059"/>
  <c r="C14" i="5059"/>
  <c r="C13" i="5059"/>
  <c r="O12" i="5059"/>
  <c r="C12" i="5059"/>
  <c r="O11" i="5059"/>
  <c r="C11" i="5059"/>
  <c r="O10" i="5059"/>
  <c r="C10" i="5059"/>
  <c r="C9" i="5059"/>
  <c r="C8" i="5059"/>
  <c r="O7" i="5059"/>
  <c r="C7" i="5059"/>
  <c r="O6" i="5059"/>
  <c r="B6" i="5059"/>
  <c r="O5" i="5059"/>
  <c r="B5" i="5059"/>
  <c r="O4" i="5059"/>
  <c r="O3" i="5059"/>
  <c r="O2" i="5059"/>
  <c r="O16" i="5057"/>
  <c r="O18" i="5057"/>
  <c r="C27" i="5057"/>
  <c r="B24" i="5057"/>
  <c r="C20" i="5057"/>
  <c r="B17" i="5057"/>
  <c r="H7" i="5057" s="1"/>
  <c r="C16" i="5057"/>
  <c r="C15" i="5057"/>
  <c r="C14" i="5057"/>
  <c r="C13" i="5057"/>
  <c r="O12" i="5057"/>
  <c r="C12" i="5057"/>
  <c r="O11" i="5057"/>
  <c r="C11" i="5057"/>
  <c r="O10" i="5057"/>
  <c r="C10" i="5057"/>
  <c r="C9" i="5057"/>
  <c r="C8" i="5057"/>
  <c r="O7" i="5057"/>
  <c r="C7" i="5057"/>
  <c r="O6" i="5057"/>
  <c r="B6" i="5057"/>
  <c r="O5" i="5057"/>
  <c r="B5" i="5057"/>
  <c r="O4" i="5057"/>
  <c r="O3" i="5057"/>
  <c r="O2" i="5057"/>
  <c r="O20" i="5055"/>
  <c r="O21" i="5055"/>
  <c r="O15" i="5043"/>
  <c r="O17" i="5043"/>
  <c r="O24" i="5041"/>
  <c r="H16" i="5059" l="1"/>
  <c r="H26" i="5059"/>
  <c r="H5" i="5059"/>
  <c r="H20" i="5059"/>
  <c r="H39" i="5059"/>
  <c r="H21" i="5059"/>
  <c r="H43" i="5059"/>
  <c r="H40" i="5059"/>
  <c r="H8" i="5059"/>
  <c r="H11" i="5059"/>
  <c r="H18" i="5059"/>
  <c r="H4" i="5059"/>
  <c r="H17" i="5059"/>
  <c r="H10" i="5059"/>
  <c r="C17" i="5057"/>
  <c r="H4" i="5057"/>
  <c r="H16" i="5057"/>
  <c r="H3" i="5057"/>
  <c r="H37" i="5057"/>
  <c r="H33" i="5057"/>
  <c r="H11" i="5057"/>
  <c r="H21" i="5057"/>
  <c r="C19" i="5057"/>
  <c r="H45" i="5057"/>
  <c r="H49" i="5057"/>
  <c r="C18" i="5057"/>
  <c r="H5" i="5057"/>
  <c r="H17" i="5057"/>
  <c r="H39" i="5057"/>
  <c r="H2" i="5057"/>
  <c r="H12" i="5057"/>
  <c r="H46" i="5057"/>
  <c r="H26" i="5057"/>
  <c r="H9" i="5057"/>
  <c r="H38" i="5057"/>
  <c r="H14" i="5057"/>
  <c r="H27" i="5057"/>
  <c r="H13" i="5057"/>
  <c r="H41" i="5057"/>
  <c r="H18" i="5057"/>
  <c r="H22" i="5057"/>
  <c r="H29" i="5057"/>
  <c r="H8" i="5057"/>
  <c r="H10" i="5057"/>
  <c r="H15" i="5057"/>
  <c r="H30" i="5057"/>
  <c r="H19" i="5057"/>
  <c r="B23" i="5057"/>
  <c r="H31" i="5057"/>
  <c r="H47" i="5057"/>
  <c r="H3" i="5059"/>
  <c r="H30" i="5059"/>
  <c r="H22" i="5059"/>
  <c r="H19" i="5059"/>
  <c r="H31" i="5059"/>
  <c r="H2" i="5059"/>
  <c r="H29" i="5059"/>
  <c r="C19" i="5059"/>
  <c r="H15" i="5059"/>
  <c r="H12" i="5059"/>
  <c r="H38" i="5059"/>
  <c r="H45" i="5059"/>
  <c r="B23" i="5059"/>
  <c r="H32" i="5059"/>
  <c r="H46" i="5059"/>
  <c r="C17" i="5059"/>
  <c r="H25" i="5059"/>
  <c r="H35" i="5059"/>
  <c r="H47" i="5059"/>
  <c r="H9" i="5059"/>
  <c r="H13" i="5059"/>
  <c r="C18" i="5059"/>
  <c r="H37" i="5059"/>
  <c r="H48" i="5059"/>
  <c r="H27" i="5059"/>
  <c r="H33" i="5059"/>
  <c r="H41" i="5059"/>
  <c r="H49" i="5059"/>
  <c r="H23" i="5059"/>
  <c r="H28" i="5059"/>
  <c r="H34" i="5059"/>
  <c r="H42" i="5059"/>
  <c r="H50" i="5059"/>
  <c r="H51" i="5059"/>
  <c r="H14" i="5059"/>
  <c r="H24" i="5059"/>
  <c r="H6" i="5059"/>
  <c r="H36" i="5059"/>
  <c r="H44" i="5059"/>
  <c r="H32" i="5057"/>
  <c r="H40" i="5057"/>
  <c r="H48" i="5057"/>
  <c r="H23" i="5057"/>
  <c r="H28" i="5057"/>
  <c r="H34" i="5057"/>
  <c r="H42" i="5057"/>
  <c r="H50" i="5057"/>
  <c r="H24" i="5057"/>
  <c r="H35" i="5057"/>
  <c r="H43" i="5057"/>
  <c r="H51" i="5057"/>
  <c r="H20" i="5057"/>
  <c r="H25" i="5057"/>
  <c r="H6" i="5057"/>
  <c r="H36" i="5057"/>
  <c r="H44" i="5057"/>
  <c r="O16" i="5055" l="1"/>
  <c r="O19" i="5053"/>
  <c r="O16" i="5053"/>
  <c r="O20" i="5045"/>
  <c r="O17" i="5051" l="1"/>
  <c r="O17" i="5049"/>
  <c r="O18" i="5053"/>
  <c r="O17" i="5053"/>
  <c r="O15" i="5051" l="1"/>
  <c r="O15" i="5049"/>
  <c r="O21" i="5047"/>
  <c r="O18" i="5047"/>
  <c r="O17" i="5055"/>
  <c r="O18" i="5055"/>
  <c r="H10" i="5055"/>
  <c r="C27" i="5055"/>
  <c r="B24" i="5055"/>
  <c r="C20" i="5055"/>
  <c r="B17" i="5055"/>
  <c r="H50" i="5055" s="1"/>
  <c r="C16" i="5055"/>
  <c r="C15" i="5055"/>
  <c r="C14" i="5055"/>
  <c r="C13" i="5055"/>
  <c r="O12" i="5055"/>
  <c r="C12" i="5055"/>
  <c r="O11" i="5055"/>
  <c r="C11" i="5055"/>
  <c r="O10" i="5055"/>
  <c r="C10" i="5055"/>
  <c r="C9" i="5055"/>
  <c r="C8" i="5055"/>
  <c r="O7" i="5055"/>
  <c r="C7" i="5055"/>
  <c r="O6" i="5055"/>
  <c r="B6" i="5055"/>
  <c r="O5" i="5055"/>
  <c r="B5" i="5055"/>
  <c r="O4" i="5055"/>
  <c r="O3" i="5055"/>
  <c r="O2" i="5055"/>
  <c r="O20" i="5049"/>
  <c r="O16" i="5045"/>
  <c r="O17" i="5041"/>
  <c r="H35" i="5055" l="1"/>
  <c r="H7" i="5055"/>
  <c r="H22" i="5055"/>
  <c r="H9" i="5055"/>
  <c r="H28" i="5055"/>
  <c r="H14" i="5055"/>
  <c r="H16" i="5055"/>
  <c r="H36" i="5055"/>
  <c r="H19" i="5055"/>
  <c r="H44" i="5055"/>
  <c r="H45" i="5055"/>
  <c r="H8" i="5055"/>
  <c r="H3" i="5055"/>
  <c r="C17" i="5055"/>
  <c r="H38" i="5055"/>
  <c r="H12" i="5055"/>
  <c r="H6" i="5055"/>
  <c r="H17" i="5055"/>
  <c r="H49" i="5055"/>
  <c r="H46" i="5055"/>
  <c r="H26" i="5055"/>
  <c r="H47" i="5055"/>
  <c r="H23" i="5055"/>
  <c r="H48" i="5055"/>
  <c r="C18" i="5055"/>
  <c r="H40" i="5055"/>
  <c r="H32" i="5055"/>
  <c r="H51" i="5055"/>
  <c r="H2" i="5055"/>
  <c r="H11" i="5055"/>
  <c r="H37" i="5055"/>
  <c r="H15" i="5055"/>
  <c r="H30" i="5055"/>
  <c r="B23" i="5055"/>
  <c r="H39" i="5055"/>
  <c r="H18" i="5055"/>
  <c r="H20" i="5055"/>
  <c r="H31" i="5055"/>
  <c r="H4" i="5055"/>
  <c r="H13" i="5055"/>
  <c r="H24" i="5055"/>
  <c r="H41" i="5055"/>
  <c r="H21" i="5055"/>
  <c r="C19" i="5055"/>
  <c r="H27" i="5055"/>
  <c r="H33" i="5055"/>
  <c r="H43" i="5055"/>
  <c r="H5" i="5055"/>
  <c r="H25" i="5055"/>
  <c r="H29" i="5055"/>
  <c r="H34" i="5055"/>
  <c r="H42" i="5055"/>
  <c r="O17" i="5047" l="1"/>
  <c r="O20" i="5053"/>
  <c r="O15" i="5053"/>
  <c r="C27" i="5053"/>
  <c r="B24" i="5053"/>
  <c r="C20" i="5053"/>
  <c r="B17" i="5053"/>
  <c r="H51" i="5053" s="1"/>
  <c r="C16" i="5053"/>
  <c r="C15" i="5053"/>
  <c r="C14" i="5053"/>
  <c r="C13" i="5053"/>
  <c r="O12" i="5053"/>
  <c r="C12" i="5053"/>
  <c r="O11" i="5053"/>
  <c r="C11" i="5053"/>
  <c r="O10" i="5053"/>
  <c r="C10" i="5053"/>
  <c r="C9" i="5053"/>
  <c r="C8" i="5053"/>
  <c r="O7" i="5053"/>
  <c r="C7" i="5053"/>
  <c r="O6" i="5053"/>
  <c r="B6" i="5053"/>
  <c r="O5" i="5053"/>
  <c r="B5" i="5053"/>
  <c r="O4" i="5053"/>
  <c r="O3" i="5053"/>
  <c r="O2" i="5053"/>
  <c r="O20" i="5043"/>
  <c r="O18" i="5041"/>
  <c r="O20" i="5051"/>
  <c r="O19" i="5045"/>
  <c r="O18" i="5045"/>
  <c r="O18" i="5049"/>
  <c r="O19" i="5051"/>
  <c r="O21" i="5051"/>
  <c r="C27" i="5051"/>
  <c r="B24" i="5051"/>
  <c r="C20" i="5051"/>
  <c r="B17" i="5051"/>
  <c r="H50" i="5051" s="1"/>
  <c r="C16" i="5051"/>
  <c r="C15" i="5051"/>
  <c r="C14" i="5051"/>
  <c r="C13" i="5051"/>
  <c r="O12" i="5051"/>
  <c r="C12" i="5051"/>
  <c r="O11" i="5051"/>
  <c r="C11" i="5051"/>
  <c r="O10" i="5051"/>
  <c r="C10" i="5051"/>
  <c r="C9" i="5051"/>
  <c r="C8" i="5051"/>
  <c r="O7" i="5051"/>
  <c r="C7" i="5051"/>
  <c r="O6" i="5051"/>
  <c r="B6" i="5051"/>
  <c r="O5" i="5051"/>
  <c r="B5" i="5051"/>
  <c r="O4" i="5051"/>
  <c r="O3" i="5051"/>
  <c r="O2" i="5051"/>
  <c r="O21" i="5049"/>
  <c r="O19" i="5049"/>
  <c r="C27" i="5049"/>
  <c r="B24" i="5049"/>
  <c r="C20" i="5049"/>
  <c r="B17" i="5049"/>
  <c r="H51" i="5049" s="1"/>
  <c r="C16" i="5049"/>
  <c r="C15" i="5049"/>
  <c r="C14" i="5049"/>
  <c r="C13" i="5049"/>
  <c r="O12" i="5049"/>
  <c r="C12" i="5049"/>
  <c r="O11" i="5049"/>
  <c r="C11" i="5049"/>
  <c r="O10" i="5049"/>
  <c r="C10" i="5049"/>
  <c r="C9" i="5049"/>
  <c r="C8" i="5049"/>
  <c r="O7" i="5049"/>
  <c r="C7" i="5049"/>
  <c r="O6" i="5049"/>
  <c r="B6" i="5049"/>
  <c r="O5" i="5049"/>
  <c r="B5" i="5049"/>
  <c r="O4" i="5049"/>
  <c r="O3" i="5049"/>
  <c r="O2" i="5049"/>
  <c r="O18" i="5043"/>
  <c r="O22" i="5043"/>
  <c r="O21" i="5041"/>
  <c r="O20" i="5041"/>
  <c r="H44" i="5053" l="1"/>
  <c r="H12" i="5053"/>
  <c r="H3" i="5053"/>
  <c r="H14" i="5053"/>
  <c r="H47" i="5053"/>
  <c r="H5" i="5053"/>
  <c r="H46" i="5053"/>
  <c r="H49" i="5053"/>
  <c r="H45" i="5053"/>
  <c r="C18" i="5053"/>
  <c r="H24" i="5053"/>
  <c r="H16" i="5053"/>
  <c r="H32" i="5053"/>
  <c r="H7" i="5053"/>
  <c r="B23" i="5053"/>
  <c r="H36" i="5053"/>
  <c r="H13" i="5053"/>
  <c r="H2" i="5053"/>
  <c r="H22" i="5053"/>
  <c r="H8" i="5053"/>
  <c r="C19" i="5053"/>
  <c r="H9" i="5053"/>
  <c r="H23" i="5053"/>
  <c r="H33" i="5053"/>
  <c r="H4" i="5053"/>
  <c r="H11" i="5053"/>
  <c r="H20" i="5053"/>
  <c r="H17" i="5053"/>
  <c r="H28" i="5053"/>
  <c r="H37" i="5053"/>
  <c r="H39" i="5053"/>
  <c r="H9" i="5051"/>
  <c r="H6" i="5051"/>
  <c r="H35" i="5051"/>
  <c r="H15" i="5049"/>
  <c r="H22" i="5049"/>
  <c r="H39" i="5049"/>
  <c r="H3" i="5049"/>
  <c r="H12" i="5049"/>
  <c r="H7" i="5049"/>
  <c r="H13" i="5049"/>
  <c r="H20" i="5049"/>
  <c r="H25" i="5049"/>
  <c r="H44" i="5049"/>
  <c r="H23" i="5049"/>
  <c r="H50" i="5049"/>
  <c r="H2" i="5049"/>
  <c r="H10" i="5049"/>
  <c r="H16" i="5049"/>
  <c r="H24" i="5049"/>
  <c r="H33" i="5049"/>
  <c r="H40" i="5049"/>
  <c r="H9" i="5049"/>
  <c r="H41" i="5049"/>
  <c r="H26" i="5049"/>
  <c r="C19" i="5049"/>
  <c r="H49" i="5049"/>
  <c r="H21" i="5049"/>
  <c r="H32" i="5049"/>
  <c r="H5" i="5049"/>
  <c r="H11" i="5049"/>
  <c r="H14" i="5049"/>
  <c r="H37" i="5049"/>
  <c r="H25" i="5053"/>
  <c r="H38" i="5053"/>
  <c r="H48" i="5053"/>
  <c r="H15" i="5053"/>
  <c r="H31" i="5053"/>
  <c r="H40" i="5053"/>
  <c r="H19" i="5053"/>
  <c r="H10" i="5053"/>
  <c r="H21" i="5053"/>
  <c r="C17" i="5053"/>
  <c r="H27" i="5053"/>
  <c r="H18" i="5053"/>
  <c r="H41" i="5053"/>
  <c r="H6" i="5053"/>
  <c r="H29" i="5053"/>
  <c r="H34" i="5053"/>
  <c r="H42" i="5053"/>
  <c r="H50" i="5053"/>
  <c r="H26" i="5053"/>
  <c r="H30" i="5053"/>
  <c r="H35" i="5053"/>
  <c r="H43" i="5053"/>
  <c r="H44" i="5051"/>
  <c r="H20" i="5051"/>
  <c r="H16" i="5051"/>
  <c r="H14" i="5051"/>
  <c r="H15" i="5051"/>
  <c r="H28" i="5051"/>
  <c r="H45" i="5049"/>
  <c r="H29" i="5049"/>
  <c r="H34" i="5049"/>
  <c r="H47" i="5049"/>
  <c r="H4" i="5049"/>
  <c r="H8" i="5049"/>
  <c r="H17" i="5049"/>
  <c r="C17" i="5049"/>
  <c r="H36" i="5049"/>
  <c r="H48" i="5049"/>
  <c r="H46" i="5051"/>
  <c r="H36" i="5051"/>
  <c r="H3" i="5051"/>
  <c r="H21" i="5051"/>
  <c r="H47" i="5051"/>
  <c r="H37" i="5051"/>
  <c r="H26" i="5051"/>
  <c r="H18" i="5051"/>
  <c r="H7" i="5051"/>
  <c r="H19" i="5051"/>
  <c r="C18" i="5051"/>
  <c r="H27" i="5051"/>
  <c r="H31" i="5051"/>
  <c r="H40" i="5051"/>
  <c r="H49" i="5051"/>
  <c r="H10" i="5051"/>
  <c r="H8" i="5051"/>
  <c r="H30" i="5051"/>
  <c r="H17" i="5051"/>
  <c r="H48" i="5051"/>
  <c r="H4" i="5051"/>
  <c r="H11" i="5051"/>
  <c r="H24" i="5051"/>
  <c r="H32" i="5051"/>
  <c r="H41" i="5051"/>
  <c r="H51" i="5051"/>
  <c r="H45" i="5051"/>
  <c r="H2" i="5051"/>
  <c r="H12" i="5051"/>
  <c r="C17" i="5051"/>
  <c r="H38" i="5051"/>
  <c r="B23" i="5051"/>
  <c r="H39" i="5051"/>
  <c r="H22" i="5051"/>
  <c r="H23" i="5051"/>
  <c r="C19" i="5051"/>
  <c r="H13" i="5051"/>
  <c r="H33" i="5051"/>
  <c r="H43" i="5051"/>
  <c r="H5" i="5051"/>
  <c r="H25" i="5051"/>
  <c r="H29" i="5051"/>
  <c r="H34" i="5051"/>
  <c r="H42" i="5051"/>
  <c r="H19" i="5049"/>
  <c r="H28" i="5049"/>
  <c r="H18" i="5049"/>
  <c r="H42" i="5049"/>
  <c r="H6" i="5049"/>
  <c r="C18" i="5049"/>
  <c r="B23" i="5049"/>
  <c r="H31" i="5049"/>
  <c r="H38" i="5049"/>
  <c r="H46" i="5049"/>
  <c r="H27" i="5049"/>
  <c r="H30" i="5049"/>
  <c r="H35" i="5049"/>
  <c r="H43" i="5049"/>
  <c r="O16" i="5047" l="1"/>
  <c r="O19" i="5047"/>
  <c r="C27" i="5047"/>
  <c r="B24" i="5047"/>
  <c r="C20" i="5047"/>
  <c r="B17" i="5047"/>
  <c r="H5" i="5047" s="1"/>
  <c r="C16" i="5047"/>
  <c r="C15" i="5047"/>
  <c r="C14" i="5047"/>
  <c r="C13" i="5047"/>
  <c r="O12" i="5047"/>
  <c r="C12" i="5047"/>
  <c r="O11" i="5047"/>
  <c r="C11" i="5047"/>
  <c r="O10" i="5047"/>
  <c r="C10" i="5047"/>
  <c r="C9" i="5047"/>
  <c r="C8" i="5047"/>
  <c r="O7" i="5047"/>
  <c r="C7" i="5047"/>
  <c r="O6" i="5047"/>
  <c r="B6" i="5047"/>
  <c r="O5" i="5047"/>
  <c r="B5" i="5047"/>
  <c r="O4" i="5047"/>
  <c r="O3" i="5047"/>
  <c r="O2" i="5047"/>
  <c r="O21" i="5045"/>
  <c r="O17" i="5045"/>
  <c r="C27" i="5045"/>
  <c r="B24" i="5045"/>
  <c r="C20" i="5045"/>
  <c r="B17" i="5045"/>
  <c r="H51" i="5045" s="1"/>
  <c r="C16" i="5045"/>
  <c r="C15" i="5045"/>
  <c r="C14" i="5045"/>
  <c r="C13" i="5045"/>
  <c r="O12" i="5045"/>
  <c r="C12" i="5045"/>
  <c r="O11" i="5045"/>
  <c r="C11" i="5045"/>
  <c r="O10" i="5045"/>
  <c r="C10" i="5045"/>
  <c r="C9" i="5045"/>
  <c r="C8" i="5045"/>
  <c r="O7" i="5045"/>
  <c r="C7" i="5045"/>
  <c r="O6" i="5045"/>
  <c r="B6" i="5045"/>
  <c r="O5" i="5045"/>
  <c r="B5" i="5045"/>
  <c r="O4" i="5045"/>
  <c r="O3" i="5045"/>
  <c r="H9" i="5045"/>
  <c r="O2" i="5045"/>
  <c r="O23" i="5041"/>
  <c r="O16" i="5043"/>
  <c r="O23" i="5043"/>
  <c r="C27" i="5043"/>
  <c r="B24" i="5043"/>
  <c r="C20" i="5043"/>
  <c r="B17" i="5043"/>
  <c r="H51" i="5043" s="1"/>
  <c r="C16" i="5043"/>
  <c r="C15" i="5043"/>
  <c r="C14" i="5043"/>
  <c r="C13" i="5043"/>
  <c r="O12" i="5043"/>
  <c r="C12" i="5043"/>
  <c r="O11" i="5043"/>
  <c r="C11" i="5043"/>
  <c r="O10" i="5043"/>
  <c r="C10" i="5043"/>
  <c r="C9" i="5043"/>
  <c r="C8" i="5043"/>
  <c r="O7" i="5043"/>
  <c r="C7" i="5043"/>
  <c r="O6" i="5043"/>
  <c r="B6" i="5043"/>
  <c r="O5" i="5043"/>
  <c r="B5" i="5043"/>
  <c r="O4" i="5043"/>
  <c r="O3" i="5043"/>
  <c r="O2" i="5043"/>
  <c r="O15" i="5041"/>
  <c r="O19" i="5041"/>
  <c r="C27" i="5041"/>
  <c r="B24" i="5041"/>
  <c r="C20" i="5041"/>
  <c r="B17" i="5041"/>
  <c r="H51" i="5041" s="1"/>
  <c r="C16" i="5041"/>
  <c r="C15" i="5041"/>
  <c r="C14" i="5041"/>
  <c r="C13" i="5041"/>
  <c r="O12" i="5041"/>
  <c r="C12" i="5041"/>
  <c r="O11" i="5041"/>
  <c r="C11" i="5041"/>
  <c r="O10" i="5041"/>
  <c r="C10" i="5041"/>
  <c r="C9" i="5041"/>
  <c r="C8" i="5041"/>
  <c r="O7" i="5041"/>
  <c r="C7" i="5041"/>
  <c r="O6" i="5041"/>
  <c r="B6" i="5041"/>
  <c r="O5" i="5041"/>
  <c r="B5" i="5041"/>
  <c r="O4" i="5041"/>
  <c r="O3" i="5041"/>
  <c r="O2" i="5041"/>
  <c r="H36" i="5041" l="1"/>
  <c r="H21" i="5045"/>
  <c r="H3" i="5041"/>
  <c r="H6" i="5041"/>
  <c r="H28" i="5043"/>
  <c r="H18" i="5041"/>
  <c r="H10" i="5041"/>
  <c r="H29" i="5047"/>
  <c r="H37" i="5047"/>
  <c r="H7" i="5047"/>
  <c r="H38" i="5047"/>
  <c r="C17" i="5047"/>
  <c r="H8" i="5047"/>
  <c r="H24" i="5047"/>
  <c r="C18" i="5047"/>
  <c r="H13" i="5047"/>
  <c r="H39" i="5047"/>
  <c r="H26" i="5047"/>
  <c r="H40" i="5047"/>
  <c r="H6" i="5047"/>
  <c r="C19" i="5047"/>
  <c r="H30" i="5047"/>
  <c r="H45" i="5047"/>
  <c r="H2" i="5047"/>
  <c r="H46" i="5047"/>
  <c r="H25" i="5047"/>
  <c r="H3" i="5047"/>
  <c r="H9" i="5047"/>
  <c r="H31" i="5047"/>
  <c r="H14" i="5047"/>
  <c r="H32" i="5047"/>
  <c r="H47" i="5047"/>
  <c r="H22" i="5047"/>
  <c r="H17" i="5047"/>
  <c r="H12" i="5047"/>
  <c r="H4" i="5047"/>
  <c r="H10" i="5047"/>
  <c r="H23" i="5047"/>
  <c r="B23" i="5047"/>
  <c r="H21" i="5047"/>
  <c r="H48" i="5047"/>
  <c r="H15" i="5047"/>
  <c r="H19" i="5047"/>
  <c r="H33" i="5047"/>
  <c r="H41" i="5047"/>
  <c r="H49" i="5047"/>
  <c r="H27" i="5047"/>
  <c r="H20" i="5047"/>
  <c r="H34" i="5047"/>
  <c r="H42" i="5047"/>
  <c r="H50" i="5047"/>
  <c r="H18" i="5047"/>
  <c r="H35" i="5047"/>
  <c r="H43" i="5047"/>
  <c r="H51" i="5047"/>
  <c r="H16" i="5047"/>
  <c r="H28" i="5047"/>
  <c r="H11" i="5047"/>
  <c r="H36" i="5047"/>
  <c r="H44" i="5047"/>
  <c r="H36" i="5045"/>
  <c r="H32" i="5045"/>
  <c r="H12" i="5045"/>
  <c r="H7" i="5045"/>
  <c r="H37" i="5045"/>
  <c r="H45" i="5045"/>
  <c r="H19" i="5045"/>
  <c r="H14" i="5045"/>
  <c r="H46" i="5045"/>
  <c r="H47" i="5045"/>
  <c r="H8" i="5045"/>
  <c r="H48" i="5045"/>
  <c r="B23" i="5045"/>
  <c r="H11" i="5045"/>
  <c r="H20" i="5045"/>
  <c r="H39" i="5045"/>
  <c r="H16" i="5045"/>
  <c r="H6" i="5045"/>
  <c r="C18" i="5045"/>
  <c r="H41" i="5045"/>
  <c r="H50" i="5045"/>
  <c r="H15" i="5045"/>
  <c r="C17" i="5045"/>
  <c r="H24" i="5045"/>
  <c r="H17" i="5045"/>
  <c r="H49" i="5045"/>
  <c r="H22" i="5045"/>
  <c r="H31" i="5045"/>
  <c r="H27" i="5045"/>
  <c r="H18" i="5045"/>
  <c r="H2" i="5045"/>
  <c r="H4" i="5045"/>
  <c r="H38" i="5045"/>
  <c r="H33" i="5045"/>
  <c r="H40" i="5045"/>
  <c r="H28" i="5045"/>
  <c r="H26" i="5045"/>
  <c r="H3" i="5045"/>
  <c r="H10" i="5045"/>
  <c r="H29" i="5045"/>
  <c r="H42" i="5045"/>
  <c r="H23" i="5045"/>
  <c r="C19" i="5045"/>
  <c r="H13" i="5045"/>
  <c r="H34" i="5045"/>
  <c r="H44" i="5045"/>
  <c r="H5" i="5045"/>
  <c r="H30" i="5045"/>
  <c r="H25" i="5045"/>
  <c r="H35" i="5045"/>
  <c r="H43" i="5045"/>
  <c r="H14" i="5041"/>
  <c r="H24" i="5041"/>
  <c r="H36" i="5043"/>
  <c r="H15" i="5043"/>
  <c r="H13" i="5043"/>
  <c r="H23" i="5043"/>
  <c r="H7" i="5043"/>
  <c r="H10" i="5043"/>
  <c r="H17" i="5043"/>
  <c r="H45" i="5043"/>
  <c r="H46" i="5043"/>
  <c r="H9" i="5043"/>
  <c r="H32" i="5043"/>
  <c r="H8" i="5043"/>
  <c r="H3" i="5043"/>
  <c r="H47" i="5043"/>
  <c r="H48" i="5043"/>
  <c r="H18" i="5043"/>
  <c r="H6" i="5043"/>
  <c r="H20" i="5043"/>
  <c r="H33" i="5043"/>
  <c r="H50" i="5043"/>
  <c r="H38" i="5043"/>
  <c r="H21" i="5043"/>
  <c r="H39" i="5043"/>
  <c r="B23" i="5043"/>
  <c r="H40" i="5043"/>
  <c r="C18" i="5043"/>
  <c r="H25" i="5043"/>
  <c r="H11" i="5043"/>
  <c r="H26" i="5043"/>
  <c r="H16" i="5043"/>
  <c r="H37" i="5043"/>
  <c r="H2" i="5043"/>
  <c r="H14" i="5043"/>
  <c r="C17" i="5043"/>
  <c r="H24" i="5043"/>
  <c r="H19" i="5043"/>
  <c r="H49" i="5043"/>
  <c r="H29" i="5043"/>
  <c r="H41" i="5043"/>
  <c r="H4" i="5043"/>
  <c r="H30" i="5043"/>
  <c r="H42" i="5043"/>
  <c r="H22" i="5043"/>
  <c r="C19" i="5043"/>
  <c r="H12" i="5043"/>
  <c r="H35" i="5043"/>
  <c r="H44" i="5043"/>
  <c r="H5" i="5043"/>
  <c r="H31" i="5043"/>
  <c r="H34" i="5043"/>
  <c r="H27" i="5043"/>
  <c r="H43" i="5043"/>
  <c r="H45" i="5041"/>
  <c r="H37" i="5041"/>
  <c r="H26" i="5041"/>
  <c r="H15" i="5041"/>
  <c r="H13" i="5041"/>
  <c r="H46" i="5041"/>
  <c r="H47" i="5041"/>
  <c r="H8" i="5041"/>
  <c r="H28" i="5041"/>
  <c r="H48" i="5041"/>
  <c r="H16" i="5041"/>
  <c r="H41" i="5041"/>
  <c r="H9" i="5041"/>
  <c r="C17" i="5041"/>
  <c r="H30" i="5041"/>
  <c r="H19" i="5041"/>
  <c r="H49" i="5041"/>
  <c r="H7" i="5041"/>
  <c r="H32" i="5041"/>
  <c r="H29" i="5041"/>
  <c r="H4" i="5041"/>
  <c r="H17" i="5041"/>
  <c r="H2" i="5041"/>
  <c r="H38" i="5041"/>
  <c r="H20" i="5041"/>
  <c r="H39" i="5041"/>
  <c r="B23" i="5041"/>
  <c r="H40" i="5041"/>
  <c r="H21" i="5041"/>
  <c r="C18" i="5041"/>
  <c r="H22" i="5041"/>
  <c r="H50" i="5041"/>
  <c r="H11" i="5041"/>
  <c r="H33" i="5041"/>
  <c r="H25" i="5041"/>
  <c r="H42" i="5041"/>
  <c r="H23" i="5041"/>
  <c r="C19" i="5041"/>
  <c r="H12" i="5041"/>
  <c r="H35" i="5041"/>
  <c r="H44" i="5041"/>
  <c r="H5" i="5041"/>
  <c r="H34" i="5041"/>
  <c r="H27" i="5041"/>
  <c r="H31" i="5041"/>
  <c r="H43" i="504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<sst xmlns="http://schemas.openxmlformats.org/spreadsheetml/2006/main" count="2705" uniqueCount="217">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</sst>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全体!$K$2:$K$359</c:f>
              <c:numCache>
                <c:formatCode>General</c:formatCode>
                <c:ptCount val="3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</c:numCache>
            </c:numRef>
          </c:xVal>
          <c:yVal>
            <c:numRef>
              <c:f>全体!$L$2:$L$359</c:f>
              <c:numCache>
                <c:formatCode>\+0.0;\-0.0;\±0</c:formatCode>
                <c:ptCount val="35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-37.59999999999998</c:v>
                </c:pt>
                <c:pt idx="327">
                  <c:v>1.0000000000000213</c:v>
                </c:pt>
                <c:pt idx="328">
                  <c:v>33.500000000000021</c:v>
                </c:pt>
                <c:pt idx="329">
                  <c:v>39.600000000000023</c:v>
                </c:pt>
                <c:pt idx="330">
                  <c:v>1.0000000000000213</c:v>
                </c:pt>
                <c:pt idx="331">
                  <c:v>-35.799999999999976</c:v>
                </c:pt>
                <c:pt idx="332">
                  <c:v>2.400000000000027</c:v>
                </c:pt>
                <c:pt idx="333">
                  <c:v>1.0000000000000271</c:v>
                </c:pt>
                <c:pt idx="334">
                  <c:v>11.000000000000027</c:v>
                </c:pt>
                <c:pt idx="335">
                  <c:v>-38.699999999999974</c:v>
                </c:pt>
                <c:pt idx="336">
                  <c:v>1.0000000000000284</c:v>
                </c:pt>
                <c:pt idx="337">
                  <c:v>43.500000000000028</c:v>
                </c:pt>
                <c:pt idx="338">
                  <c:v>4.0000000000000284</c:v>
                </c:pt>
                <c:pt idx="339">
                  <c:v>1.0000000000000284</c:v>
                </c:pt>
                <c:pt idx="340">
                  <c:v>-5.9999999999999716</c:v>
                </c:pt>
                <c:pt idx="341">
                  <c:v>-40.799999999999969</c:v>
                </c:pt>
                <c:pt idx="342">
                  <c:v>1.0000000000000284</c:v>
                </c:pt>
                <c:pt idx="343">
                  <c:v>-33.199999999999974</c:v>
                </c:pt>
                <c:pt idx="344">
                  <c:v>1.3000000000000256</c:v>
                </c:pt>
                <c:pt idx="345">
                  <c:v>1.0000000000000255</c:v>
                </c:pt>
                <c:pt idx="346">
                  <c:v>-57.499999999999972</c:v>
                </c:pt>
                <c:pt idx="347">
                  <c:v>-43.999999999999972</c:v>
                </c:pt>
                <c:pt idx="348">
                  <c:v>1.0000000000000284</c:v>
                </c:pt>
                <c:pt idx="349">
                  <c:v>-76.999999999999972</c:v>
                </c:pt>
                <c:pt idx="350">
                  <c:v>-16.599999999999973</c:v>
                </c:pt>
                <c:pt idx="351">
                  <c:v>1.0000000000000284</c:v>
                </c:pt>
                <c:pt idx="352">
                  <c:v>3.1000000000000285</c:v>
                </c:pt>
                <c:pt idx="353">
                  <c:v>31.500000000000028</c:v>
                </c:pt>
                <c:pt idx="354">
                  <c:v>1.0000000000000284</c:v>
                </c:pt>
                <c:pt idx="355">
                  <c:v>9.8000000000000291</c:v>
                </c:pt>
                <c:pt idx="356">
                  <c:v>41.900000000000034</c:v>
                </c:pt>
                <c:pt idx="357">
                  <c:v>1.0000000000000355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24-4B74-A410-477AEE60A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-14.005602240896359</c:v>
                </c:pt>
                <c:pt idx="1">
                  <c:v>-14.124293785310735</c:v>
                </c:pt>
                <c:pt idx="2">
                  <c:v>18.018018018018019</c:v>
                </c:pt>
                <c:pt idx="3">
                  <c:v>9.9009900990099009</c:v>
                </c:pt>
                <c:pt idx="4">
                  <c:v>-18.115942028985508</c:v>
                </c:pt>
                <c:pt idx="5">
                  <c:v>27.131782945736433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40-4205-B42E-1F0482D3E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だいち!$K$2:$K$84</c:f>
              <c:numCache>
                <c:formatCode>General</c:formatCode>
                <c:ptCount val="8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</c:numCache>
            </c:numRef>
          </c:xVal>
          <c:yVal>
            <c:numRef>
              <c:f>だいち!$L$2:$L$84</c:f>
              <c:numCache>
                <c:formatCode>\+0.0;\-0.0;\±0</c:formatCode>
                <c:ptCount val="83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74-48DA-88B8-201307B2CC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2409.7560975609758</c:v>
                </c:pt>
                <c:pt idx="1">
                  <c:v>2909.8765432098767</c:v>
                </c:pt>
                <c:pt idx="2">
                  <c:v>2788.3116883116882</c:v>
                </c:pt>
                <c:pt idx="3">
                  <c:v>2588.5714285714284</c:v>
                </c:pt>
                <c:pt idx="4">
                  <c:v>-69.354838709677423</c:v>
                </c:pt>
                <c:pt idx="5">
                  <c:v>1418.9655172413793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70-44B0-BCC8-846269362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りくと!$L$2:$L$90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FF-4F2C-9E02-44F30ABC0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1145.4545454545455</c:v>
                </c:pt>
                <c:pt idx="1">
                  <c:v>-2308.0459770114944</c:v>
                </c:pt>
                <c:pt idx="2">
                  <c:v>-1622.6190476190477</c:v>
                </c:pt>
                <c:pt idx="3">
                  <c:v>1143.421052631579</c:v>
                </c:pt>
                <c:pt idx="4">
                  <c:v>514.49275362318838</c:v>
                </c:pt>
                <c:pt idx="5">
                  <c:v>244.61538461538461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79-441D-A271-C13F4B6DCF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ただ!$K$2:$K$38</c:f>
              <c:numCache>
                <c:formatCode>General</c:formatCode>
                <c:ptCount val="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</c:numCache>
            </c:numRef>
          </c:xVal>
          <c:yVal>
            <c:numRef>
              <c:f>ただ!$L$2:$L$38</c:f>
              <c:numCache>
                <c:formatCode>\+0.0;\-0.0;\±0</c:formatCode>
                <c:ptCount val="37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-837.69999999999993</c:v>
                </c:pt>
                <c:pt idx="33">
                  <c:v>-877.19999999999993</c:v>
                </c:pt>
                <c:pt idx="34">
                  <c:v>-832.19999999999993</c:v>
                </c:pt>
                <c:pt idx="35">
                  <c:v>-814.59999999999991</c:v>
                </c:pt>
                <c:pt idx="36">
                  <c:v>-782.49999999999989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0A-4DAB-BB6A-151A2468F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-2758.3333333333335</c:v>
                </c:pt>
                <c:pt idx="1">
                  <c:v>-3072.2222222222222</c:v>
                </c:pt>
                <c:pt idx="2">
                  <c:v>-1230.3030303030303</c:v>
                </c:pt>
                <c:pt idx="3">
                  <c:v>-6846.4285714285716</c:v>
                </c:pt>
                <c:pt idx="4">
                  <c:v>-1044</c:v>
                </c:pt>
                <c:pt idx="5">
                  <c:v>-1534.7826086956522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0E-437C-9D07-A65C487F1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れんたろう!$L$2:$L$47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6F-47F9-9719-343C4B65B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-371.11111111111109</c:v>
                </c:pt>
                <c:pt idx="1">
                  <c:v>606.66666666666663</c:v>
                </c:pt>
                <c:pt idx="2">
                  <c:v>506.97674418604652</c:v>
                </c:pt>
                <c:pt idx="3">
                  <c:v>1351.3513513513512</c:v>
                </c:pt>
                <c:pt idx="4">
                  <c:v>-1014.7058823529412</c:v>
                </c:pt>
                <c:pt idx="5">
                  <c:v>237.5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28-4020-AE11-5C42E9591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たかの!$K$2:$K$40</c:f>
              <c:numCache>
                <c:formatCode>General</c:formatCode>
                <c:ptCount val="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</c:numCache>
            </c:numRef>
          </c:xVal>
          <c:yVal>
            <c:numRef>
              <c:f>たかの!$L$2:$L$40</c:f>
              <c:numCache>
                <c:formatCode>\+0.0;\-0.0;\±0</c:formatCode>
                <c:ptCount val="39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35-47AB-BBB5-94A64AABE7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1742.1052631578948</c:v>
                </c:pt>
                <c:pt idx="1">
                  <c:v>113.15789473684211</c:v>
                </c:pt>
                <c:pt idx="2">
                  <c:v>112.12121212121212</c:v>
                </c:pt>
                <c:pt idx="3">
                  <c:v>1474.1935483870968</c:v>
                </c:pt>
                <c:pt idx="4">
                  <c:v>-1126.6666666666667</c:v>
                </c:pt>
                <c:pt idx="5">
                  <c:v>-1781.4814814814815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B-4590-A113-1F158B524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ぱぱ!$K$2:$K$36</c:f>
              <c:numCache>
                <c:formatCode>General</c:formatCode>
                <c:ptCount val="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</c:numCache>
            </c:numRef>
          </c:xVal>
          <c:yVal>
            <c:numRef>
              <c:f>ぱぱ!$L$2:$L$36</c:f>
              <c:numCache>
                <c:formatCode>\+0.0;\-0.0;\±0</c:formatCode>
                <c:ptCount val="3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C0-4D4E-AE9B-363F9A9A85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-3038.2352941176468</c:v>
                </c:pt>
                <c:pt idx="1">
                  <c:v>1788.2352941176471</c:v>
                </c:pt>
                <c:pt idx="2">
                  <c:v>-831.25</c:v>
                </c:pt>
                <c:pt idx="3">
                  <c:v>-4610</c:v>
                </c:pt>
                <c:pt idx="4">
                  <c:v>970.37037037037032</c:v>
                </c:pt>
                <c:pt idx="5">
                  <c:v>638.46153846153845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672-4E5C-B412-7689B2146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86-4877-81E9-D853E97DC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-5500</c:v>
                </c:pt>
                <c:pt idx="1">
                  <c:v>-1455.5555555555557</c:v>
                </c:pt>
                <c:pt idx="2">
                  <c:v>-731.25</c:v>
                </c:pt>
                <c:pt idx="3">
                  <c:v>-852.94117647058829</c:v>
                </c:pt>
                <c:pt idx="4">
                  <c:v>-425</c:v>
                </c:pt>
                <c:pt idx="5">
                  <c:v>1450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82-41ED-8C1F-52A61E2410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0D-4487-B7A4-60A712DCF2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C8-49D1-900E-3DD3A0E547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いっしー!$L$2:$L$10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17-4A5F-9FFC-AF0E488F8F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-3837.5</c:v>
                </c:pt>
                <c:pt idx="1">
                  <c:v>-2000</c:v>
                </c:pt>
                <c:pt idx="2">
                  <c:v>-175</c:v>
                </c:pt>
                <c:pt idx="3">
                  <c:v>-4285.7142857142853</c:v>
                </c:pt>
                <c:pt idx="4">
                  <c:v>671.42857142857144</c:v>
                </c:pt>
                <c:pt idx="5">
                  <c:v>-5300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3A-435F-9A15-7500B0491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BE-41B4-A755-D02774BC6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-6025</c:v>
                </c:pt>
                <c:pt idx="1">
                  <c:v>3450</c:v>
                </c:pt>
                <c:pt idx="2">
                  <c:v>-3650</c:v>
                </c:pt>
                <c:pt idx="3">
                  <c:v>-1250</c:v>
                </c:pt>
                <c:pt idx="4">
                  <c:v>11266.666666666666</c:v>
                </c:pt>
                <c:pt idx="5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01-4C91-B329-C93E7296B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1.000000000000035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ほたに2!$C$3:$C$7</c:f>
              <c:numCache>
                <c:formatCode>\+0.0;\-0.0;\±0</c:formatCode>
                <c:ptCount val="5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.801120448179371E-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ほたに2!$D$3:$D$7</c:f>
              <c:numCache>
                <c:formatCode>0.00\ "位"</c:formatCode>
                <c:ptCount val="5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ほたに2!$F$3:$F$7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ほたに2!$G$3:$G$7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28455284552845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ほたに2!$H$3:$H$7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3604336043360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ほたに2!$I$3:$I$7</c:f>
              <c:numCache>
                <c:formatCode>0</c:formatCode>
                <c:ptCount val="5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89.59731543624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ほたに2!$J$3:$J$7</c:f>
              <c:numCache>
                <c:formatCode>0</c:formatCode>
                <c:ptCount val="5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26.3581488933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ほたに2!$K$3:$K$7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840336134453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08403361344537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9986449864498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ほたに2!$N$3:$N$7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6802168021680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ほたに2!$O$3:$O$7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22208281053952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ほたに2!$P$3:$P$7</c:f>
              <c:numCache>
                <c:formatCode>0.0%</c:formatCode>
                <c:ptCount val="5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2812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ほたに2!$Q$3:$Q$7</c:f>
              <c:numCache>
                <c:formatCode>0.0%</c:formatCode>
                <c:ptCount val="5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123042505592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31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43593.733356481483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43593.838449074072</v>
      </c>
      <c r="C31" s="30" t="s">
        <v>130</v>
      </c>
      <c r="D31" s="30" t="s">
        <v>131</v>
      </c>
      <c r="E31" s="30" t="s">
        <v>169</v>
      </c>
      <c r="F31" s="30" t="s">
        <v>174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1"/>
  <sheetViews>
    <sheetView workbookViewId="0"/>
  </sheetViews>
  <sheetFormatPr defaultRowHeight="18.75" x14ac:dyDescent="0.4"/>
  <sheetData>
    <row r="1" spans="1:1" x14ac:dyDescent="0.4">
      <c r="A1" t="s">
        <v>145</v>
      </c>
    </row>
    <row r="2" spans="1:1" x14ac:dyDescent="0.4">
      <c r="A2" t="s">
        <v>127</v>
      </c>
    </row>
    <row r="3" spans="1:1" x14ac:dyDescent="0.4">
      <c r="A3" t="s">
        <v>128</v>
      </c>
    </row>
    <row r="4" spans="1:1" x14ac:dyDescent="0.4">
      <c r="A4" t="s">
        <v>129</v>
      </c>
    </row>
    <row r="5" spans="1:1" x14ac:dyDescent="0.4">
      <c r="A5" t="s">
        <v>171</v>
      </c>
    </row>
    <row r="6" spans="1:1" x14ac:dyDescent="0.4">
      <c r="A6" t="s">
        <v>172</v>
      </c>
    </row>
    <row r="7" spans="1:1" x14ac:dyDescent="0.4">
      <c r="A7" t="s">
        <v>173</v>
      </c>
    </row>
    <row r="8" spans="1:1" x14ac:dyDescent="0.4">
      <c r="A8" t="s">
        <v>177</v>
      </c>
    </row>
    <row r="9" spans="1:1" x14ac:dyDescent="0.4">
      <c r="A9" t="s">
        <v>185</v>
      </c>
    </row>
    <row r="10" spans="1:1" x14ac:dyDescent="0.4">
      <c r="A10" t="s">
        <v>186</v>
      </c>
    </row>
    <row r="11" spans="1:1" x14ac:dyDescent="0.4">
      <c r="A11" t="s">
        <v>202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0.81611143868008951</v>
      </c>
      <c r="G2" s="155"/>
      <c r="H2" s="154">
        <v>0.86090122863098562</v>
      </c>
      <c r="I2" s="155"/>
      <c r="J2" s="154">
        <v>0.70109555056188999</v>
      </c>
      <c r="K2" s="155"/>
      <c r="L2" s="154">
        <v>0.62237929849028273</v>
      </c>
      <c r="M2" s="155"/>
      <c r="N2" s="154">
        <v>0.468916738121395</v>
      </c>
      <c r="O2" s="155"/>
      <c r="P2" s="154">
        <v>0.62427588667106115</v>
      </c>
      <c r="Q2" s="155"/>
      <c r="R2" s="154">
        <v>-6.6190379503823171E-2</v>
      </c>
      <c r="S2" s="155"/>
      <c r="T2" s="154">
        <v>0.39105772375498105</v>
      </c>
      <c r="U2" s="155"/>
      <c r="V2" s="154">
        <v>0.72907338201367178</v>
      </c>
      <c r="W2" s="155"/>
      <c r="X2" s="154">
        <v>0.935887749544838</v>
      </c>
      <c r="Y2" s="155"/>
      <c r="Z2" s="154">
        <v>-0.10639990585153146</v>
      </c>
      <c r="AA2" s="155"/>
      <c r="AB2" s="154">
        <v>0.56046778137121434</v>
      </c>
      <c r="AC2" s="155"/>
      <c r="AD2" s="154">
        <v>0.54339177896327895</v>
      </c>
      <c r="AE2" s="155"/>
      <c r="AF2" s="154">
        <v>-3.624183893884321E-2</v>
      </c>
      <c r="AG2" s="155"/>
      <c r="AH2" s="154">
        <v>0.87484476842720837</v>
      </c>
      <c r="AI2" s="155"/>
    </row>
    <row r="3" spans="1:35" x14ac:dyDescent="0.4">
      <c r="A3" s="74">
        <v>1</v>
      </c>
      <c r="B3" s="75" t="s">
        <v>127</v>
      </c>
      <c r="C3" s="76">
        <v>1552.2000000000007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127</v>
      </c>
      <c r="M3" s="80">
        <v>0.38426626323751889</v>
      </c>
      <c r="N3" s="77" t="s">
        <v>185</v>
      </c>
      <c r="O3" s="80">
        <v>0.10526315789473684</v>
      </c>
      <c r="P3" s="77" t="s">
        <v>202</v>
      </c>
      <c r="Q3" s="81">
        <v>9555.5555555555547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0.17073170731707318</v>
      </c>
      <c r="X3" s="77" t="s">
        <v>127</v>
      </c>
      <c r="Y3" s="80">
        <v>0.32980332829046899</v>
      </c>
      <c r="Z3" s="77" t="s">
        <v>172</v>
      </c>
      <c r="AA3" s="80">
        <v>0.30246913580246915</v>
      </c>
      <c r="AB3" s="77" t="s">
        <v>186</v>
      </c>
      <c r="AC3" s="80">
        <v>0.66666666666666663</v>
      </c>
      <c r="AD3" s="77" t="s">
        <v>127</v>
      </c>
      <c r="AE3" s="80">
        <v>0.53548387096774197</v>
      </c>
      <c r="AF3" s="77" t="s">
        <v>202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185</v>
      </c>
      <c r="C4" s="84">
        <v>61</v>
      </c>
      <c r="D4" s="85" t="s">
        <v>127</v>
      </c>
      <c r="E4" s="97">
        <v>18.929268292682934</v>
      </c>
      <c r="F4" s="85" t="s">
        <v>127</v>
      </c>
      <c r="G4" s="86">
        <v>1.6097560975609757</v>
      </c>
      <c r="H4" s="85" t="s">
        <v>127</v>
      </c>
      <c r="I4" s="87">
        <v>0.57317073170731703</v>
      </c>
      <c r="J4" s="85" t="s">
        <v>202</v>
      </c>
      <c r="K4" s="87">
        <v>0</v>
      </c>
      <c r="L4" s="85" t="s">
        <v>172</v>
      </c>
      <c r="M4" s="88">
        <v>0.3611111111111111</v>
      </c>
      <c r="N4" s="85" t="s">
        <v>172</v>
      </c>
      <c r="O4" s="88">
        <v>0.14506172839506173</v>
      </c>
      <c r="P4" s="85" t="s">
        <v>171</v>
      </c>
      <c r="Q4" s="89">
        <v>9264.5161290322576</v>
      </c>
      <c r="R4" s="85" t="s">
        <v>202</v>
      </c>
      <c r="S4" s="89">
        <v>-5866.666666666667</v>
      </c>
      <c r="T4" s="85" t="s">
        <v>202</v>
      </c>
      <c r="U4" s="87">
        <v>0</v>
      </c>
      <c r="V4" s="85" t="s">
        <v>171</v>
      </c>
      <c r="W4" s="87">
        <v>0.13333333333333333</v>
      </c>
      <c r="X4" s="85" t="s">
        <v>202</v>
      </c>
      <c r="Y4" s="88">
        <v>0.30555555555555558</v>
      </c>
      <c r="Z4" s="85" t="s">
        <v>202</v>
      </c>
      <c r="AA4" s="88">
        <v>0.27777777777777779</v>
      </c>
      <c r="AB4" s="85" t="s">
        <v>128</v>
      </c>
      <c r="AC4" s="88">
        <v>0.61722488038277512</v>
      </c>
      <c r="AD4" s="85" t="s">
        <v>185</v>
      </c>
      <c r="AE4" s="88">
        <v>0.5</v>
      </c>
      <c r="AF4" s="85" t="s">
        <v>186</v>
      </c>
      <c r="AG4" s="88">
        <v>0.52941176470588236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32.100000000000009</v>
      </c>
      <c r="D5" s="85" t="s">
        <v>202</v>
      </c>
      <c r="E5" s="97">
        <v>4.8499999999999988</v>
      </c>
      <c r="F5" s="85" t="s">
        <v>202</v>
      </c>
      <c r="G5" s="86">
        <v>1.75</v>
      </c>
      <c r="H5" s="85" t="s">
        <v>145</v>
      </c>
      <c r="I5" s="87">
        <v>0.33333333333333331</v>
      </c>
      <c r="J5" s="85" t="s">
        <v>127</v>
      </c>
      <c r="K5" s="87">
        <v>0.18292682926829268</v>
      </c>
      <c r="L5" s="85" t="s">
        <v>173</v>
      </c>
      <c r="M5" s="88">
        <v>0.30592105263157893</v>
      </c>
      <c r="N5" s="85" t="s">
        <v>127</v>
      </c>
      <c r="O5" s="88">
        <v>0.15582450832072617</v>
      </c>
      <c r="P5" s="85" t="s">
        <v>127</v>
      </c>
      <c r="Q5" s="89">
        <v>9214.5669291338581</v>
      </c>
      <c r="R5" s="85" t="s">
        <v>177</v>
      </c>
      <c r="S5" s="89">
        <v>-7093.1034482758623</v>
      </c>
      <c r="T5" s="85" t="s">
        <v>171</v>
      </c>
      <c r="U5" s="87">
        <v>2.2222222222222223E-2</v>
      </c>
      <c r="V5" s="85" t="s">
        <v>172</v>
      </c>
      <c r="W5" s="87">
        <v>0.13157894736842105</v>
      </c>
      <c r="X5" s="85" t="s">
        <v>128</v>
      </c>
      <c r="Y5" s="88">
        <v>0.28708791208791207</v>
      </c>
      <c r="Z5" s="85" t="s">
        <v>177</v>
      </c>
      <c r="AA5" s="88">
        <v>0.25503355704697989</v>
      </c>
      <c r="AB5" s="85" t="s">
        <v>127</v>
      </c>
      <c r="AC5" s="88">
        <v>0.61009174311926606</v>
      </c>
      <c r="AD5" s="85" t="s">
        <v>186</v>
      </c>
      <c r="AE5" s="88">
        <v>0.46666666666666667</v>
      </c>
      <c r="AF5" s="85" t="s">
        <v>173</v>
      </c>
      <c r="AG5" s="88">
        <v>0.5268817204301075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202</v>
      </c>
      <c r="C6" s="84">
        <v>19.399999999999995</v>
      </c>
      <c r="D6" s="85" t="s">
        <v>172</v>
      </c>
      <c r="E6" s="97">
        <v>0.84473684210526334</v>
      </c>
      <c r="F6" s="85" t="s">
        <v>145</v>
      </c>
      <c r="G6" s="86">
        <v>2</v>
      </c>
      <c r="H6" s="85" t="s">
        <v>172</v>
      </c>
      <c r="I6" s="87">
        <v>0.28947368421052633</v>
      </c>
      <c r="J6" s="85" t="s">
        <v>128</v>
      </c>
      <c r="K6" s="87">
        <v>0.32954545454545453</v>
      </c>
      <c r="L6" s="85" t="s">
        <v>145</v>
      </c>
      <c r="M6" s="88">
        <v>0.30284552845528456</v>
      </c>
      <c r="N6" s="85" t="s">
        <v>171</v>
      </c>
      <c r="O6" s="88">
        <v>0.15633423180592992</v>
      </c>
      <c r="P6" s="85" t="s">
        <v>128</v>
      </c>
      <c r="Q6" s="89">
        <v>9083.7320574162677</v>
      </c>
      <c r="R6" s="85" t="s">
        <v>171</v>
      </c>
      <c r="S6" s="89">
        <v>-7098.2758620689656</v>
      </c>
      <c r="T6" s="85" t="s">
        <v>172</v>
      </c>
      <c r="U6" s="87">
        <v>5.2631578947368418E-2</v>
      </c>
      <c r="V6" s="85" t="s">
        <v>145</v>
      </c>
      <c r="W6" s="87">
        <v>0.10084033613445378</v>
      </c>
      <c r="X6" s="85" t="s">
        <v>145</v>
      </c>
      <c r="Y6" s="88">
        <v>0.26998644986449866</v>
      </c>
      <c r="Z6" s="85" t="s">
        <v>173</v>
      </c>
      <c r="AA6" s="88">
        <v>0.25</v>
      </c>
      <c r="AB6" s="85" t="s">
        <v>185</v>
      </c>
      <c r="AC6" s="88">
        <v>0.6</v>
      </c>
      <c r="AD6" s="85" t="s">
        <v>172</v>
      </c>
      <c r="AE6" s="88">
        <v>0.41836734693877553</v>
      </c>
      <c r="AF6" s="85" t="s">
        <v>129</v>
      </c>
      <c r="AG6" s="88">
        <v>0.5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145</v>
      </c>
      <c r="C7" s="84">
        <v>1.0000000000000355</v>
      </c>
      <c r="D7" s="85" t="s">
        <v>145</v>
      </c>
      <c r="E7" s="97">
        <v>2.801120448179371E-3</v>
      </c>
      <c r="F7" s="85" t="s">
        <v>128</v>
      </c>
      <c r="G7" s="86">
        <v>2.0681818181818183</v>
      </c>
      <c r="H7" s="85" t="s">
        <v>171</v>
      </c>
      <c r="I7" s="87">
        <v>0.26666666666666666</v>
      </c>
      <c r="J7" s="85" t="s">
        <v>145</v>
      </c>
      <c r="K7" s="87">
        <v>0.33333333333333331</v>
      </c>
      <c r="L7" s="85" t="s">
        <v>128</v>
      </c>
      <c r="M7" s="88">
        <v>0.28708791208791207</v>
      </c>
      <c r="N7" s="85" t="s">
        <v>202</v>
      </c>
      <c r="O7" s="88">
        <v>0.16666666666666666</v>
      </c>
      <c r="P7" s="85" t="s">
        <v>129</v>
      </c>
      <c r="Q7" s="89">
        <v>8551.6129032258068</v>
      </c>
      <c r="R7" s="85" t="s">
        <v>128</v>
      </c>
      <c r="S7" s="89">
        <v>-7849.5934959349597</v>
      </c>
      <c r="T7" s="85" t="s">
        <v>127</v>
      </c>
      <c r="U7" s="87">
        <v>6.097560975609756E-2</v>
      </c>
      <c r="V7" s="85" t="s">
        <v>128</v>
      </c>
      <c r="W7" s="87">
        <v>7.9545454545454544E-2</v>
      </c>
      <c r="X7" s="85" t="s">
        <v>185</v>
      </c>
      <c r="Y7" s="88">
        <v>0.26315789473684209</v>
      </c>
      <c r="Z7" s="85" t="s">
        <v>127</v>
      </c>
      <c r="AA7" s="88">
        <v>0.23449319213313161</v>
      </c>
      <c r="AB7" s="85" t="s">
        <v>173</v>
      </c>
      <c r="AC7" s="88">
        <v>0.59420289855072461</v>
      </c>
      <c r="AD7" s="85" t="s">
        <v>145</v>
      </c>
      <c r="AE7" s="88">
        <v>0.3828125</v>
      </c>
      <c r="AF7" s="85" t="s">
        <v>145</v>
      </c>
      <c r="AG7" s="88">
        <v>0.43512304250559286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171</v>
      </c>
      <c r="C8" s="84">
        <v>-32.5</v>
      </c>
      <c r="D8" s="85" t="s">
        <v>171</v>
      </c>
      <c r="E8" s="97">
        <v>-0.72222222222222221</v>
      </c>
      <c r="F8" s="85" t="s">
        <v>172</v>
      </c>
      <c r="G8" s="86">
        <v>2.0789473684210527</v>
      </c>
      <c r="H8" s="85" t="s">
        <v>173</v>
      </c>
      <c r="I8" s="87">
        <v>0.26470588235294118</v>
      </c>
      <c r="J8" s="85" t="s">
        <v>173</v>
      </c>
      <c r="K8" s="87">
        <v>0.35294117647058826</v>
      </c>
      <c r="L8" s="85" t="s">
        <v>185</v>
      </c>
      <c r="M8" s="88">
        <v>0.26315789473684209</v>
      </c>
      <c r="N8" s="85" t="s">
        <v>145</v>
      </c>
      <c r="O8" s="88">
        <v>0.16836043360433606</v>
      </c>
      <c r="P8" s="85" t="s">
        <v>145</v>
      </c>
      <c r="Q8" s="89">
        <v>8489.5973154362418</v>
      </c>
      <c r="R8" s="85" t="s">
        <v>127</v>
      </c>
      <c r="S8" s="89">
        <v>-7877.6699029126212</v>
      </c>
      <c r="T8" s="85" t="s">
        <v>145</v>
      </c>
      <c r="U8" s="87">
        <v>0.10084033613445378</v>
      </c>
      <c r="V8" s="85" t="s">
        <v>173</v>
      </c>
      <c r="W8" s="87">
        <v>5.8823529411764705E-2</v>
      </c>
      <c r="X8" s="85" t="s">
        <v>171</v>
      </c>
      <c r="Y8" s="88">
        <v>0.26145552560646901</v>
      </c>
      <c r="Z8" s="85" t="s">
        <v>186</v>
      </c>
      <c r="AA8" s="88">
        <v>0.22058823529411764</v>
      </c>
      <c r="AB8" s="85" t="s">
        <v>145</v>
      </c>
      <c r="AC8" s="88">
        <v>0.59222082810539523</v>
      </c>
      <c r="AD8" s="85" t="s">
        <v>177</v>
      </c>
      <c r="AE8" s="88">
        <v>0.36842105263157893</v>
      </c>
      <c r="AF8" s="85" t="s">
        <v>127</v>
      </c>
      <c r="AG8" s="88">
        <v>0.43307086614173229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186</v>
      </c>
      <c r="C9" s="84">
        <v>-170.5</v>
      </c>
      <c r="D9" s="85" t="s">
        <v>128</v>
      </c>
      <c r="E9" s="97">
        <v>-2.4772727272727275</v>
      </c>
      <c r="F9" s="85" t="s">
        <v>173</v>
      </c>
      <c r="G9" s="86">
        <v>2.0882352941176472</v>
      </c>
      <c r="H9" s="85" t="s">
        <v>177</v>
      </c>
      <c r="I9" s="87">
        <v>0.26315789473684209</v>
      </c>
      <c r="J9" s="85" t="s">
        <v>171</v>
      </c>
      <c r="K9" s="87">
        <v>0.35555555555555557</v>
      </c>
      <c r="L9" s="85" t="s">
        <v>171</v>
      </c>
      <c r="M9" s="88">
        <v>0.25067385444743934</v>
      </c>
      <c r="N9" s="85" t="s">
        <v>128</v>
      </c>
      <c r="O9" s="88">
        <v>0.16895604395604397</v>
      </c>
      <c r="P9" s="85" t="s">
        <v>185</v>
      </c>
      <c r="Q9" s="89">
        <v>7860</v>
      </c>
      <c r="R9" s="85" t="s">
        <v>173</v>
      </c>
      <c r="S9" s="89">
        <v>-7957.1428571428569</v>
      </c>
      <c r="T9" s="85" t="s">
        <v>173</v>
      </c>
      <c r="U9" s="87">
        <v>0.11764705882352941</v>
      </c>
      <c r="V9" s="85" t="s">
        <v>129</v>
      </c>
      <c r="W9" s="87">
        <v>5.5555555555555552E-2</v>
      </c>
      <c r="X9" s="85" t="s">
        <v>129</v>
      </c>
      <c r="Y9" s="88">
        <v>0.25342465753424659</v>
      </c>
      <c r="Z9" s="85" t="s">
        <v>145</v>
      </c>
      <c r="AA9" s="88">
        <v>0.21680216802168023</v>
      </c>
      <c r="AB9" s="85" t="s">
        <v>172</v>
      </c>
      <c r="AC9" s="88">
        <v>0.58666666666666667</v>
      </c>
      <c r="AD9" s="85" t="s">
        <v>173</v>
      </c>
      <c r="AE9" s="88">
        <v>0.34210526315789475</v>
      </c>
      <c r="AF9" s="85" t="s">
        <v>172</v>
      </c>
      <c r="AG9" s="88">
        <v>0.42735042735042733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128</v>
      </c>
      <c r="C10" s="84">
        <v>-218.00000000000003</v>
      </c>
      <c r="D10" s="85" t="s">
        <v>173</v>
      </c>
      <c r="E10" s="97">
        <v>-6.6058823529411761</v>
      </c>
      <c r="F10" s="85" t="s">
        <v>171</v>
      </c>
      <c r="G10" s="86">
        <v>2.088888888888889</v>
      </c>
      <c r="H10" s="85" t="s">
        <v>128</v>
      </c>
      <c r="I10" s="87">
        <v>0.26136363636363635</v>
      </c>
      <c r="J10" s="85" t="s">
        <v>172</v>
      </c>
      <c r="K10" s="87">
        <v>0.36842105263157893</v>
      </c>
      <c r="L10" s="85" t="s">
        <v>186</v>
      </c>
      <c r="M10" s="88">
        <v>0.25</v>
      </c>
      <c r="N10" s="85" t="s">
        <v>173</v>
      </c>
      <c r="O10" s="88">
        <v>0.18421052631578946</v>
      </c>
      <c r="P10" s="85" t="s">
        <v>177</v>
      </c>
      <c r="Q10" s="89">
        <v>7431.4285714285716</v>
      </c>
      <c r="R10" s="85" t="s">
        <v>145</v>
      </c>
      <c r="S10" s="89">
        <v>-8026.3581488933605</v>
      </c>
      <c r="T10" s="85" t="s">
        <v>128</v>
      </c>
      <c r="U10" s="87">
        <v>0.125</v>
      </c>
      <c r="V10" s="85" t="s">
        <v>177</v>
      </c>
      <c r="W10" s="87">
        <v>0</v>
      </c>
      <c r="X10" s="85" t="s">
        <v>172</v>
      </c>
      <c r="Y10" s="88">
        <v>0.23148148148148148</v>
      </c>
      <c r="Z10" s="85" t="s">
        <v>185</v>
      </c>
      <c r="AA10" s="88">
        <v>0.21052631578947367</v>
      </c>
      <c r="AB10" s="85" t="s">
        <v>171</v>
      </c>
      <c r="AC10" s="88">
        <v>0.57731958762886593</v>
      </c>
      <c r="AD10" s="85" t="s">
        <v>171</v>
      </c>
      <c r="AE10" s="88">
        <v>0.33333333333333331</v>
      </c>
      <c r="AF10" s="85" t="s">
        <v>128</v>
      </c>
      <c r="AG10" s="88">
        <v>0.41148325358851673</v>
      </c>
      <c r="AH10" s="85" t="s">
        <v>177</v>
      </c>
      <c r="AI10" s="92">
        <v>65000</v>
      </c>
    </row>
    <row r="11" spans="1:35" x14ac:dyDescent="0.4">
      <c r="A11" s="82">
        <v>9</v>
      </c>
      <c r="B11" s="83" t="s">
        <v>173</v>
      </c>
      <c r="C11" s="84">
        <v>-224.6</v>
      </c>
      <c r="D11" s="85" t="s">
        <v>177</v>
      </c>
      <c r="E11" s="97">
        <v>-12.4</v>
      </c>
      <c r="F11" s="85" t="s">
        <v>177</v>
      </c>
      <c r="G11" s="86">
        <v>2.1578947368421053</v>
      </c>
      <c r="H11" s="85" t="s">
        <v>186</v>
      </c>
      <c r="I11" s="87">
        <v>0.25</v>
      </c>
      <c r="J11" s="85" t="s">
        <v>177</v>
      </c>
      <c r="K11" s="87">
        <v>0.42105263157894735</v>
      </c>
      <c r="L11" s="85" t="s">
        <v>202</v>
      </c>
      <c r="M11" s="88">
        <v>0.25</v>
      </c>
      <c r="N11" s="85" t="s">
        <v>129</v>
      </c>
      <c r="O11" s="88">
        <v>0.19178082191780821</v>
      </c>
      <c r="P11" s="85" t="s">
        <v>186</v>
      </c>
      <c r="Q11" s="89">
        <v>7364.7058823529414</v>
      </c>
      <c r="R11" s="85" t="s">
        <v>186</v>
      </c>
      <c r="S11" s="89">
        <v>-8323.5294117647063</v>
      </c>
      <c r="T11" s="85" t="s">
        <v>186</v>
      </c>
      <c r="U11" s="87">
        <v>0.125</v>
      </c>
      <c r="V11" s="85" t="s">
        <v>185</v>
      </c>
      <c r="W11" s="87">
        <v>0</v>
      </c>
      <c r="X11" s="85" t="s">
        <v>173</v>
      </c>
      <c r="Y11" s="88">
        <v>0.22697368421052633</v>
      </c>
      <c r="Z11" s="85" t="s">
        <v>128</v>
      </c>
      <c r="AA11" s="88">
        <v>0.19368131868131869</v>
      </c>
      <c r="AB11" s="85" t="s">
        <v>202</v>
      </c>
      <c r="AC11" s="88">
        <v>0.54545454545454541</v>
      </c>
      <c r="AD11" s="85" t="s">
        <v>202</v>
      </c>
      <c r="AE11" s="88">
        <v>0.3</v>
      </c>
      <c r="AF11" s="85" t="s">
        <v>177</v>
      </c>
      <c r="AG11" s="88">
        <v>0.4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177</v>
      </c>
      <c r="C12" s="84">
        <v>-235.6</v>
      </c>
      <c r="D12" s="85" t="s">
        <v>186</v>
      </c>
      <c r="E12" s="97">
        <v>-21.3125</v>
      </c>
      <c r="F12" s="85" t="s">
        <v>129</v>
      </c>
      <c r="G12" s="86">
        <v>2.3611111111111112</v>
      </c>
      <c r="H12" s="85" t="s">
        <v>202</v>
      </c>
      <c r="I12" s="87">
        <v>0.25</v>
      </c>
      <c r="J12" s="85" t="s">
        <v>129</v>
      </c>
      <c r="K12" s="87">
        <v>0.55555555555555558</v>
      </c>
      <c r="L12" s="85" t="s">
        <v>177</v>
      </c>
      <c r="M12" s="88">
        <v>0.2348993288590604</v>
      </c>
      <c r="N12" s="85" t="s">
        <v>177</v>
      </c>
      <c r="O12" s="88">
        <v>0.19463087248322147</v>
      </c>
      <c r="P12" s="85" t="s">
        <v>172</v>
      </c>
      <c r="Q12" s="89">
        <v>6950.4273504273506</v>
      </c>
      <c r="R12" s="85" t="s">
        <v>172</v>
      </c>
      <c r="S12" s="89">
        <v>-8706.3829787234044</v>
      </c>
      <c r="T12" s="85" t="s">
        <v>177</v>
      </c>
      <c r="U12" s="87">
        <v>0.21052631578947367</v>
      </c>
      <c r="V12" s="85" t="s">
        <v>186</v>
      </c>
      <c r="W12" s="87">
        <v>0</v>
      </c>
      <c r="X12" s="85" t="s">
        <v>177</v>
      </c>
      <c r="Y12" s="88">
        <v>0.18120805369127516</v>
      </c>
      <c r="Z12" s="85" t="s">
        <v>171</v>
      </c>
      <c r="AA12" s="88">
        <v>0.16172506738544473</v>
      </c>
      <c r="AB12" s="85" t="s">
        <v>177</v>
      </c>
      <c r="AC12" s="88">
        <v>0.51851851851851849</v>
      </c>
      <c r="AD12" s="85" t="s">
        <v>128</v>
      </c>
      <c r="AE12" s="88">
        <v>0.29078014184397161</v>
      </c>
      <c r="AF12" s="85" t="s">
        <v>171</v>
      </c>
      <c r="AG12" s="88">
        <v>0.35483870967741937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129</v>
      </c>
      <c r="C13" s="84">
        <v>-782.49999999999989</v>
      </c>
      <c r="D13" s="85" t="s">
        <v>129</v>
      </c>
      <c r="E13" s="97">
        <v>-21.736111111111107</v>
      </c>
      <c r="F13" s="85" t="s">
        <v>186</v>
      </c>
      <c r="G13" s="86">
        <v>2.375</v>
      </c>
      <c r="H13" s="85" t="s">
        <v>129</v>
      </c>
      <c r="I13" s="87">
        <v>0.19444444444444445</v>
      </c>
      <c r="J13" s="85" t="s">
        <v>186</v>
      </c>
      <c r="K13" s="87">
        <v>0.625</v>
      </c>
      <c r="L13" s="85" t="s">
        <v>129</v>
      </c>
      <c r="M13" s="88">
        <v>0.21232876712328766</v>
      </c>
      <c r="N13" s="85" t="s">
        <v>186</v>
      </c>
      <c r="O13" s="88">
        <v>0.25</v>
      </c>
      <c r="P13" s="85" t="s">
        <v>173</v>
      </c>
      <c r="Q13" s="89">
        <v>6829.0322580645161</v>
      </c>
      <c r="R13" s="85" t="s">
        <v>129</v>
      </c>
      <c r="S13" s="89">
        <v>-9875</v>
      </c>
      <c r="T13" s="85" t="s">
        <v>129</v>
      </c>
      <c r="U13" s="87">
        <v>0.22222222222222221</v>
      </c>
      <c r="V13" s="85" t="s">
        <v>202</v>
      </c>
      <c r="W13" s="87">
        <v>0</v>
      </c>
      <c r="X13" s="85" t="s">
        <v>186</v>
      </c>
      <c r="Y13" s="88">
        <v>0.17647058823529413</v>
      </c>
      <c r="Z13" s="85" t="s">
        <v>129</v>
      </c>
      <c r="AA13" s="88">
        <v>0.14726027397260275</v>
      </c>
      <c r="AB13" s="85" t="s">
        <v>129</v>
      </c>
      <c r="AC13" s="88">
        <v>0.51351351351351349</v>
      </c>
      <c r="AD13" s="85" t="s">
        <v>129</v>
      </c>
      <c r="AE13" s="88">
        <v>0.18604651162790697</v>
      </c>
      <c r="AF13" s="85" t="s">
        <v>185</v>
      </c>
      <c r="AG13" s="88">
        <v>0.2</v>
      </c>
      <c r="AH13" s="85" t="s">
        <v>185</v>
      </c>
      <c r="AI13" s="92">
        <v>53500</v>
      </c>
    </row>
  </sheetData>
  <sortState ref="AH3:AI41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CA63D1-1EDE-4465-8BAF-F8FBB1CEE90C}">
  <sheetPr codeName="Sheet4"/>
  <dimension ref="A1:Q35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357</v>
      </c>
      <c r="C2" s="147"/>
      <c r="E2" s="62" t="s">
        <v>67</v>
      </c>
      <c r="F2" s="59" t="s">
        <v>23</v>
      </c>
      <c r="G2" s="46">
        <v>674</v>
      </c>
      <c r="H2" s="132">
        <f>IF(B$17=0,0,G2/B$17)</f>
        <v>0.75391498881431762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-14.005602240896359</v>
      </c>
      <c r="P2" s="118">
        <v>357</v>
      </c>
      <c r="Q2" s="102">
        <v>-5000</v>
      </c>
    </row>
    <row r="3" spans="1:17" x14ac:dyDescent="0.4">
      <c r="A3" s="55" t="s">
        <v>8</v>
      </c>
      <c r="B3" s="148">
        <v>2952</v>
      </c>
      <c r="C3" s="149"/>
      <c r="E3" s="63" t="s">
        <v>73</v>
      </c>
      <c r="F3" s="60" t="s">
        <v>28</v>
      </c>
      <c r="G3" s="47">
        <v>469</v>
      </c>
      <c r="H3" s="133">
        <f>IF(B$17=0,0,G3/B$17)</f>
        <v>0.52460850111856827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-14.124293785310735</v>
      </c>
      <c r="P3" s="119">
        <v>354</v>
      </c>
      <c r="Q3" s="103">
        <v>-5000</v>
      </c>
    </row>
    <row r="4" spans="1:17" x14ac:dyDescent="0.4">
      <c r="A4" s="55" t="s">
        <v>6</v>
      </c>
      <c r="B4" s="150">
        <v>1.0000000000000355</v>
      </c>
      <c r="C4" s="151"/>
      <c r="E4" s="63" t="s">
        <v>65</v>
      </c>
      <c r="F4" s="60" t="s">
        <v>21</v>
      </c>
      <c r="G4" s="47">
        <v>447</v>
      </c>
      <c r="H4" s="133">
        <f>IF(B$17=0,0,G4/B$17)</f>
        <v>0.5</v>
      </c>
      <c r="I4" s="94">
        <v>6</v>
      </c>
      <c r="K4" s="38">
        <v>2</v>
      </c>
      <c r="L4" s="99">
        <v>40.4</v>
      </c>
      <c r="N4" s="115" t="s">
        <v>134</v>
      </c>
      <c r="O4" s="122">
        <f t="shared" si="0"/>
        <v>18.018018018018019</v>
      </c>
      <c r="P4" s="119">
        <v>333</v>
      </c>
      <c r="Q4" s="103">
        <v>6000</v>
      </c>
    </row>
    <row r="5" spans="1:17" x14ac:dyDescent="0.4">
      <c r="A5" s="55" t="s">
        <v>7</v>
      </c>
      <c r="B5" s="152">
        <f>IF(B$2=0,0,B$4/B$2)</f>
        <v>2.801120448179371E-3</v>
      </c>
      <c r="C5" s="153"/>
      <c r="E5" s="63" t="s">
        <v>181</v>
      </c>
      <c r="F5" s="60" t="s">
        <v>182</v>
      </c>
      <c r="G5" s="47">
        <v>345</v>
      </c>
      <c r="H5" s="133">
        <f>IF(B$17=0,0,G5/B$17)</f>
        <v>0.38590604026845637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9.9009900990099009</v>
      </c>
      <c r="P5" s="119">
        <v>303</v>
      </c>
      <c r="Q5" s="103">
        <v>3000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269</v>
      </c>
      <c r="H6" s="133">
        <f>IF(B$17=0,0,G6/B$17)</f>
        <v>0.30089485458612975</v>
      </c>
      <c r="I6" s="94">
        <v>5</v>
      </c>
      <c r="K6" s="38">
        <v>4</v>
      </c>
      <c r="L6" s="99">
        <v>2.2000000000000002</v>
      </c>
      <c r="N6" s="115" t="s">
        <v>136</v>
      </c>
      <c r="O6" s="122">
        <f t="shared" si="0"/>
        <v>-18.115942028985508</v>
      </c>
      <c r="P6" s="119">
        <v>276</v>
      </c>
      <c r="Q6" s="103">
        <v>-5000</v>
      </c>
    </row>
    <row r="7" spans="1:17" x14ac:dyDescent="0.4">
      <c r="A7" s="55" t="s">
        <v>2</v>
      </c>
      <c r="B7" s="47">
        <v>119</v>
      </c>
      <c r="C7" s="39">
        <f>IF(B$2=0,0,B7/B$2)</f>
        <v>0.33333333333333331</v>
      </c>
      <c r="E7" s="63" t="s">
        <v>68</v>
      </c>
      <c r="F7" s="60" t="s">
        <v>24</v>
      </c>
      <c r="G7" s="47">
        <v>266</v>
      </c>
      <c r="H7" s="133">
        <f>IF(B$17=0,0,G7/B$17)</f>
        <v>0.29753914988814317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27.131782945736433</v>
      </c>
      <c r="P7" s="120">
        <v>258</v>
      </c>
      <c r="Q7" s="104">
        <v>7000</v>
      </c>
    </row>
    <row r="8" spans="1:17" x14ac:dyDescent="0.4">
      <c r="A8" s="55" t="s">
        <v>3</v>
      </c>
      <c r="B8" s="47">
        <v>119</v>
      </c>
      <c r="C8" s="39">
        <f>IF(B$2=0,0,B8/B$2)</f>
        <v>0.33333333333333331</v>
      </c>
      <c r="E8" s="63" t="s">
        <v>70</v>
      </c>
      <c r="F8" s="60" t="s">
        <v>25</v>
      </c>
      <c r="G8" s="47">
        <v>161</v>
      </c>
      <c r="H8" s="133">
        <f>IF(B$17=0,0,G8/B$17)</f>
        <v>0.18008948545861297</v>
      </c>
      <c r="I8" s="94">
        <v>7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119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116</v>
      </c>
      <c r="H9" s="133">
        <f>IF(B$17=0,0,G9/B$17)</f>
        <v>0.12975391498881431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36</v>
      </c>
      <c r="C10" s="40">
        <f>IF(B$2=0,0,B10/B$2)</f>
        <v>0.10084033613445378</v>
      </c>
      <c r="E10" s="63" t="s">
        <v>66</v>
      </c>
      <c r="F10" s="60" t="s">
        <v>22</v>
      </c>
      <c r="G10" s="47">
        <v>115</v>
      </c>
      <c r="H10" s="133">
        <f>IF(B$17=0,0,G10/B$17)</f>
        <v>0.12863534675615212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-1.2352941176470589</v>
      </c>
      <c r="P10" s="118">
        <v>119</v>
      </c>
      <c r="Q10" s="106">
        <v>-147</v>
      </c>
    </row>
    <row r="11" spans="1:17" x14ac:dyDescent="0.4">
      <c r="A11" s="56" t="s">
        <v>140</v>
      </c>
      <c r="B11" s="48">
        <v>36</v>
      </c>
      <c r="C11" s="40">
        <f>IF(B$2=0,0,B11/B$2)</f>
        <v>0.10084033613445378</v>
      </c>
      <c r="E11" s="63" t="s">
        <v>71</v>
      </c>
      <c r="F11" s="60" t="s">
        <v>26</v>
      </c>
      <c r="G11" s="47">
        <v>91</v>
      </c>
      <c r="H11" s="133">
        <f>IF(B$17=0,0,G11/B$17)</f>
        <v>0.1017897091722595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-2.7663865546218491</v>
      </c>
      <c r="P11" s="119">
        <v>119</v>
      </c>
      <c r="Q11" s="107">
        <v>-329.20000000000005</v>
      </c>
    </row>
    <row r="12" spans="1:17" x14ac:dyDescent="0.4">
      <c r="A12" s="57" t="s">
        <v>160</v>
      </c>
      <c r="B12" s="49">
        <v>36</v>
      </c>
      <c r="C12" s="42">
        <f>IF(B$2=0,0,B12/B$2)</f>
        <v>0.10084033613445378</v>
      </c>
      <c r="E12" s="63" t="s">
        <v>87</v>
      </c>
      <c r="F12" s="60" t="s">
        <v>42</v>
      </c>
      <c r="G12" s="47">
        <v>53</v>
      </c>
      <c r="H12" s="133">
        <f>IF(B$17=0,0,G12/B$17)</f>
        <v>5.9284116331096197E-2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4.0100840336134445</v>
      </c>
      <c r="P12" s="120">
        <v>119</v>
      </c>
      <c r="Q12" s="108">
        <v>477.19999999999987</v>
      </c>
    </row>
    <row r="13" spans="1:17" x14ac:dyDescent="0.4">
      <c r="A13" s="58" t="s">
        <v>122</v>
      </c>
      <c r="B13" s="50">
        <v>797</v>
      </c>
      <c r="C13" s="44">
        <f>IF(B$3=0,0,B13/B$3)</f>
        <v>0.26998644986449866</v>
      </c>
      <c r="E13" s="63" t="s">
        <v>72</v>
      </c>
      <c r="F13" s="60" t="s">
        <v>27</v>
      </c>
      <c r="G13" s="47">
        <v>51</v>
      </c>
      <c r="H13" s="133">
        <f>IF(B$17=0,0,G13/B$17)</f>
        <v>5.7046979865771813E-2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640</v>
      </c>
      <c r="C14" s="39">
        <f>IF(B$3=0,0,B14/B$3)</f>
        <v>0.21680216802168023</v>
      </c>
      <c r="E14" s="63" t="s">
        <v>84</v>
      </c>
      <c r="F14" s="60" t="s">
        <v>39</v>
      </c>
      <c r="G14" s="47">
        <v>40</v>
      </c>
      <c r="H14" s="133">
        <f>IF(B$17=0,0,G14/B$17)</f>
        <v>4.4742729306487698E-2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472</v>
      </c>
      <c r="C15" s="37">
        <f>IF(B$13=0,0,B15/B$13)</f>
        <v>0.59222082810539523</v>
      </c>
      <c r="E15" s="63" t="s">
        <v>82</v>
      </c>
      <c r="F15" s="60" t="s">
        <v>37</v>
      </c>
      <c r="G15" s="47">
        <v>27</v>
      </c>
      <c r="H15" s="133">
        <f>IF(B$17=0,0,G15/B$17)</f>
        <v>3.0201342281879196E-2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32.618055555555557</v>
      </c>
      <c r="P15" s="118">
        <v>72</v>
      </c>
      <c r="Q15" s="106">
        <v>2348.5</v>
      </c>
    </row>
    <row r="16" spans="1:17" x14ac:dyDescent="0.4">
      <c r="A16" s="54" t="s">
        <v>125</v>
      </c>
      <c r="B16" s="46">
        <v>245</v>
      </c>
      <c r="C16" s="37">
        <f>IF(B$14=0,0,B16/B$14)</f>
        <v>0.3828125</v>
      </c>
      <c r="E16" s="63" t="s">
        <v>92</v>
      </c>
      <c r="F16" s="60" t="s">
        <v>47</v>
      </c>
      <c r="G16" s="47">
        <v>15</v>
      </c>
      <c r="H16" s="133">
        <f>IF(B$17=0,0,G16/B$17)</f>
        <v>1.6778523489932886E-2</v>
      </c>
      <c r="I16" s="94">
        <v>4</v>
      </c>
      <c r="K16" s="38">
        <v>14</v>
      </c>
      <c r="L16" s="99">
        <v>18.79999999999999</v>
      </c>
      <c r="N16" s="115" t="s">
        <v>186</v>
      </c>
      <c r="O16" s="125">
        <f>IF(P16=0,0,Q16/P16)</f>
        <v>31.968749999999996</v>
      </c>
      <c r="P16" s="119">
        <v>16</v>
      </c>
      <c r="Q16" s="107">
        <v>511.49999999999994</v>
      </c>
    </row>
    <row r="17" spans="1:17" x14ac:dyDescent="0.4">
      <c r="A17" s="54" t="s">
        <v>10</v>
      </c>
      <c r="B17" s="46">
        <f>B19+B18</f>
        <v>894</v>
      </c>
      <c r="C17" s="37">
        <f>IF(B$3=0,0,B17/B$3)</f>
        <v>0.30284552845528456</v>
      </c>
      <c r="E17" s="63" t="s">
        <v>180</v>
      </c>
      <c r="F17" s="60" t="s">
        <v>183</v>
      </c>
      <c r="G17" s="47">
        <v>15</v>
      </c>
      <c r="H17" s="133">
        <f>IF(B$17=0,0,G17/B$17)</f>
        <v>1.6778523489932886E-2</v>
      </c>
      <c r="I17" s="94">
        <v>4</v>
      </c>
      <c r="K17" s="38">
        <v>15</v>
      </c>
      <c r="L17" s="99">
        <v>-1.0658141036401503E-14</v>
      </c>
      <c r="N17" s="115" t="s">
        <v>177</v>
      </c>
      <c r="O17" s="125">
        <f>IF(P17=0,0,Q17/P17)</f>
        <v>18.599999999999994</v>
      </c>
      <c r="P17" s="119">
        <v>38</v>
      </c>
      <c r="Q17" s="107">
        <v>706.79999999999984</v>
      </c>
    </row>
    <row r="18" spans="1:17" x14ac:dyDescent="0.4">
      <c r="A18" s="55" t="s">
        <v>12</v>
      </c>
      <c r="B18" s="47">
        <v>389</v>
      </c>
      <c r="C18" s="39">
        <f>IF(B$17=0,0,B18/B$17)</f>
        <v>0.43512304250559286</v>
      </c>
      <c r="E18" s="63" t="s">
        <v>79</v>
      </c>
      <c r="F18" s="60" t="s">
        <v>34</v>
      </c>
      <c r="G18" s="47">
        <v>14</v>
      </c>
      <c r="H18" s="133">
        <f>IF(B$17=0,0,G18/B$17)</f>
        <v>1.5659955257270694E-2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>IF(P18=0,0,Q18/P18)</f>
        <v>9.9088235294117624</v>
      </c>
      <c r="P18" s="119">
        <v>68</v>
      </c>
      <c r="Q18" s="107">
        <v>673.79999999999984</v>
      </c>
    </row>
    <row r="19" spans="1:17" x14ac:dyDescent="0.4">
      <c r="A19" s="55" t="s">
        <v>11</v>
      </c>
      <c r="B19" s="47">
        <v>505</v>
      </c>
      <c r="C19" s="39">
        <f>IF(B$17=0,0,B19/B$17)</f>
        <v>0.56487695749440714</v>
      </c>
      <c r="E19" s="63" t="s">
        <v>80</v>
      </c>
      <c r="F19" s="60" t="s">
        <v>35</v>
      </c>
      <c r="G19" s="47">
        <v>13</v>
      </c>
      <c r="H19" s="133">
        <f>IF(B$17=0,0,G19/B$17)</f>
        <v>1.45413870246085E-2</v>
      </c>
      <c r="I19" s="94">
        <v>6</v>
      </c>
      <c r="K19" s="38">
        <v>17</v>
      </c>
      <c r="L19" s="99">
        <v>8.2999999999999972</v>
      </c>
      <c r="N19" s="115" t="s">
        <v>128</v>
      </c>
      <c r="O19" s="125">
        <f>IF(P19=0,0,Q19/P19)</f>
        <v>3.7215909090909083</v>
      </c>
      <c r="P19" s="119">
        <v>176</v>
      </c>
      <c r="Q19" s="107">
        <v>654.99999999999989</v>
      </c>
    </row>
    <row r="20" spans="1:17" x14ac:dyDescent="0.4">
      <c r="A20" s="55" t="s">
        <v>13</v>
      </c>
      <c r="B20" s="47">
        <v>497</v>
      </c>
      <c r="C20" s="39">
        <f>IF(B$3=0,0,B20/B$3)</f>
        <v>0.16836043360433606</v>
      </c>
      <c r="E20" s="63" t="s">
        <v>76</v>
      </c>
      <c r="F20" s="60" t="s">
        <v>31</v>
      </c>
      <c r="G20" s="47">
        <v>7</v>
      </c>
      <c r="H20" s="133">
        <f>IF(B$17=0,0,G20/B$17)</f>
        <v>7.829977628635347E-3</v>
      </c>
      <c r="I20" s="94">
        <v>5</v>
      </c>
      <c r="K20" s="38">
        <v>18</v>
      </c>
      <c r="L20" s="99">
        <v>-3.5527136788005009E-15</v>
      </c>
      <c r="N20" s="115" t="s">
        <v>171</v>
      </c>
      <c r="O20" s="125">
        <f>IF(P20=0,0,Q20/P20)</f>
        <v>1.0833333333333359</v>
      </c>
      <c r="P20" s="119">
        <v>90</v>
      </c>
      <c r="Q20" s="107">
        <v>97.500000000000227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74</v>
      </c>
      <c r="F21" s="60" t="s">
        <v>29</v>
      </c>
      <c r="G21" s="47">
        <v>5</v>
      </c>
      <c r="H21" s="133">
        <f>IF(B$17=0,0,G21/B$17)</f>
        <v>5.5928411633109623E-3</v>
      </c>
      <c r="I21" s="94">
        <v>4</v>
      </c>
      <c r="K21" s="38">
        <v>19</v>
      </c>
      <c r="L21" s="99">
        <v>30.999999999999996</v>
      </c>
      <c r="N21" s="115" t="s">
        <v>172</v>
      </c>
      <c r="O21" s="125">
        <f>IF(P21=0,0,Q21/P21)</f>
        <v>-1.2671052631578963</v>
      </c>
      <c r="P21" s="119">
        <v>76</v>
      </c>
      <c r="Q21" s="107">
        <v>-96.300000000000111</v>
      </c>
    </row>
    <row r="22" spans="1:17" x14ac:dyDescent="0.4">
      <c r="A22" s="55" t="s">
        <v>194</v>
      </c>
      <c r="B22" s="47">
        <v>31</v>
      </c>
      <c r="C22" s="135">
        <v>2</v>
      </c>
      <c r="E22" s="63" t="s">
        <v>93</v>
      </c>
      <c r="F22" s="60" t="s">
        <v>48</v>
      </c>
      <c r="G22" s="47">
        <v>4</v>
      </c>
      <c r="H22" s="133">
        <f>IF(B$17=0,0,G22/B$17)</f>
        <v>4.4742729306487695E-3</v>
      </c>
      <c r="I22" s="94">
        <v>3</v>
      </c>
      <c r="K22" s="38">
        <v>20</v>
      </c>
      <c r="L22" s="99">
        <v>0.79999999999999716</v>
      </c>
      <c r="N22" s="115" t="s">
        <v>202</v>
      </c>
      <c r="O22" s="125">
        <f>IF(P22=0,0,Q22/P22)</f>
        <v>-7.2750000000000021</v>
      </c>
      <c r="P22" s="119">
        <v>8</v>
      </c>
      <c r="Q22" s="107">
        <v>-58.200000000000017</v>
      </c>
    </row>
    <row r="23" spans="1:17" x14ac:dyDescent="0.4">
      <c r="A23" s="55" t="s">
        <v>5</v>
      </c>
      <c r="B23" s="51">
        <f>IF(B$17=0,0,C23/B$17)</f>
        <v>8489.5973154362418</v>
      </c>
      <c r="C23" s="41">
        <v>7589700</v>
      </c>
      <c r="E23" s="63" t="s">
        <v>78</v>
      </c>
      <c r="F23" s="60" t="s">
        <v>33</v>
      </c>
      <c r="G23" s="47">
        <v>3</v>
      </c>
      <c r="H23" s="133">
        <f>IF(B$17=0,0,G23/B$17)</f>
        <v>3.3557046979865771E-3</v>
      </c>
      <c r="I23" s="94">
        <v>4</v>
      </c>
      <c r="K23" s="38">
        <v>21</v>
      </c>
      <c r="L23" s="99">
        <v>-2.886579864025407E-15</v>
      </c>
      <c r="N23" s="115" t="s">
        <v>127</v>
      </c>
      <c r="O23" s="125">
        <f>IF(P23=0,0,Q23/P23)</f>
        <v>-28.387804878048744</v>
      </c>
      <c r="P23" s="119">
        <v>164</v>
      </c>
      <c r="Q23" s="107">
        <v>-4655.599999999994</v>
      </c>
    </row>
    <row r="24" spans="1:17" x14ac:dyDescent="0.4">
      <c r="A24" s="57" t="s">
        <v>14</v>
      </c>
      <c r="B24" s="52">
        <f>IF(B$20=0,0,C24/B$20)</f>
        <v>-8026.3581488933605</v>
      </c>
      <c r="C24" s="45">
        <v>-3989100</v>
      </c>
      <c r="E24" s="63" t="s">
        <v>88</v>
      </c>
      <c r="F24" s="60" t="s">
        <v>43</v>
      </c>
      <c r="G24" s="47">
        <v>3</v>
      </c>
      <c r="H24" s="133">
        <f>IF(B$17=0,0,G24/B$17)</f>
        <v>3.3557046979865771E-3</v>
      </c>
      <c r="I24" s="94">
        <v>4</v>
      </c>
      <c r="K24" s="38">
        <v>22</v>
      </c>
      <c r="L24" s="99">
        <v>23.699999999999996</v>
      </c>
      <c r="N24" s="115" t="s">
        <v>185</v>
      </c>
      <c r="O24" s="125">
        <f>IF(P24=0,0,Q24/P24)</f>
        <v>-30.5</v>
      </c>
      <c r="P24" s="119">
        <v>6</v>
      </c>
      <c r="Q24" s="107">
        <v>-183</v>
      </c>
    </row>
    <row r="25" spans="1:17" x14ac:dyDescent="0.4">
      <c r="A25" s="90" t="s">
        <v>142</v>
      </c>
      <c r="B25" s="140">
        <v>7</v>
      </c>
      <c r="C25" s="141"/>
      <c r="E25" s="63" t="s">
        <v>94</v>
      </c>
      <c r="F25" s="60" t="s">
        <v>49</v>
      </c>
      <c r="G25" s="47">
        <v>3</v>
      </c>
      <c r="H25" s="133">
        <f>IF(B$17=0,0,G25/B$17)</f>
        <v>3.3557046979865771E-3</v>
      </c>
      <c r="I25" s="94">
        <v>4</v>
      </c>
      <c r="K25" s="38">
        <v>23</v>
      </c>
      <c r="L25" s="99">
        <v>26.299999999999997</v>
      </c>
    </row>
    <row r="26" spans="1:17" x14ac:dyDescent="0.4">
      <c r="A26" s="58" t="s">
        <v>152</v>
      </c>
      <c r="B26" s="138">
        <v>116000</v>
      </c>
      <c r="C26" s="139"/>
      <c r="E26" s="63" t="s">
        <v>75</v>
      </c>
      <c r="F26" s="60" t="s">
        <v>30</v>
      </c>
      <c r="G26" s="47">
        <v>2</v>
      </c>
      <c r="H26" s="133">
        <f>IF(B$17=0,0,G26/B$17)</f>
        <v>2.2371364653243847E-3</v>
      </c>
      <c r="I26" s="94">
        <v>2</v>
      </c>
      <c r="K26" s="38">
        <v>24</v>
      </c>
      <c r="L26" s="99">
        <v>-3.5527136788005009E-15</v>
      </c>
    </row>
    <row r="27" spans="1:17" x14ac:dyDescent="0.4">
      <c r="A27" s="57" t="s">
        <v>143</v>
      </c>
      <c r="B27" s="65">
        <v>10</v>
      </c>
      <c r="C27" s="42">
        <f>IF(B$3=0,0,B27/B$3)</f>
        <v>3.3875338753387536E-3</v>
      </c>
      <c r="E27" s="63" t="s">
        <v>89</v>
      </c>
      <c r="F27" s="60" t="s">
        <v>44</v>
      </c>
      <c r="G27" s="47">
        <v>2</v>
      </c>
      <c r="H27" s="133">
        <f>IF(B$17=0,0,G27/B$17)</f>
        <v>2.2371364653243847E-3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>IF(B$17=0,0,G28/B$17)</f>
        <v>1.1185682326621924E-3</v>
      </c>
      <c r="I28" s="94">
        <v>2</v>
      </c>
      <c r="K28" s="38">
        <v>26</v>
      </c>
      <c r="L28" s="99">
        <v>1.8999999999999986</v>
      </c>
    </row>
    <row r="29" spans="1:17" x14ac:dyDescent="0.4">
      <c r="E29" s="63" t="s">
        <v>86</v>
      </c>
      <c r="F29" s="60" t="s">
        <v>41</v>
      </c>
      <c r="G29" s="47">
        <v>1</v>
      </c>
      <c r="H29" s="133">
        <f>IF(B$17=0,0,G29/B$17)</f>
        <v>1.1185682326621924E-3</v>
      </c>
      <c r="I29" s="94">
        <v>2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1</v>
      </c>
      <c r="H30" s="133">
        <f>IF(B$17=0,0,G30/B$17)</f>
        <v>1.1185682326621924E-3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1</v>
      </c>
      <c r="H31" s="133">
        <f>IF(B$17=0,0,G31/B$17)</f>
        <v>1.1185682326621924E-3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-37.59999999999998</v>
      </c>
    </row>
    <row r="329" spans="11:12" x14ac:dyDescent="0.4">
      <c r="K329" s="38">
        <v>327</v>
      </c>
      <c r="L329" s="99">
        <v>1.0000000000000213</v>
      </c>
    </row>
    <row r="330" spans="11:12" x14ac:dyDescent="0.4">
      <c r="K330" s="38">
        <v>328</v>
      </c>
      <c r="L330" s="99">
        <v>33.500000000000021</v>
      </c>
    </row>
    <row r="331" spans="11:12" x14ac:dyDescent="0.4">
      <c r="K331" s="38">
        <v>329</v>
      </c>
      <c r="L331" s="99">
        <v>39.600000000000023</v>
      </c>
    </row>
    <row r="332" spans="11:12" x14ac:dyDescent="0.4">
      <c r="K332" s="38">
        <v>330</v>
      </c>
      <c r="L332" s="99">
        <v>1.0000000000000213</v>
      </c>
    </row>
    <row r="333" spans="11:12" x14ac:dyDescent="0.4">
      <c r="K333" s="38">
        <v>331</v>
      </c>
      <c r="L333" s="99">
        <v>-35.799999999999976</v>
      </c>
    </row>
    <row r="334" spans="11:12" x14ac:dyDescent="0.4">
      <c r="K334" s="38">
        <v>332</v>
      </c>
      <c r="L334" s="99">
        <v>2.400000000000027</v>
      </c>
    </row>
    <row r="335" spans="11:12" x14ac:dyDescent="0.4">
      <c r="K335" s="38">
        <v>333</v>
      </c>
      <c r="L335" s="99">
        <v>1.0000000000000271</v>
      </c>
    </row>
    <row r="336" spans="11:12" x14ac:dyDescent="0.4">
      <c r="K336" s="38">
        <v>334</v>
      </c>
      <c r="L336" s="99">
        <v>11.000000000000027</v>
      </c>
    </row>
    <row r="337" spans="11:12" x14ac:dyDescent="0.4">
      <c r="K337" s="38">
        <v>335</v>
      </c>
      <c r="L337" s="99">
        <v>-38.699999999999974</v>
      </c>
    </row>
    <row r="338" spans="11:12" x14ac:dyDescent="0.4">
      <c r="K338" s="38">
        <v>336</v>
      </c>
      <c r="L338" s="99">
        <v>1.0000000000000284</v>
      </c>
    </row>
    <row r="339" spans="11:12" x14ac:dyDescent="0.4">
      <c r="K339" s="38">
        <v>337</v>
      </c>
      <c r="L339" s="99">
        <v>43.500000000000028</v>
      </c>
    </row>
    <row r="340" spans="11:12" x14ac:dyDescent="0.4">
      <c r="K340" s="38">
        <v>338</v>
      </c>
      <c r="L340" s="99">
        <v>4.0000000000000284</v>
      </c>
    </row>
    <row r="341" spans="11:12" x14ac:dyDescent="0.4">
      <c r="K341" s="38">
        <v>339</v>
      </c>
      <c r="L341" s="99">
        <v>1.0000000000000284</v>
      </c>
    </row>
    <row r="342" spans="11:12" x14ac:dyDescent="0.4">
      <c r="K342" s="38">
        <v>340</v>
      </c>
      <c r="L342" s="99">
        <v>-5.9999999999999716</v>
      </c>
    </row>
    <row r="343" spans="11:12" x14ac:dyDescent="0.4">
      <c r="K343" s="38">
        <v>341</v>
      </c>
      <c r="L343" s="99">
        <v>-40.799999999999969</v>
      </c>
    </row>
    <row r="344" spans="11:12" x14ac:dyDescent="0.4">
      <c r="K344" s="38">
        <v>342</v>
      </c>
      <c r="L344" s="99">
        <v>1.0000000000000284</v>
      </c>
    </row>
    <row r="345" spans="11:12" x14ac:dyDescent="0.4">
      <c r="K345" s="38">
        <v>343</v>
      </c>
      <c r="L345" s="99">
        <v>-33.199999999999974</v>
      </c>
    </row>
    <row r="346" spans="11:12" x14ac:dyDescent="0.4">
      <c r="K346" s="38">
        <v>344</v>
      </c>
      <c r="L346" s="99">
        <v>1.3000000000000256</v>
      </c>
    </row>
    <row r="347" spans="11:12" x14ac:dyDescent="0.4">
      <c r="K347" s="38">
        <v>345</v>
      </c>
      <c r="L347" s="99">
        <v>1.0000000000000255</v>
      </c>
    </row>
    <row r="348" spans="11:12" x14ac:dyDescent="0.4">
      <c r="K348" s="38">
        <v>346</v>
      </c>
      <c r="L348" s="99">
        <v>-57.499999999999972</v>
      </c>
    </row>
    <row r="349" spans="11:12" x14ac:dyDescent="0.4">
      <c r="K349" s="38">
        <v>347</v>
      </c>
      <c r="L349" s="99">
        <v>-43.999999999999972</v>
      </c>
    </row>
    <row r="350" spans="11:12" x14ac:dyDescent="0.4">
      <c r="K350" s="38">
        <v>348</v>
      </c>
      <c r="L350" s="99">
        <v>1.0000000000000284</v>
      </c>
    </row>
    <row r="351" spans="11:12" x14ac:dyDescent="0.4">
      <c r="K351" s="38">
        <v>349</v>
      </c>
      <c r="L351" s="99">
        <v>-76.999999999999972</v>
      </c>
    </row>
    <row r="352" spans="11:12" x14ac:dyDescent="0.4">
      <c r="K352" s="38">
        <v>350</v>
      </c>
      <c r="L352" s="99">
        <v>-16.599999999999973</v>
      </c>
    </row>
    <row r="353" spans="11:12" x14ac:dyDescent="0.4">
      <c r="K353" s="38">
        <v>351</v>
      </c>
      <c r="L353" s="99">
        <v>1.0000000000000284</v>
      </c>
    </row>
    <row r="354" spans="11:12" x14ac:dyDescent="0.4">
      <c r="K354" s="38">
        <v>352</v>
      </c>
      <c r="L354" s="99">
        <v>3.1000000000000285</v>
      </c>
    </row>
    <row r="355" spans="11:12" x14ac:dyDescent="0.4">
      <c r="K355" s="38">
        <v>353</v>
      </c>
      <c r="L355" s="99">
        <v>31.500000000000028</v>
      </c>
    </row>
    <row r="356" spans="11:12" x14ac:dyDescent="0.4">
      <c r="K356" s="38">
        <v>354</v>
      </c>
      <c r="L356" s="99">
        <v>1.0000000000000284</v>
      </c>
    </row>
    <row r="357" spans="11:12" x14ac:dyDescent="0.4">
      <c r="K357" s="38">
        <v>355</v>
      </c>
      <c r="L357" s="99">
        <v>9.8000000000000291</v>
      </c>
    </row>
    <row r="358" spans="11:12" x14ac:dyDescent="0.4">
      <c r="K358" s="38">
        <v>356</v>
      </c>
      <c r="L358" s="99">
        <v>41.900000000000034</v>
      </c>
    </row>
    <row r="359" spans="11:12" x14ac:dyDescent="0.4">
      <c r="K359" s="38">
        <v>357</v>
      </c>
      <c r="L359" s="99">
        <v>1.0000000000000355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FBF24A-3349-4DD0-A22E-99C19A4B38D7}">
  <sheetPr codeName="Sheet7"/>
  <dimension ref="A1:Q8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82</v>
      </c>
      <c r="C2" s="147"/>
      <c r="E2" s="62" t="s">
        <v>67</v>
      </c>
      <c r="F2" s="59" t="s">
        <v>23</v>
      </c>
      <c r="G2" s="46">
        <v>191</v>
      </c>
      <c r="H2" s="132">
        <f>IF(B$17=0,0,G2/B$17)</f>
        <v>0.75196850393700787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2409.7560975609758</v>
      </c>
      <c r="P2" s="118">
        <v>82</v>
      </c>
      <c r="Q2" s="102">
        <v>197600</v>
      </c>
    </row>
    <row r="3" spans="1:17" x14ac:dyDescent="0.4">
      <c r="A3" s="55" t="s">
        <v>8</v>
      </c>
      <c r="B3" s="148">
        <v>661</v>
      </c>
      <c r="C3" s="149"/>
      <c r="E3" s="63" t="s">
        <v>73</v>
      </c>
      <c r="F3" s="60" t="s">
        <v>28</v>
      </c>
      <c r="G3" s="47">
        <v>134</v>
      </c>
      <c r="H3" s="133">
        <f>IF(B$17=0,0,G3/B$17)</f>
        <v>0.52755905511811019</v>
      </c>
      <c r="I3" s="94">
        <v>7</v>
      </c>
      <c r="K3" s="38">
        <v>1</v>
      </c>
      <c r="L3" s="99">
        <v>-5.0999999999999996</v>
      </c>
      <c r="N3" s="115" t="s">
        <v>133</v>
      </c>
      <c r="O3" s="122">
        <f t="shared" si="0"/>
        <v>2909.8765432098767</v>
      </c>
      <c r="P3" s="119">
        <v>81</v>
      </c>
      <c r="Q3" s="103">
        <v>235700</v>
      </c>
    </row>
    <row r="4" spans="1:17" x14ac:dyDescent="0.4">
      <c r="A4" s="55" t="s">
        <v>6</v>
      </c>
      <c r="B4" s="150">
        <v>1552.2000000000007</v>
      </c>
      <c r="C4" s="151"/>
      <c r="E4" s="63" t="s">
        <v>65</v>
      </c>
      <c r="F4" s="60" t="s">
        <v>21</v>
      </c>
      <c r="G4" s="47">
        <v>123</v>
      </c>
      <c r="H4" s="133">
        <f>IF(B$17=0,0,G4/B$17)</f>
        <v>0.48425196850393698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2788.3116883116882</v>
      </c>
      <c r="P4" s="119">
        <v>77</v>
      </c>
      <c r="Q4" s="103">
        <v>214700</v>
      </c>
    </row>
    <row r="5" spans="1:17" x14ac:dyDescent="0.4">
      <c r="A5" s="55" t="s">
        <v>7</v>
      </c>
      <c r="B5" s="152">
        <f>IF(B$2=0,0,B$4/B$2)</f>
        <v>18.929268292682934</v>
      </c>
      <c r="C5" s="153"/>
      <c r="E5" s="63" t="s">
        <v>181</v>
      </c>
      <c r="F5" s="60" t="s">
        <v>182</v>
      </c>
      <c r="G5" s="47">
        <v>105</v>
      </c>
      <c r="H5" s="133">
        <f>IF(B$17=0,0,G5/B$17)</f>
        <v>0.41338582677165353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2588.5714285714284</v>
      </c>
      <c r="P5" s="119">
        <v>70</v>
      </c>
      <c r="Q5" s="103">
        <v>181200</v>
      </c>
    </row>
    <row r="6" spans="1:17" x14ac:dyDescent="0.4">
      <c r="A6" s="55" t="s">
        <v>1</v>
      </c>
      <c r="B6" s="142">
        <f>IF(B$2=0,0,(B$7*1+B$8*2+B$9*3)/B$2)</f>
        <v>1.6097560975609757</v>
      </c>
      <c r="C6" s="143"/>
      <c r="E6" s="63" t="s">
        <v>68</v>
      </c>
      <c r="F6" s="60" t="s">
        <v>24</v>
      </c>
      <c r="G6" s="47">
        <v>82</v>
      </c>
      <c r="H6" s="133">
        <f>IF(B$17=0,0,G6/B$17)</f>
        <v>0.32283464566929132</v>
      </c>
      <c r="I6" s="94">
        <v>5</v>
      </c>
      <c r="K6" s="38">
        <v>4</v>
      </c>
      <c r="L6" s="99">
        <v>110.5</v>
      </c>
      <c r="N6" s="115" t="s">
        <v>136</v>
      </c>
      <c r="O6" s="122">
        <f t="shared" si="0"/>
        <v>-69.354838709677423</v>
      </c>
      <c r="P6" s="119">
        <v>62</v>
      </c>
      <c r="Q6" s="103">
        <v>-4300</v>
      </c>
    </row>
    <row r="7" spans="1:17" x14ac:dyDescent="0.4">
      <c r="A7" s="55" t="s">
        <v>2</v>
      </c>
      <c r="B7" s="47">
        <v>47</v>
      </c>
      <c r="C7" s="39">
        <f>IF(B$2=0,0,B7/B$2)</f>
        <v>0.57317073170731703</v>
      </c>
      <c r="E7" s="63" t="s">
        <v>69</v>
      </c>
      <c r="F7" s="60" t="s">
        <v>12</v>
      </c>
      <c r="G7" s="47">
        <v>67</v>
      </c>
      <c r="H7" s="133">
        <f>IF(B$17=0,0,G7/B$17)</f>
        <v>0.26377952755905509</v>
      </c>
      <c r="I7" s="94">
        <v>7</v>
      </c>
      <c r="K7" s="38">
        <v>5</v>
      </c>
      <c r="L7" s="99">
        <v>201.4</v>
      </c>
      <c r="N7" s="116" t="s">
        <v>137</v>
      </c>
      <c r="O7" s="123">
        <f t="shared" si="0"/>
        <v>1418.9655172413793</v>
      </c>
      <c r="P7" s="120">
        <v>58</v>
      </c>
      <c r="Q7" s="104">
        <v>82300</v>
      </c>
    </row>
    <row r="8" spans="1:17" x14ac:dyDescent="0.4">
      <c r="A8" s="55" t="s">
        <v>3</v>
      </c>
      <c r="B8" s="47">
        <v>20</v>
      </c>
      <c r="C8" s="39">
        <f>IF(B$2=0,0,B8/B$2)</f>
        <v>0.24390243902439024</v>
      </c>
      <c r="E8" s="63" t="s">
        <v>70</v>
      </c>
      <c r="F8" s="60" t="s">
        <v>25</v>
      </c>
      <c r="G8" s="47">
        <v>46</v>
      </c>
      <c r="H8" s="133">
        <f>IF(B$17=0,0,G8/B$17)</f>
        <v>0.18110236220472442</v>
      </c>
      <c r="I8" s="94">
        <v>6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0.18292682926829268</v>
      </c>
      <c r="E9" s="63" t="s">
        <v>90</v>
      </c>
      <c r="F9" s="60" t="s">
        <v>45</v>
      </c>
      <c r="G9" s="47">
        <v>44</v>
      </c>
      <c r="H9" s="133">
        <f>IF(B$17=0,0,G9/B$17)</f>
        <v>0.17322834645669291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6.097560975609756E-2</v>
      </c>
      <c r="E10" s="63" t="s">
        <v>66</v>
      </c>
      <c r="F10" s="60" t="s">
        <v>22</v>
      </c>
      <c r="G10" s="47">
        <v>39</v>
      </c>
      <c r="H10" s="133">
        <f>IF(B$17=0,0,G10/B$17)</f>
        <v>0.15354330708661418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22.245833333333334</v>
      </c>
      <c r="P10" s="118">
        <v>24</v>
      </c>
      <c r="Q10" s="106">
        <v>533.9</v>
      </c>
    </row>
    <row r="11" spans="1:17" x14ac:dyDescent="0.4">
      <c r="A11" s="56" t="s">
        <v>140</v>
      </c>
      <c r="B11" s="48">
        <v>14</v>
      </c>
      <c r="C11" s="40">
        <f>IF(B$2=0,0,B11/B$2)</f>
        <v>0.17073170731707318</v>
      </c>
      <c r="E11" s="63" t="s">
        <v>71</v>
      </c>
      <c r="F11" s="60" t="s">
        <v>26</v>
      </c>
      <c r="G11" s="47">
        <v>21</v>
      </c>
      <c r="H11" s="133">
        <f>IF(B$17=0,0,G11/B$17)</f>
        <v>8.2677165354330714E-2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14.383999999999999</v>
      </c>
      <c r="P11" s="119">
        <v>25</v>
      </c>
      <c r="Q11" s="107">
        <v>359.59999999999997</v>
      </c>
    </row>
    <row r="12" spans="1:17" x14ac:dyDescent="0.4">
      <c r="A12" s="57" t="s">
        <v>160</v>
      </c>
      <c r="B12" s="49">
        <v>17</v>
      </c>
      <c r="C12" s="42">
        <f>IF(B$2=0,0,B12/B$2)</f>
        <v>0.2073170731707317</v>
      </c>
      <c r="E12" s="63" t="s">
        <v>87</v>
      </c>
      <c r="F12" s="60" t="s">
        <v>42</v>
      </c>
      <c r="G12" s="47">
        <v>20</v>
      </c>
      <c r="H12" s="133">
        <f>IF(B$17=0,0,G12/B$17)</f>
        <v>7.874015748031496E-2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19.960606060606064</v>
      </c>
      <c r="P12" s="120">
        <v>33</v>
      </c>
      <c r="Q12" s="108">
        <v>658.70000000000016</v>
      </c>
    </row>
    <row r="13" spans="1:17" x14ac:dyDescent="0.4">
      <c r="A13" s="58" t="s">
        <v>122</v>
      </c>
      <c r="B13" s="50">
        <v>218</v>
      </c>
      <c r="C13" s="44">
        <f>IF(B$3=0,0,B13/B$3)</f>
        <v>0.32980332829046899</v>
      </c>
      <c r="E13" s="63" t="s">
        <v>72</v>
      </c>
      <c r="F13" s="60" t="s">
        <v>27</v>
      </c>
      <c r="G13" s="47">
        <v>15</v>
      </c>
      <c r="H13" s="133">
        <f>IF(B$17=0,0,G13/B$17)</f>
        <v>5.905511811023622E-2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155</v>
      </c>
      <c r="C14" s="39">
        <f>IF(B$3=0,0,B14/B$3)</f>
        <v>0.23449319213313161</v>
      </c>
      <c r="E14" s="63" t="s">
        <v>84</v>
      </c>
      <c r="F14" s="60" t="s">
        <v>39</v>
      </c>
      <c r="G14" s="47">
        <v>14</v>
      </c>
      <c r="H14" s="133">
        <f>IF(B$17=0,0,G14/B$17)</f>
        <v>5.5118110236220472E-2</v>
      </c>
      <c r="I14" s="94">
        <v>4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133</v>
      </c>
      <c r="C15" s="37">
        <f>IF(B$13=0,0,B15/B$13)</f>
        <v>0.61009174311926606</v>
      </c>
      <c r="E15" s="63" t="s">
        <v>82</v>
      </c>
      <c r="F15" s="60" t="s">
        <v>37</v>
      </c>
      <c r="G15" s="47">
        <v>8</v>
      </c>
      <c r="H15" s="133">
        <f>IF(B$17=0,0,G15/B$17)</f>
        <v>3.1496062992125984E-2</v>
      </c>
      <c r="I15" s="94">
        <v>5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83</v>
      </c>
      <c r="C16" s="37">
        <f>IF(B$14=0,0,B16/B$14)</f>
        <v>0.53548387096774197</v>
      </c>
      <c r="E16" s="63" t="s">
        <v>180</v>
      </c>
      <c r="F16" s="60" t="s">
        <v>183</v>
      </c>
      <c r="G16" s="47">
        <v>8</v>
      </c>
      <c r="H16" s="133">
        <f>IF(B$17=0,0,G16/B$17)</f>
        <v>3.1496062992125984E-2</v>
      </c>
      <c r="I16" s="94">
        <v>1</v>
      </c>
      <c r="K16" s="38">
        <v>14</v>
      </c>
      <c r="L16" s="99">
        <v>473.50000000000006</v>
      </c>
      <c r="N16" s="115" t="s">
        <v>129</v>
      </c>
      <c r="O16" s="125">
        <f>IF(P16=0,0,Q16/P16)</f>
        <v>55.327272727272742</v>
      </c>
      <c r="P16" s="119">
        <v>22</v>
      </c>
      <c r="Q16" s="107">
        <v>1217.2000000000003</v>
      </c>
    </row>
    <row r="17" spans="1:17" x14ac:dyDescent="0.4">
      <c r="A17" s="54" t="s">
        <v>10</v>
      </c>
      <c r="B17" s="46">
        <f>B19+B18</f>
        <v>254</v>
      </c>
      <c r="C17" s="37">
        <f>IF(B$3=0,0,B17/B$3)</f>
        <v>0.38426626323751889</v>
      </c>
      <c r="E17" s="63" t="s">
        <v>79</v>
      </c>
      <c r="F17" s="60" t="s">
        <v>34</v>
      </c>
      <c r="G17" s="47">
        <v>4</v>
      </c>
      <c r="H17" s="133">
        <f>IF(B$17=0,0,G17/B$17)</f>
        <v>1.5748031496062992E-2</v>
      </c>
      <c r="I17" s="94">
        <v>5</v>
      </c>
      <c r="K17" s="38">
        <v>15</v>
      </c>
      <c r="L17" s="99">
        <v>481.50000000000006</v>
      </c>
      <c r="N17" s="115" t="s">
        <v>177</v>
      </c>
      <c r="O17" s="125">
        <f>IF(P17=0,0,Q17/P17)</f>
        <v>40.06666666666667</v>
      </c>
      <c r="P17" s="119">
        <v>9</v>
      </c>
      <c r="Q17" s="107">
        <v>360.6</v>
      </c>
    </row>
    <row r="18" spans="1:17" x14ac:dyDescent="0.4">
      <c r="A18" s="55" t="s">
        <v>12</v>
      </c>
      <c r="B18" s="47">
        <v>110</v>
      </c>
      <c r="C18" s="39">
        <f>IF(B$17=0,0,B18/B$17)</f>
        <v>0.43307086614173229</v>
      </c>
      <c r="E18" s="63" t="s">
        <v>92</v>
      </c>
      <c r="F18" s="60" t="s">
        <v>47</v>
      </c>
      <c r="G18" s="47">
        <v>4</v>
      </c>
      <c r="H18" s="133">
        <f>IF(B$17=0,0,G18/B$17)</f>
        <v>1.5748031496062992E-2</v>
      </c>
      <c r="I18" s="94">
        <v>5</v>
      </c>
      <c r="K18" s="38">
        <v>16</v>
      </c>
      <c r="L18" s="99">
        <v>425.50000000000006</v>
      </c>
      <c r="N18" s="115" t="s">
        <v>172</v>
      </c>
      <c r="O18" s="125">
        <f>IF(P18=0,0,Q18/P18)</f>
        <v>31.495000000000005</v>
      </c>
      <c r="P18" s="119">
        <v>20</v>
      </c>
      <c r="Q18" s="107">
        <v>629.90000000000009</v>
      </c>
    </row>
    <row r="19" spans="1:17" x14ac:dyDescent="0.4">
      <c r="A19" s="55" t="s">
        <v>11</v>
      </c>
      <c r="B19" s="47">
        <v>144</v>
      </c>
      <c r="C19" s="39">
        <f>IF(B$17=0,0,B19/B$17)</f>
        <v>0.56692913385826771</v>
      </c>
      <c r="E19" s="63" t="s">
        <v>80</v>
      </c>
      <c r="F19" s="60" t="s">
        <v>35</v>
      </c>
      <c r="G19" s="47">
        <v>3</v>
      </c>
      <c r="H19" s="133">
        <f>IF(B$17=0,0,G19/B$17)</f>
        <v>1.1811023622047244E-2</v>
      </c>
      <c r="I19" s="94">
        <v>7</v>
      </c>
      <c r="K19" s="38">
        <v>17</v>
      </c>
      <c r="L19" s="99">
        <v>427.40000000000003</v>
      </c>
      <c r="N19" s="115" t="s">
        <v>186</v>
      </c>
      <c r="O19" s="125">
        <f>IF(P19=0,0,Q19/P19)</f>
        <v>28.879999999999995</v>
      </c>
      <c r="P19" s="119">
        <v>5</v>
      </c>
      <c r="Q19" s="107">
        <v>144.39999999999998</v>
      </c>
    </row>
    <row r="20" spans="1:17" x14ac:dyDescent="0.4">
      <c r="A20" s="55" t="s">
        <v>13</v>
      </c>
      <c r="B20" s="47">
        <v>103</v>
      </c>
      <c r="C20" s="39">
        <f>IF(B$3=0,0,B20/B$3)</f>
        <v>0.15582450832072617</v>
      </c>
      <c r="E20" s="63" t="s">
        <v>74</v>
      </c>
      <c r="F20" s="60" t="s">
        <v>29</v>
      </c>
      <c r="G20" s="47">
        <v>2</v>
      </c>
      <c r="H20" s="133">
        <f>IF(B$17=0,0,G20/B$17)</f>
        <v>7.874015748031496E-3</v>
      </c>
      <c r="I20" s="94">
        <v>3</v>
      </c>
      <c r="K20" s="38">
        <v>18</v>
      </c>
      <c r="L20" s="99">
        <v>429.3</v>
      </c>
      <c r="N20" s="115" t="s">
        <v>173</v>
      </c>
      <c r="O20" s="125">
        <f>IF(P20=0,0,Q20/P20)</f>
        <v>28.249999999999996</v>
      </c>
      <c r="P20" s="119">
        <v>16</v>
      </c>
      <c r="Q20" s="107">
        <v>451.99999999999994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</v>
      </c>
      <c r="H21" s="133">
        <f>IF(B$17=0,0,G21/B$17)</f>
        <v>3.937007874015748E-3</v>
      </c>
      <c r="I21" s="94">
        <v>6</v>
      </c>
      <c r="K21" s="38">
        <v>19</v>
      </c>
      <c r="L21" s="99">
        <v>405.40000000000003</v>
      </c>
      <c r="N21" s="115" t="s">
        <v>202</v>
      </c>
      <c r="O21" s="125">
        <f>IF(P21=0,0,Q21/P21)</f>
        <v>23.1</v>
      </c>
      <c r="P21" s="119">
        <v>1</v>
      </c>
      <c r="Q21" s="107">
        <v>23.1</v>
      </c>
    </row>
    <row r="22" spans="1:17" x14ac:dyDescent="0.4">
      <c r="A22" s="55" t="s">
        <v>194</v>
      </c>
      <c r="B22" s="47">
        <v>27</v>
      </c>
      <c r="C22" s="135">
        <v>6</v>
      </c>
      <c r="E22" s="63" t="s">
        <v>78</v>
      </c>
      <c r="F22" s="60" t="s">
        <v>33</v>
      </c>
      <c r="G22" s="47">
        <v>1</v>
      </c>
      <c r="H22" s="133">
        <f>IF(B$17=0,0,G22/B$17)</f>
        <v>3.937007874015748E-3</v>
      </c>
      <c r="I22" s="94">
        <v>3</v>
      </c>
      <c r="K22" s="38">
        <v>20</v>
      </c>
      <c r="L22" s="99">
        <v>469.6</v>
      </c>
      <c r="N22" s="115" t="s">
        <v>171</v>
      </c>
      <c r="O22" s="125">
        <f>IF(P22=0,0,Q22/P22)</f>
        <v>20.638461538461531</v>
      </c>
      <c r="P22" s="119">
        <v>26</v>
      </c>
      <c r="Q22" s="107">
        <v>536.5999999999998</v>
      </c>
    </row>
    <row r="23" spans="1:17" x14ac:dyDescent="0.4">
      <c r="A23" s="55" t="s">
        <v>5</v>
      </c>
      <c r="B23" s="51">
        <f>IF(B$17=0,0,C23/B$17)</f>
        <v>9214.5669291338581</v>
      </c>
      <c r="C23" s="41">
        <v>2340500</v>
      </c>
      <c r="E23" s="63" t="s">
        <v>88</v>
      </c>
      <c r="F23" s="60" t="s">
        <v>43</v>
      </c>
      <c r="G23" s="47">
        <v>1</v>
      </c>
      <c r="H23" s="133">
        <f>IF(B$17=0,0,G23/B$17)</f>
        <v>3.937007874015748E-3</v>
      </c>
      <c r="I23" s="94">
        <v>3</v>
      </c>
      <c r="K23" s="38">
        <v>21</v>
      </c>
      <c r="L23" s="99">
        <v>468.3</v>
      </c>
      <c r="N23" s="115" t="s">
        <v>128</v>
      </c>
      <c r="O23" s="125">
        <f>IF(P23=0,0,Q23/P23)</f>
        <v>19.103125000000006</v>
      </c>
      <c r="P23" s="119">
        <v>64</v>
      </c>
      <c r="Q23" s="107">
        <v>1222.6000000000004</v>
      </c>
    </row>
    <row r="24" spans="1:17" x14ac:dyDescent="0.4">
      <c r="A24" s="57" t="s">
        <v>14</v>
      </c>
      <c r="B24" s="52">
        <f>IF(B$20=0,0,C24/B$20)</f>
        <v>-7877.6699029126212</v>
      </c>
      <c r="C24" s="45">
        <v>-811400</v>
      </c>
      <c r="E24" s="63" t="s">
        <v>91</v>
      </c>
      <c r="F24" s="60" t="s">
        <v>46</v>
      </c>
      <c r="G24" s="47">
        <v>1</v>
      </c>
      <c r="H24" s="133">
        <f>IF(B$17=0,0,G24/B$17)</f>
        <v>3.937007874015748E-3</v>
      </c>
      <c r="I24" s="94">
        <v>1</v>
      </c>
      <c r="K24" s="38">
        <v>22</v>
      </c>
      <c r="L24" s="99">
        <v>519.20000000000005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3.937007874015748E-3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3.937007874015748E-3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3.937007874015748E-3</v>
      </c>
      <c r="I27" s="94">
        <v>1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F9E9E-D8D9-485E-8B7C-543D853FB32F}">
  <sheetPr codeName="Sheet9"/>
  <dimension ref="A1:Q90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88</v>
      </c>
      <c r="C2" s="147"/>
      <c r="E2" s="62" t="s">
        <v>67</v>
      </c>
      <c r="F2" s="59" t="s">
        <v>23</v>
      </c>
      <c r="G2" s="46">
        <v>156</v>
      </c>
      <c r="H2" s="132">
        <f>IF(B$17=0,0,G2/B$17)</f>
        <v>0.74641148325358853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1145.4545454545455</v>
      </c>
      <c r="P2" s="118">
        <v>88</v>
      </c>
      <c r="Q2" s="102">
        <v>100800</v>
      </c>
    </row>
    <row r="3" spans="1:17" x14ac:dyDescent="0.4">
      <c r="A3" s="55" t="s">
        <v>8</v>
      </c>
      <c r="B3" s="148">
        <v>728</v>
      </c>
      <c r="C3" s="149"/>
      <c r="E3" s="63" t="s">
        <v>65</v>
      </c>
      <c r="F3" s="60" t="s">
        <v>21</v>
      </c>
      <c r="G3" s="47">
        <v>121</v>
      </c>
      <c r="H3" s="133">
        <f>IF(B$17=0,0,G3/B$17)</f>
        <v>0.57894736842105265</v>
      </c>
      <c r="I3" s="94">
        <v>4</v>
      </c>
      <c r="K3" s="38">
        <v>1</v>
      </c>
      <c r="L3" s="99">
        <v>45.5</v>
      </c>
      <c r="N3" s="115" t="s">
        <v>133</v>
      </c>
      <c r="O3" s="122">
        <f t="shared" si="0"/>
        <v>-2308.0459770114944</v>
      </c>
      <c r="P3" s="119">
        <v>87</v>
      </c>
      <c r="Q3" s="103">
        <v>-200800</v>
      </c>
    </row>
    <row r="4" spans="1:17" x14ac:dyDescent="0.4">
      <c r="A4" s="55" t="s">
        <v>6</v>
      </c>
      <c r="B4" s="150">
        <v>-218.00000000000003</v>
      </c>
      <c r="C4" s="151"/>
      <c r="E4" s="63" t="s">
        <v>73</v>
      </c>
      <c r="F4" s="60" t="s">
        <v>28</v>
      </c>
      <c r="G4" s="47">
        <v>100</v>
      </c>
      <c r="H4" s="133">
        <f>IF(B$17=0,0,G4/B$17)</f>
        <v>0.4784688995215311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-1622.6190476190477</v>
      </c>
      <c r="P4" s="119">
        <v>84</v>
      </c>
      <c r="Q4" s="103">
        <v>-136300</v>
      </c>
    </row>
    <row r="5" spans="1:17" x14ac:dyDescent="0.4">
      <c r="A5" s="55" t="s">
        <v>7</v>
      </c>
      <c r="B5" s="152">
        <f>IF(B$2=0,0,B$4/B$2)</f>
        <v>-2.4772727272727275</v>
      </c>
      <c r="C5" s="153"/>
      <c r="E5" s="63" t="s">
        <v>181</v>
      </c>
      <c r="F5" s="60" t="s">
        <v>182</v>
      </c>
      <c r="G5" s="47">
        <v>91</v>
      </c>
      <c r="H5" s="133">
        <f>IF(B$17=0,0,G5/B$17)</f>
        <v>0.4354066985645933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1143.421052631579</v>
      </c>
      <c r="P5" s="119">
        <v>76</v>
      </c>
      <c r="Q5" s="103">
        <v>86900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68</v>
      </c>
      <c r="F6" s="60" t="s">
        <v>24</v>
      </c>
      <c r="G6" s="47">
        <v>70</v>
      </c>
      <c r="H6" s="133">
        <f>IF(B$17=0,0,G6/B$17)</f>
        <v>0.3349282296650718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0"/>
        <v>514.49275362318838</v>
      </c>
      <c r="P6" s="119">
        <v>69</v>
      </c>
      <c r="Q6" s="103">
        <v>35500</v>
      </c>
    </row>
    <row r="7" spans="1:17" x14ac:dyDescent="0.4">
      <c r="A7" s="55" t="s">
        <v>2</v>
      </c>
      <c r="B7" s="47">
        <v>23</v>
      </c>
      <c r="C7" s="39">
        <f>IF(B$2=0,0,B7/B$2)</f>
        <v>0.26136363636363635</v>
      </c>
      <c r="E7" s="63" t="s">
        <v>69</v>
      </c>
      <c r="F7" s="60" t="s">
        <v>12</v>
      </c>
      <c r="G7" s="47">
        <v>67</v>
      </c>
      <c r="H7" s="133">
        <f>IF(B$17=0,0,G7/B$17)</f>
        <v>0.32057416267942584</v>
      </c>
      <c r="I7" s="94">
        <v>4</v>
      </c>
      <c r="K7" s="38">
        <v>5</v>
      </c>
      <c r="L7" s="99">
        <v>-16.600000000000005</v>
      </c>
      <c r="N7" s="116" t="s">
        <v>137</v>
      </c>
      <c r="O7" s="123">
        <f t="shared" si="0"/>
        <v>244.61538461538461</v>
      </c>
      <c r="P7" s="120">
        <v>65</v>
      </c>
      <c r="Q7" s="104">
        <v>15900</v>
      </c>
    </row>
    <row r="8" spans="1:17" x14ac:dyDescent="0.4">
      <c r="A8" s="55" t="s">
        <v>3</v>
      </c>
      <c r="B8" s="47">
        <v>36</v>
      </c>
      <c r="C8" s="39">
        <f>IF(B$2=0,0,B8/B$2)</f>
        <v>0.40909090909090912</v>
      </c>
      <c r="E8" s="63" t="s">
        <v>70</v>
      </c>
      <c r="F8" s="60" t="s">
        <v>25</v>
      </c>
      <c r="G8" s="47">
        <v>44</v>
      </c>
      <c r="H8" s="133">
        <f>IF(B$17=0,0,G8/B$17)</f>
        <v>0.21052631578947367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0.32954545454545453</v>
      </c>
      <c r="E9" s="63" t="s">
        <v>66</v>
      </c>
      <c r="F9" s="60" t="s">
        <v>22</v>
      </c>
      <c r="G9" s="47">
        <v>36</v>
      </c>
      <c r="H9" s="133">
        <f>IF(B$17=0,0,G9/B$17)</f>
        <v>0.17224880382775121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0.125</v>
      </c>
      <c r="E10" s="63" t="s">
        <v>71</v>
      </c>
      <c r="F10" s="60" t="s">
        <v>26</v>
      </c>
      <c r="G10" s="47">
        <v>26</v>
      </c>
      <c r="H10" s="133">
        <f>IF(B$17=0,0,G10/B$17)</f>
        <v>0.12440191387559808</v>
      </c>
      <c r="I10" s="94">
        <v>2</v>
      </c>
      <c r="K10" s="38">
        <v>8</v>
      </c>
      <c r="L10" s="99">
        <v>-49.6</v>
      </c>
      <c r="N10" s="114" t="s">
        <v>164</v>
      </c>
      <c r="O10" s="124">
        <f>IF(P10=0,0,Q10/P10)</f>
        <v>-2.8804347826086962</v>
      </c>
      <c r="P10" s="118">
        <v>46</v>
      </c>
      <c r="Q10" s="106">
        <v>-132.50000000000003</v>
      </c>
    </row>
    <row r="11" spans="1:17" x14ac:dyDescent="0.4">
      <c r="A11" s="56" t="s">
        <v>140</v>
      </c>
      <c r="B11" s="48">
        <v>7</v>
      </c>
      <c r="C11" s="40">
        <f>IF(B$2=0,0,B11/B$2)</f>
        <v>7.9545454545454544E-2</v>
      </c>
      <c r="E11" s="63" t="s">
        <v>90</v>
      </c>
      <c r="F11" s="60" t="s">
        <v>45</v>
      </c>
      <c r="G11" s="47">
        <v>20</v>
      </c>
      <c r="H11" s="133">
        <f>IF(B$17=0,0,G11/B$17)</f>
        <v>9.569377990430622E-2</v>
      </c>
      <c r="I11" s="94">
        <v>10</v>
      </c>
      <c r="K11" s="38">
        <v>9</v>
      </c>
      <c r="L11" s="99">
        <v>-79.5</v>
      </c>
      <c r="N11" s="115" t="s">
        <v>165</v>
      </c>
      <c r="O11" s="125">
        <f>IF(P11=0,0,Q11/P11)</f>
        <v>-6.9380952380952365</v>
      </c>
      <c r="P11" s="119">
        <v>21</v>
      </c>
      <c r="Q11" s="107">
        <v>-145.69999999999996</v>
      </c>
    </row>
    <row r="12" spans="1:17" x14ac:dyDescent="0.4">
      <c r="A12" s="57" t="s">
        <v>160</v>
      </c>
      <c r="B12" s="49">
        <v>6</v>
      </c>
      <c r="C12" s="42">
        <f>IF(B$2=0,0,B12/B$2)</f>
        <v>6.8181818181818177E-2</v>
      </c>
      <c r="E12" s="63" t="s">
        <v>72</v>
      </c>
      <c r="F12" s="60" t="s">
        <v>27</v>
      </c>
      <c r="G12" s="47">
        <v>11</v>
      </c>
      <c r="H12" s="133">
        <f>IF(B$17=0,0,G12/B$17)</f>
        <v>5.2631578947368418E-2</v>
      </c>
      <c r="I12" s="94">
        <v>7</v>
      </c>
      <c r="K12" s="38">
        <v>10</v>
      </c>
      <c r="L12" s="99">
        <v>-80.900000000000006</v>
      </c>
      <c r="N12" s="116" t="s">
        <v>166</v>
      </c>
      <c r="O12" s="126">
        <f>IF(P12=0,0,Q12/P12)</f>
        <v>2.8666666666666663</v>
      </c>
      <c r="P12" s="120">
        <v>21</v>
      </c>
      <c r="Q12" s="108">
        <v>60.199999999999989</v>
      </c>
    </row>
    <row r="13" spans="1:17" x14ac:dyDescent="0.4">
      <c r="A13" s="58" t="s">
        <v>122</v>
      </c>
      <c r="B13" s="50">
        <v>209</v>
      </c>
      <c r="C13" s="44">
        <f>IF(B$3=0,0,B13/B$3)</f>
        <v>0.28708791208791207</v>
      </c>
      <c r="E13" s="63" t="s">
        <v>87</v>
      </c>
      <c r="F13" s="60" t="s">
        <v>42</v>
      </c>
      <c r="G13" s="47">
        <v>11</v>
      </c>
      <c r="H13" s="133">
        <f>IF(B$17=0,0,G13/B$17)</f>
        <v>5.2631578947368418E-2</v>
      </c>
      <c r="I13" s="94">
        <v>6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141</v>
      </c>
      <c r="C14" s="39">
        <f>IF(B$3=0,0,B14/B$3)</f>
        <v>0.19368131868131869</v>
      </c>
      <c r="E14" s="63" t="s">
        <v>82</v>
      </c>
      <c r="F14" s="60" t="s">
        <v>37</v>
      </c>
      <c r="G14" s="47">
        <v>8</v>
      </c>
      <c r="H14" s="133">
        <f>IF(B$17=0,0,G14/B$17)</f>
        <v>3.8277511961722487E-2</v>
      </c>
      <c r="I14" s="94">
        <v>3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129</v>
      </c>
      <c r="C15" s="37">
        <f>IF(B$13=0,0,B15/B$13)</f>
        <v>0.61722488038277512</v>
      </c>
      <c r="E15" s="63" t="s">
        <v>84</v>
      </c>
      <c r="F15" s="60" t="s">
        <v>39</v>
      </c>
      <c r="G15" s="47">
        <v>7</v>
      </c>
      <c r="H15" s="133">
        <f>IF(B$17=0,0,G15/B$17)</f>
        <v>3.3492822966507178E-2</v>
      </c>
      <c r="I15" s="94">
        <v>7</v>
      </c>
      <c r="K15" s="38">
        <v>13</v>
      </c>
      <c r="L15" s="99">
        <v>-81.900000000000006</v>
      </c>
      <c r="N15" s="114" t="s">
        <v>186</v>
      </c>
      <c r="O15" s="124">
        <f>IF(P15=0,0,Q15/P15)</f>
        <v>39.480000000000004</v>
      </c>
      <c r="P15" s="118">
        <v>5</v>
      </c>
      <c r="Q15" s="106">
        <v>197.40000000000003</v>
      </c>
    </row>
    <row r="16" spans="1:17" x14ac:dyDescent="0.4">
      <c r="A16" s="54" t="s">
        <v>125</v>
      </c>
      <c r="B16" s="46">
        <v>41</v>
      </c>
      <c r="C16" s="37">
        <f>IF(B$14=0,0,B16/B$14)</f>
        <v>0.29078014184397161</v>
      </c>
      <c r="E16" s="63" t="s">
        <v>92</v>
      </c>
      <c r="F16" s="60" t="s">
        <v>47</v>
      </c>
      <c r="G16" s="47">
        <v>6</v>
      </c>
      <c r="H16" s="133">
        <f>IF(B$17=0,0,G16/B$17)</f>
        <v>2.8708133971291867E-2</v>
      </c>
      <c r="I16" s="94">
        <v>2</v>
      </c>
      <c r="K16" s="38">
        <v>14</v>
      </c>
      <c r="L16" s="99">
        <v>-25.600000000000009</v>
      </c>
      <c r="N16" s="115" t="s">
        <v>177</v>
      </c>
      <c r="O16" s="125">
        <f>IF(P16=0,0,Q16/P16)</f>
        <v>10.178571428571429</v>
      </c>
      <c r="P16" s="119">
        <v>14</v>
      </c>
      <c r="Q16" s="107">
        <v>142.5</v>
      </c>
    </row>
    <row r="17" spans="1:17" x14ac:dyDescent="0.4">
      <c r="A17" s="54" t="s">
        <v>10</v>
      </c>
      <c r="B17" s="46">
        <f>B19+B18</f>
        <v>209</v>
      </c>
      <c r="C17" s="37">
        <f>IF(B$3=0,0,B17/B$3)</f>
        <v>0.28708791208791207</v>
      </c>
      <c r="E17" s="63" t="s">
        <v>80</v>
      </c>
      <c r="F17" s="60" t="s">
        <v>35</v>
      </c>
      <c r="G17" s="47">
        <v>4</v>
      </c>
      <c r="H17" s="133">
        <f>IF(B$17=0,0,G17/B$17)</f>
        <v>1.9138755980861243E-2</v>
      </c>
      <c r="I17" s="94">
        <v>3</v>
      </c>
      <c r="K17" s="38">
        <v>15</v>
      </c>
      <c r="L17" s="99">
        <v>47.999999999999986</v>
      </c>
      <c r="N17" s="115" t="s">
        <v>129</v>
      </c>
      <c r="O17" s="125">
        <f>IF(P17=0,0,Q17/P17)</f>
        <v>7.3999999999999968</v>
      </c>
      <c r="P17" s="119">
        <v>26</v>
      </c>
      <c r="Q17" s="107">
        <v>192.39999999999992</v>
      </c>
    </row>
    <row r="18" spans="1:17" x14ac:dyDescent="0.4">
      <c r="A18" s="55" t="s">
        <v>12</v>
      </c>
      <c r="B18" s="47">
        <v>86</v>
      </c>
      <c r="C18" s="39">
        <f>IF(B$17=0,0,B18/B$17)</f>
        <v>0.41148325358851673</v>
      </c>
      <c r="E18" s="63" t="s">
        <v>180</v>
      </c>
      <c r="F18" s="60" t="s">
        <v>183</v>
      </c>
      <c r="G18" s="47">
        <v>4</v>
      </c>
      <c r="H18" s="133">
        <f>IF(B$17=0,0,G18/B$17)</f>
        <v>1.9138755980861243E-2</v>
      </c>
      <c r="I18" s="94">
        <v>3</v>
      </c>
      <c r="K18" s="38">
        <v>16</v>
      </c>
      <c r="L18" s="99">
        <v>41.699999999999989</v>
      </c>
      <c r="N18" s="115" t="s">
        <v>172</v>
      </c>
      <c r="O18" s="125">
        <f>IF(P18=0,0,Q18/P18)</f>
        <v>4.9727272727272727</v>
      </c>
      <c r="P18" s="119">
        <v>22</v>
      </c>
      <c r="Q18" s="107">
        <v>109.39999999999999</v>
      </c>
    </row>
    <row r="19" spans="1:17" x14ac:dyDescent="0.4">
      <c r="A19" s="55" t="s">
        <v>11</v>
      </c>
      <c r="B19" s="47">
        <v>123</v>
      </c>
      <c r="C19" s="39">
        <f>IF(B$17=0,0,B19/B$17)</f>
        <v>0.58851674641148322</v>
      </c>
      <c r="E19" s="63" t="s">
        <v>75</v>
      </c>
      <c r="F19" s="60" t="s">
        <v>30</v>
      </c>
      <c r="G19" s="47">
        <v>2</v>
      </c>
      <c r="H19" s="133">
        <f>IF(B$17=0,0,G19/B$17)</f>
        <v>9.5693779904306216E-3</v>
      </c>
      <c r="I19" s="94">
        <v>1</v>
      </c>
      <c r="K19" s="38">
        <v>17</v>
      </c>
      <c r="L19" s="99">
        <v>94.6</v>
      </c>
      <c r="N19" s="115" t="s">
        <v>171</v>
      </c>
      <c r="O19" s="125">
        <f>IF(P19=0,0,Q19/P19)</f>
        <v>-2.3999999999992097E-2</v>
      </c>
      <c r="P19" s="119">
        <v>25</v>
      </c>
      <c r="Q19" s="107">
        <v>-0.59999999999980247</v>
      </c>
    </row>
    <row r="20" spans="1:17" x14ac:dyDescent="0.4">
      <c r="A20" s="55" t="s">
        <v>13</v>
      </c>
      <c r="B20" s="47">
        <v>123</v>
      </c>
      <c r="C20" s="39">
        <f>IF(B$3=0,0,B20/B$3)</f>
        <v>0.16895604395604397</v>
      </c>
      <c r="E20" s="63" t="s">
        <v>76</v>
      </c>
      <c r="F20" s="60" t="s">
        <v>31</v>
      </c>
      <c r="G20" s="47">
        <v>2</v>
      </c>
      <c r="H20" s="133">
        <f>IF(B$17=0,0,G20/B$17)</f>
        <v>9.5693779904306216E-3</v>
      </c>
      <c r="I20" s="94">
        <v>4</v>
      </c>
      <c r="K20" s="38">
        <v>18</v>
      </c>
      <c r="L20" s="99">
        <v>116.69999999999999</v>
      </c>
      <c r="N20" s="115" t="s">
        <v>173</v>
      </c>
      <c r="O20" s="125">
        <f>IF(P20=0,0,Q20/P20)</f>
        <v>-3.6750000000000007</v>
      </c>
      <c r="P20" s="119">
        <v>20</v>
      </c>
      <c r="Q20" s="107">
        <v>-73.500000000000014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79</v>
      </c>
      <c r="F21" s="60" t="s">
        <v>34</v>
      </c>
      <c r="G21" s="47">
        <v>2</v>
      </c>
      <c r="H21" s="133">
        <f>IF(B$17=0,0,G21/B$17)</f>
        <v>9.5693779904306216E-3</v>
      </c>
      <c r="I21" s="94">
        <v>8</v>
      </c>
      <c r="K21" s="38">
        <v>19</v>
      </c>
      <c r="L21" s="99">
        <v>138.79999999999998</v>
      </c>
      <c r="N21" s="115" t="s">
        <v>127</v>
      </c>
      <c r="O21" s="125">
        <f>IF(P21=0,0,Q21/P21)</f>
        <v>-19.103125000000006</v>
      </c>
      <c r="P21" s="119">
        <v>64</v>
      </c>
      <c r="Q21" s="107">
        <v>-1222.6000000000004</v>
      </c>
    </row>
    <row r="22" spans="1:17" x14ac:dyDescent="0.4">
      <c r="A22" s="55" t="s">
        <v>194</v>
      </c>
      <c r="B22" s="47">
        <v>24</v>
      </c>
      <c r="C22" s="135">
        <v>8</v>
      </c>
      <c r="E22" s="63" t="s">
        <v>74</v>
      </c>
      <c r="F22" s="60" t="s">
        <v>29</v>
      </c>
      <c r="G22" s="47">
        <v>1</v>
      </c>
      <c r="H22" s="133">
        <f>IF(B$17=0,0,G22/B$17)</f>
        <v>4.7846889952153108E-3</v>
      </c>
      <c r="I22" s="94">
        <v>5</v>
      </c>
      <c r="K22" s="38">
        <v>20</v>
      </c>
      <c r="L22" s="99">
        <v>164.49999999999997</v>
      </c>
    </row>
    <row r="23" spans="1:17" x14ac:dyDescent="0.4">
      <c r="A23" s="55" t="s">
        <v>5</v>
      </c>
      <c r="B23" s="51">
        <f>IF(B$17=0,0,C23/B$17)</f>
        <v>9083.7320574162677</v>
      </c>
      <c r="C23" s="41">
        <v>1898500</v>
      </c>
      <c r="E23" s="63" t="s">
        <v>78</v>
      </c>
      <c r="F23" s="60" t="s">
        <v>33</v>
      </c>
      <c r="G23" s="47">
        <v>1</v>
      </c>
      <c r="H23" s="133">
        <f>IF(B$17=0,0,G23/B$17)</f>
        <v>4.7846889952153108E-3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-7849.5934959349597</v>
      </c>
      <c r="C24" s="45">
        <v>-965500</v>
      </c>
      <c r="E24" s="63" t="s">
        <v>85</v>
      </c>
      <c r="F24" s="60" t="s">
        <v>40</v>
      </c>
      <c r="G24" s="47">
        <v>1</v>
      </c>
      <c r="H24" s="133">
        <f>IF(B$17=0,0,G24/B$17)</f>
        <v>4.7846889952153108E-3</v>
      </c>
      <c r="I24" s="94">
        <v>1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4.7846889952153108E-3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4.7846889952153108E-3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6.868131868131868E-3</v>
      </c>
      <c r="E27" s="63" t="s">
        <v>94</v>
      </c>
      <c r="F27" s="60" t="s">
        <v>49</v>
      </c>
      <c r="G27" s="47">
        <v>1</v>
      </c>
      <c r="H27" s="133">
        <f>IF(B$17=0,0,G27/B$17)</f>
        <v>4.7846889952153108E-3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186.99999999999997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EDFC-70C8-4760-807C-0725ED95ED50}">
  <sheetPr codeName="Sheet1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36</v>
      </c>
      <c r="C2" s="147"/>
      <c r="E2" s="62" t="s">
        <v>67</v>
      </c>
      <c r="F2" s="59" t="s">
        <v>23</v>
      </c>
      <c r="G2" s="46">
        <v>52</v>
      </c>
      <c r="H2" s="132">
        <f>IF(B$17=0,0,G2/B$17)</f>
        <v>0.83870967741935487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-2758.3333333333335</v>
      </c>
      <c r="P2" s="118">
        <v>36</v>
      </c>
      <c r="Q2" s="102">
        <v>-99300</v>
      </c>
    </row>
    <row r="3" spans="1:17" x14ac:dyDescent="0.4">
      <c r="A3" s="55" t="s">
        <v>8</v>
      </c>
      <c r="B3" s="148">
        <v>292</v>
      </c>
      <c r="C3" s="149"/>
      <c r="E3" s="63" t="s">
        <v>65</v>
      </c>
      <c r="F3" s="60" t="s">
        <v>21</v>
      </c>
      <c r="G3" s="47">
        <v>36</v>
      </c>
      <c r="H3" s="133">
        <f>IF(B$17=0,0,G3/B$17)</f>
        <v>0.58064516129032262</v>
      </c>
      <c r="I3" s="94">
        <v>3</v>
      </c>
      <c r="K3" s="38">
        <v>1</v>
      </c>
      <c r="L3" s="99">
        <v>-40.4</v>
      </c>
      <c r="N3" s="115" t="s">
        <v>133</v>
      </c>
      <c r="O3" s="122">
        <f t="shared" si="0"/>
        <v>-3072.2222222222222</v>
      </c>
      <c r="P3" s="119">
        <v>36</v>
      </c>
      <c r="Q3" s="103">
        <v>-110600</v>
      </c>
    </row>
    <row r="4" spans="1:17" x14ac:dyDescent="0.4">
      <c r="A4" s="55" t="s">
        <v>6</v>
      </c>
      <c r="B4" s="150">
        <v>-782.49999999999989</v>
      </c>
      <c r="C4" s="151"/>
      <c r="E4" s="63" t="s">
        <v>69</v>
      </c>
      <c r="F4" s="60" t="s">
        <v>12</v>
      </c>
      <c r="G4" s="47">
        <v>25</v>
      </c>
      <c r="H4" s="133">
        <f>IF(B$17=0,0,G4/B$17)</f>
        <v>0.40322580645161288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-1230.3030303030303</v>
      </c>
      <c r="P4" s="119">
        <v>33</v>
      </c>
      <c r="Q4" s="103">
        <v>-40600</v>
      </c>
    </row>
    <row r="5" spans="1:17" x14ac:dyDescent="0.4">
      <c r="A5" s="55" t="s">
        <v>7</v>
      </c>
      <c r="B5" s="152">
        <f>IF(B$2=0,0,B$4/B$2)</f>
        <v>-21.736111111111107</v>
      </c>
      <c r="C5" s="153"/>
      <c r="E5" s="63" t="s">
        <v>181</v>
      </c>
      <c r="F5" s="60" t="s">
        <v>182</v>
      </c>
      <c r="G5" s="47">
        <v>25</v>
      </c>
      <c r="H5" s="133">
        <f>IF(B$17=0,0,G5/B$17)</f>
        <v>0.40322580645161288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-6846.4285714285716</v>
      </c>
      <c r="P5" s="119">
        <v>28</v>
      </c>
      <c r="Q5" s="103">
        <v>-191700</v>
      </c>
    </row>
    <row r="6" spans="1:17" x14ac:dyDescent="0.4">
      <c r="A6" s="55" t="s">
        <v>1</v>
      </c>
      <c r="B6" s="142">
        <f>IF(B$2=0,0,(B$7*1+B$8*2+B$9*3)/B$2)</f>
        <v>2.3611111111111112</v>
      </c>
      <c r="C6" s="143"/>
      <c r="E6" s="63" t="s">
        <v>68</v>
      </c>
      <c r="F6" s="60" t="s">
        <v>24</v>
      </c>
      <c r="G6" s="47">
        <v>23</v>
      </c>
      <c r="H6" s="133">
        <f>IF(B$17=0,0,G6/B$17)</f>
        <v>0.37096774193548387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-1044</v>
      </c>
      <c r="P6" s="119">
        <v>25</v>
      </c>
      <c r="Q6" s="103">
        <v>-26100</v>
      </c>
    </row>
    <row r="7" spans="1:17" x14ac:dyDescent="0.4">
      <c r="A7" s="55" t="s">
        <v>2</v>
      </c>
      <c r="B7" s="47">
        <v>7</v>
      </c>
      <c r="C7" s="39">
        <f>IF(B$2=0,0,B7/B$2)</f>
        <v>0.19444444444444445</v>
      </c>
      <c r="E7" s="63" t="s">
        <v>73</v>
      </c>
      <c r="F7" s="60" t="s">
        <v>28</v>
      </c>
      <c r="G7" s="47">
        <v>20</v>
      </c>
      <c r="H7" s="133">
        <f>IF(B$17=0,0,G7/B$17)</f>
        <v>0.32258064516129031</v>
      </c>
      <c r="I7" s="94">
        <v>11</v>
      </c>
      <c r="K7" s="38">
        <v>5</v>
      </c>
      <c r="L7" s="99">
        <v>-32.199999999999996</v>
      </c>
      <c r="N7" s="116" t="s">
        <v>137</v>
      </c>
      <c r="O7" s="123">
        <f t="shared" si="0"/>
        <v>-1534.7826086956522</v>
      </c>
      <c r="P7" s="120">
        <v>23</v>
      </c>
      <c r="Q7" s="104">
        <v>-35300</v>
      </c>
    </row>
    <row r="8" spans="1:17" x14ac:dyDescent="0.4">
      <c r="A8" s="55" t="s">
        <v>3</v>
      </c>
      <c r="B8" s="47">
        <v>9</v>
      </c>
      <c r="C8" s="39">
        <f>IF(B$2=0,0,B8/B$2)</f>
        <v>0.25</v>
      </c>
      <c r="E8" s="63" t="s">
        <v>70</v>
      </c>
      <c r="F8" s="60" t="s">
        <v>25</v>
      </c>
      <c r="G8" s="47">
        <v>15</v>
      </c>
      <c r="H8" s="133">
        <f>IF(B$17=0,0,G8/B$17)</f>
        <v>0.24193548387096775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20</v>
      </c>
      <c r="C9" s="40">
        <f t="shared" ref="C9" si="1">IF(B$2=0,0,B9/B$2)</f>
        <v>0.55555555555555558</v>
      </c>
      <c r="E9" s="63" t="s">
        <v>71</v>
      </c>
      <c r="F9" s="60" t="s">
        <v>26</v>
      </c>
      <c r="G9" s="47">
        <v>12</v>
      </c>
      <c r="H9" s="133">
        <f>IF(B$17=0,0,G9/B$17)</f>
        <v>0.19354838709677419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0.22222222222222221</v>
      </c>
      <c r="E10" s="63" t="s">
        <v>72</v>
      </c>
      <c r="F10" s="60" t="s">
        <v>27</v>
      </c>
      <c r="G10" s="47">
        <v>6</v>
      </c>
      <c r="H10" s="133">
        <f>IF(B$17=0,0,G10/B$17)</f>
        <v>9.6774193548387094E-2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-22.749999999999996</v>
      </c>
      <c r="P10" s="118">
        <v>12</v>
      </c>
      <c r="Q10" s="106">
        <v>-272.99999999999994</v>
      </c>
    </row>
    <row r="11" spans="1:17" x14ac:dyDescent="0.4">
      <c r="A11" s="56" t="s">
        <v>140</v>
      </c>
      <c r="B11" s="48">
        <v>2</v>
      </c>
      <c r="C11" s="40">
        <f>IF(B$2=0,0,B11/B$2)</f>
        <v>5.5555555555555552E-2</v>
      </c>
      <c r="E11" s="63" t="s">
        <v>90</v>
      </c>
      <c r="F11" s="60" t="s">
        <v>45</v>
      </c>
      <c r="G11" s="47">
        <v>6</v>
      </c>
      <c r="H11" s="133">
        <f>IF(B$17=0,0,G11/B$17)</f>
        <v>9.6774193548387094E-2</v>
      </c>
      <c r="I11" s="94">
        <v>9</v>
      </c>
      <c r="K11" s="38">
        <v>9</v>
      </c>
      <c r="L11" s="99">
        <v>-127.6</v>
      </c>
      <c r="N11" s="115" t="s">
        <v>165</v>
      </c>
      <c r="O11" s="125">
        <f>IF(P11=0,0,Q11/P11)</f>
        <v>-19.957142857142859</v>
      </c>
      <c r="P11" s="119">
        <v>14</v>
      </c>
      <c r="Q11" s="107">
        <v>-279.40000000000003</v>
      </c>
    </row>
    <row r="12" spans="1:17" x14ac:dyDescent="0.4">
      <c r="A12" s="57" t="s">
        <v>160</v>
      </c>
      <c r="B12" s="49">
        <v>4</v>
      </c>
      <c r="C12" s="42">
        <f>IF(B$2=0,0,B12/B$2)</f>
        <v>0.1111111111111111</v>
      </c>
      <c r="E12" s="63" t="s">
        <v>66</v>
      </c>
      <c r="F12" s="60" t="s">
        <v>22</v>
      </c>
      <c r="G12" s="47">
        <v>5</v>
      </c>
      <c r="H12" s="133">
        <f>IF(B$17=0,0,G12/B$17)</f>
        <v>8.0645161290322578E-2</v>
      </c>
      <c r="I12" s="94">
        <v>8</v>
      </c>
      <c r="K12" s="38">
        <v>10</v>
      </c>
      <c r="L12" s="99">
        <v>-231.39999999999998</v>
      </c>
      <c r="N12" s="116" t="s">
        <v>166</v>
      </c>
      <c r="O12" s="126">
        <f>IF(P12=0,0,Q12/P12)</f>
        <v>-23.009999999999998</v>
      </c>
      <c r="P12" s="120">
        <v>10</v>
      </c>
      <c r="Q12" s="108">
        <v>-230.1</v>
      </c>
    </row>
    <row r="13" spans="1:17" x14ac:dyDescent="0.4">
      <c r="A13" s="58" t="s">
        <v>122</v>
      </c>
      <c r="B13" s="50">
        <v>74</v>
      </c>
      <c r="C13" s="44">
        <f>IF(B$3=0,0,B13/B$3)</f>
        <v>0.25342465753424659</v>
      </c>
      <c r="E13" s="63" t="s">
        <v>87</v>
      </c>
      <c r="F13" s="60" t="s">
        <v>42</v>
      </c>
      <c r="G13" s="47">
        <v>2</v>
      </c>
      <c r="H13" s="133">
        <f>IF(B$17=0,0,G13/B$17)</f>
        <v>3.2258064516129031E-2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43</v>
      </c>
      <c r="C14" s="39">
        <f>IF(B$3=0,0,B14/B$3)</f>
        <v>0.14726027397260275</v>
      </c>
      <c r="E14" s="63" t="s">
        <v>78</v>
      </c>
      <c r="F14" s="60" t="s">
        <v>33</v>
      </c>
      <c r="G14" s="47">
        <v>1</v>
      </c>
      <c r="H14" s="133">
        <f>IF(B$17=0,0,G14/B$17)</f>
        <v>1.6129032258064516E-2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38</v>
      </c>
      <c r="C15" s="37">
        <f>IF(B$13=0,0,B15/B$13)</f>
        <v>0.51351351351351349</v>
      </c>
      <c r="E15" s="63" t="s">
        <v>79</v>
      </c>
      <c r="F15" s="60" t="s">
        <v>34</v>
      </c>
      <c r="G15" s="47">
        <v>1</v>
      </c>
      <c r="H15" s="133">
        <f>IF(B$17=0,0,G15/B$17)</f>
        <v>1.6129032258064516E-2</v>
      </c>
      <c r="I15" s="94">
        <v>4</v>
      </c>
      <c r="K15" s="38">
        <v>13</v>
      </c>
      <c r="L15" s="99">
        <v>-369.1</v>
      </c>
      <c r="N15" s="114" t="s">
        <v>177</v>
      </c>
      <c r="O15" s="124">
        <f>IF(P15=0,0,Q15/P15)</f>
        <v>69.466666666666669</v>
      </c>
      <c r="P15" s="118">
        <v>3</v>
      </c>
      <c r="Q15" s="106">
        <v>208.4</v>
      </c>
    </row>
    <row r="16" spans="1:17" x14ac:dyDescent="0.4">
      <c r="A16" s="54" t="s">
        <v>125</v>
      </c>
      <c r="B16" s="46">
        <v>8</v>
      </c>
      <c r="C16" s="37">
        <f>IF(B$14=0,0,B16/B$14)</f>
        <v>0.18604651162790697</v>
      </c>
      <c r="E16" s="63" t="s">
        <v>80</v>
      </c>
      <c r="F16" s="60" t="s">
        <v>35</v>
      </c>
      <c r="G16" s="47">
        <v>1</v>
      </c>
      <c r="H16" s="133">
        <f>IF(B$17=0,0,G16/B$17)</f>
        <v>1.6129032258064516E-2</v>
      </c>
      <c r="I16" s="94">
        <v>5</v>
      </c>
      <c r="K16" s="38">
        <v>14</v>
      </c>
      <c r="L16" s="99">
        <v>-394.6</v>
      </c>
      <c r="N16" s="115" t="s">
        <v>128</v>
      </c>
      <c r="O16" s="125">
        <f>IF(P16=0,0,Q16/P16)</f>
        <v>-7.3999999999999932</v>
      </c>
      <c r="P16" s="119">
        <v>26</v>
      </c>
      <c r="Q16" s="107">
        <v>-192.39999999999984</v>
      </c>
    </row>
    <row r="17" spans="1:17" x14ac:dyDescent="0.4">
      <c r="A17" s="54" t="s">
        <v>10</v>
      </c>
      <c r="B17" s="46">
        <f>B19+B18</f>
        <v>62</v>
      </c>
      <c r="C17" s="37">
        <f>IF(B$3=0,0,B17/B$3)</f>
        <v>0.21232876712328766</v>
      </c>
      <c r="E17" s="63" t="s">
        <v>82</v>
      </c>
      <c r="F17" s="60" t="s">
        <v>37</v>
      </c>
      <c r="G17" s="47">
        <v>1</v>
      </c>
      <c r="H17" s="133">
        <f>IF(B$17=0,0,G17/B$17)</f>
        <v>1.6129032258064516E-2</v>
      </c>
      <c r="I17" s="94">
        <v>8</v>
      </c>
      <c r="K17" s="38">
        <v>15</v>
      </c>
      <c r="L17" s="99">
        <v>-424.5</v>
      </c>
      <c r="N17" s="115" t="s">
        <v>173</v>
      </c>
      <c r="O17" s="125">
        <f>IF(P17=0,0,Q17/P17)</f>
        <v>-28.259999999999998</v>
      </c>
      <c r="P17" s="119">
        <v>5</v>
      </c>
      <c r="Q17" s="107">
        <v>-141.29999999999998</v>
      </c>
    </row>
    <row r="18" spans="1:17" x14ac:dyDescent="0.4">
      <c r="A18" s="55" t="s">
        <v>12</v>
      </c>
      <c r="B18" s="47">
        <v>31</v>
      </c>
      <c r="C18" s="39">
        <f>IF(B$17=0,0,B18/B$17)</f>
        <v>0.5</v>
      </c>
      <c r="E18" s="63" t="s">
        <v>84</v>
      </c>
      <c r="F18" s="60" t="s">
        <v>39</v>
      </c>
      <c r="G18" s="47">
        <v>1</v>
      </c>
      <c r="H18" s="133">
        <f>IF(B$17=0,0,G18/B$17)</f>
        <v>1.6129032258064516E-2</v>
      </c>
      <c r="I18" s="94">
        <v>9</v>
      </c>
      <c r="K18" s="38">
        <v>16</v>
      </c>
      <c r="L18" s="99">
        <v>-472</v>
      </c>
      <c r="N18" s="115" t="s">
        <v>171</v>
      </c>
      <c r="O18" s="125">
        <f>IF(P18=0,0,Q18/P18)</f>
        <v>-46.55</v>
      </c>
      <c r="P18" s="119">
        <v>8</v>
      </c>
      <c r="Q18" s="107">
        <v>-372.4</v>
      </c>
    </row>
    <row r="19" spans="1:17" x14ac:dyDescent="0.4">
      <c r="A19" s="55" t="s">
        <v>11</v>
      </c>
      <c r="B19" s="47">
        <v>31</v>
      </c>
      <c r="C19" s="39">
        <f>IF(B$17=0,0,B19/B$17)</f>
        <v>0.5</v>
      </c>
      <c r="E19" s="63" t="s">
        <v>88</v>
      </c>
      <c r="F19" s="60" t="s">
        <v>43</v>
      </c>
      <c r="G19" s="47">
        <v>1</v>
      </c>
      <c r="H19" s="133">
        <f>IF(B$17=0,0,G19/B$17)</f>
        <v>1.6129032258064516E-2</v>
      </c>
      <c r="I19" s="94">
        <v>1</v>
      </c>
      <c r="K19" s="38">
        <v>17</v>
      </c>
      <c r="L19" s="99">
        <v>-538.29999999999995</v>
      </c>
      <c r="N19" s="115" t="s">
        <v>127</v>
      </c>
      <c r="O19" s="125">
        <f>IF(P19=0,0,Q19/P19)</f>
        <v>-55.327272727272749</v>
      </c>
      <c r="P19" s="119">
        <v>22</v>
      </c>
      <c r="Q19" s="107">
        <v>-1217.2000000000005</v>
      </c>
    </row>
    <row r="20" spans="1:17" x14ac:dyDescent="0.4">
      <c r="A20" s="55" t="s">
        <v>13</v>
      </c>
      <c r="B20" s="47">
        <v>56</v>
      </c>
      <c r="C20" s="39">
        <f>IF(B$3=0,0,B20/B$3)</f>
        <v>0.19178082191780821</v>
      </c>
      <c r="E20" s="63" t="s">
        <v>89</v>
      </c>
      <c r="F20" s="60" t="s">
        <v>44</v>
      </c>
      <c r="G20" s="47">
        <v>1</v>
      </c>
      <c r="H20" s="133">
        <f>IF(B$17=0,0,G20/B$17)</f>
        <v>1.6129032258064516E-2</v>
      </c>
      <c r="I20" s="94">
        <v>1</v>
      </c>
      <c r="K20" s="38">
        <v>18</v>
      </c>
      <c r="L20" s="99">
        <v>-537.19999999999993</v>
      </c>
      <c r="N20" s="115" t="s">
        <v>186</v>
      </c>
      <c r="O20" s="125">
        <f>IF(P20=0,0,Q20/P20)</f>
        <v>-72.3</v>
      </c>
      <c r="P20" s="119">
        <v>1</v>
      </c>
      <c r="Q20" s="107">
        <v>-72.3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94</v>
      </c>
      <c r="F21" s="60" t="s">
        <v>49</v>
      </c>
      <c r="G21" s="47">
        <v>1</v>
      </c>
      <c r="H21" s="133">
        <f>IF(B$17=0,0,G21/B$17)</f>
        <v>1.6129032258064516E-2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-80.185714285714283</v>
      </c>
      <c r="P21" s="119">
        <v>7</v>
      </c>
      <c r="Q21" s="107">
        <v>-561.29999999999995</v>
      </c>
    </row>
    <row r="22" spans="1:17" x14ac:dyDescent="0.4">
      <c r="A22" s="55" t="s">
        <v>194</v>
      </c>
      <c r="B22" s="47">
        <v>31</v>
      </c>
      <c r="C22" s="135">
        <v>3</v>
      </c>
      <c r="E22" s="63" t="s">
        <v>74</v>
      </c>
      <c r="F22" s="60" t="s">
        <v>29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-632.99999999999989</v>
      </c>
    </row>
    <row r="23" spans="1:17" x14ac:dyDescent="0.4">
      <c r="A23" s="55" t="s">
        <v>5</v>
      </c>
      <c r="B23" s="51">
        <f>IF(B$17=0,0,C23/B$17)</f>
        <v>8551.6129032258068</v>
      </c>
      <c r="C23" s="41">
        <v>530200</v>
      </c>
      <c r="E23" s="63" t="s">
        <v>75</v>
      </c>
      <c r="F23" s="60" t="s">
        <v>30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-9875</v>
      </c>
      <c r="C24" s="45">
        <v>-553000</v>
      </c>
      <c r="E24" s="63" t="s">
        <v>76</v>
      </c>
      <c r="F24" s="60" t="s">
        <v>31</v>
      </c>
      <c r="G24" s="47">
        <v>0</v>
      </c>
      <c r="H24" s="133">
        <f>IF(B$17=0,0,G24/B$17)</f>
        <v>0</v>
      </c>
      <c r="I24" s="94">
        <v>7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77</v>
      </c>
      <c r="F25" s="60" t="s">
        <v>32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3.4246575342465752E-3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-876.19999999999993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-837.69999999999993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-877.19999999999993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-832.19999999999993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-814.59999999999991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-782.49999999999989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41685-D4AB-412F-AB16-5E6ABA1E412C}">
  <sheetPr codeName="Sheet1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45</v>
      </c>
      <c r="C2" s="147"/>
      <c r="E2" s="62" t="s">
        <v>67</v>
      </c>
      <c r="F2" s="59" t="s">
        <v>23</v>
      </c>
      <c r="G2" s="46">
        <v>72</v>
      </c>
      <c r="H2" s="132">
        <f>IF(B$17=0,0,G2/B$17)</f>
        <v>0.77419354838709675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-371.11111111111109</v>
      </c>
      <c r="P2" s="118">
        <v>45</v>
      </c>
      <c r="Q2" s="102">
        <v>-16700</v>
      </c>
    </row>
    <row r="3" spans="1:17" x14ac:dyDescent="0.4">
      <c r="A3" s="55" t="s">
        <v>8</v>
      </c>
      <c r="B3" s="148">
        <v>371</v>
      </c>
      <c r="C3" s="149"/>
      <c r="E3" s="63" t="s">
        <v>65</v>
      </c>
      <c r="F3" s="60" t="s">
        <v>21</v>
      </c>
      <c r="G3" s="47">
        <v>52</v>
      </c>
      <c r="H3" s="133">
        <f>IF(B$17=0,0,G3/B$17)</f>
        <v>0.55913978494623651</v>
      </c>
      <c r="I3" s="94">
        <v>5</v>
      </c>
      <c r="K3" s="38">
        <v>1</v>
      </c>
      <c r="L3" s="99">
        <v>-51.2</v>
      </c>
      <c r="N3" s="115" t="s">
        <v>133</v>
      </c>
      <c r="O3" s="122">
        <f t="shared" si="0"/>
        <v>606.66666666666663</v>
      </c>
      <c r="P3" s="119">
        <v>45</v>
      </c>
      <c r="Q3" s="103">
        <v>27300</v>
      </c>
    </row>
    <row r="4" spans="1:17" x14ac:dyDescent="0.4">
      <c r="A4" s="55" t="s">
        <v>6</v>
      </c>
      <c r="B4" s="150">
        <v>-32.5</v>
      </c>
      <c r="C4" s="151"/>
      <c r="E4" s="63" t="s">
        <v>73</v>
      </c>
      <c r="F4" s="60" t="s">
        <v>28</v>
      </c>
      <c r="G4" s="47">
        <v>46</v>
      </c>
      <c r="H4" s="133">
        <f>IF(B$17=0,0,G4/B$17)</f>
        <v>0.4946236559139785</v>
      </c>
      <c r="I4" s="94">
        <v>9</v>
      </c>
      <c r="K4" s="38">
        <v>2</v>
      </c>
      <c r="L4" s="99">
        <v>-93.300000000000011</v>
      </c>
      <c r="N4" s="115" t="s">
        <v>134</v>
      </c>
      <c r="O4" s="122">
        <f t="shared" si="0"/>
        <v>506.97674418604652</v>
      </c>
      <c r="P4" s="119">
        <v>43</v>
      </c>
      <c r="Q4" s="103">
        <v>21800</v>
      </c>
    </row>
    <row r="5" spans="1:17" x14ac:dyDescent="0.4">
      <c r="A5" s="55" t="s">
        <v>7</v>
      </c>
      <c r="B5" s="152">
        <f>IF(B$2=0,0,B$4/B$2)</f>
        <v>-0.72222222222222221</v>
      </c>
      <c r="C5" s="153"/>
      <c r="E5" s="63" t="s">
        <v>68</v>
      </c>
      <c r="F5" s="60" t="s">
        <v>24</v>
      </c>
      <c r="G5" s="47">
        <v>29</v>
      </c>
      <c r="H5" s="133">
        <f>IF(B$17=0,0,G5/B$17)</f>
        <v>0.31182795698924731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0"/>
        <v>1351.3513513513512</v>
      </c>
      <c r="P5" s="119">
        <v>37</v>
      </c>
      <c r="Q5" s="103">
        <v>50000</v>
      </c>
    </row>
    <row r="6" spans="1:17" x14ac:dyDescent="0.4">
      <c r="A6" s="55" t="s">
        <v>1</v>
      </c>
      <c r="B6" s="142">
        <f>IF(B$2=0,0,(B$7*1+B$8*2+B$9*3)/B$2)</f>
        <v>2.088888888888889</v>
      </c>
      <c r="C6" s="143"/>
      <c r="E6" s="63" t="s">
        <v>181</v>
      </c>
      <c r="F6" s="60" t="s">
        <v>182</v>
      </c>
      <c r="G6" s="47">
        <v>28</v>
      </c>
      <c r="H6" s="133">
        <f>IF(B$17=0,0,G6/B$17)</f>
        <v>0.30107526881720431</v>
      </c>
      <c r="I6" s="94">
        <v>10</v>
      </c>
      <c r="K6" s="38">
        <v>4</v>
      </c>
      <c r="L6" s="99">
        <v>-11.300000000000011</v>
      </c>
      <c r="N6" s="115" t="s">
        <v>136</v>
      </c>
      <c r="O6" s="122">
        <f t="shared" si="0"/>
        <v>-1014.7058823529412</v>
      </c>
      <c r="P6" s="119">
        <v>34</v>
      </c>
      <c r="Q6" s="103">
        <v>-34500</v>
      </c>
    </row>
    <row r="7" spans="1:17" x14ac:dyDescent="0.4">
      <c r="A7" s="55" t="s">
        <v>2</v>
      </c>
      <c r="B7" s="47">
        <v>12</v>
      </c>
      <c r="C7" s="39">
        <f>IF(B$2=0,0,B7/B$2)</f>
        <v>0.26666666666666666</v>
      </c>
      <c r="E7" s="63" t="s">
        <v>69</v>
      </c>
      <c r="F7" s="60" t="s">
        <v>12</v>
      </c>
      <c r="G7" s="47">
        <v>24</v>
      </c>
      <c r="H7" s="133">
        <f>IF(B$17=0,0,G7/B$17)</f>
        <v>0.25806451612903225</v>
      </c>
      <c r="I7" s="94">
        <v>8</v>
      </c>
      <c r="K7" s="38">
        <v>5</v>
      </c>
      <c r="L7" s="99">
        <v>-36.100000000000009</v>
      </c>
      <c r="N7" s="116" t="s">
        <v>137</v>
      </c>
      <c r="O7" s="123">
        <f t="shared" si="0"/>
        <v>237.5</v>
      </c>
      <c r="P7" s="120">
        <v>32</v>
      </c>
      <c r="Q7" s="104">
        <v>7600</v>
      </c>
    </row>
    <row r="8" spans="1:17" x14ac:dyDescent="0.4">
      <c r="A8" s="55" t="s">
        <v>3</v>
      </c>
      <c r="B8" s="47">
        <v>17</v>
      </c>
      <c r="C8" s="39">
        <f>IF(B$2=0,0,B8/B$2)</f>
        <v>0.37777777777777777</v>
      </c>
      <c r="E8" s="63" t="s">
        <v>70</v>
      </c>
      <c r="F8" s="60" t="s">
        <v>25</v>
      </c>
      <c r="G8" s="47">
        <v>20</v>
      </c>
      <c r="H8" s="133">
        <f>IF(B$17=0,0,G8/B$17)</f>
        <v>0.21505376344086022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0.35555555555555557</v>
      </c>
      <c r="E9" s="63" t="s">
        <v>66</v>
      </c>
      <c r="F9" s="60" t="s">
        <v>22</v>
      </c>
      <c r="G9" s="47">
        <v>14</v>
      </c>
      <c r="H9" s="133">
        <f>IF(B$17=0,0,G9/B$17)</f>
        <v>0.15053763440860216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2.2222222222222223E-2</v>
      </c>
      <c r="E10" s="63" t="s">
        <v>90</v>
      </c>
      <c r="F10" s="60" t="s">
        <v>45</v>
      </c>
      <c r="G10" s="47">
        <v>13</v>
      </c>
      <c r="H10" s="133">
        <f>IF(B$17=0,0,G10/B$17)</f>
        <v>0.13978494623655913</v>
      </c>
      <c r="I10" s="94">
        <v>5</v>
      </c>
      <c r="K10" s="38">
        <v>8</v>
      </c>
      <c r="L10" s="99">
        <v>-1.7000000000000028</v>
      </c>
      <c r="N10" s="114" t="s">
        <v>164</v>
      </c>
      <c r="O10" s="124">
        <f>IF(P10=0,0,Q10/P10)</f>
        <v>12.188888888888888</v>
      </c>
      <c r="P10" s="118">
        <v>9</v>
      </c>
      <c r="Q10" s="106">
        <v>109.69999999999999</v>
      </c>
    </row>
    <row r="11" spans="1:17" x14ac:dyDescent="0.4">
      <c r="A11" s="56" t="s">
        <v>140</v>
      </c>
      <c r="B11" s="48">
        <v>6</v>
      </c>
      <c r="C11" s="40">
        <f>IF(B$2=0,0,B11/B$2)</f>
        <v>0.13333333333333333</v>
      </c>
      <c r="E11" s="63" t="s">
        <v>71</v>
      </c>
      <c r="F11" s="60" t="s">
        <v>26</v>
      </c>
      <c r="G11" s="47">
        <v>11</v>
      </c>
      <c r="H11" s="133">
        <f>IF(B$17=0,0,G11/B$17)</f>
        <v>0.11827956989247312</v>
      </c>
      <c r="I11" s="94">
        <v>3</v>
      </c>
      <c r="K11" s="38">
        <v>9</v>
      </c>
      <c r="L11" s="99">
        <v>-5.8000000000000025</v>
      </c>
      <c r="N11" s="115" t="s">
        <v>165</v>
      </c>
      <c r="O11" s="125">
        <f>IF(P11=0,0,Q11/P11)</f>
        <v>-5.1499999999999986</v>
      </c>
      <c r="P11" s="119">
        <v>20</v>
      </c>
      <c r="Q11" s="107">
        <v>-102.99999999999997</v>
      </c>
    </row>
    <row r="12" spans="1:17" x14ac:dyDescent="0.4">
      <c r="A12" s="57" t="s">
        <v>160</v>
      </c>
      <c r="B12" s="49">
        <v>4</v>
      </c>
      <c r="C12" s="42">
        <f>IF(B$2=0,0,B12/B$2)</f>
        <v>8.8888888888888892E-2</v>
      </c>
      <c r="E12" s="63" t="s">
        <v>87</v>
      </c>
      <c r="F12" s="60" t="s">
        <v>42</v>
      </c>
      <c r="G12" s="47">
        <v>8</v>
      </c>
      <c r="H12" s="133">
        <f>IF(B$17=0,0,G12/B$17)</f>
        <v>8.6021505376344093E-2</v>
      </c>
      <c r="I12" s="94">
        <v>3</v>
      </c>
      <c r="K12" s="38">
        <v>10</v>
      </c>
      <c r="L12" s="99">
        <v>-56.500000000000007</v>
      </c>
      <c r="N12" s="116" t="s">
        <v>166</v>
      </c>
      <c r="O12" s="126">
        <f>IF(P12=0,0,Q12/P12)</f>
        <v>-2.4500000000000002</v>
      </c>
      <c r="P12" s="120">
        <v>16</v>
      </c>
      <c r="Q12" s="108">
        <v>-39.200000000000003</v>
      </c>
    </row>
    <row r="13" spans="1:17" x14ac:dyDescent="0.4">
      <c r="A13" s="58" t="s">
        <v>122</v>
      </c>
      <c r="B13" s="50">
        <v>97</v>
      </c>
      <c r="C13" s="44">
        <f>IF(B$3=0,0,B13/B$3)</f>
        <v>0.26145552560646901</v>
      </c>
      <c r="E13" s="63" t="s">
        <v>72</v>
      </c>
      <c r="F13" s="60" t="s">
        <v>27</v>
      </c>
      <c r="G13" s="47">
        <v>7</v>
      </c>
      <c r="H13" s="133">
        <f>IF(B$17=0,0,G13/B$17)</f>
        <v>7.5268817204301078E-2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60</v>
      </c>
      <c r="C14" s="39">
        <f>IF(B$3=0,0,B14/B$3)</f>
        <v>0.16172506738544473</v>
      </c>
      <c r="E14" s="63" t="s">
        <v>84</v>
      </c>
      <c r="F14" s="60" t="s">
        <v>39</v>
      </c>
      <c r="G14" s="47">
        <v>5</v>
      </c>
      <c r="H14" s="133">
        <f>IF(B$17=0,0,G14/B$17)</f>
        <v>5.3763440860215055E-2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56</v>
      </c>
      <c r="C15" s="37">
        <f>IF(B$13=0,0,B15/B$13)</f>
        <v>0.57731958762886593</v>
      </c>
      <c r="E15" s="63" t="s">
        <v>79</v>
      </c>
      <c r="F15" s="60" t="s">
        <v>34</v>
      </c>
      <c r="G15" s="47">
        <v>3</v>
      </c>
      <c r="H15" s="133">
        <f>IF(B$17=0,0,G15/B$17)</f>
        <v>3.2258064516129031E-2</v>
      </c>
      <c r="I15" s="94">
        <v>2</v>
      </c>
      <c r="K15" s="38">
        <v>13</v>
      </c>
      <c r="L15" s="99">
        <v>-58.7</v>
      </c>
      <c r="N15" s="114" t="s">
        <v>129</v>
      </c>
      <c r="O15" s="124">
        <f>IF(P15=0,0,Q15/P15)</f>
        <v>46.55</v>
      </c>
      <c r="P15" s="118">
        <v>8</v>
      </c>
      <c r="Q15" s="106">
        <v>372.4</v>
      </c>
    </row>
    <row r="16" spans="1:17" x14ac:dyDescent="0.4">
      <c r="A16" s="54" t="s">
        <v>125</v>
      </c>
      <c r="B16" s="46">
        <v>20</v>
      </c>
      <c r="C16" s="37">
        <f>IF(B$14=0,0,B16/B$14)</f>
        <v>0.33333333333333331</v>
      </c>
      <c r="E16" s="63" t="s">
        <v>82</v>
      </c>
      <c r="F16" s="60" t="s">
        <v>37</v>
      </c>
      <c r="G16" s="47">
        <v>3</v>
      </c>
      <c r="H16" s="133">
        <f>IF(B$17=0,0,G16/B$17)</f>
        <v>3.2258064516129031E-2</v>
      </c>
      <c r="I16" s="94">
        <v>4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93</v>
      </c>
      <c r="C17" s="37">
        <f>IF(B$3=0,0,B17/B$3)</f>
        <v>0.25067385444743934</v>
      </c>
      <c r="E17" s="63" t="s">
        <v>76</v>
      </c>
      <c r="F17" s="60" t="s">
        <v>31</v>
      </c>
      <c r="G17" s="47">
        <v>2</v>
      </c>
      <c r="H17" s="133">
        <f>IF(B$17=0,0,G17/B$17)</f>
        <v>2.1505376344086023E-2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13.35</v>
      </c>
      <c r="P17" s="119">
        <v>14</v>
      </c>
      <c r="Q17" s="107">
        <v>186.9</v>
      </c>
    </row>
    <row r="18" spans="1:17" x14ac:dyDescent="0.4">
      <c r="A18" s="55" t="s">
        <v>12</v>
      </c>
      <c r="B18" s="47">
        <v>33</v>
      </c>
      <c r="C18" s="39">
        <f>IF(B$17=0,0,B18/B$17)</f>
        <v>0.35483870967741937</v>
      </c>
      <c r="E18" s="63" t="s">
        <v>93</v>
      </c>
      <c r="F18" s="60" t="s">
        <v>48</v>
      </c>
      <c r="G18" s="47">
        <v>2</v>
      </c>
      <c r="H18" s="133">
        <f>IF(B$17=0,0,G18/B$17)</f>
        <v>2.1505376344086023E-2</v>
      </c>
      <c r="I18" s="94">
        <v>1</v>
      </c>
      <c r="K18" s="38">
        <v>16</v>
      </c>
      <c r="L18" s="99">
        <v>-50.3</v>
      </c>
      <c r="N18" s="115" t="s">
        <v>128</v>
      </c>
      <c r="O18" s="125">
        <f>IF(P18=0,0,Q18/P18)</f>
        <v>2.3999999999992239E-2</v>
      </c>
      <c r="P18" s="119">
        <v>25</v>
      </c>
      <c r="Q18" s="107">
        <v>0.59999999999980602</v>
      </c>
    </row>
    <row r="19" spans="1:17" x14ac:dyDescent="0.4">
      <c r="A19" s="55" t="s">
        <v>11</v>
      </c>
      <c r="B19" s="47">
        <v>60</v>
      </c>
      <c r="C19" s="39">
        <f>IF(B$17=0,0,B19/B$17)</f>
        <v>0.64516129032258063</v>
      </c>
      <c r="E19" s="63" t="s">
        <v>180</v>
      </c>
      <c r="F19" s="60" t="s">
        <v>183</v>
      </c>
      <c r="G19" s="47">
        <v>2</v>
      </c>
      <c r="H19" s="133">
        <f>IF(B$17=0,0,G19/B$17)</f>
        <v>2.1505376344086023E-2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-3.9363636363636374</v>
      </c>
      <c r="P19" s="119">
        <v>11</v>
      </c>
      <c r="Q19" s="107">
        <v>-43.300000000000011</v>
      </c>
    </row>
    <row r="20" spans="1:17" x14ac:dyDescent="0.4">
      <c r="A20" s="55" t="s">
        <v>13</v>
      </c>
      <c r="B20" s="47">
        <v>58</v>
      </c>
      <c r="C20" s="39">
        <f>IF(B$3=0,0,B20/B$3)</f>
        <v>0.15633423180592992</v>
      </c>
      <c r="E20" s="63" t="s">
        <v>88</v>
      </c>
      <c r="F20" s="60" t="s">
        <v>43</v>
      </c>
      <c r="G20" s="47">
        <v>1</v>
      </c>
      <c r="H20" s="133">
        <f>IF(B$17=0,0,G20/B$17)</f>
        <v>1.0752688172043012E-2</v>
      </c>
      <c r="I20" s="94">
        <v>2</v>
      </c>
      <c r="K20" s="38">
        <v>18</v>
      </c>
      <c r="L20" s="99">
        <v>-76.099999999999994</v>
      </c>
      <c r="N20" s="115" t="s">
        <v>177</v>
      </c>
      <c r="O20" s="125">
        <f>IF(P20=0,0,Q20/P20)</f>
        <v>-12.149999999999999</v>
      </c>
      <c r="P20" s="119">
        <v>2</v>
      </c>
      <c r="Q20" s="107">
        <v>-24.299999999999997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74</v>
      </c>
      <c r="F21" s="60" t="s">
        <v>29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0.60000000000000853</v>
      </c>
      <c r="N21" s="115" t="s">
        <v>127</v>
      </c>
      <c r="O21" s="125">
        <f>IF(P21=0,0,Q21/P21)</f>
        <v>-20.638461538461534</v>
      </c>
      <c r="P21" s="119">
        <v>26</v>
      </c>
      <c r="Q21" s="107">
        <v>-536.59999999999991</v>
      </c>
    </row>
    <row r="22" spans="1:17" x14ac:dyDescent="0.4">
      <c r="A22" s="55" t="s">
        <v>194</v>
      </c>
      <c r="B22" s="47">
        <v>20</v>
      </c>
      <c r="C22" s="135">
        <v>2</v>
      </c>
      <c r="E22" s="63" t="s">
        <v>75</v>
      </c>
      <c r="F22" s="60" t="s">
        <v>30</v>
      </c>
      <c r="G22" s="47">
        <v>0</v>
      </c>
      <c r="H22" s="133">
        <f>IF(B$17=0,0,G22/B$17)</f>
        <v>0</v>
      </c>
      <c r="I22" s="94">
        <v>3</v>
      </c>
      <c r="K22" s="38">
        <v>20</v>
      </c>
      <c r="L22" s="99">
        <v>-3.5999999999999917</v>
      </c>
      <c r="N22" s="115" t="s">
        <v>202</v>
      </c>
      <c r="O22" s="125">
        <f>IF(P22=0,0,Q22/P22)</f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9264.5161290322576</v>
      </c>
      <c r="C23" s="41">
        <v>861600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-3.0999999999999917</v>
      </c>
    </row>
    <row r="24" spans="1:17" x14ac:dyDescent="0.4">
      <c r="A24" s="57" t="s">
        <v>14</v>
      </c>
      <c r="B24" s="52">
        <f>IF(B$20=0,0,C24/B$20)</f>
        <v>-7098.2758620689656</v>
      </c>
      <c r="C24" s="45">
        <v>-411700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7</v>
      </c>
      <c r="C25" s="141"/>
      <c r="E25" s="63" t="s">
        <v>80</v>
      </c>
      <c r="F25" s="60" t="s">
        <v>35</v>
      </c>
      <c r="G25" s="47">
        <v>0</v>
      </c>
      <c r="H25" s="133">
        <f>IF(B$17=0,0,G25/B$17)</f>
        <v>0</v>
      </c>
      <c r="I25" s="94">
        <v>8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81</v>
      </c>
      <c r="F26" s="60" t="s">
        <v>36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2.6954177897574125E-3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-116.49999999999999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-121.79999999999998</v>
      </c>
    </row>
    <row r="32" spans="1:17" x14ac:dyDescent="0.4">
      <c r="E32" s="63" t="s">
        <v>92</v>
      </c>
      <c r="F32" s="60" t="s">
        <v>47</v>
      </c>
      <c r="G32" s="47">
        <v>0</v>
      </c>
      <c r="H32" s="133">
        <f>IF(B$17=0,0,G32/B$17)</f>
        <v>0</v>
      </c>
      <c r="I32" s="94">
        <v>7</v>
      </c>
      <c r="K32" s="38">
        <v>30</v>
      </c>
      <c r="L32" s="99">
        <v>-156.19999999999999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15BAC-757C-4355-AF4D-04C773C08BFD}">
  <sheetPr codeName="Sheet1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38</v>
      </c>
      <c r="C2" s="147"/>
      <c r="E2" s="62" t="s">
        <v>67</v>
      </c>
      <c r="F2" s="59" t="s">
        <v>23</v>
      </c>
      <c r="G2" s="46">
        <v>86</v>
      </c>
      <c r="H2" s="132">
        <f>IF(B$17=0,0,G2/B$17)</f>
        <v>0.7350427350427351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1742.1052631578948</v>
      </c>
      <c r="P2" s="118">
        <v>38</v>
      </c>
      <c r="Q2" s="102">
        <v>66200</v>
      </c>
    </row>
    <row r="3" spans="1:17" x14ac:dyDescent="0.4">
      <c r="A3" s="55" t="s">
        <v>8</v>
      </c>
      <c r="B3" s="148">
        <v>324</v>
      </c>
      <c r="C3" s="149"/>
      <c r="E3" s="63" t="s">
        <v>73</v>
      </c>
      <c r="F3" s="60" t="s">
        <v>28</v>
      </c>
      <c r="G3" s="47">
        <v>71</v>
      </c>
      <c r="H3" s="133">
        <f>IF(B$17=0,0,G3/B$17)</f>
        <v>0.60683760683760679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113.15789473684211</v>
      </c>
      <c r="P3" s="119">
        <v>38</v>
      </c>
      <c r="Q3" s="103">
        <v>4300</v>
      </c>
    </row>
    <row r="4" spans="1:17" x14ac:dyDescent="0.4">
      <c r="A4" s="55" t="s">
        <v>6</v>
      </c>
      <c r="B4" s="150">
        <v>32.100000000000009</v>
      </c>
      <c r="C4" s="151"/>
      <c r="E4" s="63" t="s">
        <v>65</v>
      </c>
      <c r="F4" s="60" t="s">
        <v>21</v>
      </c>
      <c r="G4" s="47">
        <v>43</v>
      </c>
      <c r="H4" s="133">
        <f>IF(B$17=0,0,G4/B$17)</f>
        <v>0.36752136752136755</v>
      </c>
      <c r="I4" s="94">
        <v>11</v>
      </c>
      <c r="K4" s="38">
        <v>2</v>
      </c>
      <c r="L4" s="99">
        <v>-7.7000000000000011</v>
      </c>
      <c r="N4" s="115" t="s">
        <v>134</v>
      </c>
      <c r="O4" s="122">
        <f t="shared" si="0"/>
        <v>112.12121212121212</v>
      </c>
      <c r="P4" s="119">
        <v>33</v>
      </c>
      <c r="Q4" s="103">
        <v>3700</v>
      </c>
    </row>
    <row r="5" spans="1:17" x14ac:dyDescent="0.4">
      <c r="A5" s="55" t="s">
        <v>7</v>
      </c>
      <c r="B5" s="152">
        <f>IF(B$2=0,0,B$4/B$2)</f>
        <v>0.84473684210526334</v>
      </c>
      <c r="C5" s="153"/>
      <c r="E5" s="63" t="s">
        <v>181</v>
      </c>
      <c r="F5" s="60" t="s">
        <v>182</v>
      </c>
      <c r="G5" s="47">
        <v>42</v>
      </c>
      <c r="H5" s="133">
        <f>IF(B$17=0,0,G5/B$17)</f>
        <v>0.35897435897435898</v>
      </c>
      <c r="I5" s="94">
        <v>7</v>
      </c>
      <c r="K5" s="38">
        <v>3</v>
      </c>
      <c r="L5" s="99">
        <v>1.7999999999999989</v>
      </c>
      <c r="N5" s="115" t="s">
        <v>135</v>
      </c>
      <c r="O5" s="122">
        <f t="shared" si="0"/>
        <v>1474.1935483870968</v>
      </c>
      <c r="P5" s="119">
        <v>31</v>
      </c>
      <c r="Q5" s="103">
        <v>45700</v>
      </c>
    </row>
    <row r="6" spans="1:17" x14ac:dyDescent="0.4">
      <c r="A6" s="55" t="s">
        <v>1</v>
      </c>
      <c r="B6" s="142">
        <f>IF(B$2=0,0,(B$7*1+B$8*2+B$9*3)/B$2)</f>
        <v>2.0789473684210527</v>
      </c>
      <c r="C6" s="143"/>
      <c r="E6" s="63" t="s">
        <v>69</v>
      </c>
      <c r="F6" s="60" t="s">
        <v>12</v>
      </c>
      <c r="G6" s="47">
        <v>33</v>
      </c>
      <c r="H6" s="133">
        <f>IF(B$17=0,0,G6/B$17)</f>
        <v>0.28205128205128205</v>
      </c>
      <c r="I6" s="94">
        <v>6</v>
      </c>
      <c r="K6" s="38">
        <v>4</v>
      </c>
      <c r="L6" s="99">
        <v>34.9</v>
      </c>
      <c r="N6" s="115" t="s">
        <v>136</v>
      </c>
      <c r="O6" s="122">
        <f t="shared" si="0"/>
        <v>-1126.6666666666667</v>
      </c>
      <c r="P6" s="119">
        <v>30</v>
      </c>
      <c r="Q6" s="103">
        <v>-33800</v>
      </c>
    </row>
    <row r="7" spans="1:17" x14ac:dyDescent="0.4">
      <c r="A7" s="55" t="s">
        <v>2</v>
      </c>
      <c r="B7" s="47">
        <v>11</v>
      </c>
      <c r="C7" s="39">
        <f>IF(B$2=0,0,B7/B$2)</f>
        <v>0.28947368421052633</v>
      </c>
      <c r="E7" s="63" t="s">
        <v>68</v>
      </c>
      <c r="F7" s="60" t="s">
        <v>24</v>
      </c>
      <c r="G7" s="47">
        <v>23</v>
      </c>
      <c r="H7" s="133">
        <f>IF(B$17=0,0,G7/B$17)</f>
        <v>0.19658119658119658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-1781.4814814814815</v>
      </c>
      <c r="P7" s="120">
        <v>27</v>
      </c>
      <c r="Q7" s="104">
        <v>-48100</v>
      </c>
    </row>
    <row r="8" spans="1:17" x14ac:dyDescent="0.4">
      <c r="A8" s="55" t="s">
        <v>3</v>
      </c>
      <c r="B8" s="47">
        <v>13</v>
      </c>
      <c r="C8" s="39">
        <f>IF(B$2=0,0,B8/B$2)</f>
        <v>0.34210526315789475</v>
      </c>
      <c r="E8" s="63" t="s">
        <v>70</v>
      </c>
      <c r="F8" s="60" t="s">
        <v>25</v>
      </c>
      <c r="G8" s="47">
        <v>16</v>
      </c>
      <c r="H8" s="133">
        <f>IF(B$17=0,0,G8/B$17)</f>
        <v>0.13675213675213677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14</v>
      </c>
      <c r="C9" s="40">
        <f t="shared" ref="C9" si="1">IF(B$2=0,0,B9/B$2)</f>
        <v>0.36842105263157893</v>
      </c>
      <c r="E9" s="63" t="s">
        <v>66</v>
      </c>
      <c r="F9" s="60" t="s">
        <v>22</v>
      </c>
      <c r="G9" s="47">
        <v>11</v>
      </c>
      <c r="H9" s="133">
        <f>IF(B$17=0,0,G9/B$17)</f>
        <v>9.4017094017094016E-2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5.2631578947368418E-2</v>
      </c>
      <c r="E10" s="63" t="s">
        <v>90</v>
      </c>
      <c r="F10" s="60" t="s">
        <v>45</v>
      </c>
      <c r="G10" s="47">
        <v>9</v>
      </c>
      <c r="H10" s="133">
        <f>IF(B$17=0,0,G10/B$17)</f>
        <v>7.6923076923076927E-2</v>
      </c>
      <c r="I10" s="94">
        <v>11</v>
      </c>
      <c r="K10" s="38">
        <v>8</v>
      </c>
      <c r="L10" s="99">
        <v>-29.5</v>
      </c>
      <c r="N10" s="114" t="s">
        <v>164</v>
      </c>
      <c r="O10" s="124">
        <f>IF(P10=0,0,Q10/P10)</f>
        <v>-11.884615384615387</v>
      </c>
      <c r="P10" s="118">
        <v>13</v>
      </c>
      <c r="Q10" s="106">
        <v>-154.50000000000003</v>
      </c>
    </row>
    <row r="11" spans="1:17" x14ac:dyDescent="0.4">
      <c r="A11" s="56" t="s">
        <v>140</v>
      </c>
      <c r="B11" s="48">
        <v>5</v>
      </c>
      <c r="C11" s="40">
        <f>IF(B$2=0,0,B11/B$2)</f>
        <v>0.13157894736842105</v>
      </c>
      <c r="E11" s="63" t="s">
        <v>71</v>
      </c>
      <c r="F11" s="60" t="s">
        <v>26</v>
      </c>
      <c r="G11" s="47">
        <v>8</v>
      </c>
      <c r="H11" s="133">
        <f>IF(B$17=0,0,G11/B$17)</f>
        <v>6.8376068376068383E-2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16.169999999999998</v>
      </c>
      <c r="P11" s="119">
        <v>10</v>
      </c>
      <c r="Q11" s="107">
        <v>161.69999999999999</v>
      </c>
    </row>
    <row r="12" spans="1:17" x14ac:dyDescent="0.4">
      <c r="A12" s="57" t="s">
        <v>160</v>
      </c>
      <c r="B12" s="49">
        <v>2</v>
      </c>
      <c r="C12" s="42">
        <f>IF(B$2=0,0,B12/B$2)</f>
        <v>5.2631578947368418E-2</v>
      </c>
      <c r="E12" s="63" t="s">
        <v>84</v>
      </c>
      <c r="F12" s="60" t="s">
        <v>39</v>
      </c>
      <c r="G12" s="47">
        <v>7</v>
      </c>
      <c r="H12" s="133">
        <f>IF(B$17=0,0,G12/B$17)</f>
        <v>5.9829059829059832E-2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1.6600000000000004</v>
      </c>
      <c r="P12" s="120">
        <v>15</v>
      </c>
      <c r="Q12" s="108">
        <v>24.900000000000006</v>
      </c>
    </row>
    <row r="13" spans="1:17" x14ac:dyDescent="0.4">
      <c r="A13" s="58" t="s">
        <v>122</v>
      </c>
      <c r="B13" s="50">
        <v>75</v>
      </c>
      <c r="C13" s="44">
        <f>IF(B$3=0,0,B13/B$3)</f>
        <v>0.23148148148148148</v>
      </c>
      <c r="E13" s="63" t="s">
        <v>87</v>
      </c>
      <c r="F13" s="60" t="s">
        <v>42</v>
      </c>
      <c r="G13" s="47">
        <v>6</v>
      </c>
      <c r="H13" s="133">
        <f>IF(B$17=0,0,G13/B$17)</f>
        <v>5.128205128205128E-2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0.30246913580246915</v>
      </c>
      <c r="E14" s="63" t="s">
        <v>82</v>
      </c>
      <c r="F14" s="60" t="s">
        <v>37</v>
      </c>
      <c r="G14" s="47">
        <v>5</v>
      </c>
      <c r="H14" s="133">
        <f>IF(B$17=0,0,G14/B$17)</f>
        <v>4.2735042735042736E-2</v>
      </c>
      <c r="I14" s="94">
        <v>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44</v>
      </c>
      <c r="C15" s="37">
        <f>IF(B$13=0,0,B15/B$13)</f>
        <v>0.58666666666666667</v>
      </c>
      <c r="E15" s="63" t="s">
        <v>72</v>
      </c>
      <c r="F15" s="60" t="s">
        <v>27</v>
      </c>
      <c r="G15" s="47">
        <v>4</v>
      </c>
      <c r="H15" s="133">
        <f>IF(B$17=0,0,G15/B$17)</f>
        <v>3.4188034188034191E-2</v>
      </c>
      <c r="I15" s="94">
        <v>8</v>
      </c>
      <c r="K15" s="38">
        <v>13</v>
      </c>
      <c r="L15" s="99">
        <v>-3</v>
      </c>
      <c r="N15" s="114" t="s">
        <v>129</v>
      </c>
      <c r="O15" s="124">
        <f>IF(P15=0,0,Q15/P15)</f>
        <v>80.185714285714283</v>
      </c>
      <c r="P15" s="118">
        <v>7</v>
      </c>
      <c r="Q15" s="106">
        <v>561.29999999999995</v>
      </c>
    </row>
    <row r="16" spans="1:17" x14ac:dyDescent="0.4">
      <c r="A16" s="54" t="s">
        <v>125</v>
      </c>
      <c r="B16" s="46">
        <v>41</v>
      </c>
      <c r="C16" s="37">
        <f>IF(B$14=0,0,B16/B$14)</f>
        <v>0.41836734693877553</v>
      </c>
      <c r="E16" s="63" t="s">
        <v>79</v>
      </c>
      <c r="F16" s="60" t="s">
        <v>34</v>
      </c>
      <c r="G16" s="47">
        <v>2</v>
      </c>
      <c r="H16" s="133">
        <f>IF(B$17=0,0,G16/B$17)</f>
        <v>1.7094017094017096E-2</v>
      </c>
      <c r="I16" s="94">
        <v>3</v>
      </c>
      <c r="K16" s="38">
        <v>14</v>
      </c>
      <c r="L16" s="99">
        <v>-12.3</v>
      </c>
      <c r="N16" s="115" t="s">
        <v>202</v>
      </c>
      <c r="O16" s="125">
        <f>IF(P16=0,0,Q16/P16)</f>
        <v>16.449999999999996</v>
      </c>
      <c r="P16" s="119">
        <v>4</v>
      </c>
      <c r="Q16" s="107">
        <v>65.799999999999983</v>
      </c>
    </row>
    <row r="17" spans="1:17" x14ac:dyDescent="0.4">
      <c r="A17" s="54" t="s">
        <v>10</v>
      </c>
      <c r="B17" s="46">
        <f>B19+B18</f>
        <v>117</v>
      </c>
      <c r="C17" s="37">
        <f>IF(B$3=0,0,B17/B$3)</f>
        <v>0.3611111111111111</v>
      </c>
      <c r="E17" s="63" t="s">
        <v>80</v>
      </c>
      <c r="F17" s="60" t="s">
        <v>35</v>
      </c>
      <c r="G17" s="47">
        <v>2</v>
      </c>
      <c r="H17" s="133">
        <f>IF(B$17=0,0,G17/B$17)</f>
        <v>1.7094017094017096E-2</v>
      </c>
      <c r="I17" s="94">
        <v>4</v>
      </c>
      <c r="K17" s="38">
        <v>15</v>
      </c>
      <c r="L17" s="99">
        <v>-80.3</v>
      </c>
      <c r="N17" s="115" t="s">
        <v>173</v>
      </c>
      <c r="O17" s="125">
        <f>IF(P17=0,0,Q17/P17)</f>
        <v>13.91111111111111</v>
      </c>
      <c r="P17" s="119">
        <v>9</v>
      </c>
      <c r="Q17" s="107">
        <v>125.19999999999999</v>
      </c>
    </row>
    <row r="18" spans="1:17" x14ac:dyDescent="0.4">
      <c r="A18" s="55" t="s">
        <v>12</v>
      </c>
      <c r="B18" s="47">
        <v>50</v>
      </c>
      <c r="C18" s="39">
        <f>IF(B$17=0,0,B18/B$17)</f>
        <v>0.42735042735042733</v>
      </c>
      <c r="E18" s="63" t="s">
        <v>92</v>
      </c>
      <c r="F18" s="60" t="s">
        <v>47</v>
      </c>
      <c r="G18" s="47">
        <v>2</v>
      </c>
      <c r="H18" s="133">
        <f>IF(B$17=0,0,G18/B$17)</f>
        <v>1.7094017094017096E-2</v>
      </c>
      <c r="I18" s="94">
        <v>3</v>
      </c>
      <c r="K18" s="38">
        <v>16</v>
      </c>
      <c r="L18" s="99">
        <v>-87.6</v>
      </c>
      <c r="N18" s="115" t="s">
        <v>177</v>
      </c>
      <c r="O18" s="125">
        <f>IF(P18=0,0,Q18/P18)</f>
        <v>13.33333333333333</v>
      </c>
      <c r="P18" s="119">
        <v>3</v>
      </c>
      <c r="Q18" s="107">
        <v>39.999999999999993</v>
      </c>
    </row>
    <row r="19" spans="1:17" x14ac:dyDescent="0.4">
      <c r="A19" s="55" t="s">
        <v>11</v>
      </c>
      <c r="B19" s="47">
        <v>67</v>
      </c>
      <c r="C19" s="39">
        <f>IF(B$17=0,0,B19/B$17)</f>
        <v>0.57264957264957261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6</v>
      </c>
      <c r="K19" s="38">
        <v>17</v>
      </c>
      <c r="L19" s="99">
        <v>-55.099999999999994</v>
      </c>
      <c r="N19" s="115" t="s">
        <v>171</v>
      </c>
      <c r="O19" s="125">
        <f>IF(P19=0,0,Q19/P19)</f>
        <v>3.9363636363636347</v>
      </c>
      <c r="P19" s="119">
        <v>11</v>
      </c>
      <c r="Q19" s="107">
        <v>43.299999999999983</v>
      </c>
    </row>
    <row r="20" spans="1:17" x14ac:dyDescent="0.4">
      <c r="A20" s="55" t="s">
        <v>13</v>
      </c>
      <c r="B20" s="47">
        <v>47</v>
      </c>
      <c r="C20" s="39">
        <f>IF(B$3=0,0,B20/B$3)</f>
        <v>0.14506172839506173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-28.199999999999996</v>
      </c>
      <c r="N20" s="115" t="s">
        <v>128</v>
      </c>
      <c r="O20" s="125">
        <f>IF(P20=0,0,Q20/P20)</f>
        <v>-4.9727272727272736</v>
      </c>
      <c r="P20" s="119">
        <v>22</v>
      </c>
      <c r="Q20" s="107">
        <v>-109.40000000000002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29.200000000000003</v>
      </c>
      <c r="N21" s="115" t="s">
        <v>127</v>
      </c>
      <c r="O21" s="125">
        <f>IF(P21=0,0,Q21/P21)</f>
        <v>-31.495000000000005</v>
      </c>
      <c r="P21" s="119">
        <v>20</v>
      </c>
      <c r="Q21" s="107">
        <v>-629.90000000000009</v>
      </c>
    </row>
    <row r="22" spans="1:17" x14ac:dyDescent="0.4">
      <c r="A22" s="55" t="s">
        <v>194</v>
      </c>
      <c r="B22" s="47">
        <v>23</v>
      </c>
      <c r="C22" s="135">
        <v>0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43</v>
      </c>
    </row>
    <row r="23" spans="1:17" x14ac:dyDescent="0.4">
      <c r="A23" s="55" t="s">
        <v>5</v>
      </c>
      <c r="B23" s="51">
        <f>IF(B$17=0,0,C23/B$17)</f>
        <v>6950.4273504273506</v>
      </c>
      <c r="C23" s="41">
        <v>813200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89.9</v>
      </c>
    </row>
    <row r="24" spans="1:17" x14ac:dyDescent="0.4">
      <c r="A24" s="57" t="s">
        <v>14</v>
      </c>
      <c r="B24" s="52">
        <f>IF(B$20=0,0,C24/B$20)</f>
        <v>-8706.3829787234044</v>
      </c>
      <c r="C24" s="45">
        <v>-409200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3.0864197530864196E-3</v>
      </c>
      <c r="E27" s="63" t="s">
        <v>86</v>
      </c>
      <c r="F27" s="60" t="s">
        <v>41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30.400000000000006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33A87E-75E9-44CB-B94C-F46921BAFE08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34</v>
      </c>
      <c r="C2" s="147"/>
      <c r="E2" s="62" t="s">
        <v>67</v>
      </c>
      <c r="F2" s="59" t="s">
        <v>23</v>
      </c>
      <c r="G2" s="46">
        <v>71</v>
      </c>
      <c r="H2" s="132">
        <f>IF(B$17=0,0,G2/B$17)</f>
        <v>0.76344086021505375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-3038.2352941176468</v>
      </c>
      <c r="P2" s="118">
        <v>34</v>
      </c>
      <c r="Q2" s="102">
        <v>-103300</v>
      </c>
    </row>
    <row r="3" spans="1:17" x14ac:dyDescent="0.4">
      <c r="A3" s="55" t="s">
        <v>8</v>
      </c>
      <c r="B3" s="148">
        <v>304</v>
      </c>
      <c r="C3" s="149"/>
      <c r="E3" s="63" t="s">
        <v>73</v>
      </c>
      <c r="F3" s="60" t="s">
        <v>28</v>
      </c>
      <c r="G3" s="47">
        <v>50</v>
      </c>
      <c r="H3" s="133">
        <f>IF(B$17=0,0,G3/B$17)</f>
        <v>0.5376344086021505</v>
      </c>
      <c r="I3" s="94">
        <v>6</v>
      </c>
      <c r="K3" s="38">
        <v>1</v>
      </c>
      <c r="L3" s="99">
        <v>-82.6</v>
      </c>
      <c r="N3" s="115" t="s">
        <v>133</v>
      </c>
      <c r="O3" s="122">
        <f t="shared" si="0"/>
        <v>1788.2352941176471</v>
      </c>
      <c r="P3" s="119">
        <v>34</v>
      </c>
      <c r="Q3" s="103">
        <v>60800</v>
      </c>
    </row>
    <row r="4" spans="1:17" x14ac:dyDescent="0.4">
      <c r="A4" s="55" t="s">
        <v>6</v>
      </c>
      <c r="B4" s="150">
        <v>-224.6</v>
      </c>
      <c r="C4" s="151"/>
      <c r="E4" s="63" t="s">
        <v>65</v>
      </c>
      <c r="F4" s="60" t="s">
        <v>21</v>
      </c>
      <c r="G4" s="47">
        <v>40</v>
      </c>
      <c r="H4" s="133">
        <f>IF(B$17=0,0,G4/B$17)</f>
        <v>0.43010752688172044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-831.25</v>
      </c>
      <c r="P4" s="119">
        <v>32</v>
      </c>
      <c r="Q4" s="103">
        <v>-26600</v>
      </c>
    </row>
    <row r="5" spans="1:17" x14ac:dyDescent="0.4">
      <c r="A5" s="55" t="s">
        <v>7</v>
      </c>
      <c r="B5" s="152">
        <f>IF(B$2=0,0,B$4/B$2)</f>
        <v>-6.6058823529411761</v>
      </c>
      <c r="C5" s="153"/>
      <c r="E5" s="63" t="s">
        <v>69</v>
      </c>
      <c r="F5" s="60" t="s">
        <v>12</v>
      </c>
      <c r="G5" s="47">
        <v>37</v>
      </c>
      <c r="H5" s="133">
        <f>IF(B$17=0,0,G5/B$17)</f>
        <v>0.39784946236559138</v>
      </c>
      <c r="I5" s="94">
        <v>3</v>
      </c>
      <c r="K5" s="38">
        <v>3</v>
      </c>
      <c r="L5" s="99">
        <v>-149</v>
      </c>
      <c r="N5" s="115" t="s">
        <v>135</v>
      </c>
      <c r="O5" s="122">
        <f t="shared" si="0"/>
        <v>-4610</v>
      </c>
      <c r="P5" s="119">
        <v>30</v>
      </c>
      <c r="Q5" s="103">
        <v>-138300</v>
      </c>
    </row>
    <row r="6" spans="1:17" x14ac:dyDescent="0.4">
      <c r="A6" s="55" t="s">
        <v>1</v>
      </c>
      <c r="B6" s="142">
        <f>IF(B$2=0,0,(B$7*1+B$8*2+B$9*3)/B$2)</f>
        <v>2.0882352941176472</v>
      </c>
      <c r="C6" s="143"/>
      <c r="E6" s="63" t="s">
        <v>181</v>
      </c>
      <c r="F6" s="60" t="s">
        <v>182</v>
      </c>
      <c r="G6" s="47">
        <v>32</v>
      </c>
      <c r="H6" s="133">
        <f>IF(B$17=0,0,G6/B$17)</f>
        <v>0.34408602150537637</v>
      </c>
      <c r="I6" s="94">
        <v>8</v>
      </c>
      <c r="K6" s="38">
        <v>4</v>
      </c>
      <c r="L6" s="99">
        <v>-150.6</v>
      </c>
      <c r="N6" s="115" t="s">
        <v>136</v>
      </c>
      <c r="O6" s="122">
        <f t="shared" si="0"/>
        <v>970.37037037037032</v>
      </c>
      <c r="P6" s="119">
        <v>27</v>
      </c>
      <c r="Q6" s="103">
        <v>26200</v>
      </c>
    </row>
    <row r="7" spans="1:17" x14ac:dyDescent="0.4">
      <c r="A7" s="55" t="s">
        <v>2</v>
      </c>
      <c r="B7" s="47">
        <v>9</v>
      </c>
      <c r="C7" s="39">
        <f>IF(B$2=0,0,B7/B$2)</f>
        <v>0.26470588235294118</v>
      </c>
      <c r="E7" s="63" t="s">
        <v>68</v>
      </c>
      <c r="F7" s="60" t="s">
        <v>24</v>
      </c>
      <c r="G7" s="47">
        <v>21</v>
      </c>
      <c r="H7" s="133">
        <f>IF(B$17=0,0,G7/B$17)</f>
        <v>0.22580645161290322</v>
      </c>
      <c r="I7" s="94">
        <v>9</v>
      </c>
      <c r="K7" s="38">
        <v>5</v>
      </c>
      <c r="L7" s="99">
        <v>-184.89999999999998</v>
      </c>
      <c r="N7" s="116" t="s">
        <v>137</v>
      </c>
      <c r="O7" s="123">
        <f t="shared" si="0"/>
        <v>638.46153846153845</v>
      </c>
      <c r="P7" s="120">
        <v>26</v>
      </c>
      <c r="Q7" s="104">
        <v>16600</v>
      </c>
    </row>
    <row r="8" spans="1:17" x14ac:dyDescent="0.4">
      <c r="A8" s="55" t="s">
        <v>3</v>
      </c>
      <c r="B8" s="47">
        <v>13</v>
      </c>
      <c r="C8" s="39">
        <f>IF(B$2=0,0,B8/B$2)</f>
        <v>0.38235294117647056</v>
      </c>
      <c r="E8" s="63" t="s">
        <v>90</v>
      </c>
      <c r="F8" s="60" t="s">
        <v>45</v>
      </c>
      <c r="G8" s="47">
        <v>12</v>
      </c>
      <c r="H8" s="133">
        <f>IF(B$17=0,0,G8/B$17)</f>
        <v>0.12903225806451613</v>
      </c>
      <c r="I8" s="94">
        <v>7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0.35294117647058826</v>
      </c>
      <c r="E9" s="63" t="s">
        <v>71</v>
      </c>
      <c r="F9" s="60" t="s">
        <v>26</v>
      </c>
      <c r="G9" s="47">
        <v>11</v>
      </c>
      <c r="H9" s="133">
        <f>IF(B$17=0,0,G9/B$17)</f>
        <v>0.11827956989247312</v>
      </c>
      <c r="I9" s="94">
        <v>3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0.11764705882352941</v>
      </c>
      <c r="E10" s="63" t="s">
        <v>70</v>
      </c>
      <c r="F10" s="60" t="s">
        <v>25</v>
      </c>
      <c r="G10" s="47">
        <v>9</v>
      </c>
      <c r="H10" s="133">
        <f>IF(B$17=0,0,G10/B$17)</f>
        <v>9.6774193548387094E-2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-7.5625</v>
      </c>
      <c r="P10" s="118">
        <v>8</v>
      </c>
      <c r="Q10" s="106">
        <v>-60.5</v>
      </c>
    </row>
    <row r="11" spans="1:17" x14ac:dyDescent="0.4">
      <c r="A11" s="56" t="s">
        <v>140</v>
      </c>
      <c r="B11" s="48">
        <v>2</v>
      </c>
      <c r="C11" s="40">
        <f>IF(B$2=0,0,B11/B$2)</f>
        <v>5.8823529411764705E-2</v>
      </c>
      <c r="E11" s="63" t="s">
        <v>72</v>
      </c>
      <c r="F11" s="60" t="s">
        <v>27</v>
      </c>
      <c r="G11" s="47">
        <v>6</v>
      </c>
      <c r="H11" s="133">
        <f>IF(B$17=0,0,G11/B$17)</f>
        <v>6.4516129032258063E-2</v>
      </c>
      <c r="I11" s="94">
        <v>4</v>
      </c>
      <c r="K11" s="38">
        <v>9</v>
      </c>
      <c r="L11" s="99">
        <v>-260.59999999999997</v>
      </c>
      <c r="N11" s="115" t="s">
        <v>165</v>
      </c>
      <c r="O11" s="125">
        <f>IF(P11=0,0,Q11/P11)</f>
        <v>-6.8647058823529399</v>
      </c>
      <c r="P11" s="119">
        <v>17</v>
      </c>
      <c r="Q11" s="107">
        <v>-116.69999999999997</v>
      </c>
    </row>
    <row r="12" spans="1:17" x14ac:dyDescent="0.4">
      <c r="A12" s="57" t="s">
        <v>160</v>
      </c>
      <c r="B12" s="49">
        <v>1</v>
      </c>
      <c r="C12" s="42">
        <f>IF(B$2=0,0,B12/B$2)</f>
        <v>2.9411764705882353E-2</v>
      </c>
      <c r="E12" s="63" t="s">
        <v>66</v>
      </c>
      <c r="F12" s="60" t="s">
        <v>22</v>
      </c>
      <c r="G12" s="47">
        <v>5</v>
      </c>
      <c r="H12" s="133">
        <f>IF(B$17=0,0,G12/B$17)</f>
        <v>5.3763440860215055E-2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-5.2666666666666657</v>
      </c>
      <c r="P12" s="120">
        <v>9</v>
      </c>
      <c r="Q12" s="108">
        <v>-47.399999999999991</v>
      </c>
    </row>
    <row r="13" spans="1:17" x14ac:dyDescent="0.4">
      <c r="A13" s="58" t="s">
        <v>122</v>
      </c>
      <c r="B13" s="50">
        <v>69</v>
      </c>
      <c r="C13" s="44">
        <f>IF(B$3=0,0,B13/B$3)</f>
        <v>0.22697368421052633</v>
      </c>
      <c r="E13" s="63" t="s">
        <v>87</v>
      </c>
      <c r="F13" s="60" t="s">
        <v>42</v>
      </c>
      <c r="G13" s="47">
        <v>4</v>
      </c>
      <c r="H13" s="133">
        <f>IF(B$17=0,0,G13/B$17)</f>
        <v>4.3010752688172046E-2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76</v>
      </c>
      <c r="C14" s="39">
        <f>IF(B$3=0,0,B14/B$3)</f>
        <v>0.25</v>
      </c>
      <c r="E14" s="63" t="s">
        <v>80</v>
      </c>
      <c r="F14" s="60" t="s">
        <v>35</v>
      </c>
      <c r="G14" s="47">
        <v>2</v>
      </c>
      <c r="H14" s="133">
        <f>IF(B$17=0,0,G14/B$17)</f>
        <v>2.1505376344086023E-2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41</v>
      </c>
      <c r="C15" s="37">
        <f>IF(B$13=0,0,B15/B$13)</f>
        <v>0.59420289855072461</v>
      </c>
      <c r="E15" s="63" t="s">
        <v>84</v>
      </c>
      <c r="F15" s="60" t="s">
        <v>39</v>
      </c>
      <c r="G15" s="47">
        <v>2</v>
      </c>
      <c r="H15" s="133">
        <f>IF(B$17=0,0,G15/B$17)</f>
        <v>2.1505376344086023E-2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28.26</v>
      </c>
      <c r="P15" s="118">
        <v>5</v>
      </c>
      <c r="Q15" s="106">
        <v>141.30000000000001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0.34210526315789475</v>
      </c>
      <c r="E16" s="63" t="s">
        <v>74</v>
      </c>
      <c r="F16" s="60" t="s">
        <v>29</v>
      </c>
      <c r="G16" s="47">
        <v>1</v>
      </c>
      <c r="H16" s="133">
        <f>IF(B$17=0,0,G16/B$17)</f>
        <v>1.0752688172043012E-2</v>
      </c>
      <c r="I16" s="94">
        <v>2</v>
      </c>
      <c r="K16" s="38">
        <v>14</v>
      </c>
      <c r="L16" s="99">
        <v>-269.99999999999994</v>
      </c>
      <c r="N16" s="115" t="s">
        <v>128</v>
      </c>
      <c r="O16" s="125">
        <f>IF(P16=0,0,Q16/P16)</f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93</v>
      </c>
      <c r="C17" s="37">
        <f>IF(B$3=0,0,B17/B$3)</f>
        <v>0.30592105263157893</v>
      </c>
      <c r="E17" s="63" t="s">
        <v>79</v>
      </c>
      <c r="F17" s="60" t="s">
        <v>34</v>
      </c>
      <c r="G17" s="47">
        <v>1</v>
      </c>
      <c r="H17" s="133">
        <f>IF(B$17=0,0,G17/B$17)</f>
        <v>1.0752688172043012E-2</v>
      </c>
      <c r="I17" s="94">
        <v>7</v>
      </c>
      <c r="K17" s="38">
        <v>15</v>
      </c>
      <c r="L17" s="99">
        <v>-264.59999999999997</v>
      </c>
      <c r="N17" s="115" t="s">
        <v>171</v>
      </c>
      <c r="O17" s="125">
        <f>IF(P17=0,0,Q17/P17)</f>
        <v>-13.349999999999998</v>
      </c>
      <c r="P17" s="119">
        <v>14</v>
      </c>
      <c r="Q17" s="107">
        <v>-186.89999999999998</v>
      </c>
    </row>
    <row r="18" spans="1:17" x14ac:dyDescent="0.4">
      <c r="A18" s="55" t="s">
        <v>12</v>
      </c>
      <c r="B18" s="47">
        <v>49</v>
      </c>
      <c r="C18" s="39">
        <f>IF(B$17=0,0,B18/B$17)</f>
        <v>0.5268817204301075</v>
      </c>
      <c r="E18" s="63" t="s">
        <v>92</v>
      </c>
      <c r="F18" s="60" t="s">
        <v>47</v>
      </c>
      <c r="G18" s="47">
        <v>1</v>
      </c>
      <c r="H18" s="133">
        <f>IF(B$17=0,0,G18/B$17)</f>
        <v>1.0752688172043012E-2</v>
      </c>
      <c r="I18" s="94">
        <v>6</v>
      </c>
      <c r="K18" s="38">
        <v>16</v>
      </c>
      <c r="L18" s="99">
        <v>-292.79999999999995</v>
      </c>
      <c r="N18" s="115" t="s">
        <v>172</v>
      </c>
      <c r="O18" s="125">
        <f>IF(P18=0,0,Q18/P18)</f>
        <v>-13.91111111111111</v>
      </c>
      <c r="P18" s="119">
        <v>9</v>
      </c>
      <c r="Q18" s="107">
        <v>-125.19999999999999</v>
      </c>
    </row>
    <row r="19" spans="1:17" x14ac:dyDescent="0.4">
      <c r="A19" s="55" t="s">
        <v>11</v>
      </c>
      <c r="B19" s="47">
        <v>44</v>
      </c>
      <c r="C19" s="39">
        <f>IF(B$17=0,0,B19/B$17)</f>
        <v>0.4731182795698925</v>
      </c>
      <c r="E19" s="63" t="s">
        <v>180</v>
      </c>
      <c r="F19" s="60" t="s">
        <v>183</v>
      </c>
      <c r="G19" s="47">
        <v>1</v>
      </c>
      <c r="H19" s="133">
        <f>IF(B$17=0,0,G19/B$17)</f>
        <v>1.0752688172043012E-2</v>
      </c>
      <c r="I19" s="94">
        <v>5</v>
      </c>
      <c r="K19" s="38">
        <v>17</v>
      </c>
      <c r="L19" s="99">
        <v>-248.89999999999995</v>
      </c>
      <c r="N19" s="115" t="s">
        <v>177</v>
      </c>
      <c r="O19" s="125">
        <f>IF(P19=0,0,Q19/P19)</f>
        <v>-17.950000000000003</v>
      </c>
      <c r="P19" s="119">
        <v>2</v>
      </c>
      <c r="Q19" s="107">
        <v>-35.900000000000006</v>
      </c>
    </row>
    <row r="20" spans="1:17" x14ac:dyDescent="0.4">
      <c r="A20" s="55" t="s">
        <v>13</v>
      </c>
      <c r="B20" s="47">
        <v>56</v>
      </c>
      <c r="C20" s="39">
        <f>IF(B$3=0,0,B20/B$3)</f>
        <v>0.18421052631578946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3</v>
      </c>
      <c r="K20" s="38">
        <v>18</v>
      </c>
      <c r="L20" s="99">
        <v>-218.99999999999994</v>
      </c>
      <c r="N20" s="115" t="s">
        <v>127</v>
      </c>
      <c r="O20" s="125">
        <f>IF(P20=0,0,Q20/P20)</f>
        <v>-28.249999999999993</v>
      </c>
      <c r="P20" s="119">
        <v>16</v>
      </c>
      <c r="Q20" s="107">
        <v>-451.99999999999989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7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2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6829.0322580645161</v>
      </c>
      <c r="C23" s="41">
        <v>635100</v>
      </c>
      <c r="E23" s="63" t="s">
        <v>78</v>
      </c>
      <c r="F23" s="60" t="s">
        <v>33</v>
      </c>
      <c r="G23" s="47">
        <v>0</v>
      </c>
      <c r="H23" s="133">
        <f>IF(B$17=0,0,G23/B$17)</f>
        <v>0</v>
      </c>
      <c r="I23" s="94">
        <v>5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-7957.1428571428569</v>
      </c>
      <c r="C24" s="45">
        <v>-445600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82</v>
      </c>
      <c r="F25" s="60" t="s">
        <v>37</v>
      </c>
      <c r="G25" s="47">
        <v>0</v>
      </c>
      <c r="H25" s="133">
        <f>IF(B$17=0,0,G25/B$17)</f>
        <v>0</v>
      </c>
      <c r="I25" s="94">
        <v>9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1</v>
      </c>
      <c r="C27" s="42">
        <f>IF(B$3=0,0,B27/B$3)</f>
        <v>3.2894736842105261E-3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3</v>
      </c>
      <c r="K27" s="38">
        <v>25</v>
      </c>
      <c r="L27" s="99">
        <v>-344.29999999999995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88</v>
      </c>
      <c r="F29" s="60" t="s">
        <v>43</v>
      </c>
      <c r="G29" s="47">
        <v>0</v>
      </c>
      <c r="H29" s="133">
        <f>IF(B$17=0,0,G29/B$17)</f>
        <v>0</v>
      </c>
      <c r="I29" s="94">
        <v>5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23DDD-79E0-428A-A490-06E170462D83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19</v>
      </c>
      <c r="C2" s="147"/>
      <c r="E2" s="62" t="s">
        <v>73</v>
      </c>
      <c r="F2" s="59" t="s">
        <v>28</v>
      </c>
      <c r="G2" s="46">
        <v>24</v>
      </c>
      <c r="H2" s="132">
        <f>IF(B$17=0,0,G2/B$17)</f>
        <v>0.68571428571428572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-5500</v>
      </c>
      <c r="P2" s="118">
        <v>19</v>
      </c>
      <c r="Q2" s="102">
        <v>-104500</v>
      </c>
    </row>
    <row r="3" spans="1:17" x14ac:dyDescent="0.4">
      <c r="A3" s="55" t="s">
        <v>8</v>
      </c>
      <c r="B3" s="148">
        <v>149</v>
      </c>
      <c r="C3" s="149"/>
      <c r="E3" s="63" t="s">
        <v>67</v>
      </c>
      <c r="F3" s="60" t="s">
        <v>23</v>
      </c>
      <c r="G3" s="47">
        <v>23</v>
      </c>
      <c r="H3" s="133">
        <f>IF(B$17=0,0,G3/B$17)</f>
        <v>0.65714285714285714</v>
      </c>
      <c r="I3" s="94">
        <v>10</v>
      </c>
      <c r="K3" s="38">
        <v>1</v>
      </c>
      <c r="L3" s="99">
        <v>-1.9</v>
      </c>
      <c r="N3" s="115" t="s">
        <v>133</v>
      </c>
      <c r="O3" s="122">
        <f t="shared" si="0"/>
        <v>-1455.5555555555557</v>
      </c>
      <c r="P3" s="119">
        <v>18</v>
      </c>
      <c r="Q3" s="103">
        <v>-26200</v>
      </c>
    </row>
    <row r="4" spans="1:17" x14ac:dyDescent="0.4">
      <c r="A4" s="55" t="s">
        <v>6</v>
      </c>
      <c r="B4" s="150">
        <v>-235.6</v>
      </c>
      <c r="C4" s="151"/>
      <c r="E4" s="63" t="s">
        <v>65</v>
      </c>
      <c r="F4" s="60" t="s">
        <v>21</v>
      </c>
      <c r="G4" s="47">
        <v>15</v>
      </c>
      <c r="H4" s="133">
        <f>IF(B$17=0,0,G4/B$17)</f>
        <v>0.42857142857142855</v>
      </c>
      <c r="I4" s="94">
        <v>10</v>
      </c>
      <c r="K4" s="38">
        <v>2</v>
      </c>
      <c r="L4" s="99">
        <v>30</v>
      </c>
      <c r="N4" s="115" t="s">
        <v>134</v>
      </c>
      <c r="O4" s="122">
        <f t="shared" si="0"/>
        <v>-731.25</v>
      </c>
      <c r="P4" s="119">
        <v>16</v>
      </c>
      <c r="Q4" s="103">
        <v>-11700</v>
      </c>
    </row>
    <row r="5" spans="1:17" x14ac:dyDescent="0.4">
      <c r="A5" s="55" t="s">
        <v>7</v>
      </c>
      <c r="B5" s="152">
        <f>IF(B$2=0,0,B$4/B$2)</f>
        <v>-12.4</v>
      </c>
      <c r="C5" s="153"/>
      <c r="E5" s="63" t="s">
        <v>181</v>
      </c>
      <c r="F5" s="60" t="s">
        <v>182</v>
      </c>
      <c r="G5" s="47">
        <v>11</v>
      </c>
      <c r="H5" s="133">
        <f>IF(B$17=0,0,G5/B$17)</f>
        <v>0.31428571428571428</v>
      </c>
      <c r="I5" s="94">
        <v>9</v>
      </c>
      <c r="K5" s="38">
        <v>3</v>
      </c>
      <c r="L5" s="99">
        <v>-10</v>
      </c>
      <c r="N5" s="115" t="s">
        <v>135</v>
      </c>
      <c r="O5" s="122">
        <f t="shared" si="0"/>
        <v>-852.94117647058829</v>
      </c>
      <c r="P5" s="119">
        <v>17</v>
      </c>
      <c r="Q5" s="103">
        <v>-14500</v>
      </c>
    </row>
    <row r="6" spans="1:17" x14ac:dyDescent="0.4">
      <c r="A6" s="55" t="s">
        <v>1</v>
      </c>
      <c r="B6" s="142">
        <f>IF(B$2=0,0,(B$7*1+B$8*2+B$9*3)/B$2)</f>
        <v>2.1578947368421053</v>
      </c>
      <c r="C6" s="143"/>
      <c r="E6" s="63" t="s">
        <v>68</v>
      </c>
      <c r="F6" s="60" t="s">
        <v>24</v>
      </c>
      <c r="G6" s="47">
        <v>9</v>
      </c>
      <c r="H6" s="133">
        <f>IF(B$17=0,0,G6/B$17)</f>
        <v>0.25714285714285712</v>
      </c>
      <c r="I6" s="94">
        <v>8</v>
      </c>
      <c r="K6" s="38">
        <v>4</v>
      </c>
      <c r="L6" s="99">
        <v>40</v>
      </c>
      <c r="N6" s="115" t="s">
        <v>136</v>
      </c>
      <c r="O6" s="122">
        <f t="shared" si="0"/>
        <v>-425</v>
      </c>
      <c r="P6" s="119">
        <v>16</v>
      </c>
      <c r="Q6" s="103">
        <v>-6800</v>
      </c>
    </row>
    <row r="7" spans="1:17" x14ac:dyDescent="0.4">
      <c r="A7" s="55" t="s">
        <v>2</v>
      </c>
      <c r="B7" s="47">
        <v>5</v>
      </c>
      <c r="C7" s="39">
        <f>IF(B$2=0,0,B7/B$2)</f>
        <v>0.26315789473684209</v>
      </c>
      <c r="E7" s="63" t="s">
        <v>69</v>
      </c>
      <c r="F7" s="60" t="s">
        <v>12</v>
      </c>
      <c r="G7" s="47">
        <v>6</v>
      </c>
      <c r="H7" s="133">
        <f>IF(B$17=0,0,G7/B$17)</f>
        <v>0.17142857142857143</v>
      </c>
      <c r="I7" s="94">
        <v>11</v>
      </c>
      <c r="K7" s="38">
        <v>5</v>
      </c>
      <c r="L7" s="99">
        <v>35.4</v>
      </c>
      <c r="N7" s="116" t="s">
        <v>137</v>
      </c>
      <c r="O7" s="123">
        <f t="shared" si="0"/>
        <v>1450</v>
      </c>
      <c r="P7" s="120">
        <v>14</v>
      </c>
      <c r="Q7" s="104">
        <v>20300</v>
      </c>
    </row>
    <row r="8" spans="1:17" x14ac:dyDescent="0.4">
      <c r="A8" s="55" t="s">
        <v>3</v>
      </c>
      <c r="B8" s="47">
        <v>6</v>
      </c>
      <c r="C8" s="39">
        <f>IF(B$2=0,0,B8/B$2)</f>
        <v>0.31578947368421051</v>
      </c>
      <c r="E8" s="63" t="s">
        <v>70</v>
      </c>
      <c r="F8" s="60" t="s">
        <v>25</v>
      </c>
      <c r="G8" s="47">
        <v>5</v>
      </c>
      <c r="H8" s="133">
        <f>IF(B$17=0,0,G8/B$17)</f>
        <v>0.14285714285714285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8</v>
      </c>
      <c r="C9" s="40">
        <f t="shared" ref="C9" si="1">IF(B$2=0,0,B9/B$2)</f>
        <v>0.42105263157894735</v>
      </c>
      <c r="E9" s="63" t="s">
        <v>66</v>
      </c>
      <c r="F9" s="60" t="s">
        <v>22</v>
      </c>
      <c r="G9" s="47">
        <v>4</v>
      </c>
      <c r="H9" s="133">
        <f>IF(B$17=0,0,G9/B$17)</f>
        <v>0.11428571428571428</v>
      </c>
      <c r="I9" s="94">
        <v>5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0.21052631578947367</v>
      </c>
      <c r="E10" s="63" t="s">
        <v>90</v>
      </c>
      <c r="F10" s="60" t="s">
        <v>45</v>
      </c>
      <c r="G10" s="47">
        <v>4</v>
      </c>
      <c r="H10" s="133">
        <f>IF(B$17=0,0,G10/B$17)</f>
        <v>0.11428571428571428</v>
      </c>
      <c r="I10" s="94">
        <v>8</v>
      </c>
      <c r="K10" s="38">
        <v>8</v>
      </c>
      <c r="L10" s="99">
        <v>-87.1</v>
      </c>
      <c r="N10" s="114" t="s">
        <v>164</v>
      </c>
      <c r="O10" s="124">
        <f>IF(P10=0,0,Q10/P10)</f>
        <v>-8.2666666666666675</v>
      </c>
      <c r="P10" s="118">
        <v>3</v>
      </c>
      <c r="Q10" s="106">
        <v>-24.800000000000004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84</v>
      </c>
      <c r="F11" s="60" t="s">
        <v>39</v>
      </c>
      <c r="G11" s="47">
        <v>2</v>
      </c>
      <c r="H11" s="133">
        <f>IF(B$17=0,0,G11/B$17)</f>
        <v>5.7142857142857141E-2</v>
      </c>
      <c r="I11" s="94">
        <v>3</v>
      </c>
      <c r="K11" s="38">
        <v>9</v>
      </c>
      <c r="L11" s="99">
        <v>-128.6</v>
      </c>
      <c r="N11" s="115" t="s">
        <v>165</v>
      </c>
      <c r="O11" s="125">
        <f>IF(P11=0,0,Q11/P11)</f>
        <v>-20.571428571428573</v>
      </c>
      <c r="P11" s="119">
        <v>7</v>
      </c>
      <c r="Q11" s="107">
        <v>-144</v>
      </c>
    </row>
    <row r="12" spans="1:17" x14ac:dyDescent="0.4">
      <c r="A12" s="57" t="s">
        <v>160</v>
      </c>
      <c r="B12" s="49">
        <v>2</v>
      </c>
      <c r="C12" s="42">
        <f>IF(B$2=0,0,B12/B$2)</f>
        <v>0.10526315789473684</v>
      </c>
      <c r="E12" s="63" t="s">
        <v>92</v>
      </c>
      <c r="F12" s="60" t="s">
        <v>47</v>
      </c>
      <c r="G12" s="47">
        <v>2</v>
      </c>
      <c r="H12" s="133">
        <f>IF(B$17=0,0,G12/B$17)</f>
        <v>5.7142857142857141E-2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-7.4222222222222207</v>
      </c>
      <c r="P12" s="120">
        <v>9</v>
      </c>
      <c r="Q12" s="108">
        <v>-66.799999999999983</v>
      </c>
    </row>
    <row r="13" spans="1:17" x14ac:dyDescent="0.4">
      <c r="A13" s="58" t="s">
        <v>122</v>
      </c>
      <c r="B13" s="50">
        <v>27</v>
      </c>
      <c r="C13" s="44">
        <f>IF(B$3=0,0,B13/B$3)</f>
        <v>0.18120805369127516</v>
      </c>
      <c r="E13" s="63" t="s">
        <v>71</v>
      </c>
      <c r="F13" s="60" t="s">
        <v>26</v>
      </c>
      <c r="G13" s="47">
        <v>1</v>
      </c>
      <c r="H13" s="133">
        <f>IF(B$17=0,0,G13/B$17)</f>
        <v>2.8571428571428571E-2</v>
      </c>
      <c r="I13" s="94">
        <v>9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38</v>
      </c>
      <c r="C14" s="39">
        <f>IF(B$3=0,0,B14/B$3)</f>
        <v>0.25503355704697989</v>
      </c>
      <c r="E14" s="63" t="s">
        <v>72</v>
      </c>
      <c r="F14" s="60" t="s">
        <v>27</v>
      </c>
      <c r="G14" s="47">
        <v>1</v>
      </c>
      <c r="H14" s="133">
        <f>IF(B$17=0,0,G14/B$17)</f>
        <v>2.8571428571428571E-2</v>
      </c>
      <c r="I14" s="94">
        <v>9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</v>
      </c>
      <c r="C15" s="37">
        <f>IF(B$13=0,0,B15/B$13)</f>
        <v>0.51851851851851849</v>
      </c>
      <c r="E15" s="63" t="s">
        <v>76</v>
      </c>
      <c r="F15" s="60" t="s">
        <v>31</v>
      </c>
      <c r="G15" s="47">
        <v>1</v>
      </c>
      <c r="H15" s="133">
        <f>IF(B$17=0,0,G15/B$17)</f>
        <v>2.8571428571428571E-2</v>
      </c>
      <c r="I15" s="94">
        <v>2</v>
      </c>
      <c r="K15" s="38">
        <v>13</v>
      </c>
      <c r="L15" s="99">
        <v>-209.59999999999997</v>
      </c>
      <c r="N15" s="114" t="s">
        <v>186</v>
      </c>
      <c r="O15" s="124">
        <f>IF(P15=0,0,Q15/P15)</f>
        <v>60.800000000000004</v>
      </c>
      <c r="P15" s="118">
        <v>2</v>
      </c>
      <c r="Q15" s="106">
        <v>121.60000000000001</v>
      </c>
    </row>
    <row r="16" spans="1:17" x14ac:dyDescent="0.4">
      <c r="A16" s="54" t="s">
        <v>125</v>
      </c>
      <c r="B16" s="46">
        <v>14</v>
      </c>
      <c r="C16" s="37">
        <f>IF(B$14=0,0,B16/B$14)</f>
        <v>0.36842105263157893</v>
      </c>
      <c r="E16" s="63" t="s">
        <v>82</v>
      </c>
      <c r="F16" s="60" t="s">
        <v>37</v>
      </c>
      <c r="G16" s="47">
        <v>1</v>
      </c>
      <c r="H16" s="133">
        <f>IF(B$17=0,0,G16/B$17)</f>
        <v>2.8571428571428571E-2</v>
      </c>
      <c r="I16" s="94">
        <v>7</v>
      </c>
      <c r="K16" s="38">
        <v>14</v>
      </c>
      <c r="L16" s="99">
        <v>-178.49999999999997</v>
      </c>
      <c r="N16" s="115" t="s">
        <v>173</v>
      </c>
      <c r="O16" s="125">
        <f>IF(P16=0,0,Q16/P16)</f>
        <v>17.95</v>
      </c>
      <c r="P16" s="119">
        <v>2</v>
      </c>
      <c r="Q16" s="107">
        <v>35.9</v>
      </c>
    </row>
    <row r="17" spans="1:17" x14ac:dyDescent="0.4">
      <c r="A17" s="54" t="s">
        <v>10</v>
      </c>
      <c r="B17" s="46">
        <f>B19+B18</f>
        <v>35</v>
      </c>
      <c r="C17" s="37">
        <f>IF(B$3=0,0,B17/B$3)</f>
        <v>0.2348993288590604</v>
      </c>
      <c r="E17" s="63" t="s">
        <v>86</v>
      </c>
      <c r="F17" s="60" t="s">
        <v>41</v>
      </c>
      <c r="G17" s="47">
        <v>1</v>
      </c>
      <c r="H17" s="133">
        <f>IF(B$17=0,0,G17/B$17)</f>
        <v>2.8571428571428571E-2</v>
      </c>
      <c r="I17" s="94">
        <v>1</v>
      </c>
      <c r="K17" s="38">
        <v>15</v>
      </c>
      <c r="L17" s="99">
        <v>-146.19999999999999</v>
      </c>
      <c r="N17" s="115" t="s">
        <v>171</v>
      </c>
      <c r="O17" s="125">
        <f>IF(P17=0,0,Q17/P17)</f>
        <v>12.149999999999999</v>
      </c>
      <c r="P17" s="119">
        <v>2</v>
      </c>
      <c r="Q17" s="107">
        <v>24.299999999999997</v>
      </c>
    </row>
    <row r="18" spans="1:17" x14ac:dyDescent="0.4">
      <c r="A18" s="55" t="s">
        <v>12</v>
      </c>
      <c r="B18" s="47">
        <v>14</v>
      </c>
      <c r="C18" s="39">
        <f>IF(B$17=0,0,B18/B$17)</f>
        <v>0.4</v>
      </c>
      <c r="E18" s="63" t="s">
        <v>74</v>
      </c>
      <c r="F18" s="60" t="s">
        <v>29</v>
      </c>
      <c r="G18" s="47">
        <v>0</v>
      </c>
      <c r="H18" s="133">
        <f>IF(B$17=0,0,G18/B$17)</f>
        <v>0</v>
      </c>
      <c r="I18" s="94">
        <v>6</v>
      </c>
      <c r="K18" s="38">
        <v>16</v>
      </c>
      <c r="L18" s="99">
        <v>-153.29999999999998</v>
      </c>
      <c r="N18" s="115" t="s">
        <v>128</v>
      </c>
      <c r="O18" s="125">
        <f>IF(P18=0,0,Q18/P18)</f>
        <v>-10.178571428571427</v>
      </c>
      <c r="P18" s="119">
        <v>14</v>
      </c>
      <c r="Q18" s="107">
        <v>-142.49999999999997</v>
      </c>
    </row>
    <row r="19" spans="1:17" x14ac:dyDescent="0.4">
      <c r="A19" s="55" t="s">
        <v>11</v>
      </c>
      <c r="B19" s="47">
        <v>21</v>
      </c>
      <c r="C19" s="39">
        <f>IF(B$17=0,0,B19/B$17)</f>
        <v>0.6</v>
      </c>
      <c r="E19" s="63" t="s">
        <v>75</v>
      </c>
      <c r="F19" s="60" t="s">
        <v>30</v>
      </c>
      <c r="G19" s="47">
        <v>0</v>
      </c>
      <c r="H19" s="133">
        <f>IF(B$17=0,0,G19/B$17)</f>
        <v>0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>IF(P19=0,0,Q19/P19)</f>
        <v>-13.333333333333337</v>
      </c>
      <c r="P19" s="119">
        <v>3</v>
      </c>
      <c r="Q19" s="107">
        <v>-40.000000000000014</v>
      </c>
    </row>
    <row r="20" spans="1:17" x14ac:dyDescent="0.4">
      <c r="A20" s="55" t="s">
        <v>13</v>
      </c>
      <c r="B20" s="47">
        <v>29</v>
      </c>
      <c r="C20" s="39">
        <f>IF(B$3=0,0,B20/B$3)</f>
        <v>0.19463087248322147</v>
      </c>
      <c r="E20" s="63" t="s">
        <v>77</v>
      </c>
      <c r="F20" s="60" t="s">
        <v>32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127</v>
      </c>
      <c r="O20" s="125">
        <f>IF(P20=0,0,Q20/P20)</f>
        <v>-40.066666666666677</v>
      </c>
      <c r="P20" s="119">
        <v>9</v>
      </c>
      <c r="Q20" s="107">
        <v>-360.60000000000008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78</v>
      </c>
      <c r="F21" s="60" t="s">
        <v>33</v>
      </c>
      <c r="G21" s="47">
        <v>0</v>
      </c>
      <c r="H21" s="133">
        <f>IF(B$17=0,0,G21/B$17)</f>
        <v>0</v>
      </c>
      <c r="I21" s="94">
        <v>5</v>
      </c>
      <c r="K21" s="38">
        <v>19</v>
      </c>
      <c r="L21" s="99">
        <v>-235.6</v>
      </c>
      <c r="N21" s="115" t="s">
        <v>185</v>
      </c>
      <c r="O21" s="125">
        <f>IF(P21=0,0,Q21/P21)</f>
        <v>-45.699999999999996</v>
      </c>
      <c r="P21" s="119">
        <v>3</v>
      </c>
      <c r="Q21" s="107">
        <v>-137.1</v>
      </c>
    </row>
    <row r="22" spans="1:17" x14ac:dyDescent="0.4">
      <c r="A22" s="55" t="s">
        <v>194</v>
      </c>
      <c r="B22" s="47">
        <v>16</v>
      </c>
      <c r="C22" s="135">
        <v>1</v>
      </c>
      <c r="E22" s="63" t="s">
        <v>79</v>
      </c>
      <c r="F22" s="60" t="s">
        <v>34</v>
      </c>
      <c r="G22" s="47">
        <v>0</v>
      </c>
      <c r="H22" s="133">
        <f>IF(B$17=0,0,G22/B$17)</f>
        <v>0</v>
      </c>
      <c r="I22" s="94">
        <v>9</v>
      </c>
      <c r="N22" s="115" t="s">
        <v>129</v>
      </c>
      <c r="O22" s="125">
        <f>IF(P22=0,0,Q22/P22)</f>
        <v>-69.466666666666669</v>
      </c>
      <c r="P22" s="119">
        <v>3</v>
      </c>
      <c r="Q22" s="107">
        <v>-208.4</v>
      </c>
    </row>
    <row r="23" spans="1:17" x14ac:dyDescent="0.4">
      <c r="A23" s="55" t="s">
        <v>5</v>
      </c>
      <c r="B23" s="51">
        <f>IF(B$17=0,0,C23/B$17)</f>
        <v>7431.4285714285716</v>
      </c>
      <c r="C23" s="41">
        <v>260100</v>
      </c>
      <c r="E23" s="63" t="s">
        <v>80</v>
      </c>
      <c r="F23" s="60" t="s">
        <v>35</v>
      </c>
      <c r="G23" s="47">
        <v>0</v>
      </c>
      <c r="H23" s="133">
        <f>IF(B$17=0,0,G23/B$17)</f>
        <v>0</v>
      </c>
      <c r="I23" s="94">
        <v>8</v>
      </c>
    </row>
    <row r="24" spans="1:17" x14ac:dyDescent="0.4">
      <c r="A24" s="57" t="s">
        <v>14</v>
      </c>
      <c r="B24" s="52">
        <f>IF(B$20=0,0,C24/B$20)</f>
        <v>-7093.1034482758623</v>
      </c>
      <c r="C24" s="45">
        <v>-205700</v>
      </c>
      <c r="E24" s="63" t="s">
        <v>81</v>
      </c>
      <c r="F24" s="60" t="s">
        <v>36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0">
        <v>7</v>
      </c>
      <c r="C25" s="141"/>
      <c r="E25" s="63" t="s">
        <v>83</v>
      </c>
      <c r="F25" s="60" t="s">
        <v>38</v>
      </c>
      <c r="G25" s="47">
        <v>0</v>
      </c>
      <c r="H25" s="133">
        <f>IF(B$17=0,0,G25/B$17)</f>
        <v>0</v>
      </c>
      <c r="I25" s="94">
        <v>1</v>
      </c>
    </row>
    <row r="26" spans="1:17" x14ac:dyDescent="0.4">
      <c r="A26" s="58" t="s">
        <v>152</v>
      </c>
      <c r="B26" s="138">
        <v>65000</v>
      </c>
      <c r="C26" s="139"/>
      <c r="E26" s="63" t="s">
        <v>85</v>
      </c>
      <c r="F26" s="60" t="s">
        <v>40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1</v>
      </c>
      <c r="C27" s="42">
        <f>IF(B$3=0,0,B27/B$3)</f>
        <v>6.7114093959731542E-3</v>
      </c>
      <c r="E27" s="63" t="s">
        <v>87</v>
      </c>
      <c r="F27" s="60" t="s">
        <v>42</v>
      </c>
      <c r="G27" s="47">
        <v>0</v>
      </c>
      <c r="H27" s="133">
        <f>IF(B$17=0,0,G27/B$17)</f>
        <v>0</v>
      </c>
      <c r="I27" s="94">
        <v>10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7F690-7E2A-449F-8A1D-A24846F29284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67</v>
      </c>
      <c r="F3" s="60" t="s">
        <v>23</v>
      </c>
      <c r="G3" s="47">
        <v>3</v>
      </c>
      <c r="H3" s="133">
        <f>IF(B$17=0,0,G3/B$17)</f>
        <v>0.6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73</v>
      </c>
      <c r="F4" s="60" t="s">
        <v>28</v>
      </c>
      <c r="G4" s="47">
        <v>3</v>
      </c>
      <c r="H4" s="133">
        <f>IF(B$17=0,0,G4/B$17)</f>
        <v>0.6</v>
      </c>
      <c r="I4" s="94">
        <v>5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2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90</v>
      </c>
      <c r="F6" s="60" t="s">
        <v>45</v>
      </c>
      <c r="G6" s="47">
        <v>2</v>
      </c>
      <c r="H6" s="133">
        <f>IF(B$17=0,0,G6/B$17)</f>
        <v>0.4</v>
      </c>
      <c r="I6" s="94">
        <v>1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181</v>
      </c>
      <c r="F7" s="60" t="s">
        <v>182</v>
      </c>
      <c r="G7" s="47">
        <v>2</v>
      </c>
      <c r="H7" s="133">
        <f>IF(B$17=0,0,G7/B$17)</f>
        <v>0.4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69</v>
      </c>
      <c r="F8" s="60" t="s">
        <v>12</v>
      </c>
      <c r="G8" s="47">
        <v>1</v>
      </c>
      <c r="H8" s="133">
        <f>IF(B$17=0,0,G8/B$17)</f>
        <v>0.2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70</v>
      </c>
      <c r="F9" s="60" t="s">
        <v>25</v>
      </c>
      <c r="G9" s="47">
        <v>1</v>
      </c>
      <c r="H9" s="133">
        <f>IF(B$17=0,0,G9/B$17)</f>
        <v>0.2</v>
      </c>
      <c r="I9" s="94">
        <v>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72</v>
      </c>
      <c r="F10" s="60" t="s">
        <v>27</v>
      </c>
      <c r="G10" s="47">
        <v>1</v>
      </c>
      <c r="H10" s="133">
        <f>IF(B$17=0,0,G10/B$17)</f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87</v>
      </c>
      <c r="F11" s="60" t="s">
        <v>42</v>
      </c>
      <c r="G11" s="47">
        <v>1</v>
      </c>
      <c r="H11" s="133">
        <f>IF(B$17=0,0,G11/B$17)</f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66</v>
      </c>
      <c r="F12" s="60" t="s">
        <v>22</v>
      </c>
      <c r="G12" s="47">
        <v>0</v>
      </c>
      <c r="H12" s="133">
        <f>IF(B$17=0,0,G12/B$17)</f>
        <v>0</v>
      </c>
      <c r="I12" s="94">
        <v>10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>IF(B$17=0,0,G14/B$17)</f>
        <v>0</v>
      </c>
      <c r="I14" s="94">
        <v>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>IF(B$17=0,0,G15/B$17)</f>
        <v>0</v>
      </c>
      <c r="I15" s="94">
        <v>3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>IF(B$17=0,0,G16/B$17)</f>
        <v>0</v>
      </c>
      <c r="I16" s="94">
        <v>7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>IF(B$17=0,0,G17/B$17)</f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>IF(B$17=0,0,G18/B$17)</f>
        <v>0</v>
      </c>
      <c r="I18" s="94">
        <v>5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>IF(B$17=0,0,G19/B$17)</f>
        <v>0</v>
      </c>
      <c r="I19" s="94">
        <v>9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3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53500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54806-9F47-4829-9BBB-C99F04CC967A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8</v>
      </c>
      <c r="C2" s="147"/>
      <c r="E2" s="62" t="s">
        <v>73</v>
      </c>
      <c r="F2" s="59" t="s">
        <v>28</v>
      </c>
      <c r="G2" s="46">
        <v>15</v>
      </c>
      <c r="H2" s="132">
        <f>IF(B$17=0,0,G2/B$17)</f>
        <v>0.88235294117647056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-3837.5</v>
      </c>
      <c r="P2" s="118">
        <v>8</v>
      </c>
      <c r="Q2" s="102">
        <v>-30700</v>
      </c>
    </row>
    <row r="3" spans="1:17" x14ac:dyDescent="0.4">
      <c r="A3" s="55" t="s">
        <v>8</v>
      </c>
      <c r="B3" s="148">
        <v>68</v>
      </c>
      <c r="C3" s="149"/>
      <c r="E3" s="63" t="s">
        <v>67</v>
      </c>
      <c r="F3" s="60" t="s">
        <v>23</v>
      </c>
      <c r="G3" s="47">
        <v>13</v>
      </c>
      <c r="H3" s="133">
        <f>IF(B$17=0,0,G3/B$17)</f>
        <v>0.76470588235294112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0"/>
        <v>-2000</v>
      </c>
      <c r="P3" s="119">
        <v>8</v>
      </c>
      <c r="Q3" s="103">
        <v>-16000</v>
      </c>
    </row>
    <row r="4" spans="1:17" x14ac:dyDescent="0.4">
      <c r="A4" s="55" t="s">
        <v>6</v>
      </c>
      <c r="B4" s="150">
        <v>-170.5</v>
      </c>
      <c r="C4" s="151"/>
      <c r="E4" s="63" t="s">
        <v>65</v>
      </c>
      <c r="F4" s="60" t="s">
        <v>21</v>
      </c>
      <c r="G4" s="47">
        <v>8</v>
      </c>
      <c r="H4" s="133">
        <f>IF(B$17=0,0,G4/B$17)</f>
        <v>0.47058823529411764</v>
      </c>
      <c r="I4" s="94">
        <v>8</v>
      </c>
      <c r="K4" s="38">
        <v>2</v>
      </c>
      <c r="L4" s="99">
        <v>-76.2</v>
      </c>
      <c r="N4" s="115" t="s">
        <v>134</v>
      </c>
      <c r="O4" s="122">
        <f t="shared" si="0"/>
        <v>-175</v>
      </c>
      <c r="P4" s="119">
        <v>8</v>
      </c>
      <c r="Q4" s="103">
        <v>-1400</v>
      </c>
    </row>
    <row r="5" spans="1:17" x14ac:dyDescent="0.4">
      <c r="A5" s="55" t="s">
        <v>7</v>
      </c>
      <c r="B5" s="152">
        <f>IF(B$2=0,0,B$4/B$2)</f>
        <v>-21.3125</v>
      </c>
      <c r="C5" s="153"/>
      <c r="E5" s="63" t="s">
        <v>69</v>
      </c>
      <c r="F5" s="60" t="s">
        <v>12</v>
      </c>
      <c r="G5" s="47">
        <v>4</v>
      </c>
      <c r="H5" s="133">
        <f>IF(B$17=0,0,G5/B$17)</f>
        <v>0.23529411764705882</v>
      </c>
      <c r="I5" s="94">
        <v>9</v>
      </c>
      <c r="K5" s="38">
        <v>3</v>
      </c>
      <c r="L5" s="99">
        <v>-78.400000000000006</v>
      </c>
      <c r="N5" s="115" t="s">
        <v>135</v>
      </c>
      <c r="O5" s="122">
        <f t="shared" si="0"/>
        <v>-4285.7142857142853</v>
      </c>
      <c r="P5" s="119">
        <v>7</v>
      </c>
      <c r="Q5" s="103">
        <v>-30000</v>
      </c>
    </row>
    <row r="6" spans="1:17" x14ac:dyDescent="0.4">
      <c r="A6" s="55" t="s">
        <v>1</v>
      </c>
      <c r="B6" s="142">
        <f>IF(B$2=0,0,(B$7*1+B$8*2+B$9*3)/B$2)</f>
        <v>2.375</v>
      </c>
      <c r="C6" s="143"/>
      <c r="E6" s="63" t="s">
        <v>90</v>
      </c>
      <c r="F6" s="60" t="s">
        <v>45</v>
      </c>
      <c r="G6" s="47">
        <v>4</v>
      </c>
      <c r="H6" s="133">
        <f>IF(B$17=0,0,G6/B$17)</f>
        <v>0.23529411764705882</v>
      </c>
      <c r="I6" s="94">
        <v>2</v>
      </c>
      <c r="K6" s="38">
        <v>4</v>
      </c>
      <c r="L6" s="99">
        <v>-49.800000000000004</v>
      </c>
      <c r="N6" s="115" t="s">
        <v>136</v>
      </c>
      <c r="O6" s="122">
        <f t="shared" si="0"/>
        <v>671.42857142857144</v>
      </c>
      <c r="P6" s="119">
        <v>7</v>
      </c>
      <c r="Q6" s="103">
        <v>4700</v>
      </c>
    </row>
    <row r="7" spans="1:17" x14ac:dyDescent="0.4">
      <c r="A7" s="55" t="s">
        <v>2</v>
      </c>
      <c r="B7" s="47">
        <v>2</v>
      </c>
      <c r="C7" s="39">
        <f>IF(B$2=0,0,B7/B$2)</f>
        <v>0.25</v>
      </c>
      <c r="E7" s="63" t="s">
        <v>181</v>
      </c>
      <c r="F7" s="60" t="s">
        <v>182</v>
      </c>
      <c r="G7" s="47">
        <v>4</v>
      </c>
      <c r="H7" s="133">
        <f>IF(B$17=0,0,G7/B$17)</f>
        <v>0.23529411764705882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-5300</v>
      </c>
      <c r="P7" s="120">
        <v>7</v>
      </c>
      <c r="Q7" s="104">
        <v>-37100</v>
      </c>
    </row>
    <row r="8" spans="1:17" x14ac:dyDescent="0.4">
      <c r="A8" s="55" t="s">
        <v>3</v>
      </c>
      <c r="B8" s="47">
        <v>1</v>
      </c>
      <c r="C8" s="39">
        <f>IF(B$2=0,0,B8/B$2)</f>
        <v>0.125</v>
      </c>
      <c r="E8" s="63" t="s">
        <v>68</v>
      </c>
      <c r="F8" s="60" t="s">
        <v>24</v>
      </c>
      <c r="G8" s="47">
        <v>2</v>
      </c>
      <c r="H8" s="133">
        <f>IF(B$17=0,0,G8/B$17)</f>
        <v>0.11764705882352941</v>
      </c>
      <c r="I8" s="94">
        <v>11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5</v>
      </c>
      <c r="C9" s="40">
        <f t="shared" ref="C9" si="1">IF(B$2=0,0,B9/B$2)</f>
        <v>0.625</v>
      </c>
      <c r="E9" s="63" t="s">
        <v>70</v>
      </c>
      <c r="F9" s="60" t="s">
        <v>25</v>
      </c>
      <c r="G9" s="47">
        <v>2</v>
      </c>
      <c r="H9" s="133">
        <f>IF(B$17=0,0,G9/B$17)</f>
        <v>0.11764705882352941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0.125</v>
      </c>
      <c r="E10" s="63" t="s">
        <v>84</v>
      </c>
      <c r="F10" s="60" t="s">
        <v>39</v>
      </c>
      <c r="G10" s="47">
        <v>2</v>
      </c>
      <c r="H10" s="133">
        <f>IF(B$17=0,0,G10/B$17)</f>
        <v>0.11764705882352941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71</v>
      </c>
      <c r="F11" s="60" t="s">
        <v>26</v>
      </c>
      <c r="G11" s="47">
        <v>1</v>
      </c>
      <c r="H11" s="133">
        <f>IF(B$17=0,0,G11/B$17)</f>
        <v>5.8823529411764705E-2</v>
      </c>
      <c r="I11" s="94">
        <v>8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74</v>
      </c>
      <c r="F12" s="60" t="s">
        <v>29</v>
      </c>
      <c r="G12" s="47">
        <v>1</v>
      </c>
      <c r="H12" s="133">
        <f>IF(B$17=0,0,G12/B$17)</f>
        <v>5.8823529411764705E-2</v>
      </c>
      <c r="I12" s="94">
        <v>1</v>
      </c>
      <c r="N12" s="116" t="s">
        <v>166</v>
      </c>
      <c r="O12" s="126">
        <f>IF(P12=0,0,Q12/P12)</f>
        <v>28.6</v>
      </c>
      <c r="P12" s="120">
        <v>1</v>
      </c>
      <c r="Q12" s="108">
        <v>28.6</v>
      </c>
    </row>
    <row r="13" spans="1:17" x14ac:dyDescent="0.4">
      <c r="A13" s="58" t="s">
        <v>122</v>
      </c>
      <c r="B13" s="50">
        <v>12</v>
      </c>
      <c r="C13" s="44">
        <f>IF(B$3=0,0,B13/B$3)</f>
        <v>0.17647058823529413</v>
      </c>
      <c r="E13" s="63" t="s">
        <v>76</v>
      </c>
      <c r="F13" s="60" t="s">
        <v>31</v>
      </c>
      <c r="G13" s="47">
        <v>1</v>
      </c>
      <c r="H13" s="133">
        <f>IF(B$17=0,0,G13/B$17)</f>
        <v>5.8823529411764705E-2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</v>
      </c>
      <c r="C14" s="39">
        <f>IF(B$3=0,0,B14/B$3)</f>
        <v>0.22058823529411764</v>
      </c>
      <c r="E14" s="63" t="s">
        <v>80</v>
      </c>
      <c r="F14" s="60" t="s">
        <v>35</v>
      </c>
      <c r="G14" s="47">
        <v>1</v>
      </c>
      <c r="H14" s="133">
        <f>IF(B$17=0,0,G14/B$17)</f>
        <v>5.8823529411764705E-2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</v>
      </c>
      <c r="C15" s="37">
        <f>IF(B$13=0,0,B15/B$13)</f>
        <v>0.66666666666666663</v>
      </c>
      <c r="E15" s="63" t="s">
        <v>82</v>
      </c>
      <c r="F15" s="60" t="s">
        <v>37</v>
      </c>
      <c r="G15" s="47">
        <v>1</v>
      </c>
      <c r="H15" s="133">
        <f>IF(B$17=0,0,G15/B$17)</f>
        <v>5.8823529411764705E-2</v>
      </c>
      <c r="I15" s="94">
        <v>1</v>
      </c>
      <c r="N15" s="114" t="s">
        <v>129</v>
      </c>
      <c r="O15" s="124">
        <f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7</v>
      </c>
      <c r="C16" s="37">
        <f>IF(B$14=0,0,B16/B$14)</f>
        <v>0.46666666666666667</v>
      </c>
      <c r="E16" s="63" t="s">
        <v>66</v>
      </c>
      <c r="F16" s="60" t="s">
        <v>22</v>
      </c>
      <c r="G16" s="47">
        <v>0</v>
      </c>
      <c r="H16" s="133">
        <f>IF(B$17=0,0,G16/B$17)</f>
        <v>0</v>
      </c>
      <c r="I16" s="94">
        <v>10</v>
      </c>
      <c r="N16" s="115" t="s">
        <v>171</v>
      </c>
      <c r="O16" s="125">
        <f>IF(P16=0,0,Q16/P16)</f>
        <v>-25.400000000000002</v>
      </c>
      <c r="P16" s="119">
        <v>2</v>
      </c>
      <c r="Q16" s="107">
        <v>-50.800000000000004</v>
      </c>
    </row>
    <row r="17" spans="1:17" x14ac:dyDescent="0.4">
      <c r="A17" s="54" t="s">
        <v>10</v>
      </c>
      <c r="B17" s="46">
        <f>B19+B18</f>
        <v>17</v>
      </c>
      <c r="C17" s="37">
        <f>IF(B$3=0,0,B17/B$3)</f>
        <v>0.25</v>
      </c>
      <c r="E17" s="63" t="s">
        <v>72</v>
      </c>
      <c r="F17" s="60" t="s">
        <v>27</v>
      </c>
      <c r="G17" s="47">
        <v>0</v>
      </c>
      <c r="H17" s="133">
        <f>IF(B$17=0,0,G17/B$17)</f>
        <v>0</v>
      </c>
      <c r="I17" s="94">
        <v>10</v>
      </c>
      <c r="N17" s="115" t="s">
        <v>127</v>
      </c>
      <c r="O17" s="125">
        <f>IF(P17=0,0,Q17/P17)</f>
        <v>-28.880000000000003</v>
      </c>
      <c r="P17" s="119">
        <v>5</v>
      </c>
      <c r="Q17" s="107">
        <v>-144.4</v>
      </c>
    </row>
    <row r="18" spans="1:17" x14ac:dyDescent="0.4">
      <c r="A18" s="55" t="s">
        <v>12</v>
      </c>
      <c r="B18" s="47">
        <v>9</v>
      </c>
      <c r="C18" s="39">
        <f>IF(B$17=0,0,B18/B$17)</f>
        <v>0.52941176470588236</v>
      </c>
      <c r="E18" s="63" t="s">
        <v>75</v>
      </c>
      <c r="F18" s="60" t="s">
        <v>30</v>
      </c>
      <c r="G18" s="47">
        <v>0</v>
      </c>
      <c r="H18" s="133">
        <f>IF(B$17=0,0,G18/B$17)</f>
        <v>0</v>
      </c>
      <c r="I18" s="94">
        <v>3</v>
      </c>
      <c r="N18" s="115" t="s">
        <v>128</v>
      </c>
      <c r="O18" s="125">
        <f>IF(P18=0,0,Q18/P18)</f>
        <v>-39.480000000000004</v>
      </c>
      <c r="P18" s="119">
        <v>5</v>
      </c>
      <c r="Q18" s="107">
        <v>-197.4</v>
      </c>
    </row>
    <row r="19" spans="1:17" x14ac:dyDescent="0.4">
      <c r="A19" s="55" t="s">
        <v>11</v>
      </c>
      <c r="B19" s="47">
        <v>8</v>
      </c>
      <c r="C19" s="39">
        <f>IF(B$17=0,0,B19/B$17)</f>
        <v>0.47058823529411764</v>
      </c>
      <c r="E19" s="63" t="s">
        <v>77</v>
      </c>
      <c r="F19" s="60" t="s">
        <v>32</v>
      </c>
      <c r="G19" s="47">
        <v>0</v>
      </c>
      <c r="H19" s="133">
        <f>IF(B$17=0,0,G19/B$17)</f>
        <v>0</v>
      </c>
      <c r="I19" s="94">
        <v>1</v>
      </c>
      <c r="N19" s="115" t="s">
        <v>177</v>
      </c>
      <c r="O19" s="125">
        <f>IF(P19=0,0,Q19/P19)</f>
        <v>-60.800000000000004</v>
      </c>
      <c r="P19" s="119">
        <v>2</v>
      </c>
      <c r="Q19" s="107">
        <v>-121.60000000000001</v>
      </c>
    </row>
    <row r="20" spans="1:17" x14ac:dyDescent="0.4">
      <c r="A20" s="55" t="s">
        <v>13</v>
      </c>
      <c r="B20" s="47">
        <v>17</v>
      </c>
      <c r="C20" s="39">
        <f>IF(B$3=0,0,B20/B$3)</f>
        <v>0.25</v>
      </c>
      <c r="E20" s="63" t="s">
        <v>78</v>
      </c>
      <c r="F20" s="60" t="s">
        <v>33</v>
      </c>
      <c r="G20" s="47">
        <v>0</v>
      </c>
      <c r="H20" s="133">
        <f>IF(B$17=0,0,G20/B$17)</f>
        <v>0</v>
      </c>
      <c r="I20" s="94">
        <v>5</v>
      </c>
      <c r="N20" s="115" t="s">
        <v>185</v>
      </c>
      <c r="O20" s="125">
        <f>IF(P20=0,0,Q20/P20)</f>
        <v>-69.599999999999994</v>
      </c>
      <c r="P20" s="119">
        <v>1</v>
      </c>
      <c r="Q20" s="107">
        <v>-69.599999999999994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79</v>
      </c>
      <c r="F21" s="60" t="s">
        <v>34</v>
      </c>
      <c r="G21" s="47">
        <v>0</v>
      </c>
      <c r="H21" s="133">
        <f>IF(B$17=0,0,G21/B$17)</f>
        <v>0</v>
      </c>
      <c r="I21" s="94">
        <v>9</v>
      </c>
    </row>
    <row r="22" spans="1:17" x14ac:dyDescent="0.4">
      <c r="A22" s="55" t="s">
        <v>194</v>
      </c>
      <c r="B22" s="47">
        <v>10</v>
      </c>
      <c r="C22" s="135">
        <v>7</v>
      </c>
      <c r="E22" s="63" t="s">
        <v>81</v>
      </c>
      <c r="F22" s="60" t="s">
        <v>36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7364.7058823529414</v>
      </c>
      <c r="C23" s="41">
        <v>125200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-8323.5294117647063</v>
      </c>
      <c r="C24" s="45">
        <v>-141500</v>
      </c>
      <c r="E24" s="63" t="s">
        <v>85</v>
      </c>
      <c r="F24" s="60" t="s">
        <v>40</v>
      </c>
      <c r="G24" s="47">
        <v>0</v>
      </c>
      <c r="H24" s="133">
        <f>IF(B$17=0,0,G24/B$17)</f>
        <v>0</v>
      </c>
      <c r="I24" s="94">
        <v>3</v>
      </c>
    </row>
    <row r="25" spans="1:17" x14ac:dyDescent="0.4">
      <c r="A25" s="90" t="s">
        <v>142</v>
      </c>
      <c r="B25" s="140">
        <v>5</v>
      </c>
      <c r="C25" s="141"/>
      <c r="E25" s="63" t="s">
        <v>86</v>
      </c>
      <c r="F25" s="60" t="s">
        <v>41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62700</v>
      </c>
      <c r="C26" s="139"/>
      <c r="E26" s="63" t="s">
        <v>87</v>
      </c>
      <c r="F26" s="60" t="s">
        <v>42</v>
      </c>
      <c r="G26" s="47">
        <v>0</v>
      </c>
      <c r="H26" s="133">
        <f>IF(B$17=0,0,G26/B$17)</f>
        <v>0</v>
      </c>
      <c r="I26" s="94">
        <v>10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20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90EA4-A58D-495D-B828-96F3477F401E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</v>
      </c>
      <c r="C2" s="147"/>
      <c r="E2" s="62" t="s">
        <v>67</v>
      </c>
      <c r="F2" s="59" t="s">
        <v>23</v>
      </c>
      <c r="G2" s="46">
        <v>7</v>
      </c>
      <c r="H2" s="132">
        <f>IF(B$17=0,0,G2/B$17)</f>
        <v>0.77777777777777779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-6025</v>
      </c>
      <c r="P2" s="118">
        <v>4</v>
      </c>
      <c r="Q2" s="102">
        <v>-24100</v>
      </c>
    </row>
    <row r="3" spans="1:17" x14ac:dyDescent="0.4">
      <c r="A3" s="55" t="s">
        <v>8</v>
      </c>
      <c r="B3" s="148">
        <v>36</v>
      </c>
      <c r="C3" s="149"/>
      <c r="E3" s="63" t="s">
        <v>65</v>
      </c>
      <c r="F3" s="60" t="s">
        <v>21</v>
      </c>
      <c r="G3" s="47">
        <v>6</v>
      </c>
      <c r="H3" s="133">
        <f>IF(B$17=0,0,G3/B$17)</f>
        <v>0.66666666666666663</v>
      </c>
      <c r="I3" s="94">
        <v>1</v>
      </c>
      <c r="K3" s="38">
        <v>1</v>
      </c>
      <c r="L3" s="99">
        <v>-12.5</v>
      </c>
      <c r="N3" s="115" t="s">
        <v>133</v>
      </c>
      <c r="O3" s="122">
        <f t="shared" si="0"/>
        <v>3450</v>
      </c>
      <c r="P3" s="119">
        <v>4</v>
      </c>
      <c r="Q3" s="103">
        <v>13800</v>
      </c>
    </row>
    <row r="4" spans="1:17" x14ac:dyDescent="0.4">
      <c r="A4" s="55" t="s">
        <v>6</v>
      </c>
      <c r="B4" s="150">
        <v>19.399999999999995</v>
      </c>
      <c r="C4" s="151"/>
      <c r="E4" s="63" t="s">
        <v>73</v>
      </c>
      <c r="F4" s="60" t="s">
        <v>28</v>
      </c>
      <c r="G4" s="47">
        <v>6</v>
      </c>
      <c r="H4" s="133">
        <f>IF(B$17=0,0,G4/B$17)</f>
        <v>0.66666666666666663</v>
      </c>
      <c r="I4" s="94">
        <v>3</v>
      </c>
      <c r="K4" s="38">
        <v>2</v>
      </c>
      <c r="L4" s="99">
        <v>-28.1</v>
      </c>
      <c r="N4" s="115" t="s">
        <v>134</v>
      </c>
      <c r="O4" s="122">
        <f t="shared" si="0"/>
        <v>-3650</v>
      </c>
      <c r="P4" s="119">
        <v>4</v>
      </c>
      <c r="Q4" s="103">
        <v>-14600</v>
      </c>
    </row>
    <row r="5" spans="1:17" x14ac:dyDescent="0.4">
      <c r="A5" s="55" t="s">
        <v>7</v>
      </c>
      <c r="B5" s="152">
        <f>IF(B$2=0,0,B$4/B$2)</f>
        <v>4.8499999999999988</v>
      </c>
      <c r="C5" s="153"/>
      <c r="E5" s="63" t="s">
        <v>68</v>
      </c>
      <c r="F5" s="60" t="s">
        <v>24</v>
      </c>
      <c r="G5" s="47">
        <v>5</v>
      </c>
      <c r="H5" s="133">
        <f>IF(B$17=0,0,G5/B$17)</f>
        <v>0.55555555555555558</v>
      </c>
      <c r="I5" s="94">
        <v>1</v>
      </c>
      <c r="K5" s="38">
        <v>3</v>
      </c>
      <c r="L5" s="99">
        <v>-20.400000000000002</v>
      </c>
      <c r="N5" s="115" t="s">
        <v>135</v>
      </c>
      <c r="O5" s="122">
        <f t="shared" si="0"/>
        <v>-1250</v>
      </c>
      <c r="P5" s="119">
        <v>4</v>
      </c>
      <c r="Q5" s="103">
        <v>-5000</v>
      </c>
    </row>
    <row r="6" spans="1:17" x14ac:dyDescent="0.4">
      <c r="A6" s="55" t="s">
        <v>1</v>
      </c>
      <c r="B6" s="142">
        <f>IF(B$2=0,0,(B$7*1+B$8*2+B$9*3)/B$2)</f>
        <v>1.75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0.55555555555555558</v>
      </c>
      <c r="I6" s="94">
        <v>1</v>
      </c>
      <c r="K6" s="38">
        <v>4</v>
      </c>
      <c r="L6" s="99">
        <v>19.399999999999995</v>
      </c>
      <c r="N6" s="115" t="s">
        <v>136</v>
      </c>
      <c r="O6" s="122">
        <f t="shared" si="0"/>
        <v>11266.666666666666</v>
      </c>
      <c r="P6" s="119">
        <v>3</v>
      </c>
      <c r="Q6" s="103">
        <v>33800</v>
      </c>
    </row>
    <row r="7" spans="1:17" x14ac:dyDescent="0.4">
      <c r="A7" s="55" t="s">
        <v>2</v>
      </c>
      <c r="B7" s="47">
        <v>1</v>
      </c>
      <c r="C7" s="39">
        <f>IF(B$2=0,0,B7/B$2)</f>
        <v>0.25</v>
      </c>
      <c r="E7" s="63" t="s">
        <v>181</v>
      </c>
      <c r="F7" s="60" t="s">
        <v>182</v>
      </c>
      <c r="G7" s="47">
        <v>5</v>
      </c>
      <c r="H7" s="133">
        <f>IF(B$17=0,0,G7/B$17)</f>
        <v>0.55555555555555558</v>
      </c>
      <c r="I7" s="94">
        <v>1</v>
      </c>
      <c r="N7" s="116" t="s">
        <v>137</v>
      </c>
      <c r="O7" s="123">
        <f t="shared" si="0"/>
        <v>-1500</v>
      </c>
      <c r="P7" s="120">
        <v>3</v>
      </c>
      <c r="Q7" s="104">
        <v>-4500</v>
      </c>
    </row>
    <row r="8" spans="1:17" x14ac:dyDescent="0.4">
      <c r="A8" s="55" t="s">
        <v>3</v>
      </c>
      <c r="B8" s="47">
        <v>3</v>
      </c>
      <c r="C8" s="39">
        <f>IF(B$2=0,0,B8/B$2)</f>
        <v>0.75</v>
      </c>
      <c r="E8" s="63" t="s">
        <v>70</v>
      </c>
      <c r="F8" s="60" t="s">
        <v>25</v>
      </c>
      <c r="G8" s="47">
        <v>3</v>
      </c>
      <c r="H8" s="133">
        <f>IF(B$17=0,0,G8/B$17)</f>
        <v>0.33333333333333331</v>
      </c>
      <c r="I8" s="94">
        <v>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90</v>
      </c>
      <c r="F9" s="60" t="s">
        <v>45</v>
      </c>
      <c r="G9" s="47">
        <v>2</v>
      </c>
      <c r="H9" s="133">
        <f>IF(B$17=0,0,G9/B$17)</f>
        <v>0.22222222222222221</v>
      </c>
      <c r="I9" s="94">
        <v>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66</v>
      </c>
      <c r="F10" s="60" t="s">
        <v>22</v>
      </c>
      <c r="G10" s="47">
        <v>1</v>
      </c>
      <c r="H10" s="133">
        <f>IF(B$17=0,0,G10/B$17)</f>
        <v>0.1111111111111111</v>
      </c>
      <c r="I10" s="94">
        <v>6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79</v>
      </c>
      <c r="F11" s="60" t="s">
        <v>34</v>
      </c>
      <c r="G11" s="47">
        <v>1</v>
      </c>
      <c r="H11" s="133">
        <f>IF(B$17=0,0,G11/B$17)</f>
        <v>0.1111111111111111</v>
      </c>
      <c r="I11" s="94">
        <v>1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87</v>
      </c>
      <c r="F12" s="60" t="s">
        <v>42</v>
      </c>
      <c r="G12" s="47">
        <v>1</v>
      </c>
      <c r="H12" s="133">
        <f>IF(B$17=0,0,G12/B$17)</f>
        <v>0.1111111111111111</v>
      </c>
      <c r="I12" s="94">
        <v>2</v>
      </c>
      <c r="N12" s="116" t="s">
        <v>166</v>
      </c>
      <c r="O12" s="126">
        <f>IF(P12=0,0,Q12/P12)</f>
        <v>13.649999999999999</v>
      </c>
      <c r="P12" s="120">
        <v>2</v>
      </c>
      <c r="Q12" s="108">
        <v>27.299999999999997</v>
      </c>
    </row>
    <row r="13" spans="1:17" x14ac:dyDescent="0.4">
      <c r="A13" s="58" t="s">
        <v>122</v>
      </c>
      <c r="B13" s="50">
        <v>11</v>
      </c>
      <c r="C13" s="44">
        <f>IF(B$3=0,0,B13/B$3)</f>
        <v>0.30555555555555558</v>
      </c>
      <c r="E13" s="63" t="s">
        <v>71</v>
      </c>
      <c r="F13" s="60" t="s">
        <v>26</v>
      </c>
      <c r="G13" s="47">
        <v>0</v>
      </c>
      <c r="H13" s="133">
        <f>IF(B$17=0,0,G13/B$17)</f>
        <v>0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</v>
      </c>
      <c r="C14" s="39">
        <f>IF(B$3=0,0,B14/B$3)</f>
        <v>0.27777777777777779</v>
      </c>
      <c r="E14" s="63" t="s">
        <v>72</v>
      </c>
      <c r="F14" s="60" t="s">
        <v>27</v>
      </c>
      <c r="G14" s="47">
        <v>0</v>
      </c>
      <c r="H14" s="133">
        <f>IF(B$17=0,0,G14/B$17)</f>
        <v>0</v>
      </c>
      <c r="I14" s="94">
        <v>10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</v>
      </c>
      <c r="C15" s="37">
        <f>IF(B$13=0,0,B15/B$13)</f>
        <v>0.54545454545454541</v>
      </c>
      <c r="E15" s="63" t="s">
        <v>74</v>
      </c>
      <c r="F15" s="60" t="s">
        <v>29</v>
      </c>
      <c r="G15" s="47">
        <v>0</v>
      </c>
      <c r="H15" s="133">
        <f>IF(B$17=0,0,G15/B$17)</f>
        <v>0</v>
      </c>
      <c r="I15" s="94">
        <v>6</v>
      </c>
      <c r="N15" s="114" t="s">
        <v>171</v>
      </c>
      <c r="O15" s="124">
        <f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3</v>
      </c>
      <c r="C16" s="37">
        <f>IF(B$14=0,0,B16/B$14)</f>
        <v>0.3</v>
      </c>
      <c r="E16" s="63" t="s">
        <v>75</v>
      </c>
      <c r="F16" s="60" t="s">
        <v>30</v>
      </c>
      <c r="G16" s="47">
        <v>0</v>
      </c>
      <c r="H16" s="133">
        <f>IF(B$17=0,0,G16/B$17)</f>
        <v>0</v>
      </c>
      <c r="I16" s="94">
        <v>3</v>
      </c>
      <c r="N16" s="115" t="s">
        <v>173</v>
      </c>
      <c r="O16" s="125">
        <f>IF(P16=0,0,Q16/P16)</f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9</v>
      </c>
      <c r="C17" s="37">
        <f>IF(B$3=0,0,B17/B$3)</f>
        <v>0.25</v>
      </c>
      <c r="E17" s="63" t="s">
        <v>76</v>
      </c>
      <c r="F17" s="60" t="s">
        <v>31</v>
      </c>
      <c r="G17" s="47">
        <v>0</v>
      </c>
      <c r="H17" s="133">
        <f>IF(B$17=0,0,G17/B$17)</f>
        <v>0</v>
      </c>
      <c r="I17" s="94">
        <v>7</v>
      </c>
      <c r="N17" s="115" t="s">
        <v>172</v>
      </c>
      <c r="O17" s="125">
        <f>IF(P17=0,0,Q17/P17)</f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6</v>
      </c>
      <c r="C18" s="39">
        <f>IF(B$17=0,0,B18/B$17)</f>
        <v>0.66666666666666663</v>
      </c>
      <c r="E18" s="63" t="s">
        <v>77</v>
      </c>
      <c r="F18" s="60" t="s">
        <v>32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3</v>
      </c>
      <c r="C19" s="39">
        <f>IF(B$17=0,0,B19/B$17)</f>
        <v>0.33333333333333331</v>
      </c>
      <c r="E19" s="63" t="s">
        <v>78</v>
      </c>
      <c r="F19" s="60" t="s">
        <v>33</v>
      </c>
      <c r="G19" s="47">
        <v>0</v>
      </c>
      <c r="H19" s="133">
        <f>IF(B$17=0,0,G19/B$17)</f>
        <v>0</v>
      </c>
      <c r="I19" s="94">
        <v>5</v>
      </c>
    </row>
    <row r="20" spans="1:17" x14ac:dyDescent="0.4">
      <c r="A20" s="55" t="s">
        <v>13</v>
      </c>
      <c r="B20" s="47">
        <v>6</v>
      </c>
      <c r="C20" s="39">
        <f>IF(B$3=0,0,B20/B$3)</f>
        <v>0.16666666666666666</v>
      </c>
      <c r="E20" s="63" t="s">
        <v>80</v>
      </c>
      <c r="F20" s="60" t="s">
        <v>35</v>
      </c>
      <c r="G20" s="47">
        <v>0</v>
      </c>
      <c r="H20" s="133">
        <f>IF(B$17=0,0,G20/B$17)</f>
        <v>0</v>
      </c>
      <c r="I20" s="94">
        <v>8</v>
      </c>
    </row>
    <row r="21" spans="1:17" x14ac:dyDescent="0.4">
      <c r="A21" s="55" t="s">
        <v>193</v>
      </c>
      <c r="B21" s="47">
        <v>3</v>
      </c>
      <c r="C21" s="135">
        <v>3</v>
      </c>
      <c r="E21" s="63" t="s">
        <v>81</v>
      </c>
      <c r="F21" s="60" t="s">
        <v>36</v>
      </c>
      <c r="G21" s="47">
        <v>0</v>
      </c>
      <c r="H21" s="133">
        <f>IF(B$17=0,0,G21/B$17)</f>
        <v>0</v>
      </c>
      <c r="I21" s="94">
        <v>1</v>
      </c>
    </row>
    <row r="22" spans="1:17" x14ac:dyDescent="0.4">
      <c r="A22" s="55" t="s">
        <v>194</v>
      </c>
      <c r="B22" s="47">
        <v>8</v>
      </c>
      <c r="C22" s="135">
        <v>4</v>
      </c>
      <c r="E22" s="63" t="s">
        <v>82</v>
      </c>
      <c r="F22" s="60" t="s">
        <v>37</v>
      </c>
      <c r="G22" s="47">
        <v>0</v>
      </c>
      <c r="H22" s="133">
        <f>IF(B$17=0,0,G22/B$17)</f>
        <v>0</v>
      </c>
      <c r="I22" s="94">
        <v>9</v>
      </c>
    </row>
    <row r="23" spans="1:17" x14ac:dyDescent="0.4">
      <c r="A23" s="55" t="s">
        <v>5</v>
      </c>
      <c r="B23" s="51">
        <f>IF(B$17=0,0,C23/B$17)</f>
        <v>9555.5555555555547</v>
      </c>
      <c r="C23" s="41">
        <v>86000</v>
      </c>
      <c r="E23" s="63" t="s">
        <v>83</v>
      </c>
      <c r="F23" s="60" t="s">
        <v>38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-5866.666666666667</v>
      </c>
      <c r="C24" s="45">
        <v>-35200</v>
      </c>
      <c r="E24" s="63" t="s">
        <v>84</v>
      </c>
      <c r="F24" s="60" t="s">
        <v>39</v>
      </c>
      <c r="G24" s="47">
        <v>0</v>
      </c>
      <c r="H24" s="133">
        <f>IF(B$17=0,0,G24/B$17)</f>
        <v>0</v>
      </c>
      <c r="I24" s="94">
        <v>10</v>
      </c>
    </row>
    <row r="25" spans="1:17" x14ac:dyDescent="0.4">
      <c r="A25" s="90" t="s">
        <v>142</v>
      </c>
      <c r="B25" s="140">
        <v>4</v>
      </c>
      <c r="C25" s="141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3</v>
      </c>
    </row>
    <row r="26" spans="1:17" x14ac:dyDescent="0.4">
      <c r="A26" s="58" t="s">
        <v>152</v>
      </c>
      <c r="B26" s="138">
        <v>54800</v>
      </c>
      <c r="C26" s="139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3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5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3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5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3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</row>
  </sheetData>
  <sortState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BBB391-7D4C-4E07-886B-32993B31698B}">
  <sheetPr codeName="Sheet26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9F586-850A-4171-8E70-4D14FFA91641}">
  <sheetPr codeName="Sheet24"/>
  <dimension ref="A1:Q1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4E5D8-EE22-4FA0-AB66-83CC1655F09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6F7AB-E80C-4F07-97FE-25415A23412C}">
  <sheetPr codeName="Sheet20"/>
  <dimension ref="A1:Q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2EF77A-58D7-4D73-84B8-1C86ED6F1BB4}">
  <sheetPr codeName="Sheet18"/>
  <dimension ref="A1:Q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E367B-3D47-4264-8F2D-E7402283CDBC}">
  <sheetPr codeName="Sheet16"/>
  <dimension ref="A1:Q4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0AF8DF-D3F1-4C7B-B16C-78B9AAE1A93D}">
  <sheetPr codeName="Sheet14"/>
  <dimension ref="A1:Q4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8F11B-E030-4716-B626-D4F5315FAB8A}">
  <sheetPr codeName="Sheet12"/>
  <dimension ref="A1:Q3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-837.69999999999993</v>
      </c>
      <c r="C35" s="66">
        <v>-26.178124999999998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-877.19999999999993</v>
      </c>
      <c r="C36" s="66">
        <v>-26.581818181818178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-832.19999999999993</v>
      </c>
      <c r="C37" s="66">
        <v>-24.476470588235291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-814.59999999999991</v>
      </c>
      <c r="C38" s="66">
        <v>-23.27428571428571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-782.49999999999989</v>
      </c>
      <c r="C39" s="66">
        <v>-21.736111111111107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71882-D357-42B9-A6C6-6B6216637257}">
  <sheetPr codeName="Sheet10"/>
  <dimension ref="A1:Q9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14E81-D2A9-4D87-9317-440689BC3EBB}">
  <sheetPr codeName="Sheet8"/>
  <dimension ref="A1:Q8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03C0-213D-4D98-8D87-5AD9E667EFFA}">
  <sheetPr codeName="Sheet6"/>
  <dimension ref="A1:Q1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1.0000000000000213</v>
      </c>
      <c r="C112" s="66">
        <v>3.0581039755352333E-3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1.0000000000000213</v>
      </c>
      <c r="C113" s="66">
        <v>3.0303030303030949E-3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1.0000000000000271</v>
      </c>
      <c r="C114" s="66">
        <v>3.0030030030030845E-3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1.0000000000000284</v>
      </c>
      <c r="C115" s="66">
        <v>2.9761904761905606E-3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1.0000000000000284</v>
      </c>
      <c r="C116" s="66">
        <v>2.9498525073747149E-3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1.0000000000000284</v>
      </c>
      <c r="C117" s="66">
        <v>2.9239766081872176E-3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1.0000000000000255</v>
      </c>
      <c r="C118" s="66">
        <v>2.8985507246377554E-3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1.0000000000000284</v>
      </c>
      <c r="C119" s="66">
        <v>2.8735632183908861E-3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1.0000000000000284</v>
      </c>
      <c r="C120" s="66">
        <v>2.8490028490029298E-3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1.0000000000000284</v>
      </c>
      <c r="C121" s="66">
        <v>2.8248587570622271E-3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1.0000000000000355</v>
      </c>
      <c r="C122" s="66">
        <v>2.801120448179371E-3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2019-05-08T11:07:49Z</dcterms:modified>
</cp:coreProperties>
</file>