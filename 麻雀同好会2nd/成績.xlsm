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54A19EE-D236-49F7-98C0-E3343D05BCE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61" r:id="rId6"/>
    <sheet name="だいち" sheetId="5563" r:id="rId7"/>
    <sheet name="りくと" sheetId="5565" r:id="rId8"/>
    <sheet name="ただ" sheetId="5567" r:id="rId9"/>
    <sheet name="れんたろう" sheetId="5569" r:id="rId10"/>
    <sheet name="たかの" sheetId="5571" r:id="rId11"/>
    <sheet name="ぱぱ" sheetId="5573" r:id="rId12"/>
    <sheet name="まっつん" sheetId="5575" r:id="rId13"/>
    <sheet name="あさひ" sheetId="5577" r:id="rId14"/>
    <sheet name="いっしー" sheetId="5579" r:id="rId15"/>
    <sheet name="ほたに" sheetId="5581" r:id="rId16"/>
    <sheet name="かわたつ" sheetId="5583" r:id="rId17"/>
    <sheet name="やがさき" sheetId="5585" r:id="rId18"/>
    <sheet name="のり" sheetId="5587" r:id="rId19"/>
    <sheet name="のり2" sheetId="5588" state="hidden" r:id="rId20"/>
    <sheet name="やがさき2" sheetId="5586" state="hidden" r:id="rId21"/>
    <sheet name="かわたつ2" sheetId="5584" state="hidden" r:id="rId22"/>
    <sheet name="ほたに2" sheetId="5582" state="hidden" r:id="rId23"/>
    <sheet name="いっしー2" sheetId="5580" state="hidden" r:id="rId24"/>
    <sheet name="あさひ2" sheetId="5578" state="hidden" r:id="rId25"/>
    <sheet name="まっつん2" sheetId="5576" state="hidden" r:id="rId26"/>
    <sheet name="ぱぱ2" sheetId="5574" state="hidden" r:id="rId27"/>
    <sheet name="たかの2" sheetId="5572" state="hidden" r:id="rId28"/>
    <sheet name="れんたろう2" sheetId="5570" state="hidden" r:id="rId29"/>
    <sheet name="ただ2" sheetId="5568" state="hidden" r:id="rId30"/>
    <sheet name="りくと2" sheetId="5566" state="hidden" r:id="rId31"/>
    <sheet name="だいち2" sheetId="5564" state="hidden" r:id="rId32"/>
    <sheet name="全体2" sheetId="5562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73" l="1"/>
  <c r="O18" i="5587"/>
  <c r="O16" i="5581"/>
  <c r="O15" i="5587"/>
  <c r="O15" i="5567" l="1"/>
  <c r="O15" i="5575"/>
  <c r="O15" i="5561"/>
  <c r="O17" i="5587"/>
  <c r="O16" i="5587"/>
  <c r="C27" i="5587"/>
  <c r="B24" i="5587"/>
  <c r="C20" i="5587"/>
  <c r="B17" i="5587"/>
  <c r="H50" i="5587" s="1"/>
  <c r="C16" i="5587"/>
  <c r="C15" i="5587"/>
  <c r="C14" i="5587"/>
  <c r="C13" i="5587"/>
  <c r="O12" i="5587"/>
  <c r="C12" i="5587"/>
  <c r="O11" i="5587"/>
  <c r="C11" i="5587"/>
  <c r="O10" i="5587"/>
  <c r="C10" i="5587"/>
  <c r="C9" i="5587"/>
  <c r="C8" i="5587"/>
  <c r="O7" i="5587"/>
  <c r="C7" i="5587"/>
  <c r="O6" i="5587"/>
  <c r="B6" i="5587"/>
  <c r="O5" i="5587"/>
  <c r="B5" i="5587"/>
  <c r="O4" i="5587"/>
  <c r="O3" i="5587"/>
  <c r="O2" i="5587"/>
  <c r="H2" i="5587" l="1"/>
  <c r="H16" i="5587"/>
  <c r="H25" i="5587"/>
  <c r="H9" i="5587"/>
  <c r="H39" i="5587"/>
  <c r="H4" i="5587"/>
  <c r="H40" i="5587"/>
  <c r="H22" i="5587"/>
  <c r="H8" i="5587"/>
  <c r="H10" i="5587"/>
  <c r="H17" i="5587"/>
  <c r="B23" i="5587"/>
  <c r="H31" i="5587"/>
  <c r="H48" i="5587"/>
  <c r="H5" i="5587"/>
  <c r="C18" i="5587"/>
  <c r="H32" i="5587"/>
  <c r="H47" i="5587"/>
  <c r="H12" i="5587"/>
  <c r="H14" i="5587"/>
  <c r="H19" i="5587"/>
  <c r="H35" i="5587"/>
  <c r="H43" i="5587"/>
  <c r="H51" i="5587"/>
  <c r="H27" i="5587"/>
  <c r="H3" i="5587"/>
  <c r="H6" i="5587"/>
  <c r="H11" i="5587"/>
  <c r="C17" i="5587"/>
  <c r="H24" i="5587"/>
  <c r="H28" i="5587"/>
  <c r="H36" i="5587"/>
  <c r="H44" i="5587"/>
  <c r="H52" i="5587"/>
  <c r="H18" i="5587"/>
  <c r="H20" i="5587"/>
  <c r="H23" i="5587"/>
  <c r="H26" i="5587"/>
  <c r="H29" i="5587"/>
  <c r="H33" i="5587"/>
  <c r="H37" i="5587"/>
  <c r="H41" i="5587"/>
  <c r="H45" i="5587"/>
  <c r="H49" i="5587"/>
  <c r="H7" i="5587"/>
  <c r="H13" i="5587"/>
  <c r="H15" i="5587"/>
  <c r="C19" i="5587"/>
  <c r="H21" i="5587"/>
  <c r="H30" i="5587"/>
  <c r="H34" i="5587"/>
  <c r="H38" i="5587"/>
  <c r="H42" i="5587"/>
  <c r="H46" i="5587"/>
  <c r="O23" i="5579" l="1"/>
  <c r="O15" i="5585"/>
  <c r="O22" i="5581" l="1"/>
  <c r="O17" i="5567"/>
  <c r="O24" i="5573" l="1"/>
  <c r="O15" i="5579"/>
  <c r="O25" i="5563" l="1"/>
  <c r="O17" i="5585"/>
  <c r="O16" i="5567" l="1"/>
  <c r="O23" i="5571"/>
  <c r="O26" i="5561"/>
  <c r="O18" i="5585"/>
  <c r="O16" i="5585"/>
  <c r="C27" i="5585"/>
  <c r="B24" i="5585"/>
  <c r="C20" i="5585"/>
  <c r="B17" i="5585"/>
  <c r="H52" i="5585" s="1"/>
  <c r="C16" i="5585"/>
  <c r="C15" i="5585"/>
  <c r="C14" i="5585"/>
  <c r="C13" i="5585"/>
  <c r="O12" i="5585"/>
  <c r="C12" i="5585"/>
  <c r="O11" i="5585"/>
  <c r="C11" i="5585"/>
  <c r="O10" i="5585"/>
  <c r="H10" i="5585"/>
  <c r="C10" i="5585"/>
  <c r="C9" i="5585"/>
  <c r="H8" i="5585"/>
  <c r="C8" i="5585"/>
  <c r="O7" i="5585"/>
  <c r="C7" i="5585"/>
  <c r="O6" i="5585"/>
  <c r="B6" i="5585"/>
  <c r="O5" i="5585"/>
  <c r="B5" i="5585"/>
  <c r="O4" i="5585"/>
  <c r="H4" i="5585"/>
  <c r="O3" i="5585"/>
  <c r="O2" i="5585"/>
  <c r="H2" i="5585"/>
  <c r="O15" i="5583"/>
  <c r="O16" i="5583"/>
  <c r="C27" i="5583"/>
  <c r="B24" i="5583"/>
  <c r="C20" i="5583"/>
  <c r="B17" i="5583"/>
  <c r="H52" i="5583" s="1"/>
  <c r="C16" i="5583"/>
  <c r="C15" i="5583"/>
  <c r="C14" i="5583"/>
  <c r="C13" i="5583"/>
  <c r="O12" i="5583"/>
  <c r="C12" i="5583"/>
  <c r="O11" i="5583"/>
  <c r="C11" i="5583"/>
  <c r="O10" i="5583"/>
  <c r="C10" i="5583"/>
  <c r="C9" i="5583"/>
  <c r="C8" i="5583"/>
  <c r="O7" i="5583"/>
  <c r="C7" i="5583"/>
  <c r="O6" i="5583"/>
  <c r="B6" i="5583"/>
  <c r="O5" i="5583"/>
  <c r="B5" i="5583"/>
  <c r="O4" i="5583"/>
  <c r="O3" i="5583"/>
  <c r="O2" i="5583"/>
  <c r="O23" i="5569"/>
  <c r="O16" i="5563"/>
  <c r="O25" i="5561"/>
  <c r="C17" i="5585" l="1"/>
  <c r="H20" i="5585"/>
  <c r="H26" i="5585"/>
  <c r="H33" i="5585"/>
  <c r="H37" i="5585"/>
  <c r="H45" i="5585"/>
  <c r="H15" i="5585"/>
  <c r="C19" i="5585"/>
  <c r="H30" i="5585"/>
  <c r="H34" i="5585"/>
  <c r="H38" i="5585"/>
  <c r="H42" i="5585"/>
  <c r="H50" i="5585"/>
  <c r="H3" i="5585"/>
  <c r="H6" i="5585"/>
  <c r="H9" i="5585"/>
  <c r="H12" i="5585"/>
  <c r="H17" i="5585"/>
  <c r="H19" i="5585"/>
  <c r="H22" i="5585"/>
  <c r="H24" i="5585"/>
  <c r="H27" i="5585"/>
  <c r="H31" i="5585"/>
  <c r="H35" i="5585"/>
  <c r="H39" i="5585"/>
  <c r="H43" i="5585"/>
  <c r="H47" i="5585"/>
  <c r="H51" i="5585"/>
  <c r="H18" i="5585"/>
  <c r="H23" i="5585"/>
  <c r="H29" i="5585"/>
  <c r="H41" i="5585"/>
  <c r="H49" i="5585"/>
  <c r="H7" i="5585"/>
  <c r="H13" i="5585"/>
  <c r="H21" i="5585"/>
  <c r="H46" i="5585"/>
  <c r="H5" i="5585"/>
  <c r="H11" i="5585"/>
  <c r="H14" i="5585"/>
  <c r="H16" i="5585"/>
  <c r="C18" i="5585"/>
  <c r="B23" i="5585"/>
  <c r="H25" i="5585"/>
  <c r="H28" i="5585"/>
  <c r="H32" i="5585"/>
  <c r="H36" i="5585"/>
  <c r="H40" i="5585"/>
  <c r="H44" i="5585"/>
  <c r="H48" i="5585"/>
  <c r="C17" i="5583"/>
  <c r="H4" i="5583"/>
  <c r="H10" i="5583"/>
  <c r="H2" i="5583"/>
  <c r="H8" i="5583"/>
  <c r="H18" i="5583"/>
  <c r="H20" i="5583"/>
  <c r="H23" i="5583"/>
  <c r="H26" i="5583"/>
  <c r="H29" i="5583"/>
  <c r="H33" i="5583"/>
  <c r="H37" i="5583"/>
  <c r="H41" i="5583"/>
  <c r="H45" i="5583"/>
  <c r="H49" i="5583"/>
  <c r="H7" i="5583"/>
  <c r="H13" i="5583"/>
  <c r="H15" i="5583"/>
  <c r="C19" i="5583"/>
  <c r="H21" i="5583"/>
  <c r="H30" i="5583"/>
  <c r="H34" i="5583"/>
  <c r="H38" i="5583"/>
  <c r="H42" i="5583"/>
  <c r="H46" i="5583"/>
  <c r="H50" i="5583"/>
  <c r="H3" i="5583"/>
  <c r="H6" i="5583"/>
  <c r="H9" i="5583"/>
  <c r="H12" i="5583"/>
  <c r="H17" i="5583"/>
  <c r="H19" i="5583"/>
  <c r="H22" i="5583"/>
  <c r="H24" i="5583"/>
  <c r="H27" i="5583"/>
  <c r="H31" i="5583"/>
  <c r="H35" i="5583"/>
  <c r="H39" i="5583"/>
  <c r="H43" i="5583"/>
  <c r="H47" i="5583"/>
  <c r="H51" i="5583"/>
  <c r="H5" i="5583"/>
  <c r="H11" i="5583"/>
  <c r="H14" i="5583"/>
  <c r="H16" i="5583"/>
  <c r="C18" i="5583"/>
  <c r="B23" i="5583"/>
  <c r="H25" i="5583"/>
  <c r="H28" i="5583"/>
  <c r="H32" i="5583"/>
  <c r="H36" i="5583"/>
  <c r="H40" i="5583"/>
  <c r="H44" i="5583"/>
  <c r="H48" i="5583"/>
  <c r="O15" i="5571" l="1"/>
  <c r="O21" i="5579"/>
  <c r="O21" i="5581" l="1"/>
  <c r="O20" i="5581"/>
  <c r="O20" i="5575"/>
  <c r="O21" i="5565"/>
  <c r="O24" i="5563" l="1"/>
  <c r="O18" i="5581"/>
  <c r="O23" i="5573"/>
  <c r="O15" i="5581"/>
  <c r="O19" i="5581" l="1"/>
  <c r="O17" i="5581"/>
  <c r="C27" i="5581"/>
  <c r="B24" i="5581"/>
  <c r="C20" i="5581"/>
  <c r="B17" i="5581"/>
  <c r="H51" i="5581" s="1"/>
  <c r="C16" i="5581"/>
  <c r="C15" i="5581"/>
  <c r="C14" i="5581"/>
  <c r="C13" i="5581"/>
  <c r="O12" i="5581"/>
  <c r="C12" i="5581"/>
  <c r="O11" i="5581"/>
  <c r="C11" i="5581"/>
  <c r="O10" i="5581"/>
  <c r="C10" i="5581"/>
  <c r="C9" i="5581"/>
  <c r="C8" i="5581"/>
  <c r="O7" i="5581"/>
  <c r="C7" i="5581"/>
  <c r="O6" i="5581"/>
  <c r="B6" i="5581"/>
  <c r="O5" i="5581"/>
  <c r="B5" i="5581"/>
  <c r="O4" i="5581"/>
  <c r="O3" i="5581"/>
  <c r="O2" i="5581"/>
  <c r="O21" i="5569"/>
  <c r="O21" i="5571"/>
  <c r="O23" i="5561"/>
  <c r="H8" i="5581" l="1"/>
  <c r="H2" i="5581"/>
  <c r="H14" i="5581"/>
  <c r="H52" i="5581"/>
  <c r="H25" i="5581"/>
  <c r="C18" i="5581"/>
  <c r="H11" i="5581"/>
  <c r="H36" i="5581"/>
  <c r="H4" i="5581"/>
  <c r="H10" i="5581"/>
  <c r="H16" i="5581"/>
  <c r="H40" i="5581"/>
  <c r="B23" i="5581"/>
  <c r="H44" i="5581"/>
  <c r="H28" i="5581"/>
  <c r="H5" i="5581"/>
  <c r="C17" i="5581"/>
  <c r="H32" i="5581"/>
  <c r="H48" i="5581"/>
  <c r="H20" i="5581"/>
  <c r="H26" i="5581"/>
  <c r="H29" i="5581"/>
  <c r="H37" i="5581"/>
  <c r="H41" i="5581"/>
  <c r="H45" i="5581"/>
  <c r="H7" i="5581"/>
  <c r="H13" i="5581"/>
  <c r="H15" i="5581"/>
  <c r="C19" i="5581"/>
  <c r="H21" i="5581"/>
  <c r="H30" i="5581"/>
  <c r="H34" i="5581"/>
  <c r="H38" i="5581"/>
  <c r="H42" i="5581"/>
  <c r="H46" i="5581"/>
  <c r="H50" i="5581"/>
  <c r="H18" i="5581"/>
  <c r="H23" i="5581"/>
  <c r="H33" i="5581"/>
  <c r="H49" i="5581"/>
  <c r="H3" i="5581"/>
  <c r="H6" i="5581"/>
  <c r="H9" i="5581"/>
  <c r="H12" i="5581"/>
  <c r="H17" i="5581"/>
  <c r="H19" i="5581"/>
  <c r="H22" i="5581"/>
  <c r="H24" i="5581"/>
  <c r="H27" i="5581"/>
  <c r="H31" i="5581"/>
  <c r="H35" i="5581"/>
  <c r="H39" i="5581"/>
  <c r="H43" i="5581"/>
  <c r="H47" i="5581"/>
  <c r="O18" i="5571" l="1"/>
  <c r="O18" i="5567"/>
  <c r="O21" i="5575"/>
  <c r="O22" i="5575"/>
  <c r="O17" i="5563" l="1"/>
  <c r="O20" i="5579"/>
  <c r="O18" i="5579" l="1"/>
  <c r="O16" i="5579"/>
  <c r="O16" i="5569"/>
  <c r="O24" i="5567"/>
  <c r="O17" i="5577" l="1"/>
  <c r="O22" i="5573"/>
  <c r="O15" i="5577"/>
  <c r="O22" i="5579"/>
  <c r="O15" i="5565"/>
  <c r="O18" i="5575"/>
  <c r="O16" i="5561"/>
  <c r="O19" i="5579"/>
  <c r="O17" i="5579"/>
  <c r="C27" i="5579"/>
  <c r="B24" i="5579"/>
  <c r="C20" i="5579"/>
  <c r="B17" i="5579"/>
  <c r="H52" i="5579" s="1"/>
  <c r="C16" i="5579"/>
  <c r="C15" i="5579"/>
  <c r="C14" i="5579"/>
  <c r="C13" i="5579"/>
  <c r="O12" i="5579"/>
  <c r="C12" i="5579"/>
  <c r="O11" i="5579"/>
  <c r="C11" i="5579"/>
  <c r="O10" i="5579"/>
  <c r="C10" i="5579"/>
  <c r="C9" i="5579"/>
  <c r="C8" i="5579"/>
  <c r="O7" i="5579"/>
  <c r="C7" i="5579"/>
  <c r="O6" i="5579"/>
  <c r="B6" i="5579"/>
  <c r="O5" i="5579"/>
  <c r="B5" i="5579"/>
  <c r="O4" i="5579"/>
  <c r="O3" i="5579"/>
  <c r="O2" i="5579"/>
  <c r="O16" i="5577"/>
  <c r="O18" i="5577"/>
  <c r="C27" i="5577"/>
  <c r="B24" i="5577"/>
  <c r="C20" i="5577"/>
  <c r="B17" i="5577"/>
  <c r="H50" i="5577" s="1"/>
  <c r="C16" i="5577"/>
  <c r="C15" i="5577"/>
  <c r="C14" i="5577"/>
  <c r="C13" i="5577"/>
  <c r="O12" i="5577"/>
  <c r="C12" i="5577"/>
  <c r="O11" i="5577"/>
  <c r="C11" i="5577"/>
  <c r="O10" i="5577"/>
  <c r="C10" i="5577"/>
  <c r="C9" i="5577"/>
  <c r="C8" i="5577"/>
  <c r="O7" i="5577"/>
  <c r="C7" i="5577"/>
  <c r="O6" i="5577"/>
  <c r="B6" i="5577"/>
  <c r="O5" i="5577"/>
  <c r="B5" i="5577"/>
  <c r="O4" i="5577"/>
  <c r="O3" i="5577"/>
  <c r="O2" i="5577"/>
  <c r="O23" i="5575"/>
  <c r="O24" i="5575"/>
  <c r="O15" i="5563"/>
  <c r="O20" i="5563"/>
  <c r="O27" i="5561"/>
  <c r="H10" i="5579" l="1"/>
  <c r="H4" i="5579"/>
  <c r="H2" i="5579"/>
  <c r="H8" i="5579"/>
  <c r="H32" i="5577"/>
  <c r="H40" i="5577"/>
  <c r="H2" i="5577"/>
  <c r="H9" i="5577"/>
  <c r="B23" i="5577"/>
  <c r="H16" i="5577"/>
  <c r="H48" i="5577"/>
  <c r="H4" i="5577"/>
  <c r="H12" i="5577"/>
  <c r="C18" i="5577"/>
  <c r="H27" i="5577"/>
  <c r="H51" i="5577"/>
  <c r="H14" i="5577"/>
  <c r="H19" i="5577"/>
  <c r="H43" i="5577"/>
  <c r="H3" i="5577"/>
  <c r="H11" i="5577"/>
  <c r="H36" i="5577"/>
  <c r="H52" i="5577"/>
  <c r="H35" i="5577"/>
  <c r="H6" i="5577"/>
  <c r="C17" i="5577"/>
  <c r="H24" i="5577"/>
  <c r="H28" i="5577"/>
  <c r="H44" i="5577"/>
  <c r="H5" i="5577"/>
  <c r="H8" i="5577"/>
  <c r="H10" i="5577"/>
  <c r="H17" i="5577"/>
  <c r="H22" i="5577"/>
  <c r="H25" i="5577"/>
  <c r="H31" i="5577"/>
  <c r="H39" i="5577"/>
  <c r="H47" i="5577"/>
  <c r="C17" i="5579"/>
  <c r="H20" i="5579"/>
  <c r="H29" i="5579"/>
  <c r="H37" i="5579"/>
  <c r="H41" i="5579"/>
  <c r="H7" i="5579"/>
  <c r="H13" i="5579"/>
  <c r="H15" i="5579"/>
  <c r="C19" i="5579"/>
  <c r="H21" i="5579"/>
  <c r="H30" i="5579"/>
  <c r="H34" i="5579"/>
  <c r="H38" i="5579"/>
  <c r="H42" i="5579"/>
  <c r="H46" i="5579"/>
  <c r="H50" i="5579"/>
  <c r="H23" i="5579"/>
  <c r="H33" i="5579"/>
  <c r="H45" i="5579"/>
  <c r="H3" i="5579"/>
  <c r="H6" i="5579"/>
  <c r="H9" i="5579"/>
  <c r="H12" i="5579"/>
  <c r="H17" i="5579"/>
  <c r="H19" i="5579"/>
  <c r="H22" i="5579"/>
  <c r="H24" i="5579"/>
  <c r="H27" i="5579"/>
  <c r="H31" i="5579"/>
  <c r="H35" i="5579"/>
  <c r="H39" i="5579"/>
  <c r="H43" i="5579"/>
  <c r="H47" i="5579"/>
  <c r="H51" i="5579"/>
  <c r="H18" i="5579"/>
  <c r="H26" i="5579"/>
  <c r="H49" i="5579"/>
  <c r="H5" i="5579"/>
  <c r="H11" i="5579"/>
  <c r="H14" i="5579"/>
  <c r="H16" i="5579"/>
  <c r="C18" i="5579"/>
  <c r="B23" i="5579"/>
  <c r="H25" i="5579"/>
  <c r="H28" i="5579"/>
  <c r="H32" i="5579"/>
  <c r="H36" i="5579"/>
  <c r="H40" i="5579"/>
  <c r="H44" i="5579"/>
  <c r="H48" i="5579"/>
  <c r="H18" i="5577"/>
  <c r="H20" i="5577"/>
  <c r="H23" i="5577"/>
  <c r="H26" i="5577"/>
  <c r="H29" i="5577"/>
  <c r="H33" i="5577"/>
  <c r="H37" i="5577"/>
  <c r="H41" i="5577"/>
  <c r="H45" i="5577"/>
  <c r="H49" i="5577"/>
  <c r="H7" i="5577"/>
  <c r="H13" i="5577"/>
  <c r="H15" i="5577"/>
  <c r="C19" i="5577"/>
  <c r="H21" i="5577"/>
  <c r="H30" i="5577"/>
  <c r="H34" i="5577"/>
  <c r="H38" i="5577"/>
  <c r="H42" i="5577"/>
  <c r="H46" i="5577"/>
  <c r="O17" i="5575" l="1"/>
  <c r="O21" i="5573"/>
  <c r="O18" i="5573"/>
  <c r="O16" i="5565"/>
  <c r="O17" i="5571" l="1"/>
  <c r="O17" i="5569"/>
  <c r="O17" i="5573"/>
  <c r="O19" i="5573"/>
  <c r="O16" i="5571" l="1"/>
  <c r="O15" i="5569"/>
  <c r="O22" i="5567"/>
  <c r="O21" i="5567"/>
  <c r="O16" i="5575"/>
  <c r="O19" i="5575"/>
  <c r="C27" i="5575"/>
  <c r="B24" i="5575"/>
  <c r="C20" i="5575"/>
  <c r="B17" i="5575"/>
  <c r="H52" i="5575" s="1"/>
  <c r="C16" i="5575"/>
  <c r="C15" i="5575"/>
  <c r="C14" i="5575"/>
  <c r="C13" i="5575"/>
  <c r="O12" i="5575"/>
  <c r="C12" i="5575"/>
  <c r="O11" i="5575"/>
  <c r="C11" i="5575"/>
  <c r="O10" i="5575"/>
  <c r="C10" i="5575"/>
  <c r="C9" i="5575"/>
  <c r="C8" i="5575"/>
  <c r="O7" i="5575"/>
  <c r="C7" i="5575"/>
  <c r="O6" i="5575"/>
  <c r="B6" i="5575"/>
  <c r="O5" i="5575"/>
  <c r="B5" i="5575"/>
  <c r="O4" i="5575"/>
  <c r="O3" i="5575"/>
  <c r="O2" i="5575"/>
  <c r="O22" i="5569"/>
  <c r="O20" i="5565"/>
  <c r="O21" i="5561"/>
  <c r="H5" i="5575" l="1"/>
  <c r="H8" i="5575"/>
  <c r="H4" i="5575"/>
  <c r="H7" i="5575"/>
  <c r="C17" i="5575"/>
  <c r="H2" i="5575"/>
  <c r="H10" i="5575"/>
  <c r="H18" i="5575"/>
  <c r="H20" i="5575"/>
  <c r="H23" i="5575"/>
  <c r="H26" i="5575"/>
  <c r="H29" i="5575"/>
  <c r="H33" i="5575"/>
  <c r="H37" i="5575"/>
  <c r="H41" i="5575"/>
  <c r="H45" i="5575"/>
  <c r="H49" i="5575"/>
  <c r="H13" i="5575"/>
  <c r="H15" i="5575"/>
  <c r="C19" i="5575"/>
  <c r="H21" i="5575"/>
  <c r="H30" i="5575"/>
  <c r="H34" i="5575"/>
  <c r="H38" i="5575"/>
  <c r="H42" i="5575"/>
  <c r="H46" i="5575"/>
  <c r="H50" i="5575"/>
  <c r="H3" i="5575"/>
  <c r="H6" i="5575"/>
  <c r="H9" i="5575"/>
  <c r="H12" i="5575"/>
  <c r="H17" i="5575"/>
  <c r="H19" i="5575"/>
  <c r="H22" i="5575"/>
  <c r="H24" i="5575"/>
  <c r="H27" i="5575"/>
  <c r="H31" i="5575"/>
  <c r="H35" i="5575"/>
  <c r="H39" i="5575"/>
  <c r="H43" i="5575"/>
  <c r="H47" i="5575"/>
  <c r="H51" i="5575"/>
  <c r="H11" i="5575"/>
  <c r="H14" i="5575"/>
  <c r="H16" i="5575"/>
  <c r="C18" i="5575"/>
  <c r="B23" i="5575"/>
  <c r="H25" i="5575"/>
  <c r="H28" i="5575"/>
  <c r="H32" i="5575"/>
  <c r="H36" i="5575"/>
  <c r="H40" i="5575"/>
  <c r="H44" i="5575"/>
  <c r="H48" i="5575"/>
  <c r="O20" i="5567" l="1"/>
  <c r="O20" i="5573"/>
  <c r="O16" i="5573"/>
  <c r="C27" i="5573"/>
  <c r="B24" i="5573"/>
  <c r="C20" i="5573"/>
  <c r="B17" i="5573"/>
  <c r="H52" i="5573" s="1"/>
  <c r="C16" i="5573"/>
  <c r="C15" i="5573"/>
  <c r="C14" i="5573"/>
  <c r="C13" i="5573"/>
  <c r="O12" i="5573"/>
  <c r="C12" i="5573"/>
  <c r="O11" i="5573"/>
  <c r="C11" i="5573"/>
  <c r="O10" i="5573"/>
  <c r="C10" i="5573"/>
  <c r="C9" i="5573"/>
  <c r="C8" i="5573"/>
  <c r="O7" i="5573"/>
  <c r="C7" i="5573"/>
  <c r="O6" i="5573"/>
  <c r="B6" i="5573"/>
  <c r="O5" i="5573"/>
  <c r="B5" i="5573"/>
  <c r="O4" i="5573"/>
  <c r="O3" i="5573"/>
  <c r="O2" i="5573"/>
  <c r="O22" i="5563"/>
  <c r="O18" i="5561"/>
  <c r="O19" i="5571"/>
  <c r="O18" i="5565"/>
  <c r="O19" i="5565"/>
  <c r="O19" i="5569"/>
  <c r="O20" i="5571"/>
  <c r="O22" i="5571"/>
  <c r="C27" i="5571"/>
  <c r="B24" i="5571"/>
  <c r="C20" i="5571"/>
  <c r="B17" i="5571"/>
  <c r="H51" i="5571" s="1"/>
  <c r="C16" i="5571"/>
  <c r="C15" i="5571"/>
  <c r="C14" i="5571"/>
  <c r="C13" i="5571"/>
  <c r="O12" i="5571"/>
  <c r="C12" i="5571"/>
  <c r="O11" i="5571"/>
  <c r="C11" i="5571"/>
  <c r="O10" i="5571"/>
  <c r="C10" i="5571"/>
  <c r="C9" i="5571"/>
  <c r="C8" i="5571"/>
  <c r="O7" i="5571"/>
  <c r="C7" i="5571"/>
  <c r="O6" i="5571"/>
  <c r="B6" i="5571"/>
  <c r="O5" i="5571"/>
  <c r="B5" i="5571"/>
  <c r="O4" i="5571"/>
  <c r="O3" i="5571"/>
  <c r="O2" i="5571"/>
  <c r="O20" i="5569"/>
  <c r="O18" i="5569"/>
  <c r="C27" i="5569"/>
  <c r="B24" i="5569"/>
  <c r="C20" i="5569"/>
  <c r="B17" i="5569"/>
  <c r="H50" i="5569" s="1"/>
  <c r="C16" i="5569"/>
  <c r="C15" i="5569"/>
  <c r="C14" i="5569"/>
  <c r="C13" i="5569"/>
  <c r="O12" i="5569"/>
  <c r="C12" i="5569"/>
  <c r="O11" i="5569"/>
  <c r="C11" i="5569"/>
  <c r="O10" i="5569"/>
  <c r="C10" i="5569"/>
  <c r="C9" i="5569"/>
  <c r="C8" i="5569"/>
  <c r="O7" i="5569"/>
  <c r="C7" i="5569"/>
  <c r="O6" i="5569"/>
  <c r="B6" i="5569"/>
  <c r="O5" i="5569"/>
  <c r="B5" i="5569"/>
  <c r="O4" i="5569"/>
  <c r="O3" i="5569"/>
  <c r="O2" i="5569"/>
  <c r="O18" i="5563"/>
  <c r="O23" i="5563"/>
  <c r="O20" i="5561"/>
  <c r="O22" i="5561"/>
  <c r="H2" i="5569" l="1"/>
  <c r="C17" i="5573"/>
  <c r="H3" i="5573"/>
  <c r="H2" i="5573"/>
  <c r="H4" i="5573"/>
  <c r="H10" i="5573"/>
  <c r="H40" i="5571"/>
  <c r="H7" i="5571"/>
  <c r="H33" i="5571"/>
  <c r="H12" i="5571"/>
  <c r="H16" i="5571"/>
  <c r="H23" i="5571"/>
  <c r="H2" i="5571"/>
  <c r="C18" i="5571"/>
  <c r="H30" i="5573"/>
  <c r="H36" i="5573"/>
  <c r="H51" i="5573"/>
  <c r="H9" i="5573"/>
  <c r="H25" i="5573"/>
  <c r="C19" i="5573"/>
  <c r="H33" i="5573"/>
  <c r="H41" i="5573"/>
  <c r="H45" i="5573"/>
  <c r="H19" i="5573"/>
  <c r="H11" i="5573"/>
  <c r="H5" i="5573"/>
  <c r="H12" i="5573"/>
  <c r="H22" i="5573"/>
  <c r="H16" i="5573"/>
  <c r="H27" i="5573"/>
  <c r="H29" i="5573"/>
  <c r="H13" i="5573"/>
  <c r="H8" i="5573"/>
  <c r="H34" i="5573"/>
  <c r="H38" i="5573"/>
  <c r="H42" i="5573"/>
  <c r="H46" i="5573"/>
  <c r="H49" i="5573"/>
  <c r="H6" i="5573"/>
  <c r="H26" i="5573"/>
  <c r="H28" i="5573"/>
  <c r="H31" i="5573"/>
  <c r="H18" i="5573"/>
  <c r="H40" i="5573"/>
  <c r="H44" i="5573"/>
  <c r="H47" i="5573"/>
  <c r="H23" i="5573"/>
  <c r="H17" i="5573"/>
  <c r="H37" i="5573"/>
  <c r="H48" i="5573"/>
  <c r="H7" i="5573"/>
  <c r="H14" i="5573"/>
  <c r="H24" i="5573"/>
  <c r="H15" i="5573"/>
  <c r="C18" i="5573"/>
  <c r="B23" i="5573"/>
  <c r="H20" i="5573"/>
  <c r="H32" i="5573"/>
  <c r="H35" i="5573"/>
  <c r="H39" i="5573"/>
  <c r="H43" i="5573"/>
  <c r="H21" i="5573"/>
  <c r="H50" i="5573"/>
  <c r="H48" i="5571"/>
  <c r="H28" i="5571"/>
  <c r="H5" i="5571"/>
  <c r="H3" i="5571"/>
  <c r="H18" i="5571"/>
  <c r="B23" i="5571"/>
  <c r="H32" i="5571"/>
  <c r="H31" i="5569"/>
  <c r="H22" i="5569"/>
  <c r="H32" i="5569"/>
  <c r="H8" i="5569"/>
  <c r="H10" i="5569"/>
  <c r="H17" i="5569"/>
  <c r="B23" i="5569"/>
  <c r="H5" i="5569"/>
  <c r="C18" i="5569"/>
  <c r="H4" i="5569"/>
  <c r="H9" i="5569"/>
  <c r="H16" i="5569"/>
  <c r="H25" i="5569"/>
  <c r="H39" i="5569"/>
  <c r="H41" i="5571"/>
  <c r="H49" i="5571"/>
  <c r="H11" i="5571"/>
  <c r="H36" i="5571"/>
  <c r="H44" i="5571"/>
  <c r="H4" i="5571"/>
  <c r="H10" i="5571"/>
  <c r="H19" i="5571"/>
  <c r="H25" i="5571"/>
  <c r="H15" i="5571"/>
  <c r="H9" i="5571"/>
  <c r="H6" i="5571"/>
  <c r="H20" i="5571"/>
  <c r="C17" i="5571"/>
  <c r="H14" i="5571"/>
  <c r="H24" i="5571"/>
  <c r="H37" i="5571"/>
  <c r="H45" i="5571"/>
  <c r="H52" i="5571"/>
  <c r="H26" i="5571"/>
  <c r="H27" i="5571"/>
  <c r="H29" i="5571"/>
  <c r="H30" i="5571"/>
  <c r="H17" i="5571"/>
  <c r="H34" i="5571"/>
  <c r="H38" i="5571"/>
  <c r="H42" i="5571"/>
  <c r="H46" i="5571"/>
  <c r="H50" i="5571"/>
  <c r="H8" i="5571"/>
  <c r="H21" i="5571"/>
  <c r="H22" i="5571"/>
  <c r="C19" i="5571"/>
  <c r="H13" i="5571"/>
  <c r="H31" i="5571"/>
  <c r="H35" i="5571"/>
  <c r="H39" i="5571"/>
  <c r="H43" i="5571"/>
  <c r="H47" i="5571"/>
  <c r="H47" i="5569"/>
  <c r="H40" i="5569"/>
  <c r="H48" i="5569"/>
  <c r="H12" i="5569"/>
  <c r="H14" i="5569"/>
  <c r="H19" i="5569"/>
  <c r="H27" i="5569"/>
  <c r="H35" i="5569"/>
  <c r="H43" i="5569"/>
  <c r="H51" i="5569"/>
  <c r="H3" i="5569"/>
  <c r="H6" i="5569"/>
  <c r="H11" i="5569"/>
  <c r="C17" i="5569"/>
  <c r="H24" i="5569"/>
  <c r="H28" i="5569"/>
  <c r="H36" i="5569"/>
  <c r="H44" i="5569"/>
  <c r="H52" i="5569"/>
  <c r="H18" i="5569"/>
  <c r="H20" i="5569"/>
  <c r="H23" i="5569"/>
  <c r="H26" i="5569"/>
  <c r="H29" i="5569"/>
  <c r="H33" i="5569"/>
  <c r="H37" i="5569"/>
  <c r="H41" i="5569"/>
  <c r="H45" i="5569"/>
  <c r="H49" i="5569"/>
  <c r="H7" i="5569"/>
  <c r="H13" i="5569"/>
  <c r="H15" i="5569"/>
  <c r="C19" i="5569"/>
  <c r="H21" i="5569"/>
  <c r="H30" i="5569"/>
  <c r="H34" i="5569"/>
  <c r="H38" i="5569"/>
  <c r="H42" i="5569"/>
  <c r="H46" i="5569"/>
  <c r="O19" i="5567" l="1"/>
  <c r="O23" i="5567"/>
  <c r="C27" i="5567"/>
  <c r="B24" i="5567"/>
  <c r="C20" i="5567"/>
  <c r="B17" i="5567"/>
  <c r="H51" i="5567" s="1"/>
  <c r="C16" i="5567"/>
  <c r="C15" i="5567"/>
  <c r="C14" i="5567"/>
  <c r="C13" i="5567"/>
  <c r="O12" i="5567"/>
  <c r="C12" i="5567"/>
  <c r="O11" i="5567"/>
  <c r="C11" i="5567"/>
  <c r="O10" i="5567"/>
  <c r="C10" i="5567"/>
  <c r="C9" i="5567"/>
  <c r="C8" i="5567"/>
  <c r="O7" i="5567"/>
  <c r="C7" i="5567"/>
  <c r="O6" i="5567"/>
  <c r="B6" i="5567"/>
  <c r="O5" i="5567"/>
  <c r="B5" i="5567"/>
  <c r="O4" i="5567"/>
  <c r="O3" i="5567"/>
  <c r="O2" i="5567"/>
  <c r="O22" i="5565"/>
  <c r="O17" i="5565"/>
  <c r="C27" i="5565"/>
  <c r="B24" i="5565"/>
  <c r="C20" i="5565"/>
  <c r="B17" i="5565"/>
  <c r="H50" i="5565" s="1"/>
  <c r="C16" i="5565"/>
  <c r="C15" i="5565"/>
  <c r="C14" i="5565"/>
  <c r="C13" i="5565"/>
  <c r="O12" i="5565"/>
  <c r="C12" i="5565"/>
  <c r="O11" i="5565"/>
  <c r="C11" i="5565"/>
  <c r="O10" i="5565"/>
  <c r="C10" i="5565"/>
  <c r="C9" i="5565"/>
  <c r="C8" i="5565"/>
  <c r="O7" i="5565"/>
  <c r="C7" i="5565"/>
  <c r="O6" i="5565"/>
  <c r="B6" i="5565"/>
  <c r="O5" i="5565"/>
  <c r="B5" i="5565"/>
  <c r="O4" i="5565"/>
  <c r="O3" i="5565"/>
  <c r="O2" i="5565"/>
  <c r="O24" i="5561"/>
  <c r="O19" i="5563"/>
  <c r="O21" i="5563"/>
  <c r="C27" i="5563"/>
  <c r="B24" i="5563"/>
  <c r="C20" i="5563"/>
  <c r="B17" i="5563"/>
  <c r="H15" i="5563" s="1"/>
  <c r="C16" i="5563"/>
  <c r="C15" i="5563"/>
  <c r="C14" i="5563"/>
  <c r="C13" i="5563"/>
  <c r="O12" i="5563"/>
  <c r="C12" i="5563"/>
  <c r="O11" i="5563"/>
  <c r="C11" i="5563"/>
  <c r="O10" i="5563"/>
  <c r="C10" i="5563"/>
  <c r="C9" i="5563"/>
  <c r="C8" i="5563"/>
  <c r="O7" i="5563"/>
  <c r="C7" i="5563"/>
  <c r="O6" i="5563"/>
  <c r="B6" i="5563"/>
  <c r="O5" i="5563"/>
  <c r="B5" i="5563"/>
  <c r="O4" i="5563"/>
  <c r="O3" i="5563"/>
  <c r="O2" i="5563"/>
  <c r="O17" i="5561"/>
  <c r="O19" i="5561"/>
  <c r="C27" i="5561"/>
  <c r="B24" i="5561"/>
  <c r="C20" i="5561"/>
  <c r="B17" i="5561"/>
  <c r="H51" i="5561" s="1"/>
  <c r="C16" i="5561"/>
  <c r="C15" i="5561"/>
  <c r="C14" i="5561"/>
  <c r="C13" i="5561"/>
  <c r="O12" i="5561"/>
  <c r="C12" i="5561"/>
  <c r="O11" i="5561"/>
  <c r="C11" i="5561"/>
  <c r="O10" i="5561"/>
  <c r="C10" i="5561"/>
  <c r="C9" i="5561"/>
  <c r="C8" i="5561"/>
  <c r="O7" i="5561"/>
  <c r="C7" i="5561"/>
  <c r="O6" i="5561"/>
  <c r="B6" i="5561"/>
  <c r="O5" i="5561"/>
  <c r="B5" i="5561"/>
  <c r="O4" i="5561"/>
  <c r="O3" i="5561"/>
  <c r="O2" i="5561"/>
  <c r="H9" i="5567" l="1"/>
  <c r="H4" i="5567"/>
  <c r="H31" i="5563"/>
  <c r="H13" i="5567"/>
  <c r="H45" i="5567"/>
  <c r="H50" i="5567"/>
  <c r="H7" i="5567"/>
  <c r="C18" i="5567"/>
  <c r="H2" i="5567"/>
  <c r="H11" i="5567"/>
  <c r="H34" i="5567"/>
  <c r="H20" i="5567"/>
  <c r="H3" i="5567"/>
  <c r="H15" i="5567"/>
  <c r="H36" i="5567"/>
  <c r="H14" i="5567"/>
  <c r="H10" i="5567"/>
  <c r="H40" i="5567"/>
  <c r="H30" i="5567"/>
  <c r="H12" i="5567"/>
  <c r="H6" i="5567"/>
  <c r="H29" i="5567"/>
  <c r="H18" i="5567"/>
  <c r="H33" i="5567"/>
  <c r="H41" i="5567"/>
  <c r="B23" i="5563"/>
  <c r="H26" i="5563"/>
  <c r="H7" i="5563"/>
  <c r="H19" i="5563"/>
  <c r="H35" i="5563"/>
  <c r="H21" i="5563"/>
  <c r="H3" i="5563"/>
  <c r="H42" i="5563"/>
  <c r="H13" i="5563"/>
  <c r="H32" i="5563"/>
  <c r="H10" i="5563"/>
  <c r="H6" i="5563"/>
  <c r="H11" i="5563"/>
  <c r="C18" i="5563"/>
  <c r="H29" i="5563"/>
  <c r="H4" i="5563"/>
  <c r="H2" i="5563"/>
  <c r="H16" i="5563"/>
  <c r="H46" i="5567"/>
  <c r="H28" i="5567"/>
  <c r="C19" i="5567"/>
  <c r="H21" i="5567"/>
  <c r="H22" i="5567"/>
  <c r="H27" i="5567"/>
  <c r="H37" i="5567"/>
  <c r="H42" i="5567"/>
  <c r="H48" i="5567"/>
  <c r="H5" i="5567"/>
  <c r="H8" i="5567"/>
  <c r="H24" i="5567"/>
  <c r="H17" i="5567"/>
  <c r="C17" i="5567"/>
  <c r="H16" i="5567"/>
  <c r="B23" i="5567"/>
  <c r="H23" i="5567"/>
  <c r="H38" i="5567"/>
  <c r="H44" i="5567"/>
  <c r="H49" i="5567"/>
  <c r="H52" i="5567"/>
  <c r="H31" i="5567"/>
  <c r="H32" i="5567"/>
  <c r="H25" i="5567"/>
  <c r="H26" i="5567"/>
  <c r="H19" i="5567"/>
  <c r="H35" i="5567"/>
  <c r="H39" i="5567"/>
  <c r="H43" i="5567"/>
  <c r="H47" i="5567"/>
  <c r="H10" i="5565"/>
  <c r="H8" i="5565"/>
  <c r="H5" i="5565"/>
  <c r="H16" i="5565"/>
  <c r="H25" i="5565"/>
  <c r="H39" i="5565"/>
  <c r="H40" i="5565"/>
  <c r="H22" i="5565"/>
  <c r="H17" i="5565"/>
  <c r="H31" i="5565"/>
  <c r="H47" i="5565"/>
  <c r="H12" i="5565"/>
  <c r="H14" i="5565"/>
  <c r="H4" i="5565"/>
  <c r="H9" i="5565"/>
  <c r="B23" i="5565"/>
  <c r="H2" i="5565"/>
  <c r="C18" i="5565"/>
  <c r="H32" i="5565"/>
  <c r="H48" i="5565"/>
  <c r="H19" i="5565"/>
  <c r="H27" i="5565"/>
  <c r="H35" i="5565"/>
  <c r="H43" i="5565"/>
  <c r="H51" i="5565"/>
  <c r="H3" i="5565"/>
  <c r="H6" i="5565"/>
  <c r="H11" i="5565"/>
  <c r="C17" i="5565"/>
  <c r="H24" i="5565"/>
  <c r="H28" i="5565"/>
  <c r="H36" i="5565"/>
  <c r="H44" i="5565"/>
  <c r="H52" i="5565"/>
  <c r="H18" i="5565"/>
  <c r="H20" i="5565"/>
  <c r="H23" i="5565"/>
  <c r="H26" i="5565"/>
  <c r="H29" i="5565"/>
  <c r="H33" i="5565"/>
  <c r="H37" i="5565"/>
  <c r="H41" i="5565"/>
  <c r="H45" i="5565"/>
  <c r="H49" i="5565"/>
  <c r="H7" i="5565"/>
  <c r="H13" i="5565"/>
  <c r="H15" i="5565"/>
  <c r="C19" i="5565"/>
  <c r="H21" i="5565"/>
  <c r="H30" i="5565"/>
  <c r="H34" i="5565"/>
  <c r="H38" i="5565"/>
  <c r="H42" i="5565"/>
  <c r="H46" i="5565"/>
  <c r="H10" i="5561"/>
  <c r="H28" i="5563"/>
  <c r="H50" i="5563"/>
  <c r="H41" i="5563"/>
  <c r="H49" i="5563"/>
  <c r="H18" i="5563"/>
  <c r="H8" i="5563"/>
  <c r="H37" i="5563"/>
  <c r="H45" i="5563"/>
  <c r="H5" i="5563"/>
  <c r="C17" i="5563"/>
  <c r="H12" i="5563"/>
  <c r="H23" i="5563"/>
  <c r="H38" i="5563"/>
  <c r="H46" i="5563"/>
  <c r="H52" i="5563"/>
  <c r="H33" i="5563"/>
  <c r="H34" i="5563"/>
  <c r="H20" i="5563"/>
  <c r="H25" i="5563"/>
  <c r="H17" i="5563"/>
  <c r="H30" i="5563"/>
  <c r="H39" i="5563"/>
  <c r="H43" i="5563"/>
  <c r="H47" i="5563"/>
  <c r="H51" i="5563"/>
  <c r="H9" i="5563"/>
  <c r="H27" i="5563"/>
  <c r="H22" i="5563"/>
  <c r="C19" i="5563"/>
  <c r="H14" i="5563"/>
  <c r="H24" i="5563"/>
  <c r="H36" i="5563"/>
  <c r="H40" i="5563"/>
  <c r="H44" i="5563"/>
  <c r="H48" i="5563"/>
  <c r="H4" i="5561"/>
  <c r="H2" i="5561"/>
  <c r="H3" i="5561"/>
  <c r="H11" i="5561"/>
  <c r="H6" i="5561"/>
  <c r="H12" i="5561"/>
  <c r="H24" i="5561"/>
  <c r="H19" i="5561"/>
  <c r="H9" i="5561"/>
  <c r="H38" i="5561"/>
  <c r="H42" i="5561"/>
  <c r="H46" i="5561"/>
  <c r="H50" i="5561"/>
  <c r="H7" i="5561"/>
  <c r="H21" i="5561"/>
  <c r="H35" i="5561"/>
  <c r="H15" i="5561"/>
  <c r="C18" i="5561"/>
  <c r="H14" i="5561"/>
  <c r="H13" i="5561"/>
  <c r="H29" i="5561"/>
  <c r="H39" i="5561"/>
  <c r="H33" i="5561"/>
  <c r="H34" i="5561"/>
  <c r="H18" i="5561"/>
  <c r="C19" i="5561"/>
  <c r="H27" i="5561"/>
  <c r="H28" i="5561"/>
  <c r="H25" i="5561"/>
  <c r="H32" i="5561"/>
  <c r="H43" i="5561"/>
  <c r="H48" i="5561"/>
  <c r="H5" i="5561"/>
  <c r="H8" i="5561"/>
  <c r="H22" i="5561"/>
  <c r="H20" i="5561"/>
  <c r="C17" i="5561"/>
  <c r="H16" i="5561"/>
  <c r="B23" i="5561"/>
  <c r="H26" i="5561"/>
  <c r="H40" i="5561"/>
  <c r="H45" i="5561"/>
  <c r="H49" i="5561"/>
  <c r="H52" i="5561"/>
  <c r="H36" i="5561"/>
  <c r="H37" i="5561"/>
  <c r="H23" i="5561"/>
  <c r="H30" i="5561"/>
  <c r="H17" i="5561"/>
  <c r="H31" i="5561"/>
  <c r="H41" i="5561"/>
  <c r="H44" i="5561"/>
  <c r="H47" i="5561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<sst xmlns="http://schemas.openxmlformats.org/spreadsheetml/2006/main" count="3643" uniqueCount="289">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</sst>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全体!$K$2:$K$926</c:f>
              <c:numCache>
                <c:formatCode>General</c:formatCode>
                <c:ptCount val="9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</c:numCache>
            </c:numRef>
          </c:xVal>
          <c:yVal>
            <c:numRef>
              <c:f>全体!$L$2:$L$926</c:f>
              <c:numCache>
                <c:formatCode>\+0.0;\-0.0;\±0</c:formatCode>
                <c:ptCount val="92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EE-42BD-9597-4E2FE238F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-16.233766233766232</c:v>
                </c:pt>
                <c:pt idx="1">
                  <c:v>-5.5370985603543739</c:v>
                </c:pt>
                <c:pt idx="2">
                  <c:v>11.862396204033216</c:v>
                </c:pt>
                <c:pt idx="3">
                  <c:v>5.1480051480051481</c:v>
                </c:pt>
                <c:pt idx="4">
                  <c:v>-14.306151645207439</c:v>
                </c:pt>
                <c:pt idx="5">
                  <c:v>26.016260162601625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E-43A0-ADA8-F7CF4886F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だいち!$K$2:$K$200</c:f>
              <c:numCache>
                <c:formatCode>General</c:formatCode>
                <c:ptCount val="1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</c:numCache>
            </c:numRef>
          </c:xVal>
          <c:yVal>
            <c:numRef>
              <c:f>だいち!$L$2:$L$200</c:f>
              <c:numCache>
                <c:formatCode>\+0.0;\-0.0;\±0</c:formatCode>
                <c:ptCount val="19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75-4A76-B3C3-9B18D84B8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1165.1515151515152</c:v>
                </c:pt>
                <c:pt idx="1">
                  <c:v>2010.8808290155441</c:v>
                </c:pt>
                <c:pt idx="2">
                  <c:v>958.695652173913</c:v>
                </c:pt>
                <c:pt idx="3">
                  <c:v>2151.1764705882351</c:v>
                </c:pt>
                <c:pt idx="4">
                  <c:v>1343.421052631579</c:v>
                </c:pt>
                <c:pt idx="5">
                  <c:v>1241.9847328244275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EA-4417-BDD0-2128E4748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りくと!$L$2:$L$161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8-4645-9B5E-FA5BAA89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645.28301886792451</c:v>
                </c:pt>
                <c:pt idx="1">
                  <c:v>-1417.5324675324675</c:v>
                </c:pt>
                <c:pt idx="2">
                  <c:v>-499.31972789115645</c:v>
                </c:pt>
                <c:pt idx="3">
                  <c:v>-45.454545454545453</c:v>
                </c:pt>
                <c:pt idx="4">
                  <c:v>478.63247863247864</c:v>
                </c:pt>
                <c:pt idx="5">
                  <c:v>-315.09433962264148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9C-49EC-B8DA-CA385EC2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ただ!$K$2:$K$153</c:f>
              <c:numCache>
                <c:formatCode>General</c:formatCode>
                <c:ptCount val="1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</c:numCache>
            </c:numRef>
          </c:xVal>
          <c:yVal>
            <c:numRef>
              <c:f>ただ!$L$2:$L$153</c:f>
              <c:numCache>
                <c:formatCode>\+0.0;\-0.0;\±0</c:formatCode>
                <c:ptCount val="15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0-4AFB-856B-830FAE563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-2056.9536423841059</c:v>
                </c:pt>
                <c:pt idx="1">
                  <c:v>-1642.8571428571429</c:v>
                </c:pt>
                <c:pt idx="2">
                  <c:v>797.84172661870502</c:v>
                </c:pt>
                <c:pt idx="3">
                  <c:v>-2896</c:v>
                </c:pt>
                <c:pt idx="4">
                  <c:v>-531.57894736842104</c:v>
                </c:pt>
                <c:pt idx="5">
                  <c:v>-211.76470588235293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DA-46D3-B88B-02AE3C35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れんたろう!$L$2:$L$106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BDF-9A00-509C6A1A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611.53846153846155</c:v>
                </c:pt>
                <c:pt idx="1">
                  <c:v>693.06930693069307</c:v>
                </c:pt>
                <c:pt idx="2">
                  <c:v>1372.8260869565217</c:v>
                </c:pt>
                <c:pt idx="3">
                  <c:v>128.04878048780489</c:v>
                </c:pt>
                <c:pt idx="4">
                  <c:v>-2098.6301369863013</c:v>
                </c:pt>
                <c:pt idx="5">
                  <c:v>-551.5151515151515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BC-4FDC-8D84-12060163C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たかの!$L$2:$L$104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9-43AA-A49C-CAF48CEB6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229.41176470588235</c:v>
                </c:pt>
                <c:pt idx="1">
                  <c:v>-1204.9019607843138</c:v>
                </c:pt>
                <c:pt idx="2">
                  <c:v>-571.73913043478262</c:v>
                </c:pt>
                <c:pt idx="3">
                  <c:v>978.40909090909088</c:v>
                </c:pt>
                <c:pt idx="4">
                  <c:v>-159.7560975609756</c:v>
                </c:pt>
                <c:pt idx="5">
                  <c:v>-671.42857142857144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7-4C76-9287-30638A592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7C-448B-AA56-F9DBC599B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-2637.037037037037</c:v>
                </c:pt>
                <c:pt idx="1">
                  <c:v>1696.2962962962963</c:v>
                </c:pt>
                <c:pt idx="2">
                  <c:v>-1284.313725490196</c:v>
                </c:pt>
                <c:pt idx="3">
                  <c:v>-4006.3829787234044</c:v>
                </c:pt>
                <c:pt idx="4">
                  <c:v>-295.23809523809524</c:v>
                </c:pt>
                <c:pt idx="5">
                  <c:v>-52.5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3-4FAE-B2DC-5ABB25037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まっつん!$L$2:$L$99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E-41D7-9250-55DDDA78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927.8350515463917</c:v>
                </c:pt>
                <c:pt idx="1">
                  <c:v>237.63440860215053</c:v>
                </c:pt>
                <c:pt idx="2">
                  <c:v>-776.74418604651157</c:v>
                </c:pt>
                <c:pt idx="3">
                  <c:v>1296.2962962962963</c:v>
                </c:pt>
                <c:pt idx="4">
                  <c:v>-1895.9459459459461</c:v>
                </c:pt>
                <c:pt idx="5">
                  <c:v>793.44262295081967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EB-4168-A823-E662ECD72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5-490F-8E00-81BD2A1B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9-40C9-A130-0C6868BC1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6B-4FC0-BA26-4D94C8567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46FF-944F-1A037F7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ほたに!$L$2:$L$21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7-47F6-8766-79F355B3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-1789.4736842105262</c:v>
                </c:pt>
                <c:pt idx="1">
                  <c:v>2684.2105263157896</c:v>
                </c:pt>
                <c:pt idx="2">
                  <c:v>-6316.666666666667</c:v>
                </c:pt>
                <c:pt idx="3">
                  <c:v>-950</c:v>
                </c:pt>
                <c:pt idx="4">
                  <c:v>9793.3333333333339</c:v>
                </c:pt>
                <c:pt idx="5">
                  <c:v>1650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7C-4691-9A71-CF16F32D2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D1-4A8F-820F-B97DE15CD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F-472B-A3D0-B9BF4B3AA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BF-4E60-AAB4-3615C7ABF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22-4714-828B-9FE8E5020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8-4038-A690-0F7E0B51F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-5416.666666666667</c:v>
                </c:pt>
                <c:pt idx="1">
                  <c:v>-3366.6666666666665</c:v>
                </c:pt>
                <c:pt idx="2">
                  <c:v>360</c:v>
                </c:pt>
                <c:pt idx="3">
                  <c:v>5680</c:v>
                </c:pt>
                <c:pt idx="4">
                  <c:v>-6525</c:v>
                </c:pt>
                <c:pt idx="5">
                  <c:v>-5675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2FB-8A5F-9B38C6DAF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ぱぱ2!$B$3:$B$57</c:f>
              <c:numCache>
                <c:formatCode>\+0.0;\-0.0;\±0</c:formatCode>
                <c:ptCount val="5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817841970012523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ぱぱ2!$C$3:$C$57</c:f>
              <c:numCache>
                <c:formatCode>\+0.0;\-0.0;\±0</c:formatCode>
                <c:ptCount val="55"/>
                <c:pt idx="1">
                  <c:v>-82.6</c:v>
                </c:pt>
                <c:pt idx="2">
                  <c:v>-61.15</c:v>
                </c:pt>
                <c:pt idx="3">
                  <c:v>-49.666666666666664</c:v>
                </c:pt>
                <c:pt idx="4">
                  <c:v>-37.65</c:v>
                </c:pt>
                <c:pt idx="5">
                  <c:v>-36.979999999999997</c:v>
                </c:pt>
                <c:pt idx="6">
                  <c:v>-31.266666666666662</c:v>
                </c:pt>
                <c:pt idx="7">
                  <c:v>-30.871428571428567</c:v>
                </c:pt>
                <c:pt idx="8">
                  <c:v>-27.449999999999996</c:v>
                </c:pt>
                <c:pt idx="9">
                  <c:v>-28.955555555555552</c:v>
                </c:pt>
                <c:pt idx="10">
                  <c:v>-31.839999999999996</c:v>
                </c:pt>
                <c:pt idx="11">
                  <c:v>-29.581818181818178</c:v>
                </c:pt>
                <c:pt idx="12">
                  <c:v>-24.133333333333329</c:v>
                </c:pt>
                <c:pt idx="13">
                  <c:v>-23.276923076923076</c:v>
                </c:pt>
                <c:pt idx="14">
                  <c:v>-19.285714285714281</c:v>
                </c:pt>
                <c:pt idx="15">
                  <c:v>-17.639999999999997</c:v>
                </c:pt>
                <c:pt idx="16">
                  <c:v>-18.299999999999997</c:v>
                </c:pt>
                <c:pt idx="17">
                  <c:v>-14.641176470588233</c:v>
                </c:pt>
                <c:pt idx="18">
                  <c:v>-12.166666666666664</c:v>
                </c:pt>
                <c:pt idx="19">
                  <c:v>-9.9263157894736818</c:v>
                </c:pt>
                <c:pt idx="20">
                  <c:v>-9.139999999999997</c:v>
                </c:pt>
                <c:pt idx="21">
                  <c:v>-9.7047619047619005</c:v>
                </c:pt>
                <c:pt idx="22">
                  <c:v>-11.93181818181818</c:v>
                </c:pt>
                <c:pt idx="23">
                  <c:v>-11.265217391304347</c:v>
                </c:pt>
                <c:pt idx="24">
                  <c:v>-11.995833333333332</c:v>
                </c:pt>
                <c:pt idx="25">
                  <c:v>-13.771999999999998</c:v>
                </c:pt>
                <c:pt idx="26">
                  <c:v>-10.965384615384615</c:v>
                </c:pt>
                <c:pt idx="27">
                  <c:v>-9.5333333333333332</c:v>
                </c:pt>
                <c:pt idx="28">
                  <c:v>-8.8642857142857139</c:v>
                </c:pt>
                <c:pt idx="29">
                  <c:v>-6.1137931034482751</c:v>
                </c:pt>
                <c:pt idx="30">
                  <c:v>-6.76</c:v>
                </c:pt>
                <c:pt idx="31">
                  <c:v>-7.3</c:v>
                </c:pt>
                <c:pt idx="32">
                  <c:v>-6.0562499999999995</c:v>
                </c:pt>
                <c:pt idx="33">
                  <c:v>-5.8818181818181818</c:v>
                </c:pt>
                <c:pt idx="34">
                  <c:v>-6.6058823529411761</c:v>
                </c:pt>
                <c:pt idx="35">
                  <c:v>-6.4257142857142862</c:v>
                </c:pt>
                <c:pt idx="36">
                  <c:v>-5.291666666666667</c:v>
                </c:pt>
                <c:pt idx="37">
                  <c:v>-6.3351351351351353</c:v>
                </c:pt>
                <c:pt idx="38">
                  <c:v>-5.5657894736842106</c:v>
                </c:pt>
                <c:pt idx="39">
                  <c:v>-5.7410256410256411</c:v>
                </c:pt>
                <c:pt idx="40">
                  <c:v>-6.9974999999999996</c:v>
                </c:pt>
                <c:pt idx="41">
                  <c:v>-7.4048780487804873</c:v>
                </c:pt>
                <c:pt idx="42">
                  <c:v>-8.0642857142857132</c:v>
                </c:pt>
                <c:pt idx="43">
                  <c:v>-6.7372093023255815</c:v>
                </c:pt>
                <c:pt idx="44">
                  <c:v>-5.9681818181818178</c:v>
                </c:pt>
                <c:pt idx="45">
                  <c:v>-6.5644444444444439</c:v>
                </c:pt>
                <c:pt idx="46">
                  <c:v>-8.2043478260869556</c:v>
                </c:pt>
                <c:pt idx="47">
                  <c:v>-9.3553191489361698</c:v>
                </c:pt>
                <c:pt idx="48">
                  <c:v>-8.0770833333333325</c:v>
                </c:pt>
                <c:pt idx="49">
                  <c:v>-8.8367346938775508</c:v>
                </c:pt>
                <c:pt idx="50">
                  <c:v>-8.7460000000000004</c:v>
                </c:pt>
                <c:pt idx="51">
                  <c:v>-9.7235294117647069</c:v>
                </c:pt>
                <c:pt idx="52">
                  <c:v>-7.6461538461538465</c:v>
                </c:pt>
                <c:pt idx="53">
                  <c:v>-7.4849056603773594</c:v>
                </c:pt>
                <c:pt idx="54">
                  <c:v>-7.4925925925925929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6123205595251645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ぱぱ2!$D$3:$D$57</c:f>
              <c:numCache>
                <c:formatCode>0.00\ "位"</c:formatCode>
                <c:ptCount val="5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2.5</c:v>
                </c:pt>
                <c:pt idx="5">
                  <c:v>2.6</c:v>
                </c:pt>
                <c:pt idx="6">
                  <c:v>2.5</c:v>
                </c:pt>
                <c:pt idx="7">
                  <c:v>2.5714285714285716</c:v>
                </c:pt>
                <c:pt idx="8">
                  <c:v>2.5</c:v>
                </c:pt>
                <c:pt idx="9">
                  <c:v>2.5555555555555554</c:v>
                </c:pt>
                <c:pt idx="10">
                  <c:v>2.6</c:v>
                </c:pt>
                <c:pt idx="11">
                  <c:v>2.5454545454545454</c:v>
                </c:pt>
                <c:pt idx="12">
                  <c:v>2.4166666666666665</c:v>
                </c:pt>
                <c:pt idx="13">
                  <c:v>2.3846153846153846</c:v>
                </c:pt>
                <c:pt idx="14">
                  <c:v>2.2857142857142856</c:v>
                </c:pt>
                <c:pt idx="15">
                  <c:v>2.2666666666666666</c:v>
                </c:pt>
                <c:pt idx="16">
                  <c:v>2.3125</c:v>
                </c:pt>
                <c:pt idx="17">
                  <c:v>2.2352941176470589</c:v>
                </c:pt>
                <c:pt idx="18">
                  <c:v>2.1666666666666665</c:v>
                </c:pt>
                <c:pt idx="19">
                  <c:v>2.1052631578947367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2.2000000000000002</c:v>
                </c:pt>
                <c:pt idx="26">
                  <c:v>2.1538461538461537</c:v>
                </c:pt>
                <c:pt idx="27">
                  <c:v>2.1111111111111112</c:v>
                </c:pt>
                <c:pt idx="28">
                  <c:v>2.1071428571428572</c:v>
                </c:pt>
                <c:pt idx="29">
                  <c:v>2.0689655172413794</c:v>
                </c:pt>
                <c:pt idx="30">
                  <c:v>2.0666666666666669</c:v>
                </c:pt>
                <c:pt idx="31">
                  <c:v>2.096774193548387</c:v>
                </c:pt>
                <c:pt idx="32">
                  <c:v>2.0625</c:v>
                </c:pt>
                <c:pt idx="33">
                  <c:v>2.0606060606060606</c:v>
                </c:pt>
                <c:pt idx="34">
                  <c:v>2.0882352941176472</c:v>
                </c:pt>
                <c:pt idx="35">
                  <c:v>2.0857142857142859</c:v>
                </c:pt>
                <c:pt idx="36">
                  <c:v>2.0555555555555554</c:v>
                </c:pt>
                <c:pt idx="37">
                  <c:v>2.0810810810810811</c:v>
                </c:pt>
                <c:pt idx="38">
                  <c:v>2.0526315789473686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2.1086956521739131</c:v>
                </c:pt>
                <c:pt idx="47">
                  <c:v>2.1276595744680851</c:v>
                </c:pt>
                <c:pt idx="48">
                  <c:v>2.1041666666666665</c:v>
                </c:pt>
                <c:pt idx="49">
                  <c:v>2.1224489795918369</c:v>
                </c:pt>
                <c:pt idx="50">
                  <c:v>2.12</c:v>
                </c:pt>
                <c:pt idx="51">
                  <c:v>2.1372549019607843</c:v>
                </c:pt>
                <c:pt idx="52">
                  <c:v>2.1153846153846154</c:v>
                </c:pt>
                <c:pt idx="53">
                  <c:v>2.1132075471698113</c:v>
                </c:pt>
                <c:pt idx="54">
                  <c:v>2.1111111111111112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ぱぱ2!$E$3:$E$57</c:f>
              <c:numCache>
                <c:formatCode>0.0%</c:formatCode>
                <c:ptCount val="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0.17647058823529413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0.27500000000000002</c:v>
                </c:pt>
                <c:pt idx="41">
                  <c:v>0.26829268292682928</c:v>
                </c:pt>
                <c:pt idx="42">
                  <c:v>0.26190476190476192</c:v>
                </c:pt>
                <c:pt idx="43">
                  <c:v>0.27906976744186046</c:v>
                </c:pt>
                <c:pt idx="44">
                  <c:v>0.29545454545454547</c:v>
                </c:pt>
                <c:pt idx="45">
                  <c:v>0.28888888888888886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ぱぱ2!$F$3:$F$57</c:f>
              <c:numCache>
                <c:formatCode>0.0%</c:formatCode>
                <c:ptCount val="5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  <c:pt idx="43">
                  <c:v>0.37209302325581395</c:v>
                </c:pt>
                <c:pt idx="44">
                  <c:v>0.36363636363636365</c:v>
                </c:pt>
                <c:pt idx="45">
                  <c:v>0.37777777777777777</c:v>
                </c:pt>
                <c:pt idx="46">
                  <c:v>0.39130434782608697</c:v>
                </c:pt>
                <c:pt idx="47">
                  <c:v>0.40425531914893614</c:v>
                </c:pt>
                <c:pt idx="48">
                  <c:v>0.39583333333333331</c:v>
                </c:pt>
                <c:pt idx="49">
                  <c:v>0.40816326530612246</c:v>
                </c:pt>
                <c:pt idx="50">
                  <c:v>0.4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ぱぱ2!$G$3:$G$57</c:f>
              <c:numCache>
                <c:formatCode>0.0%</c:formatCode>
                <c:ptCount val="55"/>
                <c:pt idx="1">
                  <c:v>0.14285714285714285</c:v>
                </c:pt>
                <c:pt idx="2">
                  <c:v>0.26315789473684209</c:v>
                </c:pt>
                <c:pt idx="3">
                  <c:v>0.18518518518518517</c:v>
                </c:pt>
                <c:pt idx="4">
                  <c:v>0.23076923076923078</c:v>
                </c:pt>
                <c:pt idx="5">
                  <c:v>0.19148936170212766</c:v>
                </c:pt>
                <c:pt idx="6">
                  <c:v>0.18518518518518517</c:v>
                </c:pt>
                <c:pt idx="7">
                  <c:v>0.203125</c:v>
                </c:pt>
                <c:pt idx="8">
                  <c:v>0.24324324324324326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0.27184466019417475</c:v>
                </c:pt>
                <c:pt idx="12">
                  <c:v>0.2831858407079646</c:v>
                </c:pt>
                <c:pt idx="13">
                  <c:v>0.27350427350427353</c:v>
                </c:pt>
                <c:pt idx="14">
                  <c:v>0.27777777777777779</c:v>
                </c:pt>
                <c:pt idx="15">
                  <c:v>0.28358208955223879</c:v>
                </c:pt>
                <c:pt idx="16">
                  <c:v>0.2857142857142857</c:v>
                </c:pt>
                <c:pt idx="17">
                  <c:v>0.28387096774193549</c:v>
                </c:pt>
                <c:pt idx="18">
                  <c:v>0.29518072289156627</c:v>
                </c:pt>
                <c:pt idx="19">
                  <c:v>0.29142857142857143</c:v>
                </c:pt>
                <c:pt idx="20">
                  <c:v>0.29411764705882354</c:v>
                </c:pt>
                <c:pt idx="21">
                  <c:v>0.28865979381443296</c:v>
                </c:pt>
                <c:pt idx="22">
                  <c:v>0.28499999999999998</c:v>
                </c:pt>
                <c:pt idx="23">
                  <c:v>0.28640776699029125</c:v>
                </c:pt>
                <c:pt idx="24">
                  <c:v>0.28837209302325584</c:v>
                </c:pt>
                <c:pt idx="25">
                  <c:v>0.28378378378378377</c:v>
                </c:pt>
                <c:pt idx="26">
                  <c:v>0.29310344827586204</c:v>
                </c:pt>
                <c:pt idx="27">
                  <c:v>0.29875518672199169</c:v>
                </c:pt>
                <c:pt idx="28">
                  <c:v>0.30399999999999999</c:v>
                </c:pt>
                <c:pt idx="29">
                  <c:v>0.31395348837209303</c:v>
                </c:pt>
                <c:pt idx="30">
                  <c:v>0.30566037735849055</c:v>
                </c:pt>
                <c:pt idx="31">
                  <c:v>0.30656934306569344</c:v>
                </c:pt>
                <c:pt idx="32">
                  <c:v>0.30960854092526691</c:v>
                </c:pt>
                <c:pt idx="33">
                  <c:v>0.31506849315068491</c:v>
                </c:pt>
                <c:pt idx="34">
                  <c:v>0.30592105263157893</c:v>
                </c:pt>
                <c:pt idx="35">
                  <c:v>0.30769230769230771</c:v>
                </c:pt>
                <c:pt idx="36">
                  <c:v>0.30721003134796238</c:v>
                </c:pt>
                <c:pt idx="37">
                  <c:v>0.30182926829268292</c:v>
                </c:pt>
                <c:pt idx="38">
                  <c:v>0.30357142857142855</c:v>
                </c:pt>
                <c:pt idx="39">
                  <c:v>0.30116959064327486</c:v>
                </c:pt>
                <c:pt idx="40">
                  <c:v>0.29682997118155618</c:v>
                </c:pt>
                <c:pt idx="41">
                  <c:v>0.29295774647887324</c:v>
                </c:pt>
                <c:pt idx="42">
                  <c:v>0.29201101928374656</c:v>
                </c:pt>
                <c:pt idx="43">
                  <c:v>0.29599999999999999</c:v>
                </c:pt>
                <c:pt idx="44">
                  <c:v>0.29842931937172773</c:v>
                </c:pt>
                <c:pt idx="45">
                  <c:v>0.29820051413881749</c:v>
                </c:pt>
                <c:pt idx="46">
                  <c:v>0.29367088607594938</c:v>
                </c:pt>
                <c:pt idx="47">
                  <c:v>0.28888888888888886</c:v>
                </c:pt>
                <c:pt idx="48">
                  <c:v>0.29397590361445786</c:v>
                </c:pt>
                <c:pt idx="49">
                  <c:v>0.29146919431279622</c:v>
                </c:pt>
                <c:pt idx="50">
                  <c:v>0.28868360277136257</c:v>
                </c:pt>
                <c:pt idx="51">
                  <c:v>0.28636363636363638</c:v>
                </c:pt>
                <c:pt idx="52">
                  <c:v>0.28666666666666668</c:v>
                </c:pt>
                <c:pt idx="53">
                  <c:v>0.2841648590021692</c:v>
                </c:pt>
                <c:pt idx="54">
                  <c:v>0.28358208955223879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266197366705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ぱぱ2!$H$3:$H$57</c:f>
              <c:numCache>
                <c:formatCode>0.0%</c:formatCode>
                <c:ptCount val="55"/>
                <c:pt idx="1">
                  <c:v>0.2857142857142857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0.23076923076923078</c:v>
                </c:pt>
                <c:pt idx="5">
                  <c:v>0.23404255319148937</c:v>
                </c:pt>
                <c:pt idx="6">
                  <c:v>0.22222222222222221</c:v>
                </c:pt>
                <c:pt idx="7">
                  <c:v>0.203125</c:v>
                </c:pt>
                <c:pt idx="8">
                  <c:v>0.1891891891891892</c:v>
                </c:pt>
                <c:pt idx="9">
                  <c:v>0.21428571428571427</c:v>
                </c:pt>
                <c:pt idx="10">
                  <c:v>0.23711340206185566</c:v>
                </c:pt>
                <c:pt idx="11">
                  <c:v>0.24271844660194175</c:v>
                </c:pt>
                <c:pt idx="12">
                  <c:v>0.24778761061946902</c:v>
                </c:pt>
                <c:pt idx="13">
                  <c:v>0.23931623931623933</c:v>
                </c:pt>
                <c:pt idx="14">
                  <c:v>0.23809523809523808</c:v>
                </c:pt>
                <c:pt idx="15">
                  <c:v>0.2462686567164179</c:v>
                </c:pt>
                <c:pt idx="16">
                  <c:v>0.24285714285714285</c:v>
                </c:pt>
                <c:pt idx="17">
                  <c:v>0.23870967741935484</c:v>
                </c:pt>
                <c:pt idx="18">
                  <c:v>0.2289156626506024</c:v>
                </c:pt>
                <c:pt idx="19">
                  <c:v>0.21714285714285714</c:v>
                </c:pt>
                <c:pt idx="20">
                  <c:v>0.21390374331550802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0.21359223300970873</c:v>
                </c:pt>
                <c:pt idx="24">
                  <c:v>0.21860465116279071</c:v>
                </c:pt>
                <c:pt idx="25">
                  <c:v>0.22072072072072071</c:v>
                </c:pt>
                <c:pt idx="26">
                  <c:v>0.21120689655172414</c:v>
                </c:pt>
                <c:pt idx="27">
                  <c:v>0.2074688796680498</c:v>
                </c:pt>
                <c:pt idx="28">
                  <c:v>0.2</c:v>
                </c:pt>
                <c:pt idx="29">
                  <c:v>0.19379844961240311</c:v>
                </c:pt>
                <c:pt idx="30">
                  <c:v>0.18867924528301888</c:v>
                </c:pt>
                <c:pt idx="31">
                  <c:v>0.18978102189781021</c:v>
                </c:pt>
                <c:pt idx="32">
                  <c:v>0.19217081850533807</c:v>
                </c:pt>
                <c:pt idx="33">
                  <c:v>0.18493150684931506</c:v>
                </c:pt>
                <c:pt idx="34">
                  <c:v>0.18421052631578946</c:v>
                </c:pt>
                <c:pt idx="35">
                  <c:v>0.1858974358974359</c:v>
                </c:pt>
                <c:pt idx="36">
                  <c:v>0.18495297805642633</c:v>
                </c:pt>
                <c:pt idx="37">
                  <c:v>0.18902439024390244</c:v>
                </c:pt>
                <c:pt idx="38">
                  <c:v>0.19047619047619047</c:v>
                </c:pt>
                <c:pt idx="39">
                  <c:v>0.19005847953216373</c:v>
                </c:pt>
                <c:pt idx="40">
                  <c:v>0.1930835734870317</c:v>
                </c:pt>
                <c:pt idx="41">
                  <c:v>0.19154929577464788</c:v>
                </c:pt>
                <c:pt idx="42">
                  <c:v>0.1928374655647383</c:v>
                </c:pt>
                <c:pt idx="43">
                  <c:v>0.18666666666666668</c:v>
                </c:pt>
                <c:pt idx="44">
                  <c:v>0.18586387434554974</c:v>
                </c:pt>
                <c:pt idx="45">
                  <c:v>0.18766066838046272</c:v>
                </c:pt>
                <c:pt idx="46">
                  <c:v>0.189873417721519</c:v>
                </c:pt>
                <c:pt idx="47">
                  <c:v>0.19012345679012346</c:v>
                </c:pt>
                <c:pt idx="48">
                  <c:v>0.1855421686746988</c:v>
                </c:pt>
                <c:pt idx="49">
                  <c:v>0.1872037914691943</c:v>
                </c:pt>
                <c:pt idx="50">
                  <c:v>0.18706697459584296</c:v>
                </c:pt>
                <c:pt idx="51">
                  <c:v>0.18409090909090908</c:v>
                </c:pt>
                <c:pt idx="52">
                  <c:v>0.18222222222222223</c:v>
                </c:pt>
                <c:pt idx="53">
                  <c:v>0.1822125813449024</c:v>
                </c:pt>
                <c:pt idx="54">
                  <c:v>0.18336886993603413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471125016295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ぱぱ2!$I$3:$I$57</c:f>
              <c:numCache>
                <c:formatCode>0</c:formatCode>
                <c:ptCount val="55"/>
                <c:pt idx="1">
                  <c:v>4000</c:v>
                </c:pt>
                <c:pt idx="2">
                  <c:v>4220</c:v>
                </c:pt>
                <c:pt idx="3">
                  <c:v>4220</c:v>
                </c:pt>
                <c:pt idx="4">
                  <c:v>3633.3333333333335</c:v>
                </c:pt>
                <c:pt idx="5">
                  <c:v>3633.3333333333335</c:v>
                </c:pt>
                <c:pt idx="6">
                  <c:v>3850</c:v>
                </c:pt>
                <c:pt idx="7">
                  <c:v>4323.0769230769229</c:v>
                </c:pt>
                <c:pt idx="8">
                  <c:v>4200</c:v>
                </c:pt>
                <c:pt idx="9">
                  <c:v>4085</c:v>
                </c:pt>
                <c:pt idx="10">
                  <c:v>4756</c:v>
                </c:pt>
                <c:pt idx="11">
                  <c:v>4528.5714285714284</c:v>
                </c:pt>
                <c:pt idx="12">
                  <c:v>5150</c:v>
                </c:pt>
                <c:pt idx="13">
                  <c:v>5150</c:v>
                </c:pt>
                <c:pt idx="14">
                  <c:v>5451.4285714285716</c:v>
                </c:pt>
                <c:pt idx="15">
                  <c:v>5676.3157894736842</c:v>
                </c:pt>
                <c:pt idx="16">
                  <c:v>5682.5</c:v>
                </c:pt>
                <c:pt idx="17">
                  <c:v>6311.363636363636</c:v>
                </c:pt>
                <c:pt idx="18">
                  <c:v>6236.7346938775509</c:v>
                </c:pt>
                <c:pt idx="19">
                  <c:v>6084.3137254901958</c:v>
                </c:pt>
                <c:pt idx="20">
                  <c:v>6392.727272727273</c:v>
                </c:pt>
                <c:pt idx="21">
                  <c:v>6416.0714285714284</c:v>
                </c:pt>
                <c:pt idx="22">
                  <c:v>6438.5964912280706</c:v>
                </c:pt>
                <c:pt idx="23">
                  <c:v>6422.0338983050851</c:v>
                </c:pt>
                <c:pt idx="24">
                  <c:v>6398.3870967741932</c:v>
                </c:pt>
                <c:pt idx="25">
                  <c:v>6344.4444444444443</c:v>
                </c:pt>
                <c:pt idx="26">
                  <c:v>6410.2941176470586</c:v>
                </c:pt>
                <c:pt idx="27">
                  <c:v>6411.1111111111113</c:v>
                </c:pt>
                <c:pt idx="28">
                  <c:v>6494.7368421052633</c:v>
                </c:pt>
                <c:pt idx="29">
                  <c:v>6746.9135802469136</c:v>
                </c:pt>
                <c:pt idx="30">
                  <c:v>6746.9135802469136</c:v>
                </c:pt>
                <c:pt idx="31">
                  <c:v>6801.1904761904761</c:v>
                </c:pt>
                <c:pt idx="32">
                  <c:v>6758.6206896551721</c:v>
                </c:pt>
                <c:pt idx="33">
                  <c:v>6772.826086956522</c:v>
                </c:pt>
                <c:pt idx="34">
                  <c:v>6829.0322580645161</c:v>
                </c:pt>
                <c:pt idx="35">
                  <c:v>6813.541666666667</c:v>
                </c:pt>
                <c:pt idx="36">
                  <c:v>6919.3877551020405</c:v>
                </c:pt>
                <c:pt idx="37">
                  <c:v>6966.666666666667</c:v>
                </c:pt>
                <c:pt idx="38">
                  <c:v>6886.2745098039213</c:v>
                </c:pt>
                <c:pt idx="39">
                  <c:v>6838.8349514563106</c:v>
                </c:pt>
                <c:pt idx="40">
                  <c:v>6838.8349514563106</c:v>
                </c:pt>
                <c:pt idx="41">
                  <c:v>7119.2307692307695</c:v>
                </c:pt>
                <c:pt idx="42">
                  <c:v>7135.8490566037735</c:v>
                </c:pt>
                <c:pt idx="43">
                  <c:v>6976.5765765765764</c:v>
                </c:pt>
                <c:pt idx="44">
                  <c:v>6998.2456140350878</c:v>
                </c:pt>
                <c:pt idx="45">
                  <c:v>6945.6896551724139</c:v>
                </c:pt>
                <c:pt idx="46">
                  <c:v>6945.6896551724139</c:v>
                </c:pt>
                <c:pt idx="47">
                  <c:v>6904.2735042735039</c:v>
                </c:pt>
                <c:pt idx="48">
                  <c:v>6954.0983606557375</c:v>
                </c:pt>
                <c:pt idx="49">
                  <c:v>6913.8211382113823</c:v>
                </c:pt>
                <c:pt idx="50">
                  <c:v>6941.6</c:v>
                </c:pt>
                <c:pt idx="51">
                  <c:v>6917.4603174603171</c:v>
                </c:pt>
                <c:pt idx="52">
                  <c:v>7534.1085271317834</c:v>
                </c:pt>
                <c:pt idx="53">
                  <c:v>7648.0916030534354</c:v>
                </c:pt>
                <c:pt idx="54">
                  <c:v>7569.1729323308273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11.01398601398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ぱぱ2!$J$3:$J$57</c:f>
              <c:numCache>
                <c:formatCode>0</c:formatCode>
                <c:ptCount val="55"/>
                <c:pt idx="1">
                  <c:v>-20800</c:v>
                </c:pt>
                <c:pt idx="2">
                  <c:v>-14080</c:v>
                </c:pt>
                <c:pt idx="3">
                  <c:v>-12600</c:v>
                </c:pt>
                <c:pt idx="4">
                  <c:v>-11011.111111111111</c:v>
                </c:pt>
                <c:pt idx="5">
                  <c:v>-9836.363636363636</c:v>
                </c:pt>
                <c:pt idx="6">
                  <c:v>-9183.3333333333339</c:v>
                </c:pt>
                <c:pt idx="7">
                  <c:v>-9069.2307692307695</c:v>
                </c:pt>
                <c:pt idx="8">
                  <c:v>-9250</c:v>
                </c:pt>
                <c:pt idx="9">
                  <c:v>-8144.4444444444443</c:v>
                </c:pt>
                <c:pt idx="10">
                  <c:v>-9313.04347826087</c:v>
                </c:pt>
                <c:pt idx="11">
                  <c:v>-9204</c:v>
                </c:pt>
                <c:pt idx="12">
                  <c:v>-8521.4285714285706</c:v>
                </c:pt>
                <c:pt idx="13">
                  <c:v>-8521.4285714285706</c:v>
                </c:pt>
                <c:pt idx="14">
                  <c:v>-8170</c:v>
                </c:pt>
                <c:pt idx="15">
                  <c:v>-7996.969696969697</c:v>
                </c:pt>
                <c:pt idx="16">
                  <c:v>-8114.7058823529414</c:v>
                </c:pt>
                <c:pt idx="17">
                  <c:v>-8067.5675675675675</c:v>
                </c:pt>
                <c:pt idx="18">
                  <c:v>-7992.105263157895</c:v>
                </c:pt>
                <c:pt idx="19">
                  <c:v>-7992.105263157895</c:v>
                </c:pt>
                <c:pt idx="20">
                  <c:v>-7957.5</c:v>
                </c:pt>
                <c:pt idx="21">
                  <c:v>-7951.2195121951218</c:v>
                </c:pt>
                <c:pt idx="22">
                  <c:v>-8441.8604651162786</c:v>
                </c:pt>
                <c:pt idx="23">
                  <c:v>-8295.454545454546</c:v>
                </c:pt>
                <c:pt idx="24">
                  <c:v>-8182.9787234042551</c:v>
                </c:pt>
                <c:pt idx="25">
                  <c:v>-8295.9183673469379</c:v>
                </c:pt>
                <c:pt idx="26">
                  <c:v>-8295.9183673469379</c:v>
                </c:pt>
                <c:pt idx="27">
                  <c:v>-8208</c:v>
                </c:pt>
                <c:pt idx="28">
                  <c:v>-8208</c:v>
                </c:pt>
                <c:pt idx="29">
                  <c:v>-8208</c:v>
                </c:pt>
                <c:pt idx="30">
                  <c:v>-8208</c:v>
                </c:pt>
                <c:pt idx="31">
                  <c:v>-8353.8461538461543</c:v>
                </c:pt>
                <c:pt idx="32">
                  <c:v>-8177.7777777777774</c:v>
                </c:pt>
                <c:pt idx="33">
                  <c:v>-8177.7777777777774</c:v>
                </c:pt>
                <c:pt idx="34">
                  <c:v>-7957.1428571428569</c:v>
                </c:pt>
                <c:pt idx="35">
                  <c:v>-7934.4827586206893</c:v>
                </c:pt>
                <c:pt idx="36">
                  <c:v>-7866.1016949152545</c:v>
                </c:pt>
                <c:pt idx="37">
                  <c:v>-7904.8387096774195</c:v>
                </c:pt>
                <c:pt idx="38">
                  <c:v>-7779.6875</c:v>
                </c:pt>
                <c:pt idx="39">
                  <c:v>-7690.7692307692305</c:v>
                </c:pt>
                <c:pt idx="40">
                  <c:v>-7625.373134328358</c:v>
                </c:pt>
                <c:pt idx="41">
                  <c:v>-7689.7058823529414</c:v>
                </c:pt>
                <c:pt idx="42">
                  <c:v>-7807.1428571428569</c:v>
                </c:pt>
                <c:pt idx="43">
                  <c:v>-7807.1428571428569</c:v>
                </c:pt>
                <c:pt idx="44">
                  <c:v>-7866.1971830985913</c:v>
                </c:pt>
                <c:pt idx="45">
                  <c:v>-7787.6712328767126</c:v>
                </c:pt>
                <c:pt idx="46">
                  <c:v>-8300</c:v>
                </c:pt>
                <c:pt idx="47">
                  <c:v>-8290.9090909090901</c:v>
                </c:pt>
                <c:pt idx="48">
                  <c:v>-8290.9090909090901</c:v>
                </c:pt>
                <c:pt idx="49">
                  <c:v>-8300</c:v>
                </c:pt>
                <c:pt idx="50">
                  <c:v>-8225.9259259259252</c:v>
                </c:pt>
                <c:pt idx="51">
                  <c:v>-8225.9259259259252</c:v>
                </c:pt>
                <c:pt idx="52">
                  <c:v>-8271.9512195121952</c:v>
                </c:pt>
                <c:pt idx="53">
                  <c:v>-8327.3809523809523</c:v>
                </c:pt>
                <c:pt idx="54">
                  <c:v>-8275.5813953488378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81.83241973375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ぱぱ2!$K$3:$K$57</c:f>
              <c:numCache>
                <c:formatCode>0.0%</c:formatCode>
                <c:ptCount val="5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0.13043478260869565</c:v>
                </c:pt>
                <c:pt idx="47">
                  <c:v>0.14893617021276595</c:v>
                </c:pt>
                <c:pt idx="48">
                  <c:v>0.14583333333333334</c:v>
                </c:pt>
                <c:pt idx="49">
                  <c:v>0.14285714285714285</c:v>
                </c:pt>
                <c:pt idx="50">
                  <c:v>0.14000000000000001</c:v>
                </c:pt>
                <c:pt idx="51">
                  <c:v>0.15686274509803921</c:v>
                </c:pt>
                <c:pt idx="52">
                  <c:v>0.15384615384615385</c:v>
                </c:pt>
                <c:pt idx="53">
                  <c:v>0.15094339622641509</c:v>
                </c:pt>
                <c:pt idx="54">
                  <c:v>0.14814814814814814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965367965367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ぱぱ2!$L$3:$L$57</c:f>
              <c:numCache>
                <c:formatCode>0.0%</c:formatCode>
                <c:ptCount val="5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  <c:pt idx="45">
                  <c:v>6.6666666666666666E-2</c:v>
                </c:pt>
                <c:pt idx="46">
                  <c:v>6.5217391304347824E-2</c:v>
                </c:pt>
                <c:pt idx="47">
                  <c:v>6.3829787234042548E-2</c:v>
                </c:pt>
                <c:pt idx="48">
                  <c:v>6.25E-2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7965367965367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ぱぱ2!$M$3:$M$57</c:f>
              <c:numCache>
                <c:formatCode>0.0%</c:formatCode>
                <c:ptCount val="55"/>
                <c:pt idx="1">
                  <c:v>0.14285714285714285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0.17948717948717949</c:v>
                </c:pt>
                <c:pt idx="5">
                  <c:v>0.19148936170212766</c:v>
                </c:pt>
                <c:pt idx="6">
                  <c:v>0.16666666666666666</c:v>
                </c:pt>
                <c:pt idx="7">
                  <c:v>0.140625</c:v>
                </c:pt>
                <c:pt idx="8">
                  <c:v>0.14864864864864866</c:v>
                </c:pt>
                <c:pt idx="9">
                  <c:v>0.14285714285714285</c:v>
                </c:pt>
                <c:pt idx="10">
                  <c:v>0.14432989690721648</c:v>
                </c:pt>
                <c:pt idx="11">
                  <c:v>0.13592233009708737</c:v>
                </c:pt>
                <c:pt idx="12">
                  <c:v>0.15929203539823009</c:v>
                </c:pt>
                <c:pt idx="13">
                  <c:v>0.17094017094017094</c:v>
                </c:pt>
                <c:pt idx="14">
                  <c:v>0.18253968253968253</c:v>
                </c:pt>
                <c:pt idx="15">
                  <c:v>0.19402985074626866</c:v>
                </c:pt>
                <c:pt idx="16">
                  <c:v>0.18571428571428572</c:v>
                </c:pt>
                <c:pt idx="17">
                  <c:v>0.18709677419354839</c:v>
                </c:pt>
                <c:pt idx="18">
                  <c:v>0.19277108433734941</c:v>
                </c:pt>
                <c:pt idx="19">
                  <c:v>0.2</c:v>
                </c:pt>
                <c:pt idx="20">
                  <c:v>0.20855614973262032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0.20873786407766989</c:v>
                </c:pt>
                <c:pt idx="24">
                  <c:v>0.21860465116279071</c:v>
                </c:pt>
                <c:pt idx="25">
                  <c:v>0.21621621621621623</c:v>
                </c:pt>
                <c:pt idx="26">
                  <c:v>0.22413793103448276</c:v>
                </c:pt>
                <c:pt idx="27">
                  <c:v>0.23236514522821577</c:v>
                </c:pt>
                <c:pt idx="28">
                  <c:v>0.24</c:v>
                </c:pt>
                <c:pt idx="29">
                  <c:v>0.24031007751937986</c:v>
                </c:pt>
                <c:pt idx="30">
                  <c:v>0.2339622641509434</c:v>
                </c:pt>
                <c:pt idx="31">
                  <c:v>0.24087591240875914</c:v>
                </c:pt>
                <c:pt idx="32">
                  <c:v>0.23843416370106763</c:v>
                </c:pt>
                <c:pt idx="33">
                  <c:v>0.23287671232876711</c:v>
                </c:pt>
                <c:pt idx="34">
                  <c:v>0.22697368421052633</c:v>
                </c:pt>
                <c:pt idx="35">
                  <c:v>0.22756410256410256</c:v>
                </c:pt>
                <c:pt idx="36">
                  <c:v>0.23197492163009403</c:v>
                </c:pt>
                <c:pt idx="37">
                  <c:v>0.22865853658536586</c:v>
                </c:pt>
                <c:pt idx="38">
                  <c:v>0.23511904761904762</c:v>
                </c:pt>
                <c:pt idx="39">
                  <c:v>0.23391812865497075</c:v>
                </c:pt>
                <c:pt idx="40">
                  <c:v>0.23054755043227665</c:v>
                </c:pt>
                <c:pt idx="41">
                  <c:v>0.23098591549295774</c:v>
                </c:pt>
                <c:pt idx="42">
                  <c:v>0.22865013774104684</c:v>
                </c:pt>
                <c:pt idx="43">
                  <c:v>0.22933333333333333</c:v>
                </c:pt>
                <c:pt idx="44">
                  <c:v>0.23036649214659685</c:v>
                </c:pt>
                <c:pt idx="45">
                  <c:v>0.22879177377892032</c:v>
                </c:pt>
                <c:pt idx="46">
                  <c:v>0.22531645569620254</c:v>
                </c:pt>
                <c:pt idx="47">
                  <c:v>0.21975308641975308</c:v>
                </c:pt>
                <c:pt idx="48">
                  <c:v>0.22168674698795179</c:v>
                </c:pt>
                <c:pt idx="49">
                  <c:v>0.22274881516587677</c:v>
                </c:pt>
                <c:pt idx="50">
                  <c:v>0.22632794457274827</c:v>
                </c:pt>
                <c:pt idx="51">
                  <c:v>0.22272727272727272</c:v>
                </c:pt>
                <c:pt idx="52">
                  <c:v>0.22666666666666666</c:v>
                </c:pt>
                <c:pt idx="53">
                  <c:v>0.22342733188720174</c:v>
                </c:pt>
                <c:pt idx="54">
                  <c:v>0.21961620469083157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8152783209490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ぱぱ2!$N$3:$N$57</c:f>
              <c:numCache>
                <c:formatCode>0.0%</c:formatCode>
                <c:ptCount val="55"/>
                <c:pt idx="1">
                  <c:v>0.14285714285714285</c:v>
                </c:pt>
                <c:pt idx="2">
                  <c:v>0.10526315789473684</c:v>
                </c:pt>
                <c:pt idx="3">
                  <c:v>0.1111111111111111</c:v>
                </c:pt>
                <c:pt idx="4">
                  <c:v>0.10256410256410256</c:v>
                </c:pt>
                <c:pt idx="5">
                  <c:v>0.1276595744680851</c:v>
                </c:pt>
                <c:pt idx="6">
                  <c:v>0.14814814814814814</c:v>
                </c:pt>
                <c:pt idx="7">
                  <c:v>0.1875</c:v>
                </c:pt>
                <c:pt idx="8">
                  <c:v>0.21621621621621623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0.25242718446601942</c:v>
                </c:pt>
                <c:pt idx="12">
                  <c:v>0.23008849557522124</c:v>
                </c:pt>
                <c:pt idx="13">
                  <c:v>0.23076923076923078</c:v>
                </c:pt>
                <c:pt idx="14">
                  <c:v>0.23809523809523808</c:v>
                </c:pt>
                <c:pt idx="15">
                  <c:v>0.23134328358208955</c:v>
                </c:pt>
                <c:pt idx="16">
                  <c:v>0.22857142857142856</c:v>
                </c:pt>
                <c:pt idx="17">
                  <c:v>0.22580645161290322</c:v>
                </c:pt>
                <c:pt idx="18">
                  <c:v>0.2289156626506024</c:v>
                </c:pt>
                <c:pt idx="19">
                  <c:v>0.22857142857142856</c:v>
                </c:pt>
                <c:pt idx="20">
                  <c:v>0.22994652406417113</c:v>
                </c:pt>
                <c:pt idx="21">
                  <c:v>0.22164948453608246</c:v>
                </c:pt>
                <c:pt idx="22">
                  <c:v>0.22500000000000001</c:v>
                </c:pt>
                <c:pt idx="23">
                  <c:v>0.23786407766990292</c:v>
                </c:pt>
                <c:pt idx="24">
                  <c:v>0.22790697674418606</c:v>
                </c:pt>
                <c:pt idx="25">
                  <c:v>0.22972972972972974</c:v>
                </c:pt>
                <c:pt idx="26">
                  <c:v>0.22413793103448276</c:v>
                </c:pt>
                <c:pt idx="27">
                  <c:v>0.21991701244813278</c:v>
                </c:pt>
                <c:pt idx="28">
                  <c:v>0.224</c:v>
                </c:pt>
                <c:pt idx="29">
                  <c:v>0.22480620155038761</c:v>
                </c:pt>
                <c:pt idx="30">
                  <c:v>0.23018867924528302</c:v>
                </c:pt>
                <c:pt idx="31">
                  <c:v>0.22992700729927007</c:v>
                </c:pt>
                <c:pt idx="32">
                  <c:v>0.23487544483985764</c:v>
                </c:pt>
                <c:pt idx="33">
                  <c:v>0.25</c:v>
                </c:pt>
                <c:pt idx="34">
                  <c:v>0.25</c:v>
                </c:pt>
                <c:pt idx="35">
                  <c:v>0.25320512820512819</c:v>
                </c:pt>
                <c:pt idx="36">
                  <c:v>0.25391849529780564</c:v>
                </c:pt>
                <c:pt idx="37">
                  <c:v>0.25</c:v>
                </c:pt>
                <c:pt idx="38">
                  <c:v>0.25</c:v>
                </c:pt>
                <c:pt idx="39">
                  <c:v>0.24853801169590642</c:v>
                </c:pt>
                <c:pt idx="40">
                  <c:v>0.25360230547550433</c:v>
                </c:pt>
                <c:pt idx="41">
                  <c:v>0.25352112676056338</c:v>
                </c:pt>
                <c:pt idx="42">
                  <c:v>0.25344352617079891</c:v>
                </c:pt>
                <c:pt idx="43">
                  <c:v>0.26133333333333331</c:v>
                </c:pt>
                <c:pt idx="44">
                  <c:v>0.25654450261780104</c:v>
                </c:pt>
                <c:pt idx="45">
                  <c:v>0.25449871465295631</c:v>
                </c:pt>
                <c:pt idx="46">
                  <c:v>0.25569620253164554</c:v>
                </c:pt>
                <c:pt idx="47">
                  <c:v>0.25185185185185183</c:v>
                </c:pt>
                <c:pt idx="48">
                  <c:v>0.25301204819277107</c:v>
                </c:pt>
                <c:pt idx="49">
                  <c:v>0.24881516587677724</c:v>
                </c:pt>
                <c:pt idx="50">
                  <c:v>0.24249422632794457</c:v>
                </c:pt>
                <c:pt idx="51">
                  <c:v>0.24318181818181819</c:v>
                </c:pt>
                <c:pt idx="52">
                  <c:v>0.24</c:v>
                </c:pt>
                <c:pt idx="53">
                  <c:v>0.23644251626898047</c:v>
                </c:pt>
                <c:pt idx="54">
                  <c:v>0.23454157782515991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3401121105462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ぱぱ2!$O$3:$O$57</c:f>
              <c:numCache>
                <c:formatCode>0.0%</c:formatCode>
                <c:ptCount val="55"/>
                <c:pt idx="1">
                  <c:v>0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0.5714285714285714</c:v>
                </c:pt>
                <c:pt idx="5">
                  <c:v>0.44444444444444442</c:v>
                </c:pt>
                <c:pt idx="6">
                  <c:v>0.44444444444444442</c:v>
                </c:pt>
                <c:pt idx="7">
                  <c:v>0.44444444444444442</c:v>
                </c:pt>
                <c:pt idx="8">
                  <c:v>0.45454545454545453</c:v>
                </c:pt>
                <c:pt idx="9">
                  <c:v>0.41666666666666669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0.45</c:v>
                </c:pt>
                <c:pt idx="14">
                  <c:v>0.47826086956521741</c:v>
                </c:pt>
                <c:pt idx="15">
                  <c:v>0.53846153846153844</c:v>
                </c:pt>
                <c:pt idx="16">
                  <c:v>0.53846153846153844</c:v>
                </c:pt>
                <c:pt idx="17">
                  <c:v>0.55172413793103448</c:v>
                </c:pt>
                <c:pt idx="18">
                  <c:v>0.5625</c:v>
                </c:pt>
                <c:pt idx="19">
                  <c:v>0.54285714285714282</c:v>
                </c:pt>
                <c:pt idx="20">
                  <c:v>0.53846153846153844</c:v>
                </c:pt>
                <c:pt idx="21">
                  <c:v>0.53658536585365857</c:v>
                </c:pt>
                <c:pt idx="22">
                  <c:v>0.53488372093023251</c:v>
                </c:pt>
                <c:pt idx="23">
                  <c:v>0.53488372093023251</c:v>
                </c:pt>
                <c:pt idx="24">
                  <c:v>0.55319148936170215</c:v>
                </c:pt>
                <c:pt idx="25">
                  <c:v>0.54166666666666663</c:v>
                </c:pt>
                <c:pt idx="26">
                  <c:v>0.57692307692307687</c:v>
                </c:pt>
                <c:pt idx="27">
                  <c:v>0.5892857142857143</c:v>
                </c:pt>
                <c:pt idx="28">
                  <c:v>0.58333333333333337</c:v>
                </c:pt>
                <c:pt idx="29">
                  <c:v>0.59677419354838712</c:v>
                </c:pt>
                <c:pt idx="30">
                  <c:v>0.59677419354838712</c:v>
                </c:pt>
                <c:pt idx="31">
                  <c:v>0.60606060606060608</c:v>
                </c:pt>
                <c:pt idx="32">
                  <c:v>0.59701492537313428</c:v>
                </c:pt>
                <c:pt idx="33">
                  <c:v>0.6029411764705882</c:v>
                </c:pt>
                <c:pt idx="34">
                  <c:v>0.59420289855072461</c:v>
                </c:pt>
                <c:pt idx="35">
                  <c:v>0.60563380281690138</c:v>
                </c:pt>
                <c:pt idx="36">
                  <c:v>0.60810810810810811</c:v>
                </c:pt>
                <c:pt idx="37">
                  <c:v>0.61333333333333329</c:v>
                </c:pt>
                <c:pt idx="38">
                  <c:v>0.60759493670886078</c:v>
                </c:pt>
                <c:pt idx="39">
                  <c:v>0.6</c:v>
                </c:pt>
                <c:pt idx="40">
                  <c:v>0.6</c:v>
                </c:pt>
                <c:pt idx="41">
                  <c:v>0.59756097560975607</c:v>
                </c:pt>
                <c:pt idx="42">
                  <c:v>0.59036144578313254</c:v>
                </c:pt>
                <c:pt idx="43">
                  <c:v>0.59302325581395354</c:v>
                </c:pt>
                <c:pt idx="44">
                  <c:v>0.59090909090909094</c:v>
                </c:pt>
                <c:pt idx="45">
                  <c:v>0.5842696629213483</c:v>
                </c:pt>
                <c:pt idx="46">
                  <c:v>0.5842696629213483</c:v>
                </c:pt>
                <c:pt idx="47">
                  <c:v>0.5842696629213483</c:v>
                </c:pt>
                <c:pt idx="48">
                  <c:v>0.59782608695652173</c:v>
                </c:pt>
                <c:pt idx="49">
                  <c:v>0.58510638297872342</c:v>
                </c:pt>
                <c:pt idx="50">
                  <c:v>0.5714285714285714</c:v>
                </c:pt>
                <c:pt idx="51">
                  <c:v>0.5714285714285714</c:v>
                </c:pt>
                <c:pt idx="52">
                  <c:v>0.55882352941176472</c:v>
                </c:pt>
                <c:pt idx="53">
                  <c:v>0.55339805825242716</c:v>
                </c:pt>
                <c:pt idx="54">
                  <c:v>0.55339805825242716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5595527467185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ぱぱ2!$P$3:$P$57</c:f>
              <c:numCache>
                <c:formatCode>0.0%</c:formatCode>
                <c:ptCount val="5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0.3</c:v>
                </c:pt>
                <c:pt idx="10">
                  <c:v>0.36</c:v>
                </c:pt>
                <c:pt idx="11">
                  <c:v>0.38461538461538464</c:v>
                </c:pt>
                <c:pt idx="12">
                  <c:v>0.38461538461538464</c:v>
                </c:pt>
                <c:pt idx="13">
                  <c:v>0.37037037037037035</c:v>
                </c:pt>
                <c:pt idx="14">
                  <c:v>0.33333333333333331</c:v>
                </c:pt>
                <c:pt idx="15">
                  <c:v>0.32258064516129031</c:v>
                </c:pt>
                <c:pt idx="16">
                  <c:v>0.3125</c:v>
                </c:pt>
                <c:pt idx="17">
                  <c:v>0.31428571428571428</c:v>
                </c:pt>
                <c:pt idx="18">
                  <c:v>0.34210526315789475</c:v>
                </c:pt>
                <c:pt idx="19">
                  <c:v>0.32500000000000001</c:v>
                </c:pt>
                <c:pt idx="20">
                  <c:v>0.34883720930232559</c:v>
                </c:pt>
                <c:pt idx="21">
                  <c:v>0.34883720930232559</c:v>
                </c:pt>
                <c:pt idx="22">
                  <c:v>0.33333333333333331</c:v>
                </c:pt>
                <c:pt idx="23">
                  <c:v>0.32653061224489793</c:v>
                </c:pt>
                <c:pt idx="24">
                  <c:v>0.32653061224489793</c:v>
                </c:pt>
                <c:pt idx="25">
                  <c:v>0.33333333333333331</c:v>
                </c:pt>
                <c:pt idx="26">
                  <c:v>0.34615384615384615</c:v>
                </c:pt>
                <c:pt idx="27">
                  <c:v>0.33962264150943394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0.32786885245901637</c:v>
                </c:pt>
                <c:pt idx="31">
                  <c:v>0.31746031746031744</c:v>
                </c:pt>
                <c:pt idx="32">
                  <c:v>0.33333333333333331</c:v>
                </c:pt>
                <c:pt idx="33">
                  <c:v>0.34246575342465752</c:v>
                </c:pt>
                <c:pt idx="34">
                  <c:v>0.34210526315789475</c:v>
                </c:pt>
                <c:pt idx="35">
                  <c:v>0.34177215189873417</c:v>
                </c:pt>
                <c:pt idx="36">
                  <c:v>0.33333333333333331</c:v>
                </c:pt>
                <c:pt idx="37">
                  <c:v>0.32926829268292684</c:v>
                </c:pt>
                <c:pt idx="38">
                  <c:v>0.33333333333333331</c:v>
                </c:pt>
                <c:pt idx="39">
                  <c:v>0.3411764705882353</c:v>
                </c:pt>
                <c:pt idx="40">
                  <c:v>0.32954545454545453</c:v>
                </c:pt>
                <c:pt idx="41">
                  <c:v>0.32222222222222224</c:v>
                </c:pt>
                <c:pt idx="42">
                  <c:v>0.32608695652173914</c:v>
                </c:pt>
                <c:pt idx="43">
                  <c:v>0.33673469387755101</c:v>
                </c:pt>
                <c:pt idx="44">
                  <c:v>0.33673469387755101</c:v>
                </c:pt>
                <c:pt idx="45">
                  <c:v>0.33333333333333331</c:v>
                </c:pt>
                <c:pt idx="46">
                  <c:v>0.32673267326732675</c:v>
                </c:pt>
                <c:pt idx="47">
                  <c:v>0.3235294117647059</c:v>
                </c:pt>
                <c:pt idx="48">
                  <c:v>0.33333333333333331</c:v>
                </c:pt>
                <c:pt idx="49">
                  <c:v>0.33333333333333331</c:v>
                </c:pt>
                <c:pt idx="50">
                  <c:v>0.33333333333333331</c:v>
                </c:pt>
                <c:pt idx="51">
                  <c:v>0.32710280373831774</c:v>
                </c:pt>
                <c:pt idx="52">
                  <c:v>0.33333333333333331</c:v>
                </c:pt>
                <c:pt idx="53">
                  <c:v>0.33944954128440369</c:v>
                </c:pt>
                <c:pt idx="54">
                  <c:v>0.34545454545454546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9511301160659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ぱぱ2!$A$3:$A$57</c:f>
              <c:numCache>
                <c:formatCode>0\ "回"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ぱぱ2!$Q$3:$Q$57</c:f>
              <c:numCache>
                <c:formatCode>0.0%</c:formatCode>
                <c:ptCount val="55"/>
                <c:pt idx="1">
                  <c:v>1</c:v>
                </c:pt>
                <c:pt idx="2">
                  <c:v>0.8</c:v>
                </c:pt>
                <c:pt idx="3">
                  <c:v>0.8</c:v>
                </c:pt>
                <c:pt idx="4">
                  <c:v>0.77777777777777779</c:v>
                </c:pt>
                <c:pt idx="5">
                  <c:v>0.77777777777777779</c:v>
                </c:pt>
                <c:pt idx="6">
                  <c:v>0.7</c:v>
                </c:pt>
                <c:pt idx="7">
                  <c:v>0.61538461538461542</c:v>
                </c:pt>
                <c:pt idx="8">
                  <c:v>0.55555555555555558</c:v>
                </c:pt>
                <c:pt idx="9">
                  <c:v>0.6</c:v>
                </c:pt>
                <c:pt idx="10">
                  <c:v>0.52</c:v>
                </c:pt>
                <c:pt idx="11">
                  <c:v>0.5</c:v>
                </c:pt>
                <c:pt idx="12">
                  <c:v>0.53125</c:v>
                </c:pt>
                <c:pt idx="13">
                  <c:v>0.53125</c:v>
                </c:pt>
                <c:pt idx="14">
                  <c:v>0.51428571428571423</c:v>
                </c:pt>
                <c:pt idx="15">
                  <c:v>0.52631578947368418</c:v>
                </c:pt>
                <c:pt idx="16">
                  <c:v>0.5</c:v>
                </c:pt>
                <c:pt idx="17">
                  <c:v>0.5</c:v>
                </c:pt>
                <c:pt idx="18">
                  <c:v>0.48979591836734693</c:v>
                </c:pt>
                <c:pt idx="19">
                  <c:v>0.49019607843137253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0.50877192982456143</c:v>
                </c:pt>
                <c:pt idx="23">
                  <c:v>0.50847457627118642</c:v>
                </c:pt>
                <c:pt idx="24">
                  <c:v>0.5</c:v>
                </c:pt>
                <c:pt idx="25">
                  <c:v>0.50793650793650791</c:v>
                </c:pt>
                <c:pt idx="26">
                  <c:v>0.51470588235294112</c:v>
                </c:pt>
                <c:pt idx="27">
                  <c:v>0.51388888888888884</c:v>
                </c:pt>
                <c:pt idx="28">
                  <c:v>0.51315789473684215</c:v>
                </c:pt>
                <c:pt idx="29">
                  <c:v>0.51851851851851849</c:v>
                </c:pt>
                <c:pt idx="30">
                  <c:v>0.51851851851851849</c:v>
                </c:pt>
                <c:pt idx="31">
                  <c:v>0.51190476190476186</c:v>
                </c:pt>
                <c:pt idx="32">
                  <c:v>0.51724137931034486</c:v>
                </c:pt>
                <c:pt idx="33">
                  <c:v>0.53260869565217395</c:v>
                </c:pt>
                <c:pt idx="34">
                  <c:v>0.5268817204301075</c:v>
                </c:pt>
                <c:pt idx="35">
                  <c:v>0.52083333333333337</c:v>
                </c:pt>
                <c:pt idx="36">
                  <c:v>0.52040816326530615</c:v>
                </c:pt>
                <c:pt idx="37">
                  <c:v>0.51515151515151514</c:v>
                </c:pt>
                <c:pt idx="38">
                  <c:v>0.51960784313725494</c:v>
                </c:pt>
                <c:pt idx="39">
                  <c:v>0.5145631067961165</c:v>
                </c:pt>
                <c:pt idx="40">
                  <c:v>0.5145631067961165</c:v>
                </c:pt>
                <c:pt idx="41">
                  <c:v>0.51923076923076927</c:v>
                </c:pt>
                <c:pt idx="42">
                  <c:v>0.51886792452830188</c:v>
                </c:pt>
                <c:pt idx="43">
                  <c:v>0.50450450450450446</c:v>
                </c:pt>
                <c:pt idx="44">
                  <c:v>0.50877192982456143</c:v>
                </c:pt>
                <c:pt idx="45">
                  <c:v>0.50862068965517238</c:v>
                </c:pt>
                <c:pt idx="46">
                  <c:v>0.50862068965517238</c:v>
                </c:pt>
                <c:pt idx="47">
                  <c:v>0.51282051282051277</c:v>
                </c:pt>
                <c:pt idx="48">
                  <c:v>0.50819672131147542</c:v>
                </c:pt>
                <c:pt idx="49">
                  <c:v>0.50406504065040647</c:v>
                </c:pt>
                <c:pt idx="50">
                  <c:v>0.504</c:v>
                </c:pt>
                <c:pt idx="51">
                  <c:v>0.5</c:v>
                </c:pt>
                <c:pt idx="52">
                  <c:v>0.50387596899224807</c:v>
                </c:pt>
                <c:pt idx="53">
                  <c:v>0.50381679389312972</c:v>
                </c:pt>
                <c:pt idx="54">
                  <c:v>0.50375939849624063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003496503496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9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43662.431319444448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43662.431319444448</v>
      </c>
      <c r="C86" s="30" t="s">
        <v>130</v>
      </c>
    </row>
    <row r="87" spans="1:15" x14ac:dyDescent="0.4">
      <c r="A87" s="30" t="s">
        <v>278</v>
      </c>
      <c r="B87" s="31">
        <v>43662.431319444448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43662.431319444448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43662.431319444448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43661.057534722226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43662.431319444448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43662.431319444448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43663.012245370373</v>
      </c>
      <c r="C93" s="30" t="s">
        <v>130</v>
      </c>
      <c r="D93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924</v>
      </c>
    </row>
    <row r="2" spans="1:2" x14ac:dyDescent="0.4">
      <c r="A2" t="s">
        <v>127</v>
      </c>
      <c r="B2">
        <v>198</v>
      </c>
    </row>
    <row r="3" spans="1:2" x14ac:dyDescent="0.4">
      <c r="A3" t="s">
        <v>128</v>
      </c>
      <c r="B3">
        <v>159</v>
      </c>
    </row>
    <row r="4" spans="1:2" x14ac:dyDescent="0.4">
      <c r="A4" t="s">
        <v>129</v>
      </c>
      <c r="B4">
        <v>151</v>
      </c>
    </row>
    <row r="5" spans="1:2" x14ac:dyDescent="0.4">
      <c r="A5" t="s">
        <v>171</v>
      </c>
      <c r="B5">
        <v>104</v>
      </c>
    </row>
    <row r="6" spans="1:2" x14ac:dyDescent="0.4">
      <c r="A6" t="s">
        <v>172</v>
      </c>
      <c r="B6">
        <v>102</v>
      </c>
    </row>
    <row r="7" spans="1:2" x14ac:dyDescent="0.4">
      <c r="A7" t="s">
        <v>173</v>
      </c>
      <c r="B7">
        <v>54</v>
      </c>
    </row>
    <row r="8" spans="1:2" x14ac:dyDescent="0.4">
      <c r="A8" t="s">
        <v>177</v>
      </c>
      <c r="B8">
        <v>97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19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162</v>
      </c>
      <c r="K1" s="159"/>
      <c r="L1" s="158" t="s">
        <v>149</v>
      </c>
      <c r="M1" s="159"/>
      <c r="N1" s="158" t="s">
        <v>150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141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151</v>
      </c>
      <c r="AE1" s="159"/>
      <c r="AF1" s="158" t="s">
        <v>144</v>
      </c>
      <c r="AG1" s="159"/>
      <c r="AH1" s="158" t="s">
        <v>153</v>
      </c>
      <c r="AI1" s="159"/>
    </row>
    <row r="2" spans="1:35" x14ac:dyDescent="0.4">
      <c r="A2" s="72" t="s">
        <v>161</v>
      </c>
      <c r="B2" s="160"/>
      <c r="C2" s="161"/>
      <c r="D2" s="160"/>
      <c r="E2" s="161"/>
      <c r="F2" s="162">
        <v>0.97254710752360407</v>
      </c>
      <c r="G2" s="163"/>
      <c r="H2" s="162">
        <v>0.71036311056664059</v>
      </c>
      <c r="I2" s="163"/>
      <c r="J2" s="162">
        <v>0.89758905760765395</v>
      </c>
      <c r="K2" s="163"/>
      <c r="L2" s="162">
        <v>0.71505839935484006</v>
      </c>
      <c r="M2" s="163"/>
      <c r="N2" s="162">
        <v>0.72619421719018418</v>
      </c>
      <c r="O2" s="163"/>
      <c r="P2" s="162">
        <v>0.33203167126251126</v>
      </c>
      <c r="Q2" s="163"/>
      <c r="R2" s="162">
        <v>0.4899532648910756</v>
      </c>
      <c r="S2" s="163"/>
      <c r="T2" s="162">
        <v>0.61678981125332533</v>
      </c>
      <c r="U2" s="163"/>
      <c r="V2" s="162">
        <v>0.51826848675972725</v>
      </c>
      <c r="W2" s="163"/>
      <c r="X2" s="162">
        <v>0.5657846038308616</v>
      </c>
      <c r="Y2" s="163"/>
      <c r="Z2" s="162">
        <v>0.11072555379477989</v>
      </c>
      <c r="AA2" s="163"/>
      <c r="AB2" s="162">
        <v>-4.3101833869478016E-2</v>
      </c>
      <c r="AC2" s="163"/>
      <c r="AD2" s="162">
        <v>0.75222906136186807</v>
      </c>
      <c r="AE2" s="163"/>
      <c r="AF2" s="162">
        <v>-1.8610451255729785E-2</v>
      </c>
      <c r="AG2" s="163"/>
      <c r="AH2" s="162">
        <v>0.589488434558741</v>
      </c>
      <c r="AI2" s="163"/>
    </row>
    <row r="3" spans="1:35" x14ac:dyDescent="0.4">
      <c r="A3" s="74">
        <v>1</v>
      </c>
      <c r="B3" s="75" t="s">
        <v>127</v>
      </c>
      <c r="C3" s="76">
        <v>2519.9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0.3009230769230769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223</v>
      </c>
      <c r="C4" s="84">
        <v>100.39999999999999</v>
      </c>
      <c r="D4" s="85" t="s">
        <v>223</v>
      </c>
      <c r="E4" s="97">
        <v>16.733333333333331</v>
      </c>
      <c r="F4" s="85" t="s">
        <v>127</v>
      </c>
      <c r="G4" s="86">
        <v>1.7525252525252526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0.34285714285714286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-6825</v>
      </c>
      <c r="T4" s="85" t="s">
        <v>222</v>
      </c>
      <c r="U4" s="87">
        <v>0</v>
      </c>
      <c r="V4" s="85" t="s">
        <v>127</v>
      </c>
      <c r="W4" s="87">
        <v>0.16666666666666666</v>
      </c>
      <c r="X4" s="85" t="s">
        <v>128</v>
      </c>
      <c r="Y4" s="88">
        <v>0.29555895865237364</v>
      </c>
      <c r="Z4" s="85" t="s">
        <v>271</v>
      </c>
      <c r="AA4" s="88">
        <v>0.35714285714285715</v>
      </c>
      <c r="AB4" s="85" t="s">
        <v>271</v>
      </c>
      <c r="AC4" s="88">
        <v>0.7</v>
      </c>
      <c r="AD4" s="85" t="s">
        <v>127</v>
      </c>
      <c r="AE4" s="88">
        <v>0.5168539325842697</v>
      </c>
      <c r="AF4" s="85" t="s">
        <v>200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94.299999999999983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0.48484848484848486</v>
      </c>
      <c r="J5" s="85" t="s">
        <v>200</v>
      </c>
      <c r="K5" s="87">
        <v>0.21052631578947367</v>
      </c>
      <c r="L5" s="85" t="s">
        <v>127</v>
      </c>
      <c r="M5" s="88">
        <v>0.33969230769230768</v>
      </c>
      <c r="N5" s="85" t="s">
        <v>223</v>
      </c>
      <c r="O5" s="88">
        <v>0.13043478260869565</v>
      </c>
      <c r="P5" s="85" t="s">
        <v>171</v>
      </c>
      <c r="Q5" s="89">
        <v>9887.4493927125513</v>
      </c>
      <c r="R5" s="85" t="s">
        <v>177</v>
      </c>
      <c r="S5" s="89">
        <v>-7187.3949579831933</v>
      </c>
      <c r="T5" s="85" t="s">
        <v>223</v>
      </c>
      <c r="U5" s="87">
        <v>0</v>
      </c>
      <c r="V5" s="85" t="s">
        <v>171</v>
      </c>
      <c r="W5" s="87">
        <v>0.14423076923076922</v>
      </c>
      <c r="X5" s="85" t="s">
        <v>171</v>
      </c>
      <c r="Y5" s="88">
        <v>0.28356481481481483</v>
      </c>
      <c r="Z5" s="85" t="s">
        <v>200</v>
      </c>
      <c r="AA5" s="88">
        <v>0.31428571428571428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0.50375939849624063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127</v>
      </c>
      <c r="E6" s="97">
        <v>12.726767676767677</v>
      </c>
      <c r="F6" s="85" t="s">
        <v>200</v>
      </c>
      <c r="G6" s="86">
        <v>1.8421052631578947</v>
      </c>
      <c r="H6" s="85" t="s">
        <v>200</v>
      </c>
      <c r="I6" s="87">
        <v>0.36842105263157893</v>
      </c>
      <c r="J6" s="85" t="s">
        <v>127</v>
      </c>
      <c r="K6" s="87">
        <v>0.23737373737373738</v>
      </c>
      <c r="L6" s="85" t="s">
        <v>172</v>
      </c>
      <c r="M6" s="88">
        <v>0.3368298368298368</v>
      </c>
      <c r="N6" s="85" t="s">
        <v>172</v>
      </c>
      <c r="O6" s="88">
        <v>0.14102564102564102</v>
      </c>
      <c r="P6" s="85" t="s">
        <v>127</v>
      </c>
      <c r="Q6" s="89">
        <v>9200.36231884058</v>
      </c>
      <c r="R6" s="85" t="s">
        <v>128</v>
      </c>
      <c r="S6" s="89">
        <v>-7465.8227848101269</v>
      </c>
      <c r="T6" s="85" t="s">
        <v>172</v>
      </c>
      <c r="U6" s="87">
        <v>4.9019607843137254E-2</v>
      </c>
      <c r="V6" s="85" t="s">
        <v>145</v>
      </c>
      <c r="W6" s="87">
        <v>0.11796536796536797</v>
      </c>
      <c r="X6" s="85" t="s">
        <v>177</v>
      </c>
      <c r="Y6" s="88">
        <v>0.27742749054224464</v>
      </c>
      <c r="Z6" s="85" t="s">
        <v>172</v>
      </c>
      <c r="AA6" s="88">
        <v>0.28904428904428903</v>
      </c>
      <c r="AB6" s="85" t="s">
        <v>200</v>
      </c>
      <c r="AC6" s="88">
        <v>0.62790697674418605</v>
      </c>
      <c r="AD6" s="85" t="s">
        <v>200</v>
      </c>
      <c r="AE6" s="88">
        <v>0.43636363636363634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171</v>
      </c>
      <c r="C7" s="84">
        <v>29.800000000000011</v>
      </c>
      <c r="D7" s="85" t="s">
        <v>200</v>
      </c>
      <c r="E7" s="97">
        <v>4.9631578947368409</v>
      </c>
      <c r="F7" s="85" t="s">
        <v>177</v>
      </c>
      <c r="G7" s="86">
        <v>1.9896907216494846</v>
      </c>
      <c r="H7" s="85" t="s">
        <v>177</v>
      </c>
      <c r="I7" s="87">
        <v>0.34020618556701032</v>
      </c>
      <c r="J7" s="85" t="s">
        <v>172</v>
      </c>
      <c r="K7" s="87">
        <v>0.30392156862745096</v>
      </c>
      <c r="L7" s="85" t="s">
        <v>145</v>
      </c>
      <c r="M7" s="88">
        <v>0.29826619736670579</v>
      </c>
      <c r="N7" s="85" t="s">
        <v>177</v>
      </c>
      <c r="O7" s="88">
        <v>0.15006305170239598</v>
      </c>
      <c r="P7" s="85" t="s">
        <v>128</v>
      </c>
      <c r="Q7" s="89">
        <v>8941.9889502762435</v>
      </c>
      <c r="R7" s="85" t="s">
        <v>127</v>
      </c>
      <c r="S7" s="89">
        <v>-8076.7346938775509</v>
      </c>
      <c r="T7" s="85" t="s">
        <v>127</v>
      </c>
      <c r="U7" s="87">
        <v>8.5858585858585856E-2</v>
      </c>
      <c r="V7" s="85" t="s">
        <v>177</v>
      </c>
      <c r="W7" s="87">
        <v>0.1134020618556701</v>
      </c>
      <c r="X7" s="85" t="s">
        <v>145</v>
      </c>
      <c r="Y7" s="88">
        <v>0.26815278320949026</v>
      </c>
      <c r="Z7" s="85" t="s">
        <v>184</v>
      </c>
      <c r="AA7" s="88">
        <v>0.24861878453038674</v>
      </c>
      <c r="AB7" s="85" t="s">
        <v>177</v>
      </c>
      <c r="AC7" s="88">
        <v>0.60909090909090913</v>
      </c>
      <c r="AD7" s="85" t="s">
        <v>172</v>
      </c>
      <c r="AE7" s="88">
        <v>0.42338709677419356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177</v>
      </c>
      <c r="C8" s="84">
        <v>19.799999999999926</v>
      </c>
      <c r="D8" s="85" t="s">
        <v>171</v>
      </c>
      <c r="E8" s="97">
        <v>0.28653846153846163</v>
      </c>
      <c r="F8" s="85" t="s">
        <v>145</v>
      </c>
      <c r="G8" s="86">
        <v>2</v>
      </c>
      <c r="H8" s="85" t="s">
        <v>184</v>
      </c>
      <c r="I8" s="87">
        <v>0.33333333333333331</v>
      </c>
      <c r="J8" s="85" t="s">
        <v>177</v>
      </c>
      <c r="K8" s="87">
        <v>0.32989690721649484</v>
      </c>
      <c r="L8" s="85" t="s">
        <v>171</v>
      </c>
      <c r="M8" s="88">
        <v>0.28587962962962965</v>
      </c>
      <c r="N8" s="85" t="s">
        <v>127</v>
      </c>
      <c r="O8" s="88">
        <v>0.15076923076923077</v>
      </c>
      <c r="P8" s="85" t="s">
        <v>177</v>
      </c>
      <c r="Q8" s="89">
        <v>8802.2935779816507</v>
      </c>
      <c r="R8" s="85" t="s">
        <v>145</v>
      </c>
      <c r="S8" s="89">
        <v>-8081.8324197337506</v>
      </c>
      <c r="T8" s="85" t="s">
        <v>171</v>
      </c>
      <c r="U8" s="87">
        <v>0.10576923076923077</v>
      </c>
      <c r="V8" s="85" t="s">
        <v>128</v>
      </c>
      <c r="W8" s="87">
        <v>0.10062893081761007</v>
      </c>
      <c r="X8" s="85" t="s">
        <v>183</v>
      </c>
      <c r="Y8" s="88">
        <v>0.26315789473684209</v>
      </c>
      <c r="Z8" s="85" t="s">
        <v>173</v>
      </c>
      <c r="AA8" s="88">
        <v>0.23454157782515991</v>
      </c>
      <c r="AB8" s="85" t="s">
        <v>183</v>
      </c>
      <c r="AC8" s="88">
        <v>0.6</v>
      </c>
      <c r="AD8" s="85" t="s">
        <v>171</v>
      </c>
      <c r="AE8" s="88">
        <v>0.4</v>
      </c>
      <c r="AF8" s="85" t="s">
        <v>177</v>
      </c>
      <c r="AG8" s="88">
        <v>0.45871559633027525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0.20412371134020543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173</v>
      </c>
      <c r="M9" s="88">
        <v>0.28358208955223879</v>
      </c>
      <c r="N9" s="85" t="s">
        <v>200</v>
      </c>
      <c r="O9" s="88">
        <v>0.16</v>
      </c>
      <c r="P9" s="85" t="s">
        <v>145</v>
      </c>
      <c r="Q9" s="89">
        <v>8611.0139860139861</v>
      </c>
      <c r="R9" s="85" t="s">
        <v>172</v>
      </c>
      <c r="S9" s="89">
        <v>-8226.446280991735</v>
      </c>
      <c r="T9" s="85" t="s">
        <v>145</v>
      </c>
      <c r="U9" s="87">
        <v>0.11796536796536797</v>
      </c>
      <c r="V9" s="85" t="s">
        <v>129</v>
      </c>
      <c r="W9" s="87">
        <v>9.9337748344370855E-2</v>
      </c>
      <c r="X9" s="85" t="s">
        <v>129</v>
      </c>
      <c r="Y9" s="88">
        <v>0.25434439178515006</v>
      </c>
      <c r="Z9" s="85" t="s">
        <v>127</v>
      </c>
      <c r="AA9" s="88">
        <v>0.21907692307692309</v>
      </c>
      <c r="AB9" s="85" t="s">
        <v>128</v>
      </c>
      <c r="AC9" s="88">
        <v>0.58808290155440412</v>
      </c>
      <c r="AD9" s="85" t="s">
        <v>145</v>
      </c>
      <c r="AE9" s="88">
        <v>0.39951130116065975</v>
      </c>
      <c r="AF9" s="85" t="s">
        <v>128</v>
      </c>
      <c r="AG9" s="88">
        <v>0.43922651933701656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-8.8817841970012523E-15</v>
      </c>
      <c r="D10" s="85" t="s">
        <v>145</v>
      </c>
      <c r="E10" s="97">
        <v>-9.6123205595251645E-18</v>
      </c>
      <c r="F10" s="85" t="s">
        <v>171</v>
      </c>
      <c r="G10" s="86">
        <v>2.0384615384615383</v>
      </c>
      <c r="H10" s="85" t="s">
        <v>171</v>
      </c>
      <c r="I10" s="87">
        <v>0.30769230769230771</v>
      </c>
      <c r="J10" s="85" t="s">
        <v>223</v>
      </c>
      <c r="K10" s="87">
        <v>0.33333333333333331</v>
      </c>
      <c r="L10" s="85" t="s">
        <v>128</v>
      </c>
      <c r="M10" s="88">
        <v>0.27718223583460949</v>
      </c>
      <c r="N10" s="85" t="s">
        <v>145</v>
      </c>
      <c r="O10" s="88">
        <v>0.16647112501629513</v>
      </c>
      <c r="P10" s="85" t="s">
        <v>184</v>
      </c>
      <c r="Q10" s="89">
        <v>8434</v>
      </c>
      <c r="R10" s="85" t="s">
        <v>173</v>
      </c>
      <c r="S10" s="89">
        <v>-8275.5813953488378</v>
      </c>
      <c r="T10" s="85" t="s">
        <v>128</v>
      </c>
      <c r="U10" s="87">
        <v>0.12578616352201258</v>
      </c>
      <c r="V10" s="85" t="s">
        <v>172</v>
      </c>
      <c r="W10" s="87">
        <v>9.8039215686274508E-2</v>
      </c>
      <c r="X10" s="85" t="s">
        <v>200</v>
      </c>
      <c r="Y10" s="88">
        <v>0.24571428571428572</v>
      </c>
      <c r="Z10" s="85" t="s">
        <v>145</v>
      </c>
      <c r="AA10" s="88">
        <v>0.21340112110546214</v>
      </c>
      <c r="AB10" s="85" t="s">
        <v>127</v>
      </c>
      <c r="AC10" s="88">
        <v>0.58077709611451944</v>
      </c>
      <c r="AD10" s="85" t="s">
        <v>184</v>
      </c>
      <c r="AE10" s="88">
        <v>0.37777777777777777</v>
      </c>
      <c r="AF10" s="85" t="s">
        <v>145</v>
      </c>
      <c r="AG10" s="88">
        <v>0.43400349650349651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-200.80000000000004</v>
      </c>
      <c r="D11" s="85" t="s">
        <v>172</v>
      </c>
      <c r="E11" s="97">
        <v>-1.9686274509803925</v>
      </c>
      <c r="F11" s="85" t="s">
        <v>172</v>
      </c>
      <c r="G11" s="86">
        <v>2.0588235294117645</v>
      </c>
      <c r="H11" s="85" t="s">
        <v>129</v>
      </c>
      <c r="I11" s="87">
        <v>0.29139072847682118</v>
      </c>
      <c r="J11" s="85" t="s">
        <v>128</v>
      </c>
      <c r="K11" s="87">
        <v>0.33962264150943394</v>
      </c>
      <c r="L11" s="85" t="s">
        <v>184</v>
      </c>
      <c r="M11" s="88">
        <v>0.27624309392265195</v>
      </c>
      <c r="N11" s="85" t="s">
        <v>171</v>
      </c>
      <c r="O11" s="88">
        <v>0.17476851851851852</v>
      </c>
      <c r="P11" s="85" t="s">
        <v>129</v>
      </c>
      <c r="Q11" s="89">
        <v>8236.4705882352937</v>
      </c>
      <c r="R11" s="85" t="s">
        <v>200</v>
      </c>
      <c r="S11" s="89">
        <v>-8367.8571428571431</v>
      </c>
      <c r="T11" s="85" t="s">
        <v>177</v>
      </c>
      <c r="U11" s="87">
        <v>0.13402061855670103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183</v>
      </c>
      <c r="AA11" s="88">
        <v>0.21052631578947367</v>
      </c>
      <c r="AB11" s="85" t="s">
        <v>145</v>
      </c>
      <c r="AC11" s="88">
        <v>0.57559552746718523</v>
      </c>
      <c r="AD11" s="85" t="s">
        <v>173</v>
      </c>
      <c r="AE11" s="88">
        <v>0.34545454545454546</v>
      </c>
      <c r="AF11" s="85" t="s">
        <v>271</v>
      </c>
      <c r="AG11" s="88">
        <v>0.42857142857142855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-201.8</v>
      </c>
      <c r="D12" s="85" t="s">
        <v>128</v>
      </c>
      <c r="E12" s="97">
        <v>-2.5811320754716984</v>
      </c>
      <c r="F12" s="85" t="s">
        <v>128</v>
      </c>
      <c r="G12" s="86">
        <v>2.0691823899371071</v>
      </c>
      <c r="H12" s="85" t="s">
        <v>173</v>
      </c>
      <c r="I12" s="87">
        <v>0.27777777777777779</v>
      </c>
      <c r="J12" s="85" t="s">
        <v>171</v>
      </c>
      <c r="K12" s="87">
        <v>0.34615384615384615</v>
      </c>
      <c r="L12" s="85" t="s">
        <v>177</v>
      </c>
      <c r="M12" s="88">
        <v>0.27490542244640603</v>
      </c>
      <c r="N12" s="85" t="s">
        <v>129</v>
      </c>
      <c r="O12" s="88">
        <v>0.18009478672985782</v>
      </c>
      <c r="P12" s="85" t="s">
        <v>200</v>
      </c>
      <c r="Q12" s="89">
        <v>8058.333333333333</v>
      </c>
      <c r="R12" s="85" t="s">
        <v>171</v>
      </c>
      <c r="S12" s="89">
        <v>-8369.5364238410602</v>
      </c>
      <c r="T12" s="85" t="s">
        <v>173</v>
      </c>
      <c r="U12" s="87">
        <v>0.14814814814814814</v>
      </c>
      <c r="V12" s="85" t="s">
        <v>173</v>
      </c>
      <c r="W12" s="87">
        <v>7.407407407407407E-2</v>
      </c>
      <c r="X12" s="85" t="s">
        <v>222</v>
      </c>
      <c r="Y12" s="88">
        <v>0.23076923076923078</v>
      </c>
      <c r="Z12" s="85" t="s">
        <v>171</v>
      </c>
      <c r="AA12" s="88">
        <v>0.19675925925925927</v>
      </c>
      <c r="AB12" s="85" t="s">
        <v>171</v>
      </c>
      <c r="AC12" s="88">
        <v>0.56326530612244896</v>
      </c>
      <c r="AD12" s="85" t="s">
        <v>177</v>
      </c>
      <c r="AE12" s="88">
        <v>0.33793103448275863</v>
      </c>
      <c r="AF12" s="85" t="s">
        <v>129</v>
      </c>
      <c r="AG12" s="88">
        <v>0.42352941176470588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173</v>
      </c>
      <c r="E13" s="97">
        <v>-7.4925925925925929</v>
      </c>
      <c r="F13" s="85" t="s">
        <v>173</v>
      </c>
      <c r="G13" s="86">
        <v>2.1111111111111112</v>
      </c>
      <c r="H13" s="85" t="s">
        <v>128</v>
      </c>
      <c r="I13" s="87">
        <v>0.27044025157232704</v>
      </c>
      <c r="J13" s="85" t="s">
        <v>173</v>
      </c>
      <c r="K13" s="87">
        <v>0.3888888888888889</v>
      </c>
      <c r="L13" s="85" t="s">
        <v>129</v>
      </c>
      <c r="M13" s="88">
        <v>0.26856240126382308</v>
      </c>
      <c r="N13" s="85" t="s">
        <v>128</v>
      </c>
      <c r="O13" s="88">
        <v>0.18147013782542112</v>
      </c>
      <c r="P13" s="85" t="s">
        <v>183</v>
      </c>
      <c r="Q13" s="89">
        <v>7860</v>
      </c>
      <c r="R13" s="85" t="s">
        <v>129</v>
      </c>
      <c r="S13" s="89">
        <v>-8504.8245614035095</v>
      </c>
      <c r="T13" s="85" t="s">
        <v>200</v>
      </c>
      <c r="U13" s="87">
        <v>0.15789473684210525</v>
      </c>
      <c r="V13" s="85" t="s">
        <v>200</v>
      </c>
      <c r="W13" s="87">
        <v>5.2631578947368418E-2</v>
      </c>
      <c r="X13" s="85" t="s">
        <v>173</v>
      </c>
      <c r="Y13" s="88">
        <v>0.21961620469083157</v>
      </c>
      <c r="Z13" s="85" t="s">
        <v>129</v>
      </c>
      <c r="AA13" s="88">
        <v>0.19115323854660349</v>
      </c>
      <c r="AB13" s="85" t="s">
        <v>172</v>
      </c>
      <c r="AC13" s="88">
        <v>0.55494505494505497</v>
      </c>
      <c r="AD13" s="85" t="s">
        <v>129</v>
      </c>
      <c r="AE13" s="88">
        <v>0.33471074380165289</v>
      </c>
      <c r="AF13" s="85" t="s">
        <v>127</v>
      </c>
      <c r="AG13" s="88">
        <v>0.41847826086956524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173</v>
      </c>
      <c r="C14" s="84">
        <v>-404.6</v>
      </c>
      <c r="D14" s="85" t="s">
        <v>129</v>
      </c>
      <c r="E14" s="97">
        <v>-8.7443708609271535</v>
      </c>
      <c r="F14" s="85" t="s">
        <v>129</v>
      </c>
      <c r="G14" s="86">
        <v>2.1324503311258276</v>
      </c>
      <c r="H14" s="85" t="s">
        <v>172</v>
      </c>
      <c r="I14" s="87">
        <v>0.24509803921568626</v>
      </c>
      <c r="J14" s="85" t="s">
        <v>129</v>
      </c>
      <c r="K14" s="87">
        <v>0.42384105960264901</v>
      </c>
      <c r="L14" s="85" t="s">
        <v>183</v>
      </c>
      <c r="M14" s="88">
        <v>0.26315789473684209</v>
      </c>
      <c r="N14" s="85" t="s">
        <v>173</v>
      </c>
      <c r="O14" s="88">
        <v>0.18336886993603413</v>
      </c>
      <c r="P14" s="85" t="s">
        <v>173</v>
      </c>
      <c r="Q14" s="89">
        <v>7569.1729323308273</v>
      </c>
      <c r="R14" s="85" t="s">
        <v>184</v>
      </c>
      <c r="S14" s="89">
        <v>-9878.0487804878048</v>
      </c>
      <c r="T14" s="85" t="s">
        <v>129</v>
      </c>
      <c r="U14" s="87">
        <v>0.15894039735099338</v>
      </c>
      <c r="V14" s="85" t="s">
        <v>183</v>
      </c>
      <c r="W14" s="87">
        <v>0</v>
      </c>
      <c r="X14" s="85" t="s">
        <v>172</v>
      </c>
      <c r="Y14" s="88">
        <v>0.21212121212121213</v>
      </c>
      <c r="Z14" s="85" t="s">
        <v>177</v>
      </c>
      <c r="AA14" s="88">
        <v>0.1828499369482976</v>
      </c>
      <c r="AB14" s="85" t="s">
        <v>173</v>
      </c>
      <c r="AC14" s="88">
        <v>0.55339805825242716</v>
      </c>
      <c r="AD14" s="85" t="s">
        <v>128</v>
      </c>
      <c r="AE14" s="88">
        <v>0.32142857142857145</v>
      </c>
      <c r="AF14" s="85" t="s">
        <v>171</v>
      </c>
      <c r="AG14" s="88">
        <v>0.40485829959514169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128</v>
      </c>
      <c r="C15" s="84">
        <v>-410.40000000000003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0.25</v>
      </c>
      <c r="N15" s="85" t="s">
        <v>271</v>
      </c>
      <c r="O15" s="88">
        <v>0.21428571428571427</v>
      </c>
      <c r="P15" s="85" t="s">
        <v>172</v>
      </c>
      <c r="Q15" s="89">
        <v>6779.2387543252598</v>
      </c>
      <c r="R15" s="85" t="s">
        <v>223</v>
      </c>
      <c r="S15" s="89">
        <v>-10583.333333333334</v>
      </c>
      <c r="T15" s="85" t="s">
        <v>271</v>
      </c>
      <c r="U15" s="87">
        <v>0.16666666666666666</v>
      </c>
      <c r="V15" s="85" t="s">
        <v>222</v>
      </c>
      <c r="W15" s="87">
        <v>0</v>
      </c>
      <c r="X15" s="85" t="s">
        <v>271</v>
      </c>
      <c r="Y15" s="88">
        <v>0.17857142857142858</v>
      </c>
      <c r="Z15" s="85" t="s">
        <v>128</v>
      </c>
      <c r="AA15" s="88">
        <v>0.17151607963246554</v>
      </c>
      <c r="AB15" s="85" t="s">
        <v>129</v>
      </c>
      <c r="AC15" s="88">
        <v>0.53416149068322982</v>
      </c>
      <c r="AD15" s="85" t="s">
        <v>271</v>
      </c>
      <c r="AE15" s="88">
        <v>0.25</v>
      </c>
      <c r="AF15" s="85" t="s">
        <v>172</v>
      </c>
      <c r="AG15" s="88">
        <v>0.39792387543252594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-1320.4</v>
      </c>
      <c r="D16" s="85" t="s">
        <v>271</v>
      </c>
      <c r="E16" s="97">
        <v>-33.633333333333333</v>
      </c>
      <c r="F16" s="85" t="s">
        <v>271</v>
      </c>
      <c r="G16" s="86">
        <v>2.6666666666666665</v>
      </c>
      <c r="H16" s="85" t="s">
        <v>271</v>
      </c>
      <c r="I16" s="87">
        <v>0</v>
      </c>
      <c r="J16" s="85" t="s">
        <v>271</v>
      </c>
      <c r="K16" s="87">
        <v>0.66666666666666663</v>
      </c>
      <c r="L16" s="85" t="s">
        <v>222</v>
      </c>
      <c r="M16" s="88">
        <v>0.15384615384615385</v>
      </c>
      <c r="N16" s="85" t="s">
        <v>184</v>
      </c>
      <c r="O16" s="88">
        <v>0.22651933701657459</v>
      </c>
      <c r="P16" s="85" t="s">
        <v>271</v>
      </c>
      <c r="Q16" s="89">
        <v>6614.2857142857147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462C0-9D45-411A-9110-323125F61120}">
  <sheetPr codeName="Sheet4"/>
  <dimension ref="A1:Q92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924</v>
      </c>
      <c r="C2" s="151"/>
      <c r="E2" s="62" t="s">
        <v>67</v>
      </c>
      <c r="F2" s="59" t="s">
        <v>23</v>
      </c>
      <c r="G2" s="46">
        <v>1649</v>
      </c>
      <c r="H2" s="132">
        <f>IF(B$17=0,0,G2/B$17)</f>
        <v>0.72071678321678323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-16.233766233766232</v>
      </c>
      <c r="P2" s="118">
        <v>924</v>
      </c>
      <c r="Q2" s="102">
        <v>-15000</v>
      </c>
    </row>
    <row r="3" spans="1:17" x14ac:dyDescent="0.4">
      <c r="A3" s="55" t="s">
        <v>8</v>
      </c>
      <c r="B3" s="152">
        <v>7671</v>
      </c>
      <c r="C3" s="153"/>
      <c r="E3" s="63" t="s">
        <v>73</v>
      </c>
      <c r="F3" s="60" t="s">
        <v>28</v>
      </c>
      <c r="G3" s="47">
        <v>1189</v>
      </c>
      <c r="H3" s="133">
        <f>IF(B$17=0,0,G3/B$17)</f>
        <v>0.51966783216783219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-5.5370985603543739</v>
      </c>
      <c r="P3" s="119">
        <v>903</v>
      </c>
      <c r="Q3" s="103">
        <v>-5000</v>
      </c>
    </row>
    <row r="4" spans="1:17" x14ac:dyDescent="0.4">
      <c r="A4" s="55" t="s">
        <v>6</v>
      </c>
      <c r="B4" s="154">
        <v>-8.8817841970012523E-15</v>
      </c>
      <c r="C4" s="155"/>
      <c r="E4" s="63" t="s">
        <v>65</v>
      </c>
      <c r="F4" s="60" t="s">
        <v>21</v>
      </c>
      <c r="G4" s="47">
        <v>1126</v>
      </c>
      <c r="H4" s="133">
        <f>IF(B$17=0,0,G4/B$17)</f>
        <v>0.49213286713286714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11.862396204033216</v>
      </c>
      <c r="P4" s="119">
        <v>843</v>
      </c>
      <c r="Q4" s="103">
        <v>10000</v>
      </c>
    </row>
    <row r="5" spans="1:17" x14ac:dyDescent="0.4">
      <c r="A5" s="55" t="s">
        <v>7</v>
      </c>
      <c r="B5" s="156">
        <f>IF(B$2=0,0,B$4/B$2)</f>
        <v>-9.6123205595251645E-18</v>
      </c>
      <c r="C5" s="157"/>
      <c r="E5" s="63" t="s">
        <v>245</v>
      </c>
      <c r="F5" s="60" t="s">
        <v>246</v>
      </c>
      <c r="G5" s="47">
        <v>921</v>
      </c>
      <c r="H5" s="133">
        <f>IF(B$17=0,0,G5/B$17)</f>
        <v>0.40253496503496505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5.1480051480051481</v>
      </c>
      <c r="P5" s="119">
        <v>777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712</v>
      </c>
      <c r="H6" s="133">
        <f>IF(B$17=0,0,G6/B$17)</f>
        <v>0.3111888111888112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-14.306151645207439</v>
      </c>
      <c r="P6" s="119">
        <v>699</v>
      </c>
      <c r="Q6" s="103">
        <v>-10000</v>
      </c>
    </row>
    <row r="7" spans="1:17" x14ac:dyDescent="0.4">
      <c r="A7" s="55" t="s">
        <v>2</v>
      </c>
      <c r="B7" s="47">
        <v>308</v>
      </c>
      <c r="C7" s="39">
        <f>IF(B$2=0,0,B7/B$2)</f>
        <v>0.33333333333333331</v>
      </c>
      <c r="E7" s="63" t="s">
        <v>68</v>
      </c>
      <c r="F7" s="60" t="s">
        <v>24</v>
      </c>
      <c r="G7" s="47">
        <v>684</v>
      </c>
      <c r="H7" s="133">
        <f>IF(B$17=0,0,G7/B$17)</f>
        <v>0.29895104895104896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26.016260162601625</v>
      </c>
      <c r="P7" s="120">
        <v>615</v>
      </c>
      <c r="Q7" s="104">
        <v>16000</v>
      </c>
    </row>
    <row r="8" spans="1:17" x14ac:dyDescent="0.4">
      <c r="A8" s="55" t="s">
        <v>3</v>
      </c>
      <c r="B8" s="47">
        <v>308</v>
      </c>
      <c r="C8" s="39">
        <f>IF(B$2=0,0,B8/B$2)</f>
        <v>0.33333333333333331</v>
      </c>
      <c r="E8" s="63" t="s">
        <v>70</v>
      </c>
      <c r="F8" s="60" t="s">
        <v>25</v>
      </c>
      <c r="G8" s="47">
        <v>389</v>
      </c>
      <c r="H8" s="133">
        <f>IF(B$17=0,0,G8/B$17)</f>
        <v>0.17001748251748253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308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298</v>
      </c>
      <c r="H9" s="133">
        <f>IF(B$17=0,0,G9/B$17)</f>
        <v>0.13024475524475523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109</v>
      </c>
      <c r="C10" s="40">
        <f>IF(B$2=0,0,B10/B$2)</f>
        <v>0.11796536796536797</v>
      </c>
      <c r="E10" s="63" t="s">
        <v>66</v>
      </c>
      <c r="F10" s="60" t="s">
        <v>22</v>
      </c>
      <c r="G10" s="47">
        <v>252</v>
      </c>
      <c r="H10" s="133">
        <f>IF(B$17=0,0,G10/B$17)</f>
        <v>0.11013986013986014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-2.4133116883116865</v>
      </c>
      <c r="P10" s="118">
        <v>308</v>
      </c>
      <c r="Q10" s="106">
        <v>-743.29999999999939</v>
      </c>
    </row>
    <row r="11" spans="1:17" x14ac:dyDescent="0.4">
      <c r="A11" s="56" t="s">
        <v>140</v>
      </c>
      <c r="B11" s="48">
        <v>109</v>
      </c>
      <c r="C11" s="40">
        <f>IF(B$2=0,0,B11/B$2)</f>
        <v>0.11796536796536797</v>
      </c>
      <c r="E11" s="63" t="s">
        <v>71</v>
      </c>
      <c r="F11" s="60" t="s">
        <v>26</v>
      </c>
      <c r="G11" s="47">
        <v>232</v>
      </c>
      <c r="H11" s="133">
        <f>IF(B$17=0,0,G11/B$17)</f>
        <v>0.10139860139860139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2.0353896103896107</v>
      </c>
      <c r="P11" s="119">
        <v>308</v>
      </c>
      <c r="Q11" s="107">
        <v>626.90000000000009</v>
      </c>
    </row>
    <row r="12" spans="1:17" x14ac:dyDescent="0.4">
      <c r="A12" s="57" t="s">
        <v>160</v>
      </c>
      <c r="B12" s="49">
        <v>82</v>
      </c>
      <c r="C12" s="42">
        <f>IF(B$2=0,0,B12/B$2)</f>
        <v>8.8744588744588751E-2</v>
      </c>
      <c r="E12" s="63" t="s">
        <v>72</v>
      </c>
      <c r="F12" s="60" t="s">
        <v>27</v>
      </c>
      <c r="G12" s="47">
        <v>152</v>
      </c>
      <c r="H12" s="133">
        <f>IF(B$17=0,0,G12/B$17)</f>
        <v>6.6433566433566432E-2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0.37792207792207749</v>
      </c>
      <c r="P12" s="120">
        <v>308</v>
      </c>
      <c r="Q12" s="108">
        <v>116.39999999999986</v>
      </c>
    </row>
    <row r="13" spans="1:17" x14ac:dyDescent="0.4">
      <c r="A13" s="58" t="s">
        <v>122</v>
      </c>
      <c r="B13" s="50">
        <v>2057</v>
      </c>
      <c r="C13" s="44">
        <f>IF(B$3=0,0,B13/B$3)</f>
        <v>0.26815278320949026</v>
      </c>
      <c r="E13" s="63" t="s">
        <v>87</v>
      </c>
      <c r="F13" s="60" t="s">
        <v>42</v>
      </c>
      <c r="G13" s="47">
        <v>134</v>
      </c>
      <c r="H13" s="133">
        <f>IF(B$17=0,0,G13/B$17)</f>
        <v>5.8566433566433568E-2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1637</v>
      </c>
      <c r="C14" s="39">
        <f>IF(B$3=0,0,B14/B$3)</f>
        <v>0.21340112110546214</v>
      </c>
      <c r="E14" s="63" t="s">
        <v>84</v>
      </c>
      <c r="F14" s="60" t="s">
        <v>39</v>
      </c>
      <c r="G14" s="47">
        <v>111</v>
      </c>
      <c r="H14" s="133">
        <f>IF(B$17=0,0,G14/B$17)</f>
        <v>4.8513986013986016E-2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1184</v>
      </c>
      <c r="C15" s="37">
        <f>IF(B$13=0,0,B15/B$13)</f>
        <v>0.57559552746718523</v>
      </c>
      <c r="E15" s="63" t="s">
        <v>79</v>
      </c>
      <c r="F15" s="60" t="s">
        <v>34</v>
      </c>
      <c r="G15" s="47">
        <v>61</v>
      </c>
      <c r="H15" s="133">
        <f>IF(B$17=0,0,G15/B$17)</f>
        <v>2.666083916083916E-2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50.449999999999996</v>
      </c>
      <c r="P15" s="118">
        <v>12</v>
      </c>
      <c r="Q15" s="106">
        <v>605.4</v>
      </c>
    </row>
    <row r="16" spans="1:17" x14ac:dyDescent="0.4">
      <c r="A16" s="54" t="s">
        <v>125</v>
      </c>
      <c r="B16" s="46">
        <v>654</v>
      </c>
      <c r="C16" s="37">
        <f>IF(B$14=0,0,B16/B$14)</f>
        <v>0.39951130116065975</v>
      </c>
      <c r="E16" s="63" t="s">
        <v>82</v>
      </c>
      <c r="F16" s="60" t="s">
        <v>37</v>
      </c>
      <c r="G16" s="47">
        <v>59</v>
      </c>
      <c r="H16" s="133">
        <f>IF(B$17=0,0,G16/B$17)</f>
        <v>2.5786713286713288E-2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2288</v>
      </c>
      <c r="C17" s="37">
        <f>IF(B$3=0,0,B17/B$3)</f>
        <v>0.29826619736670579</v>
      </c>
      <c r="E17" s="63" t="s">
        <v>92</v>
      </c>
      <c r="F17" s="60" t="s">
        <v>47</v>
      </c>
      <c r="G17" s="47">
        <v>46</v>
      </c>
      <c r="H17" s="133">
        <f>IF(B$17=0,0,G17/B$17)</f>
        <v>2.0104895104895104E-2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13.116556291390754</v>
      </c>
      <c r="P17" s="119">
        <v>302</v>
      </c>
      <c r="Q17" s="107">
        <v>3961.200000000008</v>
      </c>
    </row>
    <row r="18" spans="1:17" x14ac:dyDescent="0.4">
      <c r="A18" s="55" t="s">
        <v>12</v>
      </c>
      <c r="B18" s="47">
        <v>993</v>
      </c>
      <c r="C18" s="39">
        <f>IF(B$17=0,0,B18/B$17)</f>
        <v>0.43400349650349651</v>
      </c>
      <c r="E18" s="63" t="s">
        <v>180</v>
      </c>
      <c r="F18" s="60" t="s">
        <v>181</v>
      </c>
      <c r="G18" s="47">
        <v>40</v>
      </c>
      <c r="H18" s="133">
        <f>IF(B$17=0,0,G18/B$17)</f>
        <v>1.7482517482517484E-2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11.238888888888884</v>
      </c>
      <c r="P18" s="119">
        <v>108</v>
      </c>
      <c r="Q18" s="107">
        <v>1213.7999999999995</v>
      </c>
    </row>
    <row r="19" spans="1:17" x14ac:dyDescent="0.4">
      <c r="A19" s="55" t="s">
        <v>11</v>
      </c>
      <c r="B19" s="47">
        <v>1295</v>
      </c>
      <c r="C19" s="39">
        <f>IF(B$17=0,0,B19/B$17)</f>
        <v>0.56599650349650354</v>
      </c>
      <c r="E19" s="63" t="s">
        <v>80</v>
      </c>
      <c r="F19" s="60" t="s">
        <v>35</v>
      </c>
      <c r="G19" s="47">
        <v>38</v>
      </c>
      <c r="H19" s="133">
        <f>IF(B$17=0,0,G19/B$17)</f>
        <v>1.6608391608391608E-2</v>
      </c>
      <c r="I19" s="94">
        <v>7</v>
      </c>
      <c r="K19" s="38">
        <v>17</v>
      </c>
      <c r="L19" s="99">
        <v>8.2999999999999972</v>
      </c>
      <c r="N19" s="115" t="s">
        <v>128</v>
      </c>
      <c r="O19" s="125">
        <f>IF(P19=0,0,Q19/P19)</f>
        <v>3.8716981132075485</v>
      </c>
      <c r="P19" s="119">
        <v>318</v>
      </c>
      <c r="Q19" s="107">
        <v>1231.2000000000005</v>
      </c>
    </row>
    <row r="20" spans="1:17" x14ac:dyDescent="0.4">
      <c r="A20" s="55" t="s">
        <v>13</v>
      </c>
      <c r="B20" s="47">
        <v>1277</v>
      </c>
      <c r="C20" s="39">
        <f>IF(B$3=0,0,B20/B$3)</f>
        <v>0.16647112501629513</v>
      </c>
      <c r="E20" s="63" t="s">
        <v>78</v>
      </c>
      <c r="F20" s="60" t="s">
        <v>33</v>
      </c>
      <c r="G20" s="47">
        <v>19</v>
      </c>
      <c r="H20" s="133">
        <f>IF(B$17=0,0,G20/B$17)</f>
        <v>8.304195804195804E-3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2.9529411764705875</v>
      </c>
      <c r="P20" s="119">
        <v>204</v>
      </c>
      <c r="Q20" s="107">
        <v>602.39999999999986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15</v>
      </c>
      <c r="H21" s="133">
        <f>IF(B$17=0,0,G21/B$17)</f>
        <v>6.555944055944056E-3</v>
      </c>
      <c r="I21" s="94">
        <v>6</v>
      </c>
      <c r="K21" s="38">
        <v>19</v>
      </c>
      <c r="L21" s="99">
        <v>30.999999999999996</v>
      </c>
      <c r="N21" s="115" t="s">
        <v>177</v>
      </c>
      <c r="O21" s="125">
        <f>IF(P21=0,0,Q21/P21)</f>
        <v>-0.30618556701031147</v>
      </c>
      <c r="P21" s="119">
        <v>194</v>
      </c>
      <c r="Q21" s="107">
        <v>-59.400000000000425</v>
      </c>
    </row>
    <row r="22" spans="1:17" x14ac:dyDescent="0.4">
      <c r="A22" s="55" t="s">
        <v>192</v>
      </c>
      <c r="B22" s="47">
        <v>31</v>
      </c>
      <c r="C22" s="135">
        <v>1</v>
      </c>
      <c r="E22" s="63" t="s">
        <v>76</v>
      </c>
      <c r="F22" s="60" t="s">
        <v>31</v>
      </c>
      <c r="G22" s="47">
        <v>13</v>
      </c>
      <c r="H22" s="133">
        <f>IF(B$17=0,0,G22/B$17)</f>
        <v>5.681818181818182E-3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-0.42980769230768995</v>
      </c>
      <c r="P22" s="119">
        <v>208</v>
      </c>
      <c r="Q22" s="107">
        <v>-89.399999999999508</v>
      </c>
    </row>
    <row r="23" spans="1:17" x14ac:dyDescent="0.4">
      <c r="A23" s="55" t="s">
        <v>5</v>
      </c>
      <c r="B23" s="51">
        <f>IF(B$17=0,0,C23/B$17)</f>
        <v>8611.0139860139861</v>
      </c>
      <c r="C23" s="41">
        <v>19702000</v>
      </c>
      <c r="E23" s="63" t="s">
        <v>86</v>
      </c>
      <c r="F23" s="60" t="s">
        <v>41</v>
      </c>
      <c r="G23" s="47">
        <v>11</v>
      </c>
      <c r="H23" s="133">
        <f>IF(B$17=0,0,G23/B$17)</f>
        <v>4.807692307692308E-3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-7.4447368421052582</v>
      </c>
      <c r="P23" s="119">
        <v>38</v>
      </c>
      <c r="Q23" s="107">
        <v>-282.89999999999981</v>
      </c>
    </row>
    <row r="24" spans="1:17" x14ac:dyDescent="0.4">
      <c r="A24" s="57" t="s">
        <v>14</v>
      </c>
      <c r="B24" s="52">
        <f>IF(B$20=0,0,C24/B$20)</f>
        <v>-8081.8324197337506</v>
      </c>
      <c r="C24" s="45">
        <v>-10320500</v>
      </c>
      <c r="E24" s="63" t="s">
        <v>75</v>
      </c>
      <c r="F24" s="60" t="s">
        <v>30</v>
      </c>
      <c r="G24" s="47">
        <v>9</v>
      </c>
      <c r="H24" s="133">
        <f>IF(B$17=0,0,G24/B$17)</f>
        <v>3.9335664335664339E-3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>IF(P24=0,0,Q24/P24)</f>
        <v>-19.090151515151504</v>
      </c>
      <c r="P24" s="119">
        <v>396</v>
      </c>
      <c r="Q24" s="107">
        <v>-7559.6999999999953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8</v>
      </c>
      <c r="H25" s="133">
        <f>IF(B$17=0,0,G25/B$17)</f>
        <v>3.4965034965034965E-3</v>
      </c>
      <c r="I25" s="94">
        <v>4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7</v>
      </c>
      <c r="H26" s="133">
        <f>IF(B$17=0,0,G26/B$17)</f>
        <v>3.0594405594405595E-3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2.4768609047060358E-3</v>
      </c>
      <c r="E27" s="63" t="s">
        <v>85</v>
      </c>
      <c r="F27" s="60" t="s">
        <v>40</v>
      </c>
      <c r="G27" s="47">
        <v>6</v>
      </c>
      <c r="H27" s="133">
        <f>IF(B$17=0,0,G27/B$17)</f>
        <v>2.6223776223776225E-3</v>
      </c>
      <c r="I27" s="94">
        <v>4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88</v>
      </c>
      <c r="F28" s="60" t="s">
        <v>43</v>
      </c>
      <c r="G28" s="47">
        <v>6</v>
      </c>
      <c r="H28" s="133">
        <f>IF(B$17=0,0,G28/B$17)</f>
        <v>2.6223776223776225E-3</v>
      </c>
      <c r="I28" s="94">
        <v>5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>IF(B$17=0,0,G29/B$17)</f>
        <v>2.6223776223776225E-3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1.7482517482517483E-3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8.7412587412587413E-4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4.3706293706293706E-4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4.3706293706293706E-4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4.3706293706293706E-4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120C-EA48-4A2B-80CC-6F0986997CE3}">
  <sheetPr codeName="Sheet7"/>
  <dimension ref="A1:Q20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198</v>
      </c>
      <c r="C2" s="151"/>
      <c r="E2" s="62" t="s">
        <v>67</v>
      </c>
      <c r="F2" s="59" t="s">
        <v>23</v>
      </c>
      <c r="G2" s="46">
        <v>417</v>
      </c>
      <c r="H2" s="132">
        <f>IF(B$17=0,0,G2/B$17)</f>
        <v>0.75543478260869568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1165.1515151515152</v>
      </c>
      <c r="P2" s="118">
        <v>198</v>
      </c>
      <c r="Q2" s="102">
        <v>230700</v>
      </c>
    </row>
    <row r="3" spans="1:17" x14ac:dyDescent="0.4">
      <c r="A3" s="55" t="s">
        <v>8</v>
      </c>
      <c r="B3" s="152">
        <v>1625</v>
      </c>
      <c r="C3" s="153"/>
      <c r="E3" s="63" t="s">
        <v>73</v>
      </c>
      <c r="F3" s="60" t="s">
        <v>28</v>
      </c>
      <c r="G3" s="47">
        <v>313</v>
      </c>
      <c r="H3" s="133">
        <f>IF(B$17=0,0,G3/B$17)</f>
        <v>0.56702898550724634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2010.8808290155441</v>
      </c>
      <c r="P3" s="119">
        <v>193</v>
      </c>
      <c r="Q3" s="103">
        <v>388100</v>
      </c>
    </row>
    <row r="4" spans="1:17" x14ac:dyDescent="0.4">
      <c r="A4" s="55" t="s">
        <v>6</v>
      </c>
      <c r="B4" s="154">
        <v>2519.9</v>
      </c>
      <c r="C4" s="155"/>
      <c r="E4" s="63" t="s">
        <v>65</v>
      </c>
      <c r="F4" s="60" t="s">
        <v>21</v>
      </c>
      <c r="G4" s="47">
        <v>257</v>
      </c>
      <c r="H4" s="133">
        <f>IF(B$17=0,0,G4/B$17)</f>
        <v>0.46557971014492755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958.695652173913</v>
      </c>
      <c r="P4" s="119">
        <v>184</v>
      </c>
      <c r="Q4" s="103">
        <v>176400</v>
      </c>
    </row>
    <row r="5" spans="1:17" x14ac:dyDescent="0.4">
      <c r="A5" s="55" t="s">
        <v>7</v>
      </c>
      <c r="B5" s="156">
        <f>IF(B$2=0,0,B$4/B$2)</f>
        <v>12.726767676767677</v>
      </c>
      <c r="C5" s="157"/>
      <c r="E5" s="63" t="s">
        <v>245</v>
      </c>
      <c r="F5" s="60" t="s">
        <v>246</v>
      </c>
      <c r="G5" s="47">
        <v>221</v>
      </c>
      <c r="H5" s="133">
        <f>IF(B$17=0,0,G5/B$17)</f>
        <v>0.40036231884057971</v>
      </c>
      <c r="I5" s="94">
        <v>8</v>
      </c>
      <c r="K5" s="38">
        <v>3</v>
      </c>
      <c r="L5" s="99">
        <v>70.399999999999991</v>
      </c>
      <c r="N5" s="115" t="s">
        <v>135</v>
      </c>
      <c r="O5" s="122">
        <f t="shared" si="0"/>
        <v>2151.1764705882351</v>
      </c>
      <c r="P5" s="119">
        <v>170</v>
      </c>
      <c r="Q5" s="103">
        <v>365700</v>
      </c>
    </row>
    <row r="6" spans="1:17" x14ac:dyDescent="0.4">
      <c r="A6" s="55" t="s">
        <v>1</v>
      </c>
      <c r="B6" s="146">
        <f>IF(B$2=0,0,(B$7*1+B$8*2+B$9*3)/B$2)</f>
        <v>1.7525252525252526</v>
      </c>
      <c r="C6" s="147"/>
      <c r="E6" s="63" t="s">
        <v>68</v>
      </c>
      <c r="F6" s="60" t="s">
        <v>24</v>
      </c>
      <c r="G6" s="47">
        <v>166</v>
      </c>
      <c r="H6" s="133">
        <f>IF(B$17=0,0,G6/B$17)</f>
        <v>0.30072463768115942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0"/>
        <v>1343.421052631579</v>
      </c>
      <c r="P6" s="119">
        <v>152</v>
      </c>
      <c r="Q6" s="103">
        <v>204200</v>
      </c>
    </row>
    <row r="7" spans="1:17" x14ac:dyDescent="0.4">
      <c r="A7" s="55" t="s">
        <v>2</v>
      </c>
      <c r="B7" s="47">
        <v>96</v>
      </c>
      <c r="C7" s="39">
        <f>IF(B$2=0,0,B7/B$2)</f>
        <v>0.48484848484848486</v>
      </c>
      <c r="E7" s="63" t="s">
        <v>69</v>
      </c>
      <c r="F7" s="60" t="s">
        <v>12</v>
      </c>
      <c r="G7" s="47">
        <v>150</v>
      </c>
      <c r="H7" s="133">
        <f>IF(B$17=0,0,G7/B$17)</f>
        <v>0.27173913043478259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1241.9847328244275</v>
      </c>
      <c r="P7" s="120">
        <v>131</v>
      </c>
      <c r="Q7" s="104">
        <v>162700</v>
      </c>
    </row>
    <row r="8" spans="1:17" x14ac:dyDescent="0.4">
      <c r="A8" s="55" t="s">
        <v>3</v>
      </c>
      <c r="B8" s="47">
        <v>55</v>
      </c>
      <c r="C8" s="39">
        <f>IF(B$2=0,0,B8/B$2)</f>
        <v>0.27777777777777779</v>
      </c>
      <c r="E8" s="63" t="s">
        <v>90</v>
      </c>
      <c r="F8" s="60" t="s">
        <v>45</v>
      </c>
      <c r="G8" s="47">
        <v>92</v>
      </c>
      <c r="H8" s="133">
        <f>IF(B$17=0,0,G8/B$17)</f>
        <v>0.16666666666666666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0.23737373737373738</v>
      </c>
      <c r="E9" s="63" t="s">
        <v>70</v>
      </c>
      <c r="F9" s="60" t="s">
        <v>25</v>
      </c>
      <c r="G9" s="47">
        <v>89</v>
      </c>
      <c r="H9" s="133">
        <f>IF(B$17=0,0,G9/B$17)</f>
        <v>0.16123188405797101</v>
      </c>
      <c r="I9" s="94">
        <v>7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8.5858585858585856E-2</v>
      </c>
      <c r="E10" s="63" t="s">
        <v>66</v>
      </c>
      <c r="F10" s="60" t="s">
        <v>22</v>
      </c>
      <c r="G10" s="47">
        <v>67</v>
      </c>
      <c r="H10" s="133">
        <f>IF(B$17=0,0,G10/B$17)</f>
        <v>0.1213768115942029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15.350000000000001</v>
      </c>
      <c r="P10" s="118">
        <v>60</v>
      </c>
      <c r="Q10" s="106">
        <v>921.00000000000011</v>
      </c>
    </row>
    <row r="11" spans="1:17" x14ac:dyDescent="0.4">
      <c r="A11" s="56" t="s">
        <v>140</v>
      </c>
      <c r="B11" s="48">
        <v>33</v>
      </c>
      <c r="C11" s="40">
        <f>IF(B$2=0,0,B11/B$2)</f>
        <v>0.16666666666666666</v>
      </c>
      <c r="E11" s="63" t="s">
        <v>71</v>
      </c>
      <c r="F11" s="60" t="s">
        <v>26</v>
      </c>
      <c r="G11" s="47">
        <v>46</v>
      </c>
      <c r="H11" s="133">
        <f>IF(B$17=0,0,G11/B$17)</f>
        <v>8.3333333333333329E-2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12.528571428571428</v>
      </c>
      <c r="P11" s="119">
        <v>63</v>
      </c>
      <c r="Q11" s="107">
        <v>789.3</v>
      </c>
    </row>
    <row r="12" spans="1:17" x14ac:dyDescent="0.4">
      <c r="A12" s="57" t="s">
        <v>160</v>
      </c>
      <c r="B12" s="49">
        <v>28</v>
      </c>
      <c r="C12" s="42">
        <f>IF(B$2=0,0,B12/B$2)</f>
        <v>0.14141414141414141</v>
      </c>
      <c r="E12" s="63" t="s">
        <v>87</v>
      </c>
      <c r="F12" s="60" t="s">
        <v>42</v>
      </c>
      <c r="G12" s="47">
        <v>38</v>
      </c>
      <c r="H12" s="133">
        <f>IF(B$17=0,0,G12/B$17)</f>
        <v>6.8840579710144928E-2</v>
      </c>
      <c r="I12" s="94">
        <v>5</v>
      </c>
      <c r="K12" s="38">
        <v>10</v>
      </c>
      <c r="L12" s="99">
        <v>246.20000000000005</v>
      </c>
      <c r="N12" s="116" t="s">
        <v>166</v>
      </c>
      <c r="O12" s="126">
        <f>IF(P12=0,0,Q12/P12)</f>
        <v>10.794666666666672</v>
      </c>
      <c r="P12" s="120">
        <v>75</v>
      </c>
      <c r="Q12" s="108">
        <v>809.60000000000036</v>
      </c>
    </row>
    <row r="13" spans="1:17" x14ac:dyDescent="0.4">
      <c r="A13" s="58" t="s">
        <v>122</v>
      </c>
      <c r="B13" s="50">
        <v>489</v>
      </c>
      <c r="C13" s="44">
        <f>IF(B$3=0,0,B13/B$3)</f>
        <v>0.3009230769230769</v>
      </c>
      <c r="E13" s="63" t="s">
        <v>72</v>
      </c>
      <c r="F13" s="60" t="s">
        <v>27</v>
      </c>
      <c r="G13" s="47">
        <v>35</v>
      </c>
      <c r="H13" s="133">
        <f>IF(B$17=0,0,G13/B$17)</f>
        <v>6.3405797101449279E-2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356</v>
      </c>
      <c r="C14" s="39">
        <f>IF(B$3=0,0,B14/B$3)</f>
        <v>0.21907692307692309</v>
      </c>
      <c r="E14" s="63" t="s">
        <v>84</v>
      </c>
      <c r="F14" s="60" t="s">
        <v>39</v>
      </c>
      <c r="G14" s="47">
        <v>28</v>
      </c>
      <c r="H14" s="133">
        <f>IF(B$17=0,0,G14/B$17)</f>
        <v>5.0724637681159424E-2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284</v>
      </c>
      <c r="C15" s="37">
        <f>IF(B$13=0,0,B15/B$13)</f>
        <v>0.58077709611451944</v>
      </c>
      <c r="E15" s="63" t="s">
        <v>180</v>
      </c>
      <c r="F15" s="60" t="s">
        <v>181</v>
      </c>
      <c r="G15" s="47">
        <v>23</v>
      </c>
      <c r="H15" s="133">
        <f>IF(B$17=0,0,G15/B$17)</f>
        <v>4.1666666666666664E-2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184</v>
      </c>
      <c r="C16" s="37">
        <f>IF(B$14=0,0,B16/B$14)</f>
        <v>0.5168539325842697</v>
      </c>
      <c r="E16" s="63" t="s">
        <v>79</v>
      </c>
      <c r="F16" s="60" t="s">
        <v>34</v>
      </c>
      <c r="G16" s="47">
        <v>13</v>
      </c>
      <c r="H16" s="133">
        <f>IF(B$17=0,0,G16/B$17)</f>
        <v>2.355072463768116E-2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552</v>
      </c>
      <c r="C17" s="37">
        <f>IF(B$3=0,0,B17/B$3)</f>
        <v>0.33969230769230768</v>
      </c>
      <c r="E17" s="63" t="s">
        <v>92</v>
      </c>
      <c r="F17" s="60" t="s">
        <v>47</v>
      </c>
      <c r="G17" s="47">
        <v>13</v>
      </c>
      <c r="H17" s="133">
        <f>IF(B$17=0,0,G17/B$17)</f>
        <v>2.355072463768116E-2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231</v>
      </c>
      <c r="C18" s="39">
        <f>IF(B$17=0,0,B18/B$17)</f>
        <v>0.41847826086956524</v>
      </c>
      <c r="E18" s="63" t="s">
        <v>82</v>
      </c>
      <c r="F18" s="60" t="s">
        <v>37</v>
      </c>
      <c r="G18" s="47">
        <v>12</v>
      </c>
      <c r="H18" s="133">
        <f>IF(B$17=0,0,G18/B$17)</f>
        <v>2.1739130434782608E-2</v>
      </c>
      <c r="I18" s="94">
        <v>8</v>
      </c>
      <c r="K18" s="38">
        <v>16</v>
      </c>
      <c r="L18" s="99">
        <v>425.50000000000006</v>
      </c>
      <c r="N18" s="115" t="s">
        <v>172</v>
      </c>
      <c r="O18" s="125">
        <f>IF(P18=0,0,Q18/P18)</f>
        <v>27.457692307692302</v>
      </c>
      <c r="P18" s="119">
        <v>52</v>
      </c>
      <c r="Q18" s="107">
        <v>1427.7999999999997</v>
      </c>
    </row>
    <row r="19" spans="1:17" x14ac:dyDescent="0.4">
      <c r="A19" s="55" t="s">
        <v>11</v>
      </c>
      <c r="B19" s="47">
        <v>321</v>
      </c>
      <c r="C19" s="39">
        <f>IF(B$17=0,0,B19/B$17)</f>
        <v>0.58152173913043481</v>
      </c>
      <c r="E19" s="63" t="s">
        <v>80</v>
      </c>
      <c r="F19" s="60" t="s">
        <v>35</v>
      </c>
      <c r="G19" s="47">
        <v>8</v>
      </c>
      <c r="H19" s="133">
        <f>IF(B$17=0,0,G19/B$17)</f>
        <v>1.4492753623188406E-2</v>
      </c>
      <c r="I19" s="94">
        <v>8</v>
      </c>
      <c r="K19" s="38">
        <v>17</v>
      </c>
      <c r="L19" s="99">
        <v>427.40000000000003</v>
      </c>
      <c r="N19" s="115" t="s">
        <v>129</v>
      </c>
      <c r="O19" s="125">
        <f>IF(P19=0,0,Q19/P19)</f>
        <v>26.065934065934066</v>
      </c>
      <c r="P19" s="119">
        <v>91</v>
      </c>
      <c r="Q19" s="107">
        <v>2372</v>
      </c>
    </row>
    <row r="20" spans="1:17" x14ac:dyDescent="0.4">
      <c r="A20" s="55" t="s">
        <v>13</v>
      </c>
      <c r="B20" s="47">
        <v>245</v>
      </c>
      <c r="C20" s="39">
        <f>IF(B$3=0,0,B20/B$3)</f>
        <v>0.15076923076923077</v>
      </c>
      <c r="E20" s="63" t="s">
        <v>86</v>
      </c>
      <c r="F20" s="60" t="s">
        <v>41</v>
      </c>
      <c r="G20" s="47">
        <v>6</v>
      </c>
      <c r="H20" s="133">
        <f>IF(B$17=0,0,G20/B$17)</f>
        <v>1.0869565217391304E-2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20.307500000000008</v>
      </c>
      <c r="P20" s="119">
        <v>40</v>
      </c>
      <c r="Q20" s="107">
        <v>812.3000000000003</v>
      </c>
    </row>
    <row r="21" spans="1:17" x14ac:dyDescent="0.4">
      <c r="A21" s="55" t="s">
        <v>191</v>
      </c>
      <c r="B21" s="47">
        <v>7</v>
      </c>
      <c r="C21" s="135">
        <v>4</v>
      </c>
      <c r="E21" s="63" t="s">
        <v>74</v>
      </c>
      <c r="F21" s="60" t="s">
        <v>29</v>
      </c>
      <c r="G21" s="47">
        <v>4</v>
      </c>
      <c r="H21" s="133">
        <f>IF(B$17=0,0,G21/B$17)</f>
        <v>7.246376811594203E-3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>IF(P21=0,0,Q21/P21)</f>
        <v>18.368181818181817</v>
      </c>
      <c r="P21" s="119">
        <v>110</v>
      </c>
      <c r="Q21" s="107">
        <v>2020.5</v>
      </c>
    </row>
    <row r="22" spans="1:17" x14ac:dyDescent="0.4">
      <c r="A22" s="55" t="s">
        <v>192</v>
      </c>
      <c r="B22" s="47">
        <v>39</v>
      </c>
      <c r="C22" s="135">
        <v>7</v>
      </c>
      <c r="E22" s="63" t="s">
        <v>78</v>
      </c>
      <c r="F22" s="60" t="s">
        <v>33</v>
      </c>
      <c r="G22" s="47">
        <v>4</v>
      </c>
      <c r="H22" s="133">
        <f>IF(B$17=0,0,G22/B$17)</f>
        <v>7.246376811594203E-3</v>
      </c>
      <c r="I22" s="94">
        <v>6</v>
      </c>
      <c r="K22" s="38">
        <v>20</v>
      </c>
      <c r="L22" s="99">
        <v>469.6</v>
      </c>
      <c r="N22" s="115" t="s">
        <v>173</v>
      </c>
      <c r="O22" s="125">
        <f>IF(P22=0,0,Q22/P22)</f>
        <v>18.170833333333331</v>
      </c>
      <c r="P22" s="119">
        <v>24</v>
      </c>
      <c r="Q22" s="107">
        <v>436.09999999999997</v>
      </c>
    </row>
    <row r="23" spans="1:17" x14ac:dyDescent="0.4">
      <c r="A23" s="55" t="s">
        <v>5</v>
      </c>
      <c r="B23" s="51">
        <f>IF(B$17=0,0,C23/B$17)</f>
        <v>9200.36231884058</v>
      </c>
      <c r="C23" s="41">
        <v>5078600</v>
      </c>
      <c r="E23" s="63" t="s">
        <v>91</v>
      </c>
      <c r="F23" s="60" t="s">
        <v>46</v>
      </c>
      <c r="G23" s="47">
        <v>3</v>
      </c>
      <c r="H23" s="133">
        <f>IF(B$17=0,0,G23/B$17)</f>
        <v>5.434782608695652E-3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1.7258620689655151</v>
      </c>
      <c r="P23" s="119">
        <v>58</v>
      </c>
      <c r="Q23" s="107">
        <v>100.09999999999988</v>
      </c>
    </row>
    <row r="24" spans="1:17" x14ac:dyDescent="0.4">
      <c r="A24" s="57" t="s">
        <v>14</v>
      </c>
      <c r="B24" s="52">
        <f>IF(B$20=0,0,C24/B$20)</f>
        <v>-8076.7346938775509</v>
      </c>
      <c r="C24" s="45">
        <v>-1978800</v>
      </c>
      <c r="E24" s="63" t="s">
        <v>93</v>
      </c>
      <c r="F24" s="60" t="s">
        <v>48</v>
      </c>
      <c r="G24" s="47">
        <v>3</v>
      </c>
      <c r="H24" s="133">
        <f>IF(B$17=0,0,G24/B$17)</f>
        <v>5.434782608695652E-3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>IF(B$17=0,0,G25/B$17)</f>
        <v>3.6231884057971015E-3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>IF(B$17=0,0,G26/B$17)</f>
        <v>3.6231884057971015E-3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6.1538461538461541E-4</v>
      </c>
      <c r="E27" s="63" t="s">
        <v>76</v>
      </c>
      <c r="F27" s="60" t="s">
        <v>31</v>
      </c>
      <c r="G27" s="47">
        <v>1</v>
      </c>
      <c r="H27" s="133">
        <f>IF(B$17=0,0,G27/B$17)</f>
        <v>1.8115942028985507E-3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1.8115942028985507E-3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1.8115942028985507E-3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1.8115942028985507E-3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89F29-572B-4194-BE39-87260DDB657C}">
  <sheetPr codeName="Sheet9"/>
  <dimension ref="A1:Q1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159</v>
      </c>
      <c r="C2" s="151"/>
      <c r="E2" s="62" t="s">
        <v>65</v>
      </c>
      <c r="F2" s="59" t="s">
        <v>21</v>
      </c>
      <c r="G2" s="46">
        <v>215</v>
      </c>
      <c r="H2" s="132">
        <f>IF(B$17=0,0,G2/B$17)</f>
        <v>0.59392265193370164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645.28301886792451</v>
      </c>
      <c r="P2" s="118">
        <v>159</v>
      </c>
      <c r="Q2" s="102">
        <v>102600</v>
      </c>
    </row>
    <row r="3" spans="1:17" x14ac:dyDescent="0.4">
      <c r="A3" s="55" t="s">
        <v>8</v>
      </c>
      <c r="B3" s="152">
        <v>1306</v>
      </c>
      <c r="C3" s="153"/>
      <c r="E3" s="63" t="s">
        <v>66</v>
      </c>
      <c r="F3" s="60" t="s">
        <v>22</v>
      </c>
      <c r="G3" s="47">
        <v>52</v>
      </c>
      <c r="H3" s="133">
        <f>IF(B$17=0,0,G3/B$17)</f>
        <v>0.143646408839779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-1417.5324675324675</v>
      </c>
      <c r="P3" s="119">
        <v>154</v>
      </c>
      <c r="Q3" s="103">
        <v>-218300</v>
      </c>
    </row>
    <row r="4" spans="1:17" x14ac:dyDescent="0.4">
      <c r="A4" s="55" t="s">
        <v>6</v>
      </c>
      <c r="B4" s="154">
        <v>-410.40000000000003</v>
      </c>
      <c r="C4" s="155"/>
      <c r="E4" s="63" t="s">
        <v>67</v>
      </c>
      <c r="F4" s="60" t="s">
        <v>23</v>
      </c>
      <c r="G4" s="47">
        <v>265</v>
      </c>
      <c r="H4" s="133">
        <f>IF(B$17=0,0,G4/B$17)</f>
        <v>0.73204419889502759</v>
      </c>
      <c r="I4" s="94">
        <v>7</v>
      </c>
      <c r="K4" s="38">
        <v>2</v>
      </c>
      <c r="L4" s="99">
        <v>6.2999999999999972</v>
      </c>
      <c r="N4" s="115" t="s">
        <v>134</v>
      </c>
      <c r="O4" s="122">
        <f t="shared" si="0"/>
        <v>-499.31972789115645</v>
      </c>
      <c r="P4" s="119">
        <v>147</v>
      </c>
      <c r="Q4" s="103">
        <v>-73400</v>
      </c>
    </row>
    <row r="5" spans="1:17" x14ac:dyDescent="0.4">
      <c r="A5" s="55" t="s">
        <v>7</v>
      </c>
      <c r="B5" s="156">
        <f>IF(B$2=0,0,B$4/B$2)</f>
        <v>-2.5811320754716984</v>
      </c>
      <c r="C5" s="157"/>
      <c r="E5" s="63" t="s">
        <v>68</v>
      </c>
      <c r="F5" s="60" t="s">
        <v>24</v>
      </c>
      <c r="G5" s="47">
        <v>141</v>
      </c>
      <c r="H5" s="133">
        <f>IF(B$17=0,0,G5/B$17)</f>
        <v>0.38950276243093923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-45.454545454545453</v>
      </c>
      <c r="P5" s="119">
        <v>132</v>
      </c>
      <c r="Q5" s="103">
        <v>-6000</v>
      </c>
    </row>
    <row r="6" spans="1:17" x14ac:dyDescent="0.4">
      <c r="A6" s="55" t="s">
        <v>1</v>
      </c>
      <c r="B6" s="146">
        <f>IF(B$2=0,0,(B$7*1+B$8*2+B$9*3)/B$2)</f>
        <v>2.0691823899371071</v>
      </c>
      <c r="C6" s="147"/>
      <c r="E6" s="63" t="s">
        <v>69</v>
      </c>
      <c r="F6" s="60" t="s">
        <v>12</v>
      </c>
      <c r="G6" s="47">
        <v>128</v>
      </c>
      <c r="H6" s="133">
        <f>IF(B$17=0,0,G6/B$17)</f>
        <v>0.35359116022099446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478.63247863247864</v>
      </c>
      <c r="P6" s="119">
        <v>117</v>
      </c>
      <c r="Q6" s="103">
        <v>56000</v>
      </c>
    </row>
    <row r="7" spans="1:17" x14ac:dyDescent="0.4">
      <c r="A7" s="55" t="s">
        <v>2</v>
      </c>
      <c r="B7" s="47">
        <v>43</v>
      </c>
      <c r="C7" s="39">
        <f>IF(B$2=0,0,B7/B$2)</f>
        <v>0.27044025157232704</v>
      </c>
      <c r="E7" s="63" t="s">
        <v>70</v>
      </c>
      <c r="F7" s="60" t="s">
        <v>25</v>
      </c>
      <c r="G7" s="47">
        <v>79</v>
      </c>
      <c r="H7" s="133">
        <f>IF(B$17=0,0,G7/B$17)</f>
        <v>0.21823204419889503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-315.09433962264148</v>
      </c>
      <c r="P7" s="120">
        <v>106</v>
      </c>
      <c r="Q7" s="104">
        <v>-33400</v>
      </c>
    </row>
    <row r="8" spans="1:17" x14ac:dyDescent="0.4">
      <c r="A8" s="55" t="s">
        <v>3</v>
      </c>
      <c r="B8" s="47">
        <v>62</v>
      </c>
      <c r="C8" s="39">
        <f>IF(B$2=0,0,B8/B$2)</f>
        <v>0.38993710691823902</v>
      </c>
      <c r="E8" s="63" t="s">
        <v>71</v>
      </c>
      <c r="F8" s="60" t="s">
        <v>26</v>
      </c>
      <c r="G8" s="47">
        <v>46</v>
      </c>
      <c r="H8" s="133">
        <f>IF(B$17=0,0,G8/B$17)</f>
        <v>0.1270718232044199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54</v>
      </c>
      <c r="C9" s="40">
        <f t="shared" ref="C9" si="1">IF(B$2=0,0,B9/B$2)</f>
        <v>0.33962264150943394</v>
      </c>
      <c r="E9" s="63" t="s">
        <v>72</v>
      </c>
      <c r="F9" s="60" t="s">
        <v>27</v>
      </c>
      <c r="G9" s="47">
        <v>17</v>
      </c>
      <c r="H9" s="133">
        <f>IF(B$17=0,0,G9/B$17)</f>
        <v>4.6961325966850827E-2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20</v>
      </c>
      <c r="C10" s="40">
        <f>IF(B$2=0,0,B10/B$2)</f>
        <v>0.12578616352201258</v>
      </c>
      <c r="E10" s="63" t="s">
        <v>73</v>
      </c>
      <c r="F10" s="60" t="s">
        <v>28</v>
      </c>
      <c r="G10" s="47">
        <v>163</v>
      </c>
      <c r="H10" s="133">
        <f>IF(B$17=0,0,G10/B$17)</f>
        <v>0.45027624309392267</v>
      </c>
      <c r="I10" s="94">
        <v>11</v>
      </c>
      <c r="K10" s="38">
        <v>8</v>
      </c>
      <c r="L10" s="99">
        <v>-49.6</v>
      </c>
      <c r="N10" s="114" t="s">
        <v>164</v>
      </c>
      <c r="O10" s="124">
        <f>IF(P10=0,0,Q10/P10)</f>
        <v>-5.4197368421052641</v>
      </c>
      <c r="P10" s="118">
        <v>76</v>
      </c>
      <c r="Q10" s="106">
        <v>-411.90000000000009</v>
      </c>
    </row>
    <row r="11" spans="1:17" x14ac:dyDescent="0.4">
      <c r="A11" s="56" t="s">
        <v>140</v>
      </c>
      <c r="B11" s="48">
        <v>16</v>
      </c>
      <c r="C11" s="40">
        <f>IF(B$2=0,0,B11/B$2)</f>
        <v>0.10062893081761007</v>
      </c>
      <c r="E11" s="63" t="s">
        <v>74</v>
      </c>
      <c r="F11" s="60" t="s">
        <v>29</v>
      </c>
      <c r="G11" s="47">
        <v>3</v>
      </c>
      <c r="H11" s="133">
        <f>IF(B$17=0,0,G11/B$17)</f>
        <v>8.2872928176795577E-3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-2.17906976744186</v>
      </c>
      <c r="P11" s="119">
        <v>43</v>
      </c>
      <c r="Q11" s="107">
        <v>-93.699999999999974</v>
      </c>
    </row>
    <row r="12" spans="1:17" x14ac:dyDescent="0.4">
      <c r="A12" s="57" t="s">
        <v>160</v>
      </c>
      <c r="B12" s="49">
        <v>9</v>
      </c>
      <c r="C12" s="42">
        <f>IF(B$2=0,0,B12/B$2)</f>
        <v>5.6603773584905662E-2</v>
      </c>
      <c r="E12" s="63" t="s">
        <v>75</v>
      </c>
      <c r="F12" s="60" t="s">
        <v>30</v>
      </c>
      <c r="G12" s="47">
        <v>2</v>
      </c>
      <c r="H12" s="133">
        <f>IF(B$17=0,0,G12/B$17)</f>
        <v>5.5248618784530384E-3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2.3799999999999994</v>
      </c>
      <c r="P12" s="120">
        <v>40</v>
      </c>
      <c r="Q12" s="108">
        <v>95.199999999999974</v>
      </c>
    </row>
    <row r="13" spans="1:17" x14ac:dyDescent="0.4">
      <c r="A13" s="58" t="s">
        <v>122</v>
      </c>
      <c r="B13" s="50">
        <v>386</v>
      </c>
      <c r="C13" s="44">
        <f>IF(B$3=0,0,B13/B$3)</f>
        <v>0.29555895865237364</v>
      </c>
      <c r="E13" s="63" t="s">
        <v>76</v>
      </c>
      <c r="F13" s="60" t="s">
        <v>31</v>
      </c>
      <c r="G13" s="47">
        <v>4</v>
      </c>
      <c r="H13" s="133">
        <f>IF(B$17=0,0,G13/B$17)</f>
        <v>1.1049723756906077E-2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224</v>
      </c>
      <c r="C14" s="39">
        <f>IF(B$3=0,0,B14/B$3)</f>
        <v>0.17151607963246554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227</v>
      </c>
      <c r="C15" s="37">
        <f>IF(B$13=0,0,B15/B$13)</f>
        <v>0.58808290155440412</v>
      </c>
      <c r="E15" s="63" t="s">
        <v>78</v>
      </c>
      <c r="F15" s="60" t="s">
        <v>33</v>
      </c>
      <c r="G15" s="47">
        <v>1</v>
      </c>
      <c r="H15" s="133">
        <f>IF(B$17=0,0,G15/B$17)</f>
        <v>2.7624309392265192E-3</v>
      </c>
      <c r="I15" s="94">
        <v>8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72</v>
      </c>
      <c r="C16" s="37">
        <f>IF(B$14=0,0,B16/B$14)</f>
        <v>0.32142857142857145</v>
      </c>
      <c r="E16" s="63" t="s">
        <v>79</v>
      </c>
      <c r="F16" s="60" t="s">
        <v>34</v>
      </c>
      <c r="G16" s="47">
        <v>8</v>
      </c>
      <c r="H16" s="133">
        <f>IF(B$17=0,0,G16/B$17)</f>
        <v>2.2099447513812154E-2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 t="shared" si="2"/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362</v>
      </c>
      <c r="C17" s="37">
        <f>IF(B$3=0,0,B17/B$3)</f>
        <v>0.27718223583460949</v>
      </c>
      <c r="E17" s="63" t="s">
        <v>80</v>
      </c>
      <c r="F17" s="60" t="s">
        <v>35</v>
      </c>
      <c r="G17" s="47">
        <v>7</v>
      </c>
      <c r="H17" s="133">
        <f>IF(B$17=0,0,G17/B$17)</f>
        <v>1.9337016574585635E-2</v>
      </c>
      <c r="I17" s="94">
        <v>5</v>
      </c>
      <c r="K17" s="38">
        <v>15</v>
      </c>
      <c r="L17" s="99">
        <v>47.999999999999986</v>
      </c>
      <c r="N17" s="115" t="s">
        <v>129</v>
      </c>
      <c r="O17" s="125">
        <f t="shared" si="2"/>
        <v>6.4841269841269833</v>
      </c>
      <c r="P17" s="119">
        <v>63</v>
      </c>
      <c r="Q17" s="107">
        <v>408.49999999999994</v>
      </c>
    </row>
    <row r="18" spans="1:17" x14ac:dyDescent="0.4">
      <c r="A18" s="55" t="s">
        <v>12</v>
      </c>
      <c r="B18" s="47">
        <v>159</v>
      </c>
      <c r="C18" s="39">
        <f>IF(B$17=0,0,B18/B$17)</f>
        <v>0.43922651933701656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203</v>
      </c>
      <c r="C19" s="39">
        <f>IF(B$17=0,0,B19/B$17)</f>
        <v>0.56077348066298338</v>
      </c>
      <c r="E19" s="63" t="s">
        <v>82</v>
      </c>
      <c r="F19" s="60" t="s">
        <v>37</v>
      </c>
      <c r="G19" s="47">
        <v>11</v>
      </c>
      <c r="H19" s="133">
        <f>IF(B$17=0,0,G19/B$17)</f>
        <v>3.0386740331491711E-2</v>
      </c>
      <c r="I19" s="94">
        <v>5</v>
      </c>
      <c r="K19" s="38">
        <v>17</v>
      </c>
      <c r="L19" s="99">
        <v>94.6</v>
      </c>
      <c r="N19" s="115" t="s">
        <v>172</v>
      </c>
      <c r="O19" s="125">
        <f t="shared" si="2"/>
        <v>-0.40270270270270153</v>
      </c>
      <c r="P19" s="119">
        <v>37</v>
      </c>
      <c r="Q19" s="107">
        <v>-14.899999999999956</v>
      </c>
    </row>
    <row r="20" spans="1:17" x14ac:dyDescent="0.4">
      <c r="A20" s="55" t="s">
        <v>13</v>
      </c>
      <c r="B20" s="47">
        <v>237</v>
      </c>
      <c r="C20" s="39">
        <f>IF(B$3=0,0,B20/B$3)</f>
        <v>0.18147013782542112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177</v>
      </c>
      <c r="O20" s="125">
        <f t="shared" si="2"/>
        <v>-1.0906250000000004</v>
      </c>
      <c r="P20" s="119">
        <v>32</v>
      </c>
      <c r="Q20" s="107">
        <v>-34.900000000000013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15</v>
      </c>
      <c r="H21" s="133">
        <f>IF(B$17=0,0,G21/B$17)</f>
        <v>4.1436464088397788E-2</v>
      </c>
      <c r="I21" s="94">
        <v>9</v>
      </c>
      <c r="K21" s="38">
        <v>19</v>
      </c>
      <c r="L21" s="99">
        <v>138.79999999999998</v>
      </c>
      <c r="N21" s="115" t="s">
        <v>200</v>
      </c>
      <c r="O21" s="125">
        <f t="shared" si="2"/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1</v>
      </c>
      <c r="H22" s="133">
        <f>IF(B$17=0,0,G22/B$17)</f>
        <v>2.7624309392265192E-3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-18.368181818181817</v>
      </c>
      <c r="P22" s="119">
        <v>110</v>
      </c>
      <c r="Q22" s="107">
        <v>-2020.5</v>
      </c>
    </row>
    <row r="23" spans="1:17" x14ac:dyDescent="0.4">
      <c r="A23" s="55" t="s">
        <v>5</v>
      </c>
      <c r="B23" s="51">
        <f>IF(B$17=0,0,C23/B$17)</f>
        <v>8941.9889502762435</v>
      </c>
      <c r="C23" s="41">
        <v>3237000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-7465.8227848101269</v>
      </c>
      <c r="C24" s="45">
        <v>-1769400</v>
      </c>
      <c r="E24" s="63" t="s">
        <v>87</v>
      </c>
      <c r="F24" s="60" t="s">
        <v>42</v>
      </c>
      <c r="G24" s="47">
        <v>20</v>
      </c>
      <c r="H24" s="133">
        <f>IF(B$17=0,0,G24/B$17)</f>
        <v>5.5248618784530384E-2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2.7624309392265192E-3</v>
      </c>
      <c r="I26" s="94">
        <v>3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3.8284839203675345E-3</v>
      </c>
      <c r="E27" s="63" t="s">
        <v>90</v>
      </c>
      <c r="F27" s="60" t="s">
        <v>45</v>
      </c>
      <c r="G27" s="47">
        <v>42</v>
      </c>
      <c r="H27" s="133">
        <f>IF(B$17=0,0,G27/B$17)</f>
        <v>0.11602209944751381</v>
      </c>
      <c r="I27" s="94">
        <v>8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1.6574585635359115E-2</v>
      </c>
      <c r="I29" s="94">
        <v>6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2.7624309392265192E-3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2.7624309392265192E-3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2.7624309392265192E-3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7</v>
      </c>
      <c r="H50" s="133">
        <f>IF(B$17=0,0,G50/B$17)</f>
        <v>1.9337016574585635E-2</v>
      </c>
      <c r="I50" s="94">
        <v>4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151</v>
      </c>
      <c r="H51" s="138">
        <f>IF(B$17=0,0,G51/B$17)</f>
        <v>0.41712707182320441</v>
      </c>
      <c r="I51" s="139">
        <v>5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</sheetData>
  <sortState ref="E2:I16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A46A-E8DA-4DE9-ACED-7E8A943F17F3}">
  <sheetPr codeName="Sheet11"/>
  <dimension ref="A1:Q1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151</v>
      </c>
      <c r="C2" s="151"/>
      <c r="E2" s="62" t="s">
        <v>67</v>
      </c>
      <c r="F2" s="59" t="s">
        <v>23</v>
      </c>
      <c r="G2" s="46">
        <v>275</v>
      </c>
      <c r="H2" s="132">
        <f>IF(B$17=0,0,G2/B$17)</f>
        <v>0.80882352941176472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-2056.9536423841059</v>
      </c>
      <c r="P2" s="118">
        <v>151</v>
      </c>
      <c r="Q2" s="102">
        <v>-310600</v>
      </c>
    </row>
    <row r="3" spans="1:17" x14ac:dyDescent="0.4">
      <c r="A3" s="55" t="s">
        <v>8</v>
      </c>
      <c r="B3" s="152">
        <v>1266</v>
      </c>
      <c r="C3" s="153"/>
      <c r="E3" s="63" t="s">
        <v>65</v>
      </c>
      <c r="F3" s="60" t="s">
        <v>21</v>
      </c>
      <c r="G3" s="47">
        <v>164</v>
      </c>
      <c r="H3" s="133">
        <f>IF(B$17=0,0,G3/B$17)</f>
        <v>0.4823529411764706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-1642.8571428571429</v>
      </c>
      <c r="P3" s="119">
        <v>147</v>
      </c>
      <c r="Q3" s="103">
        <v>-241500</v>
      </c>
    </row>
    <row r="4" spans="1:17" x14ac:dyDescent="0.4">
      <c r="A4" s="55" t="s">
        <v>6</v>
      </c>
      <c r="B4" s="154">
        <v>-1320.4</v>
      </c>
      <c r="C4" s="155"/>
      <c r="E4" s="63" t="s">
        <v>73</v>
      </c>
      <c r="F4" s="60" t="s">
        <v>28</v>
      </c>
      <c r="G4" s="47">
        <v>150</v>
      </c>
      <c r="H4" s="133">
        <f>IF(B$17=0,0,G4/B$17)</f>
        <v>0.44117647058823528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797.84172661870502</v>
      </c>
      <c r="P4" s="119">
        <v>139</v>
      </c>
      <c r="Q4" s="103">
        <v>110900</v>
      </c>
    </row>
    <row r="5" spans="1:17" x14ac:dyDescent="0.4">
      <c r="A5" s="55" t="s">
        <v>7</v>
      </c>
      <c r="B5" s="156">
        <f>IF(B$2=0,0,B$4/B$2)</f>
        <v>-8.7443708609271535</v>
      </c>
      <c r="C5" s="157"/>
      <c r="E5" s="63" t="s">
        <v>245</v>
      </c>
      <c r="F5" s="60" t="s">
        <v>246</v>
      </c>
      <c r="G5" s="47">
        <v>137</v>
      </c>
      <c r="H5" s="133">
        <f>IF(B$17=0,0,G5/B$17)</f>
        <v>0.40294117647058825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-2896</v>
      </c>
      <c r="P5" s="119">
        <v>125</v>
      </c>
      <c r="Q5" s="103">
        <v>-362000</v>
      </c>
    </row>
    <row r="6" spans="1:17" x14ac:dyDescent="0.4">
      <c r="A6" s="55" t="s">
        <v>1</v>
      </c>
      <c r="B6" s="146">
        <f>IF(B$2=0,0,(B$7*1+B$8*2+B$9*3)/B$2)</f>
        <v>2.1324503311258276</v>
      </c>
      <c r="C6" s="147"/>
      <c r="E6" s="63" t="s">
        <v>69</v>
      </c>
      <c r="F6" s="60" t="s">
        <v>12</v>
      </c>
      <c r="G6" s="47">
        <v>116</v>
      </c>
      <c r="H6" s="133">
        <f>IF(B$17=0,0,G6/B$17)</f>
        <v>0.3411764705882353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-531.57894736842104</v>
      </c>
      <c r="P6" s="119">
        <v>114</v>
      </c>
      <c r="Q6" s="103">
        <v>-60600</v>
      </c>
    </row>
    <row r="7" spans="1:17" x14ac:dyDescent="0.4">
      <c r="A7" s="55" t="s">
        <v>2</v>
      </c>
      <c r="B7" s="47">
        <v>44</v>
      </c>
      <c r="C7" s="39">
        <f>IF(B$2=0,0,B7/B$2)</f>
        <v>0.29139072847682118</v>
      </c>
      <c r="E7" s="63" t="s">
        <v>68</v>
      </c>
      <c r="F7" s="60" t="s">
        <v>24</v>
      </c>
      <c r="G7" s="47">
        <v>90</v>
      </c>
      <c r="H7" s="133">
        <f>IF(B$17=0,0,G7/B$17)</f>
        <v>0.26470588235294118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-211.76470588235293</v>
      </c>
      <c r="P7" s="120">
        <v>102</v>
      </c>
      <c r="Q7" s="104">
        <v>-21600</v>
      </c>
    </row>
    <row r="8" spans="1:17" x14ac:dyDescent="0.4">
      <c r="A8" s="55" t="s">
        <v>3</v>
      </c>
      <c r="B8" s="47">
        <v>43</v>
      </c>
      <c r="C8" s="39">
        <f>IF(B$2=0,0,B8/B$2)</f>
        <v>0.28476821192052981</v>
      </c>
      <c r="E8" s="63" t="s">
        <v>70</v>
      </c>
      <c r="F8" s="60" t="s">
        <v>25</v>
      </c>
      <c r="G8" s="47">
        <v>55</v>
      </c>
      <c r="H8" s="133">
        <f>IF(B$17=0,0,G8/B$17)</f>
        <v>0.16176470588235295</v>
      </c>
      <c r="I8" s="94">
        <v>6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64</v>
      </c>
      <c r="C9" s="40">
        <f t="shared" ref="C9" si="1">IF(B$2=0,0,B9/B$2)</f>
        <v>0.42384105960264901</v>
      </c>
      <c r="E9" s="63" t="s">
        <v>71</v>
      </c>
      <c r="F9" s="60" t="s">
        <v>26</v>
      </c>
      <c r="G9" s="47">
        <v>50</v>
      </c>
      <c r="H9" s="133">
        <f>IF(B$17=0,0,G9/B$17)</f>
        <v>0.14705882352941177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24</v>
      </c>
      <c r="C10" s="40">
        <f>IF(B$2=0,0,B10/B$2)</f>
        <v>0.15894039735099338</v>
      </c>
      <c r="E10" s="63" t="s">
        <v>90</v>
      </c>
      <c r="F10" s="60" t="s">
        <v>45</v>
      </c>
      <c r="G10" s="47">
        <v>38</v>
      </c>
      <c r="H10" s="133">
        <f>IF(B$17=0,0,G10/B$17)</f>
        <v>0.11176470588235295</v>
      </c>
      <c r="I10" s="94">
        <v>9</v>
      </c>
      <c r="K10" s="38">
        <v>8</v>
      </c>
      <c r="L10" s="99">
        <v>-79.599999999999994</v>
      </c>
      <c r="N10" s="114" t="s">
        <v>164</v>
      </c>
      <c r="O10" s="124">
        <f>IF(P10=0,0,Q10/P10)</f>
        <v>-12.234090909090902</v>
      </c>
      <c r="P10" s="118">
        <v>44</v>
      </c>
      <c r="Q10" s="106">
        <v>-538.29999999999973</v>
      </c>
    </row>
    <row r="11" spans="1:17" x14ac:dyDescent="0.4">
      <c r="A11" s="56" t="s">
        <v>140</v>
      </c>
      <c r="B11" s="48">
        <v>15</v>
      </c>
      <c r="C11" s="40">
        <f>IF(B$2=0,0,B11/B$2)</f>
        <v>9.9337748344370855E-2</v>
      </c>
      <c r="E11" s="63" t="s">
        <v>72</v>
      </c>
      <c r="F11" s="60" t="s">
        <v>27</v>
      </c>
      <c r="G11" s="47">
        <v>33</v>
      </c>
      <c r="H11" s="133">
        <f>IF(B$17=0,0,G11/B$17)</f>
        <v>9.7058823529411767E-2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-6.4303571428571455</v>
      </c>
      <c r="P11" s="119">
        <v>56</v>
      </c>
      <c r="Q11" s="107">
        <v>-360.10000000000014</v>
      </c>
    </row>
    <row r="12" spans="1:17" x14ac:dyDescent="0.4">
      <c r="A12" s="57" t="s">
        <v>160</v>
      </c>
      <c r="B12" s="49">
        <v>15</v>
      </c>
      <c r="C12" s="42">
        <f>IF(B$2=0,0,B12/B$2)</f>
        <v>9.9337748344370855E-2</v>
      </c>
      <c r="E12" s="63" t="s">
        <v>66</v>
      </c>
      <c r="F12" s="60" t="s">
        <v>22</v>
      </c>
      <c r="G12" s="47">
        <v>28</v>
      </c>
      <c r="H12" s="133">
        <f>IF(B$17=0,0,G12/B$17)</f>
        <v>8.2352941176470587E-2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-8.2745098039215659</v>
      </c>
      <c r="P12" s="120">
        <v>51</v>
      </c>
      <c r="Q12" s="108">
        <v>-421.99999999999983</v>
      </c>
    </row>
    <row r="13" spans="1:17" x14ac:dyDescent="0.4">
      <c r="A13" s="58" t="s">
        <v>122</v>
      </c>
      <c r="B13" s="50">
        <v>322</v>
      </c>
      <c r="C13" s="44">
        <f>IF(B$3=0,0,B13/B$3)</f>
        <v>0.25434439178515006</v>
      </c>
      <c r="E13" s="63" t="s">
        <v>87</v>
      </c>
      <c r="F13" s="60" t="s">
        <v>42</v>
      </c>
      <c r="G13" s="47">
        <v>20</v>
      </c>
      <c r="H13" s="133">
        <f>IF(B$17=0,0,G13/B$17)</f>
        <v>5.8823529411764705E-2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242</v>
      </c>
      <c r="C14" s="39">
        <f>IF(B$3=0,0,B14/B$3)</f>
        <v>0.19115323854660349</v>
      </c>
      <c r="E14" s="63" t="s">
        <v>84</v>
      </c>
      <c r="F14" s="60" t="s">
        <v>39</v>
      </c>
      <c r="G14" s="47">
        <v>12</v>
      </c>
      <c r="H14" s="133">
        <f>IF(B$17=0,0,G14/B$17)</f>
        <v>3.5294117647058823E-2</v>
      </c>
      <c r="I14" s="94">
        <v>10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172</v>
      </c>
      <c r="C15" s="37">
        <f>IF(B$13=0,0,B15/B$13)</f>
        <v>0.53416149068322982</v>
      </c>
      <c r="E15" s="63" t="s">
        <v>79</v>
      </c>
      <c r="F15" s="60" t="s">
        <v>34</v>
      </c>
      <c r="G15" s="47">
        <v>11</v>
      </c>
      <c r="H15" s="133">
        <f>IF(B$17=0,0,G15/B$17)</f>
        <v>3.2352941176470591E-2</v>
      </c>
      <c r="I15" s="94">
        <v>5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81</v>
      </c>
      <c r="C16" s="37">
        <f>IF(B$14=0,0,B16/B$14)</f>
        <v>0.33471074380165289</v>
      </c>
      <c r="E16" s="63" t="s">
        <v>82</v>
      </c>
      <c r="F16" s="60" t="s">
        <v>37</v>
      </c>
      <c r="G16" s="47">
        <v>9</v>
      </c>
      <c r="H16" s="133">
        <f>IF(B$17=0,0,G16/B$17)</f>
        <v>2.6470588235294117E-2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340</v>
      </c>
      <c r="C17" s="37">
        <f>IF(B$3=0,0,B17/B$3)</f>
        <v>0.26856240126382308</v>
      </c>
      <c r="E17" s="63" t="s">
        <v>78</v>
      </c>
      <c r="F17" s="60" t="s">
        <v>33</v>
      </c>
      <c r="G17" s="47">
        <v>5</v>
      </c>
      <c r="H17" s="133">
        <f>IF(B$17=0,0,G17/B$17)</f>
        <v>1.4705882352941176E-2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144</v>
      </c>
      <c r="C18" s="39">
        <f>IF(B$17=0,0,B18/B$17)</f>
        <v>0.42352941176470588</v>
      </c>
      <c r="E18" s="63" t="s">
        <v>80</v>
      </c>
      <c r="F18" s="60" t="s">
        <v>35</v>
      </c>
      <c r="G18" s="47">
        <v>4</v>
      </c>
      <c r="H18" s="133">
        <f>IF(B$17=0,0,G18/B$17)</f>
        <v>1.1764705882352941E-2</v>
      </c>
      <c r="I18" s="94">
        <v>10</v>
      </c>
      <c r="K18" s="38">
        <v>16</v>
      </c>
      <c r="L18" s="99">
        <v>-472</v>
      </c>
      <c r="N18" s="115" t="s">
        <v>177</v>
      </c>
      <c r="O18" s="125">
        <f>IF(P18=0,0,Q18/P18)</f>
        <v>3.0875000000000012</v>
      </c>
      <c r="P18" s="119">
        <v>40</v>
      </c>
      <c r="Q18" s="107">
        <v>123.50000000000006</v>
      </c>
    </row>
    <row r="19" spans="1:17" x14ac:dyDescent="0.4">
      <c r="A19" s="55" t="s">
        <v>11</v>
      </c>
      <c r="B19" s="47">
        <v>196</v>
      </c>
      <c r="C19" s="39">
        <f>IF(B$17=0,0,B19/B$17)</f>
        <v>0.57647058823529407</v>
      </c>
      <c r="E19" s="63" t="s">
        <v>92</v>
      </c>
      <c r="F19" s="60" t="s">
        <v>47</v>
      </c>
      <c r="G19" s="47">
        <v>4</v>
      </c>
      <c r="H19" s="133">
        <f>IF(B$17=0,0,G19/B$17)</f>
        <v>1.1764705882352941E-2</v>
      </c>
      <c r="I19" s="94">
        <v>9</v>
      </c>
      <c r="K19" s="38">
        <v>17</v>
      </c>
      <c r="L19" s="99">
        <v>-538.29999999999995</v>
      </c>
      <c r="N19" s="115" t="s">
        <v>128</v>
      </c>
      <c r="O19" s="125">
        <f>IF(P19=0,0,Q19/P19)</f>
        <v>-6.4841269841269833</v>
      </c>
      <c r="P19" s="119">
        <v>63</v>
      </c>
      <c r="Q19" s="107">
        <v>-408.49999999999994</v>
      </c>
    </row>
    <row r="20" spans="1:17" x14ac:dyDescent="0.4">
      <c r="A20" s="55" t="s">
        <v>13</v>
      </c>
      <c r="B20" s="47">
        <v>228</v>
      </c>
      <c r="C20" s="39">
        <f>IF(B$3=0,0,B20/B$3)</f>
        <v>0.18009478672985782</v>
      </c>
      <c r="E20" s="63" t="s">
        <v>75</v>
      </c>
      <c r="F20" s="60" t="s">
        <v>30</v>
      </c>
      <c r="G20" s="47">
        <v>3</v>
      </c>
      <c r="H20" s="133">
        <f>IF(B$17=0,0,G20/B$17)</f>
        <v>8.8235294117647058E-3</v>
      </c>
      <c r="I20" s="94">
        <v>2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5.8823529411764705E-3</v>
      </c>
      <c r="I21" s="94">
        <v>2</v>
      </c>
      <c r="K21" s="38">
        <v>19</v>
      </c>
      <c r="L21" s="99">
        <v>-569.49999999999989</v>
      </c>
      <c r="N21" s="115" t="s">
        <v>171</v>
      </c>
      <c r="O21" s="125">
        <f>IF(P21=0,0,Q21/P21)</f>
        <v>-20.797499999999992</v>
      </c>
      <c r="P21" s="119">
        <v>40</v>
      </c>
      <c r="Q21" s="107">
        <v>-831.89999999999975</v>
      </c>
    </row>
    <row r="22" spans="1:17" x14ac:dyDescent="0.4">
      <c r="A22" s="55" t="s">
        <v>192</v>
      </c>
      <c r="B22" s="47">
        <v>31</v>
      </c>
      <c r="C22" s="135">
        <v>0</v>
      </c>
      <c r="E22" s="63" t="s">
        <v>88</v>
      </c>
      <c r="F22" s="60" t="s">
        <v>43</v>
      </c>
      <c r="G22" s="47">
        <v>2</v>
      </c>
      <c r="H22" s="133">
        <f>IF(B$17=0,0,G22/B$17)</f>
        <v>5.8823529411764705E-3</v>
      </c>
      <c r="I22" s="94">
        <v>2</v>
      </c>
      <c r="K22" s="38">
        <v>20</v>
      </c>
      <c r="L22" s="99">
        <v>-632.99999999999989</v>
      </c>
      <c r="N22" s="115" t="s">
        <v>172</v>
      </c>
      <c r="O22" s="125">
        <f>IF(P22=0,0,Q22/P22)</f>
        <v>-20.858333333333327</v>
      </c>
      <c r="P22" s="119">
        <v>36</v>
      </c>
      <c r="Q22" s="107">
        <v>-750.89999999999975</v>
      </c>
    </row>
    <row r="23" spans="1:17" x14ac:dyDescent="0.4">
      <c r="A23" s="55" t="s">
        <v>5</v>
      </c>
      <c r="B23" s="51">
        <f>IF(B$17=0,0,C23/B$17)</f>
        <v>8236.4705882352937</v>
      </c>
      <c r="C23" s="41">
        <v>2800400</v>
      </c>
      <c r="E23" s="63" t="s">
        <v>94</v>
      </c>
      <c r="F23" s="60" t="s">
        <v>49</v>
      </c>
      <c r="G23" s="47">
        <v>2</v>
      </c>
      <c r="H23" s="133">
        <f>IF(B$17=0,0,G23/B$17)</f>
        <v>5.8823529411764705E-3</v>
      </c>
      <c r="I23" s="94">
        <v>1</v>
      </c>
      <c r="K23" s="38">
        <v>21</v>
      </c>
      <c r="L23" s="99">
        <v>-629.49999999999989</v>
      </c>
      <c r="N23" s="115" t="s">
        <v>127</v>
      </c>
      <c r="O23" s="125">
        <f>IF(P23=0,0,Q23/P23)</f>
        <v>-26.065934065934069</v>
      </c>
      <c r="P23" s="119">
        <v>91</v>
      </c>
      <c r="Q23" s="107">
        <v>-2372.0000000000005</v>
      </c>
    </row>
    <row r="24" spans="1:17" x14ac:dyDescent="0.4">
      <c r="A24" s="57" t="s">
        <v>14</v>
      </c>
      <c r="B24" s="52">
        <f>IF(B$20=0,0,C24/B$20)</f>
        <v>-8504.8245614035095</v>
      </c>
      <c r="C24" s="45">
        <v>-1939100</v>
      </c>
      <c r="E24" s="63" t="s">
        <v>76</v>
      </c>
      <c r="F24" s="60" t="s">
        <v>31</v>
      </c>
      <c r="G24" s="47">
        <v>1</v>
      </c>
      <c r="H24" s="133">
        <f>IF(B$17=0,0,G24/B$17)</f>
        <v>2.9411764705882353E-3</v>
      </c>
      <c r="I24" s="94">
        <v>7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4">
        <v>7</v>
      </c>
      <c r="C25" s="145"/>
      <c r="E25" s="63" t="s">
        <v>86</v>
      </c>
      <c r="F25" s="60" t="s">
        <v>41</v>
      </c>
      <c r="G25" s="47">
        <v>1</v>
      </c>
      <c r="H25" s="133">
        <f>IF(B$17=0,0,G25/B$17)</f>
        <v>2.9411764705882353E-3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2.9411764705882353E-3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1.5797788309636651E-3</v>
      </c>
      <c r="E27" s="63" t="s">
        <v>93</v>
      </c>
      <c r="F27" s="60" t="s">
        <v>48</v>
      </c>
      <c r="G27" s="47">
        <v>1</v>
      </c>
      <c r="H27" s="133">
        <f>IF(B$17=0,0,G27/B$17)</f>
        <v>2.9411764705882353E-3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2.9411764705882353E-3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E052-5A5A-4B5F-9CE9-D13ABFC56BB9}">
  <sheetPr codeName="Sheet13"/>
  <dimension ref="A1:Q10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104</v>
      </c>
      <c r="C2" s="151"/>
      <c r="E2" s="62" t="s">
        <v>65</v>
      </c>
      <c r="F2" s="59" t="s">
        <v>21</v>
      </c>
      <c r="G2" s="46">
        <v>130</v>
      </c>
      <c r="H2" s="132">
        <f>IF(B$17=0,0,G2/B$17)</f>
        <v>0.52631578947368418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611.53846153846155</v>
      </c>
      <c r="P2" s="118">
        <v>104</v>
      </c>
      <c r="Q2" s="102">
        <v>63600</v>
      </c>
    </row>
    <row r="3" spans="1:17" x14ac:dyDescent="0.4">
      <c r="A3" s="55" t="s">
        <v>8</v>
      </c>
      <c r="B3" s="152">
        <v>864</v>
      </c>
      <c r="C3" s="153"/>
      <c r="E3" s="63" t="s">
        <v>66</v>
      </c>
      <c r="F3" s="60" t="s">
        <v>22</v>
      </c>
      <c r="G3" s="47">
        <v>30</v>
      </c>
      <c r="H3" s="133">
        <f>IF(B$17=0,0,G3/B$17)</f>
        <v>0.1214574898785425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693.06930693069307</v>
      </c>
      <c r="P3" s="119">
        <v>101</v>
      </c>
      <c r="Q3" s="103">
        <v>70000</v>
      </c>
    </row>
    <row r="4" spans="1:17" x14ac:dyDescent="0.4">
      <c r="A4" s="55" t="s">
        <v>6</v>
      </c>
      <c r="B4" s="154">
        <v>29.800000000000011</v>
      </c>
      <c r="C4" s="155"/>
      <c r="E4" s="63" t="s">
        <v>67</v>
      </c>
      <c r="F4" s="60" t="s">
        <v>23</v>
      </c>
      <c r="G4" s="47">
        <v>196</v>
      </c>
      <c r="H4" s="133">
        <f>IF(B$17=0,0,G4/B$17)</f>
        <v>0.79352226720647778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1372.8260869565217</v>
      </c>
      <c r="P4" s="119">
        <v>92</v>
      </c>
      <c r="Q4" s="103">
        <v>126300</v>
      </c>
    </row>
    <row r="5" spans="1:17" x14ac:dyDescent="0.4">
      <c r="A5" s="55" t="s">
        <v>7</v>
      </c>
      <c r="B5" s="156">
        <f>IF(B$2=0,0,B$4/B$2)</f>
        <v>0.28653846153846163</v>
      </c>
      <c r="C5" s="157"/>
      <c r="E5" s="63" t="s">
        <v>68</v>
      </c>
      <c r="F5" s="60" t="s">
        <v>24</v>
      </c>
      <c r="G5" s="47">
        <v>80</v>
      </c>
      <c r="H5" s="133">
        <f>IF(B$17=0,0,G5/B$17)</f>
        <v>0.32388663967611336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128.04878048780489</v>
      </c>
      <c r="P5" s="119">
        <v>82</v>
      </c>
      <c r="Q5" s="103">
        <v>10500</v>
      </c>
    </row>
    <row r="6" spans="1:17" x14ac:dyDescent="0.4">
      <c r="A6" s="55" t="s">
        <v>1</v>
      </c>
      <c r="B6" s="146">
        <f>IF(B$2=0,0,(B$7*1+B$8*2+B$9*3)/B$2)</f>
        <v>2.0384615384615383</v>
      </c>
      <c r="C6" s="147"/>
      <c r="E6" s="63" t="s">
        <v>69</v>
      </c>
      <c r="F6" s="60" t="s">
        <v>12</v>
      </c>
      <c r="G6" s="47">
        <v>73</v>
      </c>
      <c r="H6" s="133">
        <f>IF(B$17=0,0,G6/B$17)</f>
        <v>0.29554655870445345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-2098.6301369863013</v>
      </c>
      <c r="P6" s="119">
        <v>73</v>
      </c>
      <c r="Q6" s="103">
        <v>-153200</v>
      </c>
    </row>
    <row r="7" spans="1:17" x14ac:dyDescent="0.4">
      <c r="A7" s="55" t="s">
        <v>2</v>
      </c>
      <c r="B7" s="47">
        <v>32</v>
      </c>
      <c r="C7" s="39">
        <f>IF(B$2=0,0,B7/B$2)</f>
        <v>0.30769230769230771</v>
      </c>
      <c r="E7" s="63" t="s">
        <v>70</v>
      </c>
      <c r="F7" s="60" t="s">
        <v>25</v>
      </c>
      <c r="G7" s="47">
        <v>47</v>
      </c>
      <c r="H7" s="133">
        <f>IF(B$17=0,0,G7/B$17)</f>
        <v>0.19028340080971659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-551.5151515151515</v>
      </c>
      <c r="P7" s="120">
        <v>66</v>
      </c>
      <c r="Q7" s="104">
        <v>-36400</v>
      </c>
    </row>
    <row r="8" spans="1:17" x14ac:dyDescent="0.4">
      <c r="A8" s="55" t="s">
        <v>3</v>
      </c>
      <c r="B8" s="47">
        <v>36</v>
      </c>
      <c r="C8" s="39">
        <f>IF(B$2=0,0,B8/B$2)</f>
        <v>0.34615384615384615</v>
      </c>
      <c r="E8" s="63" t="s">
        <v>71</v>
      </c>
      <c r="F8" s="60" t="s">
        <v>26</v>
      </c>
      <c r="G8" s="47">
        <v>26</v>
      </c>
      <c r="H8" s="133">
        <f>IF(B$17=0,0,G8/B$17)</f>
        <v>0.10526315789473684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36</v>
      </c>
      <c r="C9" s="40">
        <f t="shared" ref="C9" si="1">IF(B$2=0,0,B9/B$2)</f>
        <v>0.34615384615384615</v>
      </c>
      <c r="E9" s="63" t="s">
        <v>72</v>
      </c>
      <c r="F9" s="60" t="s">
        <v>27</v>
      </c>
      <c r="G9" s="47">
        <v>15</v>
      </c>
      <c r="H9" s="133">
        <f>IF(B$17=0,0,G9/B$17)</f>
        <v>6.0728744939271252E-2</v>
      </c>
      <c r="I9" s="94">
        <v>8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0.10576923076923077</v>
      </c>
      <c r="E10" s="63" t="s">
        <v>73</v>
      </c>
      <c r="F10" s="60" t="s">
        <v>28</v>
      </c>
      <c r="G10" s="47">
        <v>137</v>
      </c>
      <c r="H10" s="133">
        <f>IF(B$17=0,0,G10/B$17)</f>
        <v>0.55465587044534415</v>
      </c>
      <c r="I10" s="94">
        <v>7</v>
      </c>
      <c r="K10" s="38">
        <v>8</v>
      </c>
      <c r="L10" s="99">
        <v>-1.7000000000000028</v>
      </c>
      <c r="N10" s="114" t="s">
        <v>164</v>
      </c>
      <c r="O10" s="124">
        <f>IF(P10=0,0,Q10/P10)</f>
        <v>4.5344827586206895</v>
      </c>
      <c r="P10" s="118">
        <v>29</v>
      </c>
      <c r="Q10" s="106">
        <v>131.5</v>
      </c>
    </row>
    <row r="11" spans="1:17" x14ac:dyDescent="0.4">
      <c r="A11" s="56" t="s">
        <v>140</v>
      </c>
      <c r="B11" s="48">
        <v>15</v>
      </c>
      <c r="C11" s="40">
        <f>IF(B$2=0,0,B11/B$2)</f>
        <v>0.14423076923076922</v>
      </c>
      <c r="E11" s="63" t="s">
        <v>74</v>
      </c>
      <c r="F11" s="60" t="s">
        <v>29</v>
      </c>
      <c r="G11" s="47">
        <v>3</v>
      </c>
      <c r="H11" s="133">
        <f>IF(B$17=0,0,G11/B$17)</f>
        <v>1.2145748987854251E-2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4.5945945945947558E-2</v>
      </c>
      <c r="P11" s="119">
        <v>37</v>
      </c>
      <c r="Q11" s="107">
        <v>1.7000000000000597</v>
      </c>
    </row>
    <row r="12" spans="1:17" x14ac:dyDescent="0.4">
      <c r="A12" s="57" t="s">
        <v>160</v>
      </c>
      <c r="B12" s="49">
        <v>6</v>
      </c>
      <c r="C12" s="42">
        <f>IF(B$2=0,0,B12/B$2)</f>
        <v>5.7692307692307696E-2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-2.7210526315789476</v>
      </c>
      <c r="P12" s="120">
        <v>38</v>
      </c>
      <c r="Q12" s="108">
        <v>-103.4</v>
      </c>
    </row>
    <row r="13" spans="1:17" x14ac:dyDescent="0.4">
      <c r="A13" s="58" t="s">
        <v>122</v>
      </c>
      <c r="B13" s="50">
        <v>245</v>
      </c>
      <c r="C13" s="44">
        <f>IF(B$3=0,0,B13/B$3)</f>
        <v>0.28356481481481483</v>
      </c>
      <c r="E13" s="63" t="s">
        <v>76</v>
      </c>
      <c r="F13" s="60" t="s">
        <v>31</v>
      </c>
      <c r="G13" s="47">
        <v>3</v>
      </c>
      <c r="H13" s="133">
        <f>IF(B$17=0,0,G13/B$17)</f>
        <v>1.2145748987854251E-2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170</v>
      </c>
      <c r="C14" s="39">
        <f>IF(B$3=0,0,B14/B$3)</f>
        <v>0.19675925925925927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138</v>
      </c>
      <c r="C15" s="37">
        <f>IF(B$13=0,0,B15/B$13)</f>
        <v>0.56326530612244896</v>
      </c>
      <c r="E15" s="63" t="s">
        <v>78</v>
      </c>
      <c r="F15" s="60" t="s">
        <v>33</v>
      </c>
      <c r="G15" s="47">
        <v>3</v>
      </c>
      <c r="H15" s="133">
        <f>IF(B$17=0,0,G15/B$17)</f>
        <v>1.2145748987854251E-2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20.797499999999992</v>
      </c>
      <c r="P15" s="118">
        <v>40</v>
      </c>
      <c r="Q15" s="106">
        <v>831.89999999999964</v>
      </c>
    </row>
    <row r="16" spans="1:17" x14ac:dyDescent="0.4">
      <c r="A16" s="54" t="s">
        <v>125</v>
      </c>
      <c r="B16" s="46">
        <v>68</v>
      </c>
      <c r="C16" s="37">
        <f>IF(B$14=0,0,B16/B$14)</f>
        <v>0.4</v>
      </c>
      <c r="E16" s="63" t="s">
        <v>79</v>
      </c>
      <c r="F16" s="60" t="s">
        <v>34</v>
      </c>
      <c r="G16" s="47">
        <v>10</v>
      </c>
      <c r="H16" s="133">
        <f>IF(B$17=0,0,G16/B$17)</f>
        <v>4.048582995951417E-2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247</v>
      </c>
      <c r="C17" s="37">
        <f>IF(B$3=0,0,B17/B$3)</f>
        <v>0.28587962962962965</v>
      </c>
      <c r="E17" s="63" t="s">
        <v>80</v>
      </c>
      <c r="F17" s="60" t="s">
        <v>35</v>
      </c>
      <c r="G17" s="47">
        <v>5</v>
      </c>
      <c r="H17" s="133">
        <f>IF(B$17=0,0,G17/B$17)</f>
        <v>2.0242914979757085E-2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100</v>
      </c>
      <c r="C18" s="39">
        <f>IF(B$17=0,0,B18/B$17)</f>
        <v>0.40485829959514169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0.97619047619047583</v>
      </c>
      <c r="P18" s="119">
        <v>21</v>
      </c>
      <c r="Q18" s="107">
        <v>20.499999999999993</v>
      </c>
    </row>
    <row r="19" spans="1:17" x14ac:dyDescent="0.4">
      <c r="A19" s="55" t="s">
        <v>11</v>
      </c>
      <c r="B19" s="47">
        <v>147</v>
      </c>
      <c r="C19" s="39">
        <f>IF(B$17=0,0,B19/B$17)</f>
        <v>0.59514170040485825</v>
      </c>
      <c r="E19" s="63" t="s">
        <v>82</v>
      </c>
      <c r="F19" s="60" t="s">
        <v>37</v>
      </c>
      <c r="G19" s="47">
        <v>8</v>
      </c>
      <c r="H19" s="133">
        <f>IF(B$17=0,0,G19/B$17)</f>
        <v>3.2388663967611336E-2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151</v>
      </c>
      <c r="C20" s="39">
        <f>IF(B$3=0,0,B20/B$3)</f>
        <v>0.17476851851851852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-1.725862068965514</v>
      </c>
      <c r="P20" s="119">
        <v>58</v>
      </c>
      <c r="Q20" s="107">
        <v>-100.09999999999981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4.4534412955465584E-2</v>
      </c>
      <c r="I21" s="94">
        <v>8</v>
      </c>
      <c r="K21" s="38">
        <v>19</v>
      </c>
      <c r="L21" s="99">
        <v>0.60000000000000853</v>
      </c>
      <c r="N21" s="115" t="s">
        <v>200</v>
      </c>
      <c r="O21" s="125">
        <f t="shared" si="2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5</v>
      </c>
      <c r="E22" s="63" t="s">
        <v>85</v>
      </c>
      <c r="F22" s="60" t="s">
        <v>40</v>
      </c>
      <c r="G22" s="47">
        <v>2</v>
      </c>
      <c r="H22" s="133">
        <f>IF(B$17=0,0,G22/B$17)</f>
        <v>8.0971659919028341E-3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-37.686363636363637</v>
      </c>
      <c r="P22" s="119">
        <v>22</v>
      </c>
      <c r="Q22" s="107">
        <v>-829.1</v>
      </c>
    </row>
    <row r="23" spans="1:17" x14ac:dyDescent="0.4">
      <c r="A23" s="55" t="s">
        <v>5</v>
      </c>
      <c r="B23" s="51">
        <f>IF(B$17=0,0,C23/B$17)</f>
        <v>9887.4493927125513</v>
      </c>
      <c r="C23" s="41">
        <v>2442200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-8369.5364238410602</v>
      </c>
      <c r="C24" s="45">
        <v>-1263800</v>
      </c>
      <c r="E24" s="63" t="s">
        <v>87</v>
      </c>
      <c r="F24" s="60" t="s">
        <v>42</v>
      </c>
      <c r="G24" s="47">
        <v>19</v>
      </c>
      <c r="H24" s="133">
        <f>IF(B$17=0,0,G24/B$17)</f>
        <v>7.6923076923076927E-2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4.048582995951417E-3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2.3148148148148147E-3</v>
      </c>
      <c r="E27" s="63" t="s">
        <v>90</v>
      </c>
      <c r="F27" s="60" t="s">
        <v>45</v>
      </c>
      <c r="G27" s="47">
        <v>42</v>
      </c>
      <c r="H27" s="133">
        <f>IF(B$17=0,0,G27/B$17)</f>
        <v>0.17004048582995951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8</v>
      </c>
      <c r="H29" s="133">
        <f>IF(B$17=0,0,G29/B$17)</f>
        <v>3.2388663967611336E-2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8.0971659919028341E-3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4.048582995951417E-3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2.0242914979757085E-2</v>
      </c>
      <c r="I50" s="94">
        <v>3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95</v>
      </c>
      <c r="H51" s="138">
        <f>IF(B$17=0,0,G51/B$17)</f>
        <v>0.38461538461538464</v>
      </c>
      <c r="I51" s="139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</sheetData>
  <sortState ref="E2:I10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1516F-05CE-4E71-9BB2-E488E52DDB31}">
  <sheetPr codeName="Sheet15"/>
  <dimension ref="A1:Q10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102</v>
      </c>
      <c r="C2" s="151"/>
      <c r="E2" s="62" t="s">
        <v>67</v>
      </c>
      <c r="F2" s="59" t="s">
        <v>23</v>
      </c>
      <c r="G2" s="46">
        <v>186</v>
      </c>
      <c r="H2" s="132">
        <f>IF(B$17=0,0,G2/B$17)</f>
        <v>0.643598615916955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229.41176470588235</v>
      </c>
      <c r="P2" s="118">
        <v>102</v>
      </c>
      <c r="Q2" s="102">
        <v>23400</v>
      </c>
    </row>
    <row r="3" spans="1:17" x14ac:dyDescent="0.4">
      <c r="A3" s="55" t="s">
        <v>8</v>
      </c>
      <c r="B3" s="152">
        <v>858</v>
      </c>
      <c r="C3" s="153"/>
      <c r="E3" s="63" t="s">
        <v>73</v>
      </c>
      <c r="F3" s="60" t="s">
        <v>28</v>
      </c>
      <c r="G3" s="47">
        <v>165</v>
      </c>
      <c r="H3" s="133">
        <f>IF(B$17=0,0,G3/B$17)</f>
        <v>0.5709342560553633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-1204.9019607843138</v>
      </c>
      <c r="P3" s="119">
        <v>102</v>
      </c>
      <c r="Q3" s="103">
        <v>-122900</v>
      </c>
    </row>
    <row r="4" spans="1:17" x14ac:dyDescent="0.4">
      <c r="A4" s="55" t="s">
        <v>6</v>
      </c>
      <c r="B4" s="154">
        <v>-200.80000000000004</v>
      </c>
      <c r="C4" s="155"/>
      <c r="E4" s="63" t="s">
        <v>245</v>
      </c>
      <c r="F4" s="60" t="s">
        <v>246</v>
      </c>
      <c r="G4" s="47">
        <v>122</v>
      </c>
      <c r="H4" s="133">
        <f>IF(B$17=0,0,G4/B$17)</f>
        <v>0.42214532871972316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0"/>
        <v>-571.73913043478262</v>
      </c>
      <c r="P4" s="119">
        <v>92</v>
      </c>
      <c r="Q4" s="103">
        <v>-52600</v>
      </c>
    </row>
    <row r="5" spans="1:17" x14ac:dyDescent="0.4">
      <c r="A5" s="55" t="s">
        <v>7</v>
      </c>
      <c r="B5" s="156">
        <f>IF(B$2=0,0,B$4/B$2)</f>
        <v>-1.9686274509803925</v>
      </c>
      <c r="C5" s="157"/>
      <c r="E5" s="63" t="s">
        <v>65</v>
      </c>
      <c r="F5" s="60" t="s">
        <v>21</v>
      </c>
      <c r="G5" s="47">
        <v>102</v>
      </c>
      <c r="H5" s="133">
        <f>IF(B$17=0,0,G5/B$17)</f>
        <v>0.35294117647058826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978.40909090909088</v>
      </c>
      <c r="P5" s="119">
        <v>88</v>
      </c>
      <c r="Q5" s="103">
        <v>86100</v>
      </c>
    </row>
    <row r="6" spans="1:17" x14ac:dyDescent="0.4">
      <c r="A6" s="55" t="s">
        <v>1</v>
      </c>
      <c r="B6" s="146">
        <f>IF(B$2=0,0,(B$7*1+B$8*2+B$9*3)/B$2)</f>
        <v>2.0588235294117645</v>
      </c>
      <c r="C6" s="147"/>
      <c r="E6" s="63" t="s">
        <v>69</v>
      </c>
      <c r="F6" s="60" t="s">
        <v>12</v>
      </c>
      <c r="G6" s="47">
        <v>72</v>
      </c>
      <c r="H6" s="133">
        <f>IF(B$17=0,0,G6/B$17)</f>
        <v>0.2491349480968858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-159.7560975609756</v>
      </c>
      <c r="P6" s="119">
        <v>82</v>
      </c>
      <c r="Q6" s="103">
        <v>-13100</v>
      </c>
    </row>
    <row r="7" spans="1:17" x14ac:dyDescent="0.4">
      <c r="A7" s="55" t="s">
        <v>2</v>
      </c>
      <c r="B7" s="47">
        <v>25</v>
      </c>
      <c r="C7" s="39">
        <f>IF(B$2=0,0,B7/B$2)</f>
        <v>0.24509803921568626</v>
      </c>
      <c r="E7" s="63" t="s">
        <v>68</v>
      </c>
      <c r="F7" s="60" t="s">
        <v>24</v>
      </c>
      <c r="G7" s="47">
        <v>50</v>
      </c>
      <c r="H7" s="133">
        <f>IF(B$17=0,0,G7/B$17)</f>
        <v>0.17301038062283736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-671.42857142857144</v>
      </c>
      <c r="P7" s="120">
        <v>70</v>
      </c>
      <c r="Q7" s="104">
        <v>-47000</v>
      </c>
    </row>
    <row r="8" spans="1:17" x14ac:dyDescent="0.4">
      <c r="A8" s="55" t="s">
        <v>3</v>
      </c>
      <c r="B8" s="47">
        <v>46</v>
      </c>
      <c r="C8" s="39">
        <f>IF(B$2=0,0,B8/B$2)</f>
        <v>0.45098039215686275</v>
      </c>
      <c r="E8" s="63" t="s">
        <v>70</v>
      </c>
      <c r="F8" s="60" t="s">
        <v>25</v>
      </c>
      <c r="G8" s="47">
        <v>46</v>
      </c>
      <c r="H8" s="133">
        <f>IF(B$17=0,0,G8/B$17)</f>
        <v>0.15916955017301038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0.30392156862745096</v>
      </c>
      <c r="E9" s="63" t="s">
        <v>66</v>
      </c>
      <c r="F9" s="60" t="s">
        <v>22</v>
      </c>
      <c r="G9" s="47">
        <v>30</v>
      </c>
      <c r="H9" s="133">
        <f>IF(B$17=0,0,G9/B$17)</f>
        <v>0.10380622837370242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4.9019607843137254E-2</v>
      </c>
      <c r="E10" s="63" t="s">
        <v>72</v>
      </c>
      <c r="F10" s="60" t="s">
        <v>27</v>
      </c>
      <c r="G10" s="47">
        <v>23</v>
      </c>
      <c r="H10" s="133">
        <f>IF(B$17=0,0,G10/B$17)</f>
        <v>7.9584775086505188E-2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-3.3781250000000025</v>
      </c>
      <c r="P10" s="118">
        <v>32</v>
      </c>
      <c r="Q10" s="106">
        <v>-108.10000000000008</v>
      </c>
    </row>
    <row r="11" spans="1:17" x14ac:dyDescent="0.4">
      <c r="A11" s="56" t="s">
        <v>140</v>
      </c>
      <c r="B11" s="48">
        <v>10</v>
      </c>
      <c r="C11" s="40">
        <f>IF(B$2=0,0,B11/B$2)</f>
        <v>9.8039215686274508E-2</v>
      </c>
      <c r="E11" s="63" t="s">
        <v>90</v>
      </c>
      <c r="F11" s="60" t="s">
        <v>45</v>
      </c>
      <c r="G11" s="47">
        <v>23</v>
      </c>
      <c r="H11" s="133">
        <f>IF(B$17=0,0,G11/B$17)</f>
        <v>7.9584775086505188E-2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2.2866666666666666</v>
      </c>
      <c r="P11" s="119">
        <v>30</v>
      </c>
      <c r="Q11" s="107">
        <v>68.599999999999994</v>
      </c>
    </row>
    <row r="12" spans="1:17" x14ac:dyDescent="0.4">
      <c r="A12" s="57" t="s">
        <v>160</v>
      </c>
      <c r="B12" s="49">
        <v>8</v>
      </c>
      <c r="C12" s="42">
        <f>IF(B$2=0,0,B12/B$2)</f>
        <v>7.8431372549019607E-2</v>
      </c>
      <c r="E12" s="63" t="s">
        <v>71</v>
      </c>
      <c r="F12" s="60" t="s">
        <v>26</v>
      </c>
      <c r="G12" s="47">
        <v>21</v>
      </c>
      <c r="H12" s="133">
        <f>IF(B$17=0,0,G12/B$17)</f>
        <v>7.2664359861591699E-2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182</v>
      </c>
      <c r="C13" s="44">
        <f>IF(B$3=0,0,B13/B$3)</f>
        <v>0.21212121212121213</v>
      </c>
      <c r="E13" s="63" t="s">
        <v>84</v>
      </c>
      <c r="F13" s="60" t="s">
        <v>39</v>
      </c>
      <c r="G13" s="47">
        <v>21</v>
      </c>
      <c r="H13" s="133">
        <f>IF(B$17=0,0,G13/B$17)</f>
        <v>7.2664359861591699E-2</v>
      </c>
      <c r="I13" s="94">
        <v>2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248</v>
      </c>
      <c r="C14" s="39">
        <f>IF(B$3=0,0,B14/B$3)</f>
        <v>0.28904428904428903</v>
      </c>
      <c r="E14" s="63" t="s">
        <v>87</v>
      </c>
      <c r="F14" s="60" t="s">
        <v>42</v>
      </c>
      <c r="G14" s="47">
        <v>12</v>
      </c>
      <c r="H14" s="133">
        <f>IF(B$17=0,0,G14/B$17)</f>
        <v>4.1522491349480967E-2</v>
      </c>
      <c r="I14" s="94">
        <v>11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101</v>
      </c>
      <c r="C15" s="37">
        <f>IF(B$13=0,0,B15/B$13)</f>
        <v>0.55494505494505497</v>
      </c>
      <c r="E15" s="63" t="s">
        <v>82</v>
      </c>
      <c r="F15" s="60" t="s">
        <v>37</v>
      </c>
      <c r="G15" s="47">
        <v>9</v>
      </c>
      <c r="H15" s="133">
        <f>IF(B$17=0,0,G15/B$17)</f>
        <v>3.1141868512110725E-2</v>
      </c>
      <c r="I15" s="94">
        <v>4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105</v>
      </c>
      <c r="C16" s="37">
        <f>IF(B$14=0,0,B16/B$14)</f>
        <v>0.42338709677419356</v>
      </c>
      <c r="E16" s="63" t="s">
        <v>79</v>
      </c>
      <c r="F16" s="60" t="s">
        <v>34</v>
      </c>
      <c r="G16" s="47">
        <v>4</v>
      </c>
      <c r="H16" s="133">
        <f>IF(B$17=0,0,G16/B$17)</f>
        <v>1.384083044982699E-2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>IF(P16=0,0,Q16/P16)</f>
        <v>20.858333333333324</v>
      </c>
      <c r="P16" s="119">
        <v>36</v>
      </c>
      <c r="Q16" s="107">
        <v>750.89999999999964</v>
      </c>
    </row>
    <row r="17" spans="1:17" x14ac:dyDescent="0.4">
      <c r="A17" s="54" t="s">
        <v>10</v>
      </c>
      <c r="B17" s="46">
        <f>B19+B18</f>
        <v>289</v>
      </c>
      <c r="C17" s="37">
        <f>IF(B$3=0,0,B17/B$3)</f>
        <v>0.3368298368298368</v>
      </c>
      <c r="E17" s="63" t="s">
        <v>92</v>
      </c>
      <c r="F17" s="60" t="s">
        <v>47</v>
      </c>
      <c r="G17" s="47">
        <v>4</v>
      </c>
      <c r="H17" s="133">
        <f>IF(B$17=0,0,G17/B$17)</f>
        <v>1.384083044982699E-2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>IF(P17=0,0,Q17/P17)</f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115</v>
      </c>
      <c r="C18" s="39">
        <f>IF(B$17=0,0,B18/B$17)</f>
        <v>0.39792387543252594</v>
      </c>
      <c r="E18" s="63" t="s">
        <v>80</v>
      </c>
      <c r="F18" s="60" t="s">
        <v>35</v>
      </c>
      <c r="G18" s="47">
        <v>3</v>
      </c>
      <c r="H18" s="133">
        <f>IF(B$17=0,0,G18/B$17)</f>
        <v>1.0380622837370242E-2</v>
      </c>
      <c r="I18" s="94">
        <v>11</v>
      </c>
      <c r="K18" s="38">
        <v>16</v>
      </c>
      <c r="L18" s="99">
        <v>-87.6</v>
      </c>
      <c r="N18" s="115" t="s">
        <v>177</v>
      </c>
      <c r="O18" s="125">
        <f>IF(P18=0,0,Q18/P18)</f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174</v>
      </c>
      <c r="C19" s="39">
        <f>IF(B$17=0,0,B19/B$17)</f>
        <v>0.60207612456747406</v>
      </c>
      <c r="E19" s="63" t="s">
        <v>75</v>
      </c>
      <c r="F19" s="60" t="s">
        <v>30</v>
      </c>
      <c r="G19" s="47">
        <v>2</v>
      </c>
      <c r="H19" s="133">
        <f>IF(B$17=0,0,G19/B$17)</f>
        <v>6.920415224913495E-3</v>
      </c>
      <c r="I19" s="94">
        <v>3</v>
      </c>
      <c r="K19" s="38">
        <v>17</v>
      </c>
      <c r="L19" s="99">
        <v>-55.099999999999994</v>
      </c>
      <c r="N19" s="115" t="s">
        <v>128</v>
      </c>
      <c r="O19" s="125">
        <f>IF(P19=0,0,Q19/P19)</f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121</v>
      </c>
      <c r="C20" s="39">
        <f>IF(B$3=0,0,B20/B$3)</f>
        <v>0.14102564102564102</v>
      </c>
      <c r="E20" s="63" t="s">
        <v>74</v>
      </c>
      <c r="F20" s="60" t="s">
        <v>29</v>
      </c>
      <c r="G20" s="47">
        <v>1</v>
      </c>
      <c r="H20" s="133">
        <f>IF(B$17=0,0,G20/B$17)</f>
        <v>3.4602076124567475E-3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>IF(P20=0,0,Q20/P20)</f>
        <v>-0.9761904761904765</v>
      </c>
      <c r="P20" s="119">
        <v>21</v>
      </c>
      <c r="Q20" s="107">
        <v>-20.500000000000007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3.4602076124567475E-3</v>
      </c>
      <c r="I21" s="94">
        <v>6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78</v>
      </c>
      <c r="F22" s="60" t="s">
        <v>33</v>
      </c>
      <c r="G22" s="47">
        <v>1</v>
      </c>
      <c r="H22" s="133">
        <f>IF(B$17=0,0,G22/B$17)</f>
        <v>3.4602076124567475E-3</v>
      </c>
      <c r="I22" s="94">
        <v>7</v>
      </c>
      <c r="K22" s="38">
        <v>20</v>
      </c>
      <c r="L22" s="99">
        <v>43</v>
      </c>
      <c r="N22" s="115" t="s">
        <v>127</v>
      </c>
      <c r="O22" s="125">
        <f>IF(P22=0,0,Q22/P22)</f>
        <v>-27.457692307692302</v>
      </c>
      <c r="P22" s="119">
        <v>52</v>
      </c>
      <c r="Q22" s="107">
        <v>-1427.7999999999997</v>
      </c>
    </row>
    <row r="23" spans="1:17" x14ac:dyDescent="0.4">
      <c r="A23" s="55" t="s">
        <v>5</v>
      </c>
      <c r="B23" s="51">
        <f>IF(B$17=0,0,C23/B$17)</f>
        <v>6779.2387543252598</v>
      </c>
      <c r="C23" s="41">
        <v>1959200</v>
      </c>
      <c r="E23" s="63" t="s">
        <v>88</v>
      </c>
      <c r="F23" s="60" t="s">
        <v>43</v>
      </c>
      <c r="G23" s="47">
        <v>1</v>
      </c>
      <c r="H23" s="133">
        <f>IF(B$17=0,0,G23/B$17)</f>
        <v>3.4602076124567475E-3</v>
      </c>
      <c r="I23" s="94">
        <v>4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-8226.446280991735</v>
      </c>
      <c r="C24" s="45">
        <v>-995400</v>
      </c>
      <c r="E24" s="63" t="s">
        <v>91</v>
      </c>
      <c r="F24" s="60" t="s">
        <v>46</v>
      </c>
      <c r="G24" s="47">
        <v>1</v>
      </c>
      <c r="H24" s="133">
        <f>IF(B$17=0,0,G24/B$17)</f>
        <v>3.4602076124567475E-3</v>
      </c>
      <c r="I24" s="94">
        <v>3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1.1655011655011655E-3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4EFD6-7A02-4DF5-9CF7-2727707B2927}">
  <sheetPr codeName="Sheet17"/>
  <dimension ref="A1:Q5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54</v>
      </c>
      <c r="C2" s="151"/>
      <c r="E2" s="62" t="s">
        <v>67</v>
      </c>
      <c r="F2" s="59" t="s">
        <v>23</v>
      </c>
      <c r="G2" s="46">
        <v>87</v>
      </c>
      <c r="H2" s="132">
        <f>IF(B$17=0,0,G2/B$17)</f>
        <v>0.65413533834586468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-2637.037037037037</v>
      </c>
      <c r="P2" s="118">
        <v>54</v>
      </c>
      <c r="Q2" s="102">
        <v>-142400</v>
      </c>
    </row>
    <row r="3" spans="1:17" x14ac:dyDescent="0.4">
      <c r="A3" s="55" t="s">
        <v>8</v>
      </c>
      <c r="B3" s="152">
        <v>469</v>
      </c>
      <c r="C3" s="153"/>
      <c r="E3" s="63" t="s">
        <v>73</v>
      </c>
      <c r="F3" s="60" t="s">
        <v>28</v>
      </c>
      <c r="G3" s="47">
        <v>68</v>
      </c>
      <c r="H3" s="133">
        <f>IF(B$17=0,0,G3/B$17)</f>
        <v>0.51127819548872178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0"/>
        <v>1696.2962962962963</v>
      </c>
      <c r="P3" s="119">
        <v>54</v>
      </c>
      <c r="Q3" s="103">
        <v>91600</v>
      </c>
    </row>
    <row r="4" spans="1:17" x14ac:dyDescent="0.4">
      <c r="A4" s="55" t="s">
        <v>6</v>
      </c>
      <c r="B4" s="154">
        <v>-404.6</v>
      </c>
      <c r="C4" s="155"/>
      <c r="E4" s="63" t="s">
        <v>65</v>
      </c>
      <c r="F4" s="60" t="s">
        <v>21</v>
      </c>
      <c r="G4" s="47">
        <v>55</v>
      </c>
      <c r="H4" s="133">
        <f>IF(B$17=0,0,G4/B$17)</f>
        <v>0.41353383458646614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-1284.313725490196</v>
      </c>
      <c r="P4" s="119">
        <v>51</v>
      </c>
      <c r="Q4" s="103">
        <v>-65500</v>
      </c>
    </row>
    <row r="5" spans="1:17" x14ac:dyDescent="0.4">
      <c r="A5" s="55" t="s">
        <v>7</v>
      </c>
      <c r="B5" s="156">
        <f>IF(B$2=0,0,B$4/B$2)</f>
        <v>-7.4925925925925929</v>
      </c>
      <c r="C5" s="157"/>
      <c r="E5" s="63" t="s">
        <v>69</v>
      </c>
      <c r="F5" s="60" t="s">
        <v>12</v>
      </c>
      <c r="G5" s="47">
        <v>51</v>
      </c>
      <c r="H5" s="133">
        <f>IF(B$17=0,0,G5/B$17)</f>
        <v>0.38345864661654133</v>
      </c>
      <c r="I5" s="94">
        <v>2</v>
      </c>
      <c r="K5" s="38">
        <v>3</v>
      </c>
      <c r="L5" s="99">
        <v>-149</v>
      </c>
      <c r="N5" s="115" t="s">
        <v>135</v>
      </c>
      <c r="O5" s="122">
        <f t="shared" si="0"/>
        <v>-4006.3829787234044</v>
      </c>
      <c r="P5" s="119">
        <v>47</v>
      </c>
      <c r="Q5" s="103">
        <v>-188300</v>
      </c>
    </row>
    <row r="6" spans="1:17" x14ac:dyDescent="0.4">
      <c r="A6" s="55" t="s">
        <v>1</v>
      </c>
      <c r="B6" s="146">
        <f>IF(B$2=0,0,(B$7*1+B$8*2+B$9*3)/B$2)</f>
        <v>2.1111111111111112</v>
      </c>
      <c r="C6" s="147"/>
      <c r="E6" s="63" t="s">
        <v>245</v>
      </c>
      <c r="F6" s="60" t="s">
        <v>246</v>
      </c>
      <c r="G6" s="47">
        <v>50</v>
      </c>
      <c r="H6" s="133">
        <f>IF(B$17=0,0,G6/B$17)</f>
        <v>0.37593984962406013</v>
      </c>
      <c r="I6" s="94">
        <v>11</v>
      </c>
      <c r="K6" s="38">
        <v>4</v>
      </c>
      <c r="L6" s="99">
        <v>-150.6</v>
      </c>
      <c r="N6" s="115" t="s">
        <v>136</v>
      </c>
      <c r="O6" s="122">
        <f t="shared" si="0"/>
        <v>-295.23809523809524</v>
      </c>
      <c r="P6" s="119">
        <v>42</v>
      </c>
      <c r="Q6" s="103">
        <v>-12400</v>
      </c>
    </row>
    <row r="7" spans="1:17" x14ac:dyDescent="0.4">
      <c r="A7" s="55" t="s">
        <v>2</v>
      </c>
      <c r="B7" s="47">
        <v>15</v>
      </c>
      <c r="C7" s="39">
        <f>IF(B$2=0,0,B7/B$2)</f>
        <v>0.27777777777777779</v>
      </c>
      <c r="E7" s="63" t="s">
        <v>68</v>
      </c>
      <c r="F7" s="60" t="s">
        <v>24</v>
      </c>
      <c r="G7" s="47">
        <v>29</v>
      </c>
      <c r="H7" s="133">
        <f>IF(B$17=0,0,G7/B$17)</f>
        <v>0.21804511278195488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-52.5</v>
      </c>
      <c r="P7" s="120">
        <v>40</v>
      </c>
      <c r="Q7" s="104">
        <v>-2100</v>
      </c>
    </row>
    <row r="8" spans="1:17" x14ac:dyDescent="0.4">
      <c r="A8" s="55" t="s">
        <v>3</v>
      </c>
      <c r="B8" s="47">
        <v>18</v>
      </c>
      <c r="C8" s="39">
        <f>IF(B$2=0,0,B8/B$2)</f>
        <v>0.33333333333333331</v>
      </c>
      <c r="E8" s="63" t="s">
        <v>90</v>
      </c>
      <c r="F8" s="60" t="s">
        <v>45</v>
      </c>
      <c r="G8" s="47">
        <v>18</v>
      </c>
      <c r="H8" s="133">
        <f>IF(B$17=0,0,G8/B$17)</f>
        <v>0.13533834586466165</v>
      </c>
      <c r="I8" s="94">
        <v>6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0.3888888888888889</v>
      </c>
      <c r="E9" s="63" t="s">
        <v>70</v>
      </c>
      <c r="F9" s="60" t="s">
        <v>25</v>
      </c>
      <c r="G9" s="47">
        <v>17</v>
      </c>
      <c r="H9" s="133">
        <f>IF(B$17=0,0,G9/B$17)</f>
        <v>0.12781954887218044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0.14814814814814814</v>
      </c>
      <c r="E10" s="63" t="s">
        <v>71</v>
      </c>
      <c r="F10" s="60" t="s">
        <v>26</v>
      </c>
      <c r="G10" s="47">
        <v>16</v>
      </c>
      <c r="H10" s="133">
        <f>IF(B$17=0,0,G10/B$17)</f>
        <v>0.12030075187969924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7.407407407407407E-2</v>
      </c>
      <c r="E11" s="63" t="s">
        <v>66</v>
      </c>
      <c r="F11" s="60" t="s">
        <v>22</v>
      </c>
      <c r="G11" s="47">
        <v>10</v>
      </c>
      <c r="H11" s="133">
        <f>IF(B$17=0,0,G11/B$17)</f>
        <v>7.5187969924812026E-2</v>
      </c>
      <c r="I11" s="94">
        <v>10</v>
      </c>
      <c r="K11" s="38">
        <v>9</v>
      </c>
      <c r="L11" s="99">
        <v>-260.59999999999997</v>
      </c>
      <c r="N11" s="115" t="s">
        <v>165</v>
      </c>
      <c r="O11" s="125">
        <f>IF(P11=0,0,Q11/P11)</f>
        <v>-4.4692307692307685</v>
      </c>
      <c r="P11" s="119">
        <v>26</v>
      </c>
      <c r="Q11" s="107">
        <v>-116.19999999999997</v>
      </c>
    </row>
    <row r="12" spans="1:17" x14ac:dyDescent="0.4">
      <c r="A12" s="57" t="s">
        <v>160</v>
      </c>
      <c r="B12" s="49">
        <v>3</v>
      </c>
      <c r="C12" s="42">
        <f>IF(B$2=0,0,B12/B$2)</f>
        <v>5.5555555555555552E-2</v>
      </c>
      <c r="E12" s="63" t="s">
        <v>72</v>
      </c>
      <c r="F12" s="60" t="s">
        <v>27</v>
      </c>
      <c r="G12" s="47">
        <v>6</v>
      </c>
      <c r="H12" s="133">
        <f>IF(B$17=0,0,G12/B$17)</f>
        <v>4.5112781954887216E-2</v>
      </c>
      <c r="I12" s="94">
        <v>11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103</v>
      </c>
      <c r="C13" s="44">
        <f>IF(B$3=0,0,B13/B$3)</f>
        <v>0.21961620469083157</v>
      </c>
      <c r="E13" s="63" t="s">
        <v>87</v>
      </c>
      <c r="F13" s="60" t="s">
        <v>42</v>
      </c>
      <c r="G13" s="47">
        <v>6</v>
      </c>
      <c r="H13" s="133">
        <f>IF(B$17=0,0,G13/B$17)</f>
        <v>4.5112781954887216E-2</v>
      </c>
      <c r="I13" s="94">
        <v>10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110</v>
      </c>
      <c r="C14" s="39">
        <f>IF(B$3=0,0,B14/B$3)</f>
        <v>0.23454157782515991</v>
      </c>
      <c r="E14" s="63" t="s">
        <v>74</v>
      </c>
      <c r="F14" s="60" t="s">
        <v>29</v>
      </c>
      <c r="G14" s="47">
        <v>3</v>
      </c>
      <c r="H14" s="133">
        <f>IF(B$17=0,0,G14/B$17)</f>
        <v>2.2556390977443608E-2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0.55339805825242716</v>
      </c>
      <c r="E15" s="63" t="s">
        <v>79</v>
      </c>
      <c r="F15" s="60" t="s">
        <v>34</v>
      </c>
      <c r="G15" s="47">
        <v>3</v>
      </c>
      <c r="H15" s="133">
        <f>IF(B$17=0,0,G15/B$17)</f>
        <v>2.2556390977443608E-2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0.34545454545454546</v>
      </c>
      <c r="E16" s="63" t="s">
        <v>80</v>
      </c>
      <c r="F16" s="60" t="s">
        <v>35</v>
      </c>
      <c r="G16" s="47">
        <v>3</v>
      </c>
      <c r="H16" s="133">
        <f>IF(B$17=0,0,G16/B$17)</f>
        <v>2.2556390977443608E-2</v>
      </c>
      <c r="I16" s="94">
        <v>3</v>
      </c>
      <c r="K16" s="38">
        <v>14</v>
      </c>
      <c r="L16" s="99">
        <v>-269.99999999999994</v>
      </c>
      <c r="N16" s="115" t="s">
        <v>129</v>
      </c>
      <c r="O16" s="125">
        <f>IF(P16=0,0,Q16/P16)</f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133</v>
      </c>
      <c r="C17" s="37">
        <f>IF(B$3=0,0,B17/B$3)</f>
        <v>0.28358208955223879</v>
      </c>
      <c r="E17" s="63" t="s">
        <v>84</v>
      </c>
      <c r="F17" s="60" t="s">
        <v>39</v>
      </c>
      <c r="G17" s="47">
        <v>2</v>
      </c>
      <c r="H17" s="133">
        <f>IF(B$17=0,0,G17/B$17)</f>
        <v>1.5037593984962405E-2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67</v>
      </c>
      <c r="C18" s="39">
        <f>IF(B$17=0,0,B18/B$17)</f>
        <v>0.50375939849624063</v>
      </c>
      <c r="E18" s="63" t="s">
        <v>92</v>
      </c>
      <c r="F18" s="60" t="s">
        <v>47</v>
      </c>
      <c r="G18" s="47">
        <v>2</v>
      </c>
      <c r="H18" s="133">
        <f>IF(B$17=0,0,G18/B$17)</f>
        <v>1.5037593984962405E-2</v>
      </c>
      <c r="I18" s="94">
        <v>7</v>
      </c>
      <c r="K18" s="38">
        <v>16</v>
      </c>
      <c r="L18" s="99">
        <v>-292.79999999999995</v>
      </c>
      <c r="N18" s="115" t="s">
        <v>128</v>
      </c>
      <c r="O18" s="125">
        <f>IF(P18=0,0,Q18/P18)</f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66</v>
      </c>
      <c r="C19" s="39">
        <f>IF(B$17=0,0,B19/B$17)</f>
        <v>0.49624060150375937</v>
      </c>
      <c r="E19" s="63" t="s">
        <v>180</v>
      </c>
      <c r="F19" s="60" t="s">
        <v>181</v>
      </c>
      <c r="G19" s="47">
        <v>2</v>
      </c>
      <c r="H19" s="133">
        <f>IF(B$17=0,0,G19/B$17)</f>
        <v>1.5037593984962405E-2</v>
      </c>
      <c r="I19" s="94">
        <v>6</v>
      </c>
      <c r="K19" s="38">
        <v>17</v>
      </c>
      <c r="L19" s="99">
        <v>-248.89999999999995</v>
      </c>
      <c r="N19" s="115" t="s">
        <v>171</v>
      </c>
      <c r="O19" s="125">
        <f>IF(P19=0,0,Q19/P19)</f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86</v>
      </c>
      <c r="C20" s="39">
        <f>IF(B$3=0,0,B20/B$3)</f>
        <v>0.18336886993603413</v>
      </c>
      <c r="E20" s="63" t="s">
        <v>88</v>
      </c>
      <c r="F20" s="60" t="s">
        <v>43</v>
      </c>
      <c r="G20" s="47">
        <v>1</v>
      </c>
      <c r="H20" s="133">
        <f>IF(B$17=0,0,G20/B$17)</f>
        <v>7.5187969924812026E-3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>IF(P20=0,0,Q20/P20)</f>
        <v>-18.170833333333331</v>
      </c>
      <c r="P20" s="119">
        <v>24</v>
      </c>
      <c r="Q20" s="107">
        <v>-436.09999999999997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107</v>
      </c>
      <c r="F21" s="60" t="s">
        <v>114</v>
      </c>
      <c r="G21" s="47">
        <v>1</v>
      </c>
      <c r="H21" s="133">
        <f>IF(B$17=0,0,G21/B$17)</f>
        <v>7.5187969924812026E-3</v>
      </c>
      <c r="I21" s="94">
        <v>1</v>
      </c>
      <c r="K21" s="38">
        <v>19</v>
      </c>
      <c r="L21" s="99">
        <v>-188.59999999999994</v>
      </c>
      <c r="N21" s="115" t="s">
        <v>177</v>
      </c>
      <c r="O21" s="125">
        <f>IF(P21=0,0,Q21/P21)</f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1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-182.79999999999993</v>
      </c>
      <c r="N22" s="115" t="s">
        <v>183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7569.1729323308273</v>
      </c>
      <c r="C23" s="41">
        <v>1006700</v>
      </c>
      <c r="E23" s="63" t="s">
        <v>76</v>
      </c>
      <c r="F23" s="60" t="s">
        <v>31</v>
      </c>
      <c r="G23" s="47">
        <v>0</v>
      </c>
      <c r="H23" s="133">
        <f>IF(B$17=0,0,G23/B$17)</f>
        <v>0</v>
      </c>
      <c r="I23" s="94">
        <v>9</v>
      </c>
      <c r="K23" s="38">
        <v>21</v>
      </c>
      <c r="L23" s="99">
        <v>-203.79999999999993</v>
      </c>
      <c r="N23" s="115" t="s">
        <v>200</v>
      </c>
      <c r="O23" s="125">
        <f>IF(P23=0,0,Q23/P23)</f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-8275.5813953488378</v>
      </c>
      <c r="C24" s="45">
        <v>-711700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  <c r="N24" s="115" t="s">
        <v>184</v>
      </c>
      <c r="O24" s="125">
        <f>IF(P24=0,0,Q24/P24)</f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4.2643923240938165E-3</v>
      </c>
      <c r="E27" s="63" t="s">
        <v>82</v>
      </c>
      <c r="F27" s="60" t="s">
        <v>37</v>
      </c>
      <c r="G27" s="47">
        <v>0</v>
      </c>
      <c r="H27" s="133">
        <f>IF(B$17=0,0,G27/B$17)</f>
        <v>0</v>
      </c>
      <c r="I27" s="94">
        <v>11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>IF(B$17=0,0,G36/B$17)</f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>IF(B$17=0,0,G42/B$17)</f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256F6-5061-448B-8B1C-543DD81A1EE8}">
  <sheetPr codeName="Sheet19"/>
  <dimension ref="A1:Q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97</v>
      </c>
      <c r="C2" s="151"/>
      <c r="E2" s="62" t="s">
        <v>65</v>
      </c>
      <c r="F2" s="59" t="s">
        <v>21</v>
      </c>
      <c r="G2" s="46">
        <v>134</v>
      </c>
      <c r="H2" s="132">
        <f>IF(B$17=0,0,G2/B$17)</f>
        <v>0.61467889908256879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927.8350515463917</v>
      </c>
      <c r="P2" s="118">
        <v>97</v>
      </c>
      <c r="Q2" s="102">
        <v>90000</v>
      </c>
    </row>
    <row r="3" spans="1:17" x14ac:dyDescent="0.4">
      <c r="A3" s="55" t="s">
        <v>8</v>
      </c>
      <c r="B3" s="152">
        <v>793</v>
      </c>
      <c r="C3" s="153"/>
      <c r="E3" s="63" t="s">
        <v>66</v>
      </c>
      <c r="F3" s="60" t="s">
        <v>22</v>
      </c>
      <c r="G3" s="47">
        <v>25</v>
      </c>
      <c r="H3" s="133">
        <f>IF(B$17=0,0,G3/B$17)</f>
        <v>0.11467889908256881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237.63440860215053</v>
      </c>
      <c r="P3" s="119">
        <v>93</v>
      </c>
      <c r="Q3" s="103">
        <v>22100</v>
      </c>
    </row>
    <row r="4" spans="1:17" x14ac:dyDescent="0.4">
      <c r="A4" s="55" t="s">
        <v>6</v>
      </c>
      <c r="B4" s="154">
        <v>19.799999999999926</v>
      </c>
      <c r="C4" s="155"/>
      <c r="E4" s="63" t="s">
        <v>67</v>
      </c>
      <c r="F4" s="60" t="s">
        <v>23</v>
      </c>
      <c r="G4" s="47">
        <v>120</v>
      </c>
      <c r="H4" s="133">
        <f>IF(B$17=0,0,G4/B$17)</f>
        <v>0.55045871559633031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-776.74418604651157</v>
      </c>
      <c r="P4" s="119">
        <v>86</v>
      </c>
      <c r="Q4" s="103">
        <v>-66800</v>
      </c>
    </row>
    <row r="5" spans="1:17" x14ac:dyDescent="0.4">
      <c r="A5" s="55" t="s">
        <v>7</v>
      </c>
      <c r="B5" s="156">
        <f>IF(B$2=0,0,B$4/B$2)</f>
        <v>0.20412371134020543</v>
      </c>
      <c r="C5" s="157"/>
      <c r="E5" s="63" t="s">
        <v>68</v>
      </c>
      <c r="F5" s="60" t="s">
        <v>24</v>
      </c>
      <c r="G5" s="47">
        <v>91</v>
      </c>
      <c r="H5" s="133">
        <f>IF(B$17=0,0,G5/B$17)</f>
        <v>0.41743119266055045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1296.2962962962963</v>
      </c>
      <c r="P5" s="119">
        <v>81</v>
      </c>
      <c r="Q5" s="103">
        <v>105000</v>
      </c>
    </row>
    <row r="6" spans="1:17" x14ac:dyDescent="0.4">
      <c r="A6" s="55" t="s">
        <v>1</v>
      </c>
      <c r="B6" s="146">
        <f>IF(B$2=0,0,(B$7*1+B$8*2+B$9*3)/B$2)</f>
        <v>1.9896907216494846</v>
      </c>
      <c r="C6" s="147"/>
      <c r="E6" s="63" t="s">
        <v>69</v>
      </c>
      <c r="F6" s="60" t="s">
        <v>12</v>
      </c>
      <c r="G6" s="47">
        <v>73</v>
      </c>
      <c r="H6" s="133">
        <f>IF(B$17=0,0,G6/B$17)</f>
        <v>0.33486238532110091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-1895.9459459459461</v>
      </c>
      <c r="P6" s="119">
        <v>74</v>
      </c>
      <c r="Q6" s="103">
        <v>-140300</v>
      </c>
    </row>
    <row r="7" spans="1:17" x14ac:dyDescent="0.4">
      <c r="A7" s="55" t="s">
        <v>2</v>
      </c>
      <c r="B7" s="47">
        <v>33</v>
      </c>
      <c r="C7" s="39">
        <f>IF(B$2=0,0,B7/B$2)</f>
        <v>0.34020618556701032</v>
      </c>
      <c r="E7" s="63" t="s">
        <v>70</v>
      </c>
      <c r="F7" s="60" t="s">
        <v>25</v>
      </c>
      <c r="G7" s="47">
        <v>35</v>
      </c>
      <c r="H7" s="133">
        <f>IF(B$17=0,0,G7/B$17)</f>
        <v>0.16055045871559634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793.44262295081967</v>
      </c>
      <c r="P7" s="120">
        <v>61</v>
      </c>
      <c r="Q7" s="104">
        <v>48400</v>
      </c>
    </row>
    <row r="8" spans="1:17" x14ac:dyDescent="0.4">
      <c r="A8" s="55" t="s">
        <v>3</v>
      </c>
      <c r="B8" s="47">
        <v>32</v>
      </c>
      <c r="C8" s="39">
        <f>IF(B$2=0,0,B8/B$2)</f>
        <v>0.32989690721649484</v>
      </c>
      <c r="E8" s="63" t="s">
        <v>71</v>
      </c>
      <c r="F8" s="60" t="s">
        <v>26</v>
      </c>
      <c r="G8" s="47">
        <v>16</v>
      </c>
      <c r="H8" s="133">
        <f>IF(B$17=0,0,G8/B$17)</f>
        <v>7.3394495412844041E-2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ref="C9" si="1">IF(B$2=0,0,B9/B$2)</f>
        <v>0.32989690721649484</v>
      </c>
      <c r="E9" s="63" t="s">
        <v>72</v>
      </c>
      <c r="F9" s="60" t="s">
        <v>27</v>
      </c>
      <c r="G9" s="47">
        <v>16</v>
      </c>
      <c r="H9" s="133">
        <f>IF(B$17=0,0,G9/B$17)</f>
        <v>7.3394495412844041E-2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0.13402061855670103</v>
      </c>
      <c r="E10" s="63" t="s">
        <v>73</v>
      </c>
      <c r="F10" s="60" t="s">
        <v>28</v>
      </c>
      <c r="G10" s="47">
        <v>96</v>
      </c>
      <c r="H10" s="133">
        <f>IF(B$17=0,0,G10/B$17)</f>
        <v>0.44036697247706424</v>
      </c>
      <c r="I10" s="94">
        <v>13</v>
      </c>
      <c r="K10" s="38">
        <v>8</v>
      </c>
      <c r="L10" s="99">
        <v>-87.1</v>
      </c>
      <c r="N10" s="114" t="s">
        <v>164</v>
      </c>
      <c r="O10" s="124">
        <f>IF(P10=0,0,Q10/P10)</f>
        <v>-8.6303030303030308</v>
      </c>
      <c r="P10" s="118">
        <v>33</v>
      </c>
      <c r="Q10" s="106">
        <v>-284.8</v>
      </c>
    </row>
    <row r="11" spans="1:17" x14ac:dyDescent="0.4">
      <c r="A11" s="56" t="s">
        <v>140</v>
      </c>
      <c r="B11" s="48">
        <v>11</v>
      </c>
      <c r="C11" s="40">
        <f>IF(B$2=0,0,B11/B$2)</f>
        <v>0.1134020618556701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6.8944444444444439</v>
      </c>
      <c r="P11" s="119">
        <v>36</v>
      </c>
      <c r="Q11" s="107">
        <v>248.2</v>
      </c>
    </row>
    <row r="12" spans="1:17" x14ac:dyDescent="0.4">
      <c r="A12" s="57" t="s">
        <v>160</v>
      </c>
      <c r="B12" s="49">
        <v>7</v>
      </c>
      <c r="C12" s="42">
        <f>IF(B$2=0,0,B12/B$2)</f>
        <v>7.2164948453608241E-2</v>
      </c>
      <c r="E12" s="63" t="s">
        <v>75</v>
      </c>
      <c r="F12" s="60" t="s">
        <v>30</v>
      </c>
      <c r="G12" s="47">
        <v>1</v>
      </c>
      <c r="H12" s="133">
        <f>IF(B$17=0,0,G12/B$17)</f>
        <v>4.5871559633027525E-3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2.0142857142857138</v>
      </c>
      <c r="P12" s="120">
        <v>28</v>
      </c>
      <c r="Q12" s="108">
        <v>56.399999999999991</v>
      </c>
    </row>
    <row r="13" spans="1:17" x14ac:dyDescent="0.4">
      <c r="A13" s="58" t="s">
        <v>122</v>
      </c>
      <c r="B13" s="50">
        <v>220</v>
      </c>
      <c r="C13" s="44">
        <f>IF(B$3=0,0,B13/B$3)</f>
        <v>0.27742749054224464</v>
      </c>
      <c r="E13" s="63" t="s">
        <v>76</v>
      </c>
      <c r="F13" s="60" t="s">
        <v>31</v>
      </c>
      <c r="G13" s="47">
        <v>2</v>
      </c>
      <c r="H13" s="133">
        <f>IF(B$17=0,0,G13/B$17)</f>
        <v>9.1743119266055051E-3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145</v>
      </c>
      <c r="C14" s="39">
        <f>IF(B$3=0,0,B14/B$3)</f>
        <v>0.1828499369482976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134</v>
      </c>
      <c r="C15" s="37">
        <f>IF(B$13=0,0,B15/B$13)</f>
        <v>0.60909090909090913</v>
      </c>
      <c r="E15" s="63" t="s">
        <v>78</v>
      </c>
      <c r="F15" s="60" t="s">
        <v>33</v>
      </c>
      <c r="G15" s="47">
        <v>2</v>
      </c>
      <c r="H15" s="133">
        <f>IF(B$17=0,0,G15/B$17)</f>
        <v>9.1743119266055051E-3</v>
      </c>
      <c r="I15" s="94">
        <v>4</v>
      </c>
      <c r="K15" s="38">
        <v>13</v>
      </c>
      <c r="L15" s="99">
        <v>-209.59999999999997</v>
      </c>
      <c r="N15" s="114" t="s">
        <v>271</v>
      </c>
      <c r="O15" s="124">
        <f t="shared" ref="O15:O24" si="2"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49</v>
      </c>
      <c r="C16" s="37">
        <f>IF(B$14=0,0,B16/B$14)</f>
        <v>0.33793103448275863</v>
      </c>
      <c r="E16" s="63" t="s">
        <v>79</v>
      </c>
      <c r="F16" s="60" t="s">
        <v>34</v>
      </c>
      <c r="G16" s="47">
        <v>6</v>
      </c>
      <c r="H16" s="133">
        <f>IF(B$17=0,0,G16/B$17)</f>
        <v>2.7522935779816515E-2</v>
      </c>
      <c r="I16" s="94">
        <v>6</v>
      </c>
      <c r="K16" s="38">
        <v>14</v>
      </c>
      <c r="L16" s="99">
        <v>-178.49999999999997</v>
      </c>
      <c r="N16" s="115" t="s">
        <v>171</v>
      </c>
      <c r="O16" s="125">
        <f t="shared" si="2"/>
        <v>37.686363636363645</v>
      </c>
      <c r="P16" s="119">
        <v>22</v>
      </c>
      <c r="Q16" s="107">
        <v>829.10000000000014</v>
      </c>
    </row>
    <row r="17" spans="1:17" x14ac:dyDescent="0.4">
      <c r="A17" s="54" t="s">
        <v>10</v>
      </c>
      <c r="B17" s="46">
        <f>B19+B18</f>
        <v>218</v>
      </c>
      <c r="C17" s="37">
        <f>IF(B$3=0,0,B17/B$3)</f>
        <v>0.27490542244640603</v>
      </c>
      <c r="E17" s="63" t="s">
        <v>80</v>
      </c>
      <c r="F17" s="60" t="s">
        <v>35</v>
      </c>
      <c r="G17" s="47">
        <v>3</v>
      </c>
      <c r="H17" s="133">
        <f>IF(B$17=0,0,G17/B$17)</f>
        <v>1.3761467889908258E-2</v>
      </c>
      <c r="I17" s="94">
        <v>9</v>
      </c>
      <c r="K17" s="38">
        <v>15</v>
      </c>
      <c r="L17" s="99">
        <v>-146.19999999999999</v>
      </c>
      <c r="N17" s="115" t="s">
        <v>173</v>
      </c>
      <c r="O17" s="125">
        <f t="shared" si="2"/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100</v>
      </c>
      <c r="C18" s="39">
        <f>IF(B$17=0,0,B18/B$17)</f>
        <v>0.45871559633027525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184</v>
      </c>
      <c r="O18" s="125">
        <f t="shared" si="2"/>
        <v>4.8666666666666698</v>
      </c>
      <c r="P18" s="119">
        <v>6</v>
      </c>
      <c r="Q18" s="107">
        <v>29.200000000000017</v>
      </c>
    </row>
    <row r="19" spans="1:17" x14ac:dyDescent="0.4">
      <c r="A19" s="55" t="s">
        <v>11</v>
      </c>
      <c r="B19" s="47">
        <v>118</v>
      </c>
      <c r="C19" s="39">
        <f>IF(B$17=0,0,B19/B$17)</f>
        <v>0.54128440366972475</v>
      </c>
      <c r="E19" s="63" t="s">
        <v>82</v>
      </c>
      <c r="F19" s="60" t="s">
        <v>37</v>
      </c>
      <c r="G19" s="47">
        <v>7</v>
      </c>
      <c r="H19" s="133">
        <f>IF(B$17=0,0,G19/B$17)</f>
        <v>3.2110091743119268E-2</v>
      </c>
      <c r="I19" s="94">
        <v>3</v>
      </c>
      <c r="K19" s="38">
        <v>17</v>
      </c>
      <c r="L19" s="99">
        <v>-161.19999999999999</v>
      </c>
      <c r="N19" s="115" t="s">
        <v>128</v>
      </c>
      <c r="O19" s="125">
        <f t="shared" si="2"/>
        <v>1.0906250000000004</v>
      </c>
      <c r="P19" s="119">
        <v>32</v>
      </c>
      <c r="Q19" s="107">
        <v>34.900000000000013</v>
      </c>
    </row>
    <row r="20" spans="1:17" x14ac:dyDescent="0.4">
      <c r="A20" s="55" t="s">
        <v>13</v>
      </c>
      <c r="B20" s="47">
        <v>119</v>
      </c>
      <c r="C20" s="39">
        <f>IF(B$3=0,0,B20/B$3)</f>
        <v>0.15006305170239598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200</v>
      </c>
      <c r="O20" s="125">
        <f t="shared" si="2"/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5.5045871559633031E-2</v>
      </c>
      <c r="I21" s="94">
        <v>4</v>
      </c>
      <c r="K21" s="38">
        <v>19</v>
      </c>
      <c r="L21" s="99">
        <v>-235.6</v>
      </c>
      <c r="N21" s="115" t="s">
        <v>172</v>
      </c>
      <c r="O21" s="125">
        <f t="shared" si="2"/>
        <v>-2.2741935483870979</v>
      </c>
      <c r="P21" s="119">
        <v>31</v>
      </c>
      <c r="Q21" s="107">
        <v>-70.500000000000028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-200.8</v>
      </c>
      <c r="N22" s="115" t="s">
        <v>129</v>
      </c>
      <c r="O22" s="125">
        <f t="shared" si="2"/>
        <v>-3.0875000000000008</v>
      </c>
      <c r="P22" s="119">
        <v>40</v>
      </c>
      <c r="Q22" s="107">
        <v>-123.50000000000003</v>
      </c>
    </row>
    <row r="23" spans="1:17" x14ac:dyDescent="0.4">
      <c r="A23" s="55" t="s">
        <v>5</v>
      </c>
      <c r="B23" s="51">
        <f>IF(B$17=0,0,C23/B$17)</f>
        <v>8802.2935779816507</v>
      </c>
      <c r="C23" s="41">
        <v>1918900</v>
      </c>
      <c r="E23" s="63" t="s">
        <v>86</v>
      </c>
      <c r="F23" s="60" t="s">
        <v>41</v>
      </c>
      <c r="G23" s="47">
        <v>4</v>
      </c>
      <c r="H23" s="133">
        <f>IF(B$17=0,0,G23/B$17)</f>
        <v>1.834862385321101E-2</v>
      </c>
      <c r="I23" s="94">
        <v>1</v>
      </c>
      <c r="K23" s="38">
        <v>21</v>
      </c>
      <c r="L23" s="99">
        <v>-188.60000000000002</v>
      </c>
      <c r="N23" s="115" t="s">
        <v>127</v>
      </c>
      <c r="O23" s="125">
        <f t="shared" si="2"/>
        <v>-20.307500000000008</v>
      </c>
      <c r="P23" s="119">
        <v>40</v>
      </c>
      <c r="Q23" s="107">
        <v>-812.3000000000003</v>
      </c>
    </row>
    <row r="24" spans="1:17" x14ac:dyDescent="0.4">
      <c r="A24" s="57" t="s">
        <v>14</v>
      </c>
      <c r="B24" s="52">
        <f>IF(B$20=0,0,C24/B$20)</f>
        <v>-7187.3949579831933</v>
      </c>
      <c r="C24" s="45">
        <v>-855300</v>
      </c>
      <c r="E24" s="63" t="s">
        <v>87</v>
      </c>
      <c r="F24" s="60" t="s">
        <v>42</v>
      </c>
      <c r="G24" s="47">
        <v>10</v>
      </c>
      <c r="H24" s="133">
        <f>IF(B$17=0,0,G24/B$17)</f>
        <v>4.5871559633027525E-2</v>
      </c>
      <c r="I24" s="94">
        <v>9</v>
      </c>
      <c r="K24" s="38">
        <v>22</v>
      </c>
      <c r="L24" s="99">
        <v>-142.60000000000002</v>
      </c>
      <c r="N24" s="115" t="s">
        <v>183</v>
      </c>
      <c r="O24" s="125">
        <f t="shared" si="2"/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3.7831021437578815E-3</v>
      </c>
      <c r="E27" s="63" t="s">
        <v>90</v>
      </c>
      <c r="F27" s="60" t="s">
        <v>45</v>
      </c>
      <c r="G27" s="47">
        <v>24</v>
      </c>
      <c r="H27" s="133">
        <f>IF(B$17=0,0,G27/B$17)</f>
        <v>0.11009174311926606</v>
      </c>
      <c r="I27" s="94">
        <v>10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9.1743119266055051E-3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8</v>
      </c>
      <c r="H29" s="133">
        <f>IF(B$17=0,0,G29/B$17)</f>
        <v>3.669724770642202E-2</v>
      </c>
      <c r="I29" s="94">
        <v>2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4.5871559633027525E-3</v>
      </c>
      <c r="I30" s="94">
        <v>3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4.5871559633027525E-3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4.5871559633027525E-3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40.899999999999991</v>
      </c>
    </row>
    <row r="51" spans="5:12" x14ac:dyDescent="0.4">
      <c r="E51" s="136" t="s">
        <v>245</v>
      </c>
      <c r="F51" s="137" t="s">
        <v>246</v>
      </c>
      <c r="G51" s="48">
        <v>93</v>
      </c>
      <c r="H51" s="138">
        <f>IF(B$17=0,0,G51/B$17)</f>
        <v>0.42660550458715596</v>
      </c>
      <c r="I51" s="139">
        <v>3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</sheetData>
  <sortState ref="E2:I9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FE0D2-114B-4B59-87BC-2D69547E56B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9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D1226-BDF4-44F2-9F16-2BCA27D3D284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9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9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ACAE-267F-43B3-BCB7-011BCC18A1EE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19</v>
      </c>
      <c r="C2" s="151"/>
      <c r="E2" s="62" t="s">
        <v>65</v>
      </c>
      <c r="F2" s="59" t="s">
        <v>21</v>
      </c>
      <c r="G2" s="46">
        <v>27</v>
      </c>
      <c r="H2" s="132">
        <f>IF(B$17=0,0,G2/B$17)</f>
        <v>0.45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-1789.4736842105262</v>
      </c>
      <c r="P2" s="118">
        <v>19</v>
      </c>
      <c r="Q2" s="102">
        <v>-34000</v>
      </c>
    </row>
    <row r="3" spans="1:17" x14ac:dyDescent="0.4">
      <c r="A3" s="55" t="s">
        <v>8</v>
      </c>
      <c r="B3" s="152">
        <v>175</v>
      </c>
      <c r="C3" s="153"/>
      <c r="E3" s="63" t="s">
        <v>66</v>
      </c>
      <c r="F3" s="60" t="s">
        <v>22</v>
      </c>
      <c r="G3" s="47">
        <v>5</v>
      </c>
      <c r="H3" s="133">
        <f>IF(B$17=0,0,G3/B$17)</f>
        <v>8.3333333333333329E-2</v>
      </c>
      <c r="I3" s="94">
        <v>7</v>
      </c>
      <c r="K3" s="38">
        <v>1</v>
      </c>
      <c r="L3" s="99">
        <v>-12.5</v>
      </c>
      <c r="N3" s="115" t="s">
        <v>133</v>
      </c>
      <c r="O3" s="122">
        <f t="shared" si="0"/>
        <v>2684.2105263157896</v>
      </c>
      <c r="P3" s="119">
        <v>19</v>
      </c>
      <c r="Q3" s="103">
        <v>51000</v>
      </c>
    </row>
    <row r="4" spans="1:17" x14ac:dyDescent="0.4">
      <c r="A4" s="55" t="s">
        <v>6</v>
      </c>
      <c r="B4" s="154">
        <v>94.299999999999983</v>
      </c>
      <c r="C4" s="155"/>
      <c r="E4" s="63" t="s">
        <v>67</v>
      </c>
      <c r="F4" s="60" t="s">
        <v>23</v>
      </c>
      <c r="G4" s="47">
        <v>32</v>
      </c>
      <c r="H4" s="133">
        <f>IF(B$17=0,0,G4/B$17)</f>
        <v>0.53333333333333333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-6316.666666666667</v>
      </c>
      <c r="P4" s="119">
        <v>18</v>
      </c>
      <c r="Q4" s="103">
        <v>-113700</v>
      </c>
    </row>
    <row r="5" spans="1:17" x14ac:dyDescent="0.4">
      <c r="A5" s="55" t="s">
        <v>7</v>
      </c>
      <c r="B5" s="156">
        <f>IF(B$2=0,0,B$4/B$2)</f>
        <v>4.9631578947368409</v>
      </c>
      <c r="C5" s="157"/>
      <c r="E5" s="63" t="s">
        <v>68</v>
      </c>
      <c r="F5" s="60" t="s">
        <v>24</v>
      </c>
      <c r="G5" s="47">
        <v>18</v>
      </c>
      <c r="H5" s="133">
        <f>IF(B$17=0,0,G5/B$17)</f>
        <v>0.3</v>
      </c>
      <c r="I5" s="94">
        <v>7</v>
      </c>
      <c r="K5" s="38">
        <v>3</v>
      </c>
      <c r="L5" s="99">
        <v>-20.400000000000002</v>
      </c>
      <c r="N5" s="115" t="s">
        <v>135</v>
      </c>
      <c r="O5" s="122">
        <f t="shared" si="0"/>
        <v>-950</v>
      </c>
      <c r="P5" s="119">
        <v>18</v>
      </c>
      <c r="Q5" s="103">
        <v>-17100</v>
      </c>
    </row>
    <row r="6" spans="1:17" x14ac:dyDescent="0.4">
      <c r="A6" s="55" t="s">
        <v>1</v>
      </c>
      <c r="B6" s="146">
        <f>IF(B$2=0,0,(B$7*1+B$8*2+B$9*3)/B$2)</f>
        <v>1.8421052631578947</v>
      </c>
      <c r="C6" s="147"/>
      <c r="E6" s="63" t="s">
        <v>69</v>
      </c>
      <c r="F6" s="60" t="s">
        <v>12</v>
      </c>
      <c r="G6" s="47">
        <v>23</v>
      </c>
      <c r="H6" s="133">
        <f>IF(B$17=0,0,G6/B$17)</f>
        <v>0.38333333333333336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9793.3333333333339</v>
      </c>
      <c r="P6" s="119">
        <v>15</v>
      </c>
      <c r="Q6" s="103">
        <v>146900</v>
      </c>
    </row>
    <row r="7" spans="1:17" x14ac:dyDescent="0.4">
      <c r="A7" s="55" t="s">
        <v>2</v>
      </c>
      <c r="B7" s="47">
        <v>7</v>
      </c>
      <c r="C7" s="39">
        <f>IF(B$2=0,0,B7/B$2)</f>
        <v>0.36842105263157893</v>
      </c>
      <c r="E7" s="63" t="s">
        <v>70</v>
      </c>
      <c r="F7" s="60" t="s">
        <v>25</v>
      </c>
      <c r="G7" s="47">
        <v>10</v>
      </c>
      <c r="H7" s="133">
        <f>IF(B$17=0,0,G7/B$17)</f>
        <v>0.16666666666666666</v>
      </c>
      <c r="I7" s="94">
        <v>5</v>
      </c>
      <c r="K7" s="38">
        <v>5</v>
      </c>
      <c r="L7" s="99">
        <v>-16.100000000000005</v>
      </c>
      <c r="N7" s="116" t="s">
        <v>137</v>
      </c>
      <c r="O7" s="123">
        <f t="shared" si="0"/>
        <v>1650</v>
      </c>
      <c r="P7" s="120">
        <v>14</v>
      </c>
      <c r="Q7" s="104">
        <v>23100</v>
      </c>
    </row>
    <row r="8" spans="1:17" x14ac:dyDescent="0.4">
      <c r="A8" s="55" t="s">
        <v>3</v>
      </c>
      <c r="B8" s="47">
        <v>8</v>
      </c>
      <c r="C8" s="39">
        <f>IF(B$2=0,0,B8/B$2)</f>
        <v>0.42105263157894735</v>
      </c>
      <c r="E8" s="63" t="s">
        <v>71</v>
      </c>
      <c r="F8" s="60" t="s">
        <v>26</v>
      </c>
      <c r="G8" s="47">
        <v>1</v>
      </c>
      <c r="H8" s="133">
        <f>IF(B$17=0,0,G8/B$17)</f>
        <v>1.6666666666666666E-2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0.21052631578947367</v>
      </c>
      <c r="E9" s="63" t="s">
        <v>72</v>
      </c>
      <c r="F9" s="60" t="s">
        <v>27</v>
      </c>
      <c r="G9" s="47">
        <v>1</v>
      </c>
      <c r="H9" s="133">
        <f>IF(B$17=0,0,G9/B$17)</f>
        <v>1.6666666666666666E-2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0.15789473684210525</v>
      </c>
      <c r="E10" s="63" t="s">
        <v>73</v>
      </c>
      <c r="F10" s="60" t="s">
        <v>28</v>
      </c>
      <c r="G10" s="47">
        <v>43</v>
      </c>
      <c r="H10" s="133">
        <f>IF(B$17=0,0,G10/B$17)</f>
        <v>0.71666666666666667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5.2631578947368418E-2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43</v>
      </c>
      <c r="C13" s="44">
        <f>IF(B$3=0,0,B13/B$3)</f>
        <v>0.24571428571428572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0.31428571428571428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</v>
      </c>
      <c r="C15" s="37">
        <f>IF(B$13=0,0,B15/B$13)</f>
        <v>0.62790697674418605</v>
      </c>
      <c r="E15" s="63" t="s">
        <v>78</v>
      </c>
      <c r="F15" s="60" t="s">
        <v>33</v>
      </c>
      <c r="G15" s="47">
        <v>3</v>
      </c>
      <c r="H15" s="133">
        <f>IF(B$17=0,0,G15/B$17)</f>
        <v>0.05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24</v>
      </c>
      <c r="C16" s="37">
        <f>IF(B$14=0,0,B16/B$14)</f>
        <v>0.43636363636363634</v>
      </c>
      <c r="E16" s="63" t="s">
        <v>79</v>
      </c>
      <c r="F16" s="60" t="s">
        <v>34</v>
      </c>
      <c r="G16" s="47">
        <v>4</v>
      </c>
      <c r="H16" s="133">
        <f>IF(B$17=0,0,G16/B$17)</f>
        <v>6.6666666666666666E-2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2"/>
        <v>27.366666666666664</v>
      </c>
      <c r="P16" s="119">
        <v>3</v>
      </c>
      <c r="Q16" s="107">
        <v>82.1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0.34285714285714286</v>
      </c>
      <c r="E17" s="63" t="s">
        <v>80</v>
      </c>
      <c r="F17" s="60" t="s">
        <v>35</v>
      </c>
      <c r="G17" s="47">
        <v>1</v>
      </c>
      <c r="H17" s="133">
        <f>IF(B$17=0,0,G17/B$17)</f>
        <v>1.6666666666666666E-2</v>
      </c>
      <c r="I17" s="94">
        <v>6</v>
      </c>
      <c r="K17" s="38">
        <v>15</v>
      </c>
      <c r="L17" s="99">
        <v>157.69999999999999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35</v>
      </c>
      <c r="C18" s="39">
        <f>IF(B$17=0,0,B18/B$17)</f>
        <v>0.58333333333333337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25</v>
      </c>
      <c r="C19" s="39">
        <f>IF(B$17=0,0,B19/B$17)</f>
        <v>0.41666666666666669</v>
      </c>
      <c r="E19" s="63" t="s">
        <v>82</v>
      </c>
      <c r="F19" s="60" t="s">
        <v>37</v>
      </c>
      <c r="G19" s="47">
        <v>1</v>
      </c>
      <c r="H19" s="133">
        <f>IF(B$17=0,0,G19/B$17)</f>
        <v>1.6666666666666666E-2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2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28</v>
      </c>
      <c r="C20" s="39">
        <f>IF(B$3=0,0,B20/B$3)</f>
        <v>0.16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2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84</v>
      </c>
      <c r="F21" s="60" t="s">
        <v>39</v>
      </c>
      <c r="G21" s="47">
        <v>3</v>
      </c>
      <c r="H21" s="133">
        <f>IF(B$17=0,0,G21/B$17)</f>
        <v>0.05</v>
      </c>
      <c r="I21" s="94">
        <v>6</v>
      </c>
      <c r="K21" s="38">
        <v>19</v>
      </c>
      <c r="L21" s="99">
        <v>94.299999999999983</v>
      </c>
      <c r="N21" s="115" t="s">
        <v>177</v>
      </c>
      <c r="O21" s="125">
        <f t="shared" si="2"/>
        <v>0.90000000000000258</v>
      </c>
      <c r="P21" s="119">
        <v>9</v>
      </c>
      <c r="Q21" s="107">
        <v>8.1000000000000227</v>
      </c>
    </row>
    <row r="22" spans="1:17" x14ac:dyDescent="0.4">
      <c r="A22" s="55" t="s">
        <v>192</v>
      </c>
      <c r="B22" s="47">
        <v>14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8058.333333333333</v>
      </c>
      <c r="C23" s="41">
        <v>483500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87</v>
      </c>
      <c r="F24" s="60" t="s">
        <v>42</v>
      </c>
      <c r="G24" s="47">
        <v>7</v>
      </c>
      <c r="H24" s="133">
        <f>IF(B$17=0,0,G24/B$17)</f>
        <v>0.11666666666666667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106300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1.1428571428571429E-2</v>
      </c>
      <c r="E27" s="63" t="s">
        <v>90</v>
      </c>
      <c r="F27" s="60" t="s">
        <v>45</v>
      </c>
      <c r="G27" s="47">
        <v>9</v>
      </c>
      <c r="H27" s="133">
        <f>IF(B$17=0,0,G27/B$17)</f>
        <v>0.15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18</v>
      </c>
      <c r="H51" s="138">
        <f>IF(B$17=0,0,G51/B$17)</f>
        <v>0.3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D449E-3599-439E-A753-9209FCC06FB1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8E87-5C66-4819-911F-4476543A35FE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11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462E-AE1C-424B-85CC-510DF4460F11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7</v>
      </c>
      <c r="H2" s="132">
        <f>IF(B$17=0,0,G2/B$17)</f>
        <v>0.5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-5416.666666666667</v>
      </c>
      <c r="P2" s="118">
        <v>6</v>
      </c>
      <c r="Q2" s="102">
        <v>-32500</v>
      </c>
    </row>
    <row r="3" spans="1:17" x14ac:dyDescent="0.4">
      <c r="A3" s="55" t="s">
        <v>8</v>
      </c>
      <c r="B3" s="152">
        <v>56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-3366.6666666666665</v>
      </c>
      <c r="P3" s="119">
        <v>6</v>
      </c>
      <c r="Q3" s="103">
        <v>-20200</v>
      </c>
    </row>
    <row r="4" spans="1:17" x14ac:dyDescent="0.4">
      <c r="A4" s="55" t="s">
        <v>6</v>
      </c>
      <c r="B4" s="154">
        <v>-201.8</v>
      </c>
      <c r="C4" s="155"/>
      <c r="E4" s="63" t="s">
        <v>67</v>
      </c>
      <c r="F4" s="60" t="s">
        <v>23</v>
      </c>
      <c r="G4" s="47">
        <v>6</v>
      </c>
      <c r="H4" s="133">
        <f>IF(B$17=0,0,G4/B$17)</f>
        <v>0.42857142857142855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360</v>
      </c>
      <c r="P4" s="119">
        <v>5</v>
      </c>
      <c r="Q4" s="103">
        <v>1800</v>
      </c>
    </row>
    <row r="5" spans="1:17" x14ac:dyDescent="0.4">
      <c r="A5" s="55" t="s">
        <v>7</v>
      </c>
      <c r="B5" s="156">
        <f>IF(B$2=0,0,B$4/B$2)</f>
        <v>-33.633333333333333</v>
      </c>
      <c r="C5" s="157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5680</v>
      </c>
      <c r="P5" s="119">
        <v>5</v>
      </c>
      <c r="Q5" s="103">
        <v>28400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4</v>
      </c>
      <c r="H6" s="133">
        <f>IF(B$17=0,0,G6/B$17)</f>
        <v>0.2857142857142857</v>
      </c>
      <c r="I6" s="94">
        <v>11</v>
      </c>
      <c r="K6" s="38">
        <v>4</v>
      </c>
      <c r="L6" s="99">
        <v>-134.1</v>
      </c>
      <c r="N6" s="115" t="s">
        <v>136</v>
      </c>
      <c r="O6" s="122">
        <f t="shared" si="0"/>
        <v>-6525</v>
      </c>
      <c r="P6" s="119">
        <v>4</v>
      </c>
      <c r="Q6" s="103">
        <v>-26100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7.1428571428571425E-2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-5675</v>
      </c>
      <c r="P7" s="120">
        <v>4</v>
      </c>
      <c r="Q7" s="104">
        <v>-22700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10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0.66666666666666663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73</v>
      </c>
      <c r="F10" s="60" t="s">
        <v>28</v>
      </c>
      <c r="G10" s="47">
        <v>7</v>
      </c>
      <c r="H10" s="133">
        <f>IF(B$17=0,0,G10/B$17)</f>
        <v>0.5</v>
      </c>
      <c r="I10" s="94">
        <v>10</v>
      </c>
      <c r="N10" s="114" t="s">
        <v>164</v>
      </c>
      <c r="O10" s="124">
        <f>IF(P10=0,0,Q10/P10)</f>
        <v>-23.274999999999999</v>
      </c>
      <c r="P10" s="118">
        <v>4</v>
      </c>
      <c r="Q10" s="106">
        <v>-93.1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10</v>
      </c>
      <c r="C13" s="44">
        <f>IF(B$3=0,0,B13/B$3)</f>
        <v>0.17857142857142858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0.35714285714285715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-27.366666666666664</v>
      </c>
      <c r="P15" s="118">
        <v>3</v>
      </c>
      <c r="Q15" s="106">
        <v>-82.1</v>
      </c>
    </row>
    <row r="16" spans="1:17" x14ac:dyDescent="0.4">
      <c r="A16" s="54" t="s">
        <v>125</v>
      </c>
      <c r="B16" s="46">
        <v>5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6</v>
      </c>
      <c r="C18" s="39">
        <f>IF(B$17=0,0,B18/B$17)</f>
        <v>0.42857142857142855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8</v>
      </c>
      <c r="C19" s="39">
        <f>IF(B$17=0,0,B19/B$17)</f>
        <v>0.5714285714285714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12</v>
      </c>
      <c r="C20" s="39">
        <f>IF(B$3=0,0,B20/B$3)</f>
        <v>0.21428571428571427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6614.2857142857147</v>
      </c>
      <c r="C23" s="41">
        <v>92600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-6825</v>
      </c>
      <c r="C24" s="45">
        <v>-81900</v>
      </c>
      <c r="E24" s="63" t="s">
        <v>87</v>
      </c>
      <c r="F24" s="60" t="s">
        <v>42</v>
      </c>
      <c r="G24" s="47">
        <v>1</v>
      </c>
      <c r="H24" s="133">
        <f>IF(B$17=0,0,G24/B$17)</f>
        <v>7.1428571428571425E-2</v>
      </c>
      <c r="I24" s="94">
        <v>4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52800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1.7857142857142856E-2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7.1428571428571425E-2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0.6428571428571429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E87A8-BE2B-42A3-AF71-AEEE2BD79822}">
  <sheetPr codeName="Sheet33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C37B-C67C-494A-A563-7DF7747F0872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ADF4C-CDCB-453E-BD90-B0185FC642FC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F47A5-4BDB-4AE4-98E3-9E0042B93A70}">
  <sheetPr codeName="Sheet26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8F870-C171-4491-B5D7-DA2630134B4F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901B2-ED97-4D84-A144-DAB8F99F8197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5F17-7E21-4F70-9FE1-8704985F4A2F}">
  <sheetPr codeName="Sheet20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6EA65-AA77-4DF0-8DDF-183586E97343}">
  <sheetPr codeName="Sheet18"/>
  <dimension ref="A1:Q5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0688-FB11-4D5B-BE50-EFB2375ACB09}">
  <sheetPr codeName="Sheet16"/>
  <dimension ref="A1:Q10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0AAF-3AB7-4131-9DFF-404881CD7E76}">
  <sheetPr codeName="Sheet14"/>
  <dimension ref="A1:Q10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03992-7F68-4A00-90DB-AB3044AE7802}">
  <sheetPr codeName="Sheet12"/>
  <dimension ref="A1:Q1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A201F-3A2F-4C4E-A036-3CA84BB87C2E}">
  <sheetPr codeName="Sheet10"/>
  <dimension ref="A1:Q1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8308-BACC-491A-94AD-3E1F46787C04}">
  <sheetPr codeName="Sheet8"/>
  <dimension ref="A1:Q20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5E0A1-3671-477F-8E5D-F76354472F80}">
  <sheetPr codeName="Sheet6"/>
  <dimension ref="A1:Q3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2019-07-16T15:19:12Z</dcterms:modified>
</cp:coreProperties>
</file>