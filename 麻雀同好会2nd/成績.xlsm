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C8F6EB06-B31A-4E72-ABF2-FEBDB3AFF298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975" r:id="rId6"/>
    <sheet name="だいち" sheetId="4977" r:id="rId7"/>
    <sheet name="りくと" sheetId="4979" r:id="rId8"/>
    <sheet name="ただ" sheetId="4981" r:id="rId9"/>
    <sheet name="れんたろう" sheetId="4983" r:id="rId10"/>
    <sheet name="たかの" sheetId="4985" r:id="rId11"/>
    <sheet name="ぱぱ" sheetId="4987" r:id="rId12"/>
    <sheet name="まっつん" sheetId="4989" r:id="rId13"/>
    <sheet name="あさひ" sheetId="4991" r:id="rId14"/>
    <sheet name="いっしー" sheetId="4993" r:id="rId15"/>
    <sheet name="ほたに" sheetId="4995" r:id="rId16"/>
    <sheet name="ほたに2" sheetId="4996" state="hidden" r:id="rId17"/>
    <sheet name="いっしー2" sheetId="4994" state="hidden" r:id="rId18"/>
    <sheet name="あさひ2" sheetId="4992" state="hidden" r:id="rId19"/>
    <sheet name="まっつん2" sheetId="4990" state="hidden" r:id="rId20"/>
    <sheet name="ぱぱ2" sheetId="4988" state="hidden" r:id="rId21"/>
    <sheet name="たかの2" sheetId="4986" state="hidden" r:id="rId22"/>
    <sheet name="れんたろう2" sheetId="4984" state="hidden" r:id="rId23"/>
    <sheet name="ただ2" sheetId="4982" state="hidden" r:id="rId24"/>
    <sheet name="りくと2" sheetId="4980" state="hidden" r:id="rId25"/>
    <sheet name="だいち2" sheetId="4978" state="hidden" r:id="rId26"/>
    <sheet name="全体2" sheetId="4976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ふっとばし率" sheetId="3523" state="hidden" r:id="rId38"/>
    <sheet name="リーチ率" sheetId="3524" state="hidden" r:id="rId39"/>
    <sheet name="副露率" sheetId="3525" state="hidden" r:id="rId40"/>
    <sheet name="リーチ成功率" sheetId="4841" state="hidden" r:id="rId41"/>
    <sheet name="副露成功率" sheetId="3527" state="hidden" r:id="rId42"/>
    <sheet name="ツモ率" sheetId="3528" state="hidden" r:id="rId43"/>
  </sheets>
  <definedNames>
    <definedName name="アガリ数" localSheetId="13">あさひ!$B$17</definedName>
    <definedName name="アガリ数" localSheetId="14">いっしー!$B$17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22" i="4977" l="1"/>
  <c r="O18" i="4995"/>
  <c r="O20" i="4987"/>
  <c r="O16" i="4995"/>
  <c r="O15" i="4995" l="1"/>
  <c r="O17" i="4995"/>
  <c r="C27" i="4995"/>
  <c r="B24" i="4995"/>
  <c r="C20" i="4995"/>
  <c r="B17" i="4995"/>
  <c r="H49" i="4995" s="1"/>
  <c r="C16" i="4995"/>
  <c r="C15" i="4995"/>
  <c r="C14" i="4995"/>
  <c r="C13" i="4995"/>
  <c r="O12" i="4995"/>
  <c r="C12" i="4995"/>
  <c r="O11" i="4995"/>
  <c r="C11" i="4995"/>
  <c r="O10" i="4995"/>
  <c r="H4" i="4995"/>
  <c r="C10" i="4995"/>
  <c r="C9" i="4995"/>
  <c r="H13" i="4995"/>
  <c r="C8" i="4995"/>
  <c r="O7" i="4995"/>
  <c r="C7" i="4995"/>
  <c r="O6" i="4995"/>
  <c r="B6" i="4995"/>
  <c r="O5" i="4995"/>
  <c r="B5" i="4995"/>
  <c r="O4" i="4995"/>
  <c r="H2" i="4995"/>
  <c r="O3" i="4995"/>
  <c r="O2" i="4995"/>
  <c r="H3" i="4995"/>
  <c r="O22" i="4983"/>
  <c r="O18" i="4985"/>
  <c r="O22" i="4975"/>
  <c r="C17" i="4995" l="1"/>
  <c r="H21" i="4995"/>
  <c r="H23" i="4995"/>
  <c r="H26" i="4995"/>
  <c r="H28" i="4995"/>
  <c r="H30" i="4995"/>
  <c r="H34" i="4995"/>
  <c r="H38" i="4995"/>
  <c r="H42" i="4995"/>
  <c r="H46" i="4995"/>
  <c r="H50" i="4995"/>
  <c r="H8" i="4995"/>
  <c r="H17" i="4995"/>
  <c r="H19" i="4995"/>
  <c r="C19" i="4995"/>
  <c r="H24" i="4995"/>
  <c r="H31" i="4995"/>
  <c r="H35" i="4995"/>
  <c r="H39" i="4995"/>
  <c r="H43" i="4995"/>
  <c r="H47" i="4995"/>
  <c r="H51" i="4995"/>
  <c r="H10" i="4995"/>
  <c r="H6" i="4995"/>
  <c r="H14" i="4995"/>
  <c r="H16" i="4995"/>
  <c r="H20" i="4995"/>
  <c r="H22" i="4995"/>
  <c r="H25" i="4995"/>
  <c r="H12" i="4995"/>
  <c r="H9" i="4995"/>
  <c r="H32" i="4995"/>
  <c r="H36" i="4995"/>
  <c r="H40" i="4995"/>
  <c r="H44" i="4995"/>
  <c r="H48" i="4995"/>
  <c r="H7" i="4995"/>
  <c r="H5" i="4995"/>
  <c r="H15" i="4995"/>
  <c r="H18" i="4995"/>
  <c r="H11" i="4995"/>
  <c r="C18" i="4995"/>
  <c r="B23" i="4995"/>
  <c r="H27" i="4995"/>
  <c r="H29" i="4995"/>
  <c r="H33" i="4995"/>
  <c r="H37" i="4995"/>
  <c r="H41" i="4995"/>
  <c r="H45" i="4995"/>
  <c r="O16" i="4985" l="1"/>
  <c r="O15" i="4981"/>
  <c r="O20" i="4989"/>
  <c r="O19" i="4989"/>
  <c r="O17" i="4977" l="1"/>
  <c r="O17" i="4993"/>
  <c r="O16" i="4993" l="1"/>
  <c r="O15" i="4993"/>
  <c r="O16" i="4983"/>
  <c r="O19" i="4981"/>
  <c r="O17" i="4991" l="1"/>
  <c r="O21" i="4987"/>
  <c r="O15" i="4991"/>
  <c r="O20" i="4993"/>
  <c r="O15" i="4979"/>
  <c r="O15" i="4989"/>
  <c r="O16" i="4975"/>
  <c r="O19" i="4993"/>
  <c r="O18" i="4993"/>
  <c r="C27" i="4993"/>
  <c r="B24" i="4993"/>
  <c r="C20" i="4993"/>
  <c r="B17" i="4993"/>
  <c r="H50" i="4993" s="1"/>
  <c r="H20" i="4993"/>
  <c r="C16" i="4993"/>
  <c r="C15" i="4993"/>
  <c r="C14" i="4993"/>
  <c r="C13" i="4993"/>
  <c r="O12" i="4993"/>
  <c r="C12" i="4993"/>
  <c r="O11" i="4993"/>
  <c r="H15" i="4993"/>
  <c r="C11" i="4993"/>
  <c r="O10" i="4993"/>
  <c r="C10" i="4993"/>
  <c r="C9" i="4993"/>
  <c r="C8" i="4993"/>
  <c r="O7" i="4993"/>
  <c r="C7" i="4993"/>
  <c r="O6" i="4993"/>
  <c r="B6" i="4993"/>
  <c r="O5" i="4993"/>
  <c r="B5" i="4993"/>
  <c r="O4" i="4993"/>
  <c r="O3" i="4993"/>
  <c r="O2" i="4993"/>
  <c r="O16" i="4991"/>
  <c r="O18" i="4991"/>
  <c r="C27" i="4991"/>
  <c r="B24" i="4991"/>
  <c r="C20" i="4991"/>
  <c r="B17" i="4991"/>
  <c r="H7" i="4991" s="1"/>
  <c r="C16" i="4991"/>
  <c r="C15" i="4991"/>
  <c r="C14" i="4991"/>
  <c r="C13" i="4991"/>
  <c r="O12" i="4991"/>
  <c r="C12" i="4991"/>
  <c r="O11" i="4991"/>
  <c r="C11" i="4991"/>
  <c r="O10" i="4991"/>
  <c r="C10" i="4991"/>
  <c r="C9" i="4991"/>
  <c r="C8" i="4991"/>
  <c r="O7" i="4991"/>
  <c r="C7" i="4991"/>
  <c r="O6" i="4991"/>
  <c r="B6" i="4991"/>
  <c r="O5" i="4991"/>
  <c r="B5" i="4991"/>
  <c r="O4" i="4991"/>
  <c r="O3" i="4991"/>
  <c r="O2" i="4991"/>
  <c r="O22" i="4989"/>
  <c r="O21" i="4989"/>
  <c r="O15" i="4977"/>
  <c r="O19" i="4977"/>
  <c r="O23" i="4975"/>
  <c r="H4" i="4993" l="1"/>
  <c r="H13" i="4993"/>
  <c r="H2" i="4993"/>
  <c r="H2" i="4991"/>
  <c r="H13" i="4991"/>
  <c r="H3" i="4991"/>
  <c r="C17" i="4991"/>
  <c r="H4" i="4991"/>
  <c r="H18" i="4993"/>
  <c r="H9" i="4993"/>
  <c r="C18" i="4993"/>
  <c r="H32" i="4993"/>
  <c r="H43" i="4993"/>
  <c r="H3" i="4993"/>
  <c r="C17" i="4993"/>
  <c r="H39" i="4993"/>
  <c r="H48" i="4993"/>
  <c r="H10" i="4993"/>
  <c r="H26" i="4993"/>
  <c r="H35" i="4993"/>
  <c r="H47" i="4993"/>
  <c r="H8" i="4993"/>
  <c r="H17" i="4993"/>
  <c r="H19" i="4993"/>
  <c r="H12" i="4993"/>
  <c r="H7" i="4993"/>
  <c r="H14" i="4993"/>
  <c r="H16" i="4993"/>
  <c r="H21" i="4993"/>
  <c r="H11" i="4993"/>
  <c r="H31" i="4993"/>
  <c r="H40" i="4993"/>
  <c r="H51" i="4993"/>
  <c r="C19" i="4993"/>
  <c r="H24" i="4993"/>
  <c r="H6" i="4993"/>
  <c r="H36" i="4993"/>
  <c r="H44" i="4993"/>
  <c r="H5" i="4993"/>
  <c r="B23" i="4993"/>
  <c r="H27" i="4993"/>
  <c r="H29" i="4993"/>
  <c r="H33" i="4993"/>
  <c r="H37" i="4993"/>
  <c r="H41" i="4993"/>
  <c r="H45" i="4993"/>
  <c r="H49" i="4993"/>
  <c r="H22" i="4993"/>
  <c r="H23" i="4993"/>
  <c r="H25" i="4993"/>
  <c r="H28" i="4993"/>
  <c r="H30" i="4993"/>
  <c r="H34" i="4993"/>
  <c r="H38" i="4993"/>
  <c r="H42" i="4993"/>
  <c r="H46" i="4993"/>
  <c r="H21" i="4991"/>
  <c r="H26" i="4991"/>
  <c r="H30" i="4991"/>
  <c r="H34" i="4991"/>
  <c r="H38" i="4991"/>
  <c r="H42" i="4991"/>
  <c r="H50" i="4991"/>
  <c r="H18" i="4991"/>
  <c r="C19" i="4991"/>
  <c r="H31" i="4991"/>
  <c r="H35" i="4991"/>
  <c r="H39" i="4991"/>
  <c r="H47" i="4991"/>
  <c r="H51" i="4991"/>
  <c r="H12" i="4991"/>
  <c r="H8" i="4991"/>
  <c r="H5" i="4991"/>
  <c r="H14" i="4991"/>
  <c r="H17" i="4991"/>
  <c r="H19" i="4991"/>
  <c r="C18" i="4991"/>
  <c r="B23" i="4991"/>
  <c r="H27" i="4991"/>
  <c r="H29" i="4991"/>
  <c r="H33" i="4991"/>
  <c r="H37" i="4991"/>
  <c r="H41" i="4991"/>
  <c r="H45" i="4991"/>
  <c r="H49" i="4991"/>
  <c r="H23" i="4991"/>
  <c r="H28" i="4991"/>
  <c r="H46" i="4991"/>
  <c r="H9" i="4991"/>
  <c r="H16" i="4991"/>
  <c r="H24" i="4991"/>
  <c r="H43" i="4991"/>
  <c r="H10" i="4991"/>
  <c r="H15" i="4991"/>
  <c r="H20" i="4991"/>
  <c r="H22" i="4991"/>
  <c r="H25" i="4991"/>
  <c r="H11" i="4991"/>
  <c r="H6" i="4991"/>
  <c r="H32" i="4991"/>
  <c r="H36" i="4991"/>
  <c r="H40" i="4991"/>
  <c r="H44" i="4991"/>
  <c r="H48" i="4991"/>
  <c r="O16" i="4989" l="1"/>
  <c r="O18" i="4987"/>
  <c r="O16" i="4987"/>
  <c r="O18" i="4979"/>
  <c r="O17" i="4985" l="1"/>
  <c r="O17" i="4983"/>
  <c r="O19" i="4987"/>
  <c r="O17" i="4987"/>
  <c r="O15" i="4985" l="1"/>
  <c r="O15" i="4983"/>
  <c r="O20" i="4981"/>
  <c r="O21" i="4981"/>
  <c r="O17" i="4989"/>
  <c r="O18" i="4989"/>
  <c r="C27" i="4989"/>
  <c r="B24" i="4989"/>
  <c r="C20" i="4989"/>
  <c r="B17" i="4989"/>
  <c r="H51" i="4989" s="1"/>
  <c r="C16" i="4989"/>
  <c r="C15" i="4989"/>
  <c r="C14" i="4989"/>
  <c r="C13" i="4989"/>
  <c r="O12" i="4989"/>
  <c r="C12" i="4989"/>
  <c r="O11" i="4989"/>
  <c r="C11" i="4989"/>
  <c r="O10" i="4989"/>
  <c r="C10" i="4989"/>
  <c r="C9" i="4989"/>
  <c r="C8" i="4989"/>
  <c r="O7" i="4989"/>
  <c r="C7" i="4989"/>
  <c r="O6" i="4989"/>
  <c r="B6" i="4989"/>
  <c r="O5" i="4989"/>
  <c r="B5" i="4989"/>
  <c r="O4" i="4989"/>
  <c r="O3" i="4989"/>
  <c r="O2" i="4989"/>
  <c r="O20" i="4983"/>
  <c r="O20" i="4979"/>
  <c r="O18" i="4975"/>
  <c r="H3" i="4989" l="1"/>
  <c r="H4" i="4989"/>
  <c r="H40" i="4989"/>
  <c r="H16" i="4989"/>
  <c r="H2" i="4989"/>
  <c r="H7" i="4989"/>
  <c r="H26" i="4989"/>
  <c r="H32" i="4989"/>
  <c r="H48" i="4989"/>
  <c r="C17" i="4989"/>
  <c r="H10" i="4989"/>
  <c r="H44" i="4989"/>
  <c r="H8" i="4989"/>
  <c r="H6" i="4989"/>
  <c r="H12" i="4989"/>
  <c r="H18" i="4989"/>
  <c r="H22" i="4989"/>
  <c r="H9" i="4989"/>
  <c r="H17" i="4989"/>
  <c r="H24" i="4989"/>
  <c r="H27" i="4989"/>
  <c r="H36" i="4989"/>
  <c r="H5" i="4989"/>
  <c r="H19" i="4989"/>
  <c r="H21" i="4989"/>
  <c r="C18" i="4989"/>
  <c r="B23" i="4989"/>
  <c r="H28" i="4989"/>
  <c r="H30" i="4989"/>
  <c r="H33" i="4989"/>
  <c r="H37" i="4989"/>
  <c r="H41" i="4989"/>
  <c r="H45" i="4989"/>
  <c r="H49" i="4989"/>
  <c r="H23" i="4989"/>
  <c r="H25" i="4989"/>
  <c r="H15" i="4989"/>
  <c r="H29" i="4989"/>
  <c r="H11" i="4989"/>
  <c r="H34" i="4989"/>
  <c r="H38" i="4989"/>
  <c r="H42" i="4989"/>
  <c r="H46" i="4989"/>
  <c r="H50" i="4989"/>
  <c r="H13" i="4989"/>
  <c r="H20" i="4989"/>
  <c r="C19" i="4989"/>
  <c r="H14" i="4989"/>
  <c r="H31" i="4989"/>
  <c r="H35" i="4989"/>
  <c r="H39" i="4989"/>
  <c r="H43" i="4989"/>
  <c r="H47" i="4989"/>
  <c r="O16" i="4981" l="1"/>
  <c r="O22" i="4987"/>
  <c r="O15" i="4987"/>
  <c r="C27" i="4987"/>
  <c r="B24" i="4987"/>
  <c r="C20" i="4987"/>
  <c r="B17" i="4987"/>
  <c r="H6" i="4987" s="1"/>
  <c r="C16" i="4987"/>
  <c r="C15" i="4987"/>
  <c r="C14" i="4987"/>
  <c r="C13" i="4987"/>
  <c r="O12" i="4987"/>
  <c r="C12" i="4987"/>
  <c r="O11" i="4987"/>
  <c r="C11" i="4987"/>
  <c r="O10" i="4987"/>
  <c r="C10" i="4987"/>
  <c r="C9" i="4987"/>
  <c r="C8" i="4987"/>
  <c r="O7" i="4987"/>
  <c r="C7" i="4987"/>
  <c r="O6" i="4987"/>
  <c r="B6" i="4987"/>
  <c r="O5" i="4987"/>
  <c r="B5" i="4987"/>
  <c r="O4" i="4987"/>
  <c r="O3" i="4987"/>
  <c r="O2" i="4987"/>
  <c r="O18" i="4977"/>
  <c r="O17" i="4975"/>
  <c r="O20" i="4985"/>
  <c r="O17" i="4979"/>
  <c r="O19" i="4979"/>
  <c r="O19" i="4983"/>
  <c r="O19" i="4985"/>
  <c r="O21" i="4985"/>
  <c r="C27" i="4985"/>
  <c r="B24" i="4985"/>
  <c r="C20" i="4985"/>
  <c r="B17" i="4985"/>
  <c r="H4" i="4985" s="1"/>
  <c r="C16" i="4985"/>
  <c r="C15" i="4985"/>
  <c r="C14" i="4985"/>
  <c r="C13" i="4985"/>
  <c r="O12" i="4985"/>
  <c r="C12" i="4985"/>
  <c r="O11" i="4985"/>
  <c r="C11" i="4985"/>
  <c r="O10" i="4985"/>
  <c r="C10" i="4985"/>
  <c r="C9" i="4985"/>
  <c r="C8" i="4985"/>
  <c r="O7" i="4985"/>
  <c r="C7" i="4985"/>
  <c r="O6" i="4985"/>
  <c r="B6" i="4985"/>
  <c r="O5" i="4985"/>
  <c r="B5" i="4985"/>
  <c r="O4" i="4985"/>
  <c r="O3" i="4985"/>
  <c r="O2" i="4985"/>
  <c r="O21" i="4983"/>
  <c r="O18" i="4983"/>
  <c r="C27" i="4983"/>
  <c r="B24" i="4983"/>
  <c r="C20" i="4983"/>
  <c r="B17" i="4983"/>
  <c r="H5" i="4983" s="1"/>
  <c r="C16" i="4983"/>
  <c r="C15" i="4983"/>
  <c r="C14" i="4983"/>
  <c r="C13" i="4983"/>
  <c r="O12" i="4983"/>
  <c r="C12" i="4983"/>
  <c r="O11" i="4983"/>
  <c r="C11" i="4983"/>
  <c r="O10" i="4983"/>
  <c r="C10" i="4983"/>
  <c r="C9" i="4983"/>
  <c r="C8" i="4983"/>
  <c r="O7" i="4983"/>
  <c r="C7" i="4983"/>
  <c r="O6" i="4983"/>
  <c r="B6" i="4983"/>
  <c r="O5" i="4983"/>
  <c r="B5" i="4983"/>
  <c r="O4" i="4983"/>
  <c r="O3" i="4983"/>
  <c r="O2" i="4983"/>
  <c r="O20" i="4977"/>
  <c r="O23" i="4977"/>
  <c r="O21" i="4975"/>
  <c r="O20" i="4975"/>
  <c r="H4" i="4987" l="1"/>
  <c r="H8" i="4987"/>
  <c r="H2" i="4987"/>
  <c r="H3" i="4987"/>
  <c r="H19" i="4985"/>
  <c r="H22" i="4985"/>
  <c r="H7" i="4985"/>
  <c r="H9" i="4985"/>
  <c r="H2" i="4985"/>
  <c r="H8" i="4985"/>
  <c r="H5" i="4985"/>
  <c r="H16" i="4985"/>
  <c r="H2" i="4983"/>
  <c r="H4" i="4983"/>
  <c r="H3" i="4983"/>
  <c r="H10" i="4983"/>
  <c r="H28" i="4987"/>
  <c r="H37" i="4987"/>
  <c r="H10" i="4987"/>
  <c r="H21" i="4987"/>
  <c r="C17" i="4987"/>
  <c r="H14" i="4987"/>
  <c r="H41" i="4987"/>
  <c r="H18" i="4987"/>
  <c r="C18" i="4987"/>
  <c r="B23" i="4987"/>
  <c r="H30" i="4987"/>
  <c r="H45" i="4987"/>
  <c r="H19" i="4987"/>
  <c r="H13" i="4987"/>
  <c r="H5" i="4987"/>
  <c r="H11" i="4987"/>
  <c r="H7" i="4987"/>
  <c r="H15" i="4987"/>
  <c r="H20" i="4987"/>
  <c r="H22" i="4987"/>
  <c r="C19" i="4987"/>
  <c r="H33" i="4987"/>
  <c r="H49" i="4987"/>
  <c r="H23" i="4987"/>
  <c r="H25" i="4987"/>
  <c r="H27" i="4987"/>
  <c r="H29" i="4987"/>
  <c r="H17" i="4987"/>
  <c r="H34" i="4987"/>
  <c r="H38" i="4987"/>
  <c r="H42" i="4987"/>
  <c r="H46" i="4987"/>
  <c r="H50" i="4987"/>
  <c r="H31" i="4987"/>
  <c r="H35" i="4987"/>
  <c r="H39" i="4987"/>
  <c r="H43" i="4987"/>
  <c r="H47" i="4987"/>
  <c r="H51" i="4987"/>
  <c r="H16" i="4987"/>
  <c r="H24" i="4987"/>
  <c r="H26" i="4987"/>
  <c r="H12" i="4987"/>
  <c r="H9" i="4987"/>
  <c r="H32" i="4987"/>
  <c r="H36" i="4987"/>
  <c r="H40" i="4987"/>
  <c r="H44" i="4987"/>
  <c r="H48" i="4987"/>
  <c r="H3" i="4985"/>
  <c r="H21" i="4985"/>
  <c r="H23" i="4985"/>
  <c r="C19" i="4985"/>
  <c r="C17" i="4983"/>
  <c r="C17" i="4985"/>
  <c r="H12" i="4985"/>
  <c r="H11" i="4985"/>
  <c r="H6" i="4985"/>
  <c r="H15" i="4985"/>
  <c r="H20" i="4985"/>
  <c r="C18" i="4985"/>
  <c r="B23" i="4985"/>
  <c r="H28" i="4985"/>
  <c r="H30" i="4985"/>
  <c r="H33" i="4985"/>
  <c r="H37" i="4985"/>
  <c r="H41" i="4985"/>
  <c r="H45" i="4985"/>
  <c r="H49" i="4985"/>
  <c r="H24" i="4985"/>
  <c r="H25" i="4985"/>
  <c r="H27" i="4985"/>
  <c r="H29" i="4985"/>
  <c r="H18" i="4985"/>
  <c r="H34" i="4985"/>
  <c r="H38" i="4985"/>
  <c r="H42" i="4985"/>
  <c r="H46" i="4985"/>
  <c r="H50" i="4985"/>
  <c r="H31" i="4985"/>
  <c r="H35" i="4985"/>
  <c r="H39" i="4985"/>
  <c r="H43" i="4985"/>
  <c r="H47" i="4985"/>
  <c r="H51" i="4985"/>
  <c r="H17" i="4985"/>
  <c r="H13" i="4985"/>
  <c r="H26" i="4985"/>
  <c r="H14" i="4985"/>
  <c r="H10" i="4985"/>
  <c r="H32" i="4985"/>
  <c r="H36" i="4985"/>
  <c r="H40" i="4985"/>
  <c r="H44" i="4985"/>
  <c r="H48" i="4985"/>
  <c r="H7" i="4983"/>
  <c r="H20" i="4983"/>
  <c r="H22" i="4983"/>
  <c r="H15" i="4983"/>
  <c r="C18" i="4983"/>
  <c r="B23" i="4983"/>
  <c r="H29" i="4983"/>
  <c r="H31" i="4983"/>
  <c r="H34" i="4983"/>
  <c r="H38" i="4983"/>
  <c r="H42" i="4983"/>
  <c r="H46" i="4983"/>
  <c r="H50" i="4983"/>
  <c r="H25" i="4983"/>
  <c r="H26" i="4983"/>
  <c r="H28" i="4983"/>
  <c r="H30" i="4983"/>
  <c r="H32" i="4983"/>
  <c r="H35" i="4983"/>
  <c r="H39" i="4983"/>
  <c r="H43" i="4983"/>
  <c r="H47" i="4983"/>
  <c r="H51" i="4983"/>
  <c r="H8" i="4983"/>
  <c r="H16" i="4983"/>
  <c r="H23" i="4983"/>
  <c r="C19" i="4983"/>
  <c r="H14" i="4983"/>
  <c r="H17" i="4983"/>
  <c r="H36" i="4983"/>
  <c r="H40" i="4983"/>
  <c r="H44" i="4983"/>
  <c r="H48" i="4983"/>
  <c r="H18" i="4983"/>
  <c r="H9" i="4983"/>
  <c r="H6" i="4983"/>
  <c r="H13" i="4983"/>
  <c r="H21" i="4983"/>
  <c r="H24" i="4983"/>
  <c r="H19" i="4983"/>
  <c r="H27" i="4983"/>
  <c r="H12" i="4983"/>
  <c r="H11" i="4983"/>
  <c r="H33" i="4983"/>
  <c r="H37" i="4983"/>
  <c r="H41" i="4983"/>
  <c r="H45" i="4983"/>
  <c r="H49" i="4983"/>
  <c r="O17" i="4981" l="1"/>
  <c r="O18" i="4981"/>
  <c r="C27" i="4981"/>
  <c r="B24" i="4981"/>
  <c r="C20" i="4981"/>
  <c r="B17" i="4981"/>
  <c r="H6" i="4981" s="1"/>
  <c r="C16" i="4981"/>
  <c r="C15" i="4981"/>
  <c r="C14" i="4981"/>
  <c r="C13" i="4981"/>
  <c r="O12" i="4981"/>
  <c r="C12" i="4981"/>
  <c r="O11" i="4981"/>
  <c r="C11" i="4981"/>
  <c r="O10" i="4981"/>
  <c r="C10" i="4981"/>
  <c r="C9" i="4981"/>
  <c r="C8" i="4981"/>
  <c r="O7" i="4981"/>
  <c r="C7" i="4981"/>
  <c r="O6" i="4981"/>
  <c r="B6" i="4981"/>
  <c r="O5" i="4981"/>
  <c r="B5" i="4981"/>
  <c r="O4" i="4981"/>
  <c r="O3" i="4981"/>
  <c r="O2" i="4981"/>
  <c r="O21" i="4979"/>
  <c r="O16" i="4979"/>
  <c r="C27" i="4979"/>
  <c r="B24" i="4979"/>
  <c r="C20" i="4979"/>
  <c r="B17" i="4979"/>
  <c r="H5" i="4979" s="1"/>
  <c r="C16" i="4979"/>
  <c r="C15" i="4979"/>
  <c r="C14" i="4979"/>
  <c r="C13" i="4979"/>
  <c r="O12" i="4979"/>
  <c r="C12" i="4979"/>
  <c r="O11" i="4979"/>
  <c r="C11" i="4979"/>
  <c r="O10" i="4979"/>
  <c r="C10" i="4979"/>
  <c r="C9" i="4979"/>
  <c r="C8" i="4979"/>
  <c r="O7" i="4979"/>
  <c r="C7" i="4979"/>
  <c r="O6" i="4979"/>
  <c r="B6" i="4979"/>
  <c r="O5" i="4979"/>
  <c r="B5" i="4979"/>
  <c r="O4" i="4979"/>
  <c r="O3" i="4979"/>
  <c r="O2" i="4979"/>
  <c r="O24" i="4975"/>
  <c r="O16" i="4977"/>
  <c r="O21" i="4977"/>
  <c r="C27" i="4977"/>
  <c r="B24" i="4977"/>
  <c r="C20" i="4977"/>
  <c r="B17" i="4977"/>
  <c r="H5" i="4977" s="1"/>
  <c r="C16" i="4977"/>
  <c r="C15" i="4977"/>
  <c r="C14" i="4977"/>
  <c r="C13" i="4977"/>
  <c r="O12" i="4977"/>
  <c r="C12" i="4977"/>
  <c r="O11" i="4977"/>
  <c r="C11" i="4977"/>
  <c r="O10" i="4977"/>
  <c r="C10" i="4977"/>
  <c r="C9" i="4977"/>
  <c r="C8" i="4977"/>
  <c r="O7" i="4977"/>
  <c r="C7" i="4977"/>
  <c r="O6" i="4977"/>
  <c r="B6" i="4977"/>
  <c r="O5" i="4977"/>
  <c r="B5" i="4977"/>
  <c r="O4" i="4977"/>
  <c r="O3" i="4977"/>
  <c r="O2" i="4977"/>
  <c r="O15" i="4975"/>
  <c r="O19" i="4975"/>
  <c r="C27" i="4975"/>
  <c r="B24" i="4975"/>
  <c r="C20" i="4975"/>
  <c r="B17" i="4975"/>
  <c r="H5" i="4975" s="1"/>
  <c r="C16" i="4975"/>
  <c r="C15" i="4975"/>
  <c r="C14" i="4975"/>
  <c r="C13" i="4975"/>
  <c r="O12" i="4975"/>
  <c r="C12" i="4975"/>
  <c r="O11" i="4975"/>
  <c r="C11" i="4975"/>
  <c r="O10" i="4975"/>
  <c r="C10" i="4975"/>
  <c r="C9" i="4975"/>
  <c r="C8" i="4975"/>
  <c r="O7" i="4975"/>
  <c r="C7" i="4975"/>
  <c r="O6" i="4975"/>
  <c r="B6" i="4975"/>
  <c r="O5" i="4975"/>
  <c r="B5" i="4975"/>
  <c r="O4" i="4975"/>
  <c r="O3" i="4975"/>
  <c r="O2" i="4975"/>
  <c r="H10" i="4981" l="1"/>
  <c r="H17" i="4981"/>
  <c r="H14" i="4981"/>
  <c r="H4" i="4981"/>
  <c r="H12" i="4981"/>
  <c r="H5" i="4981"/>
  <c r="H18" i="4981"/>
  <c r="H3" i="4981"/>
  <c r="H7" i="4981"/>
  <c r="C19" i="4981"/>
  <c r="H20" i="4981"/>
  <c r="H2" i="4981"/>
  <c r="H8" i="4981"/>
  <c r="H9" i="4981"/>
  <c r="H19" i="4981"/>
  <c r="H29" i="4977"/>
  <c r="H11" i="4977"/>
  <c r="H6" i="4977"/>
  <c r="H17" i="4977"/>
  <c r="H21" i="4981"/>
  <c r="C17" i="4981"/>
  <c r="C18" i="4981"/>
  <c r="B23" i="4981"/>
  <c r="H28" i="4981"/>
  <c r="H29" i="4981"/>
  <c r="H33" i="4981"/>
  <c r="H37" i="4981"/>
  <c r="H41" i="4981"/>
  <c r="H45" i="4981"/>
  <c r="H49" i="4981"/>
  <c r="H23" i="4981"/>
  <c r="H25" i="4981"/>
  <c r="H27" i="4981"/>
  <c r="H16" i="4981"/>
  <c r="H30" i="4981"/>
  <c r="H34" i="4981"/>
  <c r="H38" i="4981"/>
  <c r="H42" i="4981"/>
  <c r="H46" i="4981"/>
  <c r="H50" i="4981"/>
  <c r="H15" i="4981"/>
  <c r="H31" i="4981"/>
  <c r="H35" i="4981"/>
  <c r="H39" i="4981"/>
  <c r="H43" i="4981"/>
  <c r="H47" i="4981"/>
  <c r="H51" i="4981"/>
  <c r="H22" i="4981"/>
  <c r="H24" i="4981"/>
  <c r="H26" i="4981"/>
  <c r="H13" i="4981"/>
  <c r="H11" i="4981"/>
  <c r="H32" i="4981"/>
  <c r="H36" i="4981"/>
  <c r="H40" i="4981"/>
  <c r="H44" i="4981"/>
  <c r="H48" i="4981"/>
  <c r="H10" i="4979"/>
  <c r="H3" i="4979"/>
  <c r="H2" i="4979"/>
  <c r="H4" i="4979"/>
  <c r="H38" i="4979"/>
  <c r="H8" i="4979"/>
  <c r="H19" i="4979"/>
  <c r="H22" i="4979"/>
  <c r="H15" i="4979"/>
  <c r="H42" i="4979"/>
  <c r="H31" i="4979"/>
  <c r="C17" i="4979"/>
  <c r="H9" i="4979"/>
  <c r="H7" i="4979"/>
  <c r="H14" i="4979"/>
  <c r="H18" i="4979"/>
  <c r="C18" i="4979"/>
  <c r="B23" i="4979"/>
  <c r="H32" i="4979"/>
  <c r="H46" i="4979"/>
  <c r="H6" i="4979"/>
  <c r="H21" i="4979"/>
  <c r="H27" i="4979"/>
  <c r="H23" i="4979"/>
  <c r="C19" i="4979"/>
  <c r="H34" i="4979"/>
  <c r="H50" i="4979"/>
  <c r="H28" i="4979"/>
  <c r="H29" i="4979"/>
  <c r="H30" i="4979"/>
  <c r="H25" i="4979"/>
  <c r="H16" i="4979"/>
  <c r="H35" i="4979"/>
  <c r="H39" i="4979"/>
  <c r="H43" i="4979"/>
  <c r="H47" i="4979"/>
  <c r="H51" i="4979"/>
  <c r="H26" i="4979"/>
  <c r="H36" i="4979"/>
  <c r="H40" i="4979"/>
  <c r="H44" i="4979"/>
  <c r="H48" i="4979"/>
  <c r="H17" i="4979"/>
  <c r="H20" i="4979"/>
  <c r="H13" i="4979"/>
  <c r="H24" i="4979"/>
  <c r="H12" i="4979"/>
  <c r="H11" i="4979"/>
  <c r="H33" i="4979"/>
  <c r="H37" i="4979"/>
  <c r="H41" i="4979"/>
  <c r="H45" i="4979"/>
  <c r="H49" i="4979"/>
  <c r="H11" i="4975"/>
  <c r="H4" i="4975"/>
  <c r="H2" i="4977"/>
  <c r="H19" i="4977"/>
  <c r="C19" i="4977"/>
  <c r="H35" i="4977"/>
  <c r="H4" i="4977"/>
  <c r="H3" i="4977"/>
  <c r="H20" i="4977"/>
  <c r="H50" i="4977"/>
  <c r="H23" i="4977"/>
  <c r="H38" i="4977"/>
  <c r="H8" i="4977"/>
  <c r="H21" i="4977"/>
  <c r="C17" i="4977"/>
  <c r="H14" i="4977"/>
  <c r="H42" i="4977"/>
  <c r="H10" i="4977"/>
  <c r="H7" i="4977"/>
  <c r="H13" i="4977"/>
  <c r="H28" i="4977"/>
  <c r="C18" i="4977"/>
  <c r="B23" i="4977"/>
  <c r="H24" i="4977"/>
  <c r="H46" i="4977"/>
  <c r="H30" i="4977"/>
  <c r="H31" i="4977"/>
  <c r="H33" i="4977"/>
  <c r="H34" i="4977"/>
  <c r="H18" i="4977"/>
  <c r="H27" i="4977"/>
  <c r="H39" i="4977"/>
  <c r="H43" i="4977"/>
  <c r="H47" i="4977"/>
  <c r="H51" i="4977"/>
  <c r="H25" i="4977"/>
  <c r="H36" i="4977"/>
  <c r="H40" i="4977"/>
  <c r="H44" i="4977"/>
  <c r="H48" i="4977"/>
  <c r="H16" i="4977"/>
  <c r="H22" i="4977"/>
  <c r="H15" i="4977"/>
  <c r="H32" i="4977"/>
  <c r="H12" i="4977"/>
  <c r="H9" i="4977"/>
  <c r="H26" i="4977"/>
  <c r="H37" i="4977"/>
  <c r="H41" i="4977"/>
  <c r="H45" i="4977"/>
  <c r="H49" i="4977"/>
  <c r="H2" i="4975"/>
  <c r="H3" i="4975"/>
  <c r="C17" i="4975"/>
  <c r="H14" i="4975"/>
  <c r="H10" i="4975"/>
  <c r="H6" i="4975"/>
  <c r="H13" i="4975"/>
  <c r="H23" i="4975"/>
  <c r="C18" i="4975"/>
  <c r="H8" i="4975"/>
  <c r="H19" i="4975"/>
  <c r="H24" i="4975"/>
  <c r="H7" i="4975"/>
  <c r="H21" i="4975"/>
  <c r="H32" i="4975"/>
  <c r="H17" i="4975"/>
  <c r="C19" i="4975"/>
  <c r="B23" i="4975"/>
  <c r="H28" i="4975"/>
  <c r="H29" i="4975"/>
  <c r="H35" i="4975"/>
  <c r="H38" i="4975"/>
  <c r="H42" i="4975"/>
  <c r="H46" i="4975"/>
  <c r="H50" i="4975"/>
  <c r="H33" i="4975"/>
  <c r="H34" i="4975"/>
  <c r="H27" i="4975"/>
  <c r="H25" i="4975"/>
  <c r="H16" i="4975"/>
  <c r="H31" i="4975"/>
  <c r="H39" i="4975"/>
  <c r="H43" i="4975"/>
  <c r="H47" i="4975"/>
  <c r="H51" i="4975"/>
  <c r="H22" i="4975"/>
  <c r="H36" i="4975"/>
  <c r="H40" i="4975"/>
  <c r="H44" i="4975"/>
  <c r="H48" i="4975"/>
  <c r="H18" i="4975"/>
  <c r="H20" i="4975"/>
  <c r="H15" i="4975"/>
  <c r="H26" i="4975"/>
  <c r="H12" i="4975"/>
  <c r="H9" i="4975"/>
  <c r="H30" i="4975"/>
  <c r="H37" i="4975"/>
  <c r="H41" i="4975"/>
  <c r="H45" i="4975"/>
  <c r="H49" i="4975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<sst xmlns="http://schemas.openxmlformats.org/spreadsheetml/2006/main" count="2671" uniqueCount="208">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</sst>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chartsheet" Target="chartsheets/sheet16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全体!$K$2:$K$284</c:f>
              <c:numCache>
                <c:formatCode>General</c:formatCode>
                <c:ptCount val="2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</c:numCache>
            </c:numRef>
          </c:xVal>
          <c:yVal>
            <c:numRef>
              <c:f>全体!$L$2:$L$284</c:f>
              <c:numCache>
                <c:formatCode>\+0.0;\-0.0;\±0</c:formatCode>
                <c:ptCount val="283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0E-44C5-872F-D26B2C72C5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-17.730496453900709</c:v>
                </c:pt>
                <c:pt idx="1">
                  <c:v>-14.336917562724015</c:v>
                </c:pt>
                <c:pt idx="2">
                  <c:v>19.157088122605366</c:v>
                </c:pt>
                <c:pt idx="3">
                  <c:v>12.658227848101266</c:v>
                </c:pt>
                <c:pt idx="4">
                  <c:v>-23.148148148148149</c:v>
                </c:pt>
                <c:pt idx="5">
                  <c:v>29.850746268656717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66-422B-B9F3-AACB561C3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だいち!$K$2:$K$69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だいち!$L$2:$L$69</c:f>
              <c:numCache>
                <c:formatCode>\+0.0;\-0.0;\±0</c:formatCode>
                <c:ptCount val="68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64-4C3B-9CCF-0D74E4D524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3241.7910447761192</c:v>
                </c:pt>
                <c:pt idx="1">
                  <c:v>3434.848484848485</c:v>
                </c:pt>
                <c:pt idx="2">
                  <c:v>3438.7096774193546</c:v>
                </c:pt>
                <c:pt idx="3">
                  <c:v>4065.4545454545455</c:v>
                </c:pt>
                <c:pt idx="4">
                  <c:v>495.91836734693879</c:v>
                </c:pt>
                <c:pt idx="5">
                  <c:v>1351.1111111111111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E0-4BE9-9C9E-302281A57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りくと!$K$2:$K$69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りくと!$L$2:$L$69</c:f>
              <c:numCache>
                <c:formatCode>\+0.0;\-0.0;\±0</c:formatCode>
                <c:ptCount val="68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FF-4475-8379-11B977829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807.46268656716416</c:v>
                </c:pt>
                <c:pt idx="1">
                  <c:v>-1301.5151515151515</c:v>
                </c:pt>
                <c:pt idx="2">
                  <c:v>-2104.6875</c:v>
                </c:pt>
                <c:pt idx="3">
                  <c:v>375.43859649122805</c:v>
                </c:pt>
                <c:pt idx="4">
                  <c:v>880.76923076923072</c:v>
                </c:pt>
                <c:pt idx="5">
                  <c:v>610.20408163265301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5C-4AB9-8F63-B00EA4F55F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ただ!$L$2:$L$29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61-4C5A-B264-00C575161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-3385.1851851851852</c:v>
                </c:pt>
                <c:pt idx="1">
                  <c:v>-4581.4814814814818</c:v>
                </c:pt>
                <c:pt idx="2">
                  <c:v>-3591.6666666666665</c:v>
                </c:pt>
                <c:pt idx="3">
                  <c:v>-7028.5714285714284</c:v>
                </c:pt>
                <c:pt idx="4">
                  <c:v>-3700</c:v>
                </c:pt>
                <c:pt idx="5">
                  <c:v>-2116.6666666666665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1-4F44-AF24-3DE0CC93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れんたろう!$K$2:$K$40</c:f>
              <c:numCache>
                <c:formatCode>General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れんたろう!$L$2:$L$40</c:f>
              <c:numCache>
                <c:formatCode>\+0.0;\-0.0;\±0</c:formatCode>
                <c:ptCount val="39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C7-4653-96E9-36EB523C62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-473.68421052631578</c:v>
                </c:pt>
                <c:pt idx="1">
                  <c:v>639.47368421052636</c:v>
                </c:pt>
                <c:pt idx="2">
                  <c:v>1058.3333333333333</c:v>
                </c:pt>
                <c:pt idx="3">
                  <c:v>-324.24242424242425</c:v>
                </c:pt>
                <c:pt idx="4">
                  <c:v>-970</c:v>
                </c:pt>
                <c:pt idx="5">
                  <c:v>242.85714285714286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A4-4AF6-8E30-7582B5E84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たかの!$L$2:$L$32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DB-4819-9704-5701CDA3C9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1060</c:v>
                </c:pt>
                <c:pt idx="1">
                  <c:v>896.66666666666663</c:v>
                </c:pt>
                <c:pt idx="2">
                  <c:v>1142.3076923076924</c:v>
                </c:pt>
                <c:pt idx="3">
                  <c:v>754.16666666666663</c:v>
                </c:pt>
                <c:pt idx="4">
                  <c:v>-852.17391304347825</c:v>
                </c:pt>
                <c:pt idx="5">
                  <c:v>-1885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BB-4CD1-A0E1-774FC0895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ぱぱ!$L$2:$L$26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61-4E05-8721-EF915A53C5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-3575</c:v>
                </c:pt>
                <c:pt idx="1">
                  <c:v>-745.83333333333337</c:v>
                </c:pt>
                <c:pt idx="2">
                  <c:v>-2377.2727272727275</c:v>
                </c:pt>
                <c:pt idx="3">
                  <c:v>-3452.3809523809523</c:v>
                </c:pt>
                <c:pt idx="4">
                  <c:v>1684.2105263157894</c:v>
                </c:pt>
                <c:pt idx="5">
                  <c:v>-633.33333333333337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4-4EEC-B88E-C8630B615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まっつん!$L$2:$L$17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12-49C6-8729-FF375865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-4773.333333333333</c:v>
                </c:pt>
                <c:pt idx="1">
                  <c:v>-3307.1428571428573</c:v>
                </c:pt>
                <c:pt idx="2">
                  <c:v>1069.2307692307693</c:v>
                </c:pt>
                <c:pt idx="3">
                  <c:v>-76.92307692307692</c:v>
                </c:pt>
                <c:pt idx="4">
                  <c:v>-375</c:v>
                </c:pt>
                <c:pt idx="5">
                  <c:v>3227.2727272727275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50-49B0-8043-2FED626582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02-49AE-AA25-10DF922CC9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B6-4710-9CB3-E61B67700A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7C-4FCF-A74D-769A09798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-3742.8571428571427</c:v>
                </c:pt>
                <c:pt idx="1">
                  <c:v>-4085.7142857142858</c:v>
                </c:pt>
                <c:pt idx="2">
                  <c:v>128.57142857142858</c:v>
                </c:pt>
                <c:pt idx="3">
                  <c:v>-7000</c:v>
                </c:pt>
                <c:pt idx="4">
                  <c:v>-2950</c:v>
                </c:pt>
                <c:pt idx="5">
                  <c:v>-4100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D3-4C48-96B1-4396D22EFE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95-4253-B7D8-B752C2B353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-6025</c:v>
                </c:pt>
                <c:pt idx="1">
                  <c:v>3450</c:v>
                </c:pt>
                <c:pt idx="2">
                  <c:v>-3650</c:v>
                </c:pt>
                <c:pt idx="3">
                  <c:v>-1250</c:v>
                </c:pt>
                <c:pt idx="4">
                  <c:v>11266.666666666666</c:v>
                </c:pt>
                <c:pt idx="5">
                  <c:v>-1500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A7-4C6B-8365-83DE8B9CCB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ほたに2!$B$1:$B$2</c:f>
              <c:strCache>
                <c:ptCount val="2"/>
                <c:pt idx="0">
                  <c:v>ほたに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ほたに2!$B$3:$B$7</c:f>
              <c:numCache>
                <c:formatCode>\+0.0;\-0.0;\±0</c:formatCode>
                <c:ptCount val="5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ほたに2!$C$1:$C$2</c:f>
              <c:strCache>
                <c:ptCount val="2"/>
                <c:pt idx="0">
                  <c:v>ほたに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ほたに2!$C$3:$C$7</c:f>
              <c:numCache>
                <c:formatCode>\+0.0;\-0.0;\±0</c:formatCode>
                <c:ptCount val="5"/>
                <c:pt idx="1">
                  <c:v>-12.5</c:v>
                </c:pt>
                <c:pt idx="2">
                  <c:v>-14.05</c:v>
                </c:pt>
                <c:pt idx="3">
                  <c:v>-6.8000000000000007</c:v>
                </c:pt>
                <c:pt idx="4">
                  <c:v>4.8499999999999988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ほたに2!$D$1:$D$2</c:f>
              <c:strCache>
                <c:ptCount val="2"/>
                <c:pt idx="0">
                  <c:v>ほたに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ほたに2!$D$3:$D$7</c:f>
              <c:numCache>
                <c:formatCode>0.00\ "位"</c:formatCode>
                <c:ptCount val="5"/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ほたに2!$E$1:$E$2</c:f>
              <c:strCache>
                <c:ptCount val="2"/>
                <c:pt idx="0">
                  <c:v>ほたに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ほたに2!$E$3:$E$7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ほたに2!$F$1:$F$2</c:f>
              <c:strCache>
                <c:ptCount val="2"/>
                <c:pt idx="0">
                  <c:v>ほたに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ほたに2!$F$3:$F$7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ほたに2!$G$1:$G$2</c:f>
              <c:strCache>
                <c:ptCount val="2"/>
                <c:pt idx="0">
                  <c:v>ほたに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ほたに2!$G$3:$G$7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02150537634408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ほたに2!$H$1:$H$2</c:f>
              <c:strCache>
                <c:ptCount val="2"/>
                <c:pt idx="0">
                  <c:v>ほたに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ほたに2!$H$3:$H$7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33333333333333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ほたに2!$I$1:$I$2</c:f>
              <c:strCache>
                <c:ptCount val="2"/>
                <c:pt idx="0">
                  <c:v>ほたに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ほたに2!$I$3:$I$7</c:f>
              <c:numCache>
                <c:formatCode>0</c:formatCode>
                <c:ptCount val="5"/>
                <c:pt idx="1">
                  <c:v>12000</c:v>
                </c:pt>
                <c:pt idx="2">
                  <c:v>10566.666666666666</c:v>
                </c:pt>
                <c:pt idx="3">
                  <c:v>12340</c:v>
                </c:pt>
                <c:pt idx="4">
                  <c:v>9555.5555555555547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380.515759312320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ほたに2!$J$1:$J$2</c:f>
              <c:strCache>
                <c:ptCount val="2"/>
                <c:pt idx="0">
                  <c:v>ほたに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ほたに2!$J$3:$J$7</c:f>
              <c:numCache>
                <c:formatCode>0</c:formatCode>
                <c:ptCount val="5"/>
                <c:pt idx="1">
                  <c:v>-3250</c:v>
                </c:pt>
                <c:pt idx="2">
                  <c:v>-6166.666666666667</c:v>
                </c:pt>
                <c:pt idx="3">
                  <c:v>-5880</c:v>
                </c:pt>
                <c:pt idx="4">
                  <c:v>-5866.666666666667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066.253101736972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ほたに2!$K$1:$K$2</c:f>
              <c:strCache>
                <c:ptCount val="2"/>
                <c:pt idx="0">
                  <c:v>ほたに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ほたに2!$K$3:$K$7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28368794326241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ほたに2!$L$1:$L$2</c:f>
              <c:strCache>
                <c:ptCount val="2"/>
                <c:pt idx="0">
                  <c:v>ほたに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ほたに2!$L$3:$L$7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28368794326241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ほたに2!$M$1:$M$2</c:f>
              <c:strCache>
                <c:ptCount val="2"/>
                <c:pt idx="0">
                  <c:v>ほたに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ほたに2!$M$3:$M$7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0.30555555555555558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619354838709677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ほたに2!$N$1:$N$2</c:f>
              <c:strCache>
                <c:ptCount val="2"/>
                <c:pt idx="0">
                  <c:v>ほたに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ほたに2!$N$3:$N$7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0.35294117647058826</c:v>
                </c:pt>
                <c:pt idx="3">
                  <c:v>0.32142857142857145</c:v>
                </c:pt>
                <c:pt idx="4">
                  <c:v>0.27777777777777779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240860215053763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ほたに2!$O$1:$O$2</c:f>
              <c:strCache>
                <c:ptCount val="2"/>
                <c:pt idx="0">
                  <c:v>ほたに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ほたに2!$O$3:$O$7</c:f>
              <c:numCache>
                <c:formatCode>0.0%</c:formatCode>
                <c:ptCount val="5"/>
                <c:pt idx="1">
                  <c:v>0.5</c:v>
                </c:pt>
                <c:pt idx="2">
                  <c:v>0.33333333333333331</c:v>
                </c:pt>
                <c:pt idx="3">
                  <c:v>0.4</c:v>
                </c:pt>
                <c:pt idx="4">
                  <c:v>0.54545454545454541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92775041050903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ほたに2!$P$1:$P$2</c:f>
              <c:strCache>
                <c:ptCount val="2"/>
                <c:pt idx="0">
                  <c:v>ほたに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ほたに2!$P$3:$P$7</c:f>
              <c:numCache>
                <c:formatCode>0.0%</c:formatCode>
                <c:ptCount val="5"/>
                <c:pt idx="1">
                  <c:v>0.5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80038387715930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ほたに2!$Q$1:$Q$2</c:f>
              <c:strCache>
                <c:ptCount val="2"/>
                <c:pt idx="0">
                  <c:v>ほたに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ほたに2!$Q$3:$Q$7</c:f>
              <c:numCache>
                <c:formatCode>0.0%</c:formatCode>
                <c:ptCount val="5"/>
                <c:pt idx="1">
                  <c:v>0.5</c:v>
                </c:pt>
                <c:pt idx="2">
                  <c:v>0.66666666666666663</c:v>
                </c:pt>
                <c:pt idx="3">
                  <c:v>0.6</c:v>
                </c:pt>
                <c:pt idx="4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40401146131805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4"/>
      <c r="C1" s="145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46">
        <v>0</v>
      </c>
      <c r="C2" s="147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48">
        <v>0</v>
      </c>
      <c r="C3" s="149"/>
      <c r="E3" s="63" t="s">
        <v>66</v>
      </c>
      <c r="F3" s="28" t="s">
        <v>22</v>
      </c>
      <c r="G3" s="15">
        <v>0</v>
      </c>
      <c r="H3" s="133">
        <f t="shared" ref="H3:H51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0">
        <v>0</v>
      </c>
      <c r="C4" s="151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2">
        <f>IF(B$2=0,0,B$4/B$2)</f>
        <v>0</v>
      </c>
      <c r="C5" s="153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2">
        <f>IF(B$2=0,0,(B$7*1+B$8*2+B$9*3)/B$2)</f>
        <v>0</v>
      </c>
      <c r="C6" s="143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193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194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0">
        <v>0</v>
      </c>
      <c r="C25" s="141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38">
        <v>0</v>
      </c>
      <c r="C26" s="139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183</v>
      </c>
      <c r="G50" s="47">
        <v>0</v>
      </c>
      <c r="H50" s="133">
        <f t="shared" si="1"/>
        <v>0</v>
      </c>
      <c r="I50" s="94"/>
    </row>
    <row r="51" spans="5:9" x14ac:dyDescent="0.4">
      <c r="E51" s="64" t="s">
        <v>181</v>
      </c>
      <c r="F51" s="61" t="s">
        <v>182</v>
      </c>
      <c r="G51" s="49">
        <v>0</v>
      </c>
      <c r="H51" s="134">
        <f t="shared" si="1"/>
        <v>0</v>
      </c>
      <c r="I51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22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43555.865243055552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43557.861886574072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43559.023634259262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43560.077002314814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43561.108229166668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184</v>
      </c>
      <c r="B7" s="31">
        <v>43562.38486111111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187</v>
      </c>
      <c r="I7" s="30" t="s">
        <v>188</v>
      </c>
      <c r="J7" s="30" t="s">
        <v>189</v>
      </c>
    </row>
    <row r="8" spans="1:10" x14ac:dyDescent="0.4">
      <c r="A8" s="30" t="s">
        <v>190</v>
      </c>
      <c r="B8" s="31">
        <v>43566.4999537037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187</v>
      </c>
      <c r="I8" s="30" t="s">
        <v>188</v>
      </c>
    </row>
    <row r="9" spans="1:10" x14ac:dyDescent="0.4">
      <c r="A9" s="30" t="s">
        <v>191</v>
      </c>
      <c r="B9" s="31">
        <v>43564.018368055556</v>
      </c>
      <c r="C9" s="30" t="s">
        <v>130</v>
      </c>
      <c r="D9" s="30" t="s">
        <v>131</v>
      </c>
    </row>
    <row r="10" spans="1:10" x14ac:dyDescent="0.4">
      <c r="A10" s="30" t="s">
        <v>192</v>
      </c>
      <c r="B10" s="31">
        <v>43565.03292824074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195</v>
      </c>
      <c r="B11" s="31">
        <v>43566.030462962961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196</v>
      </c>
      <c r="B12" s="31">
        <v>43567.091620370367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197</v>
      </c>
      <c r="B13" s="31">
        <v>43568.067812499998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198</v>
      </c>
      <c r="B14" s="31">
        <v>43569.100613425922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199</v>
      </c>
      <c r="B15" s="31">
        <v>43570.006145833337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187</v>
      </c>
    </row>
    <row r="16" spans="1:10" x14ac:dyDescent="0.4">
      <c r="A16" s="30" t="s">
        <v>200</v>
      </c>
      <c r="B16" s="31">
        <v>43571.043113425927</v>
      </c>
      <c r="C16" s="30" t="s">
        <v>130</v>
      </c>
      <c r="D16" s="30" t="s">
        <v>131</v>
      </c>
    </row>
    <row r="17" spans="1:10" x14ac:dyDescent="0.4">
      <c r="A17" s="30" t="s">
        <v>201</v>
      </c>
      <c r="B17" s="31">
        <v>43573.057604166665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203</v>
      </c>
      <c r="B18" s="31">
        <v>43574.063946759263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204</v>
      </c>
      <c r="B19" s="31">
        <v>43575.082013888888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205</v>
      </c>
      <c r="B20" s="31">
        <v>43576.05164351852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187</v>
      </c>
    </row>
    <row r="21" spans="1:10" x14ac:dyDescent="0.4">
      <c r="A21" s="30" t="s">
        <v>206</v>
      </c>
      <c r="B21" s="31">
        <v>43577.022303240738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187</v>
      </c>
      <c r="I21" s="30" t="s">
        <v>188</v>
      </c>
      <c r="J21" s="30" t="s">
        <v>189</v>
      </c>
    </row>
    <row r="22" spans="1:10" x14ac:dyDescent="0.4">
      <c r="A22" s="30" t="s">
        <v>207</v>
      </c>
      <c r="B22" s="31">
        <v>43579.04246527778</v>
      </c>
      <c r="C22" s="30" t="s">
        <v>130</v>
      </c>
      <c r="D22" s="30" t="s">
        <v>131</v>
      </c>
      <c r="E22" s="30" t="s">
        <v>169</v>
      </c>
      <c r="F22" s="30" t="s">
        <v>174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1"/>
  <sheetViews>
    <sheetView workbookViewId="0"/>
  </sheetViews>
  <sheetFormatPr defaultRowHeight="18.75" x14ac:dyDescent="0.4"/>
  <sheetData>
    <row r="1" spans="1:1" x14ac:dyDescent="0.4">
      <c r="A1" t="s">
        <v>145</v>
      </c>
    </row>
    <row r="2" spans="1:1" x14ac:dyDescent="0.4">
      <c r="A2" t="s">
        <v>127</v>
      </c>
    </row>
    <row r="3" spans="1:1" x14ac:dyDescent="0.4">
      <c r="A3" t="s">
        <v>128</v>
      </c>
    </row>
    <row r="4" spans="1:1" x14ac:dyDescent="0.4">
      <c r="A4" t="s">
        <v>129</v>
      </c>
    </row>
    <row r="5" spans="1:1" x14ac:dyDescent="0.4">
      <c r="A5" t="s">
        <v>171</v>
      </c>
    </row>
    <row r="6" spans="1:1" x14ac:dyDescent="0.4">
      <c r="A6" t="s">
        <v>172</v>
      </c>
    </row>
    <row r="7" spans="1:1" x14ac:dyDescent="0.4">
      <c r="A7" t="s">
        <v>173</v>
      </c>
    </row>
    <row r="8" spans="1:1" x14ac:dyDescent="0.4">
      <c r="A8" t="s">
        <v>177</v>
      </c>
    </row>
    <row r="9" spans="1:1" x14ac:dyDescent="0.4">
      <c r="A9" t="s">
        <v>185</v>
      </c>
    </row>
    <row r="10" spans="1:1" x14ac:dyDescent="0.4">
      <c r="A10" t="s">
        <v>186</v>
      </c>
    </row>
    <row r="11" spans="1:1" x14ac:dyDescent="0.4">
      <c r="A11" t="s">
        <v>202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3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6" t="s">
        <v>6</v>
      </c>
      <c r="C1" s="157"/>
      <c r="D1" s="156" t="s">
        <v>7</v>
      </c>
      <c r="E1" s="157"/>
      <c r="F1" s="156" t="s">
        <v>16</v>
      </c>
      <c r="G1" s="157"/>
      <c r="H1" s="156" t="s">
        <v>15</v>
      </c>
      <c r="I1" s="157"/>
      <c r="J1" s="156" t="s">
        <v>162</v>
      </c>
      <c r="K1" s="157"/>
      <c r="L1" s="156" t="s">
        <v>149</v>
      </c>
      <c r="M1" s="157"/>
      <c r="N1" s="156" t="s">
        <v>150</v>
      </c>
      <c r="O1" s="157"/>
      <c r="P1" s="156" t="s">
        <v>5</v>
      </c>
      <c r="Q1" s="157"/>
      <c r="R1" s="156" t="s">
        <v>17</v>
      </c>
      <c r="S1" s="157"/>
      <c r="T1" s="156" t="s">
        <v>18</v>
      </c>
      <c r="U1" s="157"/>
      <c r="V1" s="156" t="s">
        <v>141</v>
      </c>
      <c r="W1" s="157"/>
      <c r="X1" s="156" t="s">
        <v>123</v>
      </c>
      <c r="Y1" s="157"/>
      <c r="Z1" s="156" t="s">
        <v>120</v>
      </c>
      <c r="AA1" s="157"/>
      <c r="AB1" s="156" t="s">
        <v>126</v>
      </c>
      <c r="AC1" s="157"/>
      <c r="AD1" s="156" t="s">
        <v>151</v>
      </c>
      <c r="AE1" s="157"/>
      <c r="AF1" s="156" t="s">
        <v>144</v>
      </c>
      <c r="AG1" s="157"/>
      <c r="AH1" s="156" t="s">
        <v>153</v>
      </c>
      <c r="AI1" s="157"/>
    </row>
    <row r="2" spans="1:35" x14ac:dyDescent="0.4">
      <c r="A2" s="72" t="s">
        <v>161</v>
      </c>
      <c r="B2" s="158"/>
      <c r="C2" s="159"/>
      <c r="D2" s="158"/>
      <c r="E2" s="159"/>
      <c r="F2" s="154">
        <v>0.66397334855808066</v>
      </c>
      <c r="G2" s="155"/>
      <c r="H2" s="154">
        <v>0.64663897792436142</v>
      </c>
      <c r="I2" s="155"/>
      <c r="J2" s="154">
        <v>0.62200302965863197</v>
      </c>
      <c r="K2" s="155"/>
      <c r="L2" s="154">
        <v>0.57555058867431708</v>
      </c>
      <c r="M2" s="155"/>
      <c r="N2" s="154">
        <v>0.35027928515266321</v>
      </c>
      <c r="O2" s="155"/>
      <c r="P2" s="154">
        <v>0.78829074259556919</v>
      </c>
      <c r="Q2" s="155"/>
      <c r="R2" s="154">
        <v>-0.1248323632559494</v>
      </c>
      <c r="S2" s="155"/>
      <c r="T2" s="154">
        <v>0.35977594099255011</v>
      </c>
      <c r="U2" s="155"/>
      <c r="V2" s="154">
        <v>0.71972896369153594</v>
      </c>
      <c r="W2" s="155"/>
      <c r="X2" s="154">
        <v>0.97587840303719664</v>
      </c>
      <c r="Y2" s="155"/>
      <c r="Z2" s="154">
        <v>-0.21941871226697846</v>
      </c>
      <c r="AA2" s="155"/>
      <c r="AB2" s="154">
        <v>0.52264236707837519</v>
      </c>
      <c r="AC2" s="155"/>
      <c r="AD2" s="154">
        <v>0.37138794264644887</v>
      </c>
      <c r="AE2" s="155"/>
      <c r="AF2" s="154">
        <v>5.278445809313935E-3</v>
      </c>
      <c r="AG2" s="155"/>
      <c r="AH2" s="154">
        <v>0.65967940198850583</v>
      </c>
      <c r="AI2" s="155"/>
    </row>
    <row r="3" spans="1:35" x14ac:dyDescent="0.4">
      <c r="A3" s="74">
        <v>1</v>
      </c>
      <c r="B3" s="75" t="s">
        <v>127</v>
      </c>
      <c r="C3" s="76">
        <v>1610.8000000000006</v>
      </c>
      <c r="D3" s="77" t="s">
        <v>127</v>
      </c>
      <c r="E3" s="96">
        <v>24.041791044776129</v>
      </c>
      <c r="F3" s="77" t="s">
        <v>185</v>
      </c>
      <c r="G3" s="78">
        <v>1.3333333333333333</v>
      </c>
      <c r="H3" s="77" t="s">
        <v>185</v>
      </c>
      <c r="I3" s="79">
        <v>0.66666666666666663</v>
      </c>
      <c r="J3" s="77" t="s">
        <v>185</v>
      </c>
      <c r="K3" s="79">
        <v>0</v>
      </c>
      <c r="L3" s="77" t="s">
        <v>127</v>
      </c>
      <c r="M3" s="80">
        <v>0.40262172284644193</v>
      </c>
      <c r="N3" s="77" t="s">
        <v>185</v>
      </c>
      <c r="O3" s="80">
        <v>0.10526315789473684</v>
      </c>
      <c r="P3" s="77" t="s">
        <v>202</v>
      </c>
      <c r="Q3" s="81">
        <v>9555.5555555555547</v>
      </c>
      <c r="R3" s="77" t="s">
        <v>185</v>
      </c>
      <c r="S3" s="81">
        <v>-5150</v>
      </c>
      <c r="T3" s="77" t="s">
        <v>185</v>
      </c>
      <c r="U3" s="79">
        <v>0</v>
      </c>
      <c r="V3" s="77" t="s">
        <v>127</v>
      </c>
      <c r="W3" s="79">
        <v>0.20895522388059701</v>
      </c>
      <c r="X3" s="77" t="s">
        <v>127</v>
      </c>
      <c r="Y3" s="80">
        <v>0.33146067415730335</v>
      </c>
      <c r="Z3" s="77" t="s">
        <v>172</v>
      </c>
      <c r="AA3" s="80">
        <v>0.34509803921568627</v>
      </c>
      <c r="AB3" s="77" t="s">
        <v>186</v>
      </c>
      <c r="AC3" s="80">
        <v>0.7142857142857143</v>
      </c>
      <c r="AD3" s="77" t="s">
        <v>127</v>
      </c>
      <c r="AE3" s="80">
        <v>0.5419847328244275</v>
      </c>
      <c r="AF3" s="77" t="s">
        <v>202</v>
      </c>
      <c r="AG3" s="80">
        <v>0.66666666666666663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172</v>
      </c>
      <c r="C4" s="84">
        <v>63.300000000000011</v>
      </c>
      <c r="D4" s="85" t="s">
        <v>185</v>
      </c>
      <c r="E4" s="97">
        <v>20.333333333333332</v>
      </c>
      <c r="F4" s="85" t="s">
        <v>127</v>
      </c>
      <c r="G4" s="86">
        <v>1.5223880597014925</v>
      </c>
      <c r="H4" s="85" t="s">
        <v>127</v>
      </c>
      <c r="I4" s="87">
        <v>0.61194029850746268</v>
      </c>
      <c r="J4" s="85" t="s">
        <v>202</v>
      </c>
      <c r="K4" s="87">
        <v>0</v>
      </c>
      <c r="L4" s="85" t="s">
        <v>172</v>
      </c>
      <c r="M4" s="88">
        <v>0.34901960784313724</v>
      </c>
      <c r="N4" s="85" t="s">
        <v>127</v>
      </c>
      <c r="O4" s="88">
        <v>0.1404494382022472</v>
      </c>
      <c r="P4" s="85" t="s">
        <v>127</v>
      </c>
      <c r="Q4" s="89">
        <v>9379.0697674418607</v>
      </c>
      <c r="R4" s="85" t="s">
        <v>202</v>
      </c>
      <c r="S4" s="89">
        <v>-5866.666666666667</v>
      </c>
      <c r="T4" s="85" t="s">
        <v>202</v>
      </c>
      <c r="U4" s="87">
        <v>0</v>
      </c>
      <c r="V4" s="85" t="s">
        <v>172</v>
      </c>
      <c r="W4" s="87">
        <v>0.13333333333333333</v>
      </c>
      <c r="X4" s="85" t="s">
        <v>202</v>
      </c>
      <c r="Y4" s="88">
        <v>0.30555555555555558</v>
      </c>
      <c r="Z4" s="85" t="s">
        <v>177</v>
      </c>
      <c r="AA4" s="88">
        <v>0.29203539823008851</v>
      </c>
      <c r="AB4" s="85" t="s">
        <v>128</v>
      </c>
      <c r="AC4" s="88">
        <v>0.62987012987012991</v>
      </c>
      <c r="AD4" s="85" t="s">
        <v>185</v>
      </c>
      <c r="AE4" s="88">
        <v>0.5</v>
      </c>
      <c r="AF4" s="85" t="s">
        <v>129</v>
      </c>
      <c r="AG4" s="88">
        <v>0.51219512195121952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185</v>
      </c>
      <c r="C5" s="84">
        <v>61</v>
      </c>
      <c r="D5" s="85" t="s">
        <v>202</v>
      </c>
      <c r="E5" s="97">
        <v>4.8499999999999988</v>
      </c>
      <c r="F5" s="85" t="s">
        <v>202</v>
      </c>
      <c r="G5" s="86">
        <v>1.75</v>
      </c>
      <c r="H5" s="85" t="s">
        <v>177</v>
      </c>
      <c r="I5" s="87">
        <v>0.33333333333333331</v>
      </c>
      <c r="J5" s="85" t="s">
        <v>127</v>
      </c>
      <c r="K5" s="87">
        <v>0.13432835820895522</v>
      </c>
      <c r="L5" s="85" t="s">
        <v>145</v>
      </c>
      <c r="M5" s="88">
        <v>0.30021505376344088</v>
      </c>
      <c r="N5" s="85" t="s">
        <v>172</v>
      </c>
      <c r="O5" s="88">
        <v>0.14509803921568629</v>
      </c>
      <c r="P5" s="85" t="s">
        <v>171</v>
      </c>
      <c r="Q5" s="89">
        <v>8955.1282051282051</v>
      </c>
      <c r="R5" s="85" t="s">
        <v>171</v>
      </c>
      <c r="S5" s="89">
        <v>-7225.4901960784309</v>
      </c>
      <c r="T5" s="85" t="s">
        <v>171</v>
      </c>
      <c r="U5" s="87">
        <v>2.6315789473684209E-2</v>
      </c>
      <c r="V5" s="85" t="s">
        <v>171</v>
      </c>
      <c r="W5" s="87">
        <v>0.13157894736842105</v>
      </c>
      <c r="X5" s="85" t="s">
        <v>128</v>
      </c>
      <c r="Y5" s="88">
        <v>0.27797833935018051</v>
      </c>
      <c r="Z5" s="85" t="s">
        <v>202</v>
      </c>
      <c r="AA5" s="88">
        <v>0.27777777777777779</v>
      </c>
      <c r="AB5" s="85" t="s">
        <v>127</v>
      </c>
      <c r="AC5" s="88">
        <v>0.6271186440677966</v>
      </c>
      <c r="AD5" s="85" t="s">
        <v>172</v>
      </c>
      <c r="AE5" s="88">
        <v>0.42045454545454547</v>
      </c>
      <c r="AF5" s="85" t="s">
        <v>173</v>
      </c>
      <c r="AG5" s="88">
        <v>0.5</v>
      </c>
      <c r="AH5" s="85" t="s">
        <v>172</v>
      </c>
      <c r="AI5" s="92">
        <v>97500</v>
      </c>
    </row>
    <row r="6" spans="1:35" x14ac:dyDescent="0.4">
      <c r="A6" s="82">
        <v>4</v>
      </c>
      <c r="B6" s="83" t="s">
        <v>202</v>
      </c>
      <c r="C6" s="84">
        <v>19.399999999999995</v>
      </c>
      <c r="D6" s="85" t="s">
        <v>172</v>
      </c>
      <c r="E6" s="97">
        <v>2.1100000000000003</v>
      </c>
      <c r="F6" s="85" t="s">
        <v>145</v>
      </c>
      <c r="G6" s="86">
        <v>2</v>
      </c>
      <c r="H6" s="85" t="s">
        <v>145</v>
      </c>
      <c r="I6" s="87">
        <v>0.33333333333333331</v>
      </c>
      <c r="J6" s="85" t="s">
        <v>128</v>
      </c>
      <c r="K6" s="87">
        <v>0.31343283582089554</v>
      </c>
      <c r="L6" s="85" t="s">
        <v>173</v>
      </c>
      <c r="M6" s="88">
        <v>0.28837209302325584</v>
      </c>
      <c r="N6" s="85" t="s">
        <v>171</v>
      </c>
      <c r="O6" s="88">
        <v>0.15937499999999999</v>
      </c>
      <c r="P6" s="85" t="s">
        <v>128</v>
      </c>
      <c r="Q6" s="89">
        <v>8836.0759493670885</v>
      </c>
      <c r="R6" s="85" t="s">
        <v>177</v>
      </c>
      <c r="S6" s="89">
        <v>-7250</v>
      </c>
      <c r="T6" s="85" t="s">
        <v>127</v>
      </c>
      <c r="U6" s="87">
        <v>4.4776119402985072E-2</v>
      </c>
      <c r="V6" s="85" t="s">
        <v>145</v>
      </c>
      <c r="W6" s="87">
        <v>0.10283687943262411</v>
      </c>
      <c r="X6" s="85" t="s">
        <v>185</v>
      </c>
      <c r="Y6" s="88">
        <v>0.26315789473684209</v>
      </c>
      <c r="Z6" s="85" t="s">
        <v>127</v>
      </c>
      <c r="AA6" s="88">
        <v>0.24531835205992508</v>
      </c>
      <c r="AB6" s="85" t="s">
        <v>185</v>
      </c>
      <c r="AC6" s="88">
        <v>0.6</v>
      </c>
      <c r="AD6" s="85" t="s">
        <v>177</v>
      </c>
      <c r="AE6" s="88">
        <v>0.39393939393939392</v>
      </c>
      <c r="AF6" s="85" t="s">
        <v>186</v>
      </c>
      <c r="AG6" s="88">
        <v>0.5</v>
      </c>
      <c r="AH6" s="85" t="s">
        <v>128</v>
      </c>
      <c r="AI6" s="92">
        <v>94000</v>
      </c>
    </row>
    <row r="7" spans="1:35" x14ac:dyDescent="0.4">
      <c r="A7" s="82">
        <v>5</v>
      </c>
      <c r="B7" s="83" t="s">
        <v>145</v>
      </c>
      <c r="C7" s="84">
        <v>0</v>
      </c>
      <c r="D7" s="85" t="s">
        <v>145</v>
      </c>
      <c r="E7" s="97">
        <v>0</v>
      </c>
      <c r="F7" s="85" t="s">
        <v>128</v>
      </c>
      <c r="G7" s="86">
        <v>2.0597014925373136</v>
      </c>
      <c r="H7" s="85" t="s">
        <v>172</v>
      </c>
      <c r="I7" s="87">
        <v>0.3</v>
      </c>
      <c r="J7" s="85" t="s">
        <v>145</v>
      </c>
      <c r="K7" s="87">
        <v>0.33333333333333331</v>
      </c>
      <c r="L7" s="85" t="s">
        <v>128</v>
      </c>
      <c r="M7" s="88">
        <v>0.2851985559566787</v>
      </c>
      <c r="N7" s="85" t="s">
        <v>202</v>
      </c>
      <c r="O7" s="88">
        <v>0.16666666666666666</v>
      </c>
      <c r="P7" s="85" t="s">
        <v>145</v>
      </c>
      <c r="Q7" s="89">
        <v>8380.5157593123204</v>
      </c>
      <c r="R7" s="85" t="s">
        <v>128</v>
      </c>
      <c r="S7" s="89">
        <v>-7266.3265306122448</v>
      </c>
      <c r="T7" s="85" t="s">
        <v>172</v>
      </c>
      <c r="U7" s="87">
        <v>6.6666666666666666E-2</v>
      </c>
      <c r="V7" s="85" t="s">
        <v>128</v>
      </c>
      <c r="W7" s="87">
        <v>7.4626865671641784E-2</v>
      </c>
      <c r="X7" s="85" t="s">
        <v>145</v>
      </c>
      <c r="Y7" s="88">
        <v>0.26193548387096777</v>
      </c>
      <c r="Z7" s="85" t="s">
        <v>186</v>
      </c>
      <c r="AA7" s="88">
        <v>0.22807017543859648</v>
      </c>
      <c r="AB7" s="85" t="s">
        <v>145</v>
      </c>
      <c r="AC7" s="88">
        <v>0.59277504105090317</v>
      </c>
      <c r="AD7" s="85" t="s">
        <v>186</v>
      </c>
      <c r="AE7" s="88">
        <v>0.38461538461538464</v>
      </c>
      <c r="AF7" s="85" t="s">
        <v>145</v>
      </c>
      <c r="AG7" s="88">
        <v>0.41404011461318052</v>
      </c>
      <c r="AH7" s="85" t="s">
        <v>171</v>
      </c>
      <c r="AI7" s="92">
        <v>91700</v>
      </c>
    </row>
    <row r="8" spans="1:35" x14ac:dyDescent="0.4">
      <c r="A8" s="82">
        <v>6</v>
      </c>
      <c r="B8" s="83" t="s">
        <v>171</v>
      </c>
      <c r="C8" s="84">
        <v>-76.599999999999994</v>
      </c>
      <c r="D8" s="85" t="s">
        <v>171</v>
      </c>
      <c r="E8" s="97">
        <v>-2.0157894736842104</v>
      </c>
      <c r="F8" s="85" t="s">
        <v>172</v>
      </c>
      <c r="G8" s="86">
        <v>2.0666666666666669</v>
      </c>
      <c r="H8" s="85" t="s">
        <v>171</v>
      </c>
      <c r="I8" s="87">
        <v>0.26315789473684209</v>
      </c>
      <c r="J8" s="85" t="s">
        <v>172</v>
      </c>
      <c r="K8" s="87">
        <v>0.36666666666666664</v>
      </c>
      <c r="L8" s="85" t="s">
        <v>185</v>
      </c>
      <c r="M8" s="88">
        <v>0.26315789473684209</v>
      </c>
      <c r="N8" s="85" t="s">
        <v>145</v>
      </c>
      <c r="O8" s="88">
        <v>0.17333333333333334</v>
      </c>
      <c r="P8" s="85" t="s">
        <v>185</v>
      </c>
      <c r="Q8" s="89">
        <v>7860</v>
      </c>
      <c r="R8" s="85" t="s">
        <v>145</v>
      </c>
      <c r="S8" s="89">
        <v>-8066.2531017369729</v>
      </c>
      <c r="T8" s="85" t="s">
        <v>145</v>
      </c>
      <c r="U8" s="87">
        <v>0.10283687943262411</v>
      </c>
      <c r="V8" s="85" t="s">
        <v>173</v>
      </c>
      <c r="W8" s="87">
        <v>4.1666666666666664E-2</v>
      </c>
      <c r="X8" s="85" t="s">
        <v>171</v>
      </c>
      <c r="Y8" s="88">
        <v>0.24687500000000001</v>
      </c>
      <c r="Z8" s="85" t="s">
        <v>173</v>
      </c>
      <c r="AA8" s="88">
        <v>0.22790697674418606</v>
      </c>
      <c r="AB8" s="85" t="s">
        <v>172</v>
      </c>
      <c r="AC8" s="88">
        <v>0.58181818181818179</v>
      </c>
      <c r="AD8" s="85" t="s">
        <v>145</v>
      </c>
      <c r="AE8" s="88">
        <v>0.3800383877159309</v>
      </c>
      <c r="AF8" s="85" t="s">
        <v>127</v>
      </c>
      <c r="AG8" s="88">
        <v>0.40465116279069768</v>
      </c>
      <c r="AH8" s="85" t="s">
        <v>177</v>
      </c>
      <c r="AI8" s="92">
        <v>65000</v>
      </c>
    </row>
    <row r="9" spans="1:35" x14ac:dyDescent="0.4">
      <c r="A9" s="82">
        <v>7</v>
      </c>
      <c r="B9" s="83" t="s">
        <v>177</v>
      </c>
      <c r="C9" s="84">
        <v>-146.19999999999999</v>
      </c>
      <c r="D9" s="85" t="s">
        <v>128</v>
      </c>
      <c r="E9" s="97">
        <v>-2.2298507462686574</v>
      </c>
      <c r="F9" s="85" t="s">
        <v>171</v>
      </c>
      <c r="G9" s="86">
        <v>2.1052631578947367</v>
      </c>
      <c r="H9" s="85" t="s">
        <v>128</v>
      </c>
      <c r="I9" s="87">
        <v>0.2537313432835821</v>
      </c>
      <c r="J9" s="85" t="s">
        <v>171</v>
      </c>
      <c r="K9" s="87">
        <v>0.36842105263157893</v>
      </c>
      <c r="L9" s="85" t="s">
        <v>177</v>
      </c>
      <c r="M9" s="88">
        <v>0.25663716814159293</v>
      </c>
      <c r="N9" s="85" t="s">
        <v>128</v>
      </c>
      <c r="O9" s="88">
        <v>0.17689530685920576</v>
      </c>
      <c r="P9" s="85" t="s">
        <v>129</v>
      </c>
      <c r="Q9" s="89">
        <v>7680.4878048780483</v>
      </c>
      <c r="R9" s="85" t="s">
        <v>127</v>
      </c>
      <c r="S9" s="89">
        <v>-8162.666666666667</v>
      </c>
      <c r="T9" s="85" t="s">
        <v>128</v>
      </c>
      <c r="U9" s="87">
        <v>0.11940298507462686</v>
      </c>
      <c r="V9" s="85" t="s">
        <v>129</v>
      </c>
      <c r="W9" s="87">
        <v>0</v>
      </c>
      <c r="X9" s="85" t="s">
        <v>129</v>
      </c>
      <c r="Y9" s="88">
        <v>0.24324324324324326</v>
      </c>
      <c r="Z9" s="85" t="s">
        <v>145</v>
      </c>
      <c r="AA9" s="88">
        <v>0.22408602150537635</v>
      </c>
      <c r="AB9" s="85" t="s">
        <v>171</v>
      </c>
      <c r="AC9" s="88">
        <v>0.55696202531645567</v>
      </c>
      <c r="AD9" s="85" t="s">
        <v>173</v>
      </c>
      <c r="AE9" s="88">
        <v>0.32653061224489793</v>
      </c>
      <c r="AF9" s="85" t="s">
        <v>172</v>
      </c>
      <c r="AG9" s="88">
        <v>0.4044943820224719</v>
      </c>
      <c r="AH9" s="85" t="s">
        <v>173</v>
      </c>
      <c r="AI9" s="92">
        <v>58900</v>
      </c>
    </row>
    <row r="10" spans="1:35" x14ac:dyDescent="0.4">
      <c r="A10" s="82">
        <v>8</v>
      </c>
      <c r="B10" s="83" t="s">
        <v>128</v>
      </c>
      <c r="C10" s="84">
        <v>-149.40000000000003</v>
      </c>
      <c r="D10" s="85" t="s">
        <v>177</v>
      </c>
      <c r="E10" s="97">
        <v>-9.7466666666666661</v>
      </c>
      <c r="F10" s="85" t="s">
        <v>177</v>
      </c>
      <c r="G10" s="86">
        <v>2.1333333333333333</v>
      </c>
      <c r="H10" s="85" t="s">
        <v>202</v>
      </c>
      <c r="I10" s="87">
        <v>0.25</v>
      </c>
      <c r="J10" s="85" t="s">
        <v>173</v>
      </c>
      <c r="K10" s="87">
        <v>0.375</v>
      </c>
      <c r="L10" s="85" t="s">
        <v>202</v>
      </c>
      <c r="M10" s="88">
        <v>0.25</v>
      </c>
      <c r="N10" s="85" t="s">
        <v>177</v>
      </c>
      <c r="O10" s="88">
        <v>0.17699115044247787</v>
      </c>
      <c r="P10" s="85" t="s">
        <v>172</v>
      </c>
      <c r="Q10" s="89">
        <v>7180.8988764044943</v>
      </c>
      <c r="R10" s="85" t="s">
        <v>173</v>
      </c>
      <c r="S10" s="89">
        <v>-8182.9787234042551</v>
      </c>
      <c r="T10" s="85" t="s">
        <v>173</v>
      </c>
      <c r="U10" s="87">
        <v>0.125</v>
      </c>
      <c r="V10" s="85" t="s">
        <v>177</v>
      </c>
      <c r="W10" s="87">
        <v>0</v>
      </c>
      <c r="X10" s="85" t="s">
        <v>173</v>
      </c>
      <c r="Y10" s="88">
        <v>0.21860465116279071</v>
      </c>
      <c r="Z10" s="85" t="s">
        <v>185</v>
      </c>
      <c r="AA10" s="88">
        <v>0.21052631578947367</v>
      </c>
      <c r="AB10" s="85" t="s">
        <v>173</v>
      </c>
      <c r="AC10" s="88">
        <v>0.55319148936170215</v>
      </c>
      <c r="AD10" s="85" t="s">
        <v>171</v>
      </c>
      <c r="AE10" s="88">
        <v>0.31481481481481483</v>
      </c>
      <c r="AF10" s="85" t="s">
        <v>128</v>
      </c>
      <c r="AG10" s="88">
        <v>0.39873417721518989</v>
      </c>
      <c r="AH10" s="85" t="s">
        <v>202</v>
      </c>
      <c r="AI10" s="92">
        <v>54800</v>
      </c>
    </row>
    <row r="11" spans="1:35" x14ac:dyDescent="0.4">
      <c r="A11" s="82">
        <v>9</v>
      </c>
      <c r="B11" s="83" t="s">
        <v>186</v>
      </c>
      <c r="C11" s="84">
        <v>-218.2</v>
      </c>
      <c r="D11" s="85" t="s">
        <v>173</v>
      </c>
      <c r="E11" s="97">
        <v>-11.995833333333332</v>
      </c>
      <c r="F11" s="85" t="s">
        <v>173</v>
      </c>
      <c r="G11" s="86">
        <v>2.1666666666666665</v>
      </c>
      <c r="H11" s="85" t="s">
        <v>173</v>
      </c>
      <c r="I11" s="87">
        <v>0.20833333333333334</v>
      </c>
      <c r="J11" s="85" t="s">
        <v>177</v>
      </c>
      <c r="K11" s="87">
        <v>0.46666666666666667</v>
      </c>
      <c r="L11" s="85" t="s">
        <v>171</v>
      </c>
      <c r="M11" s="88">
        <v>0.24374999999999999</v>
      </c>
      <c r="N11" s="85" t="s">
        <v>173</v>
      </c>
      <c r="O11" s="88">
        <v>0.21860465116279071</v>
      </c>
      <c r="P11" s="85" t="s">
        <v>186</v>
      </c>
      <c r="Q11" s="89">
        <v>6500</v>
      </c>
      <c r="R11" s="85" t="s">
        <v>186</v>
      </c>
      <c r="S11" s="89">
        <v>-8762.5</v>
      </c>
      <c r="T11" s="85" t="s">
        <v>186</v>
      </c>
      <c r="U11" s="87">
        <v>0.14285714285714285</v>
      </c>
      <c r="V11" s="85" t="s">
        <v>185</v>
      </c>
      <c r="W11" s="87">
        <v>0</v>
      </c>
      <c r="X11" s="85" t="s">
        <v>172</v>
      </c>
      <c r="Y11" s="88">
        <v>0.21568627450980393</v>
      </c>
      <c r="Z11" s="85" t="s">
        <v>128</v>
      </c>
      <c r="AA11" s="88">
        <v>0.1967509025270758</v>
      </c>
      <c r="AB11" s="85" t="s">
        <v>177</v>
      </c>
      <c r="AC11" s="88">
        <v>0.55000000000000004</v>
      </c>
      <c r="AD11" s="85" t="s">
        <v>202</v>
      </c>
      <c r="AE11" s="88">
        <v>0.3</v>
      </c>
      <c r="AF11" s="85" t="s">
        <v>177</v>
      </c>
      <c r="AG11" s="88">
        <v>0.37931034482758619</v>
      </c>
      <c r="AH11" s="85" t="s">
        <v>185</v>
      </c>
      <c r="AI11" s="92">
        <v>53500</v>
      </c>
    </row>
    <row r="12" spans="1:35" x14ac:dyDescent="0.4">
      <c r="A12" s="82">
        <v>10</v>
      </c>
      <c r="B12" s="83" t="s">
        <v>173</v>
      </c>
      <c r="C12" s="84">
        <v>-287.89999999999998</v>
      </c>
      <c r="D12" s="85" t="s">
        <v>186</v>
      </c>
      <c r="E12" s="97">
        <v>-31.171428571428571</v>
      </c>
      <c r="F12" s="85" t="s">
        <v>129</v>
      </c>
      <c r="G12" s="86">
        <v>2.5555555555555554</v>
      </c>
      <c r="H12" s="85" t="s">
        <v>186</v>
      </c>
      <c r="I12" s="87">
        <v>0.14285714285714285</v>
      </c>
      <c r="J12" s="85" t="s">
        <v>129</v>
      </c>
      <c r="K12" s="87">
        <v>0.66666666666666663</v>
      </c>
      <c r="L12" s="85" t="s">
        <v>186</v>
      </c>
      <c r="M12" s="88">
        <v>0.21052631578947367</v>
      </c>
      <c r="N12" s="85" t="s">
        <v>129</v>
      </c>
      <c r="O12" s="88">
        <v>0.22972972972972974</v>
      </c>
      <c r="P12" s="85" t="s">
        <v>173</v>
      </c>
      <c r="Q12" s="89">
        <v>6398.3870967741932</v>
      </c>
      <c r="R12" s="85" t="s">
        <v>172</v>
      </c>
      <c r="S12" s="89">
        <v>-8851.3513513513517</v>
      </c>
      <c r="T12" s="85" t="s">
        <v>177</v>
      </c>
      <c r="U12" s="87">
        <v>0.2</v>
      </c>
      <c r="V12" s="85" t="s">
        <v>186</v>
      </c>
      <c r="W12" s="87">
        <v>0</v>
      </c>
      <c r="X12" s="85" t="s">
        <v>177</v>
      </c>
      <c r="Y12" s="88">
        <v>0.17699115044247787</v>
      </c>
      <c r="Z12" s="85" t="s">
        <v>171</v>
      </c>
      <c r="AA12" s="88">
        <v>0.16875000000000001</v>
      </c>
      <c r="AB12" s="85" t="s">
        <v>202</v>
      </c>
      <c r="AC12" s="88">
        <v>0.54545454545454541</v>
      </c>
      <c r="AD12" s="85" t="s">
        <v>128</v>
      </c>
      <c r="AE12" s="88">
        <v>0.27522935779816515</v>
      </c>
      <c r="AF12" s="85" t="s">
        <v>171</v>
      </c>
      <c r="AG12" s="88">
        <v>0.34615384615384615</v>
      </c>
      <c r="AH12" s="85" t="s">
        <v>129</v>
      </c>
      <c r="AI12" s="92">
        <v>52200</v>
      </c>
    </row>
    <row r="13" spans="1:35" x14ac:dyDescent="0.4">
      <c r="A13" s="82">
        <v>11</v>
      </c>
      <c r="B13" s="83" t="s">
        <v>129</v>
      </c>
      <c r="C13" s="84">
        <v>-876.19999999999993</v>
      </c>
      <c r="D13" s="85" t="s">
        <v>129</v>
      </c>
      <c r="E13" s="97">
        <v>-32.451851851851849</v>
      </c>
      <c r="F13" s="85" t="s">
        <v>186</v>
      </c>
      <c r="G13" s="86">
        <v>2.5714285714285716</v>
      </c>
      <c r="H13" s="85" t="s">
        <v>129</v>
      </c>
      <c r="I13" s="87">
        <v>0.1111111111111111</v>
      </c>
      <c r="J13" s="85" t="s">
        <v>186</v>
      </c>
      <c r="K13" s="87">
        <v>0.7142857142857143</v>
      </c>
      <c r="L13" s="85" t="s">
        <v>129</v>
      </c>
      <c r="M13" s="88">
        <v>0.18468468468468469</v>
      </c>
      <c r="N13" s="85" t="s">
        <v>186</v>
      </c>
      <c r="O13" s="88">
        <v>0.2807017543859649</v>
      </c>
      <c r="P13" s="85" t="s">
        <v>177</v>
      </c>
      <c r="Q13" s="89">
        <v>6362.0689655172409</v>
      </c>
      <c r="R13" s="85" t="s">
        <v>129</v>
      </c>
      <c r="S13" s="89">
        <v>-10100</v>
      </c>
      <c r="T13" s="85" t="s">
        <v>129</v>
      </c>
      <c r="U13" s="87">
        <v>0.29629629629629628</v>
      </c>
      <c r="V13" s="85" t="s">
        <v>202</v>
      </c>
      <c r="W13" s="87">
        <v>0</v>
      </c>
      <c r="X13" s="85" t="s">
        <v>186</v>
      </c>
      <c r="Y13" s="88">
        <v>0.12280701754385964</v>
      </c>
      <c r="Z13" s="85" t="s">
        <v>129</v>
      </c>
      <c r="AA13" s="88">
        <v>0.13513513513513514</v>
      </c>
      <c r="AB13" s="85" t="s">
        <v>129</v>
      </c>
      <c r="AC13" s="88">
        <v>0.48148148148148145</v>
      </c>
      <c r="AD13" s="85" t="s">
        <v>129</v>
      </c>
      <c r="AE13" s="88">
        <v>0.13333333333333333</v>
      </c>
      <c r="AF13" s="85" t="s">
        <v>185</v>
      </c>
      <c r="AG13" s="88">
        <v>0.2</v>
      </c>
      <c r="AH13" s="85" t="s">
        <v>186</v>
      </c>
      <c r="AI13" s="92">
        <v>43600</v>
      </c>
    </row>
  </sheetData>
  <sortState ref="AH3:AI41">
    <sortCondition descending="1" ref="AI1"/>
  </sortState>
  <mergeCells count="34">
    <mergeCell ref="AH1:AI1"/>
    <mergeCell ref="B1:C1"/>
    <mergeCell ref="D1:E1"/>
    <mergeCell ref="F1:G1"/>
    <mergeCell ref="H1:I1"/>
    <mergeCell ref="L1:M1"/>
    <mergeCell ref="J1:K1"/>
    <mergeCell ref="P1:Q1"/>
    <mergeCell ref="R1:S1"/>
    <mergeCell ref="T1:U1"/>
    <mergeCell ref="V1:W1"/>
    <mergeCell ref="X1:Y1"/>
    <mergeCell ref="Z1:AA1"/>
    <mergeCell ref="AB1:AC1"/>
    <mergeCell ref="AD1:AE1"/>
    <mergeCell ref="AF1:AG1"/>
    <mergeCell ref="B2:C2"/>
    <mergeCell ref="D2:E2"/>
    <mergeCell ref="F2:G2"/>
    <mergeCell ref="H2:I2"/>
    <mergeCell ref="L2:M2"/>
    <mergeCell ref="J2:K2"/>
    <mergeCell ref="N2:O2"/>
    <mergeCell ref="P2:Q2"/>
    <mergeCell ref="R2:S2"/>
    <mergeCell ref="T2:U2"/>
    <mergeCell ref="V2:W2"/>
    <mergeCell ref="AF2:AG2"/>
    <mergeCell ref="N1:O1"/>
    <mergeCell ref="AH2:AI2"/>
    <mergeCell ref="X2:Y2"/>
    <mergeCell ref="Z2:AA2"/>
    <mergeCell ref="AB2:AC2"/>
    <mergeCell ref="AD2:AE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D75D8-072A-4355-A00A-9D7F1D05B62A}">
  <sheetPr codeName="Sheet4"/>
  <dimension ref="A1:Q284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145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282</v>
      </c>
      <c r="C2" s="147"/>
      <c r="E2" s="62" t="s">
        <v>67</v>
      </c>
      <c r="F2" s="59" t="s">
        <v>23</v>
      </c>
      <c r="G2" s="46">
        <v>509</v>
      </c>
      <c r="H2" s="132">
        <f>IF(B$17=0,0,G2/B$17)</f>
        <v>0.72922636103151861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-17.730496453900709</v>
      </c>
      <c r="P2" s="118">
        <v>282</v>
      </c>
      <c r="Q2" s="102">
        <v>-5000</v>
      </c>
    </row>
    <row r="3" spans="1:17" x14ac:dyDescent="0.4">
      <c r="A3" s="55" t="s">
        <v>8</v>
      </c>
      <c r="B3" s="148">
        <v>2325</v>
      </c>
      <c r="C3" s="149"/>
      <c r="E3" s="63" t="s">
        <v>73</v>
      </c>
      <c r="F3" s="60" t="s">
        <v>28</v>
      </c>
      <c r="G3" s="47">
        <v>373</v>
      </c>
      <c r="H3" s="133">
        <f>IF(B$17=0,0,G3/B$17)</f>
        <v>0.53438395415472784</v>
      </c>
      <c r="I3" s="94">
        <v>7</v>
      </c>
      <c r="K3" s="38">
        <v>1</v>
      </c>
      <c r="L3" s="99">
        <v>-5.0999999999999996</v>
      </c>
      <c r="N3" s="115" t="s">
        <v>133</v>
      </c>
      <c r="O3" s="122">
        <f t="shared" si="0"/>
        <v>-14.336917562724015</v>
      </c>
      <c r="P3" s="119">
        <v>279</v>
      </c>
      <c r="Q3" s="103">
        <v>-4000</v>
      </c>
    </row>
    <row r="4" spans="1:17" x14ac:dyDescent="0.4">
      <c r="A4" s="55" t="s">
        <v>6</v>
      </c>
      <c r="B4" s="150">
        <v>0</v>
      </c>
      <c r="C4" s="151"/>
      <c r="E4" s="63" t="s">
        <v>65</v>
      </c>
      <c r="F4" s="60" t="s">
        <v>21</v>
      </c>
      <c r="G4" s="47">
        <v>343</v>
      </c>
      <c r="H4" s="133">
        <f>IF(B$17=0,0,G4/B$17)</f>
        <v>0.49140401146131807</v>
      </c>
      <c r="I4" s="94">
        <v>6</v>
      </c>
      <c r="K4" s="38">
        <v>2</v>
      </c>
      <c r="L4" s="99">
        <v>40.4</v>
      </c>
      <c r="N4" s="115" t="s">
        <v>134</v>
      </c>
      <c r="O4" s="122">
        <f t="shared" si="0"/>
        <v>19.157088122605366</v>
      </c>
      <c r="P4" s="119">
        <v>261</v>
      </c>
      <c r="Q4" s="103">
        <v>5000</v>
      </c>
    </row>
    <row r="5" spans="1:17" x14ac:dyDescent="0.4">
      <c r="A5" s="55" t="s">
        <v>7</v>
      </c>
      <c r="B5" s="152">
        <f>IF(B$2=0,0,B$4/B$2)</f>
        <v>0</v>
      </c>
      <c r="C5" s="153"/>
      <c r="E5" s="63" t="s">
        <v>181</v>
      </c>
      <c r="F5" s="60" t="s">
        <v>182</v>
      </c>
      <c r="G5" s="47">
        <v>264</v>
      </c>
      <c r="H5" s="133">
        <f>IF(B$17=0,0,G5/B$17)</f>
        <v>0.37822349570200575</v>
      </c>
      <c r="I5" s="94">
        <v>5</v>
      </c>
      <c r="K5" s="38">
        <v>3</v>
      </c>
      <c r="L5" s="99">
        <v>0</v>
      </c>
      <c r="N5" s="115" t="s">
        <v>135</v>
      </c>
      <c r="O5" s="122">
        <f t="shared" si="0"/>
        <v>12.658227848101266</v>
      </c>
      <c r="P5" s="119">
        <v>237</v>
      </c>
      <c r="Q5" s="103">
        <v>3000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197</v>
      </c>
      <c r="H6" s="133">
        <f>IF(B$17=0,0,G6/B$17)</f>
        <v>0.2822349570200573</v>
      </c>
      <c r="I6" s="94">
        <v>5</v>
      </c>
      <c r="K6" s="38">
        <v>4</v>
      </c>
      <c r="L6" s="99">
        <v>2.2000000000000002</v>
      </c>
      <c r="N6" s="115" t="s">
        <v>136</v>
      </c>
      <c r="O6" s="122">
        <f t="shared" si="0"/>
        <v>-23.148148148148149</v>
      </c>
      <c r="P6" s="119">
        <v>216</v>
      </c>
      <c r="Q6" s="103">
        <v>-5000</v>
      </c>
    </row>
    <row r="7" spans="1:17" x14ac:dyDescent="0.4">
      <c r="A7" s="55" t="s">
        <v>2</v>
      </c>
      <c r="B7" s="47">
        <v>94</v>
      </c>
      <c r="C7" s="39">
        <f>IF(B$2=0,0,B7/B$2)</f>
        <v>0.33333333333333331</v>
      </c>
      <c r="E7" s="63" t="s">
        <v>68</v>
      </c>
      <c r="F7" s="60" t="s">
        <v>24</v>
      </c>
      <c r="G7" s="47">
        <v>194</v>
      </c>
      <c r="H7" s="133">
        <f>IF(B$17=0,0,G7/B$17)</f>
        <v>0.27793696275071633</v>
      </c>
      <c r="I7" s="94">
        <v>6</v>
      </c>
      <c r="K7" s="38">
        <v>5</v>
      </c>
      <c r="L7" s="99">
        <v>-37</v>
      </c>
      <c r="N7" s="116" t="s">
        <v>137</v>
      </c>
      <c r="O7" s="123">
        <f t="shared" si="0"/>
        <v>29.850746268656717</v>
      </c>
      <c r="P7" s="120">
        <v>201</v>
      </c>
      <c r="Q7" s="104">
        <v>6000</v>
      </c>
    </row>
    <row r="8" spans="1:17" x14ac:dyDescent="0.4">
      <c r="A8" s="55" t="s">
        <v>3</v>
      </c>
      <c r="B8" s="47">
        <v>94</v>
      </c>
      <c r="C8" s="39">
        <f>IF(B$2=0,0,B8/B$2)</f>
        <v>0.33333333333333331</v>
      </c>
      <c r="E8" s="63" t="s">
        <v>70</v>
      </c>
      <c r="F8" s="60" t="s">
        <v>25</v>
      </c>
      <c r="G8" s="47">
        <v>126</v>
      </c>
      <c r="H8" s="133">
        <f>IF(B$17=0,0,G8/B$17)</f>
        <v>0.18051575931232092</v>
      </c>
      <c r="I8" s="94">
        <v>7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94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96</v>
      </c>
      <c r="H9" s="133">
        <f>IF(B$17=0,0,G9/B$17)</f>
        <v>0.13753581661891118</v>
      </c>
      <c r="I9" s="94">
        <v>6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29</v>
      </c>
      <c r="C10" s="40">
        <f>IF(B$2=0,0,B10/B$2)</f>
        <v>0.10283687943262411</v>
      </c>
      <c r="E10" s="63" t="s">
        <v>66</v>
      </c>
      <c r="F10" s="60" t="s">
        <v>22</v>
      </c>
      <c r="G10" s="47">
        <v>86</v>
      </c>
      <c r="H10" s="133">
        <f>IF(B$17=0,0,G10/B$17)</f>
        <v>0.12320916905444126</v>
      </c>
      <c r="I10" s="94">
        <v>5</v>
      </c>
      <c r="K10" s="38">
        <v>8</v>
      </c>
      <c r="L10" s="99">
        <v>19.699999999999996</v>
      </c>
      <c r="N10" s="114" t="s">
        <v>164</v>
      </c>
      <c r="O10" s="124">
        <f>IF(P10=0,0,Q10/P10)</f>
        <v>-3.9648936170212772</v>
      </c>
      <c r="P10" s="118">
        <v>94</v>
      </c>
      <c r="Q10" s="106">
        <v>-372.70000000000005</v>
      </c>
    </row>
    <row r="11" spans="1:17" x14ac:dyDescent="0.4">
      <c r="A11" s="56" t="s">
        <v>140</v>
      </c>
      <c r="B11" s="48">
        <v>29</v>
      </c>
      <c r="C11" s="40">
        <f>IF(B$2=0,0,B11/B$2)</f>
        <v>0.10283687943262411</v>
      </c>
      <c r="E11" s="63" t="s">
        <v>71</v>
      </c>
      <c r="F11" s="60" t="s">
        <v>26</v>
      </c>
      <c r="G11" s="47">
        <v>75</v>
      </c>
      <c r="H11" s="133">
        <f>IF(B$17=0,0,G11/B$17)</f>
        <v>0.10744985673352435</v>
      </c>
      <c r="I11" s="94">
        <v>5</v>
      </c>
      <c r="K11" s="38">
        <v>9</v>
      </c>
      <c r="L11" s="99">
        <v>-3.5527136788005009E-15</v>
      </c>
      <c r="N11" s="115" t="s">
        <v>165</v>
      </c>
      <c r="O11" s="125">
        <f>IF(P11=0,0,Q11/P11)</f>
        <v>-3.9861702127659586</v>
      </c>
      <c r="P11" s="119">
        <v>94</v>
      </c>
      <c r="Q11" s="107">
        <v>-374.7000000000001</v>
      </c>
    </row>
    <row r="12" spans="1:17" x14ac:dyDescent="0.4">
      <c r="A12" s="57" t="s">
        <v>160</v>
      </c>
      <c r="B12" s="49">
        <v>30</v>
      </c>
      <c r="C12" s="42">
        <f>IF(B$2=0,0,B12/B$2)</f>
        <v>0.10638297872340426</v>
      </c>
      <c r="E12" s="63" t="s">
        <v>87</v>
      </c>
      <c r="F12" s="60" t="s">
        <v>42</v>
      </c>
      <c r="G12" s="47">
        <v>44</v>
      </c>
      <c r="H12" s="133">
        <f>IF(B$17=0,0,G12/B$17)</f>
        <v>6.3037249283667621E-2</v>
      </c>
      <c r="I12" s="94">
        <v>5</v>
      </c>
      <c r="K12" s="38">
        <v>10</v>
      </c>
      <c r="L12" s="99">
        <v>40.099999999999994</v>
      </c>
      <c r="N12" s="116" t="s">
        <v>166</v>
      </c>
      <c r="O12" s="126">
        <f>IF(P12=0,0,Q12/P12)</f>
        <v>7.951063829787234</v>
      </c>
      <c r="P12" s="120">
        <v>94</v>
      </c>
      <c r="Q12" s="108">
        <v>747.4</v>
      </c>
    </row>
    <row r="13" spans="1:17" x14ac:dyDescent="0.4">
      <c r="A13" s="58" t="s">
        <v>122</v>
      </c>
      <c r="B13" s="50">
        <v>609</v>
      </c>
      <c r="C13" s="44">
        <f>IF(B$3=0,0,B13/B$3)</f>
        <v>0.26193548387096777</v>
      </c>
      <c r="E13" s="63" t="s">
        <v>72</v>
      </c>
      <c r="F13" s="60" t="s">
        <v>27</v>
      </c>
      <c r="G13" s="47">
        <v>37</v>
      </c>
      <c r="H13" s="133">
        <f>IF(B$17=0,0,G13/B$17)</f>
        <v>5.300859598853868E-2</v>
      </c>
      <c r="I13" s="94">
        <v>6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521</v>
      </c>
      <c r="C14" s="39">
        <f>IF(B$3=0,0,B14/B$3)</f>
        <v>0.22408602150537635</v>
      </c>
      <c r="E14" s="63" t="s">
        <v>84</v>
      </c>
      <c r="F14" s="60" t="s">
        <v>39</v>
      </c>
      <c r="G14" s="47">
        <v>32</v>
      </c>
      <c r="H14" s="133">
        <f>IF(B$17=0,0,G14/B$17)</f>
        <v>4.5845272206303724E-2</v>
      </c>
      <c r="I14" s="94">
        <v>5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361</v>
      </c>
      <c r="C15" s="37">
        <f>IF(B$13=0,0,B15/B$13)</f>
        <v>0.59277504105090317</v>
      </c>
      <c r="E15" s="63" t="s">
        <v>82</v>
      </c>
      <c r="F15" s="60" t="s">
        <v>37</v>
      </c>
      <c r="G15" s="47">
        <v>19</v>
      </c>
      <c r="H15" s="133">
        <f>IF(B$17=0,0,G15/B$17)</f>
        <v>2.7220630372492838E-2</v>
      </c>
      <c r="I15" s="94">
        <v>5</v>
      </c>
      <c r="K15" s="38">
        <v>13</v>
      </c>
      <c r="L15" s="99">
        <v>-42.100000000000009</v>
      </c>
      <c r="N15" s="114" t="s">
        <v>129</v>
      </c>
      <c r="O15" s="124">
        <f>IF(P15=0,0,Q15/P15)</f>
        <v>48.677777777777784</v>
      </c>
      <c r="P15" s="118">
        <v>54</v>
      </c>
      <c r="Q15" s="106">
        <v>2628.6000000000004</v>
      </c>
    </row>
    <row r="16" spans="1:17" x14ac:dyDescent="0.4">
      <c r="A16" s="54" t="s">
        <v>125</v>
      </c>
      <c r="B16" s="46">
        <v>198</v>
      </c>
      <c r="C16" s="37">
        <f>IF(B$14=0,0,B16/B$14)</f>
        <v>0.3800383877159309</v>
      </c>
      <c r="E16" s="63" t="s">
        <v>92</v>
      </c>
      <c r="F16" s="60" t="s">
        <v>47</v>
      </c>
      <c r="G16" s="47">
        <v>13</v>
      </c>
      <c r="H16" s="133">
        <f>IF(B$17=0,0,G16/B$17)</f>
        <v>1.8624641833810889E-2</v>
      </c>
      <c r="I16" s="94">
        <v>4</v>
      </c>
      <c r="K16" s="38">
        <v>14</v>
      </c>
      <c r="L16" s="99">
        <v>18.79999999999999</v>
      </c>
      <c r="N16" s="115" t="s">
        <v>186</v>
      </c>
      <c r="O16" s="125">
        <f>IF(P16=0,0,Q16/P16)</f>
        <v>46.75714285714286</v>
      </c>
      <c r="P16" s="119">
        <v>14</v>
      </c>
      <c r="Q16" s="107">
        <v>654.6</v>
      </c>
    </row>
    <row r="17" spans="1:17" x14ac:dyDescent="0.4">
      <c r="A17" s="54" t="s">
        <v>10</v>
      </c>
      <c r="B17" s="46">
        <f>B19+B18</f>
        <v>698</v>
      </c>
      <c r="C17" s="37">
        <f>IF(B$3=0,0,B17/B$3)</f>
        <v>0.30021505376344088</v>
      </c>
      <c r="E17" s="63" t="s">
        <v>79</v>
      </c>
      <c r="F17" s="60" t="s">
        <v>34</v>
      </c>
      <c r="G17" s="47">
        <v>12</v>
      </c>
      <c r="H17" s="133">
        <f>IF(B$17=0,0,G17/B$17)</f>
        <v>1.7191977077363897E-2</v>
      </c>
      <c r="I17" s="94">
        <v>6</v>
      </c>
      <c r="K17" s="38">
        <v>15</v>
      </c>
      <c r="L17" s="99">
        <v>-1.0658141036401503E-14</v>
      </c>
      <c r="N17" s="115" t="s">
        <v>173</v>
      </c>
      <c r="O17" s="125">
        <f>IF(P17=0,0,Q17/P17)</f>
        <v>17.993750000000002</v>
      </c>
      <c r="P17" s="119">
        <v>48</v>
      </c>
      <c r="Q17" s="107">
        <v>863.70000000000016</v>
      </c>
    </row>
    <row r="18" spans="1:17" x14ac:dyDescent="0.4">
      <c r="A18" s="55" t="s">
        <v>12</v>
      </c>
      <c r="B18" s="47">
        <v>289</v>
      </c>
      <c r="C18" s="39">
        <f>IF(B$17=0,0,B18/B$17)</f>
        <v>0.41404011461318052</v>
      </c>
      <c r="E18" s="63" t="s">
        <v>180</v>
      </c>
      <c r="F18" s="60" t="s">
        <v>183</v>
      </c>
      <c r="G18" s="47">
        <v>10</v>
      </c>
      <c r="H18" s="133">
        <f>IF(B$17=0,0,G18/B$17)</f>
        <v>1.4326647564469915E-2</v>
      </c>
      <c r="I18" s="94">
        <v>4</v>
      </c>
      <c r="K18" s="38">
        <v>16</v>
      </c>
      <c r="L18" s="99">
        <v>90.899999999999991</v>
      </c>
      <c r="N18" s="115" t="s">
        <v>177</v>
      </c>
      <c r="O18" s="125">
        <f>IF(P18=0,0,Q18/P18)</f>
        <v>14.619999999999997</v>
      </c>
      <c r="P18" s="119">
        <v>30</v>
      </c>
      <c r="Q18" s="107">
        <v>438.59999999999991</v>
      </c>
    </row>
    <row r="19" spans="1:17" x14ac:dyDescent="0.4">
      <c r="A19" s="55" t="s">
        <v>11</v>
      </c>
      <c r="B19" s="47">
        <v>409</v>
      </c>
      <c r="C19" s="39">
        <f>IF(B$17=0,0,B19/B$17)</f>
        <v>0.58595988538681953</v>
      </c>
      <c r="E19" s="63" t="s">
        <v>76</v>
      </c>
      <c r="F19" s="60" t="s">
        <v>31</v>
      </c>
      <c r="G19" s="47">
        <v>6</v>
      </c>
      <c r="H19" s="133">
        <f>IF(B$17=0,0,G19/B$17)</f>
        <v>8.5959885386819486E-3</v>
      </c>
      <c r="I19" s="94">
        <v>4</v>
      </c>
      <c r="K19" s="38">
        <v>17</v>
      </c>
      <c r="L19" s="99">
        <v>8.2999999999999972</v>
      </c>
      <c r="N19" s="115" t="s">
        <v>128</v>
      </c>
      <c r="O19" s="125">
        <f>IF(P19=0,0,Q19/P19)</f>
        <v>3.344776119402983</v>
      </c>
      <c r="P19" s="119">
        <v>134</v>
      </c>
      <c r="Q19" s="107">
        <v>448.1999999999997</v>
      </c>
    </row>
    <row r="20" spans="1:17" x14ac:dyDescent="0.4">
      <c r="A20" s="55" t="s">
        <v>13</v>
      </c>
      <c r="B20" s="47">
        <v>403</v>
      </c>
      <c r="C20" s="39">
        <f>IF(B$3=0,0,B20/B$3)</f>
        <v>0.17333333333333334</v>
      </c>
      <c r="E20" s="63" t="s">
        <v>80</v>
      </c>
      <c r="F20" s="60" t="s">
        <v>35</v>
      </c>
      <c r="G20" s="47">
        <v>6</v>
      </c>
      <c r="H20" s="133">
        <f>IF(B$17=0,0,G20/B$17)</f>
        <v>8.5959885386819486E-3</v>
      </c>
      <c r="I20" s="94">
        <v>4</v>
      </c>
      <c r="K20" s="38">
        <v>18</v>
      </c>
      <c r="L20" s="99">
        <v>-3.5527136788005009E-15</v>
      </c>
      <c r="N20" s="115" t="s">
        <v>171</v>
      </c>
      <c r="O20" s="125">
        <f>IF(P20=0,0,Q20/P20)</f>
        <v>3.0236842105263184</v>
      </c>
      <c r="P20" s="119">
        <v>76</v>
      </c>
      <c r="Q20" s="107">
        <v>229.80000000000021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74</v>
      </c>
      <c r="F21" s="60" t="s">
        <v>29</v>
      </c>
      <c r="G21" s="47">
        <v>4</v>
      </c>
      <c r="H21" s="133">
        <f>IF(B$17=0,0,G21/B$17)</f>
        <v>5.7306590257879654E-3</v>
      </c>
      <c r="I21" s="94">
        <v>4</v>
      </c>
      <c r="K21" s="38">
        <v>19</v>
      </c>
      <c r="L21" s="99">
        <v>30.999999999999996</v>
      </c>
      <c r="N21" s="115" t="s">
        <v>172</v>
      </c>
      <c r="O21" s="125">
        <f>IF(P21=0,0,Q21/P21)</f>
        <v>-3.1650000000000014</v>
      </c>
      <c r="P21" s="119">
        <v>60</v>
      </c>
      <c r="Q21" s="107">
        <v>-189.90000000000009</v>
      </c>
    </row>
    <row r="22" spans="1:17" x14ac:dyDescent="0.4">
      <c r="A22" s="55" t="s">
        <v>194</v>
      </c>
      <c r="B22" s="47">
        <v>31</v>
      </c>
      <c r="C22" s="135">
        <v>1</v>
      </c>
      <c r="E22" s="63" t="s">
        <v>93</v>
      </c>
      <c r="F22" s="60" t="s">
        <v>48</v>
      </c>
      <c r="G22" s="47">
        <v>4</v>
      </c>
      <c r="H22" s="133">
        <f>IF(B$17=0,0,G22/B$17)</f>
        <v>5.7306590257879654E-3</v>
      </c>
      <c r="I22" s="94">
        <v>3</v>
      </c>
      <c r="K22" s="38">
        <v>20</v>
      </c>
      <c r="L22" s="99">
        <v>0.79999999999999716</v>
      </c>
      <c r="N22" s="115" t="s">
        <v>202</v>
      </c>
      <c r="O22" s="125">
        <f>IF(P22=0,0,Q22/P22)</f>
        <v>-7.2750000000000021</v>
      </c>
      <c r="P22" s="119">
        <v>8</v>
      </c>
      <c r="Q22" s="107">
        <v>-58.200000000000017</v>
      </c>
    </row>
    <row r="23" spans="1:17" x14ac:dyDescent="0.4">
      <c r="A23" s="55" t="s">
        <v>5</v>
      </c>
      <c r="B23" s="51">
        <f>IF(B$17=0,0,C23/B$17)</f>
        <v>8380.5157593123204</v>
      </c>
      <c r="C23" s="41">
        <v>5849600</v>
      </c>
      <c r="E23" s="63" t="s">
        <v>75</v>
      </c>
      <c r="F23" s="60" t="s">
        <v>30</v>
      </c>
      <c r="G23" s="47">
        <v>2</v>
      </c>
      <c r="H23" s="133">
        <f>IF(B$17=0,0,G23/B$17)</f>
        <v>2.8653295128939827E-3</v>
      </c>
      <c r="I23" s="94">
        <v>2</v>
      </c>
      <c r="K23" s="38">
        <v>21</v>
      </c>
      <c r="L23" s="99">
        <v>-2.886579864025407E-15</v>
      </c>
      <c r="N23" s="115" t="s">
        <v>185</v>
      </c>
      <c r="O23" s="125">
        <f>IF(P23=0,0,Q23/P23)</f>
        <v>-30.5</v>
      </c>
      <c r="P23" s="119">
        <v>6</v>
      </c>
      <c r="Q23" s="107">
        <v>-183</v>
      </c>
    </row>
    <row r="24" spans="1:17" x14ac:dyDescent="0.4">
      <c r="A24" s="57" t="s">
        <v>14</v>
      </c>
      <c r="B24" s="52">
        <f>IF(B$20=0,0,C24/B$20)</f>
        <v>-8066.2531017369729</v>
      </c>
      <c r="C24" s="45">
        <v>-3250700</v>
      </c>
      <c r="E24" s="63" t="s">
        <v>78</v>
      </c>
      <c r="F24" s="60" t="s">
        <v>33</v>
      </c>
      <c r="G24" s="47">
        <v>2</v>
      </c>
      <c r="H24" s="133">
        <f>IF(B$17=0,0,G24/B$17)</f>
        <v>2.8653295128939827E-3</v>
      </c>
      <c r="I24" s="94">
        <v>3</v>
      </c>
      <c r="K24" s="38">
        <v>22</v>
      </c>
      <c r="L24" s="99">
        <v>23.699999999999996</v>
      </c>
      <c r="N24" s="115" t="s">
        <v>127</v>
      </c>
      <c r="O24" s="125">
        <f>IF(P24=0,0,Q24/P24)</f>
        <v>-36.062686567164143</v>
      </c>
      <c r="P24" s="119">
        <v>134</v>
      </c>
      <c r="Q24" s="107">
        <v>-4832.3999999999951</v>
      </c>
    </row>
    <row r="25" spans="1:17" x14ac:dyDescent="0.4">
      <c r="A25" s="90" t="s">
        <v>142</v>
      </c>
      <c r="B25" s="140">
        <v>7</v>
      </c>
      <c r="C25" s="141"/>
      <c r="E25" s="63" t="s">
        <v>89</v>
      </c>
      <c r="F25" s="60" t="s">
        <v>44</v>
      </c>
      <c r="G25" s="47">
        <v>2</v>
      </c>
      <c r="H25" s="133">
        <f>IF(B$17=0,0,G25/B$17)</f>
        <v>2.8653295128939827E-3</v>
      </c>
      <c r="I25" s="94">
        <v>3</v>
      </c>
      <c r="K25" s="38">
        <v>23</v>
      </c>
      <c r="L25" s="99">
        <v>26.299999999999997</v>
      </c>
    </row>
    <row r="26" spans="1:17" x14ac:dyDescent="0.4">
      <c r="A26" s="58" t="s">
        <v>152</v>
      </c>
      <c r="B26" s="138">
        <v>116000</v>
      </c>
      <c r="C26" s="139"/>
      <c r="E26" s="63" t="s">
        <v>85</v>
      </c>
      <c r="F26" s="60" t="s">
        <v>40</v>
      </c>
      <c r="G26" s="47">
        <v>1</v>
      </c>
      <c r="H26" s="133">
        <f>IF(B$17=0,0,G26/B$17)</f>
        <v>1.4326647564469914E-3</v>
      </c>
      <c r="I26" s="94">
        <v>2</v>
      </c>
      <c r="K26" s="38">
        <v>24</v>
      </c>
      <c r="L26" s="99">
        <v>-3.5527136788005009E-15</v>
      </c>
    </row>
    <row r="27" spans="1:17" x14ac:dyDescent="0.4">
      <c r="A27" s="57" t="s">
        <v>143</v>
      </c>
      <c r="B27" s="65">
        <v>8</v>
      </c>
      <c r="C27" s="42">
        <f>IF(B$3=0,0,B27/B$3)</f>
        <v>3.4408602150537634E-3</v>
      </c>
      <c r="E27" s="63" t="s">
        <v>86</v>
      </c>
      <c r="F27" s="60" t="s">
        <v>41</v>
      </c>
      <c r="G27" s="47">
        <v>1</v>
      </c>
      <c r="H27" s="133">
        <f>IF(B$17=0,0,G27/B$17)</f>
        <v>1.4326647564469914E-3</v>
      </c>
      <c r="I27" s="94">
        <v>2</v>
      </c>
      <c r="K27" s="38">
        <v>25</v>
      </c>
      <c r="L27" s="99">
        <v>-31.300000000000004</v>
      </c>
    </row>
    <row r="28" spans="1:17" x14ac:dyDescent="0.4">
      <c r="E28" s="63" t="s">
        <v>88</v>
      </c>
      <c r="F28" s="60" t="s">
        <v>43</v>
      </c>
      <c r="G28" s="47">
        <v>1</v>
      </c>
      <c r="H28" s="133">
        <f>IF(B$17=0,0,G28/B$17)</f>
        <v>1.4326647564469914E-3</v>
      </c>
      <c r="I28" s="94">
        <v>2</v>
      </c>
      <c r="K28" s="38">
        <v>26</v>
      </c>
      <c r="L28" s="99">
        <v>1.8999999999999986</v>
      </c>
    </row>
    <row r="29" spans="1:17" x14ac:dyDescent="0.4">
      <c r="E29" s="63" t="s">
        <v>91</v>
      </c>
      <c r="F29" s="60" t="s">
        <v>46</v>
      </c>
      <c r="G29" s="47">
        <v>1</v>
      </c>
      <c r="H29" s="133">
        <f>IF(B$17=0,0,G29/B$17)</f>
        <v>1.4326647564469914E-3</v>
      </c>
      <c r="I29" s="94">
        <v>2</v>
      </c>
      <c r="K29" s="38">
        <v>27</v>
      </c>
      <c r="L29" s="99">
        <v>-1.3322676295501878E-15</v>
      </c>
    </row>
    <row r="30" spans="1:17" x14ac:dyDescent="0.4">
      <c r="E30" s="63" t="s">
        <v>94</v>
      </c>
      <c r="F30" s="60" t="s">
        <v>49</v>
      </c>
      <c r="G30" s="47">
        <v>1</v>
      </c>
      <c r="H30" s="133">
        <f>IF(B$17=0,0,G30/B$17)</f>
        <v>1.4326647564469914E-3</v>
      </c>
      <c r="I30" s="94">
        <v>2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1</v>
      </c>
      <c r="H31" s="133">
        <f>IF(B$17=0,0,G31/B$17)</f>
        <v>1.4326647564469914E-3</v>
      </c>
      <c r="I31" s="94">
        <v>2</v>
      </c>
      <c r="K31" s="38">
        <v>29</v>
      </c>
      <c r="L31" s="99">
        <v>-9.5</v>
      </c>
    </row>
    <row r="32" spans="1:17" x14ac:dyDescent="0.4">
      <c r="E32" s="63" t="s">
        <v>77</v>
      </c>
      <c r="F32" s="60" t="s">
        <v>32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0</v>
      </c>
    </row>
    <row r="33" spans="5:12" x14ac:dyDescent="0.4">
      <c r="E33" s="63" t="s">
        <v>81</v>
      </c>
      <c r="F33" s="60" t="s">
        <v>36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29.1</v>
      </c>
    </row>
    <row r="34" spans="5:12" x14ac:dyDescent="0.4">
      <c r="E34" s="63" t="s">
        <v>83</v>
      </c>
      <c r="F34" s="60" t="s">
        <v>38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38.399999999999991</v>
      </c>
    </row>
    <row r="52" spans="5:12" x14ac:dyDescent="0.4"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AF3C7-718A-4B12-AD91-410A3D295C7C}">
  <sheetPr codeName="Sheet7"/>
  <dimension ref="A1:Q69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67</v>
      </c>
      <c r="C2" s="147"/>
      <c r="E2" s="62" t="s">
        <v>67</v>
      </c>
      <c r="F2" s="59" t="s">
        <v>23</v>
      </c>
      <c r="G2" s="46">
        <v>163</v>
      </c>
      <c r="H2" s="132">
        <f>IF(B$17=0,0,G2/B$17)</f>
        <v>0.75813953488372088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3241.7910447761192</v>
      </c>
      <c r="P2" s="118">
        <v>67</v>
      </c>
      <c r="Q2" s="102">
        <v>217200</v>
      </c>
    </row>
    <row r="3" spans="1:17" x14ac:dyDescent="0.4">
      <c r="A3" s="55" t="s">
        <v>8</v>
      </c>
      <c r="B3" s="148">
        <v>534</v>
      </c>
      <c r="C3" s="149"/>
      <c r="E3" s="63" t="s">
        <v>73</v>
      </c>
      <c r="F3" s="60" t="s">
        <v>28</v>
      </c>
      <c r="G3" s="47">
        <v>116</v>
      </c>
      <c r="H3" s="133">
        <f>IF(B$17=0,0,G3/B$17)</f>
        <v>0.53953488372093028</v>
      </c>
      <c r="I3" s="94">
        <v>6</v>
      </c>
      <c r="K3" s="38">
        <v>1</v>
      </c>
      <c r="L3" s="99">
        <v>-5.0999999999999996</v>
      </c>
      <c r="N3" s="115" t="s">
        <v>133</v>
      </c>
      <c r="O3" s="122">
        <f t="shared" si="0"/>
        <v>3434.848484848485</v>
      </c>
      <c r="P3" s="119">
        <v>66</v>
      </c>
      <c r="Q3" s="103">
        <v>226700</v>
      </c>
    </row>
    <row r="4" spans="1:17" x14ac:dyDescent="0.4">
      <c r="A4" s="55" t="s">
        <v>6</v>
      </c>
      <c r="B4" s="150">
        <v>1610.8000000000006</v>
      </c>
      <c r="C4" s="151"/>
      <c r="E4" s="63" t="s">
        <v>65</v>
      </c>
      <c r="F4" s="60" t="s">
        <v>21</v>
      </c>
      <c r="G4" s="47">
        <v>103</v>
      </c>
      <c r="H4" s="133">
        <f>IF(B$17=0,0,G4/B$17)</f>
        <v>0.47906976744186047</v>
      </c>
      <c r="I4" s="94">
        <v>7</v>
      </c>
      <c r="K4" s="38">
        <v>2</v>
      </c>
      <c r="L4" s="99">
        <v>-2.8999999999999995</v>
      </c>
      <c r="N4" s="115" t="s">
        <v>134</v>
      </c>
      <c r="O4" s="122">
        <f t="shared" si="0"/>
        <v>3438.7096774193546</v>
      </c>
      <c r="P4" s="119">
        <v>62</v>
      </c>
      <c r="Q4" s="103">
        <v>213200</v>
      </c>
    </row>
    <row r="5" spans="1:17" x14ac:dyDescent="0.4">
      <c r="A5" s="55" t="s">
        <v>7</v>
      </c>
      <c r="B5" s="152">
        <f>IF(B$2=0,0,B$4/B$2)</f>
        <v>24.041791044776129</v>
      </c>
      <c r="C5" s="153"/>
      <c r="E5" s="63" t="s">
        <v>181</v>
      </c>
      <c r="F5" s="60" t="s">
        <v>182</v>
      </c>
      <c r="G5" s="47">
        <v>89</v>
      </c>
      <c r="H5" s="133">
        <f>IF(B$17=0,0,G5/B$17)</f>
        <v>0.413953488372093</v>
      </c>
      <c r="I5" s="94">
        <v>3</v>
      </c>
      <c r="K5" s="38">
        <v>3</v>
      </c>
      <c r="L5" s="99">
        <v>70.399999999999991</v>
      </c>
      <c r="N5" s="115" t="s">
        <v>135</v>
      </c>
      <c r="O5" s="122">
        <f t="shared" si="0"/>
        <v>4065.4545454545455</v>
      </c>
      <c r="P5" s="119">
        <v>55</v>
      </c>
      <c r="Q5" s="103">
        <v>223600</v>
      </c>
    </row>
    <row r="6" spans="1:17" x14ac:dyDescent="0.4">
      <c r="A6" s="55" t="s">
        <v>1</v>
      </c>
      <c r="B6" s="142">
        <f>IF(B$2=0,0,(B$7*1+B$8*2+B$9*3)/B$2)</f>
        <v>1.5223880597014925</v>
      </c>
      <c r="C6" s="143"/>
      <c r="E6" s="63" t="s">
        <v>68</v>
      </c>
      <c r="F6" s="60" t="s">
        <v>24</v>
      </c>
      <c r="G6" s="47">
        <v>67</v>
      </c>
      <c r="H6" s="133">
        <f>IF(B$17=0,0,G6/B$17)</f>
        <v>0.3116279069767442</v>
      </c>
      <c r="I6" s="94">
        <v>5</v>
      </c>
      <c r="K6" s="38">
        <v>4</v>
      </c>
      <c r="L6" s="99">
        <v>110.5</v>
      </c>
      <c r="N6" s="115" t="s">
        <v>136</v>
      </c>
      <c r="O6" s="122">
        <f t="shared" si="0"/>
        <v>495.91836734693879</v>
      </c>
      <c r="P6" s="119">
        <v>49</v>
      </c>
      <c r="Q6" s="103">
        <v>24300</v>
      </c>
    </row>
    <row r="7" spans="1:17" x14ac:dyDescent="0.4">
      <c r="A7" s="55" t="s">
        <v>2</v>
      </c>
      <c r="B7" s="47">
        <v>41</v>
      </c>
      <c r="C7" s="39">
        <f>IF(B$2=0,0,B7/B$2)</f>
        <v>0.61194029850746268</v>
      </c>
      <c r="E7" s="63" t="s">
        <v>69</v>
      </c>
      <c r="F7" s="60" t="s">
        <v>12</v>
      </c>
      <c r="G7" s="47">
        <v>51</v>
      </c>
      <c r="H7" s="133">
        <f>IF(B$17=0,0,G7/B$17)</f>
        <v>0.23720930232558141</v>
      </c>
      <c r="I7" s="94">
        <v>8</v>
      </c>
      <c r="K7" s="38">
        <v>5</v>
      </c>
      <c r="L7" s="99">
        <v>201.4</v>
      </c>
      <c r="N7" s="116" t="s">
        <v>137</v>
      </c>
      <c r="O7" s="123">
        <f t="shared" si="0"/>
        <v>1351.1111111111111</v>
      </c>
      <c r="P7" s="120">
        <v>45</v>
      </c>
      <c r="Q7" s="104">
        <v>60800</v>
      </c>
    </row>
    <row r="8" spans="1:17" x14ac:dyDescent="0.4">
      <c r="A8" s="55" t="s">
        <v>3</v>
      </c>
      <c r="B8" s="47">
        <v>17</v>
      </c>
      <c r="C8" s="39">
        <f>IF(B$2=0,0,B8/B$2)</f>
        <v>0.2537313432835821</v>
      </c>
      <c r="E8" s="63" t="s">
        <v>70</v>
      </c>
      <c r="F8" s="60" t="s">
        <v>25</v>
      </c>
      <c r="G8" s="47">
        <v>41</v>
      </c>
      <c r="H8" s="133">
        <f>IF(B$17=0,0,G8/B$17)</f>
        <v>0.19069767441860466</v>
      </c>
      <c r="I8" s="94">
        <v>6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9</v>
      </c>
      <c r="C9" s="40">
        <f t="shared" ref="C9" si="1">IF(B$2=0,0,B9/B$2)</f>
        <v>0.13432835820895522</v>
      </c>
      <c r="E9" s="63" t="s">
        <v>90</v>
      </c>
      <c r="F9" s="60" t="s">
        <v>45</v>
      </c>
      <c r="G9" s="47">
        <v>39</v>
      </c>
      <c r="H9" s="133">
        <f>IF(B$17=0,0,G9/B$17)</f>
        <v>0.18139534883720931</v>
      </c>
      <c r="I9" s="94">
        <v>4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4.4776119402985072E-2</v>
      </c>
      <c r="E10" s="63" t="s">
        <v>66</v>
      </c>
      <c r="F10" s="60" t="s">
        <v>22</v>
      </c>
      <c r="G10" s="47">
        <v>31</v>
      </c>
      <c r="H10" s="133">
        <f>IF(B$17=0,0,G10/B$17)</f>
        <v>0.14418604651162792</v>
      </c>
      <c r="I10" s="94">
        <v>3</v>
      </c>
      <c r="K10" s="38">
        <v>8</v>
      </c>
      <c r="L10" s="99">
        <v>285.20000000000005</v>
      </c>
      <c r="N10" s="114" t="s">
        <v>164</v>
      </c>
      <c r="O10" s="124">
        <f>IF(P10=0,0,Q10/P10)</f>
        <v>24.244999999999997</v>
      </c>
      <c r="P10" s="118">
        <v>20</v>
      </c>
      <c r="Q10" s="106">
        <v>484.9</v>
      </c>
    </row>
    <row r="11" spans="1:17" x14ac:dyDescent="0.4">
      <c r="A11" s="56" t="s">
        <v>140</v>
      </c>
      <c r="B11" s="48">
        <v>14</v>
      </c>
      <c r="C11" s="40">
        <f>IF(B$2=0,0,B11/B$2)</f>
        <v>0.20895522388059701</v>
      </c>
      <c r="E11" s="63" t="s">
        <v>71</v>
      </c>
      <c r="F11" s="60" t="s">
        <v>26</v>
      </c>
      <c r="G11" s="47">
        <v>18</v>
      </c>
      <c r="H11" s="133">
        <f>IF(B$17=0,0,G11/B$17)</f>
        <v>8.3720930232558138E-2</v>
      </c>
      <c r="I11" s="94">
        <v>7</v>
      </c>
      <c r="K11" s="38">
        <v>9</v>
      </c>
      <c r="L11" s="99">
        <v>277.90000000000003</v>
      </c>
      <c r="N11" s="115" t="s">
        <v>165</v>
      </c>
      <c r="O11" s="125">
        <f>IF(P11=0,0,Q11/P11)</f>
        <v>19.568421052631578</v>
      </c>
      <c r="P11" s="119">
        <v>19</v>
      </c>
      <c r="Q11" s="107">
        <v>371.79999999999995</v>
      </c>
    </row>
    <row r="12" spans="1:17" x14ac:dyDescent="0.4">
      <c r="A12" s="57" t="s">
        <v>160</v>
      </c>
      <c r="B12" s="49">
        <v>15</v>
      </c>
      <c r="C12" s="42">
        <f>IF(B$2=0,0,B12/B$2)</f>
        <v>0.22388059701492538</v>
      </c>
      <c r="E12" s="63" t="s">
        <v>87</v>
      </c>
      <c r="F12" s="60" t="s">
        <v>42</v>
      </c>
      <c r="G12" s="47">
        <v>18</v>
      </c>
      <c r="H12" s="133">
        <f>IF(B$17=0,0,G12/B$17)</f>
        <v>8.3720930232558138E-2</v>
      </c>
      <c r="I12" s="94">
        <v>4</v>
      </c>
      <c r="K12" s="38">
        <v>10</v>
      </c>
      <c r="L12" s="99">
        <v>246.20000000000005</v>
      </c>
      <c r="N12" s="116" t="s">
        <v>166</v>
      </c>
      <c r="O12" s="126">
        <f>IF(P12=0,0,Q12/P12)</f>
        <v>26.93214285714286</v>
      </c>
      <c r="P12" s="120">
        <v>28</v>
      </c>
      <c r="Q12" s="108">
        <v>754.10000000000014</v>
      </c>
    </row>
    <row r="13" spans="1:17" x14ac:dyDescent="0.4">
      <c r="A13" s="58" t="s">
        <v>122</v>
      </c>
      <c r="B13" s="50">
        <v>177</v>
      </c>
      <c r="C13" s="44">
        <f>IF(B$3=0,0,B13/B$3)</f>
        <v>0.33146067415730335</v>
      </c>
      <c r="E13" s="63" t="s">
        <v>72</v>
      </c>
      <c r="F13" s="60" t="s">
        <v>27</v>
      </c>
      <c r="G13" s="47">
        <v>12</v>
      </c>
      <c r="H13" s="133">
        <f>IF(B$17=0,0,G13/B$17)</f>
        <v>5.5813953488372092E-2</v>
      </c>
      <c r="I13" s="94">
        <v>5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131</v>
      </c>
      <c r="C14" s="39">
        <f>IF(B$3=0,0,B14/B$3)</f>
        <v>0.24531835205992508</v>
      </c>
      <c r="E14" s="63" t="s">
        <v>84</v>
      </c>
      <c r="F14" s="60" t="s">
        <v>39</v>
      </c>
      <c r="G14" s="47">
        <v>12</v>
      </c>
      <c r="H14" s="133">
        <f>IF(B$17=0,0,G14/B$17)</f>
        <v>5.5813953488372092E-2</v>
      </c>
      <c r="I14" s="94">
        <v>3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111</v>
      </c>
      <c r="C15" s="37">
        <f>IF(B$13=0,0,B15/B$13)</f>
        <v>0.6271186440677966</v>
      </c>
      <c r="E15" s="63" t="s">
        <v>82</v>
      </c>
      <c r="F15" s="60" t="s">
        <v>37</v>
      </c>
      <c r="G15" s="47">
        <v>6</v>
      </c>
      <c r="H15" s="133">
        <f>IF(B$17=0,0,G15/B$17)</f>
        <v>2.7906976744186046E-2</v>
      </c>
      <c r="I15" s="94">
        <v>4</v>
      </c>
      <c r="K15" s="38">
        <v>13</v>
      </c>
      <c r="L15" s="99">
        <v>418.90000000000003</v>
      </c>
      <c r="N15" s="114" t="s">
        <v>185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71</v>
      </c>
      <c r="C16" s="37">
        <f>IF(B$14=0,0,B16/B$14)</f>
        <v>0.5419847328244275</v>
      </c>
      <c r="E16" s="63" t="s">
        <v>180</v>
      </c>
      <c r="F16" s="60" t="s">
        <v>183</v>
      </c>
      <c r="G16" s="47">
        <v>5</v>
      </c>
      <c r="H16" s="133">
        <f>IF(B$17=0,0,G16/B$17)</f>
        <v>2.3255813953488372E-2</v>
      </c>
      <c r="I16" s="94">
        <v>2</v>
      </c>
      <c r="K16" s="38">
        <v>14</v>
      </c>
      <c r="L16" s="99">
        <v>473.50000000000006</v>
      </c>
      <c r="N16" s="115" t="s">
        <v>129</v>
      </c>
      <c r="O16" s="125">
        <f>IF(P16=0,0,Q16/P16)</f>
        <v>60.438888888888897</v>
      </c>
      <c r="P16" s="119">
        <v>18</v>
      </c>
      <c r="Q16" s="107">
        <v>1087.9000000000001</v>
      </c>
    </row>
    <row r="17" spans="1:17" x14ac:dyDescent="0.4">
      <c r="A17" s="54" t="s">
        <v>10</v>
      </c>
      <c r="B17" s="46">
        <f>B19+B18</f>
        <v>215</v>
      </c>
      <c r="C17" s="37">
        <f>IF(B$3=0,0,B17/B$3)</f>
        <v>0.40262172284644193</v>
      </c>
      <c r="E17" s="63" t="s">
        <v>79</v>
      </c>
      <c r="F17" s="60" t="s">
        <v>34</v>
      </c>
      <c r="G17" s="47">
        <v>4</v>
      </c>
      <c r="H17" s="133">
        <f>IF(B$17=0,0,G17/B$17)</f>
        <v>1.8604651162790697E-2</v>
      </c>
      <c r="I17" s="94">
        <v>5</v>
      </c>
      <c r="K17" s="38">
        <v>15</v>
      </c>
      <c r="L17" s="99">
        <v>481.50000000000006</v>
      </c>
      <c r="N17" s="115" t="s">
        <v>186</v>
      </c>
      <c r="O17" s="125">
        <f>IF(P17=0,0,Q17/P17)</f>
        <v>56.8</v>
      </c>
      <c r="P17" s="119">
        <v>4</v>
      </c>
      <c r="Q17" s="107">
        <v>227.2</v>
      </c>
    </row>
    <row r="18" spans="1:17" x14ac:dyDescent="0.4">
      <c r="A18" s="55" t="s">
        <v>12</v>
      </c>
      <c r="B18" s="47">
        <v>87</v>
      </c>
      <c r="C18" s="39">
        <f>IF(B$17=0,0,B18/B$17)</f>
        <v>0.40465116279069768</v>
      </c>
      <c r="E18" s="63" t="s">
        <v>92</v>
      </c>
      <c r="F18" s="60" t="s">
        <v>47</v>
      </c>
      <c r="G18" s="47">
        <v>3</v>
      </c>
      <c r="H18" s="133">
        <f>IF(B$17=0,0,G18/B$17)</f>
        <v>1.3953488372093023E-2</v>
      </c>
      <c r="I18" s="94">
        <v>6</v>
      </c>
      <c r="K18" s="38">
        <v>16</v>
      </c>
      <c r="L18" s="99">
        <v>425.50000000000006</v>
      </c>
      <c r="N18" s="115" t="s">
        <v>173</v>
      </c>
      <c r="O18" s="125">
        <f>IF(P18=0,0,Q18/P18)</f>
        <v>49.41</v>
      </c>
      <c r="P18" s="119">
        <v>10</v>
      </c>
      <c r="Q18" s="107">
        <v>494.09999999999997</v>
      </c>
    </row>
    <row r="19" spans="1:17" x14ac:dyDescent="0.4">
      <c r="A19" s="55" t="s">
        <v>11</v>
      </c>
      <c r="B19" s="47">
        <v>128</v>
      </c>
      <c r="C19" s="39">
        <f>IF(B$17=0,0,B19/B$17)</f>
        <v>0.59534883720930232</v>
      </c>
      <c r="E19" s="63" t="s">
        <v>74</v>
      </c>
      <c r="F19" s="60" t="s">
        <v>29</v>
      </c>
      <c r="G19" s="47">
        <v>2</v>
      </c>
      <c r="H19" s="133">
        <f>IF(B$17=0,0,G19/B$17)</f>
        <v>9.3023255813953487E-3</v>
      </c>
      <c r="I19" s="94">
        <v>2</v>
      </c>
      <c r="K19" s="38">
        <v>17</v>
      </c>
      <c r="L19" s="99">
        <v>427.40000000000003</v>
      </c>
      <c r="N19" s="115" t="s">
        <v>177</v>
      </c>
      <c r="O19" s="125">
        <f>IF(P19=0,0,Q19/P19)</f>
        <v>48.9375</v>
      </c>
      <c r="P19" s="119">
        <v>8</v>
      </c>
      <c r="Q19" s="107">
        <v>391.5</v>
      </c>
    </row>
    <row r="20" spans="1:17" x14ac:dyDescent="0.4">
      <c r="A20" s="55" t="s">
        <v>13</v>
      </c>
      <c r="B20" s="47">
        <v>75</v>
      </c>
      <c r="C20" s="39">
        <f>IF(B$3=0,0,B20/B$3)</f>
        <v>0.1404494382022472</v>
      </c>
      <c r="E20" s="63" t="s">
        <v>76</v>
      </c>
      <c r="F20" s="60" t="s">
        <v>31</v>
      </c>
      <c r="G20" s="47">
        <v>1</v>
      </c>
      <c r="H20" s="133">
        <f>IF(B$17=0,0,G20/B$17)</f>
        <v>4.6511627906976744E-3</v>
      </c>
      <c r="I20" s="94">
        <v>5</v>
      </c>
      <c r="K20" s="38">
        <v>18</v>
      </c>
      <c r="L20" s="99">
        <v>429.3</v>
      </c>
      <c r="N20" s="115" t="s">
        <v>172</v>
      </c>
      <c r="O20" s="125">
        <f>IF(P20=0,0,Q20/P20)</f>
        <v>37.131250000000009</v>
      </c>
      <c r="P20" s="119">
        <v>16</v>
      </c>
      <c r="Q20" s="107">
        <v>594.10000000000014</v>
      </c>
    </row>
    <row r="21" spans="1:17" x14ac:dyDescent="0.4">
      <c r="A21" s="55" t="s">
        <v>193</v>
      </c>
      <c r="B21" s="47">
        <v>7</v>
      </c>
      <c r="C21" s="135">
        <v>1</v>
      </c>
      <c r="E21" s="63" t="s">
        <v>78</v>
      </c>
      <c r="F21" s="60" t="s">
        <v>33</v>
      </c>
      <c r="G21" s="47">
        <v>1</v>
      </c>
      <c r="H21" s="133">
        <f>IF(B$17=0,0,G21/B$17)</f>
        <v>4.6511627906976744E-3</v>
      </c>
      <c r="I21" s="94">
        <v>2</v>
      </c>
      <c r="K21" s="38">
        <v>19</v>
      </c>
      <c r="L21" s="99">
        <v>405.40000000000003</v>
      </c>
      <c r="N21" s="115" t="s">
        <v>128</v>
      </c>
      <c r="O21" s="125">
        <f>IF(P21=0,0,Q21/P21)</f>
        <v>27.703846153846165</v>
      </c>
      <c r="P21" s="119">
        <v>52</v>
      </c>
      <c r="Q21" s="107">
        <v>1440.6000000000006</v>
      </c>
    </row>
    <row r="22" spans="1:17" x14ac:dyDescent="0.4">
      <c r="A22" s="55" t="s">
        <v>194</v>
      </c>
      <c r="B22" s="47">
        <v>27</v>
      </c>
      <c r="C22" s="135">
        <v>7</v>
      </c>
      <c r="E22" s="63" t="s">
        <v>80</v>
      </c>
      <c r="F22" s="60" t="s">
        <v>35</v>
      </c>
      <c r="G22" s="47">
        <v>1</v>
      </c>
      <c r="H22" s="133">
        <f>IF(B$17=0,0,G22/B$17)</f>
        <v>4.6511627906976744E-3</v>
      </c>
      <c r="I22" s="94">
        <v>5</v>
      </c>
      <c r="K22" s="38">
        <v>20</v>
      </c>
      <c r="L22" s="99">
        <v>469.6</v>
      </c>
      <c r="N22" s="115" t="s">
        <v>202</v>
      </c>
      <c r="O22" s="125">
        <f>IF(P22=0,0,Q22/P22)</f>
        <v>23.1</v>
      </c>
      <c r="P22" s="119">
        <v>1</v>
      </c>
      <c r="Q22" s="107">
        <v>23.1</v>
      </c>
    </row>
    <row r="23" spans="1:17" x14ac:dyDescent="0.4">
      <c r="A23" s="55" t="s">
        <v>5</v>
      </c>
      <c r="B23" s="51">
        <f>IF(B$17=0,0,C23/B$17)</f>
        <v>9379.0697674418607</v>
      </c>
      <c r="C23" s="41">
        <v>2016500</v>
      </c>
      <c r="E23" s="63" t="s">
        <v>88</v>
      </c>
      <c r="F23" s="60" t="s">
        <v>43</v>
      </c>
      <c r="G23" s="47">
        <v>1</v>
      </c>
      <c r="H23" s="133">
        <f>IF(B$17=0,0,G23/B$17)</f>
        <v>4.6511627906976744E-3</v>
      </c>
      <c r="I23" s="94">
        <v>1</v>
      </c>
      <c r="K23" s="38">
        <v>21</v>
      </c>
      <c r="L23" s="99">
        <v>468.3</v>
      </c>
      <c r="N23" s="115" t="s">
        <v>171</v>
      </c>
      <c r="O23" s="125">
        <f>IF(P23=0,0,Q23/P23)</f>
        <v>21.029166666666658</v>
      </c>
      <c r="P23" s="119">
        <v>24</v>
      </c>
      <c r="Q23" s="107">
        <v>504.69999999999982</v>
      </c>
    </row>
    <row r="24" spans="1:17" x14ac:dyDescent="0.4">
      <c r="A24" s="57" t="s">
        <v>14</v>
      </c>
      <c r="B24" s="52">
        <f>IF(B$20=0,0,C24/B$20)</f>
        <v>-8162.666666666667</v>
      </c>
      <c r="C24" s="45">
        <v>-612200</v>
      </c>
      <c r="E24" s="63" t="s">
        <v>91</v>
      </c>
      <c r="F24" s="60" t="s">
        <v>46</v>
      </c>
      <c r="G24" s="47">
        <v>1</v>
      </c>
      <c r="H24" s="133">
        <f>IF(B$17=0,0,G24/B$17)</f>
        <v>4.6511627906976744E-3</v>
      </c>
      <c r="I24" s="94">
        <v>1</v>
      </c>
      <c r="K24" s="38">
        <v>22</v>
      </c>
      <c r="L24" s="99">
        <v>519.20000000000005</v>
      </c>
    </row>
    <row r="25" spans="1:17" x14ac:dyDescent="0.4">
      <c r="A25" s="90" t="s">
        <v>142</v>
      </c>
      <c r="B25" s="140">
        <v>7</v>
      </c>
      <c r="C25" s="141"/>
      <c r="E25" s="63" t="s">
        <v>93</v>
      </c>
      <c r="F25" s="60" t="s">
        <v>48</v>
      </c>
      <c r="G25" s="47">
        <v>1</v>
      </c>
      <c r="H25" s="133">
        <f>IF(B$17=0,0,G25/B$17)</f>
        <v>4.6511627906976744E-3</v>
      </c>
      <c r="I25" s="94">
        <v>4</v>
      </c>
      <c r="K25" s="38">
        <v>23</v>
      </c>
      <c r="L25" s="99">
        <v>555.90000000000009</v>
      </c>
    </row>
    <row r="26" spans="1:17" x14ac:dyDescent="0.4">
      <c r="A26" s="58" t="s">
        <v>152</v>
      </c>
      <c r="B26" s="138">
        <v>116000</v>
      </c>
      <c r="C26" s="139"/>
      <c r="E26" s="63" t="s">
        <v>94</v>
      </c>
      <c r="F26" s="60" t="s">
        <v>49</v>
      </c>
      <c r="G26" s="47">
        <v>1</v>
      </c>
      <c r="H26" s="133">
        <f>IF(B$17=0,0,G26/B$17)</f>
        <v>4.6511627906976744E-3</v>
      </c>
      <c r="I26" s="94">
        <v>1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96</v>
      </c>
      <c r="F27" s="60" t="s">
        <v>51</v>
      </c>
      <c r="G27" s="47">
        <v>1</v>
      </c>
      <c r="H27" s="133">
        <f>IF(B$17=0,0,G27/B$17)</f>
        <v>4.6511627906976744E-3</v>
      </c>
      <c r="I27" s="94">
        <v>1</v>
      </c>
      <c r="K27" s="38">
        <v>25</v>
      </c>
      <c r="L27" s="99">
        <v>655.20000000000005</v>
      </c>
    </row>
    <row r="28" spans="1:17" x14ac:dyDescent="0.4">
      <c r="E28" s="63" t="s">
        <v>75</v>
      </c>
      <c r="F28" s="60" t="s">
        <v>30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625.40000000000009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596.30000000000007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655.6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703.1</v>
      </c>
    </row>
    <row r="32" spans="1:17" x14ac:dyDescent="0.4">
      <c r="E32" s="63" t="s">
        <v>85</v>
      </c>
      <c r="F32" s="60" t="s">
        <v>40</v>
      </c>
      <c r="G32" s="47">
        <v>0</v>
      </c>
      <c r="H32" s="133">
        <f>IF(B$17=0,0,G32/B$17)</f>
        <v>0</v>
      </c>
      <c r="I32" s="94">
        <v>3</v>
      </c>
      <c r="K32" s="38">
        <v>30</v>
      </c>
      <c r="L32" s="99">
        <v>733.6</v>
      </c>
    </row>
    <row r="33" spans="5:12" x14ac:dyDescent="0.4">
      <c r="E33" s="63" t="s">
        <v>86</v>
      </c>
      <c r="F33" s="60" t="s">
        <v>41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1289.8999999999999</v>
      </c>
    </row>
    <row r="52" spans="5:12" x14ac:dyDescent="0.4"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CA727-DF41-40D9-AD6B-6479B9B6C2F4}">
  <sheetPr codeName="Sheet9"/>
  <dimension ref="A1:Q69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128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67</v>
      </c>
      <c r="C2" s="147"/>
      <c r="E2" s="62" t="s">
        <v>67</v>
      </c>
      <c r="F2" s="59" t="s">
        <v>23</v>
      </c>
      <c r="G2" s="46">
        <v>107</v>
      </c>
      <c r="H2" s="132">
        <f>IF(B$17=0,0,G2/B$17)</f>
        <v>0.67721518987341767</v>
      </c>
      <c r="I2" s="93">
        <v>9</v>
      </c>
      <c r="K2" s="36">
        <v>0</v>
      </c>
      <c r="L2" s="98">
        <v>0</v>
      </c>
      <c r="N2" s="114" t="s">
        <v>132</v>
      </c>
      <c r="O2" s="121">
        <f t="shared" ref="O2:O7" si="0">IF(P2=0,0,Q2/P2)</f>
        <v>807.46268656716416</v>
      </c>
      <c r="P2" s="118">
        <v>67</v>
      </c>
      <c r="Q2" s="102">
        <v>54100</v>
      </c>
    </row>
    <row r="3" spans="1:17" x14ac:dyDescent="0.4">
      <c r="A3" s="55" t="s">
        <v>8</v>
      </c>
      <c r="B3" s="148">
        <v>554</v>
      </c>
      <c r="C3" s="149"/>
      <c r="E3" s="63" t="s">
        <v>65</v>
      </c>
      <c r="F3" s="60" t="s">
        <v>21</v>
      </c>
      <c r="G3" s="47">
        <v>92</v>
      </c>
      <c r="H3" s="133">
        <f>IF(B$17=0,0,G3/B$17)</f>
        <v>0.58227848101265822</v>
      </c>
      <c r="I3" s="94">
        <v>4</v>
      </c>
      <c r="K3" s="38">
        <v>1</v>
      </c>
      <c r="L3" s="99">
        <v>45.5</v>
      </c>
      <c r="N3" s="115" t="s">
        <v>133</v>
      </c>
      <c r="O3" s="122">
        <f t="shared" si="0"/>
        <v>-1301.5151515151515</v>
      </c>
      <c r="P3" s="119">
        <v>66</v>
      </c>
      <c r="Q3" s="103">
        <v>-85900</v>
      </c>
    </row>
    <row r="4" spans="1:17" x14ac:dyDescent="0.4">
      <c r="A4" s="55" t="s">
        <v>6</v>
      </c>
      <c r="B4" s="150">
        <v>-149.40000000000003</v>
      </c>
      <c r="C4" s="151"/>
      <c r="E4" s="63" t="s">
        <v>73</v>
      </c>
      <c r="F4" s="60" t="s">
        <v>28</v>
      </c>
      <c r="G4" s="47">
        <v>72</v>
      </c>
      <c r="H4" s="133">
        <f>IF(B$17=0,0,G4/B$17)</f>
        <v>0.45569620253164556</v>
      </c>
      <c r="I4" s="94">
        <v>10</v>
      </c>
      <c r="K4" s="38">
        <v>2</v>
      </c>
      <c r="L4" s="99">
        <v>6.2999999999999972</v>
      </c>
      <c r="N4" s="115" t="s">
        <v>134</v>
      </c>
      <c r="O4" s="122">
        <f t="shared" si="0"/>
        <v>-2104.6875</v>
      </c>
      <c r="P4" s="119">
        <v>64</v>
      </c>
      <c r="Q4" s="103">
        <v>-134700</v>
      </c>
    </row>
    <row r="5" spans="1:17" x14ac:dyDescent="0.4">
      <c r="A5" s="55" t="s">
        <v>7</v>
      </c>
      <c r="B5" s="152">
        <f>IF(B$2=0,0,B$4/B$2)</f>
        <v>-2.2298507462686574</v>
      </c>
      <c r="C5" s="153"/>
      <c r="E5" s="63" t="s">
        <v>181</v>
      </c>
      <c r="F5" s="60" t="s">
        <v>182</v>
      </c>
      <c r="G5" s="47">
        <v>66</v>
      </c>
      <c r="H5" s="133">
        <f>IF(B$17=0,0,G5/B$17)</f>
        <v>0.41772151898734178</v>
      </c>
      <c r="I5" s="94">
        <v>2</v>
      </c>
      <c r="K5" s="38">
        <v>3</v>
      </c>
      <c r="L5" s="99">
        <v>-47.300000000000004</v>
      </c>
      <c r="N5" s="115" t="s">
        <v>135</v>
      </c>
      <c r="O5" s="122">
        <f t="shared" si="0"/>
        <v>375.43859649122805</v>
      </c>
      <c r="P5" s="119">
        <v>57</v>
      </c>
      <c r="Q5" s="103">
        <v>21400</v>
      </c>
    </row>
    <row r="6" spans="1:17" x14ac:dyDescent="0.4">
      <c r="A6" s="55" t="s">
        <v>1</v>
      </c>
      <c r="B6" s="142">
        <f>IF(B$2=0,0,(B$7*1+B$8*2+B$9*3)/B$2)</f>
        <v>2.0597014925373136</v>
      </c>
      <c r="C6" s="143"/>
      <c r="E6" s="63" t="s">
        <v>68</v>
      </c>
      <c r="F6" s="60" t="s">
        <v>24</v>
      </c>
      <c r="G6" s="47">
        <v>56</v>
      </c>
      <c r="H6" s="133">
        <f>IF(B$17=0,0,G6/B$17)</f>
        <v>0.35443037974683544</v>
      </c>
      <c r="I6" s="94">
        <v>4</v>
      </c>
      <c r="K6" s="38">
        <v>4</v>
      </c>
      <c r="L6" s="99">
        <v>13.599999999999994</v>
      </c>
      <c r="N6" s="115" t="s">
        <v>136</v>
      </c>
      <c r="O6" s="122">
        <f t="shared" si="0"/>
        <v>880.76923076923072</v>
      </c>
      <c r="P6" s="119">
        <v>52</v>
      </c>
      <c r="Q6" s="103">
        <v>45800</v>
      </c>
    </row>
    <row r="7" spans="1:17" x14ac:dyDescent="0.4">
      <c r="A7" s="55" t="s">
        <v>2</v>
      </c>
      <c r="B7" s="47">
        <v>17</v>
      </c>
      <c r="C7" s="39">
        <f>IF(B$2=0,0,B7/B$2)</f>
        <v>0.2537313432835821</v>
      </c>
      <c r="E7" s="63" t="s">
        <v>69</v>
      </c>
      <c r="F7" s="60" t="s">
        <v>12</v>
      </c>
      <c r="G7" s="47">
        <v>51</v>
      </c>
      <c r="H7" s="133">
        <f>IF(B$17=0,0,G7/B$17)</f>
        <v>0.32278481012658228</v>
      </c>
      <c r="I7" s="94">
        <v>4</v>
      </c>
      <c r="K7" s="38">
        <v>5</v>
      </c>
      <c r="L7" s="99">
        <v>-16.600000000000005</v>
      </c>
      <c r="N7" s="116" t="s">
        <v>137</v>
      </c>
      <c r="O7" s="123">
        <f t="shared" si="0"/>
        <v>610.20408163265301</v>
      </c>
      <c r="P7" s="120">
        <v>49</v>
      </c>
      <c r="Q7" s="104">
        <v>29900</v>
      </c>
    </row>
    <row r="8" spans="1:17" x14ac:dyDescent="0.4">
      <c r="A8" s="55" t="s">
        <v>3</v>
      </c>
      <c r="B8" s="47">
        <v>29</v>
      </c>
      <c r="C8" s="39">
        <f>IF(B$2=0,0,B8/B$2)</f>
        <v>0.43283582089552236</v>
      </c>
      <c r="E8" s="63" t="s">
        <v>70</v>
      </c>
      <c r="F8" s="60" t="s">
        <v>25</v>
      </c>
      <c r="G8" s="47">
        <v>32</v>
      </c>
      <c r="H8" s="133">
        <f>IF(B$17=0,0,G8/B$17)</f>
        <v>0.20253164556962025</v>
      </c>
      <c r="I8" s="94">
        <v>3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21</v>
      </c>
      <c r="C9" s="40">
        <f t="shared" ref="C9" si="1">IF(B$2=0,0,B9/B$2)</f>
        <v>0.31343283582089554</v>
      </c>
      <c r="E9" s="63" t="s">
        <v>66</v>
      </c>
      <c r="F9" s="60" t="s">
        <v>22</v>
      </c>
      <c r="G9" s="47">
        <v>25</v>
      </c>
      <c r="H9" s="133">
        <f>IF(B$17=0,0,G9/B$17)</f>
        <v>0.15822784810126583</v>
      </c>
      <c r="I9" s="94">
        <v>2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8</v>
      </c>
      <c r="C10" s="40">
        <f>IF(B$2=0,0,B10/B$2)</f>
        <v>0.11940298507462686</v>
      </c>
      <c r="E10" s="63" t="s">
        <v>71</v>
      </c>
      <c r="F10" s="60" t="s">
        <v>26</v>
      </c>
      <c r="G10" s="47">
        <v>21</v>
      </c>
      <c r="H10" s="133">
        <f>IF(B$17=0,0,G10/B$17)</f>
        <v>0.13291139240506328</v>
      </c>
      <c r="I10" s="94">
        <v>3</v>
      </c>
      <c r="K10" s="38">
        <v>8</v>
      </c>
      <c r="L10" s="99">
        <v>-49.6</v>
      </c>
      <c r="N10" s="114" t="s">
        <v>164</v>
      </c>
      <c r="O10" s="124">
        <f>IF(P10=0,0,Q10/P10)</f>
        <v>-4.3387096774193559</v>
      </c>
      <c r="P10" s="118">
        <v>31</v>
      </c>
      <c r="Q10" s="106">
        <v>-134.50000000000003</v>
      </c>
    </row>
    <row r="11" spans="1:17" x14ac:dyDescent="0.4">
      <c r="A11" s="56" t="s">
        <v>140</v>
      </c>
      <c r="B11" s="48">
        <v>5</v>
      </c>
      <c r="C11" s="40">
        <f>IF(B$2=0,0,B11/B$2)</f>
        <v>7.4626865671641784E-2</v>
      </c>
      <c r="E11" s="63" t="s">
        <v>90</v>
      </c>
      <c r="F11" s="60" t="s">
        <v>45</v>
      </c>
      <c r="G11" s="47">
        <v>16</v>
      </c>
      <c r="H11" s="133">
        <f>IF(B$17=0,0,G11/B$17)</f>
        <v>0.10126582278481013</v>
      </c>
      <c r="I11" s="94">
        <v>10</v>
      </c>
      <c r="K11" s="38">
        <v>9</v>
      </c>
      <c r="L11" s="99">
        <v>-79.5</v>
      </c>
      <c r="N11" s="115" t="s">
        <v>165</v>
      </c>
      <c r="O11" s="125">
        <f>IF(P11=0,0,Q11/P11)</f>
        <v>-6.9349999999999978</v>
      </c>
      <c r="P11" s="119">
        <v>20</v>
      </c>
      <c r="Q11" s="107">
        <v>-138.69999999999996</v>
      </c>
    </row>
    <row r="12" spans="1:17" x14ac:dyDescent="0.4">
      <c r="A12" s="57" t="s">
        <v>160</v>
      </c>
      <c r="B12" s="49">
        <v>5</v>
      </c>
      <c r="C12" s="42">
        <f>IF(B$2=0,0,B12/B$2)</f>
        <v>7.4626865671641784E-2</v>
      </c>
      <c r="E12" s="63" t="s">
        <v>87</v>
      </c>
      <c r="F12" s="60" t="s">
        <v>42</v>
      </c>
      <c r="G12" s="47">
        <v>9</v>
      </c>
      <c r="H12" s="133">
        <f>IF(B$17=0,0,G12/B$17)</f>
        <v>5.6962025316455694E-2</v>
      </c>
      <c r="I12" s="94">
        <v>6</v>
      </c>
      <c r="K12" s="38">
        <v>10</v>
      </c>
      <c r="L12" s="99">
        <v>-80.900000000000006</v>
      </c>
      <c r="N12" s="116" t="s">
        <v>166</v>
      </c>
      <c r="O12" s="126">
        <f>IF(P12=0,0,Q12/P12)</f>
        <v>7.7375000000000007</v>
      </c>
      <c r="P12" s="120">
        <v>16</v>
      </c>
      <c r="Q12" s="108">
        <v>123.80000000000001</v>
      </c>
    </row>
    <row r="13" spans="1:17" x14ac:dyDescent="0.4">
      <c r="A13" s="58" t="s">
        <v>122</v>
      </c>
      <c r="B13" s="50">
        <v>154</v>
      </c>
      <c r="C13" s="44">
        <f>IF(B$3=0,0,B13/B$3)</f>
        <v>0.27797833935018051</v>
      </c>
      <c r="E13" s="63" t="s">
        <v>82</v>
      </c>
      <c r="F13" s="60" t="s">
        <v>37</v>
      </c>
      <c r="G13" s="47">
        <v>8</v>
      </c>
      <c r="H13" s="133">
        <f>IF(B$17=0,0,G13/B$17)</f>
        <v>5.0632911392405063E-2</v>
      </c>
      <c r="I13" s="94">
        <v>2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109</v>
      </c>
      <c r="C14" s="39">
        <f>IF(B$3=0,0,B14/B$3)</f>
        <v>0.1967509025270758</v>
      </c>
      <c r="E14" s="63" t="s">
        <v>72</v>
      </c>
      <c r="F14" s="60" t="s">
        <v>27</v>
      </c>
      <c r="G14" s="47">
        <v>6</v>
      </c>
      <c r="H14" s="133">
        <f>IF(B$17=0,0,G14/B$17)</f>
        <v>3.7974683544303799E-2</v>
      </c>
      <c r="I14" s="94">
        <v>7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97</v>
      </c>
      <c r="C15" s="37">
        <f>IF(B$13=0,0,B15/B$13)</f>
        <v>0.62987012987012991</v>
      </c>
      <c r="E15" s="63" t="s">
        <v>84</v>
      </c>
      <c r="F15" s="60" t="s">
        <v>39</v>
      </c>
      <c r="G15" s="47">
        <v>5</v>
      </c>
      <c r="H15" s="133">
        <f>IF(B$17=0,0,G15/B$17)</f>
        <v>3.1645569620253167E-2</v>
      </c>
      <c r="I15" s="94">
        <v>8</v>
      </c>
      <c r="K15" s="38">
        <v>13</v>
      </c>
      <c r="L15" s="99">
        <v>-81.900000000000006</v>
      </c>
      <c r="N15" s="114" t="s">
        <v>186</v>
      </c>
      <c r="O15" s="124">
        <f>IF(P15=0,0,Q15/P15)</f>
        <v>64.425000000000011</v>
      </c>
      <c r="P15" s="118">
        <v>4</v>
      </c>
      <c r="Q15" s="106">
        <v>257.70000000000005</v>
      </c>
    </row>
    <row r="16" spans="1:17" x14ac:dyDescent="0.4">
      <c r="A16" s="54" t="s">
        <v>125</v>
      </c>
      <c r="B16" s="46">
        <v>30</v>
      </c>
      <c r="C16" s="37">
        <f>IF(B$14=0,0,B16/B$14)</f>
        <v>0.27522935779816515</v>
      </c>
      <c r="E16" s="63" t="s">
        <v>92</v>
      </c>
      <c r="F16" s="60" t="s">
        <v>47</v>
      </c>
      <c r="G16" s="47">
        <v>5</v>
      </c>
      <c r="H16" s="133">
        <f>IF(B$17=0,0,G16/B$17)</f>
        <v>3.1645569620253167E-2</v>
      </c>
      <c r="I16" s="94">
        <v>2</v>
      </c>
      <c r="K16" s="38">
        <v>14</v>
      </c>
      <c r="L16" s="99">
        <v>-25.600000000000009</v>
      </c>
      <c r="N16" s="115" t="s">
        <v>129</v>
      </c>
      <c r="O16" s="125">
        <f>IF(P16=0,0,Q16/P16)</f>
        <v>23.638888888888886</v>
      </c>
      <c r="P16" s="119">
        <v>18</v>
      </c>
      <c r="Q16" s="107">
        <v>425.49999999999994</v>
      </c>
    </row>
    <row r="17" spans="1:17" x14ac:dyDescent="0.4">
      <c r="A17" s="54" t="s">
        <v>10</v>
      </c>
      <c r="B17" s="46">
        <f>B19+B18</f>
        <v>158</v>
      </c>
      <c r="C17" s="37">
        <f>IF(B$3=0,0,B17/B$3)</f>
        <v>0.2851985559566787</v>
      </c>
      <c r="E17" s="63" t="s">
        <v>180</v>
      </c>
      <c r="F17" s="60" t="s">
        <v>183</v>
      </c>
      <c r="G17" s="47">
        <v>3</v>
      </c>
      <c r="H17" s="133">
        <f>IF(B$17=0,0,G17/B$17)</f>
        <v>1.8987341772151899E-2</v>
      </c>
      <c r="I17" s="94">
        <v>3</v>
      </c>
      <c r="K17" s="38">
        <v>15</v>
      </c>
      <c r="L17" s="99">
        <v>47.999999999999986</v>
      </c>
      <c r="N17" s="115" t="s">
        <v>171</v>
      </c>
      <c r="O17" s="125">
        <f>IF(P17=0,0,Q17/P17)</f>
        <v>10.050000000000008</v>
      </c>
      <c r="P17" s="119">
        <v>20</v>
      </c>
      <c r="Q17" s="107">
        <v>201.00000000000017</v>
      </c>
    </row>
    <row r="18" spans="1:17" x14ac:dyDescent="0.4">
      <c r="A18" s="55" t="s">
        <v>12</v>
      </c>
      <c r="B18" s="47">
        <v>63</v>
      </c>
      <c r="C18" s="39">
        <f>IF(B$17=0,0,B18/B$17)</f>
        <v>0.39873417721518989</v>
      </c>
      <c r="E18" s="63" t="s">
        <v>75</v>
      </c>
      <c r="F18" s="60" t="s">
        <v>30</v>
      </c>
      <c r="G18" s="47">
        <v>2</v>
      </c>
      <c r="H18" s="133">
        <f>IF(B$17=0,0,G18/B$17)</f>
        <v>1.2658227848101266E-2</v>
      </c>
      <c r="I18" s="94">
        <v>1</v>
      </c>
      <c r="K18" s="38">
        <v>16</v>
      </c>
      <c r="L18" s="99">
        <v>41.699999999999989</v>
      </c>
      <c r="N18" s="115" t="s">
        <v>173</v>
      </c>
      <c r="O18" s="125">
        <f>IF(P18=0,0,Q18/P18)</f>
        <v>4.9499999999999984</v>
      </c>
      <c r="P18" s="119">
        <v>14</v>
      </c>
      <c r="Q18" s="107">
        <v>69.299999999999983</v>
      </c>
    </row>
    <row r="19" spans="1:17" x14ac:dyDescent="0.4">
      <c r="A19" s="55" t="s">
        <v>11</v>
      </c>
      <c r="B19" s="47">
        <v>95</v>
      </c>
      <c r="C19" s="39">
        <f>IF(B$17=0,0,B19/B$17)</f>
        <v>0.60126582278481011</v>
      </c>
      <c r="E19" s="63" t="s">
        <v>76</v>
      </c>
      <c r="F19" s="60" t="s">
        <v>31</v>
      </c>
      <c r="G19" s="47">
        <v>2</v>
      </c>
      <c r="H19" s="133">
        <f>IF(B$17=0,0,G19/B$17)</f>
        <v>1.2658227848101266E-2</v>
      </c>
      <c r="I19" s="94">
        <v>3</v>
      </c>
      <c r="K19" s="38">
        <v>17</v>
      </c>
      <c r="L19" s="99">
        <v>94.6</v>
      </c>
      <c r="N19" s="115" t="s">
        <v>172</v>
      </c>
      <c r="O19" s="125">
        <f>IF(P19=0,0,Q19/P19)</f>
        <v>2.9000000000000004</v>
      </c>
      <c r="P19" s="119">
        <v>16</v>
      </c>
      <c r="Q19" s="107">
        <v>46.400000000000006</v>
      </c>
    </row>
    <row r="20" spans="1:17" x14ac:dyDescent="0.4">
      <c r="A20" s="55" t="s">
        <v>13</v>
      </c>
      <c r="B20" s="47">
        <v>98</v>
      </c>
      <c r="C20" s="39">
        <f>IF(B$3=0,0,B20/B$3)</f>
        <v>0.17689530685920576</v>
      </c>
      <c r="E20" s="63" t="s">
        <v>80</v>
      </c>
      <c r="F20" s="60" t="s">
        <v>35</v>
      </c>
      <c r="G20" s="47">
        <v>2</v>
      </c>
      <c r="H20" s="133">
        <f>IF(B$17=0,0,G20/B$17)</f>
        <v>1.2658227848101266E-2</v>
      </c>
      <c r="I20" s="94">
        <v>3</v>
      </c>
      <c r="K20" s="38">
        <v>18</v>
      </c>
      <c r="L20" s="99">
        <v>116.69999999999999</v>
      </c>
      <c r="N20" s="115" t="s">
        <v>177</v>
      </c>
      <c r="O20" s="125">
        <f>IF(P20=0,0,Q20/P20)</f>
        <v>-0.75</v>
      </c>
      <c r="P20" s="119">
        <v>10</v>
      </c>
      <c r="Q20" s="107">
        <v>-7.5</v>
      </c>
    </row>
    <row r="21" spans="1:17" x14ac:dyDescent="0.4">
      <c r="A21" s="55" t="s">
        <v>193</v>
      </c>
      <c r="B21" s="47">
        <v>5</v>
      </c>
      <c r="C21" s="135">
        <v>0</v>
      </c>
      <c r="E21" s="63" t="s">
        <v>74</v>
      </c>
      <c r="F21" s="60" t="s">
        <v>29</v>
      </c>
      <c r="G21" s="47">
        <v>1</v>
      </c>
      <c r="H21" s="133">
        <f>IF(B$17=0,0,G21/B$17)</f>
        <v>6.3291139240506328E-3</v>
      </c>
      <c r="I21" s="94">
        <v>3</v>
      </c>
      <c r="K21" s="38">
        <v>19</v>
      </c>
      <c r="L21" s="99">
        <v>138.79999999999998</v>
      </c>
      <c r="N21" s="115" t="s">
        <v>127</v>
      </c>
      <c r="O21" s="125">
        <f>IF(P21=0,0,Q21/P21)</f>
        <v>-27.703846153846165</v>
      </c>
      <c r="P21" s="119">
        <v>52</v>
      </c>
      <c r="Q21" s="107">
        <v>-1440.6000000000006</v>
      </c>
    </row>
    <row r="22" spans="1:17" x14ac:dyDescent="0.4">
      <c r="A22" s="55" t="s">
        <v>194</v>
      </c>
      <c r="B22" s="47">
        <v>24</v>
      </c>
      <c r="C22" s="135">
        <v>5</v>
      </c>
      <c r="E22" s="63" t="s">
        <v>78</v>
      </c>
      <c r="F22" s="60" t="s">
        <v>33</v>
      </c>
      <c r="G22" s="47">
        <v>1</v>
      </c>
      <c r="H22" s="133">
        <f>IF(B$17=0,0,G22/B$17)</f>
        <v>6.3291139240506328E-3</v>
      </c>
      <c r="I22" s="94">
        <v>1</v>
      </c>
      <c r="K22" s="38">
        <v>20</v>
      </c>
      <c r="L22" s="99">
        <v>164.49999999999997</v>
      </c>
    </row>
    <row r="23" spans="1:17" x14ac:dyDescent="0.4">
      <c r="A23" s="55" t="s">
        <v>5</v>
      </c>
      <c r="B23" s="51">
        <f>IF(B$17=0,0,C23/B$17)</f>
        <v>8836.0759493670885</v>
      </c>
      <c r="C23" s="41">
        <v>1396100</v>
      </c>
      <c r="E23" s="63" t="s">
        <v>79</v>
      </c>
      <c r="F23" s="60" t="s">
        <v>34</v>
      </c>
      <c r="G23" s="47">
        <v>1</v>
      </c>
      <c r="H23" s="133">
        <f>IF(B$17=0,0,G23/B$17)</f>
        <v>6.3291139240506328E-3</v>
      </c>
      <c r="I23" s="94">
        <v>7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-7266.3265306122448</v>
      </c>
      <c r="C24" s="45">
        <v>-712100</v>
      </c>
      <c r="E24" s="63" t="s">
        <v>85</v>
      </c>
      <c r="F24" s="60" t="s">
        <v>40</v>
      </c>
      <c r="G24" s="47">
        <v>1</v>
      </c>
      <c r="H24" s="133">
        <f>IF(B$17=0,0,G24/B$17)</f>
        <v>6.3291139240506328E-3</v>
      </c>
      <c r="I24" s="94">
        <v>1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0">
        <v>7</v>
      </c>
      <c r="C25" s="141"/>
      <c r="E25" s="63" t="s">
        <v>89</v>
      </c>
      <c r="F25" s="60" t="s">
        <v>44</v>
      </c>
      <c r="G25" s="47">
        <v>1</v>
      </c>
      <c r="H25" s="133">
        <f>IF(B$17=0,0,G25/B$17)</f>
        <v>6.3291139240506328E-3</v>
      </c>
      <c r="I25" s="94">
        <v>2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38">
        <v>94000</v>
      </c>
      <c r="C26" s="139"/>
      <c r="E26" s="63" t="s">
        <v>93</v>
      </c>
      <c r="F26" s="60" t="s">
        <v>48</v>
      </c>
      <c r="G26" s="47">
        <v>1</v>
      </c>
      <c r="H26" s="133">
        <f>IF(B$17=0,0,G26/B$17)</f>
        <v>6.3291139240506328E-3</v>
      </c>
      <c r="I26" s="94">
        <v>2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4</v>
      </c>
      <c r="C27" s="42">
        <f>IF(B$3=0,0,B27/B$3)</f>
        <v>7.2202166064981952E-3</v>
      </c>
      <c r="E27" s="63" t="s">
        <v>77</v>
      </c>
      <c r="F27" s="60" t="s">
        <v>32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245.59999999999997</v>
      </c>
    </row>
    <row r="28" spans="1:17" x14ac:dyDescent="0.4">
      <c r="E28" s="63" t="s">
        <v>81</v>
      </c>
      <c r="F28" s="60" t="s">
        <v>36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237.69999999999996</v>
      </c>
    </row>
    <row r="29" spans="1:17" x14ac:dyDescent="0.4">
      <c r="E29" s="63" t="s">
        <v>83</v>
      </c>
      <c r="F29" s="60" t="s">
        <v>38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236.69999999999996</v>
      </c>
    </row>
    <row r="30" spans="1:17" x14ac:dyDescent="0.4">
      <c r="E30" s="63" t="s">
        <v>86</v>
      </c>
      <c r="F30" s="60" t="s">
        <v>41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191.39999999999998</v>
      </c>
    </row>
    <row r="31" spans="1:17" x14ac:dyDescent="0.4">
      <c r="E31" s="63" t="s">
        <v>88</v>
      </c>
      <c r="F31" s="60" t="s">
        <v>43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182.49999999999997</v>
      </c>
    </row>
    <row r="32" spans="1:17" x14ac:dyDescent="0.4">
      <c r="E32" s="63" t="s">
        <v>91</v>
      </c>
      <c r="F32" s="60" t="s">
        <v>46</v>
      </c>
      <c r="G32" s="47">
        <v>0</v>
      </c>
      <c r="H32" s="133">
        <f>IF(B$17=0,0,G32/B$17)</f>
        <v>0</v>
      </c>
      <c r="I32" s="94">
        <v>3</v>
      </c>
      <c r="K32" s="38">
        <v>30</v>
      </c>
      <c r="L32" s="99">
        <v>178.99999999999997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186.99999999999997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241.49999999999997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50.599999999999959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-4.8000000000000398</v>
      </c>
    </row>
    <row r="52" spans="5:12" x14ac:dyDescent="0.4"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81263-7A8A-4424-9157-3FDDE8AB073C}">
  <sheetPr codeName="Sheet1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129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27</v>
      </c>
      <c r="C2" s="147"/>
      <c r="E2" s="62" t="s">
        <v>67</v>
      </c>
      <c r="F2" s="59" t="s">
        <v>23</v>
      </c>
      <c r="G2" s="46">
        <v>36</v>
      </c>
      <c r="H2" s="132">
        <f>IF(B$17=0,0,G2/B$17)</f>
        <v>0.87804878048780488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-3385.1851851851852</v>
      </c>
      <c r="P2" s="118">
        <v>27</v>
      </c>
      <c r="Q2" s="102">
        <v>-91400</v>
      </c>
    </row>
    <row r="3" spans="1:17" x14ac:dyDescent="0.4">
      <c r="A3" s="55" t="s">
        <v>8</v>
      </c>
      <c r="B3" s="148">
        <v>222</v>
      </c>
      <c r="C3" s="149"/>
      <c r="E3" s="63" t="s">
        <v>65</v>
      </c>
      <c r="F3" s="60" t="s">
        <v>21</v>
      </c>
      <c r="G3" s="47">
        <v>25</v>
      </c>
      <c r="H3" s="133">
        <f>IF(B$17=0,0,G3/B$17)</f>
        <v>0.6097560975609756</v>
      </c>
      <c r="I3" s="94">
        <v>2</v>
      </c>
      <c r="K3" s="38">
        <v>1</v>
      </c>
      <c r="L3" s="99">
        <v>-40.4</v>
      </c>
      <c r="N3" s="115" t="s">
        <v>133</v>
      </c>
      <c r="O3" s="122">
        <f t="shared" si="0"/>
        <v>-4581.4814814814818</v>
      </c>
      <c r="P3" s="119">
        <v>27</v>
      </c>
      <c r="Q3" s="103">
        <v>-123700</v>
      </c>
    </row>
    <row r="4" spans="1:17" x14ac:dyDescent="0.4">
      <c r="A4" s="55" t="s">
        <v>6</v>
      </c>
      <c r="B4" s="150">
        <v>-876.19999999999993</v>
      </c>
      <c r="C4" s="151"/>
      <c r="E4" s="63" t="s">
        <v>69</v>
      </c>
      <c r="F4" s="60" t="s">
        <v>12</v>
      </c>
      <c r="G4" s="47">
        <v>17</v>
      </c>
      <c r="H4" s="133">
        <f>IF(B$17=0,0,G4/B$17)</f>
        <v>0.41463414634146339</v>
      </c>
      <c r="I4" s="94">
        <v>2</v>
      </c>
      <c r="K4" s="38">
        <v>2</v>
      </c>
      <c r="L4" s="99">
        <v>-3.3999999999999986</v>
      </c>
      <c r="N4" s="115" t="s">
        <v>134</v>
      </c>
      <c r="O4" s="122">
        <f t="shared" si="0"/>
        <v>-3591.6666666666665</v>
      </c>
      <c r="P4" s="119">
        <v>24</v>
      </c>
      <c r="Q4" s="103">
        <v>-86200</v>
      </c>
    </row>
    <row r="5" spans="1:17" x14ac:dyDescent="0.4">
      <c r="A5" s="55" t="s">
        <v>7</v>
      </c>
      <c r="B5" s="152">
        <f>IF(B$2=0,0,B$4/B$2)</f>
        <v>-32.451851851851849</v>
      </c>
      <c r="C5" s="153"/>
      <c r="E5" s="63" t="s">
        <v>68</v>
      </c>
      <c r="F5" s="60" t="s">
        <v>24</v>
      </c>
      <c r="G5" s="47">
        <v>15</v>
      </c>
      <c r="H5" s="133">
        <f>IF(B$17=0,0,G5/B$17)</f>
        <v>0.36585365853658536</v>
      </c>
      <c r="I5" s="94">
        <v>3</v>
      </c>
      <c r="K5" s="38">
        <v>3</v>
      </c>
      <c r="L5" s="99">
        <v>-23.099999999999998</v>
      </c>
      <c r="N5" s="115" t="s">
        <v>135</v>
      </c>
      <c r="O5" s="122">
        <f t="shared" si="0"/>
        <v>-7028.5714285714284</v>
      </c>
      <c r="P5" s="119">
        <v>21</v>
      </c>
      <c r="Q5" s="103">
        <v>-147600</v>
      </c>
    </row>
    <row r="6" spans="1:17" x14ac:dyDescent="0.4">
      <c r="A6" s="55" t="s">
        <v>1</v>
      </c>
      <c r="B6" s="142">
        <f>IF(B$2=0,0,(B$7*1+B$8*2+B$9*3)/B$2)</f>
        <v>2.5555555555555554</v>
      </c>
      <c r="C6" s="143"/>
      <c r="E6" s="63" t="s">
        <v>181</v>
      </c>
      <c r="F6" s="60" t="s">
        <v>182</v>
      </c>
      <c r="G6" s="47">
        <v>14</v>
      </c>
      <c r="H6" s="133">
        <f>IF(B$17=0,0,G6/B$17)</f>
        <v>0.34146341463414637</v>
      </c>
      <c r="I6" s="94">
        <v>8</v>
      </c>
      <c r="K6" s="38">
        <v>4</v>
      </c>
      <c r="L6" s="99">
        <v>-31.4</v>
      </c>
      <c r="N6" s="115" t="s">
        <v>136</v>
      </c>
      <c r="O6" s="122">
        <f t="shared" si="0"/>
        <v>-3700</v>
      </c>
      <c r="P6" s="119">
        <v>19</v>
      </c>
      <c r="Q6" s="103">
        <v>-70300</v>
      </c>
    </row>
    <row r="7" spans="1:17" x14ac:dyDescent="0.4">
      <c r="A7" s="55" t="s">
        <v>2</v>
      </c>
      <c r="B7" s="47">
        <v>3</v>
      </c>
      <c r="C7" s="39">
        <f>IF(B$2=0,0,B7/B$2)</f>
        <v>0.1111111111111111</v>
      </c>
      <c r="E7" s="63" t="s">
        <v>73</v>
      </c>
      <c r="F7" s="60" t="s">
        <v>28</v>
      </c>
      <c r="G7" s="47">
        <v>12</v>
      </c>
      <c r="H7" s="133">
        <f>IF(B$17=0,0,G7/B$17)</f>
        <v>0.29268292682926828</v>
      </c>
      <c r="I7" s="94">
        <v>11</v>
      </c>
      <c r="K7" s="38">
        <v>5</v>
      </c>
      <c r="L7" s="99">
        <v>-32.199999999999996</v>
      </c>
      <c r="N7" s="116" t="s">
        <v>137</v>
      </c>
      <c r="O7" s="123">
        <f t="shared" si="0"/>
        <v>-2116.6666666666665</v>
      </c>
      <c r="P7" s="120">
        <v>18</v>
      </c>
      <c r="Q7" s="104">
        <v>-38100</v>
      </c>
    </row>
    <row r="8" spans="1:17" x14ac:dyDescent="0.4">
      <c r="A8" s="55" t="s">
        <v>3</v>
      </c>
      <c r="B8" s="47">
        <v>6</v>
      </c>
      <c r="C8" s="39">
        <f>IF(B$2=0,0,B8/B$2)</f>
        <v>0.22222222222222221</v>
      </c>
      <c r="E8" s="63" t="s">
        <v>71</v>
      </c>
      <c r="F8" s="60" t="s">
        <v>26</v>
      </c>
      <c r="G8" s="47">
        <v>9</v>
      </c>
      <c r="H8" s="133">
        <f>IF(B$17=0,0,G8/B$17)</f>
        <v>0.21951219512195122</v>
      </c>
      <c r="I8" s="94">
        <v>1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18</v>
      </c>
      <c r="C9" s="40">
        <f t="shared" ref="C9" si="1">IF(B$2=0,0,B9/B$2)</f>
        <v>0.66666666666666663</v>
      </c>
      <c r="E9" s="63" t="s">
        <v>70</v>
      </c>
      <c r="F9" s="60" t="s">
        <v>25</v>
      </c>
      <c r="G9" s="47">
        <v>8</v>
      </c>
      <c r="H9" s="133">
        <f>IF(B$17=0,0,G9/B$17)</f>
        <v>0.1951219512195122</v>
      </c>
      <c r="I9" s="94">
        <v>5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8</v>
      </c>
      <c r="C10" s="40">
        <f>IF(B$2=0,0,B10/B$2)</f>
        <v>0.29629629629629628</v>
      </c>
      <c r="E10" s="63" t="s">
        <v>72</v>
      </c>
      <c r="F10" s="60" t="s">
        <v>27</v>
      </c>
      <c r="G10" s="47">
        <v>5</v>
      </c>
      <c r="H10" s="133">
        <f>IF(B$17=0,0,G10/B$17)</f>
        <v>0.12195121951219512</v>
      </c>
      <c r="I10" s="94">
        <v>2</v>
      </c>
      <c r="K10" s="38">
        <v>8</v>
      </c>
      <c r="L10" s="99">
        <v>-79.599999999999994</v>
      </c>
      <c r="N10" s="114" t="s">
        <v>164</v>
      </c>
      <c r="O10" s="124">
        <f>IF(P10=0,0,Q10/P10)</f>
        <v>-32.749999999999993</v>
      </c>
      <c r="P10" s="118">
        <v>10</v>
      </c>
      <c r="Q10" s="106">
        <v>-327.49999999999994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90</v>
      </c>
      <c r="F11" s="60" t="s">
        <v>45</v>
      </c>
      <c r="G11" s="47">
        <v>5</v>
      </c>
      <c r="H11" s="133">
        <f>IF(B$17=0,0,G11/B$17)</f>
        <v>0.12195121951219512</v>
      </c>
      <c r="I11" s="94">
        <v>7</v>
      </c>
      <c r="K11" s="38">
        <v>9</v>
      </c>
      <c r="L11" s="99">
        <v>-127.6</v>
      </c>
      <c r="N11" s="115" t="s">
        <v>165</v>
      </c>
      <c r="O11" s="125">
        <f>IF(P11=0,0,Q11/P11)</f>
        <v>-31.090000000000003</v>
      </c>
      <c r="P11" s="119">
        <v>10</v>
      </c>
      <c r="Q11" s="107">
        <v>-310.90000000000003</v>
      </c>
    </row>
    <row r="12" spans="1:17" x14ac:dyDescent="0.4">
      <c r="A12" s="57" t="s">
        <v>160</v>
      </c>
      <c r="B12" s="49">
        <v>1</v>
      </c>
      <c r="C12" s="42">
        <f>IF(B$2=0,0,B12/B$2)</f>
        <v>3.7037037037037035E-2</v>
      </c>
      <c r="E12" s="63" t="s">
        <v>66</v>
      </c>
      <c r="F12" s="60" t="s">
        <v>22</v>
      </c>
      <c r="G12" s="47">
        <v>4</v>
      </c>
      <c r="H12" s="133">
        <f>IF(B$17=0,0,G12/B$17)</f>
        <v>9.7560975609756101E-2</v>
      </c>
      <c r="I12" s="94">
        <v>7</v>
      </c>
      <c r="K12" s="38">
        <v>10</v>
      </c>
      <c r="L12" s="99">
        <v>-231.39999999999998</v>
      </c>
      <c r="N12" s="116" t="s">
        <v>166</v>
      </c>
      <c r="O12" s="126">
        <f>IF(P12=0,0,Q12/P12)</f>
        <v>-33.971428571428568</v>
      </c>
      <c r="P12" s="120">
        <v>7</v>
      </c>
      <c r="Q12" s="108">
        <v>-237.79999999999998</v>
      </c>
    </row>
    <row r="13" spans="1:17" x14ac:dyDescent="0.4">
      <c r="A13" s="58" t="s">
        <v>122</v>
      </c>
      <c r="B13" s="50">
        <v>54</v>
      </c>
      <c r="C13" s="44">
        <f>IF(B$3=0,0,B13/B$3)</f>
        <v>0.24324324324324326</v>
      </c>
      <c r="E13" s="63" t="s">
        <v>87</v>
      </c>
      <c r="F13" s="60" t="s">
        <v>42</v>
      </c>
      <c r="G13" s="47">
        <v>2</v>
      </c>
      <c r="H13" s="133">
        <f>IF(B$17=0,0,G13/B$17)</f>
        <v>4.878048780487805E-2</v>
      </c>
      <c r="I13" s="94">
        <v>7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30</v>
      </c>
      <c r="C14" s="39">
        <f>IF(B$3=0,0,B14/B$3)</f>
        <v>0.13513513513513514</v>
      </c>
      <c r="E14" s="63" t="s">
        <v>79</v>
      </c>
      <c r="F14" s="60" t="s">
        <v>34</v>
      </c>
      <c r="G14" s="47">
        <v>1</v>
      </c>
      <c r="H14" s="133">
        <f>IF(B$17=0,0,G14/B$17)</f>
        <v>2.4390243902439025E-2</v>
      </c>
      <c r="I14" s="94">
        <v>3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26</v>
      </c>
      <c r="C15" s="37">
        <f>IF(B$13=0,0,B15/B$13)</f>
        <v>0.48148148148148145</v>
      </c>
      <c r="E15" s="63" t="s">
        <v>84</v>
      </c>
      <c r="F15" s="60" t="s">
        <v>39</v>
      </c>
      <c r="G15" s="47">
        <v>1</v>
      </c>
      <c r="H15" s="133">
        <f>IF(B$17=0,0,G15/B$17)</f>
        <v>2.4390243902439025E-2</v>
      </c>
      <c r="I15" s="94">
        <v>9</v>
      </c>
      <c r="K15" s="38">
        <v>13</v>
      </c>
      <c r="L15" s="99">
        <v>-369.1</v>
      </c>
      <c r="N15" s="114" t="s">
        <v>177</v>
      </c>
      <c r="O15" s="124">
        <f>IF(P15=0,0,Q15/P15)</f>
        <v>29.700000000000003</v>
      </c>
      <c r="P15" s="118">
        <v>1</v>
      </c>
      <c r="Q15" s="106">
        <v>29.700000000000003</v>
      </c>
    </row>
    <row r="16" spans="1:17" x14ac:dyDescent="0.4">
      <c r="A16" s="54" t="s">
        <v>125</v>
      </c>
      <c r="B16" s="46">
        <v>4</v>
      </c>
      <c r="C16" s="37">
        <f>IF(B$14=0,0,B16/B$14)</f>
        <v>0.13333333333333333</v>
      </c>
      <c r="E16" s="63" t="s">
        <v>89</v>
      </c>
      <c r="F16" s="60" t="s">
        <v>44</v>
      </c>
      <c r="G16" s="47">
        <v>1</v>
      </c>
      <c r="H16" s="133">
        <f>IF(B$17=0,0,G16/B$17)</f>
        <v>2.4390243902439025E-2</v>
      </c>
      <c r="I16" s="94">
        <v>1</v>
      </c>
      <c r="K16" s="38">
        <v>14</v>
      </c>
      <c r="L16" s="99">
        <v>-394.6</v>
      </c>
      <c r="N16" s="115" t="s">
        <v>173</v>
      </c>
      <c r="O16" s="125">
        <f>IF(P16=0,0,Q16/P16)</f>
        <v>-19.3</v>
      </c>
      <c r="P16" s="119">
        <v>4</v>
      </c>
      <c r="Q16" s="107">
        <v>-77.2</v>
      </c>
    </row>
    <row r="17" spans="1:17" x14ac:dyDescent="0.4">
      <c r="A17" s="54" t="s">
        <v>10</v>
      </c>
      <c r="B17" s="46">
        <f>B19+B18</f>
        <v>41</v>
      </c>
      <c r="C17" s="37">
        <f>IF(B$3=0,0,B17/B$3)</f>
        <v>0.18468468468468469</v>
      </c>
      <c r="E17" s="63" t="s">
        <v>74</v>
      </c>
      <c r="F17" s="60" t="s">
        <v>29</v>
      </c>
      <c r="G17" s="47">
        <v>0</v>
      </c>
      <c r="H17" s="133">
        <f>IF(B$17=0,0,G17/B$17)</f>
        <v>0</v>
      </c>
      <c r="I17" s="94">
        <v>5</v>
      </c>
      <c r="K17" s="38">
        <v>15</v>
      </c>
      <c r="L17" s="99">
        <v>-424.5</v>
      </c>
      <c r="N17" s="115" t="s">
        <v>128</v>
      </c>
      <c r="O17" s="125">
        <f>IF(P17=0,0,Q17/P17)</f>
        <v>-23.638888888888886</v>
      </c>
      <c r="P17" s="119">
        <v>18</v>
      </c>
      <c r="Q17" s="107">
        <v>-425.49999999999994</v>
      </c>
    </row>
    <row r="18" spans="1:17" x14ac:dyDescent="0.4">
      <c r="A18" s="55" t="s">
        <v>12</v>
      </c>
      <c r="B18" s="47">
        <v>21</v>
      </c>
      <c r="C18" s="39">
        <f>IF(B$17=0,0,B18/B$17)</f>
        <v>0.51219512195121952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3</v>
      </c>
      <c r="K18" s="38">
        <v>16</v>
      </c>
      <c r="L18" s="99">
        <v>-472</v>
      </c>
      <c r="N18" s="115" t="s">
        <v>127</v>
      </c>
      <c r="O18" s="125">
        <f>IF(P18=0,0,Q18/P18)</f>
        <v>-60.438888888888904</v>
      </c>
      <c r="P18" s="119">
        <v>18</v>
      </c>
      <c r="Q18" s="107">
        <v>-1087.9000000000003</v>
      </c>
    </row>
    <row r="19" spans="1:17" x14ac:dyDescent="0.4">
      <c r="A19" s="55" t="s">
        <v>11</v>
      </c>
      <c r="B19" s="47">
        <v>20</v>
      </c>
      <c r="C19" s="39">
        <f>IF(B$17=0,0,B19/B$17)</f>
        <v>0.48780487804878048</v>
      </c>
      <c r="E19" s="63" t="s">
        <v>76</v>
      </c>
      <c r="F19" s="60" t="s">
        <v>31</v>
      </c>
      <c r="G19" s="47">
        <v>0</v>
      </c>
      <c r="H19" s="133">
        <f>IF(B$17=0,0,G19/B$17)</f>
        <v>0</v>
      </c>
      <c r="I19" s="94">
        <v>6</v>
      </c>
      <c r="K19" s="38">
        <v>17</v>
      </c>
      <c r="L19" s="99">
        <v>-538.29999999999995</v>
      </c>
      <c r="N19" s="115" t="s">
        <v>186</v>
      </c>
      <c r="O19" s="125">
        <f>IF(P19=0,0,Q19/P19)</f>
        <v>-72.3</v>
      </c>
      <c r="P19" s="119">
        <v>1</v>
      </c>
      <c r="Q19" s="107">
        <v>-72.3</v>
      </c>
    </row>
    <row r="20" spans="1:17" x14ac:dyDescent="0.4">
      <c r="A20" s="55" t="s">
        <v>13</v>
      </c>
      <c r="B20" s="47">
        <v>51</v>
      </c>
      <c r="C20" s="39">
        <f>IF(B$3=0,0,B20/B$3)</f>
        <v>0.22972972972972974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-537.19999999999993</v>
      </c>
      <c r="N20" s="115" t="s">
        <v>172</v>
      </c>
      <c r="O20" s="125">
        <f>IF(P20=0,0,Q20/P20)</f>
        <v>-80.185714285714283</v>
      </c>
      <c r="P20" s="119">
        <v>7</v>
      </c>
      <c r="Q20" s="107">
        <v>-561.29999999999995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4</v>
      </c>
      <c r="K21" s="38">
        <v>19</v>
      </c>
      <c r="L21" s="99">
        <v>-569.49999999999989</v>
      </c>
      <c r="N21" s="115" t="s">
        <v>171</v>
      </c>
      <c r="O21" s="125">
        <f>IF(P21=0,0,Q21/P21)</f>
        <v>-86.820000000000007</v>
      </c>
      <c r="P21" s="119">
        <v>5</v>
      </c>
      <c r="Q21" s="107">
        <v>-434.1</v>
      </c>
    </row>
    <row r="22" spans="1:17" x14ac:dyDescent="0.4">
      <c r="A22" s="55" t="s">
        <v>194</v>
      </c>
      <c r="B22" s="47">
        <v>19</v>
      </c>
      <c r="C22" s="135">
        <v>4</v>
      </c>
      <c r="E22" s="63" t="s">
        <v>80</v>
      </c>
      <c r="F22" s="60" t="s">
        <v>35</v>
      </c>
      <c r="G22" s="47">
        <v>0</v>
      </c>
      <c r="H22" s="133">
        <f>IF(B$17=0,0,G22/B$17)</f>
        <v>0</v>
      </c>
      <c r="I22" s="94">
        <v>6</v>
      </c>
      <c r="K22" s="38">
        <v>20</v>
      </c>
      <c r="L22" s="99">
        <v>-632.99999999999989</v>
      </c>
    </row>
    <row r="23" spans="1:17" x14ac:dyDescent="0.4">
      <c r="A23" s="55" t="s">
        <v>5</v>
      </c>
      <c r="B23" s="51">
        <f>IF(B$17=0,0,C23/B$17)</f>
        <v>7680.4878048780483</v>
      </c>
      <c r="C23" s="41">
        <v>314900</v>
      </c>
      <c r="E23" s="63" t="s">
        <v>81</v>
      </c>
      <c r="F23" s="60" t="s">
        <v>36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-10100</v>
      </c>
      <c r="C24" s="45">
        <v>-515100</v>
      </c>
      <c r="E24" s="63" t="s">
        <v>82</v>
      </c>
      <c r="F24" s="60" t="s">
        <v>37</v>
      </c>
      <c r="G24" s="47">
        <v>0</v>
      </c>
      <c r="H24" s="133">
        <f>IF(B$17=0,0,G24/B$17)</f>
        <v>0</v>
      </c>
      <c r="I24" s="94">
        <v>7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0">
        <v>7</v>
      </c>
      <c r="C25" s="141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38">
        <v>52200</v>
      </c>
      <c r="C26" s="139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4.5045045045045045E-3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-783.69999999999993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-818.49999999999989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-876.19999999999993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5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9F1E5-1B4E-4DD0-BD00-E98E072E44D1}">
  <sheetPr codeName="Sheet1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171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38</v>
      </c>
      <c r="C2" s="147"/>
      <c r="E2" s="62" t="s">
        <v>67</v>
      </c>
      <c r="F2" s="59" t="s">
        <v>23</v>
      </c>
      <c r="G2" s="46">
        <v>57</v>
      </c>
      <c r="H2" s="132">
        <f>IF(B$17=0,0,G2/B$17)</f>
        <v>0.73076923076923073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-473.68421052631578</v>
      </c>
      <c r="P2" s="118">
        <v>38</v>
      </c>
      <c r="Q2" s="102">
        <v>-18000</v>
      </c>
    </row>
    <row r="3" spans="1:17" x14ac:dyDescent="0.4">
      <c r="A3" s="55" t="s">
        <v>8</v>
      </c>
      <c r="B3" s="148">
        <v>320</v>
      </c>
      <c r="C3" s="149"/>
      <c r="E3" s="63" t="s">
        <v>65</v>
      </c>
      <c r="F3" s="60" t="s">
        <v>21</v>
      </c>
      <c r="G3" s="47">
        <v>41</v>
      </c>
      <c r="H3" s="133">
        <f>IF(B$17=0,0,G3/B$17)</f>
        <v>0.52564102564102566</v>
      </c>
      <c r="I3" s="94">
        <v>5</v>
      </c>
      <c r="K3" s="38">
        <v>1</v>
      </c>
      <c r="L3" s="99">
        <v>-51.2</v>
      </c>
      <c r="N3" s="115" t="s">
        <v>133</v>
      </c>
      <c r="O3" s="122">
        <f t="shared" si="0"/>
        <v>639.47368421052636</v>
      </c>
      <c r="P3" s="119">
        <v>38</v>
      </c>
      <c r="Q3" s="103">
        <v>24300</v>
      </c>
    </row>
    <row r="4" spans="1:17" x14ac:dyDescent="0.4">
      <c r="A4" s="55" t="s">
        <v>6</v>
      </c>
      <c r="B4" s="150">
        <v>-76.599999999999994</v>
      </c>
      <c r="C4" s="151"/>
      <c r="E4" s="63" t="s">
        <v>73</v>
      </c>
      <c r="F4" s="60" t="s">
        <v>28</v>
      </c>
      <c r="G4" s="47">
        <v>39</v>
      </c>
      <c r="H4" s="133">
        <f>IF(B$17=0,0,G4/B$17)</f>
        <v>0.5</v>
      </c>
      <c r="I4" s="94">
        <v>8</v>
      </c>
      <c r="K4" s="38">
        <v>2</v>
      </c>
      <c r="L4" s="99">
        <v>-93.300000000000011</v>
      </c>
      <c r="N4" s="115" t="s">
        <v>134</v>
      </c>
      <c r="O4" s="122">
        <f t="shared" si="0"/>
        <v>1058.3333333333333</v>
      </c>
      <c r="P4" s="119">
        <v>36</v>
      </c>
      <c r="Q4" s="103">
        <v>38100</v>
      </c>
    </row>
    <row r="5" spans="1:17" x14ac:dyDescent="0.4">
      <c r="A5" s="55" t="s">
        <v>7</v>
      </c>
      <c r="B5" s="152">
        <f>IF(B$2=0,0,B$4/B$2)</f>
        <v>-2.0157894736842104</v>
      </c>
      <c r="C5" s="153"/>
      <c r="E5" s="63" t="s">
        <v>181</v>
      </c>
      <c r="F5" s="60" t="s">
        <v>182</v>
      </c>
      <c r="G5" s="47">
        <v>24</v>
      </c>
      <c r="H5" s="133">
        <f>IF(B$17=0,0,G5/B$17)</f>
        <v>0.30769230769230771</v>
      </c>
      <c r="I5" s="94">
        <v>10</v>
      </c>
      <c r="K5" s="38">
        <v>3</v>
      </c>
      <c r="L5" s="99">
        <v>-60.100000000000009</v>
      </c>
      <c r="N5" s="115" t="s">
        <v>135</v>
      </c>
      <c r="O5" s="122">
        <f t="shared" si="0"/>
        <v>-324.24242424242425</v>
      </c>
      <c r="P5" s="119">
        <v>33</v>
      </c>
      <c r="Q5" s="103">
        <v>-10700</v>
      </c>
    </row>
    <row r="6" spans="1:17" x14ac:dyDescent="0.4">
      <c r="A6" s="55" t="s">
        <v>1</v>
      </c>
      <c r="B6" s="142">
        <f>IF(B$2=0,0,(B$7*1+B$8*2+B$9*3)/B$2)</f>
        <v>2.1052631578947367</v>
      </c>
      <c r="C6" s="143"/>
      <c r="E6" s="63" t="s">
        <v>69</v>
      </c>
      <c r="F6" s="60" t="s">
        <v>12</v>
      </c>
      <c r="G6" s="47">
        <v>19</v>
      </c>
      <c r="H6" s="133">
        <f>IF(B$17=0,0,G6/B$17)</f>
        <v>0.24358974358974358</v>
      </c>
      <c r="I6" s="94">
        <v>7</v>
      </c>
      <c r="K6" s="38">
        <v>4</v>
      </c>
      <c r="L6" s="99">
        <v>-11.300000000000011</v>
      </c>
      <c r="N6" s="115" t="s">
        <v>136</v>
      </c>
      <c r="O6" s="122">
        <f t="shared" si="0"/>
        <v>-970</v>
      </c>
      <c r="P6" s="119">
        <v>30</v>
      </c>
      <c r="Q6" s="103">
        <v>-29100</v>
      </c>
    </row>
    <row r="7" spans="1:17" x14ac:dyDescent="0.4">
      <c r="A7" s="55" t="s">
        <v>2</v>
      </c>
      <c r="B7" s="47">
        <v>10</v>
      </c>
      <c r="C7" s="39">
        <f>IF(B$2=0,0,B7/B$2)</f>
        <v>0.26315789473684209</v>
      </c>
      <c r="E7" s="63" t="s">
        <v>68</v>
      </c>
      <c r="F7" s="60" t="s">
        <v>24</v>
      </c>
      <c r="G7" s="47">
        <v>18</v>
      </c>
      <c r="H7" s="133">
        <f>IF(B$17=0,0,G7/B$17)</f>
        <v>0.23076923076923078</v>
      </c>
      <c r="I7" s="94">
        <v>7</v>
      </c>
      <c r="K7" s="38">
        <v>5</v>
      </c>
      <c r="L7" s="99">
        <v>-36.100000000000009</v>
      </c>
      <c r="N7" s="116" t="s">
        <v>137</v>
      </c>
      <c r="O7" s="123">
        <f t="shared" si="0"/>
        <v>242.85714285714286</v>
      </c>
      <c r="P7" s="120">
        <v>28</v>
      </c>
      <c r="Q7" s="104">
        <v>6800</v>
      </c>
    </row>
    <row r="8" spans="1:17" x14ac:dyDescent="0.4">
      <c r="A8" s="55" t="s">
        <v>3</v>
      </c>
      <c r="B8" s="47">
        <v>14</v>
      </c>
      <c r="C8" s="39">
        <f>IF(B$2=0,0,B8/B$2)</f>
        <v>0.36842105263157893</v>
      </c>
      <c r="E8" s="63" t="s">
        <v>70</v>
      </c>
      <c r="F8" s="60" t="s">
        <v>25</v>
      </c>
      <c r="G8" s="47">
        <v>17</v>
      </c>
      <c r="H8" s="133">
        <f>IF(B$17=0,0,G8/B$17)</f>
        <v>0.21794871794871795</v>
      </c>
      <c r="I8" s="94">
        <v>2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14</v>
      </c>
      <c r="C9" s="40">
        <f t="shared" ref="C9" si="1">IF(B$2=0,0,B9/B$2)</f>
        <v>0.36842105263157893</v>
      </c>
      <c r="E9" s="63" t="s">
        <v>66</v>
      </c>
      <c r="F9" s="60" t="s">
        <v>22</v>
      </c>
      <c r="G9" s="47">
        <v>13</v>
      </c>
      <c r="H9" s="133">
        <f>IF(B$17=0,0,G9/B$17)</f>
        <v>0.16666666666666666</v>
      </c>
      <c r="I9" s="94">
        <v>1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2.6315789473684209E-2</v>
      </c>
      <c r="E10" s="63" t="s">
        <v>71</v>
      </c>
      <c r="F10" s="60" t="s">
        <v>26</v>
      </c>
      <c r="G10" s="47">
        <v>11</v>
      </c>
      <c r="H10" s="133">
        <f>IF(B$17=0,0,G10/B$17)</f>
        <v>0.14102564102564102</v>
      </c>
      <c r="I10" s="94">
        <v>2</v>
      </c>
      <c r="K10" s="38">
        <v>8</v>
      </c>
      <c r="L10" s="99">
        <v>-1.7000000000000028</v>
      </c>
      <c r="N10" s="114" t="s">
        <v>164</v>
      </c>
      <c r="O10" s="124">
        <f>IF(P10=0,0,Q10/P10)</f>
        <v>9.3999999999999986</v>
      </c>
      <c r="P10" s="118">
        <v>8</v>
      </c>
      <c r="Q10" s="106">
        <v>75.199999999999989</v>
      </c>
    </row>
    <row r="11" spans="1:17" x14ac:dyDescent="0.4">
      <c r="A11" s="56" t="s">
        <v>140</v>
      </c>
      <c r="B11" s="48">
        <v>5</v>
      </c>
      <c r="C11" s="40">
        <f>IF(B$2=0,0,B11/B$2)</f>
        <v>0.13157894736842105</v>
      </c>
      <c r="E11" s="63" t="s">
        <v>90</v>
      </c>
      <c r="F11" s="60" t="s">
        <v>45</v>
      </c>
      <c r="G11" s="47">
        <v>11</v>
      </c>
      <c r="H11" s="133">
        <f>IF(B$17=0,0,G11/B$17)</f>
        <v>0.14102564102564102</v>
      </c>
      <c r="I11" s="94">
        <v>5</v>
      </c>
      <c r="K11" s="38">
        <v>9</v>
      </c>
      <c r="L11" s="99">
        <v>-5.8000000000000025</v>
      </c>
      <c r="N11" s="115" t="s">
        <v>165</v>
      </c>
      <c r="O11" s="125">
        <f>IF(P11=0,0,Q11/P11)</f>
        <v>-8.8812499999999979</v>
      </c>
      <c r="P11" s="119">
        <v>16</v>
      </c>
      <c r="Q11" s="107">
        <v>-142.09999999999997</v>
      </c>
    </row>
    <row r="12" spans="1:17" x14ac:dyDescent="0.4">
      <c r="A12" s="57" t="s">
        <v>160</v>
      </c>
      <c r="B12" s="49">
        <v>4</v>
      </c>
      <c r="C12" s="42">
        <f>IF(B$2=0,0,B12/B$2)</f>
        <v>0.10526315789473684</v>
      </c>
      <c r="E12" s="63" t="s">
        <v>87</v>
      </c>
      <c r="F12" s="60" t="s">
        <v>42</v>
      </c>
      <c r="G12" s="47">
        <v>7</v>
      </c>
      <c r="H12" s="133">
        <f>IF(B$17=0,0,G12/B$17)</f>
        <v>8.9743589743589744E-2</v>
      </c>
      <c r="I12" s="94">
        <v>3</v>
      </c>
      <c r="K12" s="38">
        <v>10</v>
      </c>
      <c r="L12" s="99">
        <v>-56.500000000000007</v>
      </c>
      <c r="N12" s="116" t="s">
        <v>166</v>
      </c>
      <c r="O12" s="126">
        <f>IF(P12=0,0,Q12/P12)</f>
        <v>-0.69285714285714317</v>
      </c>
      <c r="P12" s="120">
        <v>14</v>
      </c>
      <c r="Q12" s="108">
        <v>-9.7000000000000046</v>
      </c>
    </row>
    <row r="13" spans="1:17" x14ac:dyDescent="0.4">
      <c r="A13" s="58" t="s">
        <v>122</v>
      </c>
      <c r="B13" s="50">
        <v>79</v>
      </c>
      <c r="C13" s="44">
        <f>IF(B$3=0,0,B13/B$3)</f>
        <v>0.24687500000000001</v>
      </c>
      <c r="E13" s="63" t="s">
        <v>72</v>
      </c>
      <c r="F13" s="60" t="s">
        <v>27</v>
      </c>
      <c r="G13" s="47">
        <v>6</v>
      </c>
      <c r="H13" s="133">
        <f>IF(B$17=0,0,G13/B$17)</f>
        <v>7.6923076923076927E-2</v>
      </c>
      <c r="I13" s="94">
        <v>3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54</v>
      </c>
      <c r="C14" s="39">
        <f>IF(B$3=0,0,B14/B$3)</f>
        <v>0.16875000000000001</v>
      </c>
      <c r="E14" s="63" t="s">
        <v>84</v>
      </c>
      <c r="F14" s="60" t="s">
        <v>39</v>
      </c>
      <c r="G14" s="47">
        <v>4</v>
      </c>
      <c r="H14" s="133">
        <f>IF(B$17=0,0,G14/B$17)</f>
        <v>5.128205128205128E-2</v>
      </c>
      <c r="I14" s="94">
        <v>4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44</v>
      </c>
      <c r="C15" s="37">
        <f>IF(B$13=0,0,B15/B$13)</f>
        <v>0.55696202531645567</v>
      </c>
      <c r="E15" s="63" t="s">
        <v>79</v>
      </c>
      <c r="F15" s="60" t="s">
        <v>34</v>
      </c>
      <c r="G15" s="47">
        <v>3</v>
      </c>
      <c r="H15" s="133">
        <f>IF(B$17=0,0,G15/B$17)</f>
        <v>3.8461538461538464E-2</v>
      </c>
      <c r="I15" s="94">
        <v>2</v>
      </c>
      <c r="K15" s="38">
        <v>13</v>
      </c>
      <c r="L15" s="99">
        <v>-58.7</v>
      </c>
      <c r="N15" s="114" t="s">
        <v>129</v>
      </c>
      <c r="O15" s="124">
        <f>IF(P15=0,0,Q15/P15)</f>
        <v>86.820000000000007</v>
      </c>
      <c r="P15" s="118">
        <v>5</v>
      </c>
      <c r="Q15" s="106">
        <v>434.1</v>
      </c>
    </row>
    <row r="16" spans="1:17" x14ac:dyDescent="0.4">
      <c r="A16" s="54" t="s">
        <v>125</v>
      </c>
      <c r="B16" s="46">
        <v>17</v>
      </c>
      <c r="C16" s="37">
        <f>IF(B$14=0,0,B16/B$14)</f>
        <v>0.31481481481481483</v>
      </c>
      <c r="E16" s="63" t="s">
        <v>76</v>
      </c>
      <c r="F16" s="60" t="s">
        <v>31</v>
      </c>
      <c r="G16" s="47">
        <v>2</v>
      </c>
      <c r="H16" s="133">
        <f>IF(B$17=0,0,G16/B$17)</f>
        <v>2.564102564102564E-2</v>
      </c>
      <c r="I16" s="94">
        <v>2</v>
      </c>
      <c r="K16" s="38">
        <v>14</v>
      </c>
      <c r="L16" s="99">
        <v>-29.400000000000002</v>
      </c>
      <c r="N16" s="115" t="s">
        <v>186</v>
      </c>
      <c r="O16" s="125">
        <f>IF(P16=0,0,Q16/P16)</f>
        <v>25.400000000000002</v>
      </c>
      <c r="P16" s="119">
        <v>2</v>
      </c>
      <c r="Q16" s="107">
        <v>50.800000000000004</v>
      </c>
    </row>
    <row r="17" spans="1:17" x14ac:dyDescent="0.4">
      <c r="A17" s="54" t="s">
        <v>10</v>
      </c>
      <c r="B17" s="46">
        <f>B19+B18</f>
        <v>78</v>
      </c>
      <c r="C17" s="37">
        <f>IF(B$3=0,0,B17/B$3)</f>
        <v>0.24374999999999999</v>
      </c>
      <c r="E17" s="63" t="s">
        <v>93</v>
      </c>
      <c r="F17" s="60" t="s">
        <v>48</v>
      </c>
      <c r="G17" s="47">
        <v>2</v>
      </c>
      <c r="H17" s="133">
        <f>IF(B$17=0,0,G17/B$17)</f>
        <v>2.564102564102564E-2</v>
      </c>
      <c r="I17" s="94">
        <v>1</v>
      </c>
      <c r="K17" s="38">
        <v>15</v>
      </c>
      <c r="L17" s="99">
        <v>-26.3</v>
      </c>
      <c r="N17" s="115" t="s">
        <v>173</v>
      </c>
      <c r="O17" s="125">
        <f>IF(P17=0,0,Q17/P17)</f>
        <v>10.618181818181817</v>
      </c>
      <c r="P17" s="119">
        <v>11</v>
      </c>
      <c r="Q17" s="107">
        <v>116.8</v>
      </c>
    </row>
    <row r="18" spans="1:17" x14ac:dyDescent="0.4">
      <c r="A18" s="55" t="s">
        <v>12</v>
      </c>
      <c r="B18" s="47">
        <v>27</v>
      </c>
      <c r="C18" s="39">
        <f>IF(B$17=0,0,B18/B$17)</f>
        <v>0.34615384615384615</v>
      </c>
      <c r="E18" s="63" t="s">
        <v>180</v>
      </c>
      <c r="F18" s="60" t="s">
        <v>183</v>
      </c>
      <c r="G18" s="47">
        <v>2</v>
      </c>
      <c r="H18" s="133">
        <f>IF(B$17=0,0,G18/B$17)</f>
        <v>2.564102564102564E-2</v>
      </c>
      <c r="I18" s="94">
        <v>1</v>
      </c>
      <c r="K18" s="38">
        <v>16</v>
      </c>
      <c r="L18" s="99">
        <v>-50.3</v>
      </c>
      <c r="N18" s="115" t="s">
        <v>172</v>
      </c>
      <c r="O18" s="125">
        <f>IF(P18=0,0,Q18/P18)</f>
        <v>0.24999999999999928</v>
      </c>
      <c r="P18" s="119">
        <v>10</v>
      </c>
      <c r="Q18" s="107">
        <v>2.4999999999999929</v>
      </c>
    </row>
    <row r="19" spans="1:17" x14ac:dyDescent="0.4">
      <c r="A19" s="55" t="s">
        <v>11</v>
      </c>
      <c r="B19" s="47">
        <v>51</v>
      </c>
      <c r="C19" s="39">
        <f>IF(B$17=0,0,B19/B$17)</f>
        <v>0.65384615384615385</v>
      </c>
      <c r="E19" s="63" t="s">
        <v>82</v>
      </c>
      <c r="F19" s="60" t="s">
        <v>37</v>
      </c>
      <c r="G19" s="47">
        <v>1</v>
      </c>
      <c r="H19" s="133">
        <f>IF(B$17=0,0,G19/B$17)</f>
        <v>1.282051282051282E-2</v>
      </c>
      <c r="I19" s="94">
        <v>6</v>
      </c>
      <c r="K19" s="38">
        <v>17</v>
      </c>
      <c r="L19" s="99">
        <v>-74.3</v>
      </c>
      <c r="N19" s="115" t="s">
        <v>128</v>
      </c>
      <c r="O19" s="125">
        <f>IF(P19=0,0,Q19/P19)</f>
        <v>-10.050000000000008</v>
      </c>
      <c r="P19" s="119">
        <v>20</v>
      </c>
      <c r="Q19" s="107">
        <v>-201.00000000000017</v>
      </c>
    </row>
    <row r="20" spans="1:17" x14ac:dyDescent="0.4">
      <c r="A20" s="55" t="s">
        <v>13</v>
      </c>
      <c r="B20" s="47">
        <v>51</v>
      </c>
      <c r="C20" s="39">
        <f>IF(B$3=0,0,B20/B$3)</f>
        <v>0.15937499999999999</v>
      </c>
      <c r="E20" s="63" t="s">
        <v>74</v>
      </c>
      <c r="F20" s="60" t="s">
        <v>29</v>
      </c>
      <c r="G20" s="47">
        <v>0</v>
      </c>
      <c r="H20" s="133">
        <f>IF(B$17=0,0,G20/B$17)</f>
        <v>0</v>
      </c>
      <c r="I20" s="94">
        <v>5</v>
      </c>
      <c r="K20" s="38">
        <v>18</v>
      </c>
      <c r="L20" s="99">
        <v>-76.099999999999994</v>
      </c>
      <c r="N20" s="115" t="s">
        <v>177</v>
      </c>
      <c r="O20" s="125">
        <f>IF(P20=0,0,Q20/P20)</f>
        <v>-12.149999999999999</v>
      </c>
      <c r="P20" s="119">
        <v>2</v>
      </c>
      <c r="Q20" s="107">
        <v>-24.299999999999997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75</v>
      </c>
      <c r="F21" s="60" t="s">
        <v>30</v>
      </c>
      <c r="G21" s="47">
        <v>0</v>
      </c>
      <c r="H21" s="133">
        <f>IF(B$17=0,0,G21/B$17)</f>
        <v>0</v>
      </c>
      <c r="I21" s="94">
        <v>3</v>
      </c>
      <c r="K21" s="38">
        <v>19</v>
      </c>
      <c r="L21" s="99">
        <v>0.60000000000000853</v>
      </c>
      <c r="N21" s="115" t="s">
        <v>127</v>
      </c>
      <c r="O21" s="125">
        <f>IF(P21=0,0,Q21/P21)</f>
        <v>-21.029166666666665</v>
      </c>
      <c r="P21" s="119">
        <v>24</v>
      </c>
      <c r="Q21" s="107">
        <v>-504.69999999999993</v>
      </c>
    </row>
    <row r="22" spans="1:17" x14ac:dyDescent="0.4">
      <c r="A22" s="55" t="s">
        <v>194</v>
      </c>
      <c r="B22" s="47">
        <v>20</v>
      </c>
      <c r="C22" s="135">
        <v>1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-3.5999999999999917</v>
      </c>
      <c r="N22" s="115" t="s">
        <v>202</v>
      </c>
      <c r="O22" s="125">
        <f>IF(P22=0,0,Q22/P22)</f>
        <v>-51.999999999999993</v>
      </c>
      <c r="P22" s="119">
        <v>2</v>
      </c>
      <c r="Q22" s="107">
        <v>-103.99999999999999</v>
      </c>
    </row>
    <row r="23" spans="1:17" x14ac:dyDescent="0.4">
      <c r="A23" s="55" t="s">
        <v>5</v>
      </c>
      <c r="B23" s="51">
        <f>IF(B$17=0,0,C23/B$17)</f>
        <v>8955.1282051282051</v>
      </c>
      <c r="C23" s="41">
        <v>698500</v>
      </c>
      <c r="E23" s="63" t="s">
        <v>78</v>
      </c>
      <c r="F23" s="60" t="s">
        <v>33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-3.0999999999999917</v>
      </c>
    </row>
    <row r="24" spans="1:17" x14ac:dyDescent="0.4">
      <c r="A24" s="57" t="s">
        <v>14</v>
      </c>
      <c r="B24" s="52">
        <f>IF(B$20=0,0,C24/B$20)</f>
        <v>-7225.4901960784309</v>
      </c>
      <c r="C24" s="45">
        <v>-368500</v>
      </c>
      <c r="E24" s="63" t="s">
        <v>80</v>
      </c>
      <c r="F24" s="60" t="s">
        <v>35</v>
      </c>
      <c r="G24" s="47">
        <v>0</v>
      </c>
      <c r="H24" s="133">
        <f>IF(B$17=0,0,G24/B$17)</f>
        <v>0</v>
      </c>
      <c r="I24" s="94">
        <v>6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0">
        <v>4</v>
      </c>
      <c r="C25" s="141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38">
        <v>91700</v>
      </c>
      <c r="C26" s="139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3.1250000000000002E-3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-39.999999999999986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-71.099999999999994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-66.199999999999989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-116.49999999999999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-121.79999999999998</v>
      </c>
    </row>
    <row r="32" spans="1:17" x14ac:dyDescent="0.4">
      <c r="E32" s="63" t="s">
        <v>92</v>
      </c>
      <c r="F32" s="60" t="s">
        <v>47</v>
      </c>
      <c r="G32" s="47">
        <v>0</v>
      </c>
      <c r="H32" s="133">
        <f>IF(B$17=0,0,G32/B$17)</f>
        <v>0</v>
      </c>
      <c r="I32" s="94">
        <v>7</v>
      </c>
      <c r="K32" s="38">
        <v>30</v>
      </c>
      <c r="L32" s="99">
        <v>-156.19999999999999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-64.099999999999994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38383-63F5-4EE4-9C94-835B55F58CFE}">
  <sheetPr codeName="Sheet1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30</v>
      </c>
      <c r="C2" s="147"/>
      <c r="E2" s="62" t="s">
        <v>67</v>
      </c>
      <c r="F2" s="59" t="s">
        <v>23</v>
      </c>
      <c r="G2" s="46">
        <v>66</v>
      </c>
      <c r="H2" s="132">
        <f>IF(B$17=0,0,G2/B$17)</f>
        <v>0.7415730337078652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1060</v>
      </c>
      <c r="P2" s="118">
        <v>30</v>
      </c>
      <c r="Q2" s="102">
        <v>31800</v>
      </c>
    </row>
    <row r="3" spans="1:17" x14ac:dyDescent="0.4">
      <c r="A3" s="55" t="s">
        <v>8</v>
      </c>
      <c r="B3" s="148">
        <v>255</v>
      </c>
      <c r="C3" s="149"/>
      <c r="E3" s="63" t="s">
        <v>73</v>
      </c>
      <c r="F3" s="60" t="s">
        <v>28</v>
      </c>
      <c r="G3" s="47">
        <v>63</v>
      </c>
      <c r="H3" s="133">
        <f>IF(B$17=0,0,G3/B$17)</f>
        <v>0.7078651685393258</v>
      </c>
      <c r="I3" s="94">
        <v>3</v>
      </c>
      <c r="K3" s="38">
        <v>1</v>
      </c>
      <c r="L3" s="99">
        <v>11.1</v>
      </c>
      <c r="N3" s="115" t="s">
        <v>133</v>
      </c>
      <c r="O3" s="122">
        <f t="shared" si="0"/>
        <v>896.66666666666663</v>
      </c>
      <c r="P3" s="119">
        <v>30</v>
      </c>
      <c r="Q3" s="103">
        <v>26900</v>
      </c>
    </row>
    <row r="4" spans="1:17" x14ac:dyDescent="0.4">
      <c r="A4" s="55" t="s">
        <v>6</v>
      </c>
      <c r="B4" s="150">
        <v>63.300000000000011</v>
      </c>
      <c r="C4" s="151"/>
      <c r="E4" s="63" t="s">
        <v>181</v>
      </c>
      <c r="F4" s="60" t="s">
        <v>182</v>
      </c>
      <c r="G4" s="47">
        <v>32</v>
      </c>
      <c r="H4" s="133">
        <f>IF(B$17=0,0,G4/B$17)</f>
        <v>0.3595505617977528</v>
      </c>
      <c r="I4" s="94">
        <v>6</v>
      </c>
      <c r="K4" s="38">
        <v>2</v>
      </c>
      <c r="L4" s="99">
        <v>-7.7000000000000011</v>
      </c>
      <c r="N4" s="115" t="s">
        <v>134</v>
      </c>
      <c r="O4" s="122">
        <f t="shared" si="0"/>
        <v>1142.3076923076924</v>
      </c>
      <c r="P4" s="119">
        <v>26</v>
      </c>
      <c r="Q4" s="103">
        <v>29700</v>
      </c>
    </row>
    <row r="5" spans="1:17" x14ac:dyDescent="0.4">
      <c r="A5" s="55" t="s">
        <v>7</v>
      </c>
      <c r="B5" s="152">
        <f>IF(B$2=0,0,B$4/B$2)</f>
        <v>2.1100000000000003</v>
      </c>
      <c r="C5" s="153"/>
      <c r="E5" s="63" t="s">
        <v>65</v>
      </c>
      <c r="F5" s="60" t="s">
        <v>21</v>
      </c>
      <c r="G5" s="47">
        <v>31</v>
      </c>
      <c r="H5" s="133">
        <f>IF(B$17=0,0,G5/B$17)</f>
        <v>0.34831460674157305</v>
      </c>
      <c r="I5" s="94">
        <v>11</v>
      </c>
      <c r="K5" s="38">
        <v>3</v>
      </c>
      <c r="L5" s="99">
        <v>1.7999999999999989</v>
      </c>
      <c r="N5" s="115" t="s">
        <v>135</v>
      </c>
      <c r="O5" s="122">
        <f t="shared" si="0"/>
        <v>754.16666666666663</v>
      </c>
      <c r="P5" s="119">
        <v>24</v>
      </c>
      <c r="Q5" s="103">
        <v>18100</v>
      </c>
    </row>
    <row r="6" spans="1:17" x14ac:dyDescent="0.4">
      <c r="A6" s="55" t="s">
        <v>1</v>
      </c>
      <c r="B6" s="142">
        <f>IF(B$2=0,0,(B$7*1+B$8*2+B$9*3)/B$2)</f>
        <v>2.0666666666666669</v>
      </c>
      <c r="C6" s="143"/>
      <c r="E6" s="63" t="s">
        <v>69</v>
      </c>
      <c r="F6" s="60" t="s">
        <v>12</v>
      </c>
      <c r="G6" s="47">
        <v>22</v>
      </c>
      <c r="H6" s="133">
        <f>IF(B$17=0,0,G6/B$17)</f>
        <v>0.24719101123595505</v>
      </c>
      <c r="I6" s="94">
        <v>6</v>
      </c>
      <c r="K6" s="38">
        <v>4</v>
      </c>
      <c r="L6" s="99">
        <v>34.9</v>
      </c>
      <c r="N6" s="115" t="s">
        <v>136</v>
      </c>
      <c r="O6" s="122">
        <f t="shared" si="0"/>
        <v>-852.17391304347825</v>
      </c>
      <c r="P6" s="119">
        <v>23</v>
      </c>
      <c r="Q6" s="103">
        <v>-19600</v>
      </c>
    </row>
    <row r="7" spans="1:17" x14ac:dyDescent="0.4">
      <c r="A7" s="55" t="s">
        <v>2</v>
      </c>
      <c r="B7" s="47">
        <v>9</v>
      </c>
      <c r="C7" s="39">
        <f>IF(B$2=0,0,B7/B$2)</f>
        <v>0.3</v>
      </c>
      <c r="E7" s="63" t="s">
        <v>68</v>
      </c>
      <c r="F7" s="60" t="s">
        <v>24</v>
      </c>
      <c r="G7" s="47">
        <v>16</v>
      </c>
      <c r="H7" s="133">
        <f>IF(B$17=0,0,G7/B$17)</f>
        <v>0.1797752808988764</v>
      </c>
      <c r="I7" s="94">
        <v>8</v>
      </c>
      <c r="K7" s="38">
        <v>5</v>
      </c>
      <c r="L7" s="99">
        <v>29.4</v>
      </c>
      <c r="N7" s="116" t="s">
        <v>137</v>
      </c>
      <c r="O7" s="123">
        <f t="shared" si="0"/>
        <v>-1885</v>
      </c>
      <c r="P7" s="120">
        <v>20</v>
      </c>
      <c r="Q7" s="104">
        <v>-37700</v>
      </c>
    </row>
    <row r="8" spans="1:17" x14ac:dyDescent="0.4">
      <c r="A8" s="55" t="s">
        <v>3</v>
      </c>
      <c r="B8" s="47">
        <v>10</v>
      </c>
      <c r="C8" s="39">
        <f>IF(B$2=0,0,B8/B$2)</f>
        <v>0.33333333333333331</v>
      </c>
      <c r="E8" s="63" t="s">
        <v>70</v>
      </c>
      <c r="F8" s="60" t="s">
        <v>25</v>
      </c>
      <c r="G8" s="47">
        <v>11</v>
      </c>
      <c r="H8" s="133">
        <f>IF(B$17=0,0,G8/B$17)</f>
        <v>0.12359550561797752</v>
      </c>
      <c r="I8" s="94">
        <v>10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11</v>
      </c>
      <c r="C9" s="40">
        <f t="shared" ref="C9" si="1">IF(B$2=0,0,B9/B$2)</f>
        <v>0.36666666666666664</v>
      </c>
      <c r="E9" s="63" t="s">
        <v>71</v>
      </c>
      <c r="F9" s="60" t="s">
        <v>26</v>
      </c>
      <c r="G9" s="47">
        <v>8</v>
      </c>
      <c r="H9" s="133">
        <f>IF(B$17=0,0,G9/B$17)</f>
        <v>8.98876404494382E-2</v>
      </c>
      <c r="I9" s="94">
        <v>6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6.6666666666666666E-2</v>
      </c>
      <c r="E10" s="63" t="s">
        <v>90</v>
      </c>
      <c r="F10" s="60" t="s">
        <v>45</v>
      </c>
      <c r="G10" s="47">
        <v>8</v>
      </c>
      <c r="H10" s="133">
        <f>IF(B$17=0,0,G10/B$17)</f>
        <v>8.98876404494382E-2</v>
      </c>
      <c r="I10" s="94">
        <v>11</v>
      </c>
      <c r="K10" s="38">
        <v>8</v>
      </c>
      <c r="L10" s="99">
        <v>-29.5</v>
      </c>
      <c r="N10" s="114" t="s">
        <v>164</v>
      </c>
      <c r="O10" s="124">
        <f>IF(P10=0,0,Q10/P10)</f>
        <v>-18.881818181818183</v>
      </c>
      <c r="P10" s="118">
        <v>11</v>
      </c>
      <c r="Q10" s="106">
        <v>-207.70000000000002</v>
      </c>
    </row>
    <row r="11" spans="1:17" x14ac:dyDescent="0.4">
      <c r="A11" s="56" t="s">
        <v>140</v>
      </c>
      <c r="B11" s="48">
        <v>4</v>
      </c>
      <c r="C11" s="40">
        <f>IF(B$2=0,0,B11/B$2)</f>
        <v>0.13333333333333333</v>
      </c>
      <c r="E11" s="63" t="s">
        <v>66</v>
      </c>
      <c r="F11" s="60" t="s">
        <v>22</v>
      </c>
      <c r="G11" s="47">
        <v>6</v>
      </c>
      <c r="H11" s="133">
        <f>IF(B$17=0,0,G11/B$17)</f>
        <v>6.741573033707865E-2</v>
      </c>
      <c r="I11" s="94">
        <v>8</v>
      </c>
      <c r="K11" s="38">
        <v>9</v>
      </c>
      <c r="L11" s="99">
        <v>-56.5</v>
      </c>
      <c r="N11" s="115" t="s">
        <v>165</v>
      </c>
      <c r="O11" s="125">
        <f>IF(P11=0,0,Q11/P11)</f>
        <v>26.774999999999999</v>
      </c>
      <c r="P11" s="119">
        <v>8</v>
      </c>
      <c r="Q11" s="107">
        <v>214.2</v>
      </c>
    </row>
    <row r="12" spans="1:17" x14ac:dyDescent="0.4">
      <c r="A12" s="57" t="s">
        <v>160</v>
      </c>
      <c r="B12" s="49">
        <v>2</v>
      </c>
      <c r="C12" s="42">
        <f>IF(B$2=0,0,B12/B$2)</f>
        <v>6.6666666666666666E-2</v>
      </c>
      <c r="E12" s="63" t="s">
        <v>84</v>
      </c>
      <c r="F12" s="60" t="s">
        <v>39</v>
      </c>
      <c r="G12" s="47">
        <v>6</v>
      </c>
      <c r="H12" s="133">
        <f>IF(B$17=0,0,G12/B$17)</f>
        <v>6.741573033707865E-2</v>
      </c>
      <c r="I12" s="94">
        <v>2</v>
      </c>
      <c r="K12" s="38">
        <v>10</v>
      </c>
      <c r="L12" s="99">
        <v>24.200000000000003</v>
      </c>
      <c r="N12" s="116" t="s">
        <v>166</v>
      </c>
      <c r="O12" s="126">
        <f>IF(P12=0,0,Q12/P12)</f>
        <v>5.163636363636364</v>
      </c>
      <c r="P12" s="120">
        <v>11</v>
      </c>
      <c r="Q12" s="108">
        <v>56.800000000000004</v>
      </c>
    </row>
    <row r="13" spans="1:17" x14ac:dyDescent="0.4">
      <c r="A13" s="58" t="s">
        <v>122</v>
      </c>
      <c r="B13" s="50">
        <v>55</v>
      </c>
      <c r="C13" s="44">
        <f>IF(B$3=0,0,B13/B$3)</f>
        <v>0.21568627450980393</v>
      </c>
      <c r="E13" s="63" t="s">
        <v>82</v>
      </c>
      <c r="F13" s="60" t="s">
        <v>37</v>
      </c>
      <c r="G13" s="47">
        <v>3</v>
      </c>
      <c r="H13" s="133">
        <f>IF(B$17=0,0,G13/B$17)</f>
        <v>3.3707865168539325E-2</v>
      </c>
      <c r="I13" s="94">
        <v>3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88</v>
      </c>
      <c r="C14" s="39">
        <f>IF(B$3=0,0,B14/B$3)</f>
        <v>0.34509803921568627</v>
      </c>
      <c r="E14" s="63" t="s">
        <v>87</v>
      </c>
      <c r="F14" s="60" t="s">
        <v>42</v>
      </c>
      <c r="G14" s="47">
        <v>3</v>
      </c>
      <c r="H14" s="133">
        <f>IF(B$17=0,0,G14/B$17)</f>
        <v>3.3707865168539325E-2</v>
      </c>
      <c r="I14" s="94">
        <v>9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32</v>
      </c>
      <c r="C15" s="37">
        <f>IF(B$13=0,0,B15/B$13)</f>
        <v>0.58181818181818179</v>
      </c>
      <c r="E15" s="63" t="s">
        <v>72</v>
      </c>
      <c r="F15" s="60" t="s">
        <v>27</v>
      </c>
      <c r="G15" s="47">
        <v>2</v>
      </c>
      <c r="H15" s="133">
        <f>IF(B$17=0,0,G15/B$17)</f>
        <v>2.247191011235955E-2</v>
      </c>
      <c r="I15" s="94">
        <v>9</v>
      </c>
      <c r="K15" s="38">
        <v>13</v>
      </c>
      <c r="L15" s="99">
        <v>-3</v>
      </c>
      <c r="N15" s="114" t="s">
        <v>129</v>
      </c>
      <c r="O15" s="124">
        <f>IF(P15=0,0,Q15/P15)</f>
        <v>80.185714285714283</v>
      </c>
      <c r="P15" s="118">
        <v>7</v>
      </c>
      <c r="Q15" s="106">
        <v>561.29999999999995</v>
      </c>
    </row>
    <row r="16" spans="1:17" x14ac:dyDescent="0.4">
      <c r="A16" s="54" t="s">
        <v>125</v>
      </c>
      <c r="B16" s="46">
        <v>37</v>
      </c>
      <c r="C16" s="37">
        <f>IF(B$14=0,0,B16/B$14)</f>
        <v>0.42045454545454547</v>
      </c>
      <c r="E16" s="63" t="s">
        <v>79</v>
      </c>
      <c r="F16" s="60" t="s">
        <v>34</v>
      </c>
      <c r="G16" s="47">
        <v>2</v>
      </c>
      <c r="H16" s="133">
        <f>IF(B$17=0,0,G16/B$17)</f>
        <v>2.247191011235955E-2</v>
      </c>
      <c r="I16" s="94">
        <v>4</v>
      </c>
      <c r="K16" s="38">
        <v>14</v>
      </c>
      <c r="L16" s="99">
        <v>-12.3</v>
      </c>
      <c r="N16" s="115" t="s">
        <v>177</v>
      </c>
      <c r="O16" s="125">
        <f>IF(P16=0,0,Q16/P16)</f>
        <v>34.799999999999997</v>
      </c>
      <c r="P16" s="119">
        <v>2</v>
      </c>
      <c r="Q16" s="107">
        <v>69.599999999999994</v>
      </c>
    </row>
    <row r="17" spans="1:17" x14ac:dyDescent="0.4">
      <c r="A17" s="54" t="s">
        <v>10</v>
      </c>
      <c r="B17" s="46">
        <f>B19+B18</f>
        <v>89</v>
      </c>
      <c r="C17" s="37">
        <f>IF(B$3=0,0,B17/B$3)</f>
        <v>0.34901960784313724</v>
      </c>
      <c r="E17" s="63" t="s">
        <v>80</v>
      </c>
      <c r="F17" s="60" t="s">
        <v>35</v>
      </c>
      <c r="G17" s="47">
        <v>2</v>
      </c>
      <c r="H17" s="133">
        <f>IF(B$17=0,0,G17/B$17)</f>
        <v>2.247191011235955E-2</v>
      </c>
      <c r="I17" s="94">
        <v>1</v>
      </c>
      <c r="K17" s="38">
        <v>15</v>
      </c>
      <c r="L17" s="99">
        <v>-80.3</v>
      </c>
      <c r="N17" s="115" t="s">
        <v>173</v>
      </c>
      <c r="O17" s="125">
        <f>IF(P17=0,0,Q17/P17)</f>
        <v>27.24</v>
      </c>
      <c r="P17" s="119">
        <v>5</v>
      </c>
      <c r="Q17" s="107">
        <v>136.19999999999999</v>
      </c>
    </row>
    <row r="18" spans="1:17" x14ac:dyDescent="0.4">
      <c r="A18" s="55" t="s">
        <v>12</v>
      </c>
      <c r="B18" s="47">
        <v>36</v>
      </c>
      <c r="C18" s="39">
        <f>IF(B$17=0,0,B18/B$17)</f>
        <v>0.4044943820224719</v>
      </c>
      <c r="E18" s="63" t="s">
        <v>92</v>
      </c>
      <c r="F18" s="60" t="s">
        <v>47</v>
      </c>
      <c r="G18" s="47">
        <v>2</v>
      </c>
      <c r="H18" s="133">
        <f>IF(B$17=0,0,G18/B$17)</f>
        <v>2.247191011235955E-2</v>
      </c>
      <c r="I18" s="94">
        <v>3</v>
      </c>
      <c r="K18" s="38">
        <v>16</v>
      </c>
      <c r="L18" s="99">
        <v>-87.6</v>
      </c>
      <c r="N18" s="115" t="s">
        <v>202</v>
      </c>
      <c r="O18" s="125">
        <f>IF(P18=0,0,Q18/P18)</f>
        <v>16.449999999999996</v>
      </c>
      <c r="P18" s="119">
        <v>4</v>
      </c>
      <c r="Q18" s="107">
        <v>65.799999999999983</v>
      </c>
    </row>
    <row r="19" spans="1:17" x14ac:dyDescent="0.4">
      <c r="A19" s="55" t="s">
        <v>11</v>
      </c>
      <c r="B19" s="47">
        <v>53</v>
      </c>
      <c r="C19" s="39">
        <f>IF(B$17=0,0,B19/B$17)</f>
        <v>0.5955056179775281</v>
      </c>
      <c r="E19" s="63" t="s">
        <v>74</v>
      </c>
      <c r="F19" s="60" t="s">
        <v>29</v>
      </c>
      <c r="G19" s="47">
        <v>0</v>
      </c>
      <c r="H19" s="133">
        <f>IF(B$17=0,0,G19/B$17)</f>
        <v>0</v>
      </c>
      <c r="I19" s="94">
        <v>5</v>
      </c>
      <c r="K19" s="38">
        <v>17</v>
      </c>
      <c r="L19" s="99">
        <v>-55.099999999999994</v>
      </c>
      <c r="N19" s="115" t="s">
        <v>171</v>
      </c>
      <c r="O19" s="125">
        <f>IF(P19=0,0,Q19/P19)</f>
        <v>-0.25000000000000211</v>
      </c>
      <c r="P19" s="119">
        <v>10</v>
      </c>
      <c r="Q19" s="107">
        <v>-2.5000000000000213</v>
      </c>
    </row>
    <row r="20" spans="1:17" x14ac:dyDescent="0.4">
      <c r="A20" s="55" t="s">
        <v>13</v>
      </c>
      <c r="B20" s="47">
        <v>37</v>
      </c>
      <c r="C20" s="39">
        <f>IF(B$3=0,0,B20/B$3)</f>
        <v>0.14509803921568629</v>
      </c>
      <c r="E20" s="63" t="s">
        <v>75</v>
      </c>
      <c r="F20" s="60" t="s">
        <v>30</v>
      </c>
      <c r="G20" s="47">
        <v>0</v>
      </c>
      <c r="H20" s="133">
        <f>IF(B$17=0,0,G20/B$17)</f>
        <v>0</v>
      </c>
      <c r="I20" s="94">
        <v>3</v>
      </c>
      <c r="K20" s="38">
        <v>18</v>
      </c>
      <c r="L20" s="99">
        <v>-28.199999999999996</v>
      </c>
      <c r="N20" s="115" t="s">
        <v>128</v>
      </c>
      <c r="O20" s="125">
        <f>IF(P20=0,0,Q20/P20)</f>
        <v>-2.900000000000003</v>
      </c>
      <c r="P20" s="119">
        <v>16</v>
      </c>
      <c r="Q20" s="107">
        <v>-46.400000000000048</v>
      </c>
    </row>
    <row r="21" spans="1:17" x14ac:dyDescent="0.4">
      <c r="A21" s="55" t="s">
        <v>193</v>
      </c>
      <c r="B21" s="47">
        <v>10</v>
      </c>
      <c r="C21" s="135">
        <v>0</v>
      </c>
      <c r="E21" s="63" t="s">
        <v>76</v>
      </c>
      <c r="F21" s="60" t="s">
        <v>31</v>
      </c>
      <c r="G21" s="47">
        <v>0</v>
      </c>
      <c r="H21" s="133">
        <f>IF(B$17=0,0,G21/B$17)</f>
        <v>0</v>
      </c>
      <c r="I21" s="94">
        <v>6</v>
      </c>
      <c r="K21" s="38">
        <v>19</v>
      </c>
      <c r="L21" s="99">
        <v>29.200000000000003</v>
      </c>
      <c r="N21" s="115" t="s">
        <v>127</v>
      </c>
      <c r="O21" s="125">
        <f>IF(P21=0,0,Q21/P21)</f>
        <v>-37.131250000000009</v>
      </c>
      <c r="P21" s="119">
        <v>16</v>
      </c>
      <c r="Q21" s="107">
        <v>-594.10000000000014</v>
      </c>
    </row>
    <row r="22" spans="1:17" x14ac:dyDescent="0.4">
      <c r="A22" s="55" t="s">
        <v>194</v>
      </c>
      <c r="B22" s="47">
        <v>23</v>
      </c>
      <c r="C22" s="135">
        <v>0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43</v>
      </c>
    </row>
    <row r="23" spans="1:17" x14ac:dyDescent="0.4">
      <c r="A23" s="55" t="s">
        <v>5</v>
      </c>
      <c r="B23" s="51">
        <f>IF(B$17=0,0,C23/B$17)</f>
        <v>7180.8988764044943</v>
      </c>
      <c r="C23" s="41">
        <v>639100</v>
      </c>
      <c r="E23" s="63" t="s">
        <v>78</v>
      </c>
      <c r="F23" s="60" t="s">
        <v>33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89.9</v>
      </c>
    </row>
    <row r="24" spans="1:17" x14ac:dyDescent="0.4">
      <c r="A24" s="57" t="s">
        <v>14</v>
      </c>
      <c r="B24" s="52">
        <f>IF(B$20=0,0,C24/B$20)</f>
        <v>-8851.3513513513517</v>
      </c>
      <c r="C24" s="45">
        <v>-327500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54.7</v>
      </c>
    </row>
    <row r="25" spans="1:17" x14ac:dyDescent="0.4">
      <c r="A25" s="90" t="s">
        <v>142</v>
      </c>
      <c r="B25" s="140">
        <v>7</v>
      </c>
      <c r="C25" s="141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38">
        <v>97500</v>
      </c>
      <c r="C26" s="139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30.400000000000006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32.900000000000006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40.400000000000006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8.3000000000000043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90.800000000000011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3</v>
      </c>
      <c r="K32" s="38">
        <v>30</v>
      </c>
      <c r="L32" s="99">
        <v>63.300000000000011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5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D09C84-C3E3-4625-BE4A-4205D5F4A3F0}">
  <sheetPr codeName="Sheet1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173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24</v>
      </c>
      <c r="C2" s="147"/>
      <c r="E2" s="62" t="s">
        <v>67</v>
      </c>
      <c r="F2" s="59" t="s">
        <v>23</v>
      </c>
      <c r="G2" s="46">
        <v>48</v>
      </c>
      <c r="H2" s="132">
        <f>IF(B$17=0,0,G2/B$17)</f>
        <v>0.77419354838709675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-3575</v>
      </c>
      <c r="P2" s="118">
        <v>24</v>
      </c>
      <c r="Q2" s="102">
        <v>-85800</v>
      </c>
    </row>
    <row r="3" spans="1:17" x14ac:dyDescent="0.4">
      <c r="A3" s="55" t="s">
        <v>8</v>
      </c>
      <c r="B3" s="148">
        <v>215</v>
      </c>
      <c r="C3" s="149"/>
      <c r="E3" s="63" t="s">
        <v>73</v>
      </c>
      <c r="F3" s="60" t="s">
        <v>28</v>
      </c>
      <c r="G3" s="47">
        <v>30</v>
      </c>
      <c r="H3" s="133">
        <f>IF(B$17=0,0,G3/B$17)</f>
        <v>0.4838709677419355</v>
      </c>
      <c r="I3" s="94">
        <v>9</v>
      </c>
      <c r="K3" s="38">
        <v>1</v>
      </c>
      <c r="L3" s="99">
        <v>-82.6</v>
      </c>
      <c r="N3" s="115" t="s">
        <v>133</v>
      </c>
      <c r="O3" s="122">
        <f t="shared" si="0"/>
        <v>-745.83333333333337</v>
      </c>
      <c r="P3" s="119">
        <v>24</v>
      </c>
      <c r="Q3" s="103">
        <v>-17900</v>
      </c>
    </row>
    <row r="4" spans="1:17" x14ac:dyDescent="0.4">
      <c r="A4" s="55" t="s">
        <v>6</v>
      </c>
      <c r="B4" s="150">
        <v>-287.89999999999998</v>
      </c>
      <c r="C4" s="151"/>
      <c r="E4" s="63" t="s">
        <v>65</v>
      </c>
      <c r="F4" s="60" t="s">
        <v>21</v>
      </c>
      <c r="G4" s="47">
        <v>26</v>
      </c>
      <c r="H4" s="133">
        <f>IF(B$17=0,0,G4/B$17)</f>
        <v>0.41935483870967744</v>
      </c>
      <c r="I4" s="94">
        <v>8</v>
      </c>
      <c r="K4" s="38">
        <v>2</v>
      </c>
      <c r="L4" s="99">
        <v>-122.3</v>
      </c>
      <c r="N4" s="115" t="s">
        <v>134</v>
      </c>
      <c r="O4" s="122">
        <f t="shared" si="0"/>
        <v>-2377.2727272727275</v>
      </c>
      <c r="P4" s="119">
        <v>22</v>
      </c>
      <c r="Q4" s="103">
        <v>-52300</v>
      </c>
    </row>
    <row r="5" spans="1:17" x14ac:dyDescent="0.4">
      <c r="A5" s="55" t="s">
        <v>7</v>
      </c>
      <c r="B5" s="152">
        <f>IF(B$2=0,0,B$4/B$2)</f>
        <v>-11.995833333333332</v>
      </c>
      <c r="C5" s="153"/>
      <c r="E5" s="63" t="s">
        <v>69</v>
      </c>
      <c r="F5" s="60" t="s">
        <v>12</v>
      </c>
      <c r="G5" s="47">
        <v>24</v>
      </c>
      <c r="H5" s="133">
        <f>IF(B$17=0,0,G5/B$17)</f>
        <v>0.38709677419354838</v>
      </c>
      <c r="I5" s="94">
        <v>3</v>
      </c>
      <c r="K5" s="38">
        <v>3</v>
      </c>
      <c r="L5" s="99">
        <v>-149</v>
      </c>
      <c r="N5" s="115" t="s">
        <v>135</v>
      </c>
      <c r="O5" s="122">
        <f t="shared" si="0"/>
        <v>-3452.3809523809523</v>
      </c>
      <c r="P5" s="119">
        <v>21</v>
      </c>
      <c r="Q5" s="103">
        <v>-72500</v>
      </c>
    </row>
    <row r="6" spans="1:17" x14ac:dyDescent="0.4">
      <c r="A6" s="55" t="s">
        <v>1</v>
      </c>
      <c r="B6" s="142">
        <f>IF(B$2=0,0,(B$7*1+B$8*2+B$9*3)/B$2)</f>
        <v>2.1666666666666665</v>
      </c>
      <c r="C6" s="143"/>
      <c r="E6" s="63" t="s">
        <v>181</v>
      </c>
      <c r="F6" s="60" t="s">
        <v>182</v>
      </c>
      <c r="G6" s="47">
        <v>18</v>
      </c>
      <c r="H6" s="133">
        <f>IF(B$17=0,0,G6/B$17)</f>
        <v>0.29032258064516131</v>
      </c>
      <c r="I6" s="94">
        <v>11</v>
      </c>
      <c r="K6" s="38">
        <v>4</v>
      </c>
      <c r="L6" s="99">
        <v>-150.6</v>
      </c>
      <c r="N6" s="115" t="s">
        <v>136</v>
      </c>
      <c r="O6" s="122">
        <f t="shared" si="0"/>
        <v>1684.2105263157894</v>
      </c>
      <c r="P6" s="119">
        <v>19</v>
      </c>
      <c r="Q6" s="103">
        <v>32000</v>
      </c>
    </row>
    <row r="7" spans="1:17" x14ac:dyDescent="0.4">
      <c r="A7" s="55" t="s">
        <v>2</v>
      </c>
      <c r="B7" s="47">
        <v>5</v>
      </c>
      <c r="C7" s="39">
        <f>IF(B$2=0,0,B7/B$2)</f>
        <v>0.20833333333333334</v>
      </c>
      <c r="E7" s="63" t="s">
        <v>68</v>
      </c>
      <c r="F7" s="60" t="s">
        <v>24</v>
      </c>
      <c r="G7" s="47">
        <v>11</v>
      </c>
      <c r="H7" s="133">
        <f>IF(B$17=0,0,G7/B$17)</f>
        <v>0.17741935483870969</v>
      </c>
      <c r="I7" s="94">
        <v>9</v>
      </c>
      <c r="K7" s="38">
        <v>5</v>
      </c>
      <c r="L7" s="99">
        <v>-184.89999999999998</v>
      </c>
      <c r="N7" s="116" t="s">
        <v>137</v>
      </c>
      <c r="O7" s="123">
        <f t="shared" si="0"/>
        <v>-633.33333333333337</v>
      </c>
      <c r="P7" s="120">
        <v>18</v>
      </c>
      <c r="Q7" s="104">
        <v>-11400</v>
      </c>
    </row>
    <row r="8" spans="1:17" x14ac:dyDescent="0.4">
      <c r="A8" s="55" t="s">
        <v>3</v>
      </c>
      <c r="B8" s="47">
        <v>10</v>
      </c>
      <c r="C8" s="39">
        <f>IF(B$2=0,0,B8/B$2)</f>
        <v>0.41666666666666669</v>
      </c>
      <c r="E8" s="63" t="s">
        <v>71</v>
      </c>
      <c r="F8" s="60" t="s">
        <v>26</v>
      </c>
      <c r="G8" s="47">
        <v>7</v>
      </c>
      <c r="H8" s="133">
        <f>IF(B$17=0,0,G8/B$17)</f>
        <v>0.11290322580645161</v>
      </c>
      <c r="I8" s="94">
        <v>4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9</v>
      </c>
      <c r="C9" s="40">
        <f t="shared" ref="C9" si="1">IF(B$2=0,0,B9/B$2)</f>
        <v>0.375</v>
      </c>
      <c r="E9" s="63" t="s">
        <v>90</v>
      </c>
      <c r="F9" s="60" t="s">
        <v>45</v>
      </c>
      <c r="G9" s="47">
        <v>7</v>
      </c>
      <c r="H9" s="133">
        <f>IF(B$17=0,0,G9/B$17)</f>
        <v>0.11290322580645161</v>
      </c>
      <c r="I9" s="94">
        <v>8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0.125</v>
      </c>
      <c r="E10" s="63" t="s">
        <v>70</v>
      </c>
      <c r="F10" s="60" t="s">
        <v>25</v>
      </c>
      <c r="G10" s="47">
        <v>6</v>
      </c>
      <c r="H10" s="133">
        <f>IF(B$17=0,0,G10/B$17)</f>
        <v>9.6774193548387094E-2</v>
      </c>
      <c r="I10" s="94">
        <v>11</v>
      </c>
      <c r="K10" s="38">
        <v>8</v>
      </c>
      <c r="L10" s="99">
        <v>-219.59999999999997</v>
      </c>
      <c r="N10" s="114" t="s">
        <v>164</v>
      </c>
      <c r="O10" s="124">
        <f>IF(P10=0,0,Q10/P10)</f>
        <v>-13.285714285714286</v>
      </c>
      <c r="P10" s="118">
        <v>7</v>
      </c>
      <c r="Q10" s="106">
        <v>-93</v>
      </c>
    </row>
    <row r="11" spans="1:17" x14ac:dyDescent="0.4">
      <c r="A11" s="56" t="s">
        <v>140</v>
      </c>
      <c r="B11" s="48">
        <v>1</v>
      </c>
      <c r="C11" s="40">
        <f>IF(B$2=0,0,B11/B$2)</f>
        <v>4.1666666666666664E-2</v>
      </c>
      <c r="E11" s="63" t="s">
        <v>72</v>
      </c>
      <c r="F11" s="60" t="s">
        <v>27</v>
      </c>
      <c r="G11" s="47">
        <v>4</v>
      </c>
      <c r="H11" s="133">
        <f>IF(B$17=0,0,G11/B$17)</f>
        <v>6.4516129032258063E-2</v>
      </c>
      <c r="I11" s="94">
        <v>4</v>
      </c>
      <c r="K11" s="38">
        <v>9</v>
      </c>
      <c r="L11" s="99">
        <v>-260.59999999999997</v>
      </c>
      <c r="N11" s="115" t="s">
        <v>165</v>
      </c>
      <c r="O11" s="125">
        <f>IF(P11=0,0,Q11/P11)</f>
        <v>-9.8769230769230756</v>
      </c>
      <c r="P11" s="119">
        <v>13</v>
      </c>
      <c r="Q11" s="107">
        <v>-128.39999999999998</v>
      </c>
    </row>
    <row r="12" spans="1:17" x14ac:dyDescent="0.4">
      <c r="A12" s="57" t="s">
        <v>160</v>
      </c>
      <c r="B12" s="49">
        <v>1</v>
      </c>
      <c r="C12" s="42">
        <f>IF(B$2=0,0,B12/B$2)</f>
        <v>4.1666666666666664E-2</v>
      </c>
      <c r="E12" s="63" t="s">
        <v>87</v>
      </c>
      <c r="F12" s="60" t="s">
        <v>42</v>
      </c>
      <c r="G12" s="47">
        <v>3</v>
      </c>
      <c r="H12" s="133">
        <f>IF(B$17=0,0,G12/B$17)</f>
        <v>4.8387096774193547E-2</v>
      </c>
      <c r="I12" s="94">
        <v>8</v>
      </c>
      <c r="K12" s="38">
        <v>10</v>
      </c>
      <c r="L12" s="99">
        <v>-318.39999999999998</v>
      </c>
      <c r="N12" s="116" t="s">
        <v>166</v>
      </c>
      <c r="O12" s="126">
        <f>IF(P12=0,0,Q12/P12)</f>
        <v>-16.625</v>
      </c>
      <c r="P12" s="120">
        <v>4</v>
      </c>
      <c r="Q12" s="108">
        <v>-66.5</v>
      </c>
    </row>
    <row r="13" spans="1:17" x14ac:dyDescent="0.4">
      <c r="A13" s="58" t="s">
        <v>122</v>
      </c>
      <c r="B13" s="50">
        <v>47</v>
      </c>
      <c r="C13" s="44">
        <f>IF(B$3=0,0,B13/B$3)</f>
        <v>0.21860465116279071</v>
      </c>
      <c r="E13" s="63" t="s">
        <v>66</v>
      </c>
      <c r="F13" s="60" t="s">
        <v>22</v>
      </c>
      <c r="G13" s="47">
        <v>2</v>
      </c>
      <c r="H13" s="133">
        <f>IF(B$17=0,0,G13/B$17)</f>
        <v>3.2258064516129031E-2</v>
      </c>
      <c r="I13" s="94">
        <v>9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49</v>
      </c>
      <c r="C14" s="39">
        <f>IF(B$3=0,0,B14/B$3)</f>
        <v>0.22790697674418606</v>
      </c>
      <c r="E14" s="63" t="s">
        <v>84</v>
      </c>
      <c r="F14" s="60" t="s">
        <v>39</v>
      </c>
      <c r="G14" s="47">
        <v>2</v>
      </c>
      <c r="H14" s="133">
        <f>IF(B$17=0,0,G14/B$17)</f>
        <v>3.2258064516129031E-2</v>
      </c>
      <c r="I14" s="94">
        <v>7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26</v>
      </c>
      <c r="C15" s="37">
        <f>IF(B$13=0,0,B15/B$13)</f>
        <v>0.55319148936170215</v>
      </c>
      <c r="E15" s="63" t="s">
        <v>74</v>
      </c>
      <c r="F15" s="60" t="s">
        <v>29</v>
      </c>
      <c r="G15" s="47">
        <v>1</v>
      </c>
      <c r="H15" s="133">
        <f>IF(B$17=0,0,G15/B$17)</f>
        <v>1.6129032258064516E-2</v>
      </c>
      <c r="I15" s="94">
        <v>1</v>
      </c>
      <c r="K15" s="38">
        <v>13</v>
      </c>
      <c r="L15" s="99">
        <v>-302.59999999999997</v>
      </c>
      <c r="N15" s="114" t="s">
        <v>129</v>
      </c>
      <c r="O15" s="124">
        <f>IF(P15=0,0,Q15/P15)</f>
        <v>19.3</v>
      </c>
      <c r="P15" s="118">
        <v>4</v>
      </c>
      <c r="Q15" s="106">
        <v>77.2</v>
      </c>
    </row>
    <row r="16" spans="1:17" x14ac:dyDescent="0.4">
      <c r="A16" s="54" t="s">
        <v>125</v>
      </c>
      <c r="B16" s="46">
        <v>16</v>
      </c>
      <c r="C16" s="37">
        <f>IF(B$14=0,0,B16/B$14)</f>
        <v>0.32653061224489793</v>
      </c>
      <c r="E16" s="63" t="s">
        <v>80</v>
      </c>
      <c r="F16" s="60" t="s">
        <v>35</v>
      </c>
      <c r="G16" s="47">
        <v>1</v>
      </c>
      <c r="H16" s="133">
        <f>IF(B$17=0,0,G16/B$17)</f>
        <v>1.6129032258064516E-2</v>
      </c>
      <c r="I16" s="94">
        <v>2</v>
      </c>
      <c r="K16" s="38">
        <v>14</v>
      </c>
      <c r="L16" s="99">
        <v>-269.99999999999994</v>
      </c>
      <c r="N16" s="115" t="s">
        <v>128</v>
      </c>
      <c r="O16" s="125">
        <f>IF(P16=0,0,Q16/P16)</f>
        <v>-4.9499999999999984</v>
      </c>
      <c r="P16" s="119">
        <v>14</v>
      </c>
      <c r="Q16" s="107">
        <v>-69.299999999999983</v>
      </c>
    </row>
    <row r="17" spans="1:17" x14ac:dyDescent="0.4">
      <c r="A17" s="54" t="s">
        <v>10</v>
      </c>
      <c r="B17" s="46">
        <f>B19+B18</f>
        <v>62</v>
      </c>
      <c r="C17" s="37">
        <f>IF(B$3=0,0,B17/B$3)</f>
        <v>0.28837209302325584</v>
      </c>
      <c r="E17" s="63" t="s">
        <v>92</v>
      </c>
      <c r="F17" s="60" t="s">
        <v>47</v>
      </c>
      <c r="G17" s="47">
        <v>1</v>
      </c>
      <c r="H17" s="133">
        <f>IF(B$17=0,0,G17/B$17)</f>
        <v>1.6129032258064516E-2</v>
      </c>
      <c r="I17" s="94">
        <v>5</v>
      </c>
      <c r="K17" s="38">
        <v>15</v>
      </c>
      <c r="L17" s="99">
        <v>-264.59999999999997</v>
      </c>
      <c r="N17" s="115" t="s">
        <v>171</v>
      </c>
      <c r="O17" s="125">
        <f>IF(P17=0,0,Q17/P17)</f>
        <v>-10.618181818181816</v>
      </c>
      <c r="P17" s="119">
        <v>11</v>
      </c>
      <c r="Q17" s="107">
        <v>-116.79999999999997</v>
      </c>
    </row>
    <row r="18" spans="1:17" x14ac:dyDescent="0.4">
      <c r="A18" s="55" t="s">
        <v>12</v>
      </c>
      <c r="B18" s="47">
        <v>31</v>
      </c>
      <c r="C18" s="39">
        <f>IF(B$17=0,0,B18/B$17)</f>
        <v>0.5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3</v>
      </c>
      <c r="K18" s="38">
        <v>16</v>
      </c>
      <c r="L18" s="99">
        <v>-292.79999999999995</v>
      </c>
      <c r="N18" s="115" t="s">
        <v>177</v>
      </c>
      <c r="O18" s="125">
        <f>IF(P18=0,0,Q18/P18)</f>
        <v>-17.950000000000003</v>
      </c>
      <c r="P18" s="119">
        <v>2</v>
      </c>
      <c r="Q18" s="107">
        <v>-35.900000000000006</v>
      </c>
    </row>
    <row r="19" spans="1:17" x14ac:dyDescent="0.4">
      <c r="A19" s="55" t="s">
        <v>11</v>
      </c>
      <c r="B19" s="47">
        <v>31</v>
      </c>
      <c r="C19" s="39">
        <f>IF(B$17=0,0,B19/B$17)</f>
        <v>0.5</v>
      </c>
      <c r="E19" s="63" t="s">
        <v>76</v>
      </c>
      <c r="F19" s="60" t="s">
        <v>31</v>
      </c>
      <c r="G19" s="47">
        <v>0</v>
      </c>
      <c r="H19" s="133">
        <f>IF(B$17=0,0,G19/B$17)</f>
        <v>0</v>
      </c>
      <c r="I19" s="94">
        <v>6</v>
      </c>
      <c r="K19" s="38">
        <v>17</v>
      </c>
      <c r="L19" s="99">
        <v>-248.89999999999995</v>
      </c>
      <c r="N19" s="115" t="s">
        <v>172</v>
      </c>
      <c r="O19" s="125">
        <f>IF(P19=0,0,Q19/P19)</f>
        <v>-27.24</v>
      </c>
      <c r="P19" s="119">
        <v>5</v>
      </c>
      <c r="Q19" s="107">
        <v>-136.19999999999999</v>
      </c>
    </row>
    <row r="20" spans="1:17" x14ac:dyDescent="0.4">
      <c r="A20" s="55" t="s">
        <v>13</v>
      </c>
      <c r="B20" s="47">
        <v>47</v>
      </c>
      <c r="C20" s="39">
        <f>IF(B$3=0,0,B20/B$3)</f>
        <v>0.21860465116279071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-218.99999999999994</v>
      </c>
      <c r="N20" s="115" t="s">
        <v>202</v>
      </c>
      <c r="O20" s="125">
        <f>IF(P20=0,0,Q20/P20)</f>
        <v>-43.1</v>
      </c>
      <c r="P20" s="119">
        <v>1</v>
      </c>
      <c r="Q20" s="107">
        <v>-43.1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4</v>
      </c>
      <c r="K21" s="38">
        <v>19</v>
      </c>
      <c r="L21" s="99">
        <v>-188.59999999999994</v>
      </c>
      <c r="N21" s="115" t="s">
        <v>185</v>
      </c>
      <c r="O21" s="125">
        <f>IF(P21=0,0,Q21/P21)</f>
        <v>-45.5</v>
      </c>
      <c r="P21" s="119">
        <v>1</v>
      </c>
      <c r="Q21" s="107">
        <v>-45.5</v>
      </c>
    </row>
    <row r="22" spans="1:17" x14ac:dyDescent="0.4">
      <c r="A22" s="55" t="s">
        <v>194</v>
      </c>
      <c r="B22" s="47">
        <v>14</v>
      </c>
      <c r="C22" s="135">
        <v>5</v>
      </c>
      <c r="E22" s="63" t="s">
        <v>79</v>
      </c>
      <c r="F22" s="60" t="s">
        <v>34</v>
      </c>
      <c r="G22" s="47">
        <v>0</v>
      </c>
      <c r="H22" s="133">
        <f>IF(B$17=0,0,G22/B$17)</f>
        <v>0</v>
      </c>
      <c r="I22" s="94">
        <v>8</v>
      </c>
      <c r="K22" s="38">
        <v>20</v>
      </c>
      <c r="L22" s="99">
        <v>-182.79999999999993</v>
      </c>
      <c r="N22" s="115" t="s">
        <v>127</v>
      </c>
      <c r="O22" s="125">
        <f>IF(P22=0,0,Q22/P22)</f>
        <v>-49.409999999999989</v>
      </c>
      <c r="P22" s="119">
        <v>10</v>
      </c>
      <c r="Q22" s="107">
        <v>-494.09999999999991</v>
      </c>
    </row>
    <row r="23" spans="1:17" x14ac:dyDescent="0.4">
      <c r="A23" s="55" t="s">
        <v>5</v>
      </c>
      <c r="B23" s="51">
        <f>IF(B$17=0,0,C23/B$17)</f>
        <v>6398.3870967741932</v>
      </c>
      <c r="C23" s="41">
        <v>396700</v>
      </c>
      <c r="E23" s="63" t="s">
        <v>81</v>
      </c>
      <c r="F23" s="60" t="s">
        <v>36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-8182.9787234042551</v>
      </c>
      <c r="C24" s="45">
        <v>-384600</v>
      </c>
      <c r="E24" s="63" t="s">
        <v>82</v>
      </c>
      <c r="F24" s="60" t="s">
        <v>37</v>
      </c>
      <c r="G24" s="47">
        <v>0</v>
      </c>
      <c r="H24" s="133">
        <f>IF(B$17=0,0,G24/B$17)</f>
        <v>0</v>
      </c>
      <c r="I24" s="94">
        <v>7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0">
        <v>6</v>
      </c>
      <c r="C25" s="141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38">
        <v>58900</v>
      </c>
      <c r="C26" s="139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1</v>
      </c>
      <c r="C27" s="42">
        <f>IF(B$3=0,0,B27/B$3)</f>
        <v>4.6511627906976744E-3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5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B6048-F477-4A35-82CB-520BE6AA0359}">
  <sheetPr codeName="Sheet1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15</v>
      </c>
      <c r="C2" s="147"/>
      <c r="E2" s="62" t="s">
        <v>73</v>
      </c>
      <c r="F2" s="59" t="s">
        <v>28</v>
      </c>
      <c r="G2" s="46">
        <v>22</v>
      </c>
      <c r="H2" s="132">
        <f>IF(B$17=0,0,G2/B$17)</f>
        <v>0.75862068965517238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-4773.333333333333</v>
      </c>
      <c r="P2" s="118">
        <v>15</v>
      </c>
      <c r="Q2" s="102">
        <v>-71600</v>
      </c>
    </row>
    <row r="3" spans="1:17" x14ac:dyDescent="0.4">
      <c r="A3" s="55" t="s">
        <v>8</v>
      </c>
      <c r="B3" s="148">
        <v>113</v>
      </c>
      <c r="C3" s="149"/>
      <c r="E3" s="63" t="s">
        <v>67</v>
      </c>
      <c r="F3" s="60" t="s">
        <v>23</v>
      </c>
      <c r="G3" s="47">
        <v>12</v>
      </c>
      <c r="H3" s="133">
        <f>IF(B$17=0,0,G3/B$17)</f>
        <v>0.41379310344827586</v>
      </c>
      <c r="I3" s="94">
        <v>11</v>
      </c>
      <c r="K3" s="38">
        <v>1</v>
      </c>
      <c r="L3" s="99">
        <v>-1.9</v>
      </c>
      <c r="N3" s="115" t="s">
        <v>133</v>
      </c>
      <c r="O3" s="122">
        <f t="shared" si="0"/>
        <v>-3307.1428571428573</v>
      </c>
      <c r="P3" s="119">
        <v>14</v>
      </c>
      <c r="Q3" s="103">
        <v>-46300</v>
      </c>
    </row>
    <row r="4" spans="1:17" x14ac:dyDescent="0.4">
      <c r="A4" s="55" t="s">
        <v>6</v>
      </c>
      <c r="B4" s="150">
        <v>-146.19999999999999</v>
      </c>
      <c r="C4" s="151"/>
      <c r="E4" s="63" t="s">
        <v>65</v>
      </c>
      <c r="F4" s="60" t="s">
        <v>21</v>
      </c>
      <c r="G4" s="47">
        <v>11</v>
      </c>
      <c r="H4" s="133">
        <f>IF(B$17=0,0,G4/B$17)</f>
        <v>0.37931034482758619</v>
      </c>
      <c r="I4" s="94">
        <v>10</v>
      </c>
      <c r="K4" s="38">
        <v>2</v>
      </c>
      <c r="L4" s="99">
        <v>30</v>
      </c>
      <c r="N4" s="115" t="s">
        <v>134</v>
      </c>
      <c r="O4" s="122">
        <f t="shared" si="0"/>
        <v>1069.2307692307693</v>
      </c>
      <c r="P4" s="119">
        <v>13</v>
      </c>
      <c r="Q4" s="103">
        <v>13900</v>
      </c>
    </row>
    <row r="5" spans="1:17" x14ac:dyDescent="0.4">
      <c r="A5" s="55" t="s">
        <v>7</v>
      </c>
      <c r="B5" s="152">
        <f>IF(B$2=0,0,B$4/B$2)</f>
        <v>-9.7466666666666661</v>
      </c>
      <c r="C5" s="153"/>
      <c r="E5" s="63" t="s">
        <v>181</v>
      </c>
      <c r="F5" s="60" t="s">
        <v>182</v>
      </c>
      <c r="G5" s="47">
        <v>10</v>
      </c>
      <c r="H5" s="133">
        <f>IF(B$17=0,0,G5/B$17)</f>
        <v>0.34482758620689657</v>
      </c>
      <c r="I5" s="94">
        <v>7</v>
      </c>
      <c r="K5" s="38">
        <v>3</v>
      </c>
      <c r="L5" s="99">
        <v>-10</v>
      </c>
      <c r="N5" s="115" t="s">
        <v>135</v>
      </c>
      <c r="O5" s="122">
        <f t="shared" si="0"/>
        <v>-76.92307692307692</v>
      </c>
      <c r="P5" s="119">
        <v>13</v>
      </c>
      <c r="Q5" s="103">
        <v>-1000</v>
      </c>
    </row>
    <row r="6" spans="1:17" x14ac:dyDescent="0.4">
      <c r="A6" s="55" t="s">
        <v>1</v>
      </c>
      <c r="B6" s="142">
        <f>IF(B$2=0,0,(B$7*1+B$8*2+B$9*3)/B$2)</f>
        <v>2.1333333333333333</v>
      </c>
      <c r="C6" s="143"/>
      <c r="E6" s="63" t="s">
        <v>69</v>
      </c>
      <c r="F6" s="60" t="s">
        <v>12</v>
      </c>
      <c r="G6" s="47">
        <v>5</v>
      </c>
      <c r="H6" s="133">
        <f>IF(B$17=0,0,G6/B$17)</f>
        <v>0.17241379310344829</v>
      </c>
      <c r="I6" s="94">
        <v>10</v>
      </c>
      <c r="K6" s="38">
        <v>4</v>
      </c>
      <c r="L6" s="99">
        <v>40</v>
      </c>
      <c r="N6" s="115" t="s">
        <v>136</v>
      </c>
      <c r="O6" s="122">
        <f t="shared" si="0"/>
        <v>-375</v>
      </c>
      <c r="P6" s="119">
        <v>12</v>
      </c>
      <c r="Q6" s="103">
        <v>-4500</v>
      </c>
    </row>
    <row r="7" spans="1:17" x14ac:dyDescent="0.4">
      <c r="A7" s="55" t="s">
        <v>2</v>
      </c>
      <c r="B7" s="47">
        <v>5</v>
      </c>
      <c r="C7" s="39">
        <f>IF(B$2=0,0,B7/B$2)</f>
        <v>0.33333333333333331</v>
      </c>
      <c r="E7" s="63" t="s">
        <v>70</v>
      </c>
      <c r="F7" s="60" t="s">
        <v>25</v>
      </c>
      <c r="G7" s="47">
        <v>5</v>
      </c>
      <c r="H7" s="133">
        <f>IF(B$17=0,0,G7/B$17)</f>
        <v>0.17241379310344829</v>
      </c>
      <c r="I7" s="94">
        <v>8</v>
      </c>
      <c r="K7" s="38">
        <v>5</v>
      </c>
      <c r="L7" s="99">
        <v>35.4</v>
      </c>
      <c r="N7" s="116" t="s">
        <v>137</v>
      </c>
      <c r="O7" s="123">
        <f t="shared" si="0"/>
        <v>3227.2727272727275</v>
      </c>
      <c r="P7" s="120">
        <v>11</v>
      </c>
      <c r="Q7" s="104">
        <v>35500</v>
      </c>
    </row>
    <row r="8" spans="1:17" x14ac:dyDescent="0.4">
      <c r="A8" s="55" t="s">
        <v>3</v>
      </c>
      <c r="B8" s="47">
        <v>3</v>
      </c>
      <c r="C8" s="39">
        <f>IF(B$2=0,0,B8/B$2)</f>
        <v>0.2</v>
      </c>
      <c r="E8" s="63" t="s">
        <v>66</v>
      </c>
      <c r="F8" s="60" t="s">
        <v>22</v>
      </c>
      <c r="G8" s="47">
        <v>4</v>
      </c>
      <c r="H8" s="133">
        <f>IF(B$17=0,0,G8/B$17)</f>
        <v>0.13793103448275862</v>
      </c>
      <c r="I8" s="94">
        <v>4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7</v>
      </c>
      <c r="C9" s="40">
        <f t="shared" ref="C9" si="1">IF(B$2=0,0,B9/B$2)</f>
        <v>0.46666666666666667</v>
      </c>
      <c r="E9" s="63" t="s">
        <v>68</v>
      </c>
      <c r="F9" s="60" t="s">
        <v>24</v>
      </c>
      <c r="G9" s="47">
        <v>4</v>
      </c>
      <c r="H9" s="133">
        <f>IF(B$17=0,0,G9/B$17)</f>
        <v>0.13793103448275862</v>
      </c>
      <c r="I9" s="94">
        <v>10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0.2</v>
      </c>
      <c r="E10" s="63" t="s">
        <v>90</v>
      </c>
      <c r="F10" s="60" t="s">
        <v>45</v>
      </c>
      <c r="G10" s="47">
        <v>3</v>
      </c>
      <c r="H10" s="133">
        <f>IF(B$17=0,0,G10/B$17)</f>
        <v>0.10344827586206896</v>
      </c>
      <c r="I10" s="94">
        <v>9</v>
      </c>
      <c r="K10" s="38">
        <v>8</v>
      </c>
      <c r="L10" s="99">
        <v>-87.1</v>
      </c>
      <c r="N10" s="114" t="s">
        <v>164</v>
      </c>
      <c r="O10" s="124">
        <f>IF(P10=0,0,Q10/P10)</f>
        <v>-8.2666666666666675</v>
      </c>
      <c r="P10" s="118">
        <v>3</v>
      </c>
      <c r="Q10" s="106">
        <v>-24.800000000000004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92</v>
      </c>
      <c r="F11" s="60" t="s">
        <v>47</v>
      </c>
      <c r="G11" s="47">
        <v>2</v>
      </c>
      <c r="H11" s="133">
        <f>IF(B$17=0,0,G11/B$17)</f>
        <v>6.8965517241379309E-2</v>
      </c>
      <c r="I11" s="94">
        <v>1</v>
      </c>
      <c r="K11" s="38">
        <v>9</v>
      </c>
      <c r="L11" s="99">
        <v>-128.6</v>
      </c>
      <c r="N11" s="115" t="s">
        <v>165</v>
      </c>
      <c r="O11" s="125">
        <f>IF(P11=0,0,Q11/P11)</f>
        <v>-32.799999999999997</v>
      </c>
      <c r="P11" s="119">
        <v>4</v>
      </c>
      <c r="Q11" s="107">
        <v>-131.19999999999999</v>
      </c>
    </row>
    <row r="12" spans="1:17" x14ac:dyDescent="0.4">
      <c r="A12" s="57" t="s">
        <v>160</v>
      </c>
      <c r="B12" s="49">
        <v>2</v>
      </c>
      <c r="C12" s="42">
        <f>IF(B$2=0,0,B12/B$2)</f>
        <v>0.13333333333333333</v>
      </c>
      <c r="E12" s="63" t="s">
        <v>72</v>
      </c>
      <c r="F12" s="60" t="s">
        <v>27</v>
      </c>
      <c r="G12" s="47">
        <v>1</v>
      </c>
      <c r="H12" s="133">
        <f>IF(B$17=0,0,G12/B$17)</f>
        <v>3.4482758620689655E-2</v>
      </c>
      <c r="I12" s="94">
        <v>8</v>
      </c>
      <c r="K12" s="38">
        <v>10</v>
      </c>
      <c r="L12" s="99">
        <v>-183.7</v>
      </c>
      <c r="N12" s="116" t="s">
        <v>166</v>
      </c>
      <c r="O12" s="126">
        <f>IF(P12=0,0,Q12/P12)</f>
        <v>1.225000000000001</v>
      </c>
      <c r="P12" s="120">
        <v>8</v>
      </c>
      <c r="Q12" s="108">
        <v>9.8000000000000078</v>
      </c>
    </row>
    <row r="13" spans="1:17" x14ac:dyDescent="0.4">
      <c r="A13" s="58" t="s">
        <v>122</v>
      </c>
      <c r="B13" s="50">
        <v>20</v>
      </c>
      <c r="C13" s="44">
        <f>IF(B$3=0,0,B13/B$3)</f>
        <v>0.17699115044247787</v>
      </c>
      <c r="E13" s="63" t="s">
        <v>76</v>
      </c>
      <c r="F13" s="60" t="s">
        <v>31</v>
      </c>
      <c r="G13" s="47">
        <v>1</v>
      </c>
      <c r="H13" s="133">
        <f>IF(B$17=0,0,G13/B$17)</f>
        <v>3.4482758620689655E-2</v>
      </c>
      <c r="I13" s="94">
        <v>1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33</v>
      </c>
      <c r="C14" s="39">
        <f>IF(B$3=0,0,B14/B$3)</f>
        <v>0.29203539823008851</v>
      </c>
      <c r="E14" s="63" t="s">
        <v>84</v>
      </c>
      <c r="F14" s="60" t="s">
        <v>39</v>
      </c>
      <c r="G14" s="47">
        <v>1</v>
      </c>
      <c r="H14" s="133">
        <f>IF(B$17=0,0,G14/B$17)</f>
        <v>3.4482758620689655E-2</v>
      </c>
      <c r="I14" s="94">
        <v>6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11</v>
      </c>
      <c r="C15" s="37">
        <f>IF(B$13=0,0,B15/B$13)</f>
        <v>0.55000000000000004</v>
      </c>
      <c r="E15" s="63" t="s">
        <v>86</v>
      </c>
      <c r="F15" s="60" t="s">
        <v>41</v>
      </c>
      <c r="G15" s="47">
        <v>1</v>
      </c>
      <c r="H15" s="133">
        <f>IF(B$17=0,0,G15/B$17)</f>
        <v>3.4482758620689655E-2</v>
      </c>
      <c r="I15" s="94">
        <v>1</v>
      </c>
      <c r="K15" s="38">
        <v>13</v>
      </c>
      <c r="L15" s="99">
        <v>-209.59999999999997</v>
      </c>
      <c r="N15" s="114" t="s">
        <v>186</v>
      </c>
      <c r="O15" s="124">
        <f>IF(P15=0,0,Q15/P15)</f>
        <v>60.800000000000004</v>
      </c>
      <c r="P15" s="118">
        <v>2</v>
      </c>
      <c r="Q15" s="106">
        <v>121.60000000000001</v>
      </c>
    </row>
    <row r="16" spans="1:17" x14ac:dyDescent="0.4">
      <c r="A16" s="54" t="s">
        <v>125</v>
      </c>
      <c r="B16" s="46">
        <v>13</v>
      </c>
      <c r="C16" s="37">
        <f>IF(B$14=0,0,B16/B$14)</f>
        <v>0.39393939393939392</v>
      </c>
      <c r="E16" s="63" t="s">
        <v>71</v>
      </c>
      <c r="F16" s="60" t="s">
        <v>26</v>
      </c>
      <c r="G16" s="47">
        <v>0</v>
      </c>
      <c r="H16" s="133">
        <f>IF(B$17=0,0,G16/B$17)</f>
        <v>0</v>
      </c>
      <c r="I16" s="94">
        <v>9</v>
      </c>
      <c r="K16" s="38">
        <v>14</v>
      </c>
      <c r="L16" s="99">
        <v>-178.49999999999997</v>
      </c>
      <c r="N16" s="115" t="s">
        <v>173</v>
      </c>
      <c r="O16" s="125">
        <f>IF(P16=0,0,Q16/P16)</f>
        <v>17.95</v>
      </c>
      <c r="P16" s="119">
        <v>2</v>
      </c>
      <c r="Q16" s="107">
        <v>35.9</v>
      </c>
    </row>
    <row r="17" spans="1:17" x14ac:dyDescent="0.4">
      <c r="A17" s="54" t="s">
        <v>10</v>
      </c>
      <c r="B17" s="46">
        <f>B19+B18</f>
        <v>29</v>
      </c>
      <c r="C17" s="37">
        <f>IF(B$3=0,0,B17/B$3)</f>
        <v>0.25663716814159293</v>
      </c>
      <c r="E17" s="63" t="s">
        <v>74</v>
      </c>
      <c r="F17" s="60" t="s">
        <v>29</v>
      </c>
      <c r="G17" s="47">
        <v>0</v>
      </c>
      <c r="H17" s="133">
        <f>IF(B$17=0,0,G17/B$17)</f>
        <v>0</v>
      </c>
      <c r="I17" s="94">
        <v>5</v>
      </c>
      <c r="K17" s="38">
        <v>15</v>
      </c>
      <c r="L17" s="99">
        <v>-146.19999999999999</v>
      </c>
      <c r="N17" s="115" t="s">
        <v>171</v>
      </c>
      <c r="O17" s="125">
        <f>IF(P17=0,0,Q17/P17)</f>
        <v>12.149999999999999</v>
      </c>
      <c r="P17" s="119">
        <v>2</v>
      </c>
      <c r="Q17" s="107">
        <v>24.299999999999997</v>
      </c>
    </row>
    <row r="18" spans="1:17" x14ac:dyDescent="0.4">
      <c r="A18" s="55" t="s">
        <v>12</v>
      </c>
      <c r="B18" s="47">
        <v>11</v>
      </c>
      <c r="C18" s="39">
        <f>IF(B$17=0,0,B18/B$17)</f>
        <v>0.37931034482758619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3</v>
      </c>
      <c r="N18" s="115" t="s">
        <v>128</v>
      </c>
      <c r="O18" s="125">
        <f>IF(P18=0,0,Q18/P18)</f>
        <v>0.75000000000000022</v>
      </c>
      <c r="P18" s="119">
        <v>10</v>
      </c>
      <c r="Q18" s="107">
        <v>7.5000000000000018</v>
      </c>
    </row>
    <row r="19" spans="1:17" x14ac:dyDescent="0.4">
      <c r="A19" s="55" t="s">
        <v>11</v>
      </c>
      <c r="B19" s="47">
        <v>18</v>
      </c>
      <c r="C19" s="39">
        <f>IF(B$17=0,0,B19/B$17)</f>
        <v>0.62068965517241381</v>
      </c>
      <c r="E19" s="63" t="s">
        <v>77</v>
      </c>
      <c r="F19" s="60" t="s">
        <v>32</v>
      </c>
      <c r="G19" s="47">
        <v>0</v>
      </c>
      <c r="H19" s="133">
        <f>IF(B$17=0,0,G19/B$17)</f>
        <v>0</v>
      </c>
      <c r="I19" s="94">
        <v>1</v>
      </c>
      <c r="N19" s="115" t="s">
        <v>129</v>
      </c>
      <c r="O19" s="125">
        <f>IF(P19=0,0,Q19/P19)</f>
        <v>-29.700000000000003</v>
      </c>
      <c r="P19" s="119">
        <v>1</v>
      </c>
      <c r="Q19" s="107">
        <v>-29.700000000000003</v>
      </c>
    </row>
    <row r="20" spans="1:17" x14ac:dyDescent="0.4">
      <c r="A20" s="55" t="s">
        <v>13</v>
      </c>
      <c r="B20" s="47">
        <v>20</v>
      </c>
      <c r="C20" s="39">
        <f>IF(B$3=0,0,B20/B$3)</f>
        <v>0.17699115044247787</v>
      </c>
      <c r="E20" s="63" t="s">
        <v>78</v>
      </c>
      <c r="F20" s="60" t="s">
        <v>33</v>
      </c>
      <c r="G20" s="47">
        <v>0</v>
      </c>
      <c r="H20" s="133">
        <f>IF(B$17=0,0,G20/B$17)</f>
        <v>0</v>
      </c>
      <c r="I20" s="94">
        <v>4</v>
      </c>
      <c r="N20" s="115" t="s">
        <v>172</v>
      </c>
      <c r="O20" s="125">
        <f>IF(P20=0,0,Q20/P20)</f>
        <v>-34.800000000000004</v>
      </c>
      <c r="P20" s="119">
        <v>2</v>
      </c>
      <c r="Q20" s="107">
        <v>-69.600000000000009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79</v>
      </c>
      <c r="F21" s="60" t="s">
        <v>34</v>
      </c>
      <c r="G21" s="47">
        <v>0</v>
      </c>
      <c r="H21" s="133">
        <f>IF(B$17=0,0,G21/B$17)</f>
        <v>0</v>
      </c>
      <c r="I21" s="94">
        <v>8</v>
      </c>
      <c r="N21" s="115" t="s">
        <v>185</v>
      </c>
      <c r="O21" s="125">
        <f>IF(P21=0,0,Q21/P21)</f>
        <v>-45.699999999999996</v>
      </c>
      <c r="P21" s="119">
        <v>3</v>
      </c>
      <c r="Q21" s="107">
        <v>-137.1</v>
      </c>
    </row>
    <row r="22" spans="1:17" x14ac:dyDescent="0.4">
      <c r="A22" s="55" t="s">
        <v>194</v>
      </c>
      <c r="B22" s="47">
        <v>16</v>
      </c>
      <c r="C22" s="135">
        <v>6</v>
      </c>
      <c r="E22" s="63" t="s">
        <v>80</v>
      </c>
      <c r="F22" s="60" t="s">
        <v>35</v>
      </c>
      <c r="G22" s="47">
        <v>0</v>
      </c>
      <c r="H22" s="133">
        <f>IF(B$17=0,0,G22/B$17)</f>
        <v>0</v>
      </c>
      <c r="I22" s="94">
        <v>6</v>
      </c>
      <c r="N22" s="115" t="s">
        <v>127</v>
      </c>
      <c r="O22" s="125">
        <f>IF(P22=0,0,Q22/P22)</f>
        <v>-48.937500000000007</v>
      </c>
      <c r="P22" s="119">
        <v>8</v>
      </c>
      <c r="Q22" s="107">
        <v>-391.50000000000006</v>
      </c>
    </row>
    <row r="23" spans="1:17" x14ac:dyDescent="0.4">
      <c r="A23" s="55" t="s">
        <v>5</v>
      </c>
      <c r="B23" s="51">
        <f>IF(B$17=0,0,C23/B$17)</f>
        <v>6362.0689655172409</v>
      </c>
      <c r="C23" s="41">
        <v>184500</v>
      </c>
      <c r="E23" s="63" t="s">
        <v>81</v>
      </c>
      <c r="F23" s="60" t="s">
        <v>36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-7250</v>
      </c>
      <c r="C24" s="45">
        <v>-145000</v>
      </c>
      <c r="E24" s="63" t="s">
        <v>82</v>
      </c>
      <c r="F24" s="60" t="s">
        <v>37</v>
      </c>
      <c r="G24" s="47">
        <v>0</v>
      </c>
      <c r="H24" s="133">
        <f>IF(B$17=0,0,G24/B$17)</f>
        <v>0</v>
      </c>
      <c r="I24" s="94">
        <v>7</v>
      </c>
    </row>
    <row r="25" spans="1:17" x14ac:dyDescent="0.4">
      <c r="A25" s="90" t="s">
        <v>142</v>
      </c>
      <c r="B25" s="140">
        <v>5</v>
      </c>
      <c r="C25" s="141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</row>
    <row r="26" spans="1:17" x14ac:dyDescent="0.4">
      <c r="A26" s="58" t="s">
        <v>152</v>
      </c>
      <c r="B26" s="138">
        <v>65000</v>
      </c>
      <c r="C26" s="139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143</v>
      </c>
      <c r="B27" s="65">
        <v>1</v>
      </c>
      <c r="C27" s="42">
        <f>IF(B$3=0,0,B27/B$3)</f>
        <v>8.8495575221238937E-3</v>
      </c>
      <c r="E27" s="63" t="s">
        <v>87</v>
      </c>
      <c r="F27" s="60" t="s">
        <v>42</v>
      </c>
      <c r="G27" s="47">
        <v>0</v>
      </c>
      <c r="H27" s="133">
        <f>IF(B$17=0,0,G27/B$17)</f>
        <v>0</v>
      </c>
      <c r="I27" s="94">
        <v>10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5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1D03F-BF2A-4712-9B61-2DB9613197BE}">
  <sheetPr codeName="Sheet2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48">
        <v>19</v>
      </c>
      <c r="C3" s="149"/>
      <c r="E3" s="63" t="s">
        <v>67</v>
      </c>
      <c r="F3" s="60" t="s">
        <v>23</v>
      </c>
      <c r="G3" s="47">
        <v>3</v>
      </c>
      <c r="H3" s="133">
        <f>IF(B$17=0,0,G3/B$17)</f>
        <v>0.6</v>
      </c>
      <c r="I3" s="94">
        <v>10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0">
        <v>61</v>
      </c>
      <c r="C4" s="151"/>
      <c r="E4" s="63" t="s">
        <v>73</v>
      </c>
      <c r="F4" s="60" t="s">
        <v>28</v>
      </c>
      <c r="G4" s="47">
        <v>3</v>
      </c>
      <c r="H4" s="133">
        <f>IF(B$17=0,0,G4/B$17)</f>
        <v>0.6</v>
      </c>
      <c r="I4" s="94">
        <v>5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2">
        <f>IF(B$2=0,0,B$4/B$2)</f>
        <v>20.333333333333332</v>
      </c>
      <c r="C5" s="153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2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2">
        <f>IF(B$2=0,0,(B$7*1+B$8*2+B$9*3)/B$2)</f>
        <v>1.3333333333333333</v>
      </c>
      <c r="C6" s="143"/>
      <c r="E6" s="63" t="s">
        <v>90</v>
      </c>
      <c r="F6" s="60" t="s">
        <v>45</v>
      </c>
      <c r="G6" s="47">
        <v>2</v>
      </c>
      <c r="H6" s="133">
        <f>IF(B$17=0,0,G6/B$17)</f>
        <v>0.4</v>
      </c>
      <c r="I6" s="94">
        <v>1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181</v>
      </c>
      <c r="F7" s="60" t="s">
        <v>182</v>
      </c>
      <c r="G7" s="47">
        <v>2</v>
      </c>
      <c r="H7" s="133">
        <f>IF(B$17=0,0,G7/B$17)</f>
        <v>0.4</v>
      </c>
      <c r="I7" s="94">
        <v>4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69</v>
      </c>
      <c r="F8" s="60" t="s">
        <v>12</v>
      </c>
      <c r="G8" s="47">
        <v>1</v>
      </c>
      <c r="H8" s="133">
        <f>IF(B$17=0,0,G8/B$17)</f>
        <v>0.2</v>
      </c>
      <c r="I8" s="94">
        <v>9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1</v>
      </c>
      <c r="H9" s="133">
        <f>IF(B$17=0,0,G9/B$17)</f>
        <v>0.2</v>
      </c>
      <c r="I9" s="94">
        <v>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72</v>
      </c>
      <c r="F10" s="60" t="s">
        <v>27</v>
      </c>
      <c r="G10" s="47">
        <v>1</v>
      </c>
      <c r="H10" s="133">
        <f>IF(B$17=0,0,G10/B$17)</f>
        <v>0.2</v>
      </c>
      <c r="I10" s="94">
        <v>1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87</v>
      </c>
      <c r="F11" s="60" t="s">
        <v>42</v>
      </c>
      <c r="G11" s="47">
        <v>1</v>
      </c>
      <c r="H11" s="133">
        <f>IF(B$17=0,0,G11/B$17)</f>
        <v>0.2</v>
      </c>
      <c r="I11" s="94">
        <v>1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3">
        <f>IF(B$17=0,0,G12/B$17)</f>
        <v>0</v>
      </c>
      <c r="I12" s="94">
        <v>10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74</v>
      </c>
      <c r="F14" s="60" t="s">
        <v>29</v>
      </c>
      <c r="G14" s="47">
        <v>0</v>
      </c>
      <c r="H14" s="133">
        <f>IF(B$17=0,0,G14/B$17)</f>
        <v>0</v>
      </c>
      <c r="I14" s="94">
        <v>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75</v>
      </c>
      <c r="F15" s="60" t="s">
        <v>30</v>
      </c>
      <c r="G15" s="47">
        <v>0</v>
      </c>
      <c r="H15" s="133">
        <f>IF(B$17=0,0,G15/B$17)</f>
        <v>0</v>
      </c>
      <c r="I15" s="94">
        <v>3</v>
      </c>
      <c r="N15" s="114" t="s">
        <v>186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76</v>
      </c>
      <c r="F16" s="60" t="s">
        <v>31</v>
      </c>
      <c r="G16" s="47">
        <v>0</v>
      </c>
      <c r="H16" s="133">
        <f>IF(B$17=0,0,G16/B$17)</f>
        <v>0</v>
      </c>
      <c r="I16" s="94">
        <v>6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77</v>
      </c>
      <c r="F17" s="60" t="s">
        <v>32</v>
      </c>
      <c r="G17" s="47">
        <v>0</v>
      </c>
      <c r="H17" s="133">
        <f>IF(B$17=0,0,G17/B$17)</f>
        <v>0</v>
      </c>
      <c r="I17" s="94">
        <v>1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78</v>
      </c>
      <c r="F18" s="60" t="s">
        <v>33</v>
      </c>
      <c r="G18" s="47">
        <v>0</v>
      </c>
      <c r="H18" s="133">
        <f>IF(B$17=0,0,G18/B$17)</f>
        <v>0</v>
      </c>
      <c r="I18" s="94">
        <v>4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79</v>
      </c>
      <c r="F19" s="60" t="s">
        <v>34</v>
      </c>
      <c r="G19" s="47">
        <v>0</v>
      </c>
      <c r="H19" s="133">
        <f>IF(B$17=0,0,G19/B$17)</f>
        <v>0</v>
      </c>
      <c r="I19" s="94">
        <v>8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6</v>
      </c>
    </row>
    <row r="21" spans="1:17" x14ac:dyDescent="0.4">
      <c r="A21" s="55" t="s">
        <v>193</v>
      </c>
      <c r="B21" s="47">
        <v>2</v>
      </c>
      <c r="C21" s="135">
        <v>0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194</v>
      </c>
      <c r="B22" s="47">
        <v>12</v>
      </c>
      <c r="C22" s="135">
        <v>12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7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10</v>
      </c>
    </row>
    <row r="25" spans="1:17" x14ac:dyDescent="0.4">
      <c r="A25" s="90" t="s">
        <v>142</v>
      </c>
      <c r="B25" s="140">
        <v>3</v>
      </c>
      <c r="C25" s="141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53500</v>
      </c>
      <c r="C26" s="139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5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6A6B0-05E4-4CF0-9DE9-E31725DB4109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186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</v>
      </c>
      <c r="C2" s="147"/>
      <c r="E2" s="62" t="s">
        <v>67</v>
      </c>
      <c r="F2" s="59" t="s">
        <v>23</v>
      </c>
      <c r="G2" s="46">
        <v>10</v>
      </c>
      <c r="H2" s="132">
        <f>IF(B$17=0,0,G2/B$17)</f>
        <v>0.83333333333333337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-3742.8571428571427</v>
      </c>
      <c r="P2" s="118">
        <v>7</v>
      </c>
      <c r="Q2" s="102">
        <v>-26200</v>
      </c>
    </row>
    <row r="3" spans="1:17" x14ac:dyDescent="0.4">
      <c r="A3" s="55" t="s">
        <v>8</v>
      </c>
      <c r="B3" s="148">
        <v>57</v>
      </c>
      <c r="C3" s="149"/>
      <c r="E3" s="63" t="s">
        <v>73</v>
      </c>
      <c r="F3" s="60" t="s">
        <v>28</v>
      </c>
      <c r="G3" s="47">
        <v>10</v>
      </c>
      <c r="H3" s="133">
        <f>IF(B$17=0,0,G3/B$17)</f>
        <v>0.83333333333333337</v>
      </c>
      <c r="I3" s="94">
        <v>1</v>
      </c>
      <c r="K3" s="38">
        <v>1</v>
      </c>
      <c r="L3" s="99">
        <v>-43.7</v>
      </c>
      <c r="N3" s="115" t="s">
        <v>133</v>
      </c>
      <c r="O3" s="122">
        <f t="shared" si="0"/>
        <v>-4085.7142857142858</v>
      </c>
      <c r="P3" s="119">
        <v>7</v>
      </c>
      <c r="Q3" s="103">
        <v>-28600</v>
      </c>
    </row>
    <row r="4" spans="1:17" x14ac:dyDescent="0.4">
      <c r="A4" s="55" t="s">
        <v>6</v>
      </c>
      <c r="B4" s="150">
        <v>-218.2</v>
      </c>
      <c r="C4" s="151"/>
      <c r="E4" s="63" t="s">
        <v>65</v>
      </c>
      <c r="F4" s="60" t="s">
        <v>21</v>
      </c>
      <c r="G4" s="47">
        <v>5</v>
      </c>
      <c r="H4" s="133">
        <f>IF(B$17=0,0,G4/B$17)</f>
        <v>0.41666666666666669</v>
      </c>
      <c r="I4" s="94">
        <v>9</v>
      </c>
      <c r="K4" s="38">
        <v>2</v>
      </c>
      <c r="L4" s="99">
        <v>-76.2</v>
      </c>
      <c r="N4" s="115" t="s">
        <v>134</v>
      </c>
      <c r="O4" s="122">
        <f t="shared" si="0"/>
        <v>128.57142857142858</v>
      </c>
      <c r="P4" s="119">
        <v>7</v>
      </c>
      <c r="Q4" s="103">
        <v>900</v>
      </c>
    </row>
    <row r="5" spans="1:17" x14ac:dyDescent="0.4">
      <c r="A5" s="55" t="s">
        <v>7</v>
      </c>
      <c r="B5" s="152">
        <f>IF(B$2=0,0,B$4/B$2)</f>
        <v>-31.171428571428571</v>
      </c>
      <c r="C5" s="153"/>
      <c r="E5" s="63" t="s">
        <v>181</v>
      </c>
      <c r="F5" s="60" t="s">
        <v>182</v>
      </c>
      <c r="G5" s="47">
        <v>4</v>
      </c>
      <c r="H5" s="133">
        <f>IF(B$17=0,0,G5/B$17)</f>
        <v>0.33333333333333331</v>
      </c>
      <c r="I5" s="94">
        <v>9</v>
      </c>
      <c r="K5" s="38">
        <v>3</v>
      </c>
      <c r="L5" s="99">
        <v>-78.400000000000006</v>
      </c>
      <c r="N5" s="115" t="s">
        <v>135</v>
      </c>
      <c r="O5" s="122">
        <f t="shared" si="0"/>
        <v>-7000</v>
      </c>
      <c r="P5" s="119">
        <v>6</v>
      </c>
      <c r="Q5" s="103">
        <v>-42000</v>
      </c>
    </row>
    <row r="6" spans="1:17" x14ac:dyDescent="0.4">
      <c r="A6" s="55" t="s">
        <v>1</v>
      </c>
      <c r="B6" s="142">
        <f>IF(B$2=0,0,(B$7*1+B$8*2+B$9*3)/B$2)</f>
        <v>2.5714285714285716</v>
      </c>
      <c r="C6" s="143"/>
      <c r="E6" s="63" t="s">
        <v>90</v>
      </c>
      <c r="F6" s="60" t="s">
        <v>45</v>
      </c>
      <c r="G6" s="47">
        <v>3</v>
      </c>
      <c r="H6" s="133">
        <f>IF(B$17=0,0,G6/B$17)</f>
        <v>0.25</v>
      </c>
      <c r="I6" s="94">
        <v>2</v>
      </c>
      <c r="K6" s="38">
        <v>4</v>
      </c>
      <c r="L6" s="99">
        <v>-49.800000000000004</v>
      </c>
      <c r="N6" s="115" t="s">
        <v>136</v>
      </c>
      <c r="O6" s="122">
        <f t="shared" si="0"/>
        <v>-2950</v>
      </c>
      <c r="P6" s="119">
        <v>6</v>
      </c>
      <c r="Q6" s="103">
        <v>-17700</v>
      </c>
    </row>
    <row r="7" spans="1:17" x14ac:dyDescent="0.4">
      <c r="A7" s="55" t="s">
        <v>2</v>
      </c>
      <c r="B7" s="47">
        <v>1</v>
      </c>
      <c r="C7" s="39">
        <f>IF(B$2=0,0,B7/B$2)</f>
        <v>0.14285714285714285</v>
      </c>
      <c r="E7" s="63" t="s">
        <v>69</v>
      </c>
      <c r="F7" s="60" t="s">
        <v>12</v>
      </c>
      <c r="G7" s="47">
        <v>2</v>
      </c>
      <c r="H7" s="133">
        <f>IF(B$17=0,0,G7/B$17)</f>
        <v>0.16666666666666666</v>
      </c>
      <c r="I7" s="94">
        <v>11</v>
      </c>
      <c r="K7" s="38">
        <v>5</v>
      </c>
      <c r="L7" s="99">
        <v>-121</v>
      </c>
      <c r="N7" s="116" t="s">
        <v>137</v>
      </c>
      <c r="O7" s="123">
        <f t="shared" si="0"/>
        <v>-4100</v>
      </c>
      <c r="P7" s="120">
        <v>6</v>
      </c>
      <c r="Q7" s="104">
        <v>-24600</v>
      </c>
    </row>
    <row r="8" spans="1:17" x14ac:dyDescent="0.4">
      <c r="A8" s="55" t="s">
        <v>3</v>
      </c>
      <c r="B8" s="47">
        <v>1</v>
      </c>
      <c r="C8" s="39">
        <f>IF(B$2=0,0,B8/B$2)</f>
        <v>0.14285714285714285</v>
      </c>
      <c r="E8" s="63" t="s">
        <v>70</v>
      </c>
      <c r="F8" s="60" t="s">
        <v>25</v>
      </c>
      <c r="G8" s="47">
        <v>2</v>
      </c>
      <c r="H8" s="133">
        <f>IF(B$17=0,0,G8/B$17)</f>
        <v>0.16666666666666666</v>
      </c>
      <c r="I8" s="94">
        <v>9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5</v>
      </c>
      <c r="C9" s="40">
        <f t="shared" ref="C9" si="1">IF(B$2=0,0,B9/B$2)</f>
        <v>0.7142857142857143</v>
      </c>
      <c r="E9" s="63" t="s">
        <v>71</v>
      </c>
      <c r="F9" s="60" t="s">
        <v>26</v>
      </c>
      <c r="G9" s="47">
        <v>1</v>
      </c>
      <c r="H9" s="133">
        <f>IF(B$17=0,0,G9/B$17)</f>
        <v>8.3333333333333329E-2</v>
      </c>
      <c r="I9" s="94">
        <v>8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0.14285714285714285</v>
      </c>
      <c r="E10" s="63" t="s">
        <v>82</v>
      </c>
      <c r="F10" s="60" t="s">
        <v>37</v>
      </c>
      <c r="G10" s="47">
        <v>1</v>
      </c>
      <c r="H10" s="133">
        <f>IF(B$17=0,0,G10/B$17)</f>
        <v>8.3333333333333329E-2</v>
      </c>
      <c r="I10" s="94">
        <v>1</v>
      </c>
      <c r="N10" s="114" t="s">
        <v>164</v>
      </c>
      <c r="O10" s="124">
        <f>IF(P10=0,0,Q10/P10)</f>
        <v>-43.233333333333327</v>
      </c>
      <c r="P10" s="118">
        <v>3</v>
      </c>
      <c r="Q10" s="106">
        <v>-129.69999999999999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84</v>
      </c>
      <c r="F11" s="60" t="s">
        <v>39</v>
      </c>
      <c r="G11" s="47">
        <v>1</v>
      </c>
      <c r="H11" s="133">
        <f>IF(B$17=0,0,G11/B$17)</f>
        <v>8.3333333333333329E-2</v>
      </c>
      <c r="I11" s="94">
        <v>1</v>
      </c>
      <c r="N11" s="115" t="s">
        <v>165</v>
      </c>
      <c r="O11" s="125">
        <f>IF(P11=0,0,Q11/P11)</f>
        <v>-39.033333333333339</v>
      </c>
      <c r="P11" s="119">
        <v>3</v>
      </c>
      <c r="Q11" s="107">
        <v>-117.10000000000001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3">
        <f>IF(B$17=0,0,G12/B$17)</f>
        <v>0</v>
      </c>
      <c r="I12" s="94">
        <v>10</v>
      </c>
      <c r="N12" s="116" t="s">
        <v>166</v>
      </c>
      <c r="O12" s="126">
        <f>IF(P12=0,0,Q12/P12)</f>
        <v>28.6</v>
      </c>
      <c r="P12" s="120">
        <v>1</v>
      </c>
      <c r="Q12" s="108">
        <v>28.6</v>
      </c>
    </row>
    <row r="13" spans="1:17" x14ac:dyDescent="0.4">
      <c r="A13" s="58" t="s">
        <v>122</v>
      </c>
      <c r="B13" s="50">
        <v>7</v>
      </c>
      <c r="C13" s="44">
        <f>IF(B$3=0,0,B13/B$3)</f>
        <v>0.12280701754385964</v>
      </c>
      <c r="E13" s="63" t="s">
        <v>68</v>
      </c>
      <c r="F13" s="60" t="s">
        <v>24</v>
      </c>
      <c r="G13" s="47">
        <v>0</v>
      </c>
      <c r="H13" s="133">
        <f>IF(B$17=0,0,G13/B$17)</f>
        <v>0</v>
      </c>
      <c r="I13" s="94">
        <v>11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</v>
      </c>
      <c r="C14" s="39">
        <f>IF(B$3=0,0,B14/B$3)</f>
        <v>0.22807017543859648</v>
      </c>
      <c r="E14" s="63" t="s">
        <v>72</v>
      </c>
      <c r="F14" s="60" t="s">
        <v>27</v>
      </c>
      <c r="G14" s="47">
        <v>0</v>
      </c>
      <c r="H14" s="133">
        <f>IF(B$17=0,0,G14/B$17)</f>
        <v>0</v>
      </c>
      <c r="I14" s="94">
        <v>10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</v>
      </c>
      <c r="C15" s="37">
        <f>IF(B$13=0,0,B15/B$13)</f>
        <v>0.7142857142857143</v>
      </c>
      <c r="E15" s="63" t="s">
        <v>74</v>
      </c>
      <c r="F15" s="60" t="s">
        <v>29</v>
      </c>
      <c r="G15" s="47">
        <v>0</v>
      </c>
      <c r="H15" s="133">
        <f>IF(B$17=0,0,G15/B$17)</f>
        <v>0</v>
      </c>
      <c r="I15" s="94">
        <v>5</v>
      </c>
      <c r="N15" s="114" t="s">
        <v>129</v>
      </c>
      <c r="O15" s="124">
        <f>IF(P15=0,0,Q15/P15)</f>
        <v>72.3</v>
      </c>
      <c r="P15" s="118">
        <v>1</v>
      </c>
      <c r="Q15" s="106">
        <v>72.3</v>
      </c>
    </row>
    <row r="16" spans="1:17" x14ac:dyDescent="0.4">
      <c r="A16" s="54" t="s">
        <v>125</v>
      </c>
      <c r="B16" s="46">
        <v>5</v>
      </c>
      <c r="C16" s="37">
        <f>IF(B$14=0,0,B16/B$14)</f>
        <v>0.38461538461538464</v>
      </c>
      <c r="E16" s="63" t="s">
        <v>75</v>
      </c>
      <c r="F16" s="60" t="s">
        <v>30</v>
      </c>
      <c r="G16" s="47">
        <v>0</v>
      </c>
      <c r="H16" s="133">
        <f>IF(B$17=0,0,G16/B$17)</f>
        <v>0</v>
      </c>
      <c r="I16" s="94">
        <v>3</v>
      </c>
      <c r="N16" s="115" t="s">
        <v>171</v>
      </c>
      <c r="O16" s="125">
        <f>IF(P16=0,0,Q16/P16)</f>
        <v>-25.400000000000002</v>
      </c>
      <c r="P16" s="119">
        <v>2</v>
      </c>
      <c r="Q16" s="107">
        <v>-50.800000000000004</v>
      </c>
    </row>
    <row r="17" spans="1:17" x14ac:dyDescent="0.4">
      <c r="A17" s="54" t="s">
        <v>10</v>
      </c>
      <c r="B17" s="46">
        <f>B19+B18</f>
        <v>12</v>
      </c>
      <c r="C17" s="37">
        <f>IF(B$3=0,0,B17/B$3)</f>
        <v>0.21052631578947367</v>
      </c>
      <c r="E17" s="63" t="s">
        <v>76</v>
      </c>
      <c r="F17" s="60" t="s">
        <v>31</v>
      </c>
      <c r="G17" s="47">
        <v>0</v>
      </c>
      <c r="H17" s="133">
        <f>IF(B$17=0,0,G17/B$17)</f>
        <v>0</v>
      </c>
      <c r="I17" s="94">
        <v>6</v>
      </c>
      <c r="N17" s="115" t="s">
        <v>127</v>
      </c>
      <c r="O17" s="125">
        <f>IF(P17=0,0,Q17/P17)</f>
        <v>-56.8</v>
      </c>
      <c r="P17" s="119">
        <v>4</v>
      </c>
      <c r="Q17" s="107">
        <v>-227.2</v>
      </c>
    </row>
    <row r="18" spans="1:17" x14ac:dyDescent="0.4">
      <c r="A18" s="55" t="s">
        <v>12</v>
      </c>
      <c r="B18" s="47">
        <v>6</v>
      </c>
      <c r="C18" s="39">
        <f>IF(B$17=0,0,B18/B$17)</f>
        <v>0.5</v>
      </c>
      <c r="E18" s="63" t="s">
        <v>77</v>
      </c>
      <c r="F18" s="60" t="s">
        <v>32</v>
      </c>
      <c r="G18" s="47">
        <v>0</v>
      </c>
      <c r="H18" s="133">
        <f>IF(B$17=0,0,G18/B$17)</f>
        <v>0</v>
      </c>
      <c r="I18" s="94">
        <v>1</v>
      </c>
      <c r="N18" s="115" t="s">
        <v>177</v>
      </c>
      <c r="O18" s="125">
        <f>IF(P18=0,0,Q18/P18)</f>
        <v>-60.800000000000004</v>
      </c>
      <c r="P18" s="119">
        <v>2</v>
      </c>
      <c r="Q18" s="107">
        <v>-121.60000000000001</v>
      </c>
    </row>
    <row r="19" spans="1:17" x14ac:dyDescent="0.4">
      <c r="A19" s="55" t="s">
        <v>11</v>
      </c>
      <c r="B19" s="47">
        <v>6</v>
      </c>
      <c r="C19" s="39">
        <f>IF(B$17=0,0,B19/B$17)</f>
        <v>0.5</v>
      </c>
      <c r="E19" s="63" t="s">
        <v>78</v>
      </c>
      <c r="F19" s="60" t="s">
        <v>33</v>
      </c>
      <c r="G19" s="47">
        <v>0</v>
      </c>
      <c r="H19" s="133">
        <f>IF(B$17=0,0,G19/B$17)</f>
        <v>0</v>
      </c>
      <c r="I19" s="94">
        <v>4</v>
      </c>
      <c r="N19" s="115" t="s">
        <v>128</v>
      </c>
      <c r="O19" s="125">
        <f>IF(P19=0,0,Q19/P19)</f>
        <v>-64.424999999999997</v>
      </c>
      <c r="P19" s="119">
        <v>4</v>
      </c>
      <c r="Q19" s="107">
        <v>-257.7</v>
      </c>
    </row>
    <row r="20" spans="1:17" x14ac:dyDescent="0.4">
      <c r="A20" s="55" t="s">
        <v>13</v>
      </c>
      <c r="B20" s="47">
        <v>16</v>
      </c>
      <c r="C20" s="39">
        <f>IF(B$3=0,0,B20/B$3)</f>
        <v>0.2807017543859649</v>
      </c>
      <c r="E20" s="63" t="s">
        <v>79</v>
      </c>
      <c r="F20" s="60" t="s">
        <v>34</v>
      </c>
      <c r="G20" s="47">
        <v>0</v>
      </c>
      <c r="H20" s="133">
        <f>IF(B$17=0,0,G20/B$17)</f>
        <v>0</v>
      </c>
      <c r="I20" s="94">
        <v>8</v>
      </c>
      <c r="N20" s="115" t="s">
        <v>185</v>
      </c>
      <c r="O20" s="125">
        <f>IF(P20=0,0,Q20/P20)</f>
        <v>-69.599999999999994</v>
      </c>
      <c r="P20" s="119">
        <v>1</v>
      </c>
      <c r="Q20" s="107">
        <v>-69.599999999999994</v>
      </c>
    </row>
    <row r="21" spans="1:17" x14ac:dyDescent="0.4">
      <c r="A21" s="55" t="s">
        <v>193</v>
      </c>
      <c r="B21" s="47">
        <v>2</v>
      </c>
      <c r="C21" s="135">
        <v>0</v>
      </c>
      <c r="E21" s="63" t="s">
        <v>80</v>
      </c>
      <c r="F21" s="60" t="s">
        <v>35</v>
      </c>
      <c r="G21" s="47">
        <v>0</v>
      </c>
      <c r="H21" s="133">
        <f>IF(B$17=0,0,G21/B$17)</f>
        <v>0</v>
      </c>
      <c r="I21" s="94">
        <v>6</v>
      </c>
    </row>
    <row r="22" spans="1:17" x14ac:dyDescent="0.4">
      <c r="A22" s="55" t="s">
        <v>194</v>
      </c>
      <c r="B22" s="47">
        <v>10</v>
      </c>
      <c r="C22" s="135">
        <v>4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6500</v>
      </c>
      <c r="C23" s="41">
        <v>78000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-8762.5</v>
      </c>
      <c r="C24" s="45">
        <v>-140200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3</v>
      </c>
    </row>
    <row r="25" spans="1:17" x14ac:dyDescent="0.4">
      <c r="A25" s="90" t="s">
        <v>142</v>
      </c>
      <c r="B25" s="140">
        <v>5</v>
      </c>
      <c r="C25" s="141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43600</v>
      </c>
      <c r="C26" s="139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10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5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94CA3-E8AD-42C8-B1F7-E85D2D19DC6E}">
  <sheetPr codeName="Sheet2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202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</v>
      </c>
      <c r="C2" s="147"/>
      <c r="E2" s="62" t="s">
        <v>67</v>
      </c>
      <c r="F2" s="59" t="s">
        <v>23</v>
      </c>
      <c r="G2" s="46">
        <v>7</v>
      </c>
      <c r="H2" s="132">
        <f>IF(B$17=0,0,G2/B$17)</f>
        <v>0.77777777777777779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-6025</v>
      </c>
      <c r="P2" s="118">
        <v>4</v>
      </c>
      <c r="Q2" s="102">
        <v>-24100</v>
      </c>
    </row>
    <row r="3" spans="1:17" x14ac:dyDescent="0.4">
      <c r="A3" s="55" t="s">
        <v>8</v>
      </c>
      <c r="B3" s="148">
        <v>36</v>
      </c>
      <c r="C3" s="149"/>
      <c r="E3" s="63" t="s">
        <v>65</v>
      </c>
      <c r="F3" s="60" t="s">
        <v>21</v>
      </c>
      <c r="G3" s="47">
        <v>6</v>
      </c>
      <c r="H3" s="133">
        <f>IF(B$17=0,0,G3/B$17)</f>
        <v>0.66666666666666663</v>
      </c>
      <c r="I3" s="94">
        <v>1</v>
      </c>
      <c r="K3" s="38">
        <v>1</v>
      </c>
      <c r="L3" s="99">
        <v>-12.5</v>
      </c>
      <c r="N3" s="115" t="s">
        <v>133</v>
      </c>
      <c r="O3" s="122">
        <f t="shared" si="0"/>
        <v>3450</v>
      </c>
      <c r="P3" s="119">
        <v>4</v>
      </c>
      <c r="Q3" s="103">
        <v>13800</v>
      </c>
    </row>
    <row r="4" spans="1:17" x14ac:dyDescent="0.4">
      <c r="A4" s="55" t="s">
        <v>6</v>
      </c>
      <c r="B4" s="150">
        <v>19.399999999999995</v>
      </c>
      <c r="C4" s="151"/>
      <c r="E4" s="63" t="s">
        <v>73</v>
      </c>
      <c r="F4" s="60" t="s">
        <v>28</v>
      </c>
      <c r="G4" s="47">
        <v>6</v>
      </c>
      <c r="H4" s="133">
        <f>IF(B$17=0,0,G4/B$17)</f>
        <v>0.66666666666666663</v>
      </c>
      <c r="I4" s="94">
        <v>4</v>
      </c>
      <c r="K4" s="38">
        <v>2</v>
      </c>
      <c r="L4" s="99">
        <v>-28.1</v>
      </c>
      <c r="N4" s="115" t="s">
        <v>134</v>
      </c>
      <c r="O4" s="122">
        <f t="shared" si="0"/>
        <v>-3650</v>
      </c>
      <c r="P4" s="119">
        <v>4</v>
      </c>
      <c r="Q4" s="103">
        <v>-14600</v>
      </c>
    </row>
    <row r="5" spans="1:17" x14ac:dyDescent="0.4">
      <c r="A5" s="55" t="s">
        <v>7</v>
      </c>
      <c r="B5" s="152">
        <f>IF(B$2=0,0,B$4/B$2)</f>
        <v>4.8499999999999988</v>
      </c>
      <c r="C5" s="153"/>
      <c r="E5" s="63" t="s">
        <v>68</v>
      </c>
      <c r="F5" s="60" t="s">
        <v>24</v>
      </c>
      <c r="G5" s="47">
        <v>5</v>
      </c>
      <c r="H5" s="133">
        <f>IF(B$17=0,0,G5/B$17)</f>
        <v>0.55555555555555558</v>
      </c>
      <c r="I5" s="94">
        <v>1</v>
      </c>
      <c r="K5" s="38">
        <v>3</v>
      </c>
      <c r="L5" s="99">
        <v>-20.400000000000002</v>
      </c>
      <c r="N5" s="115" t="s">
        <v>135</v>
      </c>
      <c r="O5" s="122">
        <f t="shared" si="0"/>
        <v>-1250</v>
      </c>
      <c r="P5" s="119">
        <v>4</v>
      </c>
      <c r="Q5" s="103">
        <v>-5000</v>
      </c>
    </row>
    <row r="6" spans="1:17" x14ac:dyDescent="0.4">
      <c r="A6" s="55" t="s">
        <v>1</v>
      </c>
      <c r="B6" s="142">
        <f>IF(B$2=0,0,(B$7*1+B$8*2+B$9*3)/B$2)</f>
        <v>1.75</v>
      </c>
      <c r="C6" s="143"/>
      <c r="E6" s="63" t="s">
        <v>69</v>
      </c>
      <c r="F6" s="60" t="s">
        <v>12</v>
      </c>
      <c r="G6" s="47">
        <v>5</v>
      </c>
      <c r="H6" s="133">
        <f>IF(B$17=0,0,G6/B$17)</f>
        <v>0.55555555555555558</v>
      </c>
      <c r="I6" s="94">
        <v>1</v>
      </c>
      <c r="K6" s="38">
        <v>4</v>
      </c>
      <c r="L6" s="99">
        <v>19.399999999999995</v>
      </c>
      <c r="N6" s="115" t="s">
        <v>136</v>
      </c>
      <c r="O6" s="122">
        <f t="shared" si="0"/>
        <v>11266.666666666666</v>
      </c>
      <c r="P6" s="119">
        <v>3</v>
      </c>
      <c r="Q6" s="103">
        <v>33800</v>
      </c>
    </row>
    <row r="7" spans="1:17" x14ac:dyDescent="0.4">
      <c r="A7" s="55" t="s">
        <v>2</v>
      </c>
      <c r="B7" s="47">
        <v>1</v>
      </c>
      <c r="C7" s="39">
        <f>IF(B$2=0,0,B7/B$2)</f>
        <v>0.25</v>
      </c>
      <c r="E7" s="63" t="s">
        <v>181</v>
      </c>
      <c r="F7" s="60" t="s">
        <v>182</v>
      </c>
      <c r="G7" s="47">
        <v>5</v>
      </c>
      <c r="H7" s="133">
        <f>IF(B$17=0,0,G7/B$17)</f>
        <v>0.55555555555555558</v>
      </c>
      <c r="I7" s="94">
        <v>1</v>
      </c>
      <c r="N7" s="116" t="s">
        <v>137</v>
      </c>
      <c r="O7" s="123">
        <f t="shared" si="0"/>
        <v>-1500</v>
      </c>
      <c r="P7" s="120">
        <v>3</v>
      </c>
      <c r="Q7" s="104">
        <v>-4500</v>
      </c>
    </row>
    <row r="8" spans="1:17" x14ac:dyDescent="0.4">
      <c r="A8" s="55" t="s">
        <v>3</v>
      </c>
      <c r="B8" s="47">
        <v>3</v>
      </c>
      <c r="C8" s="39">
        <f>IF(B$2=0,0,B8/B$2)</f>
        <v>0.75</v>
      </c>
      <c r="E8" s="63" t="s">
        <v>70</v>
      </c>
      <c r="F8" s="60" t="s">
        <v>25</v>
      </c>
      <c r="G8" s="47">
        <v>3</v>
      </c>
      <c r="H8" s="133">
        <f>IF(B$17=0,0,G8/B$17)</f>
        <v>0.33333333333333331</v>
      </c>
      <c r="I8" s="94">
        <v>1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90</v>
      </c>
      <c r="F9" s="60" t="s">
        <v>45</v>
      </c>
      <c r="G9" s="47">
        <v>2</v>
      </c>
      <c r="H9" s="133">
        <f>IF(B$17=0,0,G9/B$17)</f>
        <v>0.22222222222222221</v>
      </c>
      <c r="I9" s="94">
        <v>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66</v>
      </c>
      <c r="F10" s="60" t="s">
        <v>22</v>
      </c>
      <c r="G10" s="47">
        <v>1</v>
      </c>
      <c r="H10" s="133">
        <f>IF(B$17=0,0,G10/B$17)</f>
        <v>0.1111111111111111</v>
      </c>
      <c r="I10" s="94">
        <v>6</v>
      </c>
      <c r="N10" s="114" t="s">
        <v>164</v>
      </c>
      <c r="O10" s="124">
        <f>IF(P10=0,0,Q10/P10)</f>
        <v>-15.6</v>
      </c>
      <c r="P10" s="118">
        <v>1</v>
      </c>
      <c r="Q10" s="106">
        <v>-15.6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79</v>
      </c>
      <c r="F11" s="60" t="s">
        <v>34</v>
      </c>
      <c r="G11" s="47">
        <v>1</v>
      </c>
      <c r="H11" s="133">
        <f>IF(B$17=0,0,G11/B$17)</f>
        <v>0.1111111111111111</v>
      </c>
      <c r="I11" s="94">
        <v>1</v>
      </c>
      <c r="N11" s="115" t="s">
        <v>165</v>
      </c>
      <c r="O11" s="125">
        <f>IF(P11=0,0,Q11/P11)</f>
        <v>7.7</v>
      </c>
      <c r="P11" s="119">
        <v>1</v>
      </c>
      <c r="Q11" s="107">
        <v>7.7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87</v>
      </c>
      <c r="F12" s="60" t="s">
        <v>42</v>
      </c>
      <c r="G12" s="47">
        <v>1</v>
      </c>
      <c r="H12" s="133">
        <f>IF(B$17=0,0,G12/B$17)</f>
        <v>0.1111111111111111</v>
      </c>
      <c r="I12" s="94">
        <v>2</v>
      </c>
      <c r="N12" s="116" t="s">
        <v>166</v>
      </c>
      <c r="O12" s="126">
        <f>IF(P12=0,0,Q12/P12)</f>
        <v>13.649999999999999</v>
      </c>
      <c r="P12" s="120">
        <v>2</v>
      </c>
      <c r="Q12" s="108">
        <v>27.299999999999997</v>
      </c>
    </row>
    <row r="13" spans="1:17" x14ac:dyDescent="0.4">
      <c r="A13" s="58" t="s">
        <v>122</v>
      </c>
      <c r="B13" s="50">
        <v>11</v>
      </c>
      <c r="C13" s="44">
        <f>IF(B$3=0,0,B13/B$3)</f>
        <v>0.30555555555555558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10</v>
      </c>
      <c r="C14" s="39">
        <f>IF(B$3=0,0,B14/B$3)</f>
        <v>0.27777777777777779</v>
      </c>
      <c r="E14" s="63" t="s">
        <v>72</v>
      </c>
      <c r="F14" s="60" t="s">
        <v>27</v>
      </c>
      <c r="G14" s="47">
        <v>0</v>
      </c>
      <c r="H14" s="133">
        <f>IF(B$17=0,0,G14/B$17)</f>
        <v>0</v>
      </c>
      <c r="I14" s="94">
        <v>10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</v>
      </c>
      <c r="C15" s="37">
        <f>IF(B$13=0,0,B15/B$13)</f>
        <v>0.54545454545454541</v>
      </c>
      <c r="E15" s="63" t="s">
        <v>74</v>
      </c>
      <c r="F15" s="60" t="s">
        <v>29</v>
      </c>
      <c r="G15" s="47">
        <v>0</v>
      </c>
      <c r="H15" s="133">
        <f>IF(B$17=0,0,G15/B$17)</f>
        <v>0</v>
      </c>
      <c r="I15" s="94">
        <v>5</v>
      </c>
      <c r="N15" s="114" t="s">
        <v>171</v>
      </c>
      <c r="O15" s="124">
        <f>IF(P15=0,0,Q15/P15)</f>
        <v>52</v>
      </c>
      <c r="P15" s="118">
        <v>2</v>
      </c>
      <c r="Q15" s="106">
        <v>104</v>
      </c>
    </row>
    <row r="16" spans="1:17" x14ac:dyDescent="0.4">
      <c r="A16" s="54" t="s">
        <v>125</v>
      </c>
      <c r="B16" s="46">
        <v>3</v>
      </c>
      <c r="C16" s="37">
        <f>IF(B$14=0,0,B16/B$14)</f>
        <v>0.3</v>
      </c>
      <c r="E16" s="63" t="s">
        <v>75</v>
      </c>
      <c r="F16" s="60" t="s">
        <v>30</v>
      </c>
      <c r="G16" s="47">
        <v>0</v>
      </c>
      <c r="H16" s="133">
        <f>IF(B$17=0,0,G16/B$17)</f>
        <v>0</v>
      </c>
      <c r="I16" s="94">
        <v>3</v>
      </c>
      <c r="N16" s="115" t="s">
        <v>173</v>
      </c>
      <c r="O16" s="125">
        <f>IF(P16=0,0,Q16/P16)</f>
        <v>43.1</v>
      </c>
      <c r="P16" s="119">
        <v>1</v>
      </c>
      <c r="Q16" s="107">
        <v>43.1</v>
      </c>
    </row>
    <row r="17" spans="1:17" x14ac:dyDescent="0.4">
      <c r="A17" s="54" t="s">
        <v>10</v>
      </c>
      <c r="B17" s="46">
        <f>B19+B18</f>
        <v>9</v>
      </c>
      <c r="C17" s="37">
        <f>IF(B$3=0,0,B17/B$3)</f>
        <v>0.25</v>
      </c>
      <c r="E17" s="63" t="s">
        <v>76</v>
      </c>
      <c r="F17" s="60" t="s">
        <v>31</v>
      </c>
      <c r="G17" s="47">
        <v>0</v>
      </c>
      <c r="H17" s="133">
        <f>IF(B$17=0,0,G17/B$17)</f>
        <v>0</v>
      </c>
      <c r="I17" s="94">
        <v>6</v>
      </c>
      <c r="N17" s="115" t="s">
        <v>172</v>
      </c>
      <c r="O17" s="125">
        <f>IF(P17=0,0,Q17/P17)</f>
        <v>-16.450000000000006</v>
      </c>
      <c r="P17" s="119">
        <v>4</v>
      </c>
      <c r="Q17" s="107">
        <v>-65.800000000000026</v>
      </c>
    </row>
    <row r="18" spans="1:17" x14ac:dyDescent="0.4">
      <c r="A18" s="55" t="s">
        <v>12</v>
      </c>
      <c r="B18" s="47">
        <v>6</v>
      </c>
      <c r="C18" s="39">
        <f>IF(B$17=0,0,B18/B$17)</f>
        <v>0.66666666666666663</v>
      </c>
      <c r="E18" s="63" t="s">
        <v>77</v>
      </c>
      <c r="F18" s="60" t="s">
        <v>32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-23.1</v>
      </c>
      <c r="P18" s="119">
        <v>1</v>
      </c>
      <c r="Q18" s="107">
        <v>-23.1</v>
      </c>
    </row>
    <row r="19" spans="1:17" x14ac:dyDescent="0.4">
      <c r="A19" s="55" t="s">
        <v>11</v>
      </c>
      <c r="B19" s="47">
        <v>3</v>
      </c>
      <c r="C19" s="39">
        <f>IF(B$17=0,0,B19/B$17)</f>
        <v>0.33333333333333331</v>
      </c>
      <c r="E19" s="63" t="s">
        <v>78</v>
      </c>
      <c r="F19" s="60" t="s">
        <v>33</v>
      </c>
      <c r="G19" s="47">
        <v>0</v>
      </c>
      <c r="H19" s="133">
        <f>IF(B$17=0,0,G19/B$17)</f>
        <v>0</v>
      </c>
      <c r="I19" s="94">
        <v>4</v>
      </c>
    </row>
    <row r="20" spans="1:17" x14ac:dyDescent="0.4">
      <c r="A20" s="55" t="s">
        <v>13</v>
      </c>
      <c r="B20" s="47">
        <v>6</v>
      </c>
      <c r="C20" s="39">
        <f>IF(B$3=0,0,B20/B$3)</f>
        <v>0.16666666666666666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6</v>
      </c>
    </row>
    <row r="21" spans="1:17" x14ac:dyDescent="0.4">
      <c r="A21" s="55" t="s">
        <v>193</v>
      </c>
      <c r="B21" s="47">
        <v>3</v>
      </c>
      <c r="C21" s="135">
        <v>3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194</v>
      </c>
      <c r="B22" s="47">
        <v>8</v>
      </c>
      <c r="C22" s="135">
        <v>4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7</v>
      </c>
    </row>
    <row r="23" spans="1:17" x14ac:dyDescent="0.4">
      <c r="A23" s="55" t="s">
        <v>5</v>
      </c>
      <c r="B23" s="51">
        <f>IF(B$17=0,0,C23/B$17)</f>
        <v>9555.5555555555547</v>
      </c>
      <c r="C23" s="41">
        <v>86000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-5866.666666666667</v>
      </c>
      <c r="C24" s="45">
        <v>-35200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10</v>
      </c>
    </row>
    <row r="25" spans="1:17" x14ac:dyDescent="0.4">
      <c r="A25" s="90" t="s">
        <v>142</v>
      </c>
      <c r="B25" s="140">
        <v>4</v>
      </c>
      <c r="C25" s="141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54800</v>
      </c>
      <c r="C26" s="139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5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1C06C-F6B1-4408-B78C-98E0FA7A30E7}">
  <sheetPr codeName="Sheet26"/>
  <dimension ref="A1:Q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202</v>
      </c>
      <c r="B1" s="70" t="s">
        <v>202</v>
      </c>
      <c r="C1" s="70" t="s">
        <v>202</v>
      </c>
      <c r="D1" s="71" t="s">
        <v>202</v>
      </c>
      <c r="E1" s="70" t="s">
        <v>202</v>
      </c>
      <c r="F1" s="70" t="s">
        <v>202</v>
      </c>
      <c r="G1" s="70" t="s">
        <v>202</v>
      </c>
      <c r="H1" s="70" t="s">
        <v>202</v>
      </c>
      <c r="I1" s="70" t="s">
        <v>202</v>
      </c>
      <c r="J1" s="70" t="s">
        <v>202</v>
      </c>
      <c r="K1" s="70" t="s">
        <v>202</v>
      </c>
      <c r="L1" s="70" t="s">
        <v>202</v>
      </c>
      <c r="M1" s="70" t="s">
        <v>202</v>
      </c>
      <c r="N1" s="70" t="s">
        <v>202</v>
      </c>
      <c r="O1" s="70" t="s">
        <v>202</v>
      </c>
      <c r="P1" s="70" t="s">
        <v>202</v>
      </c>
      <c r="Q1" s="70" t="s">
        <v>202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31849-9C80-4C49-A5FF-CB4E8C0E271E}">
  <sheetPr codeName="Sheet24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B15205-B04A-4346-9B15-95D4663AD99C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185</v>
      </c>
      <c r="B1" s="70" t="s">
        <v>185</v>
      </c>
      <c r="C1" s="70" t="s">
        <v>185</v>
      </c>
      <c r="D1" s="71" t="s">
        <v>185</v>
      </c>
      <c r="E1" s="70" t="s">
        <v>185</v>
      </c>
      <c r="F1" s="70" t="s">
        <v>185</v>
      </c>
      <c r="G1" s="70" t="s">
        <v>185</v>
      </c>
      <c r="H1" s="70" t="s">
        <v>185</v>
      </c>
      <c r="I1" s="70" t="s">
        <v>185</v>
      </c>
      <c r="J1" s="70" t="s">
        <v>185</v>
      </c>
      <c r="K1" s="70" t="s">
        <v>185</v>
      </c>
      <c r="L1" s="70" t="s">
        <v>185</v>
      </c>
      <c r="M1" s="70" t="s">
        <v>185</v>
      </c>
      <c r="N1" s="70" t="s">
        <v>185</v>
      </c>
      <c r="O1" s="70" t="s">
        <v>185</v>
      </c>
      <c r="P1" s="70" t="s">
        <v>185</v>
      </c>
      <c r="Q1" s="70" t="s">
        <v>185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B08B5-7DE7-4BCD-A0B9-DEE0293F913F}">
  <sheetPr codeName="Sheet20"/>
  <dimension ref="A1:Q1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52799-FB6F-4282-96EA-D744AAC8D56A}">
  <sheetPr codeName="Sheet18"/>
  <dimension ref="A1:Q2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FD9C8-82D5-46F6-BA49-BB5C118D33E2}">
  <sheetPr codeName="Sheet16"/>
  <dimension ref="A1:Q3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64E43-3195-4878-A523-F23FC291FF83}">
  <sheetPr codeName="Sheet14"/>
  <dimension ref="A1:Q4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1FC7F-9A79-4979-B59B-115D0EDA25D8}">
  <sheetPr codeName="Sheet12"/>
  <dimension ref="A1:Q3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AF85A-E00F-4FE3-9F31-1CE446517B48}">
  <sheetPr codeName="Sheet10"/>
  <dimension ref="A1:Q7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87DDB-B7FA-4789-92CD-BFCA376B0F87}">
  <sheetPr codeName="Sheet8"/>
  <dimension ref="A1:Q7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98F4C-17A9-4C3F-9171-AB6A25CF1137}">
  <sheetPr codeName="Sheet6"/>
  <dimension ref="A1:Q9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468</vt:i4>
      </vt:variant>
    </vt:vector>
  </HeadingPairs>
  <TitlesOfParts>
    <vt:vector size="511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2019-04-23T16:01:35Z</dcterms:modified>
</cp:coreProperties>
</file>