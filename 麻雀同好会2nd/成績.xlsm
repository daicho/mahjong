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0C524E1-9A66-447C-87FC-F28AEB2C4DA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375" r:id="rId6"/>
    <sheet name="だいち" sheetId="5377" r:id="rId7"/>
    <sheet name="りくと" sheetId="5379" r:id="rId8"/>
    <sheet name="ただ" sheetId="5381" r:id="rId9"/>
    <sheet name="れんたろう" sheetId="5383" r:id="rId10"/>
    <sheet name="たかの" sheetId="5385" r:id="rId11"/>
    <sheet name="ぱぱ" sheetId="5387" r:id="rId12"/>
    <sheet name="まっつん" sheetId="5389" r:id="rId13"/>
    <sheet name="あさひ" sheetId="5391" r:id="rId14"/>
    <sheet name="いっしー" sheetId="5393" r:id="rId15"/>
    <sheet name="ほたに" sheetId="5395" r:id="rId16"/>
    <sheet name="かわたつ" sheetId="5397" r:id="rId17"/>
    <sheet name="やがさき" sheetId="5399" r:id="rId18"/>
    <sheet name="やがさき2" sheetId="5400" state="hidden" r:id="rId19"/>
    <sheet name="かわたつ2" sheetId="5398" state="hidden" r:id="rId20"/>
    <sheet name="ほたに2" sheetId="5396" state="hidden" r:id="rId21"/>
    <sheet name="いっしー2" sheetId="5394" state="hidden" r:id="rId22"/>
    <sheet name="あさひ2" sheetId="5392" state="hidden" r:id="rId23"/>
    <sheet name="まっつん2" sheetId="5390" state="hidden" r:id="rId24"/>
    <sheet name="ぱぱ2" sheetId="5388" state="hidden" r:id="rId25"/>
    <sheet name="たかの2" sheetId="5386" state="hidden" r:id="rId26"/>
    <sheet name="れんたろう2" sheetId="5384" state="hidden" r:id="rId27"/>
    <sheet name="ただ2" sheetId="5382" state="hidden" r:id="rId28"/>
    <sheet name="りくと2" sheetId="5380" state="hidden" r:id="rId29"/>
    <sheet name="だいち2" sheetId="5378" state="hidden" r:id="rId30"/>
    <sheet name="全体2" sheetId="537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381" l="1"/>
  <c r="O16" i="5385"/>
  <c r="O15" i="5375"/>
  <c r="O16" i="5399"/>
  <c r="O15" i="5399"/>
  <c r="C27" i="5399"/>
  <c r="B24" i="5399"/>
  <c r="C20" i="5399"/>
  <c r="B17" i="5399"/>
  <c r="H48" i="5399" s="1"/>
  <c r="C16" i="5399"/>
  <c r="C15" i="5399"/>
  <c r="C14" i="5399"/>
  <c r="C13" i="5399"/>
  <c r="O12" i="5399"/>
  <c r="C12" i="5399"/>
  <c r="O11" i="5399"/>
  <c r="C11" i="5399"/>
  <c r="O10" i="5399"/>
  <c r="C10" i="5399"/>
  <c r="C9" i="5399"/>
  <c r="C8" i="5399"/>
  <c r="O7" i="5399"/>
  <c r="C7" i="5399"/>
  <c r="O6" i="5399"/>
  <c r="B6" i="5399"/>
  <c r="O5" i="5399"/>
  <c r="B5" i="5399"/>
  <c r="O4" i="5399"/>
  <c r="O3" i="5399"/>
  <c r="O2" i="5399"/>
  <c r="O15" i="5397"/>
  <c r="O16" i="5397"/>
  <c r="H34" i="5397"/>
  <c r="C27" i="5397"/>
  <c r="B24" i="5397"/>
  <c r="B23" i="5397"/>
  <c r="C20" i="5397"/>
  <c r="B17" i="5397"/>
  <c r="H49" i="5397" s="1"/>
  <c r="H16" i="5397"/>
  <c r="C16" i="5397"/>
  <c r="C15" i="5397"/>
  <c r="C14" i="5397"/>
  <c r="C13" i="5397"/>
  <c r="O12" i="5397"/>
  <c r="H12" i="5397"/>
  <c r="C12" i="5397"/>
  <c r="O11" i="5397"/>
  <c r="C11" i="5397"/>
  <c r="O10" i="5397"/>
  <c r="C10" i="5397"/>
  <c r="H9" i="5397"/>
  <c r="C9" i="5397"/>
  <c r="C8" i="5397"/>
  <c r="O7" i="5397"/>
  <c r="C7" i="5397"/>
  <c r="O6" i="5397"/>
  <c r="B6" i="5397"/>
  <c r="O5" i="5397"/>
  <c r="B5" i="5397"/>
  <c r="O4" i="5397"/>
  <c r="O3" i="5397"/>
  <c r="O2" i="5397"/>
  <c r="H2" i="5397"/>
  <c r="O23" i="5383"/>
  <c r="O18" i="5377"/>
  <c r="O25" i="5375"/>
  <c r="H10" i="5399" l="1"/>
  <c r="H2" i="5399"/>
  <c r="H4" i="5399"/>
  <c r="C17" i="5399"/>
  <c r="H8" i="5399"/>
  <c r="H20" i="5399"/>
  <c r="H26" i="5399"/>
  <c r="H33" i="5399"/>
  <c r="H41" i="5399"/>
  <c r="H49" i="5399"/>
  <c r="H7" i="5399"/>
  <c r="H13" i="5399"/>
  <c r="H21" i="5399"/>
  <c r="H34" i="5399"/>
  <c r="H42" i="5399"/>
  <c r="H50" i="5399"/>
  <c r="H17" i="5399"/>
  <c r="H22" i="5399"/>
  <c r="H27" i="5399"/>
  <c r="H35" i="5399"/>
  <c r="H43" i="5399"/>
  <c r="H51" i="5399"/>
  <c r="H5" i="5399"/>
  <c r="H11" i="5399"/>
  <c r="H14" i="5399"/>
  <c r="C18" i="5399"/>
  <c r="B23" i="5399"/>
  <c r="H28" i="5399"/>
  <c r="H36" i="5399"/>
  <c r="H44" i="5399"/>
  <c r="H18" i="5399"/>
  <c r="H23" i="5399"/>
  <c r="H29" i="5399"/>
  <c r="H37" i="5399"/>
  <c r="H45" i="5399"/>
  <c r="H15" i="5399"/>
  <c r="C19" i="5399"/>
  <c r="H30" i="5399"/>
  <c r="H38" i="5399"/>
  <c r="H46" i="5399"/>
  <c r="H3" i="5399"/>
  <c r="H6" i="5399"/>
  <c r="H9" i="5399"/>
  <c r="H12" i="5399"/>
  <c r="H19" i="5399"/>
  <c r="H24" i="5399"/>
  <c r="H31" i="5399"/>
  <c r="H39" i="5399"/>
  <c r="H47" i="5399"/>
  <c r="H16" i="5399"/>
  <c r="H25" i="5399"/>
  <c r="H32" i="5399"/>
  <c r="H40" i="5399"/>
  <c r="H23" i="5397"/>
  <c r="H3" i="5397"/>
  <c r="H17" i="5397"/>
  <c r="C18" i="5397"/>
  <c r="C19" i="5397"/>
  <c r="H35" i="5397"/>
  <c r="H6" i="5397"/>
  <c r="H24" i="5397"/>
  <c r="H14" i="5397"/>
  <c r="H43" i="5397"/>
  <c r="H45" i="5397"/>
  <c r="H36" i="5397"/>
  <c r="H42" i="5397"/>
  <c r="H4" i="5397"/>
  <c r="H18" i="5397"/>
  <c r="H11" i="5397"/>
  <c r="H27" i="5397"/>
  <c r="H44" i="5397"/>
  <c r="H15" i="5397"/>
  <c r="H19" i="5397"/>
  <c r="H30" i="5397"/>
  <c r="H5" i="5397"/>
  <c r="H8" i="5397"/>
  <c r="H31" i="5397"/>
  <c r="H46" i="5397"/>
  <c r="H37" i="5397"/>
  <c r="H47" i="5397"/>
  <c r="H21" i="5397"/>
  <c r="H28" i="5397"/>
  <c r="H38" i="5397"/>
  <c r="H50" i="5397"/>
  <c r="H10" i="5397"/>
  <c r="H7" i="5397"/>
  <c r="H13" i="5397"/>
  <c r="C17" i="5397"/>
  <c r="H22" i="5397"/>
  <c r="H29" i="5397"/>
  <c r="H39" i="5397"/>
  <c r="H51" i="5397"/>
  <c r="H25" i="5397"/>
  <c r="H32" i="5397"/>
  <c r="H40" i="5397"/>
  <c r="H48" i="5397"/>
  <c r="H20" i="5397"/>
  <c r="H26" i="5397"/>
  <c r="H33" i="5397"/>
  <c r="H41" i="5397"/>
  <c r="O17" i="5385" l="1"/>
  <c r="O16" i="5393"/>
  <c r="O20" i="5395" l="1"/>
  <c r="O18" i="5395"/>
  <c r="O15" i="5389"/>
  <c r="O20" i="5379"/>
  <c r="O24" i="5377" l="1"/>
  <c r="O16" i="5395"/>
  <c r="O21" i="5387"/>
  <c r="O15" i="5395"/>
  <c r="O17" i="5395" l="1"/>
  <c r="O19" i="5395"/>
  <c r="C27" i="5395"/>
  <c r="B24" i="5395"/>
  <c r="C20" i="5395"/>
  <c r="B17" i="5395"/>
  <c r="H49" i="5395" s="1"/>
  <c r="C16" i="5395"/>
  <c r="C15" i="5395"/>
  <c r="C14" i="5395"/>
  <c r="C13" i="5395"/>
  <c r="O12" i="5395"/>
  <c r="C12" i="5395"/>
  <c r="O11" i="5395"/>
  <c r="C11" i="5395"/>
  <c r="O10" i="5395"/>
  <c r="C10" i="5395"/>
  <c r="C9" i="5395"/>
  <c r="C8" i="5395"/>
  <c r="O7" i="5395"/>
  <c r="C7" i="5395"/>
  <c r="O6" i="5395"/>
  <c r="B6" i="5395"/>
  <c r="O5" i="5395"/>
  <c r="B5" i="5395"/>
  <c r="O4" i="5395"/>
  <c r="O3" i="5395"/>
  <c r="O2" i="5395"/>
  <c r="O21" i="5383"/>
  <c r="O18" i="5385"/>
  <c r="O19" i="5375"/>
  <c r="H2" i="5395" l="1"/>
  <c r="H24" i="5395"/>
  <c r="H6" i="5395"/>
  <c r="H3" i="5395"/>
  <c r="H43" i="5395"/>
  <c r="H18" i="5395"/>
  <c r="H46" i="5395"/>
  <c r="H37" i="5395"/>
  <c r="H17" i="5395"/>
  <c r="C18" i="5395"/>
  <c r="H44" i="5395"/>
  <c r="H45" i="5395"/>
  <c r="H34" i="5395"/>
  <c r="H9" i="5395"/>
  <c r="H42" i="5395"/>
  <c r="H14" i="5395"/>
  <c r="H27" i="5395"/>
  <c r="H11" i="5395"/>
  <c r="C19" i="5395"/>
  <c r="H30" i="5395"/>
  <c r="H15" i="5395"/>
  <c r="H19" i="5395"/>
  <c r="H31" i="5395"/>
  <c r="H5" i="5395"/>
  <c r="H8" i="5395"/>
  <c r="H12" i="5395"/>
  <c r="H16" i="5395"/>
  <c r="B23" i="5395"/>
  <c r="H36" i="5395"/>
  <c r="H23" i="5395"/>
  <c r="H35" i="5395"/>
  <c r="H47" i="5395"/>
  <c r="H4" i="5395"/>
  <c r="H10" i="5395"/>
  <c r="H21" i="5395"/>
  <c r="H38" i="5395"/>
  <c r="H50" i="5395"/>
  <c r="H28" i="5395"/>
  <c r="H7" i="5395"/>
  <c r="H13" i="5395"/>
  <c r="C17" i="5395"/>
  <c r="H22" i="5395"/>
  <c r="H29" i="5395"/>
  <c r="H39" i="5395"/>
  <c r="H51" i="5395"/>
  <c r="H25" i="5395"/>
  <c r="H32" i="5395"/>
  <c r="H40" i="5395"/>
  <c r="H48" i="5395"/>
  <c r="H20" i="5395"/>
  <c r="H26" i="5395"/>
  <c r="H33" i="5395"/>
  <c r="H41" i="5395"/>
  <c r="O19" i="5385" l="1"/>
  <c r="O16" i="5381"/>
  <c r="O21" i="5389"/>
  <c r="O20" i="5389"/>
  <c r="O21" i="5377" l="1"/>
  <c r="O17" i="5393"/>
  <c r="O20" i="5393" l="1"/>
  <c r="O15" i="5393"/>
  <c r="O16" i="5383"/>
  <c r="O22" i="5381"/>
  <c r="O17" i="5391" l="1"/>
  <c r="O22" i="5387"/>
  <c r="O15" i="5391"/>
  <c r="O21" i="5393"/>
  <c r="O15" i="5379"/>
  <c r="O17" i="5389"/>
  <c r="O17" i="5375"/>
  <c r="O19" i="5393"/>
  <c r="O18" i="5393"/>
  <c r="C27" i="5393"/>
  <c r="B24" i="5393"/>
  <c r="C20" i="5393"/>
  <c r="B17" i="5393"/>
  <c r="H49" i="5393" s="1"/>
  <c r="C16" i="5393"/>
  <c r="C15" i="5393"/>
  <c r="C14" i="5393"/>
  <c r="C13" i="5393"/>
  <c r="O12" i="5393"/>
  <c r="C12" i="5393"/>
  <c r="O11" i="5393"/>
  <c r="C11" i="5393"/>
  <c r="O10" i="5393"/>
  <c r="C10" i="5393"/>
  <c r="C9" i="5393"/>
  <c r="C8" i="5393"/>
  <c r="O7" i="5393"/>
  <c r="C7" i="5393"/>
  <c r="O6" i="5393"/>
  <c r="B6" i="5393"/>
  <c r="O5" i="5393"/>
  <c r="B5" i="5393"/>
  <c r="O4" i="5393"/>
  <c r="O3" i="5393"/>
  <c r="O2" i="5393"/>
  <c r="O16" i="5391"/>
  <c r="O18" i="5391"/>
  <c r="C27" i="5391"/>
  <c r="B24" i="5391"/>
  <c r="C20" i="5391"/>
  <c r="B17" i="5391"/>
  <c r="H50" i="5391" s="1"/>
  <c r="C16" i="5391"/>
  <c r="C15" i="5391"/>
  <c r="C14" i="5391"/>
  <c r="C13" i="5391"/>
  <c r="O12" i="5391"/>
  <c r="C12" i="5391"/>
  <c r="O11" i="5391"/>
  <c r="C11" i="5391"/>
  <c r="O10" i="5391"/>
  <c r="C10" i="5391"/>
  <c r="C9" i="5391"/>
  <c r="C8" i="5391"/>
  <c r="O7" i="5391"/>
  <c r="C7" i="5391"/>
  <c r="O6" i="5391"/>
  <c r="B6" i="5391"/>
  <c r="O5" i="5391"/>
  <c r="B5" i="5391"/>
  <c r="O4" i="5391"/>
  <c r="O3" i="5391"/>
  <c r="O2" i="5391"/>
  <c r="O22" i="5389"/>
  <c r="O23" i="5389"/>
  <c r="O15" i="5377"/>
  <c r="O17" i="5377"/>
  <c r="O26" i="5375"/>
  <c r="H35" i="5393" l="1"/>
  <c r="H27" i="5393"/>
  <c r="H34" i="5393"/>
  <c r="H10" i="5393"/>
  <c r="H6" i="5393"/>
  <c r="C17" i="5391"/>
  <c r="H8" i="5391"/>
  <c r="H3" i="5391"/>
  <c r="H10" i="5391"/>
  <c r="H2" i="5391"/>
  <c r="H4" i="5391"/>
  <c r="H16" i="5393"/>
  <c r="H3" i="5393"/>
  <c r="H25" i="5393"/>
  <c r="H43" i="5393"/>
  <c r="H12" i="5393"/>
  <c r="H19" i="5393"/>
  <c r="H9" i="5393"/>
  <c r="H44" i="5393"/>
  <c r="H4" i="5393"/>
  <c r="H21" i="5393"/>
  <c r="H7" i="5393"/>
  <c r="H46" i="5393"/>
  <c r="H36" i="5393"/>
  <c r="H13" i="5393"/>
  <c r="H22" i="5393"/>
  <c r="H29" i="5393"/>
  <c r="H5" i="5393"/>
  <c r="H14" i="5393"/>
  <c r="H23" i="5393"/>
  <c r="H30" i="5393"/>
  <c r="H39" i="5393"/>
  <c r="H48" i="5393"/>
  <c r="H45" i="5393"/>
  <c r="H28" i="5393"/>
  <c r="B23" i="5393"/>
  <c r="H47" i="5393"/>
  <c r="H11" i="5393"/>
  <c r="H2" i="5393"/>
  <c r="H8" i="5393"/>
  <c r="H18" i="5393"/>
  <c r="H31" i="5393"/>
  <c r="H40" i="5393"/>
  <c r="H50" i="5393"/>
  <c r="C17" i="5393"/>
  <c r="H37" i="5393"/>
  <c r="H17" i="5393"/>
  <c r="H38" i="5393"/>
  <c r="C18" i="5393"/>
  <c r="H15" i="5393"/>
  <c r="C19" i="5393"/>
  <c r="H24" i="5393"/>
  <c r="H32" i="5393"/>
  <c r="H42" i="5393"/>
  <c r="H51" i="5393"/>
  <c r="H20" i="5393"/>
  <c r="H26" i="5393"/>
  <c r="H33" i="5393"/>
  <c r="H41" i="5393"/>
  <c r="H17" i="5391"/>
  <c r="H22" i="5391"/>
  <c r="H27" i="5391"/>
  <c r="H35" i="5391"/>
  <c r="H43" i="5391"/>
  <c r="H51" i="5391"/>
  <c r="H5" i="5391"/>
  <c r="H11" i="5391"/>
  <c r="H14" i="5391"/>
  <c r="C18" i="5391"/>
  <c r="B23" i="5391"/>
  <c r="H28" i="5391"/>
  <c r="H36" i="5391"/>
  <c r="H44" i="5391"/>
  <c r="H18" i="5391"/>
  <c r="H23" i="5391"/>
  <c r="H29" i="5391"/>
  <c r="H37" i="5391"/>
  <c r="H45" i="5391"/>
  <c r="H15" i="5391"/>
  <c r="C19" i="5391"/>
  <c r="H30" i="5391"/>
  <c r="H38" i="5391"/>
  <c r="H46" i="5391"/>
  <c r="H6" i="5391"/>
  <c r="H9" i="5391"/>
  <c r="H12" i="5391"/>
  <c r="H19" i="5391"/>
  <c r="H24" i="5391"/>
  <c r="H31" i="5391"/>
  <c r="H39" i="5391"/>
  <c r="H47" i="5391"/>
  <c r="H16" i="5391"/>
  <c r="H25" i="5391"/>
  <c r="H32" i="5391"/>
  <c r="H40" i="5391"/>
  <c r="H48" i="5391"/>
  <c r="H20" i="5391"/>
  <c r="H26" i="5391"/>
  <c r="H33" i="5391"/>
  <c r="H41" i="5391"/>
  <c r="H49" i="5391"/>
  <c r="H7" i="5391"/>
  <c r="H13" i="5391"/>
  <c r="H21" i="5391"/>
  <c r="H34" i="5391"/>
  <c r="H42" i="5391"/>
  <c r="O19" i="5389" l="1"/>
  <c r="O18" i="5387"/>
  <c r="O16" i="5387"/>
  <c r="O17" i="5379"/>
  <c r="O20" i="5385" l="1"/>
  <c r="O17" i="5383"/>
  <c r="O17" i="5387"/>
  <c r="O19" i="5387"/>
  <c r="O15" i="5385" l="1"/>
  <c r="O15" i="5383"/>
  <c r="O21" i="5381"/>
  <c r="O19" i="5381"/>
  <c r="O16" i="5389"/>
  <c r="O18" i="5389"/>
  <c r="C27" i="5389"/>
  <c r="B24" i="5389"/>
  <c r="C20" i="5389"/>
  <c r="B17" i="5389"/>
  <c r="H49" i="5389" s="1"/>
  <c r="C16" i="5389"/>
  <c r="C15" i="5389"/>
  <c r="C14" i="5389"/>
  <c r="C13" i="5389"/>
  <c r="O12" i="5389"/>
  <c r="C12" i="5389"/>
  <c r="O11" i="5389"/>
  <c r="C11" i="5389"/>
  <c r="O10" i="5389"/>
  <c r="C10" i="5389"/>
  <c r="C9" i="5389"/>
  <c r="C8" i="5389"/>
  <c r="O7" i="5389"/>
  <c r="C7" i="5389"/>
  <c r="O6" i="5389"/>
  <c r="B6" i="5389"/>
  <c r="O5" i="5389"/>
  <c r="B5" i="5389"/>
  <c r="O4" i="5389"/>
  <c r="O3" i="5389"/>
  <c r="O2" i="5389"/>
  <c r="O22" i="5383"/>
  <c r="O21" i="5379"/>
  <c r="O23" i="5375"/>
  <c r="H16" i="5389" l="1"/>
  <c r="H39" i="5389"/>
  <c r="H27" i="5389"/>
  <c r="H42" i="5389"/>
  <c r="H17" i="5389"/>
  <c r="H29" i="5389"/>
  <c r="H10" i="5389"/>
  <c r="C17" i="5389"/>
  <c r="H31" i="5389"/>
  <c r="H5" i="5389"/>
  <c r="H11" i="5389"/>
  <c r="H23" i="5389"/>
  <c r="H8" i="5389"/>
  <c r="H35" i="5389"/>
  <c r="H47" i="5389"/>
  <c r="H4" i="5389"/>
  <c r="H21" i="5389"/>
  <c r="H13" i="5389"/>
  <c r="H43" i="5389"/>
  <c r="H44" i="5389"/>
  <c r="C18" i="5389"/>
  <c r="H45" i="5389"/>
  <c r="C19" i="5389"/>
  <c r="H24" i="5389"/>
  <c r="H36" i="5389"/>
  <c r="H50" i="5389"/>
  <c r="H28" i="5389"/>
  <c r="H7" i="5389"/>
  <c r="H22" i="5389"/>
  <c r="B23" i="5389"/>
  <c r="H14" i="5389"/>
  <c r="H34" i="5389"/>
  <c r="H2" i="5389"/>
  <c r="H18" i="5389"/>
  <c r="H15" i="5389"/>
  <c r="H3" i="5389"/>
  <c r="H6" i="5389"/>
  <c r="H9" i="5389"/>
  <c r="H12" i="5389"/>
  <c r="H19" i="5389"/>
  <c r="H37" i="5389"/>
  <c r="H51" i="5389"/>
  <c r="H30" i="5389"/>
  <c r="H38" i="5389"/>
  <c r="H46" i="5389"/>
  <c r="H25" i="5389"/>
  <c r="H32" i="5389"/>
  <c r="H40" i="5389"/>
  <c r="H48" i="5389"/>
  <c r="H20" i="5389"/>
  <c r="H26" i="5389"/>
  <c r="H33" i="5389"/>
  <c r="H41" i="5389"/>
  <c r="O18" i="5381" l="1"/>
  <c r="O20" i="5387"/>
  <c r="O15" i="5387"/>
  <c r="C27" i="5387"/>
  <c r="B24" i="5387"/>
  <c r="C20" i="5387"/>
  <c r="B17" i="5387"/>
  <c r="H51" i="5387" s="1"/>
  <c r="C16" i="5387"/>
  <c r="C15" i="5387"/>
  <c r="C14" i="5387"/>
  <c r="C13" i="5387"/>
  <c r="O12" i="5387"/>
  <c r="C12" i="5387"/>
  <c r="O11" i="5387"/>
  <c r="C11" i="5387"/>
  <c r="O10" i="5387"/>
  <c r="C10" i="5387"/>
  <c r="C9" i="5387"/>
  <c r="C8" i="5387"/>
  <c r="O7" i="5387"/>
  <c r="C7" i="5387"/>
  <c r="O6" i="5387"/>
  <c r="B6" i="5387"/>
  <c r="O5" i="5387"/>
  <c r="B5" i="5387"/>
  <c r="O4" i="5387"/>
  <c r="O3" i="5387"/>
  <c r="O2" i="5387"/>
  <c r="O20" i="5377"/>
  <c r="O18" i="5375"/>
  <c r="O21" i="5385"/>
  <c r="O19" i="5379"/>
  <c r="O18" i="5379"/>
  <c r="O18" i="5383"/>
  <c r="O22" i="5385"/>
  <c r="O23" i="5385"/>
  <c r="C27" i="5385"/>
  <c r="B24" i="5385"/>
  <c r="C20" i="5385"/>
  <c r="B17" i="5385"/>
  <c r="H51" i="5385" s="1"/>
  <c r="C16" i="5385"/>
  <c r="C15" i="5385"/>
  <c r="C14" i="5385"/>
  <c r="C13" i="5385"/>
  <c r="O12" i="5385"/>
  <c r="C12" i="5385"/>
  <c r="O11" i="5385"/>
  <c r="C11" i="5385"/>
  <c r="O10" i="5385"/>
  <c r="C10" i="5385"/>
  <c r="C9" i="5385"/>
  <c r="C8" i="5385"/>
  <c r="O7" i="5385"/>
  <c r="C7" i="5385"/>
  <c r="O6" i="5385"/>
  <c r="B6" i="5385"/>
  <c r="O5" i="5385"/>
  <c r="B5" i="5385"/>
  <c r="O4" i="5385"/>
  <c r="O3" i="5385"/>
  <c r="O2" i="5385"/>
  <c r="O20" i="5383"/>
  <c r="O19" i="5383"/>
  <c r="C27" i="5383"/>
  <c r="B24" i="5383"/>
  <c r="C20" i="5383"/>
  <c r="B17" i="5383"/>
  <c r="H20" i="5383" s="1"/>
  <c r="C16" i="5383"/>
  <c r="C15" i="5383"/>
  <c r="C14" i="5383"/>
  <c r="C13" i="5383"/>
  <c r="O12" i="5383"/>
  <c r="C12" i="5383"/>
  <c r="O11" i="5383"/>
  <c r="C11" i="5383"/>
  <c r="O10" i="5383"/>
  <c r="C10" i="5383"/>
  <c r="C9" i="5383"/>
  <c r="C8" i="5383"/>
  <c r="O7" i="5383"/>
  <c r="C7" i="5383"/>
  <c r="O6" i="5383"/>
  <c r="B6" i="5383"/>
  <c r="O5" i="5383"/>
  <c r="B5" i="5383"/>
  <c r="O4" i="5383"/>
  <c r="O3" i="5383"/>
  <c r="O2" i="5383"/>
  <c r="O19" i="5377"/>
  <c r="O23" i="5377"/>
  <c r="O21" i="5375"/>
  <c r="O22" i="5375"/>
  <c r="H44" i="5385" l="1"/>
  <c r="H32" i="5387"/>
  <c r="H8" i="5387"/>
  <c r="H15" i="5387"/>
  <c r="H26" i="5387"/>
  <c r="H7" i="5387"/>
  <c r="H33" i="5387"/>
  <c r="H45" i="5387"/>
  <c r="H4" i="5387"/>
  <c r="H47" i="5387"/>
  <c r="H24" i="5387"/>
  <c r="H21" i="5387"/>
  <c r="H12" i="5387"/>
  <c r="C19" i="5387"/>
  <c r="H46" i="5387"/>
  <c r="H14" i="5387"/>
  <c r="H9" i="5387"/>
  <c r="B23" i="5387"/>
  <c r="H11" i="5387"/>
  <c r="H29" i="5387"/>
  <c r="H3" i="5387"/>
  <c r="H38" i="5387"/>
  <c r="H48" i="5387"/>
  <c r="H6" i="5387"/>
  <c r="H49" i="5387"/>
  <c r="H16" i="5387"/>
  <c r="H2" i="5387"/>
  <c r="C18" i="5387"/>
  <c r="H13" i="5387"/>
  <c r="H39" i="5387"/>
  <c r="H36" i="5387"/>
  <c r="H37" i="5387"/>
  <c r="H23" i="5387"/>
  <c r="H25" i="5387"/>
  <c r="H44" i="5387"/>
  <c r="H41" i="5385"/>
  <c r="H10" i="5383"/>
  <c r="H2" i="5383"/>
  <c r="H4" i="5383"/>
  <c r="H7" i="5383"/>
  <c r="H17" i="5387"/>
  <c r="H31" i="5387"/>
  <c r="H40" i="5387"/>
  <c r="H19" i="5387"/>
  <c r="H10" i="5387"/>
  <c r="H22" i="5387"/>
  <c r="C17" i="5387"/>
  <c r="H28" i="5387"/>
  <c r="H18" i="5387"/>
  <c r="H41" i="5387"/>
  <c r="H5" i="5387"/>
  <c r="H20" i="5387"/>
  <c r="H34" i="5387"/>
  <c r="H42" i="5387"/>
  <c r="H50" i="5387"/>
  <c r="H27" i="5387"/>
  <c r="H30" i="5387"/>
  <c r="H35" i="5387"/>
  <c r="H43" i="5387"/>
  <c r="H16" i="5385"/>
  <c r="H45" i="5385"/>
  <c r="H10" i="5385"/>
  <c r="H31" i="5385"/>
  <c r="H9" i="5385"/>
  <c r="H23" i="5385"/>
  <c r="C19" i="5385"/>
  <c r="H33" i="5385"/>
  <c r="H7" i="5385"/>
  <c r="H13" i="5385"/>
  <c r="H14" i="5385"/>
  <c r="H22" i="5385"/>
  <c r="H5" i="5385"/>
  <c r="C18" i="5385"/>
  <c r="H46" i="5385"/>
  <c r="H6" i="5385"/>
  <c r="H25" i="5385"/>
  <c r="H32" i="5385"/>
  <c r="H19" i="5385"/>
  <c r="H24" i="5385"/>
  <c r="H28" i="5385"/>
  <c r="H36" i="5385"/>
  <c r="H20" i="5385"/>
  <c r="H15" i="5385"/>
  <c r="H37" i="5385"/>
  <c r="H47" i="5385"/>
  <c r="H17" i="5385"/>
  <c r="H11" i="5385"/>
  <c r="H38" i="5385"/>
  <c r="H48" i="5385"/>
  <c r="H49" i="5385"/>
  <c r="H2" i="5385"/>
  <c r="H3" i="5385"/>
  <c r="H27" i="5385"/>
  <c r="H30" i="5385"/>
  <c r="H39" i="5385"/>
  <c r="H8" i="5385"/>
  <c r="H21" i="5385"/>
  <c r="C17" i="5385"/>
  <c r="B23" i="5385"/>
  <c r="H18" i="5385"/>
  <c r="H40" i="5385"/>
  <c r="H4" i="5385"/>
  <c r="H26" i="5385"/>
  <c r="H29" i="5385"/>
  <c r="H34" i="5385"/>
  <c r="H42" i="5385"/>
  <c r="H50" i="5385"/>
  <c r="H12" i="5385"/>
  <c r="H35" i="5385"/>
  <c r="H43" i="5385"/>
  <c r="H11" i="5383"/>
  <c r="C17" i="5383"/>
  <c r="H26" i="5383"/>
  <c r="H3" i="5383"/>
  <c r="H13" i="5383"/>
  <c r="H19" i="5383"/>
  <c r="H21" i="5383"/>
  <c r="H9" i="5383"/>
  <c r="H37" i="5383"/>
  <c r="H45" i="5383"/>
  <c r="H5" i="5383"/>
  <c r="H6" i="5383"/>
  <c r="H23" i="5383"/>
  <c r="H27" i="5383"/>
  <c r="C18" i="5383"/>
  <c r="B23" i="5383"/>
  <c r="H33" i="5383"/>
  <c r="H38" i="5383"/>
  <c r="H46" i="5383"/>
  <c r="H29" i="5383"/>
  <c r="H31" i="5383"/>
  <c r="H17" i="5383"/>
  <c r="H39" i="5383"/>
  <c r="H47" i="5383"/>
  <c r="H28" i="5383"/>
  <c r="C19" i="5383"/>
  <c r="H22" i="5383"/>
  <c r="H40" i="5383"/>
  <c r="H48" i="5383"/>
  <c r="H16" i="5383"/>
  <c r="H12" i="5383"/>
  <c r="H25" i="5383"/>
  <c r="H41" i="5383"/>
  <c r="H49" i="5383"/>
  <c r="H14" i="5383"/>
  <c r="H24" i="5383"/>
  <c r="H34" i="5383"/>
  <c r="H42" i="5383"/>
  <c r="H50" i="5383"/>
  <c r="H30" i="5383"/>
  <c r="H32" i="5383"/>
  <c r="H35" i="5383"/>
  <c r="H43" i="5383"/>
  <c r="H51" i="5383"/>
  <c r="H8" i="5383"/>
  <c r="H18" i="5383"/>
  <c r="H15" i="5383"/>
  <c r="H36" i="5383"/>
  <c r="H44" i="5383"/>
  <c r="O17" i="5381" l="1"/>
  <c r="O20" i="5381"/>
  <c r="C27" i="5381"/>
  <c r="B24" i="5381"/>
  <c r="C20" i="5381"/>
  <c r="B17" i="5381"/>
  <c r="H50" i="5381" s="1"/>
  <c r="C16" i="5381"/>
  <c r="C15" i="5381"/>
  <c r="C14" i="5381"/>
  <c r="C13" i="5381"/>
  <c r="O12" i="5381"/>
  <c r="C12" i="5381"/>
  <c r="O11" i="5381"/>
  <c r="C11" i="5381"/>
  <c r="O10" i="5381"/>
  <c r="C10" i="5381"/>
  <c r="C9" i="5381"/>
  <c r="C8" i="5381"/>
  <c r="O7" i="5381"/>
  <c r="C7" i="5381"/>
  <c r="O6" i="5381"/>
  <c r="B6" i="5381"/>
  <c r="O5" i="5381"/>
  <c r="B5" i="5381"/>
  <c r="O4" i="5381"/>
  <c r="O3" i="5381"/>
  <c r="O2" i="5381"/>
  <c r="O22" i="5379"/>
  <c r="O16" i="5379"/>
  <c r="C27" i="5379"/>
  <c r="B24" i="5379"/>
  <c r="C20" i="5379"/>
  <c r="B17" i="5379"/>
  <c r="H49" i="5379" s="1"/>
  <c r="C16" i="5379"/>
  <c r="C15" i="5379"/>
  <c r="C14" i="5379"/>
  <c r="C13" i="5379"/>
  <c r="O12" i="5379"/>
  <c r="C12" i="5379"/>
  <c r="O11" i="5379"/>
  <c r="C11" i="5379"/>
  <c r="O10" i="5379"/>
  <c r="C10" i="5379"/>
  <c r="C9" i="5379"/>
  <c r="C8" i="5379"/>
  <c r="O7" i="5379"/>
  <c r="C7" i="5379"/>
  <c r="O6" i="5379"/>
  <c r="B6" i="5379"/>
  <c r="O5" i="5379"/>
  <c r="B5" i="5379"/>
  <c r="O4" i="5379"/>
  <c r="O3" i="5379"/>
  <c r="O2" i="5379"/>
  <c r="O24" i="5375"/>
  <c r="O16" i="5377"/>
  <c r="O22" i="5377"/>
  <c r="C27" i="5377"/>
  <c r="B24" i="5377"/>
  <c r="C20" i="5377"/>
  <c r="B17" i="5377"/>
  <c r="H49" i="5377" s="1"/>
  <c r="C16" i="5377"/>
  <c r="C15" i="5377"/>
  <c r="C14" i="5377"/>
  <c r="C13" i="5377"/>
  <c r="O12" i="5377"/>
  <c r="C12" i="5377"/>
  <c r="O11" i="5377"/>
  <c r="C11" i="5377"/>
  <c r="O10" i="5377"/>
  <c r="C10" i="5377"/>
  <c r="C9" i="5377"/>
  <c r="C8" i="5377"/>
  <c r="O7" i="5377"/>
  <c r="C7" i="5377"/>
  <c r="O6" i="5377"/>
  <c r="B6" i="5377"/>
  <c r="O5" i="5377"/>
  <c r="B5" i="5377"/>
  <c r="O4" i="5377"/>
  <c r="O3" i="5377"/>
  <c r="O2" i="5377"/>
  <c r="O16" i="5375"/>
  <c r="O20" i="5375"/>
  <c r="C27" i="5375"/>
  <c r="B24" i="5375"/>
  <c r="C20" i="5375"/>
  <c r="B17" i="5375"/>
  <c r="H5" i="5375" s="1"/>
  <c r="C16" i="5375"/>
  <c r="C15" i="5375"/>
  <c r="C14" i="5375"/>
  <c r="C13" i="5375"/>
  <c r="O12" i="5375"/>
  <c r="C12" i="5375"/>
  <c r="O11" i="5375"/>
  <c r="C11" i="5375"/>
  <c r="O10" i="5375"/>
  <c r="C10" i="5375"/>
  <c r="C9" i="5375"/>
  <c r="C8" i="5375"/>
  <c r="O7" i="5375"/>
  <c r="C7" i="5375"/>
  <c r="O6" i="5375"/>
  <c r="B6" i="5375"/>
  <c r="O5" i="5375"/>
  <c r="B5" i="5375"/>
  <c r="O4" i="5375"/>
  <c r="O3" i="5375"/>
  <c r="O2" i="5375"/>
  <c r="H16" i="5379" l="1"/>
  <c r="H15" i="5377"/>
  <c r="H2" i="5377"/>
  <c r="H42" i="5377"/>
  <c r="H43" i="5377"/>
  <c r="H16" i="5377"/>
  <c r="H24" i="5381"/>
  <c r="H4" i="5381"/>
  <c r="H3" i="5379"/>
  <c r="H4" i="5377"/>
  <c r="H8" i="5377"/>
  <c r="H24" i="5377"/>
  <c r="H25" i="5377"/>
  <c r="H44" i="5377"/>
  <c r="H9" i="5377"/>
  <c r="H18" i="5377"/>
  <c r="H31" i="5377"/>
  <c r="H12" i="5377"/>
  <c r="C19" i="5377"/>
  <c r="H32" i="5377"/>
  <c r="H3" i="5377"/>
  <c r="H10" i="5377"/>
  <c r="H19" i="5377"/>
  <c r="H34" i="5377"/>
  <c r="H6" i="5377"/>
  <c r="H35" i="5377"/>
  <c r="H8" i="5381"/>
  <c r="H27" i="5381"/>
  <c r="H12" i="5381"/>
  <c r="H17" i="5381"/>
  <c r="H31" i="5381"/>
  <c r="H35" i="5381"/>
  <c r="C17" i="5381"/>
  <c r="H2" i="5381"/>
  <c r="H9" i="5381"/>
  <c r="H19" i="5381"/>
  <c r="H6" i="5381"/>
  <c r="H39" i="5381"/>
  <c r="H3" i="5381"/>
  <c r="H10" i="5381"/>
  <c r="H22" i="5381"/>
  <c r="H43" i="5381"/>
  <c r="H51" i="5381"/>
  <c r="H5" i="5381"/>
  <c r="H11" i="5381"/>
  <c r="H14" i="5381"/>
  <c r="C18" i="5381"/>
  <c r="B23" i="5381"/>
  <c r="H28" i="5381"/>
  <c r="H36" i="5381"/>
  <c r="H44" i="5381"/>
  <c r="H18" i="5381"/>
  <c r="H23" i="5381"/>
  <c r="H29" i="5381"/>
  <c r="H37" i="5381"/>
  <c r="H45" i="5381"/>
  <c r="H15" i="5381"/>
  <c r="C19" i="5381"/>
  <c r="H30" i="5381"/>
  <c r="H38" i="5381"/>
  <c r="H46" i="5381"/>
  <c r="H47" i="5381"/>
  <c r="H16" i="5381"/>
  <c r="H25" i="5381"/>
  <c r="H32" i="5381"/>
  <c r="H40" i="5381"/>
  <c r="H48" i="5381"/>
  <c r="H20" i="5381"/>
  <c r="H26" i="5381"/>
  <c r="H33" i="5381"/>
  <c r="H41" i="5381"/>
  <c r="H49" i="5381"/>
  <c r="H7" i="5381"/>
  <c r="H13" i="5381"/>
  <c r="H21" i="5381"/>
  <c r="H34" i="5381"/>
  <c r="H42" i="5381"/>
  <c r="H4" i="5379"/>
  <c r="H9" i="5379"/>
  <c r="H34" i="5379"/>
  <c r="H25" i="5379"/>
  <c r="H6" i="5379"/>
  <c r="H35" i="5379"/>
  <c r="H43" i="5379"/>
  <c r="H12" i="5379"/>
  <c r="H19" i="5379"/>
  <c r="H44" i="5379"/>
  <c r="H45" i="5379"/>
  <c r="H27" i="5379"/>
  <c r="H13" i="5379"/>
  <c r="H46" i="5379"/>
  <c r="H17" i="5379"/>
  <c r="C17" i="5379"/>
  <c r="H28" i="5379"/>
  <c r="H29" i="5379"/>
  <c r="H11" i="5379"/>
  <c r="H14" i="5379"/>
  <c r="C18" i="5379"/>
  <c r="H23" i="5379"/>
  <c r="H30" i="5379"/>
  <c r="H39" i="5379"/>
  <c r="H48" i="5379"/>
  <c r="H36" i="5379"/>
  <c r="H22" i="5379"/>
  <c r="H47" i="5379"/>
  <c r="H8" i="5379"/>
  <c r="H18" i="5379"/>
  <c r="H31" i="5379"/>
  <c r="H40" i="5379"/>
  <c r="H50" i="5379"/>
  <c r="H10" i="5379"/>
  <c r="H21" i="5379"/>
  <c r="H7" i="5379"/>
  <c r="H37" i="5379"/>
  <c r="B23" i="5379"/>
  <c r="H38" i="5379"/>
  <c r="H5" i="5379"/>
  <c r="H2" i="5379"/>
  <c r="H15" i="5379"/>
  <c r="C19" i="5379"/>
  <c r="H24" i="5379"/>
  <c r="H32" i="5379"/>
  <c r="H42" i="5379"/>
  <c r="H51" i="5379"/>
  <c r="H20" i="5379"/>
  <c r="H26" i="5379"/>
  <c r="H33" i="5379"/>
  <c r="H41" i="5379"/>
  <c r="H45" i="5377"/>
  <c r="H13" i="5377"/>
  <c r="H21" i="5377"/>
  <c r="H36" i="5377"/>
  <c r="C17" i="5377"/>
  <c r="H37" i="5377"/>
  <c r="B23" i="5377"/>
  <c r="H29" i="5377"/>
  <c r="H38" i="5377"/>
  <c r="H50" i="5377"/>
  <c r="H27" i="5377"/>
  <c r="H46" i="5377"/>
  <c r="H7" i="5377"/>
  <c r="H22" i="5377"/>
  <c r="H28" i="5377"/>
  <c r="H48" i="5377"/>
  <c r="H17" i="5377"/>
  <c r="H5" i="5377"/>
  <c r="H11" i="5377"/>
  <c r="H14" i="5377"/>
  <c r="C18" i="5377"/>
  <c r="H23" i="5377"/>
  <c r="H30" i="5377"/>
  <c r="H40" i="5377"/>
  <c r="H51" i="5377"/>
  <c r="H39" i="5377"/>
  <c r="H47" i="5377"/>
  <c r="H20" i="5377"/>
  <c r="H26" i="5377"/>
  <c r="H33" i="5377"/>
  <c r="H41" i="5377"/>
  <c r="H16" i="5375"/>
  <c r="H9" i="5375"/>
  <c r="H22" i="5375"/>
  <c r="H17" i="5375"/>
  <c r="H37" i="5375"/>
  <c r="H44" i="5375"/>
  <c r="C17" i="5375"/>
  <c r="H4" i="5375"/>
  <c r="H34" i="5375"/>
  <c r="H40" i="5375"/>
  <c r="H27" i="5375"/>
  <c r="H47" i="5375"/>
  <c r="H6" i="5375"/>
  <c r="H12" i="5375"/>
  <c r="H2" i="5375"/>
  <c r="H21" i="5375"/>
  <c r="H8" i="5375"/>
  <c r="C19" i="5375"/>
  <c r="H7" i="5375"/>
  <c r="H14" i="5375"/>
  <c r="H3" i="5375"/>
  <c r="H11" i="5375"/>
  <c r="H28" i="5375"/>
  <c r="H19" i="5375"/>
  <c r="H20" i="5375"/>
  <c r="H33" i="5375"/>
  <c r="C18" i="5375"/>
  <c r="B23" i="5375"/>
  <c r="H30" i="5375"/>
  <c r="H39" i="5375"/>
  <c r="H46" i="5375"/>
  <c r="H23" i="5375"/>
  <c r="H41" i="5375"/>
  <c r="H48" i="5375"/>
  <c r="H15" i="5375"/>
  <c r="H13" i="5375"/>
  <c r="H25" i="5375"/>
  <c r="H32" i="5375"/>
  <c r="H49" i="5375"/>
  <c r="H24" i="5375"/>
  <c r="H36" i="5375"/>
  <c r="H42" i="5375"/>
  <c r="H50" i="5375"/>
  <c r="H35" i="5375"/>
  <c r="H29" i="5375"/>
  <c r="H31" i="5375"/>
  <c r="H43" i="5375"/>
  <c r="H51" i="5375"/>
  <c r="H18" i="5375"/>
  <c r="H26" i="5375"/>
  <c r="H10" i="5375"/>
  <c r="H38" i="5375"/>
  <c r="H45" i="53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<sst xmlns="http://schemas.openxmlformats.org/spreadsheetml/2006/main" count="3226" uniqueCount="240">
  <si>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</si>
  <si>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</si>
  <si>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</si>
  <si>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</si>
  <si>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</si>
  <si>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</si>
  <si>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</si>
  <si>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</si>
  <si>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</si>
  <si>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</si>
  <si>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</si>
  <si>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</si>
  <si>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</si>
  <si>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</si>
  <si>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</si>
  <si>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</si>
  <si>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</si>
  <si>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</si>
  <si>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</si>
  <si>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</si>
  <si>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</si>
  <si>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</si>
  <si>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</si>
  <si>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</si>
  <si>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</si>
  <si>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</si>
  <si>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</si>
  <si>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</si>
  <si>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</si>
  <si>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</si>
  <si>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</si>
  <si>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</si>
  <si>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</si>
  <si>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</si>
  <si>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</si>
  <si>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</si>
  <si>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</si>
  <si>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</si>
  <si>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</si>
  <si>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</si>
  <si>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</si>
  <si>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</si>
  <si>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</si>
  <si>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</si>
  <si>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</si>
  <si>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</si>
  <si>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</si>
  <si>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</si>
  <si>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</si>
  <si>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</si>
  <si>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</si>
  <si>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</si>
  <si>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</si>
  <si>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</si>
  <si>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</si>
  <si>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</si>
  <si>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</si>
  <si>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</si>
  <si>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</si>
  <si>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</si>
  <si>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</si>
  <si>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</si>
  <si>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</si>
  <si>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</si>
  <si>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</si>
  <si>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</si>
  <si>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</si>
  <si>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</si>
  <si>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</si>
  <si>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</si>
  <si>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</si>
  <si>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</si>
  <si>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</si>
  <si>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</si>
  <si>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</si>
  <si>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</si>
  <si>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</si>
  <si>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</si>
  <si>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</si>
  <si>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</si>
  <si>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</si>
  <si>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</si>
  <si>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</si>
  <si>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</si>
  <si>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</si>
  <si>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</si>
  <si>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</si>
  <si>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</si>
  <si>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</si>
  <si>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</si>
  <si>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</si>
  <si>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</si>
  <si>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</si>
  <si>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</si>
  <si>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</si>
  <si>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</si>
  <si>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</si>
  <si>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</si>
  <si>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</si>
  <si>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</si>
  <si>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</si>
  <si>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</si>
  <si>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</si>
  <si>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</si>
  <si>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</si>
  <si>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</si>
  <si>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</si>
  <si>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</si>
  <si>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</si>
  <si>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</si>
  <si>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</si>
  <si>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</si>
  <si>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</si>
  <si>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</si>
  <si>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</si>
  <si>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</si>
  <si>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</si>
  <si>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</si>
  <si>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</si>
  <si>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</si>
  <si>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</si>
  <si>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</si>
  <si>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</si>
  <si>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</si>
  <si>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</si>
  <si>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</si>
  <si>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</si>
  <si>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</si>
  <si>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</si>
  <si>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</si>
  <si>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</si>
  <si>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</si>
  <si>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</si>
  <si>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</si>
  <si>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</si>
  <si>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</si>
  <si>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</si>
  <si>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</si>
  <si>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</si>
  <si>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</si>
  <si>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</si>
  <si>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</si>
  <si>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</si>
  <si>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</si>
  <si>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</si>
  <si>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</si>
  <si>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</si>
  <si>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</si>
  <si>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</si>
  <si>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</si>
  <si>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</si>
  <si>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</si>
  <si>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</si>
  <si>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</si>
  <si>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</si>
  <si>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</si>
  <si>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</si>
  <si>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</si>
  <si>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</si>
  <si>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</si>
  <si>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</si>
  <si>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</si>
  <si>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</si>
  <si>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</si>
  <si>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</si>
  <si>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</si>
  <si>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</si>
  <si>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</si>
  <si>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</si>
  <si>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</si>
  <si>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</si>
  <si>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</si>
  <si>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</si>
  <si>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</si>
  <si>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</si>
  <si>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</si>
  <si>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</si>
  <si>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</si>
  <si>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</si>
  <si>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</si>
  <si>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</si>
  <si>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</si>
  <si>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</si>
  <si>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</si>
  <si>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</si>
  <si>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</si>
  <si>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</si>
  <si>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</si>
  <si>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</si>
  <si>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</si>
  <si>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</si>
  <si>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</si>
  <si>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</si>
  <si>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</si>
  <si>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</si>
  <si>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</si>
  <si>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</si>
  <si>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</si>
  <si>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</si>
  <si>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</si>
  <si>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</si>
  <si>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</si>
  <si>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</si>
  <si>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</si>
  <si>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</si>
  <si>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</si>
  <si>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</si>
  <si>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</si>
  <si>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</si>
  <si>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</si>
  <si>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</si>
  <si>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</si>
  <si>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</si>
  <si>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</si>
  <si>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</si>
  <si>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</si>
  <si>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</si>
  <si>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</si>
  <si>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</si>
  <si>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</si>
  <si>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</si>
  <si>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</si>
  <si>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</si>
  <si>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</si>
  <si>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</si>
  <si>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</si>
  <si>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</si>
  <si>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</si>
  <si>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</si>
  <si>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</si>
  <si>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</si>
  <si>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</si>
  <si>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</si>
  <si>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</si>
  <si>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</si>
  <si>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</si>
  <si>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</si>
  <si>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</si>
  <si>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</si>
  <si>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2019-05-25@1.xlsm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</si>
</sst>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全体!$K$2:$K$566</c:f>
              <c:numCache>
                <c:formatCode>General</c:formatCode>
                <c:ptCount val="5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</c:numCache>
            </c:numRef>
          </c:xVal>
          <c:yVal>
            <c:numRef>
              <c:f>全体!$L$2:$L$566</c:f>
              <c:numCache>
                <c:formatCode>\+0.0;\-0.0;\±0</c:formatCode>
                <c:ptCount val="56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90-4A5D-971C-64D3E319C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-14.184397163120567</c:v>
                </c:pt>
                <c:pt idx="1">
                  <c:v>-7.2463768115942031</c:v>
                </c:pt>
                <c:pt idx="2">
                  <c:v>7.7071290944123314</c:v>
                </c:pt>
                <c:pt idx="3">
                  <c:v>10.615711252653927</c:v>
                </c:pt>
                <c:pt idx="4">
                  <c:v>-14.285714285714286</c:v>
                </c:pt>
                <c:pt idx="5">
                  <c:v>23.622047244094489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AC-44ED-B190-DD90D7426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だいち!$L$2:$L$128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47-4C00-BA82-65451FE46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1457.1428571428571</c:v>
                </c:pt>
                <c:pt idx="1">
                  <c:v>1135.7723577235772</c:v>
                </c:pt>
                <c:pt idx="2">
                  <c:v>1496.5517241379309</c:v>
                </c:pt>
                <c:pt idx="3">
                  <c:v>2935.8490566037735</c:v>
                </c:pt>
                <c:pt idx="4">
                  <c:v>878.26086956521738</c:v>
                </c:pt>
                <c:pt idx="5">
                  <c:v>896.2962962962963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8-4059-BF9F-CEA8B53F4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りくと!$L$2:$L$117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B7-41EE-ACE0-BE0C248E7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444.3478260869565</c:v>
                </c:pt>
                <c:pt idx="1">
                  <c:v>-2309.0090090090089</c:v>
                </c:pt>
                <c:pt idx="2">
                  <c:v>62.037037037037038</c:v>
                </c:pt>
                <c:pt idx="3">
                  <c:v>256.25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F-4750-8037-10A29FABB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ただ!$L$2:$L$68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3-4D4B-AD64-6015C4A8D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-1890.909090909091</c:v>
                </c:pt>
                <c:pt idx="1">
                  <c:v>-1323.4375</c:v>
                </c:pt>
                <c:pt idx="2">
                  <c:v>-1010</c:v>
                </c:pt>
                <c:pt idx="3">
                  <c:v>-5440.3846153846152</c:v>
                </c:pt>
                <c:pt idx="4">
                  <c:v>-1971.7391304347825</c:v>
                </c:pt>
                <c:pt idx="5">
                  <c:v>-2148.8372093023254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18-465F-B258-BC66FFAD0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れんたろう!$L$2:$L$80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9-496F-A4A5-B043ADED6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-1084.6153846153845</c:v>
                </c:pt>
                <c:pt idx="1">
                  <c:v>996.10389610389609</c:v>
                </c:pt>
                <c:pt idx="2">
                  <c:v>1628.1690140845071</c:v>
                </c:pt>
                <c:pt idx="3">
                  <c:v>1327.8688524590164</c:v>
                </c:pt>
                <c:pt idx="4">
                  <c:v>-916.98113207547169</c:v>
                </c:pt>
                <c:pt idx="5">
                  <c:v>106.12244897959184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A-442D-9664-F6D4C5DF6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たかの!$L$2:$L$64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6-45CF-BDFD-F27CA662A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766.12903225806451</c:v>
                </c:pt>
                <c:pt idx="1">
                  <c:v>-403.22580645161293</c:v>
                </c:pt>
                <c:pt idx="2">
                  <c:v>-1281.8181818181818</c:v>
                </c:pt>
                <c:pt idx="3">
                  <c:v>319.23076923076923</c:v>
                </c:pt>
                <c:pt idx="4">
                  <c:v>808</c:v>
                </c:pt>
                <c:pt idx="5">
                  <c:v>-343.18181818181819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25-4F8F-BFDC-68AF86709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3E-4127-8E0A-3C77FA5B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EC8-93B4-9E170C428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まっつん!$L$2:$L$49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BA-4075-AF7F-0AC65B988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1202.127659574468</c:v>
                </c:pt>
                <c:pt idx="1">
                  <c:v>537.77777777777783</c:v>
                </c:pt>
                <c:pt idx="2">
                  <c:v>-1153.6585365853659</c:v>
                </c:pt>
                <c:pt idx="3">
                  <c:v>1572.5</c:v>
                </c:pt>
                <c:pt idx="4">
                  <c:v>-1572.2222222222222</c:v>
                </c:pt>
                <c:pt idx="5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4A-431D-A7C5-40DB1E392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B-4428-B3A6-0EDFB1BE6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94-4049-A35D-49CEF8D06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7-4485-A2EE-4762E28E9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C35-BC73-8FE55BD45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7-4C24-A1E8-E166072AA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D-4258-B654-A4C76D318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E0-49BD-AF9C-E7729BF2B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A5-4D71-8D50-39BE4C994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A-48E4-9D43-D68FD2F72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A6-407E-97CA-5DD370CD7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ぱぱ2!$B$3:$B$47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ぱぱ2!$C$3:$C$47</c:f>
              <c:numCache>
                <c:formatCode>\+0.0;\-0.0;\±0</c:formatCode>
                <c:ptCount val="45"/>
                <c:pt idx="1">
                  <c:v>-82.6</c:v>
                </c:pt>
                <c:pt idx="2">
                  <c:v>-61.15</c:v>
                </c:pt>
                <c:pt idx="3">
                  <c:v>-49.666666666666664</c:v>
                </c:pt>
                <c:pt idx="4">
                  <c:v>-37.65</c:v>
                </c:pt>
                <c:pt idx="5">
                  <c:v>-36.979999999999997</c:v>
                </c:pt>
                <c:pt idx="6">
                  <c:v>-31.266666666666662</c:v>
                </c:pt>
                <c:pt idx="7">
                  <c:v>-30.871428571428567</c:v>
                </c:pt>
                <c:pt idx="8">
                  <c:v>-27.449999999999996</c:v>
                </c:pt>
                <c:pt idx="9">
                  <c:v>-28.955555555555552</c:v>
                </c:pt>
                <c:pt idx="10">
                  <c:v>-31.839999999999996</c:v>
                </c:pt>
                <c:pt idx="11">
                  <c:v>-29.581818181818178</c:v>
                </c:pt>
                <c:pt idx="12">
                  <c:v>-24.133333333333329</c:v>
                </c:pt>
                <c:pt idx="13">
                  <c:v>-23.276923076923076</c:v>
                </c:pt>
                <c:pt idx="14">
                  <c:v>-19.285714285714281</c:v>
                </c:pt>
                <c:pt idx="15">
                  <c:v>-17.639999999999997</c:v>
                </c:pt>
                <c:pt idx="16">
                  <c:v>-18.299999999999997</c:v>
                </c:pt>
                <c:pt idx="17">
                  <c:v>-14.641176470588233</c:v>
                </c:pt>
                <c:pt idx="18">
                  <c:v>-12.166666666666664</c:v>
                </c:pt>
                <c:pt idx="19">
                  <c:v>-9.9263157894736818</c:v>
                </c:pt>
                <c:pt idx="20">
                  <c:v>-9.139999999999997</c:v>
                </c:pt>
                <c:pt idx="21">
                  <c:v>-9.7047619047619005</c:v>
                </c:pt>
                <c:pt idx="22">
                  <c:v>-11.93181818181818</c:v>
                </c:pt>
                <c:pt idx="23">
                  <c:v>-11.265217391304347</c:v>
                </c:pt>
                <c:pt idx="24">
                  <c:v>-11.995833333333332</c:v>
                </c:pt>
                <c:pt idx="25">
                  <c:v>-13.771999999999998</c:v>
                </c:pt>
                <c:pt idx="26">
                  <c:v>-10.965384615384615</c:v>
                </c:pt>
                <c:pt idx="27">
                  <c:v>-9.5333333333333332</c:v>
                </c:pt>
                <c:pt idx="28">
                  <c:v>-8.8642857142857139</c:v>
                </c:pt>
                <c:pt idx="29">
                  <c:v>-6.1137931034482751</c:v>
                </c:pt>
                <c:pt idx="30">
                  <c:v>-6.76</c:v>
                </c:pt>
                <c:pt idx="31">
                  <c:v>-7.3</c:v>
                </c:pt>
                <c:pt idx="32">
                  <c:v>-6.0562499999999995</c:v>
                </c:pt>
                <c:pt idx="33">
                  <c:v>-5.8818181818181818</c:v>
                </c:pt>
                <c:pt idx="34">
                  <c:v>-6.6058823529411761</c:v>
                </c:pt>
                <c:pt idx="35">
                  <c:v>-6.4257142857142862</c:v>
                </c:pt>
                <c:pt idx="36">
                  <c:v>-5.291666666666667</c:v>
                </c:pt>
                <c:pt idx="37">
                  <c:v>-6.3351351351351353</c:v>
                </c:pt>
                <c:pt idx="38">
                  <c:v>-5.5657894736842106</c:v>
                </c:pt>
                <c:pt idx="39">
                  <c:v>-5.7410256410256411</c:v>
                </c:pt>
                <c:pt idx="40">
                  <c:v>-6.9974999999999996</c:v>
                </c:pt>
                <c:pt idx="41">
                  <c:v>-7.4048780487804873</c:v>
                </c:pt>
                <c:pt idx="42">
                  <c:v>-8.0642857142857132</c:v>
                </c:pt>
                <c:pt idx="43">
                  <c:v>-6.7372093023255815</c:v>
                </c:pt>
                <c:pt idx="44">
                  <c:v>-5.9681818181818178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2991377283696823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ぱぱ2!$D$3:$D$47</c:f>
              <c:numCache>
                <c:formatCode>0.00\ "位"</c:formatCode>
                <c:ptCount val="4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2.5</c:v>
                </c:pt>
                <c:pt idx="5">
                  <c:v>2.6</c:v>
                </c:pt>
                <c:pt idx="6">
                  <c:v>2.5</c:v>
                </c:pt>
                <c:pt idx="7">
                  <c:v>2.5714285714285716</c:v>
                </c:pt>
                <c:pt idx="8">
                  <c:v>2.5</c:v>
                </c:pt>
                <c:pt idx="9">
                  <c:v>2.5555555555555554</c:v>
                </c:pt>
                <c:pt idx="10">
                  <c:v>2.6</c:v>
                </c:pt>
                <c:pt idx="11">
                  <c:v>2.5454545454545454</c:v>
                </c:pt>
                <c:pt idx="12">
                  <c:v>2.4166666666666665</c:v>
                </c:pt>
                <c:pt idx="13">
                  <c:v>2.3846153846153846</c:v>
                </c:pt>
                <c:pt idx="14">
                  <c:v>2.2857142857142856</c:v>
                </c:pt>
                <c:pt idx="15">
                  <c:v>2.2666666666666666</c:v>
                </c:pt>
                <c:pt idx="16">
                  <c:v>2.3125</c:v>
                </c:pt>
                <c:pt idx="17">
                  <c:v>2.2352941176470589</c:v>
                </c:pt>
                <c:pt idx="18">
                  <c:v>2.1666666666666665</c:v>
                </c:pt>
                <c:pt idx="19">
                  <c:v>2.1052631578947367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2.2000000000000002</c:v>
                </c:pt>
                <c:pt idx="26">
                  <c:v>2.1538461538461537</c:v>
                </c:pt>
                <c:pt idx="27">
                  <c:v>2.1111111111111112</c:v>
                </c:pt>
                <c:pt idx="28">
                  <c:v>2.1071428571428572</c:v>
                </c:pt>
                <c:pt idx="29">
                  <c:v>2.0689655172413794</c:v>
                </c:pt>
                <c:pt idx="30">
                  <c:v>2.0666666666666669</c:v>
                </c:pt>
                <c:pt idx="31">
                  <c:v>2.096774193548387</c:v>
                </c:pt>
                <c:pt idx="32">
                  <c:v>2.0625</c:v>
                </c:pt>
                <c:pt idx="33">
                  <c:v>2.0606060606060606</c:v>
                </c:pt>
                <c:pt idx="34">
                  <c:v>2.0882352941176472</c:v>
                </c:pt>
                <c:pt idx="35">
                  <c:v>2.0857142857142859</c:v>
                </c:pt>
                <c:pt idx="36">
                  <c:v>2.0555555555555554</c:v>
                </c:pt>
                <c:pt idx="37">
                  <c:v>2.0810810810810811</c:v>
                </c:pt>
                <c:pt idx="38">
                  <c:v>2.0526315789473686</c:v>
                </c:pt>
                <c:pt idx="39">
                  <c:v>2.0512820512820511</c:v>
                </c:pt>
                <c:pt idx="40">
                  <c:v>2.0750000000000002</c:v>
                </c:pt>
                <c:pt idx="41">
                  <c:v>2.0975609756097562</c:v>
                </c:pt>
                <c:pt idx="42">
                  <c:v>2.1190476190476191</c:v>
                </c:pt>
                <c:pt idx="43">
                  <c:v>2.0930232558139537</c:v>
                </c:pt>
                <c:pt idx="44">
                  <c:v>2.0681818181818183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ぱぱ2!$E$3:$E$47</c:f>
              <c:numCache>
                <c:formatCode>0.0%</c:formatCode>
                <c:ptCount val="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0.17647058823529413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0.23076923076923078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0.27586206896551724</c:v>
                </c:pt>
                <c:pt idx="30">
                  <c:v>0.26666666666666666</c:v>
                </c:pt>
                <c:pt idx="31">
                  <c:v>0.25806451612903225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0.28205128205128205</c:v>
                </c:pt>
                <c:pt idx="40">
                  <c:v>0.27500000000000002</c:v>
                </c:pt>
                <c:pt idx="41">
                  <c:v>0.26829268292682928</c:v>
                </c:pt>
                <c:pt idx="42">
                  <c:v>0.26190476190476192</c:v>
                </c:pt>
                <c:pt idx="43">
                  <c:v>0.27906976744186046</c:v>
                </c:pt>
                <c:pt idx="44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ぱぱ2!$F$3:$F$47</c:f>
              <c:numCache>
                <c:formatCode>0.0%</c:formatCode>
                <c:ptCount val="4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0.33333333333333331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0.38095238095238093</c:v>
                </c:pt>
                <c:pt idx="43">
                  <c:v>0.37209302325581395</c:v>
                </c:pt>
                <c:pt idx="44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ぱぱ2!$G$3:$G$47</c:f>
              <c:numCache>
                <c:formatCode>0.0%</c:formatCode>
                <c:ptCount val="45"/>
                <c:pt idx="1">
                  <c:v>0.14285714285714285</c:v>
                </c:pt>
                <c:pt idx="2">
                  <c:v>0.26315789473684209</c:v>
                </c:pt>
                <c:pt idx="3">
                  <c:v>0.18518518518518517</c:v>
                </c:pt>
                <c:pt idx="4">
                  <c:v>0.23076923076923078</c:v>
                </c:pt>
                <c:pt idx="5">
                  <c:v>0.19148936170212766</c:v>
                </c:pt>
                <c:pt idx="6">
                  <c:v>0.18518518518518517</c:v>
                </c:pt>
                <c:pt idx="7">
                  <c:v>0.203125</c:v>
                </c:pt>
                <c:pt idx="8">
                  <c:v>0.24324324324324326</c:v>
                </c:pt>
                <c:pt idx="9">
                  <c:v>0.23809523809523808</c:v>
                </c:pt>
                <c:pt idx="10">
                  <c:v>0.25773195876288657</c:v>
                </c:pt>
                <c:pt idx="11">
                  <c:v>0.27184466019417475</c:v>
                </c:pt>
                <c:pt idx="12">
                  <c:v>0.2831858407079646</c:v>
                </c:pt>
                <c:pt idx="13">
                  <c:v>0.27350427350427353</c:v>
                </c:pt>
                <c:pt idx="14">
                  <c:v>0.27777777777777779</c:v>
                </c:pt>
                <c:pt idx="15">
                  <c:v>0.28358208955223879</c:v>
                </c:pt>
                <c:pt idx="16">
                  <c:v>0.2857142857142857</c:v>
                </c:pt>
                <c:pt idx="17">
                  <c:v>0.28387096774193549</c:v>
                </c:pt>
                <c:pt idx="18">
                  <c:v>0.29518072289156627</c:v>
                </c:pt>
                <c:pt idx="19">
                  <c:v>0.29142857142857143</c:v>
                </c:pt>
                <c:pt idx="20">
                  <c:v>0.29411764705882354</c:v>
                </c:pt>
                <c:pt idx="21">
                  <c:v>0.28865979381443296</c:v>
                </c:pt>
                <c:pt idx="22">
                  <c:v>0.28499999999999998</c:v>
                </c:pt>
                <c:pt idx="23">
                  <c:v>0.28640776699029125</c:v>
                </c:pt>
                <c:pt idx="24">
                  <c:v>0.28837209302325584</c:v>
                </c:pt>
                <c:pt idx="25">
                  <c:v>0.28378378378378377</c:v>
                </c:pt>
                <c:pt idx="26">
                  <c:v>0.29310344827586204</c:v>
                </c:pt>
                <c:pt idx="27">
                  <c:v>0.29875518672199169</c:v>
                </c:pt>
                <c:pt idx="28">
                  <c:v>0.30399999999999999</c:v>
                </c:pt>
                <c:pt idx="29">
                  <c:v>0.31395348837209303</c:v>
                </c:pt>
                <c:pt idx="30">
                  <c:v>0.30566037735849055</c:v>
                </c:pt>
                <c:pt idx="31">
                  <c:v>0.30656934306569344</c:v>
                </c:pt>
                <c:pt idx="32">
                  <c:v>0.30960854092526691</c:v>
                </c:pt>
                <c:pt idx="33">
                  <c:v>0.31506849315068491</c:v>
                </c:pt>
                <c:pt idx="34">
                  <c:v>0.30592105263157893</c:v>
                </c:pt>
                <c:pt idx="35">
                  <c:v>0.30769230769230771</c:v>
                </c:pt>
                <c:pt idx="36">
                  <c:v>0.30721003134796238</c:v>
                </c:pt>
                <c:pt idx="37">
                  <c:v>0.30182926829268292</c:v>
                </c:pt>
                <c:pt idx="38">
                  <c:v>0.30357142857142855</c:v>
                </c:pt>
                <c:pt idx="39">
                  <c:v>0.30116959064327486</c:v>
                </c:pt>
                <c:pt idx="40">
                  <c:v>0.29682997118155618</c:v>
                </c:pt>
                <c:pt idx="41">
                  <c:v>0.29295774647887324</c:v>
                </c:pt>
                <c:pt idx="42">
                  <c:v>0.29201101928374656</c:v>
                </c:pt>
                <c:pt idx="43">
                  <c:v>0.29599999999999999</c:v>
                </c:pt>
                <c:pt idx="44">
                  <c:v>0.29842931937172773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ぱぱ2!$H$3:$H$47</c:f>
              <c:numCache>
                <c:formatCode>0.0%</c:formatCode>
                <c:ptCount val="45"/>
                <c:pt idx="1">
                  <c:v>0.2857142857142857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0.23076923076923078</c:v>
                </c:pt>
                <c:pt idx="5">
                  <c:v>0.23404255319148937</c:v>
                </c:pt>
                <c:pt idx="6">
                  <c:v>0.22222222222222221</c:v>
                </c:pt>
                <c:pt idx="7">
                  <c:v>0.203125</c:v>
                </c:pt>
                <c:pt idx="8">
                  <c:v>0.1891891891891892</c:v>
                </c:pt>
                <c:pt idx="9">
                  <c:v>0.21428571428571427</c:v>
                </c:pt>
                <c:pt idx="10">
                  <c:v>0.23711340206185566</c:v>
                </c:pt>
                <c:pt idx="11">
                  <c:v>0.24271844660194175</c:v>
                </c:pt>
                <c:pt idx="12">
                  <c:v>0.24778761061946902</c:v>
                </c:pt>
                <c:pt idx="13">
                  <c:v>0.23931623931623933</c:v>
                </c:pt>
                <c:pt idx="14">
                  <c:v>0.23809523809523808</c:v>
                </c:pt>
                <c:pt idx="15">
                  <c:v>0.2462686567164179</c:v>
                </c:pt>
                <c:pt idx="16">
                  <c:v>0.24285714285714285</c:v>
                </c:pt>
                <c:pt idx="17">
                  <c:v>0.23870967741935484</c:v>
                </c:pt>
                <c:pt idx="18">
                  <c:v>0.2289156626506024</c:v>
                </c:pt>
                <c:pt idx="19">
                  <c:v>0.21714285714285714</c:v>
                </c:pt>
                <c:pt idx="20">
                  <c:v>0.21390374331550802</c:v>
                </c:pt>
                <c:pt idx="21">
                  <c:v>0.21134020618556701</c:v>
                </c:pt>
                <c:pt idx="22">
                  <c:v>0.215</c:v>
                </c:pt>
                <c:pt idx="23">
                  <c:v>0.21359223300970873</c:v>
                </c:pt>
                <c:pt idx="24">
                  <c:v>0.21860465116279071</c:v>
                </c:pt>
                <c:pt idx="25">
                  <c:v>0.22072072072072071</c:v>
                </c:pt>
                <c:pt idx="26">
                  <c:v>0.21120689655172414</c:v>
                </c:pt>
                <c:pt idx="27">
                  <c:v>0.2074688796680498</c:v>
                </c:pt>
                <c:pt idx="28">
                  <c:v>0.2</c:v>
                </c:pt>
                <c:pt idx="29">
                  <c:v>0.19379844961240311</c:v>
                </c:pt>
                <c:pt idx="30">
                  <c:v>0.18867924528301888</c:v>
                </c:pt>
                <c:pt idx="31">
                  <c:v>0.18978102189781021</c:v>
                </c:pt>
                <c:pt idx="32">
                  <c:v>0.19217081850533807</c:v>
                </c:pt>
                <c:pt idx="33">
                  <c:v>0.18493150684931506</c:v>
                </c:pt>
                <c:pt idx="34">
                  <c:v>0.18421052631578946</c:v>
                </c:pt>
                <c:pt idx="35">
                  <c:v>0.1858974358974359</c:v>
                </c:pt>
                <c:pt idx="36">
                  <c:v>0.18495297805642633</c:v>
                </c:pt>
                <c:pt idx="37">
                  <c:v>0.18902439024390244</c:v>
                </c:pt>
                <c:pt idx="38">
                  <c:v>0.19047619047619047</c:v>
                </c:pt>
                <c:pt idx="39">
                  <c:v>0.19005847953216373</c:v>
                </c:pt>
                <c:pt idx="40">
                  <c:v>0.1930835734870317</c:v>
                </c:pt>
                <c:pt idx="41">
                  <c:v>0.19154929577464788</c:v>
                </c:pt>
                <c:pt idx="42">
                  <c:v>0.1928374655647383</c:v>
                </c:pt>
                <c:pt idx="43">
                  <c:v>0.18666666666666668</c:v>
                </c:pt>
                <c:pt idx="44">
                  <c:v>0.18586387434554974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735042735042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ぱぱ2!$I$3:$I$47</c:f>
              <c:numCache>
                <c:formatCode>0</c:formatCode>
                <c:ptCount val="45"/>
                <c:pt idx="1">
                  <c:v>4000</c:v>
                </c:pt>
                <c:pt idx="2">
                  <c:v>4220</c:v>
                </c:pt>
                <c:pt idx="3">
                  <c:v>4220</c:v>
                </c:pt>
                <c:pt idx="4">
                  <c:v>3633.3333333333335</c:v>
                </c:pt>
                <c:pt idx="5">
                  <c:v>3633.3333333333335</c:v>
                </c:pt>
                <c:pt idx="6">
                  <c:v>3850</c:v>
                </c:pt>
                <c:pt idx="7">
                  <c:v>4323.0769230769229</c:v>
                </c:pt>
                <c:pt idx="8">
                  <c:v>4200</c:v>
                </c:pt>
                <c:pt idx="9">
                  <c:v>4085</c:v>
                </c:pt>
                <c:pt idx="10">
                  <c:v>4756</c:v>
                </c:pt>
                <c:pt idx="11">
                  <c:v>4528.5714285714284</c:v>
                </c:pt>
                <c:pt idx="12">
                  <c:v>5150</c:v>
                </c:pt>
                <c:pt idx="13">
                  <c:v>5150</c:v>
                </c:pt>
                <c:pt idx="14">
                  <c:v>5451.4285714285716</c:v>
                </c:pt>
                <c:pt idx="15">
                  <c:v>5676.3157894736842</c:v>
                </c:pt>
                <c:pt idx="16">
                  <c:v>5682.5</c:v>
                </c:pt>
                <c:pt idx="17">
                  <c:v>6311.363636363636</c:v>
                </c:pt>
                <c:pt idx="18">
                  <c:v>6236.7346938775509</c:v>
                </c:pt>
                <c:pt idx="19">
                  <c:v>6084.3137254901958</c:v>
                </c:pt>
                <c:pt idx="20">
                  <c:v>6392.727272727273</c:v>
                </c:pt>
                <c:pt idx="21">
                  <c:v>6416.0714285714284</c:v>
                </c:pt>
                <c:pt idx="22">
                  <c:v>6438.5964912280706</c:v>
                </c:pt>
                <c:pt idx="23">
                  <c:v>6422.0338983050851</c:v>
                </c:pt>
                <c:pt idx="24">
                  <c:v>6398.3870967741932</c:v>
                </c:pt>
                <c:pt idx="25">
                  <c:v>6344.4444444444443</c:v>
                </c:pt>
                <c:pt idx="26">
                  <c:v>6410.2941176470586</c:v>
                </c:pt>
                <c:pt idx="27">
                  <c:v>6411.1111111111113</c:v>
                </c:pt>
                <c:pt idx="28">
                  <c:v>6494.7368421052633</c:v>
                </c:pt>
                <c:pt idx="29">
                  <c:v>6746.9135802469136</c:v>
                </c:pt>
                <c:pt idx="30">
                  <c:v>6746.9135802469136</c:v>
                </c:pt>
                <c:pt idx="31">
                  <c:v>6801.1904761904761</c:v>
                </c:pt>
                <c:pt idx="32">
                  <c:v>6758.6206896551721</c:v>
                </c:pt>
                <c:pt idx="33">
                  <c:v>6772.826086956522</c:v>
                </c:pt>
                <c:pt idx="34">
                  <c:v>6829.0322580645161</c:v>
                </c:pt>
                <c:pt idx="35">
                  <c:v>6813.541666666667</c:v>
                </c:pt>
                <c:pt idx="36">
                  <c:v>6919.3877551020405</c:v>
                </c:pt>
                <c:pt idx="37">
                  <c:v>6966.666666666667</c:v>
                </c:pt>
                <c:pt idx="38">
                  <c:v>6886.2745098039213</c:v>
                </c:pt>
                <c:pt idx="39">
                  <c:v>6838.8349514563106</c:v>
                </c:pt>
                <c:pt idx="40">
                  <c:v>6838.8349514563106</c:v>
                </c:pt>
                <c:pt idx="41">
                  <c:v>7119.2307692307695</c:v>
                </c:pt>
                <c:pt idx="42">
                  <c:v>7135.8490566037735</c:v>
                </c:pt>
                <c:pt idx="43">
                  <c:v>6976.5765765765764</c:v>
                </c:pt>
                <c:pt idx="44">
                  <c:v>6998.2456140350878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89.24501424501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ぱぱ2!$J$3:$J$47</c:f>
              <c:numCache>
                <c:formatCode>0</c:formatCode>
                <c:ptCount val="45"/>
                <c:pt idx="1">
                  <c:v>-20800</c:v>
                </c:pt>
                <c:pt idx="2">
                  <c:v>-14080</c:v>
                </c:pt>
                <c:pt idx="3">
                  <c:v>-12600</c:v>
                </c:pt>
                <c:pt idx="4">
                  <c:v>-11011.111111111111</c:v>
                </c:pt>
                <c:pt idx="5">
                  <c:v>-9836.363636363636</c:v>
                </c:pt>
                <c:pt idx="6">
                  <c:v>-9183.3333333333339</c:v>
                </c:pt>
                <c:pt idx="7">
                  <c:v>-9069.2307692307695</c:v>
                </c:pt>
                <c:pt idx="8">
                  <c:v>-9250</c:v>
                </c:pt>
                <c:pt idx="9">
                  <c:v>-8144.4444444444443</c:v>
                </c:pt>
                <c:pt idx="10">
                  <c:v>-9313.04347826087</c:v>
                </c:pt>
                <c:pt idx="11">
                  <c:v>-9204</c:v>
                </c:pt>
                <c:pt idx="12">
                  <c:v>-8521.4285714285706</c:v>
                </c:pt>
                <c:pt idx="13">
                  <c:v>-8521.4285714285706</c:v>
                </c:pt>
                <c:pt idx="14">
                  <c:v>-8170</c:v>
                </c:pt>
                <c:pt idx="15">
                  <c:v>-7996.969696969697</c:v>
                </c:pt>
                <c:pt idx="16">
                  <c:v>-8114.7058823529414</c:v>
                </c:pt>
                <c:pt idx="17">
                  <c:v>-8067.5675675675675</c:v>
                </c:pt>
                <c:pt idx="18">
                  <c:v>-7992.105263157895</c:v>
                </c:pt>
                <c:pt idx="19">
                  <c:v>-7992.105263157895</c:v>
                </c:pt>
                <c:pt idx="20">
                  <c:v>-7957.5</c:v>
                </c:pt>
                <c:pt idx="21">
                  <c:v>-7951.2195121951218</c:v>
                </c:pt>
                <c:pt idx="22">
                  <c:v>-8441.8604651162786</c:v>
                </c:pt>
                <c:pt idx="23">
                  <c:v>-8295.454545454546</c:v>
                </c:pt>
                <c:pt idx="24">
                  <c:v>-8182.9787234042551</c:v>
                </c:pt>
                <c:pt idx="25">
                  <c:v>-8295.9183673469379</c:v>
                </c:pt>
                <c:pt idx="26">
                  <c:v>-8295.9183673469379</c:v>
                </c:pt>
                <c:pt idx="27">
                  <c:v>-8208</c:v>
                </c:pt>
                <c:pt idx="28">
                  <c:v>-8208</c:v>
                </c:pt>
                <c:pt idx="29">
                  <c:v>-8208</c:v>
                </c:pt>
                <c:pt idx="30">
                  <c:v>-8208</c:v>
                </c:pt>
                <c:pt idx="31">
                  <c:v>-8353.8461538461543</c:v>
                </c:pt>
                <c:pt idx="32">
                  <c:v>-8177.7777777777774</c:v>
                </c:pt>
                <c:pt idx="33">
                  <c:v>-8177.7777777777774</c:v>
                </c:pt>
                <c:pt idx="34">
                  <c:v>-7957.1428571428569</c:v>
                </c:pt>
                <c:pt idx="35">
                  <c:v>-7934.4827586206893</c:v>
                </c:pt>
                <c:pt idx="36">
                  <c:v>-7866.1016949152545</c:v>
                </c:pt>
                <c:pt idx="37">
                  <c:v>-7904.8387096774195</c:v>
                </c:pt>
                <c:pt idx="38">
                  <c:v>-7779.6875</c:v>
                </c:pt>
                <c:pt idx="39">
                  <c:v>-7690.7692307692305</c:v>
                </c:pt>
                <c:pt idx="40">
                  <c:v>-7625.373134328358</c:v>
                </c:pt>
                <c:pt idx="41">
                  <c:v>-7689.7058823529414</c:v>
                </c:pt>
                <c:pt idx="42">
                  <c:v>-7807.1428571428569</c:v>
                </c:pt>
                <c:pt idx="43">
                  <c:v>-7807.1428571428569</c:v>
                </c:pt>
                <c:pt idx="44">
                  <c:v>-7866.1971830985913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10.82802547770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ぱぱ2!$K$3:$K$47</c:f>
              <c:numCache>
                <c:formatCode>0.0%</c:formatCode>
                <c:ptCount val="4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248226950354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ぱぱ2!$L$3:$L$47</c:f>
              <c:numCache>
                <c:formatCode>0.0%</c:formatCode>
                <c:ptCount val="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6.9767441860465115E-2</c:v>
                </c:pt>
                <c:pt idx="44">
                  <c:v>6.8181818181818177E-2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248226950354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ぱぱ2!$M$3:$M$47</c:f>
              <c:numCache>
                <c:formatCode>0.0%</c:formatCode>
                <c:ptCount val="45"/>
                <c:pt idx="1">
                  <c:v>0.14285714285714285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0.17948717948717949</c:v>
                </c:pt>
                <c:pt idx="5">
                  <c:v>0.19148936170212766</c:v>
                </c:pt>
                <c:pt idx="6">
                  <c:v>0.16666666666666666</c:v>
                </c:pt>
                <c:pt idx="7">
                  <c:v>0.140625</c:v>
                </c:pt>
                <c:pt idx="8">
                  <c:v>0.14864864864864866</c:v>
                </c:pt>
                <c:pt idx="9">
                  <c:v>0.14285714285714285</c:v>
                </c:pt>
                <c:pt idx="10">
                  <c:v>0.14432989690721648</c:v>
                </c:pt>
                <c:pt idx="11">
                  <c:v>0.13592233009708737</c:v>
                </c:pt>
                <c:pt idx="12">
                  <c:v>0.15929203539823009</c:v>
                </c:pt>
                <c:pt idx="13">
                  <c:v>0.17094017094017094</c:v>
                </c:pt>
                <c:pt idx="14">
                  <c:v>0.18253968253968253</c:v>
                </c:pt>
                <c:pt idx="15">
                  <c:v>0.19402985074626866</c:v>
                </c:pt>
                <c:pt idx="16">
                  <c:v>0.18571428571428572</c:v>
                </c:pt>
                <c:pt idx="17">
                  <c:v>0.18709677419354839</c:v>
                </c:pt>
                <c:pt idx="18">
                  <c:v>0.19277108433734941</c:v>
                </c:pt>
                <c:pt idx="19">
                  <c:v>0.2</c:v>
                </c:pt>
                <c:pt idx="20">
                  <c:v>0.20855614973262032</c:v>
                </c:pt>
                <c:pt idx="21">
                  <c:v>0.21134020618556701</c:v>
                </c:pt>
                <c:pt idx="22">
                  <c:v>0.215</c:v>
                </c:pt>
                <c:pt idx="23">
                  <c:v>0.20873786407766989</c:v>
                </c:pt>
                <c:pt idx="24">
                  <c:v>0.21860465116279071</c:v>
                </c:pt>
                <c:pt idx="25">
                  <c:v>0.21621621621621623</c:v>
                </c:pt>
                <c:pt idx="26">
                  <c:v>0.22413793103448276</c:v>
                </c:pt>
                <c:pt idx="27">
                  <c:v>0.23236514522821577</c:v>
                </c:pt>
                <c:pt idx="28">
                  <c:v>0.24</c:v>
                </c:pt>
                <c:pt idx="29">
                  <c:v>0.24031007751937986</c:v>
                </c:pt>
                <c:pt idx="30">
                  <c:v>0.2339622641509434</c:v>
                </c:pt>
                <c:pt idx="31">
                  <c:v>0.24087591240875914</c:v>
                </c:pt>
                <c:pt idx="32">
                  <c:v>0.23843416370106763</c:v>
                </c:pt>
                <c:pt idx="33">
                  <c:v>0.23287671232876711</c:v>
                </c:pt>
                <c:pt idx="34">
                  <c:v>0.22697368421052633</c:v>
                </c:pt>
                <c:pt idx="35">
                  <c:v>0.22756410256410256</c:v>
                </c:pt>
                <c:pt idx="36">
                  <c:v>0.23197492163009403</c:v>
                </c:pt>
                <c:pt idx="37">
                  <c:v>0.22865853658536586</c:v>
                </c:pt>
                <c:pt idx="38">
                  <c:v>0.23511904761904762</c:v>
                </c:pt>
                <c:pt idx="39">
                  <c:v>0.23391812865497075</c:v>
                </c:pt>
                <c:pt idx="40">
                  <c:v>0.23054755043227665</c:v>
                </c:pt>
                <c:pt idx="41">
                  <c:v>0.23098591549295774</c:v>
                </c:pt>
                <c:pt idx="42">
                  <c:v>0.22865013774104684</c:v>
                </c:pt>
                <c:pt idx="43">
                  <c:v>0.22933333333333333</c:v>
                </c:pt>
                <c:pt idx="44">
                  <c:v>0.23036649214659685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8846153846153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ぱぱ2!$N$3:$N$47</c:f>
              <c:numCache>
                <c:formatCode>0.0%</c:formatCode>
                <c:ptCount val="45"/>
                <c:pt idx="1">
                  <c:v>0.14285714285714285</c:v>
                </c:pt>
                <c:pt idx="2">
                  <c:v>0.10526315789473684</c:v>
                </c:pt>
                <c:pt idx="3">
                  <c:v>0.1111111111111111</c:v>
                </c:pt>
                <c:pt idx="4">
                  <c:v>0.10256410256410256</c:v>
                </c:pt>
                <c:pt idx="5">
                  <c:v>0.1276595744680851</c:v>
                </c:pt>
                <c:pt idx="6">
                  <c:v>0.14814814814814814</c:v>
                </c:pt>
                <c:pt idx="7">
                  <c:v>0.1875</c:v>
                </c:pt>
                <c:pt idx="8">
                  <c:v>0.21621621621621623</c:v>
                </c:pt>
                <c:pt idx="9">
                  <c:v>0.23809523809523808</c:v>
                </c:pt>
                <c:pt idx="10">
                  <c:v>0.25773195876288657</c:v>
                </c:pt>
                <c:pt idx="11">
                  <c:v>0.25242718446601942</c:v>
                </c:pt>
                <c:pt idx="12">
                  <c:v>0.23008849557522124</c:v>
                </c:pt>
                <c:pt idx="13">
                  <c:v>0.23076923076923078</c:v>
                </c:pt>
                <c:pt idx="14">
                  <c:v>0.23809523809523808</c:v>
                </c:pt>
                <c:pt idx="15">
                  <c:v>0.23134328358208955</c:v>
                </c:pt>
                <c:pt idx="16">
                  <c:v>0.22857142857142856</c:v>
                </c:pt>
                <c:pt idx="17">
                  <c:v>0.22580645161290322</c:v>
                </c:pt>
                <c:pt idx="18">
                  <c:v>0.2289156626506024</c:v>
                </c:pt>
                <c:pt idx="19">
                  <c:v>0.22857142857142856</c:v>
                </c:pt>
                <c:pt idx="20">
                  <c:v>0.22994652406417113</c:v>
                </c:pt>
                <c:pt idx="21">
                  <c:v>0.22164948453608246</c:v>
                </c:pt>
                <c:pt idx="22">
                  <c:v>0.22500000000000001</c:v>
                </c:pt>
                <c:pt idx="23">
                  <c:v>0.23786407766990292</c:v>
                </c:pt>
                <c:pt idx="24">
                  <c:v>0.22790697674418606</c:v>
                </c:pt>
                <c:pt idx="25">
                  <c:v>0.22972972972972974</c:v>
                </c:pt>
                <c:pt idx="26">
                  <c:v>0.22413793103448276</c:v>
                </c:pt>
                <c:pt idx="27">
                  <c:v>0.21991701244813278</c:v>
                </c:pt>
                <c:pt idx="28">
                  <c:v>0.224</c:v>
                </c:pt>
                <c:pt idx="29">
                  <c:v>0.22480620155038761</c:v>
                </c:pt>
                <c:pt idx="30">
                  <c:v>0.23018867924528302</c:v>
                </c:pt>
                <c:pt idx="31">
                  <c:v>0.22992700729927007</c:v>
                </c:pt>
                <c:pt idx="32">
                  <c:v>0.23487544483985764</c:v>
                </c:pt>
                <c:pt idx="33">
                  <c:v>0.25</c:v>
                </c:pt>
                <c:pt idx="34">
                  <c:v>0.25</c:v>
                </c:pt>
                <c:pt idx="35">
                  <c:v>0.25320512820512819</c:v>
                </c:pt>
                <c:pt idx="36">
                  <c:v>0.25391849529780564</c:v>
                </c:pt>
                <c:pt idx="37">
                  <c:v>0.25</c:v>
                </c:pt>
                <c:pt idx="38">
                  <c:v>0.25</c:v>
                </c:pt>
                <c:pt idx="39">
                  <c:v>0.24853801169590642</c:v>
                </c:pt>
                <c:pt idx="40">
                  <c:v>0.25360230547550433</c:v>
                </c:pt>
                <c:pt idx="41">
                  <c:v>0.25352112676056338</c:v>
                </c:pt>
                <c:pt idx="42">
                  <c:v>0.25344352617079891</c:v>
                </c:pt>
                <c:pt idx="43">
                  <c:v>0.26133333333333331</c:v>
                </c:pt>
                <c:pt idx="44">
                  <c:v>0.25654450261780104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1752136752136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ぱぱ2!$O$3:$O$47</c:f>
              <c:numCache>
                <c:formatCode>0.0%</c:formatCode>
                <c:ptCount val="45"/>
                <c:pt idx="1">
                  <c:v>0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0.5714285714285714</c:v>
                </c:pt>
                <c:pt idx="5">
                  <c:v>0.44444444444444442</c:v>
                </c:pt>
                <c:pt idx="6">
                  <c:v>0.44444444444444442</c:v>
                </c:pt>
                <c:pt idx="7">
                  <c:v>0.44444444444444442</c:v>
                </c:pt>
                <c:pt idx="8">
                  <c:v>0.45454545454545453</c:v>
                </c:pt>
                <c:pt idx="9">
                  <c:v>0.41666666666666669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0.45</c:v>
                </c:pt>
                <c:pt idx="14">
                  <c:v>0.47826086956521741</c:v>
                </c:pt>
                <c:pt idx="15">
                  <c:v>0.53846153846153844</c:v>
                </c:pt>
                <c:pt idx="16">
                  <c:v>0.53846153846153844</c:v>
                </c:pt>
                <c:pt idx="17">
                  <c:v>0.55172413793103448</c:v>
                </c:pt>
                <c:pt idx="18">
                  <c:v>0.5625</c:v>
                </c:pt>
                <c:pt idx="19">
                  <c:v>0.54285714285714282</c:v>
                </c:pt>
                <c:pt idx="20">
                  <c:v>0.53846153846153844</c:v>
                </c:pt>
                <c:pt idx="21">
                  <c:v>0.53658536585365857</c:v>
                </c:pt>
                <c:pt idx="22">
                  <c:v>0.53488372093023251</c:v>
                </c:pt>
                <c:pt idx="23">
                  <c:v>0.53488372093023251</c:v>
                </c:pt>
                <c:pt idx="24">
                  <c:v>0.55319148936170215</c:v>
                </c:pt>
                <c:pt idx="25">
                  <c:v>0.54166666666666663</c:v>
                </c:pt>
                <c:pt idx="26">
                  <c:v>0.57692307692307687</c:v>
                </c:pt>
                <c:pt idx="27">
                  <c:v>0.5892857142857143</c:v>
                </c:pt>
                <c:pt idx="28">
                  <c:v>0.58333333333333337</c:v>
                </c:pt>
                <c:pt idx="29">
                  <c:v>0.59677419354838712</c:v>
                </c:pt>
                <c:pt idx="30">
                  <c:v>0.59677419354838712</c:v>
                </c:pt>
                <c:pt idx="31">
                  <c:v>0.60606060606060608</c:v>
                </c:pt>
                <c:pt idx="32">
                  <c:v>0.59701492537313428</c:v>
                </c:pt>
                <c:pt idx="33">
                  <c:v>0.6029411764705882</c:v>
                </c:pt>
                <c:pt idx="34">
                  <c:v>0.59420289855072461</c:v>
                </c:pt>
                <c:pt idx="35">
                  <c:v>0.60563380281690138</c:v>
                </c:pt>
                <c:pt idx="36">
                  <c:v>0.60810810810810811</c:v>
                </c:pt>
                <c:pt idx="37">
                  <c:v>0.61333333333333329</c:v>
                </c:pt>
                <c:pt idx="38">
                  <c:v>0.60759493670886078</c:v>
                </c:pt>
                <c:pt idx="39">
                  <c:v>0.6</c:v>
                </c:pt>
                <c:pt idx="40">
                  <c:v>0.6</c:v>
                </c:pt>
                <c:pt idx="41">
                  <c:v>0.59756097560975607</c:v>
                </c:pt>
                <c:pt idx="42">
                  <c:v>0.59036144578313254</c:v>
                </c:pt>
                <c:pt idx="43">
                  <c:v>0.59302325581395354</c:v>
                </c:pt>
                <c:pt idx="44">
                  <c:v>0.59090909090909094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237547892720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ぱぱ2!$P$3:$P$47</c:f>
              <c:numCache>
                <c:formatCode>0.0%</c:formatCode>
                <c:ptCount val="45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0.16666666666666666</c:v>
                </c:pt>
                <c:pt idx="6">
                  <c:v>0.25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0.3</c:v>
                </c:pt>
                <c:pt idx="10">
                  <c:v>0.36</c:v>
                </c:pt>
                <c:pt idx="11">
                  <c:v>0.38461538461538464</c:v>
                </c:pt>
                <c:pt idx="12">
                  <c:v>0.38461538461538464</c:v>
                </c:pt>
                <c:pt idx="13">
                  <c:v>0.37037037037037035</c:v>
                </c:pt>
                <c:pt idx="14">
                  <c:v>0.33333333333333331</c:v>
                </c:pt>
                <c:pt idx="15">
                  <c:v>0.32258064516129031</c:v>
                </c:pt>
                <c:pt idx="16">
                  <c:v>0.3125</c:v>
                </c:pt>
                <c:pt idx="17">
                  <c:v>0.31428571428571428</c:v>
                </c:pt>
                <c:pt idx="18">
                  <c:v>0.34210526315789475</c:v>
                </c:pt>
                <c:pt idx="19">
                  <c:v>0.32500000000000001</c:v>
                </c:pt>
                <c:pt idx="20">
                  <c:v>0.34883720930232559</c:v>
                </c:pt>
                <c:pt idx="21">
                  <c:v>0.34883720930232559</c:v>
                </c:pt>
                <c:pt idx="22">
                  <c:v>0.33333333333333331</c:v>
                </c:pt>
                <c:pt idx="23">
                  <c:v>0.32653061224489793</c:v>
                </c:pt>
                <c:pt idx="24">
                  <c:v>0.32653061224489793</c:v>
                </c:pt>
                <c:pt idx="25">
                  <c:v>0.33333333333333331</c:v>
                </c:pt>
                <c:pt idx="26">
                  <c:v>0.34615384615384615</c:v>
                </c:pt>
                <c:pt idx="27">
                  <c:v>0.33962264150943394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0.32786885245901637</c:v>
                </c:pt>
                <c:pt idx="31">
                  <c:v>0.31746031746031744</c:v>
                </c:pt>
                <c:pt idx="32">
                  <c:v>0.33333333333333331</c:v>
                </c:pt>
                <c:pt idx="33">
                  <c:v>0.34246575342465752</c:v>
                </c:pt>
                <c:pt idx="34">
                  <c:v>0.34210526315789475</c:v>
                </c:pt>
                <c:pt idx="35">
                  <c:v>0.34177215189873417</c:v>
                </c:pt>
                <c:pt idx="36">
                  <c:v>0.33333333333333331</c:v>
                </c:pt>
                <c:pt idx="37">
                  <c:v>0.32926829268292684</c:v>
                </c:pt>
                <c:pt idx="38">
                  <c:v>0.33333333333333331</c:v>
                </c:pt>
                <c:pt idx="39">
                  <c:v>0.3411764705882353</c:v>
                </c:pt>
                <c:pt idx="40">
                  <c:v>0.32954545454545453</c:v>
                </c:pt>
                <c:pt idx="41">
                  <c:v>0.32222222222222224</c:v>
                </c:pt>
                <c:pt idx="42">
                  <c:v>0.32608695652173914</c:v>
                </c:pt>
                <c:pt idx="43">
                  <c:v>0.33673469387755101</c:v>
                </c:pt>
                <c:pt idx="44">
                  <c:v>0.33673469387755101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1523713420787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ぱぱ2!$Q$3:$Q$47</c:f>
              <c:numCache>
                <c:formatCode>0.0%</c:formatCode>
                <c:ptCount val="45"/>
                <c:pt idx="1">
                  <c:v>1</c:v>
                </c:pt>
                <c:pt idx="2">
                  <c:v>0.8</c:v>
                </c:pt>
                <c:pt idx="3">
                  <c:v>0.8</c:v>
                </c:pt>
                <c:pt idx="4">
                  <c:v>0.77777777777777779</c:v>
                </c:pt>
                <c:pt idx="5">
                  <c:v>0.77777777777777779</c:v>
                </c:pt>
                <c:pt idx="6">
                  <c:v>0.7</c:v>
                </c:pt>
                <c:pt idx="7">
                  <c:v>0.61538461538461542</c:v>
                </c:pt>
                <c:pt idx="8">
                  <c:v>0.55555555555555558</c:v>
                </c:pt>
                <c:pt idx="9">
                  <c:v>0.6</c:v>
                </c:pt>
                <c:pt idx="10">
                  <c:v>0.52</c:v>
                </c:pt>
                <c:pt idx="11">
                  <c:v>0.5</c:v>
                </c:pt>
                <c:pt idx="12">
                  <c:v>0.53125</c:v>
                </c:pt>
                <c:pt idx="13">
                  <c:v>0.53125</c:v>
                </c:pt>
                <c:pt idx="14">
                  <c:v>0.51428571428571423</c:v>
                </c:pt>
                <c:pt idx="15">
                  <c:v>0.52631578947368418</c:v>
                </c:pt>
                <c:pt idx="16">
                  <c:v>0.5</c:v>
                </c:pt>
                <c:pt idx="17">
                  <c:v>0.5</c:v>
                </c:pt>
                <c:pt idx="18">
                  <c:v>0.48979591836734693</c:v>
                </c:pt>
                <c:pt idx="19">
                  <c:v>0.49019607843137253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0.50877192982456143</c:v>
                </c:pt>
                <c:pt idx="23">
                  <c:v>0.50847457627118642</c:v>
                </c:pt>
                <c:pt idx="24">
                  <c:v>0.5</c:v>
                </c:pt>
                <c:pt idx="25">
                  <c:v>0.50793650793650791</c:v>
                </c:pt>
                <c:pt idx="26">
                  <c:v>0.51470588235294112</c:v>
                </c:pt>
                <c:pt idx="27">
                  <c:v>0.51388888888888884</c:v>
                </c:pt>
                <c:pt idx="28">
                  <c:v>0.51315789473684215</c:v>
                </c:pt>
                <c:pt idx="29">
                  <c:v>0.51851851851851849</c:v>
                </c:pt>
                <c:pt idx="30">
                  <c:v>0.51851851851851849</c:v>
                </c:pt>
                <c:pt idx="31">
                  <c:v>0.51190476190476186</c:v>
                </c:pt>
                <c:pt idx="32">
                  <c:v>0.51724137931034486</c:v>
                </c:pt>
                <c:pt idx="33">
                  <c:v>0.53260869565217395</c:v>
                </c:pt>
                <c:pt idx="34">
                  <c:v>0.5268817204301075</c:v>
                </c:pt>
                <c:pt idx="35">
                  <c:v>0.52083333333333337</c:v>
                </c:pt>
                <c:pt idx="36">
                  <c:v>0.52040816326530615</c:v>
                </c:pt>
                <c:pt idx="37">
                  <c:v>0.51515151515151514</c:v>
                </c:pt>
                <c:pt idx="38">
                  <c:v>0.51960784313725494</c:v>
                </c:pt>
                <c:pt idx="39">
                  <c:v>0.5145631067961165</c:v>
                </c:pt>
                <c:pt idx="40">
                  <c:v>0.5145631067961165</c:v>
                </c:pt>
                <c:pt idx="41">
                  <c:v>0.51923076923076927</c:v>
                </c:pt>
                <c:pt idx="42">
                  <c:v>0.51886792452830188</c:v>
                </c:pt>
                <c:pt idx="43">
                  <c:v>0.50450450450450446</c:v>
                </c:pt>
                <c:pt idx="44">
                  <c:v>0.50877192982456143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185185185185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1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43607.939467592594</v>
      </c>
      <c r="C44" s="30" t="s">
        <v>130</v>
      </c>
    </row>
    <row r="45" spans="1:11" x14ac:dyDescent="0.4">
      <c r="A45" s="30" t="s">
        <v>232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43608.535393518519</v>
      </c>
      <c r="C47" s="30" t="s">
        <v>130</v>
      </c>
    </row>
    <row r="48" spans="1:11" x14ac:dyDescent="0.4">
      <c r="A48" s="30" t="s">
        <v>237</v>
      </c>
      <c r="B48" s="31">
        <v>43609.017604166664</v>
      </c>
      <c r="C48" s="30" t="s">
        <v>130</v>
      </c>
    </row>
    <row r="49" spans="1:7" x14ac:dyDescent="0.4">
      <c r="A49" s="30" t="s">
        <v>236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238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239</v>
      </c>
      <c r="B51" s="31">
        <v>43611.023449074077</v>
      </c>
      <c r="C51" s="30" t="s">
        <v>130</v>
      </c>
      <c r="D51" s="30" t="s">
        <v>131</v>
      </c>
      <c r="E51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564</v>
      </c>
    </row>
    <row r="2" spans="1:2" x14ac:dyDescent="0.4">
      <c r="A2" t="s">
        <v>127</v>
      </c>
      <c r="B2">
        <v>126</v>
      </c>
    </row>
    <row r="3" spans="1:2" x14ac:dyDescent="0.4">
      <c r="A3" t="s">
        <v>128</v>
      </c>
      <c r="B3">
        <v>115</v>
      </c>
    </row>
    <row r="4" spans="1:2" x14ac:dyDescent="0.4">
      <c r="A4" t="s">
        <v>129</v>
      </c>
      <c r="B4">
        <v>66</v>
      </c>
    </row>
    <row r="5" spans="1:2" x14ac:dyDescent="0.4">
      <c r="A5" t="s">
        <v>171</v>
      </c>
      <c r="B5">
        <v>78</v>
      </c>
    </row>
    <row r="6" spans="1:2" x14ac:dyDescent="0.4">
      <c r="A6" t="s">
        <v>172</v>
      </c>
      <c r="B6">
        <v>62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47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0.45420888163477763</v>
      </c>
      <c r="G2" s="155"/>
      <c r="H2" s="154">
        <v>0.24563574668051066</v>
      </c>
      <c r="I2" s="155"/>
      <c r="J2" s="154">
        <v>0.53949139108017641</v>
      </c>
      <c r="K2" s="155"/>
      <c r="L2" s="154">
        <v>0.17289046857150381</v>
      </c>
      <c r="M2" s="155"/>
      <c r="N2" s="154">
        <v>0.36543339169387146</v>
      </c>
      <c r="O2" s="155"/>
      <c r="P2" s="154">
        <v>0.46522861981011138</v>
      </c>
      <c r="Q2" s="155"/>
      <c r="R2" s="154">
        <v>9.7319717356955701E-2</v>
      </c>
      <c r="S2" s="155"/>
      <c r="T2" s="154">
        <v>0.12101982024199719</v>
      </c>
      <c r="U2" s="155"/>
      <c r="V2" s="154">
        <v>0.6388505814785822</v>
      </c>
      <c r="W2" s="155"/>
      <c r="X2" s="154">
        <v>0.79300586183256783</v>
      </c>
      <c r="Y2" s="155"/>
      <c r="Z2" s="154">
        <v>-0.16367852711982936</v>
      </c>
      <c r="AA2" s="155"/>
      <c r="AB2" s="154">
        <v>-0.39767310376275439</v>
      </c>
      <c r="AC2" s="155"/>
      <c r="AD2" s="154">
        <v>6.552273124519413E-2</v>
      </c>
      <c r="AE2" s="155"/>
      <c r="AF2" s="154">
        <v>-0.56396178648234085</v>
      </c>
      <c r="AG2" s="155"/>
      <c r="AH2" s="154">
        <v>0.66458190732887745</v>
      </c>
      <c r="AI2" s="155"/>
    </row>
    <row r="3" spans="1:35" x14ac:dyDescent="0.4">
      <c r="A3" s="74">
        <v>1</v>
      </c>
      <c r="B3" s="75" t="s">
        <v>127</v>
      </c>
      <c r="C3" s="76">
        <v>1666.5000000000011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0.17460317460317459</v>
      </c>
      <c r="X3" s="77" t="s">
        <v>225</v>
      </c>
      <c r="Y3" s="80">
        <v>0.375</v>
      </c>
      <c r="Z3" s="77" t="s">
        <v>172</v>
      </c>
      <c r="AA3" s="80">
        <v>0.29532710280373831</v>
      </c>
      <c r="AB3" s="77" t="s">
        <v>225</v>
      </c>
      <c r="AC3" s="80">
        <v>1</v>
      </c>
      <c r="AD3" s="77" t="s">
        <v>127</v>
      </c>
      <c r="AE3" s="80">
        <v>0.51541850220264318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94.299999999999983</v>
      </c>
      <c r="D4" s="85" t="s">
        <v>224</v>
      </c>
      <c r="E4" s="97">
        <v>13.3</v>
      </c>
      <c r="F4" s="85" t="s">
        <v>127</v>
      </c>
      <c r="G4" s="86">
        <v>1.7222222222222223</v>
      </c>
      <c r="H4" s="85" t="s">
        <v>127</v>
      </c>
      <c r="I4" s="87">
        <v>0.5</v>
      </c>
      <c r="J4" s="85" t="s">
        <v>224</v>
      </c>
      <c r="K4" s="87">
        <v>0</v>
      </c>
      <c r="L4" s="85" t="s">
        <v>172</v>
      </c>
      <c r="M4" s="88">
        <v>0.35887850467289717</v>
      </c>
      <c r="N4" s="85" t="s">
        <v>185</v>
      </c>
      <c r="O4" s="88">
        <v>0.10526315789473684</v>
      </c>
      <c r="P4" s="85" t="s">
        <v>171</v>
      </c>
      <c r="Q4" s="89">
        <v>10057.92349726776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0.12820512820512819</v>
      </c>
      <c r="X4" s="85" t="s">
        <v>127</v>
      </c>
      <c r="Y4" s="88">
        <v>0.32612966601178783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177</v>
      </c>
      <c r="C5" s="84">
        <v>71.099999999999994</v>
      </c>
      <c r="D5" s="85" t="s">
        <v>127</v>
      </c>
      <c r="E5" s="97">
        <v>13.226190476190485</v>
      </c>
      <c r="F5" s="85" t="s">
        <v>177</v>
      </c>
      <c r="G5" s="86">
        <v>1.9361702127659575</v>
      </c>
      <c r="H5" s="85" t="s">
        <v>177</v>
      </c>
      <c r="I5" s="87">
        <v>0.38297872340425532</v>
      </c>
      <c r="J5" s="85" t="s">
        <v>202</v>
      </c>
      <c r="K5" s="87">
        <v>0.14285714285714285</v>
      </c>
      <c r="L5" s="85" t="s">
        <v>127</v>
      </c>
      <c r="M5" s="88">
        <v>0.3526522593320236</v>
      </c>
      <c r="N5" s="85" t="s">
        <v>172</v>
      </c>
      <c r="O5" s="88">
        <v>0.12897196261682242</v>
      </c>
      <c r="P5" s="85" t="s">
        <v>128</v>
      </c>
      <c r="Q5" s="89">
        <v>9304.2635658914733</v>
      </c>
      <c r="R5" s="85" t="s">
        <v>177</v>
      </c>
      <c r="S5" s="89">
        <v>-7621.311475409836</v>
      </c>
      <c r="T5" s="85" t="s">
        <v>224</v>
      </c>
      <c r="U5" s="87">
        <v>0</v>
      </c>
      <c r="V5" s="85" t="s">
        <v>145</v>
      </c>
      <c r="W5" s="87">
        <v>0.11524822695035461</v>
      </c>
      <c r="X5" s="85" t="s">
        <v>128</v>
      </c>
      <c r="Y5" s="88">
        <v>0.29778247096092925</v>
      </c>
      <c r="Z5" s="85" t="s">
        <v>173</v>
      </c>
      <c r="AA5" s="88">
        <v>0.25654450261780104</v>
      </c>
      <c r="AB5" s="85" t="s">
        <v>186</v>
      </c>
      <c r="AC5" s="88">
        <v>0.6785714285714286</v>
      </c>
      <c r="AD5" s="85" t="s">
        <v>172</v>
      </c>
      <c r="AE5" s="88">
        <v>0.44303797468354428</v>
      </c>
      <c r="AF5" s="85" t="s">
        <v>186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185</v>
      </c>
      <c r="C6" s="84">
        <v>61</v>
      </c>
      <c r="D6" s="85" t="s">
        <v>177</v>
      </c>
      <c r="E6" s="97">
        <v>1.5127659574468084</v>
      </c>
      <c r="F6" s="85" t="s">
        <v>145</v>
      </c>
      <c r="G6" s="86">
        <v>2</v>
      </c>
      <c r="H6" s="85" t="s">
        <v>186</v>
      </c>
      <c r="I6" s="87">
        <v>0.35714285714285715</v>
      </c>
      <c r="J6" s="85" t="s">
        <v>127</v>
      </c>
      <c r="K6" s="87">
        <v>0.22222222222222221</v>
      </c>
      <c r="L6" s="85" t="s">
        <v>202</v>
      </c>
      <c r="M6" s="88">
        <v>0.30434782608695654</v>
      </c>
      <c r="N6" s="85" t="s">
        <v>127</v>
      </c>
      <c r="O6" s="88">
        <v>0.15422396856581533</v>
      </c>
      <c r="P6" s="85" t="s">
        <v>127</v>
      </c>
      <c r="Q6" s="89">
        <v>9180.5013927576601</v>
      </c>
      <c r="R6" s="85" t="s">
        <v>128</v>
      </c>
      <c r="S6" s="89">
        <v>-7741.1042944785277</v>
      </c>
      <c r="T6" s="85" t="s">
        <v>225</v>
      </c>
      <c r="U6" s="87">
        <v>0</v>
      </c>
      <c r="V6" s="85" t="s">
        <v>172</v>
      </c>
      <c r="W6" s="87">
        <v>0.11290322580645161</v>
      </c>
      <c r="X6" s="85" t="s">
        <v>171</v>
      </c>
      <c r="Y6" s="88">
        <v>0.28858024691358025</v>
      </c>
      <c r="Z6" s="85" t="s">
        <v>127</v>
      </c>
      <c r="AA6" s="88">
        <v>0.22298624754420432</v>
      </c>
      <c r="AB6" s="85" t="s">
        <v>177</v>
      </c>
      <c r="AC6" s="88">
        <v>0.66666666666666663</v>
      </c>
      <c r="AD6" s="85" t="s">
        <v>186</v>
      </c>
      <c r="AE6" s="88">
        <v>0.44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171</v>
      </c>
      <c r="E7" s="97">
        <v>1.2089743589743587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0.30645161290322581</v>
      </c>
      <c r="L7" s="85" t="s">
        <v>145</v>
      </c>
      <c r="M7" s="88">
        <v>0.3</v>
      </c>
      <c r="N7" s="85" t="s">
        <v>177</v>
      </c>
      <c r="O7" s="88">
        <v>0.16010498687664043</v>
      </c>
      <c r="P7" s="85" t="s">
        <v>129</v>
      </c>
      <c r="Q7" s="89">
        <v>9066.9421487603304</v>
      </c>
      <c r="R7" s="85" t="s">
        <v>173</v>
      </c>
      <c r="S7" s="89">
        <v>-7866.1971830985913</v>
      </c>
      <c r="T7" s="85" t="s">
        <v>172</v>
      </c>
      <c r="U7" s="87">
        <v>4.8387096774193547E-2</v>
      </c>
      <c r="V7" s="85" t="s">
        <v>177</v>
      </c>
      <c r="W7" s="87">
        <v>0.10638297872340426</v>
      </c>
      <c r="X7" s="85" t="s">
        <v>145</v>
      </c>
      <c r="Y7" s="88">
        <v>0.27884615384615385</v>
      </c>
      <c r="Z7" s="85" t="s">
        <v>186</v>
      </c>
      <c r="AA7" s="88">
        <v>0.21186440677966101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172</v>
      </c>
      <c r="C8" s="84">
        <v>7.9999999999999822</v>
      </c>
      <c r="D8" s="85" t="s">
        <v>172</v>
      </c>
      <c r="E8" s="97">
        <v>0.12903225806451585</v>
      </c>
      <c r="F8" s="85" t="s">
        <v>224</v>
      </c>
      <c r="G8" s="86">
        <v>2</v>
      </c>
      <c r="H8" s="85" t="s">
        <v>173</v>
      </c>
      <c r="I8" s="87">
        <v>0.29545454545454547</v>
      </c>
      <c r="J8" s="85" t="s">
        <v>177</v>
      </c>
      <c r="K8" s="87">
        <v>0.31914893617021278</v>
      </c>
      <c r="L8" s="85" t="s">
        <v>173</v>
      </c>
      <c r="M8" s="88">
        <v>0.29842931937172773</v>
      </c>
      <c r="N8" s="85" t="s">
        <v>145</v>
      </c>
      <c r="O8" s="88">
        <v>0.16773504273504272</v>
      </c>
      <c r="P8" s="85" t="s">
        <v>177</v>
      </c>
      <c r="Q8" s="89">
        <v>8838.3928571428569</v>
      </c>
      <c r="R8" s="85" t="s">
        <v>171</v>
      </c>
      <c r="S8" s="89">
        <v>-8107.0175438596489</v>
      </c>
      <c r="T8" s="85" t="s">
        <v>171</v>
      </c>
      <c r="U8" s="87">
        <v>7.6923076923076927E-2</v>
      </c>
      <c r="V8" s="85" t="s">
        <v>129</v>
      </c>
      <c r="W8" s="87">
        <v>0.10606060606060606</v>
      </c>
      <c r="X8" s="85" t="s">
        <v>129</v>
      </c>
      <c r="Y8" s="88">
        <v>0.26568265682656828</v>
      </c>
      <c r="Z8" s="85" t="s">
        <v>145</v>
      </c>
      <c r="AA8" s="88">
        <v>0.21175213675213675</v>
      </c>
      <c r="AB8" s="85" t="s">
        <v>173</v>
      </c>
      <c r="AC8" s="88">
        <v>0.59090909090909094</v>
      </c>
      <c r="AD8" s="85" t="s">
        <v>171</v>
      </c>
      <c r="AE8" s="88">
        <v>0.39516129032258063</v>
      </c>
      <c r="AF8" s="85" t="s">
        <v>129</v>
      </c>
      <c r="AG8" s="88">
        <v>0.49586776859504134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3.5527136788005009E-15</v>
      </c>
      <c r="D9" s="85" t="s">
        <v>145</v>
      </c>
      <c r="E9" s="97">
        <v>6.2991377283696823E-18</v>
      </c>
      <c r="F9" s="85" t="s">
        <v>172</v>
      </c>
      <c r="G9" s="86">
        <v>2.032258064516129</v>
      </c>
      <c r="H9" s="85" t="s">
        <v>171</v>
      </c>
      <c r="I9" s="87">
        <v>0.29487179487179488</v>
      </c>
      <c r="J9" s="85" t="s">
        <v>145</v>
      </c>
      <c r="K9" s="87">
        <v>0.33333333333333331</v>
      </c>
      <c r="L9" s="85" t="s">
        <v>177</v>
      </c>
      <c r="M9" s="88">
        <v>0.29396325459317585</v>
      </c>
      <c r="N9" s="85" t="s">
        <v>128</v>
      </c>
      <c r="O9" s="88">
        <v>0.17212249208025343</v>
      </c>
      <c r="P9" s="85" t="s">
        <v>145</v>
      </c>
      <c r="Q9" s="89">
        <v>8689.2450142450143</v>
      </c>
      <c r="R9" s="85" t="s">
        <v>186</v>
      </c>
      <c r="S9" s="89">
        <v>-8107.6923076923076</v>
      </c>
      <c r="T9" s="85" t="s">
        <v>127</v>
      </c>
      <c r="U9" s="87">
        <v>0.1111111111111111</v>
      </c>
      <c r="V9" s="85" t="s">
        <v>128</v>
      </c>
      <c r="W9" s="87">
        <v>9.5652173913043481E-2</v>
      </c>
      <c r="X9" s="85" t="s">
        <v>185</v>
      </c>
      <c r="Y9" s="88">
        <v>0.26315789473684209</v>
      </c>
      <c r="Z9" s="85" t="s">
        <v>185</v>
      </c>
      <c r="AA9" s="88">
        <v>0.21052631578947367</v>
      </c>
      <c r="AB9" s="85" t="s">
        <v>128</v>
      </c>
      <c r="AC9" s="88">
        <v>0.58510638297872342</v>
      </c>
      <c r="AD9" s="85" t="s">
        <v>145</v>
      </c>
      <c r="AE9" s="88">
        <v>0.39152371342078707</v>
      </c>
      <c r="AF9" s="85" t="s">
        <v>145</v>
      </c>
      <c r="AG9" s="88">
        <v>0.43518518518518517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-2.8486956521739137</v>
      </c>
      <c r="F10" s="85" t="s">
        <v>171</v>
      </c>
      <c r="G10" s="86">
        <v>2.0512820512820511</v>
      </c>
      <c r="H10" s="85" t="s">
        <v>172</v>
      </c>
      <c r="I10" s="87">
        <v>0.27419354838709675</v>
      </c>
      <c r="J10" s="85" t="s">
        <v>171</v>
      </c>
      <c r="K10" s="87">
        <v>0.34615384615384615</v>
      </c>
      <c r="L10" s="85" t="s">
        <v>186</v>
      </c>
      <c r="M10" s="88">
        <v>0.28813559322033899</v>
      </c>
      <c r="N10" s="85" t="s">
        <v>202</v>
      </c>
      <c r="O10" s="88">
        <v>0.17391304347826086</v>
      </c>
      <c r="P10" s="85" t="s">
        <v>225</v>
      </c>
      <c r="Q10" s="89">
        <v>8666.6666666666661</v>
      </c>
      <c r="R10" s="85" t="s">
        <v>127</v>
      </c>
      <c r="S10" s="89">
        <v>-8277.7070063694264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177</v>
      </c>
      <c r="Y10" s="88">
        <v>0.25984251968503935</v>
      </c>
      <c r="Z10" s="85" t="s">
        <v>177</v>
      </c>
      <c r="AA10" s="88">
        <v>0.19160104986876642</v>
      </c>
      <c r="AB10" s="85" t="s">
        <v>171</v>
      </c>
      <c r="AC10" s="88">
        <v>0.58288770053475936</v>
      </c>
      <c r="AD10" s="85" t="s">
        <v>177</v>
      </c>
      <c r="AE10" s="88">
        <v>0.35616438356164382</v>
      </c>
      <c r="AF10" s="85" t="s">
        <v>128</v>
      </c>
      <c r="AG10" s="88">
        <v>0.4263565891472868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173</v>
      </c>
      <c r="G11" s="86">
        <v>2.0681818181818183</v>
      </c>
      <c r="H11" s="85" t="s">
        <v>128</v>
      </c>
      <c r="I11" s="87">
        <v>0.26956521739130435</v>
      </c>
      <c r="J11" s="85" t="s">
        <v>128</v>
      </c>
      <c r="K11" s="87">
        <v>0.34782608695652173</v>
      </c>
      <c r="L11" s="85" t="s">
        <v>171</v>
      </c>
      <c r="M11" s="88">
        <v>0.28240740740740738</v>
      </c>
      <c r="N11" s="85" t="s">
        <v>171</v>
      </c>
      <c r="O11" s="88">
        <v>0.17592592592592593</v>
      </c>
      <c r="P11" s="85" t="s">
        <v>185</v>
      </c>
      <c r="Q11" s="89">
        <v>7860</v>
      </c>
      <c r="R11" s="85" t="s">
        <v>145</v>
      </c>
      <c r="S11" s="89">
        <v>-8310.8280254777073</v>
      </c>
      <c r="T11" s="85" t="s">
        <v>145</v>
      </c>
      <c r="U11" s="87">
        <v>0.11524822695035461</v>
      </c>
      <c r="V11" s="85" t="s">
        <v>186</v>
      </c>
      <c r="W11" s="87">
        <v>0</v>
      </c>
      <c r="X11" s="85" t="s">
        <v>202</v>
      </c>
      <c r="Y11" s="88">
        <v>0.24637681159420291</v>
      </c>
      <c r="Z11" s="85" t="s">
        <v>171</v>
      </c>
      <c r="AA11" s="88">
        <v>0.19135802469135801</v>
      </c>
      <c r="AB11" s="85" t="s">
        <v>145</v>
      </c>
      <c r="AC11" s="88">
        <v>0.58237547892720309</v>
      </c>
      <c r="AD11" s="85" t="s">
        <v>173</v>
      </c>
      <c r="AE11" s="88">
        <v>0.33673469387755101</v>
      </c>
      <c r="AF11" s="85" t="s">
        <v>172</v>
      </c>
      <c r="AG11" s="88">
        <v>0.421875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2.0782608695652174</v>
      </c>
      <c r="H12" s="85" t="s">
        <v>129</v>
      </c>
      <c r="I12" s="87">
        <v>0.22727272727272727</v>
      </c>
      <c r="J12" s="85" t="s">
        <v>173</v>
      </c>
      <c r="K12" s="87">
        <v>0.36363636363636365</v>
      </c>
      <c r="L12" s="85" t="s">
        <v>128</v>
      </c>
      <c r="M12" s="88">
        <v>0.27243928194297784</v>
      </c>
      <c r="N12" s="85" t="s">
        <v>173</v>
      </c>
      <c r="O12" s="88">
        <v>0.18586387434554974</v>
      </c>
      <c r="P12" s="85" t="s">
        <v>186</v>
      </c>
      <c r="Q12" s="89">
        <v>7494.1176470588234</v>
      </c>
      <c r="R12" s="85" t="s">
        <v>172</v>
      </c>
      <c r="S12" s="89">
        <v>-9417.391304347826</v>
      </c>
      <c r="T12" s="85" t="s">
        <v>128</v>
      </c>
      <c r="U12" s="87">
        <v>0.13043478260869565</v>
      </c>
      <c r="V12" s="85" t="s">
        <v>185</v>
      </c>
      <c r="W12" s="87">
        <v>0</v>
      </c>
      <c r="X12" s="85" t="s">
        <v>186</v>
      </c>
      <c r="Y12" s="88">
        <v>0.23728813559322035</v>
      </c>
      <c r="Z12" s="85" t="s">
        <v>128</v>
      </c>
      <c r="AA12" s="88">
        <v>0.18057022175290391</v>
      </c>
      <c r="AB12" s="85" t="s">
        <v>127</v>
      </c>
      <c r="AC12" s="88">
        <v>0.58132530120481929</v>
      </c>
      <c r="AD12" s="85" t="s">
        <v>128</v>
      </c>
      <c r="AE12" s="88">
        <v>0.2982456140350877</v>
      </c>
      <c r="AF12" s="85" t="s">
        <v>171</v>
      </c>
      <c r="AG12" s="88">
        <v>0.42076502732240439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186</v>
      </c>
      <c r="E13" s="97">
        <v>-9.9071428571428566</v>
      </c>
      <c r="F13" s="85" t="s">
        <v>186</v>
      </c>
      <c r="G13" s="86">
        <v>2.1428571428571428</v>
      </c>
      <c r="H13" s="85" t="s">
        <v>202</v>
      </c>
      <c r="I13" s="87">
        <v>0.14285714285714285</v>
      </c>
      <c r="J13" s="85" t="s">
        <v>186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0.19557195571955718</v>
      </c>
      <c r="P13" s="85" t="s">
        <v>202</v>
      </c>
      <c r="Q13" s="89">
        <v>7438.0952380952385</v>
      </c>
      <c r="R13" s="85" t="s">
        <v>129</v>
      </c>
      <c r="S13" s="89">
        <v>-9527.3584905660373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0.16605166051660517</v>
      </c>
      <c r="AB13" s="85" t="s">
        <v>172</v>
      </c>
      <c r="AC13" s="88">
        <v>0.5641025641025641</v>
      </c>
      <c r="AD13" s="85" t="s">
        <v>129</v>
      </c>
      <c r="AE13" s="88">
        <v>0.23333333333333334</v>
      </c>
      <c r="AF13" s="85" t="s">
        <v>177</v>
      </c>
      <c r="AG13" s="88">
        <v>0.41964285714285715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-327.60000000000008</v>
      </c>
      <c r="D14" s="85" t="s">
        <v>129</v>
      </c>
      <c r="E14" s="97">
        <v>-17.015151515151512</v>
      </c>
      <c r="F14" s="85" t="s">
        <v>129</v>
      </c>
      <c r="G14" s="86">
        <v>2.2878787878787881</v>
      </c>
      <c r="H14" s="85" t="s">
        <v>224</v>
      </c>
      <c r="I14" s="87">
        <v>0</v>
      </c>
      <c r="J14" s="85" t="s">
        <v>129</v>
      </c>
      <c r="K14" s="87">
        <v>0.51515151515151514</v>
      </c>
      <c r="L14" s="85" t="s">
        <v>129</v>
      </c>
      <c r="M14" s="88">
        <v>0.22324723247232472</v>
      </c>
      <c r="N14" s="85" t="s">
        <v>186</v>
      </c>
      <c r="O14" s="88">
        <v>0.22033898305084745</v>
      </c>
      <c r="P14" s="85" t="s">
        <v>173</v>
      </c>
      <c r="Q14" s="89">
        <v>6998.2456140350878</v>
      </c>
      <c r="R14" s="85" t="s">
        <v>224</v>
      </c>
      <c r="S14" s="89">
        <v>-12000</v>
      </c>
      <c r="T14" s="85" t="s">
        <v>177</v>
      </c>
      <c r="U14" s="87">
        <v>0.1702127659574468</v>
      </c>
      <c r="V14" s="85" t="s">
        <v>224</v>
      </c>
      <c r="W14" s="87">
        <v>0</v>
      </c>
      <c r="X14" s="85" t="s">
        <v>173</v>
      </c>
      <c r="Y14" s="88">
        <v>0.23036649214659685</v>
      </c>
      <c r="Z14" s="85" t="s">
        <v>225</v>
      </c>
      <c r="AA14" s="88">
        <v>0.125</v>
      </c>
      <c r="AB14" s="85" t="s">
        <v>129</v>
      </c>
      <c r="AC14" s="88">
        <v>0.49305555555555558</v>
      </c>
      <c r="AD14" s="85" t="s">
        <v>224</v>
      </c>
      <c r="AE14" s="88">
        <v>0</v>
      </c>
      <c r="AF14" s="85" t="s">
        <v>127</v>
      </c>
      <c r="AG14" s="88">
        <v>0.4011142061281337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-1122.9999999999998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6635.9375</v>
      </c>
      <c r="R15" s="85" t="s">
        <v>225</v>
      </c>
      <c r="S15" s="89">
        <v>-14000</v>
      </c>
      <c r="T15" s="85" t="s">
        <v>129</v>
      </c>
      <c r="U15" s="87">
        <v>0.18181818181818182</v>
      </c>
      <c r="V15" s="85" t="s">
        <v>225</v>
      </c>
      <c r="W15" s="87">
        <v>0</v>
      </c>
      <c r="X15" s="85" t="s">
        <v>172</v>
      </c>
      <c r="Y15" s="88">
        <v>0.21869158878504674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017C8-B4FA-41A2-BCFD-E2187B042FB4}">
  <sheetPr codeName="Sheet4"/>
  <dimension ref="A1:Q5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564</v>
      </c>
      <c r="C2" s="147"/>
      <c r="E2" s="62" t="s">
        <v>67</v>
      </c>
      <c r="F2" s="59" t="s">
        <v>23</v>
      </c>
      <c r="G2" s="46">
        <v>1049</v>
      </c>
      <c r="H2" s="132">
        <f>IF(B$17=0,0,G2/B$17)</f>
        <v>0.7471509971509972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-14.184397163120567</v>
      </c>
      <c r="P2" s="118">
        <v>564</v>
      </c>
      <c r="Q2" s="102">
        <v>-8000</v>
      </c>
    </row>
    <row r="3" spans="1:17" x14ac:dyDescent="0.4">
      <c r="A3" s="55" t="s">
        <v>8</v>
      </c>
      <c r="B3" s="148">
        <v>4680</v>
      </c>
      <c r="C3" s="149"/>
      <c r="E3" s="63" t="s">
        <v>65</v>
      </c>
      <c r="F3" s="60" t="s">
        <v>21</v>
      </c>
      <c r="G3" s="47">
        <v>725</v>
      </c>
      <c r="H3" s="133">
        <f>IF(B$17=0,0,G3/B$17)</f>
        <v>0.51638176638176636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-7.2463768115942031</v>
      </c>
      <c r="P3" s="119">
        <v>552</v>
      </c>
      <c r="Q3" s="103">
        <v>-4000</v>
      </c>
    </row>
    <row r="4" spans="1:17" x14ac:dyDescent="0.4">
      <c r="A4" s="55" t="s">
        <v>6</v>
      </c>
      <c r="B4" s="150">
        <v>3.5527136788005009E-15</v>
      </c>
      <c r="C4" s="151"/>
      <c r="E4" s="63" t="s">
        <v>73</v>
      </c>
      <c r="F4" s="60" t="s">
        <v>28</v>
      </c>
      <c r="G4" s="47">
        <v>723</v>
      </c>
      <c r="H4" s="133">
        <f>IF(B$17=0,0,G4/B$17)</f>
        <v>0.5149572649572649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7.7071290944123314</v>
      </c>
      <c r="P4" s="119">
        <v>519</v>
      </c>
      <c r="Q4" s="103">
        <v>4000</v>
      </c>
    </row>
    <row r="5" spans="1:17" x14ac:dyDescent="0.4">
      <c r="A5" s="55" t="s">
        <v>7</v>
      </c>
      <c r="B5" s="152">
        <f>IF(B$2=0,0,B$4/B$2)</f>
        <v>6.2991377283696823E-18</v>
      </c>
      <c r="C5" s="153"/>
      <c r="E5" s="63" t="s">
        <v>181</v>
      </c>
      <c r="F5" s="60" t="s">
        <v>182</v>
      </c>
      <c r="G5" s="47">
        <v>585</v>
      </c>
      <c r="H5" s="133">
        <f>IF(B$17=0,0,G5/B$17)</f>
        <v>0.41666666666666669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10.615711252653927</v>
      </c>
      <c r="P5" s="119">
        <v>471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441</v>
      </c>
      <c r="H6" s="133">
        <f>IF(B$17=0,0,G6/B$17)</f>
        <v>0.3141025641025641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-14.285714285714286</v>
      </c>
      <c r="P6" s="119">
        <v>420</v>
      </c>
      <c r="Q6" s="103">
        <v>-6000</v>
      </c>
    </row>
    <row r="7" spans="1:17" x14ac:dyDescent="0.4">
      <c r="A7" s="55" t="s">
        <v>2</v>
      </c>
      <c r="B7" s="47">
        <v>188</v>
      </c>
      <c r="C7" s="39">
        <f>IF(B$2=0,0,B7/B$2)</f>
        <v>0.33333333333333331</v>
      </c>
      <c r="E7" s="63" t="s">
        <v>68</v>
      </c>
      <c r="F7" s="60" t="s">
        <v>24</v>
      </c>
      <c r="G7" s="47">
        <v>423</v>
      </c>
      <c r="H7" s="133">
        <f>IF(B$17=0,0,G7/B$17)</f>
        <v>0.30128205128205127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23.622047244094489</v>
      </c>
      <c r="P7" s="120">
        <v>381</v>
      </c>
      <c r="Q7" s="104">
        <v>9000</v>
      </c>
    </row>
    <row r="8" spans="1:17" x14ac:dyDescent="0.4">
      <c r="A8" s="55" t="s">
        <v>3</v>
      </c>
      <c r="B8" s="47">
        <v>188</v>
      </c>
      <c r="C8" s="39">
        <f>IF(B$2=0,0,B8/B$2)</f>
        <v>0.33333333333333331</v>
      </c>
      <c r="E8" s="63" t="s">
        <v>70</v>
      </c>
      <c r="F8" s="60" t="s">
        <v>25</v>
      </c>
      <c r="G8" s="47">
        <v>253</v>
      </c>
      <c r="H8" s="133">
        <f>IF(B$17=0,0,G8/B$17)</f>
        <v>0.18019943019943019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188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172</v>
      </c>
      <c r="H9" s="133">
        <f>IF(B$17=0,0,G9/B$17)</f>
        <v>0.12250712250712251</v>
      </c>
      <c r="I9" s="94">
        <v>5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65</v>
      </c>
      <c r="C10" s="40">
        <f>IF(B$2=0,0,B10/B$2)</f>
        <v>0.11524822695035461</v>
      </c>
      <c r="E10" s="63" t="s">
        <v>90</v>
      </c>
      <c r="F10" s="60" t="s">
        <v>45</v>
      </c>
      <c r="G10" s="47">
        <v>172</v>
      </c>
      <c r="H10" s="133">
        <f>IF(B$17=0,0,G10/B$17)</f>
        <v>0.12250712250712251</v>
      </c>
      <c r="I10" s="94">
        <v>8</v>
      </c>
      <c r="K10" s="38">
        <v>8</v>
      </c>
      <c r="L10" s="99">
        <v>19.699999999999996</v>
      </c>
      <c r="N10" s="114" t="s">
        <v>164</v>
      </c>
      <c r="O10" s="124">
        <f>IF(P10=0,0,Q10/P10)</f>
        <v>-2.5425531914893615</v>
      </c>
      <c r="P10" s="118">
        <v>188</v>
      </c>
      <c r="Q10" s="106">
        <v>-478</v>
      </c>
    </row>
    <row r="11" spans="1:17" x14ac:dyDescent="0.4">
      <c r="A11" s="56" t="s">
        <v>140</v>
      </c>
      <c r="B11" s="48">
        <v>65</v>
      </c>
      <c r="C11" s="40">
        <f>IF(B$2=0,0,B11/B$2)</f>
        <v>0.11524822695035461</v>
      </c>
      <c r="E11" s="63" t="s">
        <v>71</v>
      </c>
      <c r="F11" s="60" t="s">
        <v>26</v>
      </c>
      <c r="G11" s="47">
        <v>142</v>
      </c>
      <c r="H11" s="133">
        <f>IF(B$17=0,0,G11/B$17)</f>
        <v>0.10113960113960115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-0.65000000000000013</v>
      </c>
      <c r="P11" s="119">
        <v>188</v>
      </c>
      <c r="Q11" s="107">
        <v>-122.20000000000003</v>
      </c>
    </row>
    <row r="12" spans="1:17" x14ac:dyDescent="0.4">
      <c r="A12" s="57" t="s">
        <v>160</v>
      </c>
      <c r="B12" s="49">
        <v>50</v>
      </c>
      <c r="C12" s="42">
        <f>IF(B$2=0,0,B12/B$2)</f>
        <v>8.8652482269503549E-2</v>
      </c>
      <c r="E12" s="63" t="s">
        <v>72</v>
      </c>
      <c r="F12" s="60" t="s">
        <v>27</v>
      </c>
      <c r="G12" s="47">
        <v>93</v>
      </c>
      <c r="H12" s="133">
        <f>IF(B$17=0,0,G12/B$17)</f>
        <v>6.623931623931624E-2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3.1925531914893619</v>
      </c>
      <c r="P12" s="120">
        <v>188</v>
      </c>
      <c r="Q12" s="108">
        <v>600.20000000000005</v>
      </c>
    </row>
    <row r="13" spans="1:17" x14ac:dyDescent="0.4">
      <c r="A13" s="58" t="s">
        <v>122</v>
      </c>
      <c r="B13" s="50">
        <v>1305</v>
      </c>
      <c r="C13" s="44">
        <f>IF(B$3=0,0,B13/B$3)</f>
        <v>0.27884615384615385</v>
      </c>
      <c r="E13" s="63" t="s">
        <v>87</v>
      </c>
      <c r="F13" s="60" t="s">
        <v>42</v>
      </c>
      <c r="G13" s="47">
        <v>78</v>
      </c>
      <c r="H13" s="133">
        <f>IF(B$17=0,0,G13/B$17)</f>
        <v>5.5555555555555552E-2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991</v>
      </c>
      <c r="C14" s="39">
        <f>IF(B$3=0,0,B14/B$3)</f>
        <v>0.21175213675213675</v>
      </c>
      <c r="E14" s="63" t="s">
        <v>84</v>
      </c>
      <c r="F14" s="60" t="s">
        <v>39</v>
      </c>
      <c r="G14" s="47">
        <v>65</v>
      </c>
      <c r="H14" s="133">
        <f>IF(B$17=0,0,G14/B$17)</f>
        <v>4.6296296296296294E-2</v>
      </c>
      <c r="I14" s="94">
        <v>5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760</v>
      </c>
      <c r="C15" s="37">
        <f>IF(B$13=0,0,B15/B$13)</f>
        <v>0.58237547892720309</v>
      </c>
      <c r="E15" s="63" t="s">
        <v>82</v>
      </c>
      <c r="F15" s="60" t="s">
        <v>37</v>
      </c>
      <c r="G15" s="47">
        <v>39</v>
      </c>
      <c r="H15" s="133">
        <f>IF(B$17=0,0,G15/B$17)</f>
        <v>2.7777777777777776E-2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388</v>
      </c>
      <c r="C16" s="37">
        <f>IF(B$14=0,0,B16/B$14)</f>
        <v>0.39152371342078707</v>
      </c>
      <c r="E16" s="63" t="s">
        <v>79</v>
      </c>
      <c r="F16" s="60" t="s">
        <v>34</v>
      </c>
      <c r="G16" s="47">
        <v>36</v>
      </c>
      <c r="H16" s="133">
        <f>IF(B$17=0,0,G16/B$17)</f>
        <v>2.564102564102564E-2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25.522727272727295</v>
      </c>
      <c r="P16" s="119">
        <v>132</v>
      </c>
      <c r="Q16" s="107">
        <v>3369.0000000000027</v>
      </c>
    </row>
    <row r="17" spans="1:17" x14ac:dyDescent="0.4">
      <c r="A17" s="54" t="s">
        <v>10</v>
      </c>
      <c r="B17" s="46">
        <f>B19+B18</f>
        <v>1404</v>
      </c>
      <c r="C17" s="37">
        <f>IF(B$3=0,0,B17/B$3)</f>
        <v>0.3</v>
      </c>
      <c r="E17" s="63" t="s">
        <v>92</v>
      </c>
      <c r="F17" s="60" t="s">
        <v>47</v>
      </c>
      <c r="G17" s="47">
        <v>27</v>
      </c>
      <c r="H17" s="133">
        <f>IF(B$17=0,0,G17/B$17)</f>
        <v>1.9230769230769232E-2</v>
      </c>
      <c r="I17" s="94">
        <v>5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611</v>
      </c>
      <c r="C18" s="39">
        <f>IF(B$17=0,0,B18/B$17)</f>
        <v>0.43518518518518517</v>
      </c>
      <c r="E18" s="63" t="s">
        <v>80</v>
      </c>
      <c r="F18" s="60" t="s">
        <v>35</v>
      </c>
      <c r="G18" s="47">
        <v>23</v>
      </c>
      <c r="H18" s="133">
        <f>IF(B$17=0,0,G18/B$17)</f>
        <v>1.6381766381766381E-2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793</v>
      </c>
      <c r="C19" s="39">
        <f>IF(B$17=0,0,B19/B$17)</f>
        <v>0.56481481481481477</v>
      </c>
      <c r="E19" s="63" t="s">
        <v>180</v>
      </c>
      <c r="F19" s="60" t="s">
        <v>183</v>
      </c>
      <c r="G19" s="47">
        <v>22</v>
      </c>
      <c r="H19" s="133">
        <f>IF(B$17=0,0,G19/B$17)</f>
        <v>1.5669515669515671E-2</v>
      </c>
      <c r="I19" s="94">
        <v>5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785</v>
      </c>
      <c r="C20" s="39">
        <f>IF(B$3=0,0,B20/B$3)</f>
        <v>0.16773504273504272</v>
      </c>
      <c r="E20" s="63" t="s">
        <v>74</v>
      </c>
      <c r="F20" s="60" t="s">
        <v>29</v>
      </c>
      <c r="G20" s="47">
        <v>9</v>
      </c>
      <c r="H20" s="133">
        <f>IF(B$17=0,0,G20/B$17)</f>
        <v>6.41025641025641E-3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4.2730434782608713</v>
      </c>
      <c r="P20" s="119">
        <v>230</v>
      </c>
      <c r="Q20" s="107">
        <v>982.80000000000041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6.41025641025641E-3</v>
      </c>
      <c r="I21" s="94">
        <v>5</v>
      </c>
      <c r="K21" s="38">
        <v>19</v>
      </c>
      <c r="L21" s="99">
        <v>30.999999999999996</v>
      </c>
      <c r="N21" s="115" t="s">
        <v>172</v>
      </c>
      <c r="O21" s="125">
        <f>IF(P21=0,0,Q21/P21)</f>
        <v>-0.19354838709677544</v>
      </c>
      <c r="P21" s="119">
        <v>124</v>
      </c>
      <c r="Q21" s="107">
        <v>-24.000000000000153</v>
      </c>
    </row>
    <row r="22" spans="1:17" x14ac:dyDescent="0.4">
      <c r="A22" s="55" t="s">
        <v>194</v>
      </c>
      <c r="B22" s="47">
        <v>31</v>
      </c>
      <c r="C22" s="135">
        <v>5</v>
      </c>
      <c r="E22" s="63" t="s">
        <v>75</v>
      </c>
      <c r="F22" s="60" t="s">
        <v>30</v>
      </c>
      <c r="G22" s="47">
        <v>6</v>
      </c>
      <c r="H22" s="133">
        <f>IF(B$17=0,0,G22/B$17)</f>
        <v>4.2735042735042739E-3</v>
      </c>
      <c r="I22" s="94">
        <v>5</v>
      </c>
      <c r="K22" s="38">
        <v>20</v>
      </c>
      <c r="L22" s="99">
        <v>0.79999999999999716</v>
      </c>
      <c r="N22" s="115" t="s">
        <v>171</v>
      </c>
      <c r="O22" s="125">
        <f>IF(P22=0,0,Q22/P22)</f>
        <v>-1.8134615384615362</v>
      </c>
      <c r="P22" s="119">
        <v>156</v>
      </c>
      <c r="Q22" s="107">
        <v>-282.89999999999964</v>
      </c>
    </row>
    <row r="23" spans="1:17" x14ac:dyDescent="0.4">
      <c r="A23" s="55" t="s">
        <v>5</v>
      </c>
      <c r="B23" s="51">
        <f>IF(B$17=0,0,C23/B$17)</f>
        <v>8689.2450142450143</v>
      </c>
      <c r="C23" s="41">
        <v>12199700</v>
      </c>
      <c r="E23" s="63" t="s">
        <v>93</v>
      </c>
      <c r="F23" s="60" t="s">
        <v>48</v>
      </c>
      <c r="G23" s="47">
        <v>6</v>
      </c>
      <c r="H23" s="133">
        <f>IF(B$17=0,0,G23/B$17)</f>
        <v>4.2735042735042739E-3</v>
      </c>
      <c r="I23" s="94">
        <v>4</v>
      </c>
      <c r="K23" s="38">
        <v>21</v>
      </c>
      <c r="L23" s="99">
        <v>-2.886579864025407E-15</v>
      </c>
      <c r="N23" s="115" t="s">
        <v>177</v>
      </c>
      <c r="O23" s="125">
        <f>IF(P23=0,0,Q23/P23)</f>
        <v>-2.2691489361702146</v>
      </c>
      <c r="P23" s="119">
        <v>94</v>
      </c>
      <c r="Q23" s="107">
        <v>-213.30000000000018</v>
      </c>
    </row>
    <row r="24" spans="1:17" x14ac:dyDescent="0.4">
      <c r="A24" s="57" t="s">
        <v>14</v>
      </c>
      <c r="B24" s="52">
        <f>IF(B$20=0,0,C24/B$20)</f>
        <v>-8310.8280254777073</v>
      </c>
      <c r="C24" s="45">
        <v>-6524000</v>
      </c>
      <c r="E24" s="63" t="s">
        <v>88</v>
      </c>
      <c r="F24" s="60" t="s">
        <v>43</v>
      </c>
      <c r="G24" s="47">
        <v>5</v>
      </c>
      <c r="H24" s="133">
        <f>IF(B$17=0,0,G24/B$17)</f>
        <v>3.5612535612535613E-3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-19.839285714285683</v>
      </c>
      <c r="P24" s="119">
        <v>252</v>
      </c>
      <c r="Q24" s="107">
        <v>-4999.4999999999918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3.5612535612535613E-3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4</v>
      </c>
      <c r="H26" s="133">
        <f>IF(B$17=0,0,G26/B$17)</f>
        <v>2.8490028490028491E-3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2.9914529914529917E-3</v>
      </c>
      <c r="E27" s="63" t="s">
        <v>78</v>
      </c>
      <c r="F27" s="60" t="s">
        <v>33</v>
      </c>
      <c r="G27" s="47">
        <v>3</v>
      </c>
      <c r="H27" s="133">
        <f>IF(B$17=0,0,G27/B$17)</f>
        <v>2.136752136752137E-3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2.136752136752137E-3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1.4245014245014246E-3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2</v>
      </c>
      <c r="H30" s="133">
        <f>IF(B$17=0,0,G30/B$17)</f>
        <v>1.4245014245014246E-3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1.4245014245014246E-3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7.1225071225071229E-4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A16FD-1D7B-43C9-8428-0CD1C8A80EB5}">
  <sheetPr codeName="Sheet7"/>
  <dimension ref="A1:Q12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126</v>
      </c>
      <c r="C2" s="147"/>
      <c r="E2" s="62" t="s">
        <v>65</v>
      </c>
      <c r="F2" s="59" t="s">
        <v>21</v>
      </c>
      <c r="G2" s="46">
        <v>178</v>
      </c>
      <c r="H2" s="132">
        <f>IF(B$17=0,0,G2/B$17)</f>
        <v>0.49582172701949861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1457.1428571428571</v>
      </c>
      <c r="P2" s="118">
        <v>126</v>
      </c>
      <c r="Q2" s="102">
        <v>183600</v>
      </c>
    </row>
    <row r="3" spans="1:17" x14ac:dyDescent="0.4">
      <c r="A3" s="55" t="s">
        <v>8</v>
      </c>
      <c r="B3" s="148">
        <v>1018</v>
      </c>
      <c r="C3" s="149"/>
      <c r="E3" s="63" t="s">
        <v>66</v>
      </c>
      <c r="F3" s="60" t="s">
        <v>22</v>
      </c>
      <c r="G3" s="47">
        <v>50</v>
      </c>
      <c r="H3" s="133">
        <f>IF(B$17=0,0,G3/B$17)</f>
        <v>0.1392757660167131</v>
      </c>
      <c r="I3" s="94">
        <v>2</v>
      </c>
      <c r="K3" s="38">
        <v>1</v>
      </c>
      <c r="L3" s="99">
        <v>-5.0999999999999996</v>
      </c>
      <c r="N3" s="115" t="s">
        <v>133</v>
      </c>
      <c r="O3" s="122">
        <f t="shared" si="0"/>
        <v>1135.7723577235772</v>
      </c>
      <c r="P3" s="119">
        <v>123</v>
      </c>
      <c r="Q3" s="103">
        <v>139700</v>
      </c>
    </row>
    <row r="4" spans="1:17" x14ac:dyDescent="0.4">
      <c r="A4" s="55" t="s">
        <v>6</v>
      </c>
      <c r="B4" s="150">
        <v>1666.5000000000011</v>
      </c>
      <c r="C4" s="151"/>
      <c r="E4" s="63" t="s">
        <v>67</v>
      </c>
      <c r="F4" s="60" t="s">
        <v>23</v>
      </c>
      <c r="G4" s="47">
        <v>269</v>
      </c>
      <c r="H4" s="133">
        <f>IF(B$17=0,0,G4/B$17)</f>
        <v>0.74930362116991645</v>
      </c>
      <c r="I4" s="94">
        <v>6</v>
      </c>
      <c r="K4" s="38">
        <v>2</v>
      </c>
      <c r="L4" s="99">
        <v>-2.8999999999999995</v>
      </c>
      <c r="N4" s="115" t="s">
        <v>134</v>
      </c>
      <c r="O4" s="122">
        <f t="shared" si="0"/>
        <v>1496.5517241379309</v>
      </c>
      <c r="P4" s="119">
        <v>116</v>
      </c>
      <c r="Q4" s="103">
        <v>173600</v>
      </c>
    </row>
    <row r="5" spans="1:17" x14ac:dyDescent="0.4">
      <c r="A5" s="55" t="s">
        <v>7</v>
      </c>
      <c r="B5" s="152">
        <f>IF(B$2=0,0,B$4/B$2)</f>
        <v>13.226190476190485</v>
      </c>
      <c r="C5" s="153"/>
      <c r="E5" s="63" t="s">
        <v>68</v>
      </c>
      <c r="F5" s="60" t="s">
        <v>24</v>
      </c>
      <c r="G5" s="47">
        <v>105</v>
      </c>
      <c r="H5" s="133">
        <f>IF(B$17=0,0,G5/B$17)</f>
        <v>0.29247910863509752</v>
      </c>
      <c r="I5" s="94">
        <v>10</v>
      </c>
      <c r="K5" s="38">
        <v>3</v>
      </c>
      <c r="L5" s="99">
        <v>70.399999999999991</v>
      </c>
      <c r="N5" s="115" t="s">
        <v>135</v>
      </c>
      <c r="O5" s="122">
        <f t="shared" si="0"/>
        <v>2935.8490566037735</v>
      </c>
      <c r="P5" s="119">
        <v>106</v>
      </c>
      <c r="Q5" s="103">
        <v>311200</v>
      </c>
    </row>
    <row r="6" spans="1:17" x14ac:dyDescent="0.4">
      <c r="A6" s="55" t="s">
        <v>1</v>
      </c>
      <c r="B6" s="142">
        <f>IF(B$2=0,0,(B$7*1+B$8*2+B$9*3)/B$2)</f>
        <v>1.7222222222222223</v>
      </c>
      <c r="C6" s="143"/>
      <c r="E6" s="63" t="s">
        <v>69</v>
      </c>
      <c r="F6" s="60" t="s">
        <v>12</v>
      </c>
      <c r="G6" s="47">
        <v>92</v>
      </c>
      <c r="H6" s="133">
        <f>IF(B$17=0,0,G6/B$17)</f>
        <v>0.25626740947075211</v>
      </c>
      <c r="I6" s="94">
        <v>12</v>
      </c>
      <c r="K6" s="38">
        <v>4</v>
      </c>
      <c r="L6" s="99">
        <v>110.5</v>
      </c>
      <c r="N6" s="115" t="s">
        <v>136</v>
      </c>
      <c r="O6" s="122">
        <f t="shared" si="0"/>
        <v>878.26086956521738</v>
      </c>
      <c r="P6" s="119">
        <v>92</v>
      </c>
      <c r="Q6" s="103">
        <v>80800</v>
      </c>
    </row>
    <row r="7" spans="1:17" x14ac:dyDescent="0.4">
      <c r="A7" s="55" t="s">
        <v>2</v>
      </c>
      <c r="B7" s="47">
        <v>63</v>
      </c>
      <c r="C7" s="39">
        <f>IF(B$2=0,0,B7/B$2)</f>
        <v>0.5</v>
      </c>
      <c r="E7" s="63" t="s">
        <v>70</v>
      </c>
      <c r="F7" s="60" t="s">
        <v>25</v>
      </c>
      <c r="G7" s="47">
        <v>61</v>
      </c>
      <c r="H7" s="133">
        <f>IF(B$17=0,0,G7/B$17)</f>
        <v>0.16991643454038996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896.2962962962963</v>
      </c>
      <c r="P7" s="120">
        <v>81</v>
      </c>
      <c r="Q7" s="104">
        <v>72600</v>
      </c>
    </row>
    <row r="8" spans="1:17" x14ac:dyDescent="0.4">
      <c r="A8" s="55" t="s">
        <v>3</v>
      </c>
      <c r="B8" s="47">
        <v>35</v>
      </c>
      <c r="C8" s="39">
        <f>IF(B$2=0,0,B8/B$2)</f>
        <v>0.27777777777777779</v>
      </c>
      <c r="E8" s="63" t="s">
        <v>71</v>
      </c>
      <c r="F8" s="60" t="s">
        <v>26</v>
      </c>
      <c r="G8" s="47">
        <v>34</v>
      </c>
      <c r="H8" s="133">
        <f>IF(B$17=0,0,G8/B$17)</f>
        <v>9.4707520891364902E-2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28</v>
      </c>
      <c r="C9" s="40">
        <f t="shared" ref="C9" si="1">IF(B$2=0,0,B9/B$2)</f>
        <v>0.22222222222222221</v>
      </c>
      <c r="E9" s="63" t="s">
        <v>72</v>
      </c>
      <c r="F9" s="60" t="s">
        <v>27</v>
      </c>
      <c r="G9" s="47">
        <v>25</v>
      </c>
      <c r="H9" s="133">
        <f>IF(B$17=0,0,G9/B$17)</f>
        <v>6.9637883008356549E-2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0.1111111111111111</v>
      </c>
      <c r="E10" s="63" t="s">
        <v>73</v>
      </c>
      <c r="F10" s="60" t="s">
        <v>28</v>
      </c>
      <c r="G10" s="47">
        <v>205</v>
      </c>
      <c r="H10" s="133">
        <f>IF(B$17=0,0,G10/B$17)</f>
        <v>0.57103064066852371</v>
      </c>
      <c r="I10" s="94">
        <v>5</v>
      </c>
      <c r="K10" s="38">
        <v>8</v>
      </c>
      <c r="L10" s="99">
        <v>285.20000000000005</v>
      </c>
      <c r="N10" s="114" t="s">
        <v>164</v>
      </c>
      <c r="O10" s="124">
        <f>IF(P10=0,0,Q10/P10)</f>
        <v>16.805555555555557</v>
      </c>
      <c r="P10" s="118">
        <v>36</v>
      </c>
      <c r="Q10" s="106">
        <v>605</v>
      </c>
    </row>
    <row r="11" spans="1:17" x14ac:dyDescent="0.4">
      <c r="A11" s="56" t="s">
        <v>140</v>
      </c>
      <c r="B11" s="48">
        <v>22</v>
      </c>
      <c r="C11" s="40">
        <f>IF(B$2=0,0,B11/B$2)</f>
        <v>0.17460317460317459</v>
      </c>
      <c r="E11" s="63" t="s">
        <v>74</v>
      </c>
      <c r="F11" s="60" t="s">
        <v>29</v>
      </c>
      <c r="G11" s="47">
        <v>2</v>
      </c>
      <c r="H11" s="133">
        <f>IF(B$17=0,0,G11/B$17)</f>
        <v>5.5710306406685237E-3</v>
      </c>
      <c r="I11" s="94">
        <v>5</v>
      </c>
      <c r="K11" s="38">
        <v>9</v>
      </c>
      <c r="L11" s="99">
        <v>277.90000000000003</v>
      </c>
      <c r="N11" s="115" t="s">
        <v>165</v>
      </c>
      <c r="O11" s="125">
        <f>IF(P11=0,0,Q11/P11)</f>
        <v>9.0897435897435894</v>
      </c>
      <c r="P11" s="119">
        <v>39</v>
      </c>
      <c r="Q11" s="107">
        <v>354.5</v>
      </c>
    </row>
    <row r="12" spans="1:17" x14ac:dyDescent="0.4">
      <c r="A12" s="57" t="s">
        <v>160</v>
      </c>
      <c r="B12" s="49">
        <v>19</v>
      </c>
      <c r="C12" s="42">
        <f>IF(B$2=0,0,B12/B$2)</f>
        <v>0.15079365079365079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246.20000000000005</v>
      </c>
      <c r="N12" s="116" t="s">
        <v>166</v>
      </c>
      <c r="O12" s="126">
        <f>IF(P12=0,0,Q12/P12)</f>
        <v>13.86274509803922</v>
      </c>
      <c r="P12" s="120">
        <v>51</v>
      </c>
      <c r="Q12" s="108">
        <v>707.00000000000023</v>
      </c>
    </row>
    <row r="13" spans="1:17" x14ac:dyDescent="0.4">
      <c r="A13" s="58" t="s">
        <v>122</v>
      </c>
      <c r="B13" s="50">
        <v>332</v>
      </c>
      <c r="C13" s="44">
        <f>IF(B$3=0,0,B13/B$3)</f>
        <v>0.32612966601178783</v>
      </c>
      <c r="E13" s="63" t="s">
        <v>76</v>
      </c>
      <c r="F13" s="60" t="s">
        <v>31</v>
      </c>
      <c r="G13" s="47">
        <v>1</v>
      </c>
      <c r="H13" s="133">
        <f>IF(B$17=0,0,G13/B$17)</f>
        <v>2.7855153203342618E-3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227</v>
      </c>
      <c r="C14" s="39">
        <f>IF(B$3=0,0,B14/B$3)</f>
        <v>0.22298624754420432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193</v>
      </c>
      <c r="C15" s="37">
        <f>IF(B$13=0,0,B15/B$13)</f>
        <v>0.58132530120481929</v>
      </c>
      <c r="E15" s="63" t="s">
        <v>78</v>
      </c>
      <c r="F15" s="60" t="s">
        <v>33</v>
      </c>
      <c r="G15" s="47">
        <v>1</v>
      </c>
      <c r="H15" s="133">
        <f>IF(B$17=0,0,G15/B$17)</f>
        <v>2.7855153203342618E-3</v>
      </c>
      <c r="I15" s="94">
        <v>3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117</v>
      </c>
      <c r="C16" s="37">
        <f>IF(B$14=0,0,B16/B$14)</f>
        <v>0.51541850220264318</v>
      </c>
      <c r="E16" s="63" t="s">
        <v>79</v>
      </c>
      <c r="F16" s="60" t="s">
        <v>34</v>
      </c>
      <c r="G16" s="47">
        <v>7</v>
      </c>
      <c r="H16" s="133">
        <f>IF(B$17=0,0,G16/B$17)</f>
        <v>1.9498607242339833E-2</v>
      </c>
      <c r="I16" s="94">
        <v>7</v>
      </c>
      <c r="K16" s="38">
        <v>14</v>
      </c>
      <c r="L16" s="99">
        <v>473.50000000000006</v>
      </c>
      <c r="N16" s="115" t="s">
        <v>129</v>
      </c>
      <c r="O16" s="125">
        <f>IF(P16=0,0,Q16/P16)</f>
        <v>36.828205128205141</v>
      </c>
      <c r="P16" s="119">
        <v>39</v>
      </c>
      <c r="Q16" s="107">
        <v>1436.3000000000004</v>
      </c>
    </row>
    <row r="17" spans="1:17" x14ac:dyDescent="0.4">
      <c r="A17" s="54" t="s">
        <v>10</v>
      </c>
      <c r="B17" s="46">
        <f>B19+B18</f>
        <v>359</v>
      </c>
      <c r="C17" s="37">
        <f>IF(B$3=0,0,B17/B$3)</f>
        <v>0.3526522593320236</v>
      </c>
      <c r="E17" s="63" t="s">
        <v>80</v>
      </c>
      <c r="F17" s="60" t="s">
        <v>35</v>
      </c>
      <c r="G17" s="47">
        <v>5</v>
      </c>
      <c r="H17" s="133">
        <f>IF(B$17=0,0,G17/B$17)</f>
        <v>1.3927576601671309E-2</v>
      </c>
      <c r="I17" s="94">
        <v>8</v>
      </c>
      <c r="K17" s="38">
        <v>15</v>
      </c>
      <c r="L17" s="99">
        <v>481.50000000000006</v>
      </c>
      <c r="N17" s="115" t="s">
        <v>177</v>
      </c>
      <c r="O17" s="125">
        <f>IF(P17=0,0,Q17/P17)</f>
        <v>29.850000000000005</v>
      </c>
      <c r="P17" s="119">
        <v>20</v>
      </c>
      <c r="Q17" s="107">
        <v>597.00000000000011</v>
      </c>
    </row>
    <row r="18" spans="1:17" x14ac:dyDescent="0.4">
      <c r="A18" s="55" t="s">
        <v>12</v>
      </c>
      <c r="B18" s="47">
        <v>144</v>
      </c>
      <c r="C18" s="39">
        <f>IF(B$17=0,0,B18/B$17)</f>
        <v>0.4011142061281337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215</v>
      </c>
      <c r="C19" s="39">
        <f>IF(B$17=0,0,B19/B$17)</f>
        <v>0.59888579387186625</v>
      </c>
      <c r="E19" s="63" t="s">
        <v>82</v>
      </c>
      <c r="F19" s="60" t="s">
        <v>37</v>
      </c>
      <c r="G19" s="47">
        <v>11</v>
      </c>
      <c r="H19" s="133">
        <f>IF(B$17=0,0,G19/B$17)</f>
        <v>3.0640668523676879E-2</v>
      </c>
      <c r="I19" s="94">
        <v>5</v>
      </c>
      <c r="K19" s="38">
        <v>17</v>
      </c>
      <c r="L19" s="99">
        <v>427.40000000000003</v>
      </c>
      <c r="N19" s="115" t="s">
        <v>172</v>
      </c>
      <c r="O19" s="125">
        <f>IF(P19=0,0,Q19/P19)</f>
        <v>23.990909090909092</v>
      </c>
      <c r="P19" s="119">
        <v>33</v>
      </c>
      <c r="Q19" s="107">
        <v>791.7</v>
      </c>
    </row>
    <row r="20" spans="1:17" x14ac:dyDescent="0.4">
      <c r="A20" s="55" t="s">
        <v>13</v>
      </c>
      <c r="B20" s="47">
        <v>157</v>
      </c>
      <c r="C20" s="39">
        <f>IF(B$3=0,0,B20/B$3)</f>
        <v>0.15422396856581533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6</v>
      </c>
      <c r="E21" s="63" t="s">
        <v>84</v>
      </c>
      <c r="F21" s="60" t="s">
        <v>39</v>
      </c>
      <c r="G21" s="47">
        <v>18</v>
      </c>
      <c r="H21" s="133">
        <f>IF(B$17=0,0,G21/B$17)</f>
        <v>5.0139275766016712E-2</v>
      </c>
      <c r="I21" s="94">
        <v>3</v>
      </c>
      <c r="K21" s="38">
        <v>19</v>
      </c>
      <c r="L21" s="99">
        <v>405.40000000000003</v>
      </c>
      <c r="N21" s="115" t="s">
        <v>186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194</v>
      </c>
      <c r="B22" s="47">
        <v>39</v>
      </c>
      <c r="C22" s="135">
        <v>9</v>
      </c>
      <c r="E22" s="63" t="s">
        <v>85</v>
      </c>
      <c r="F22" s="60" t="s">
        <v>40</v>
      </c>
      <c r="G22" s="47">
        <v>1</v>
      </c>
      <c r="H22" s="133">
        <f>IF(B$17=0,0,G22/B$17)</f>
        <v>2.7855153203342618E-3</v>
      </c>
      <c r="I22" s="94">
        <v>4</v>
      </c>
      <c r="K22" s="38">
        <v>20</v>
      </c>
      <c r="L22" s="99">
        <v>469.6</v>
      </c>
      <c r="N22" s="115" t="s">
        <v>128</v>
      </c>
      <c r="O22" s="125">
        <f>IF(P22=0,0,Q22/P22)</f>
        <v>17.662025316455697</v>
      </c>
      <c r="P22" s="119">
        <v>79</v>
      </c>
      <c r="Q22" s="107">
        <v>1395.3000000000002</v>
      </c>
    </row>
    <row r="23" spans="1:17" x14ac:dyDescent="0.4">
      <c r="A23" s="55" t="s">
        <v>5</v>
      </c>
      <c r="B23" s="51">
        <f>IF(B$17=0,0,C23/B$17)</f>
        <v>9180.5013927576601</v>
      </c>
      <c r="C23" s="41">
        <v>3295800</v>
      </c>
      <c r="E23" s="63" t="s">
        <v>86</v>
      </c>
      <c r="F23" s="60" t="s">
        <v>41</v>
      </c>
      <c r="G23" s="47">
        <v>1</v>
      </c>
      <c r="H23" s="133">
        <f>IF(B$17=0,0,G23/B$17)</f>
        <v>2.7855153203342618E-3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1.0086956521739103</v>
      </c>
      <c r="P23" s="119">
        <v>46</v>
      </c>
      <c r="Q23" s="107">
        <v>46.399999999999878</v>
      </c>
    </row>
    <row r="24" spans="1:17" x14ac:dyDescent="0.4">
      <c r="A24" s="57" t="s">
        <v>14</v>
      </c>
      <c r="B24" s="52">
        <f>IF(B$20=0,0,C24/B$20)</f>
        <v>-8277.7070063694264</v>
      </c>
      <c r="C24" s="45">
        <v>-1299600</v>
      </c>
      <c r="E24" s="63" t="s">
        <v>87</v>
      </c>
      <c r="F24" s="60" t="s">
        <v>42</v>
      </c>
      <c r="G24" s="47">
        <v>25</v>
      </c>
      <c r="H24" s="133">
        <f>IF(B$17=0,0,G24/B$17)</f>
        <v>6.9637883008356549E-2</v>
      </c>
      <c r="I24" s="94">
        <v>5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2.7855153203342618E-3</v>
      </c>
      <c r="I25" s="94">
        <v>6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9.8231827111984276E-4</v>
      </c>
      <c r="E27" s="63" t="s">
        <v>90</v>
      </c>
      <c r="F27" s="60" t="s">
        <v>45</v>
      </c>
      <c r="G27" s="47">
        <v>55</v>
      </c>
      <c r="H27" s="133">
        <f>IF(B$17=0,0,G27/B$17)</f>
        <v>0.15320334261838439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2.7855153203342618E-3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7</v>
      </c>
      <c r="H29" s="133">
        <f>IF(B$17=0,0,G29/B$17)</f>
        <v>1.9498607242339833E-2</v>
      </c>
      <c r="I29" s="94">
        <v>4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5.5710306406685237E-3</v>
      </c>
      <c r="I30" s="94">
        <v>3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2.7855153203342618E-3</v>
      </c>
      <c r="I31" s="94">
        <v>5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2.7855153203342618E-3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183</v>
      </c>
      <c r="G50" s="47">
        <v>12</v>
      </c>
      <c r="H50" s="133">
        <f>IF(B$17=0,0,G50/B$17)</f>
        <v>3.3426183844011144E-2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181</v>
      </c>
      <c r="F51" s="61" t="s">
        <v>182</v>
      </c>
      <c r="G51" s="49">
        <v>149</v>
      </c>
      <c r="H51" s="134">
        <f>IF(B$17=0,0,G51/B$17)</f>
        <v>0.41504178272980502</v>
      </c>
      <c r="I51" s="95">
        <v>5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</sheetData>
  <sortState ref="E2:I12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8118-3A13-46AA-BDAA-4B416E5635CB}">
  <sheetPr codeName="Sheet9"/>
  <dimension ref="A1:Q11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115</v>
      </c>
      <c r="C2" s="147"/>
      <c r="E2" s="62" t="s">
        <v>65</v>
      </c>
      <c r="F2" s="59" t="s">
        <v>21</v>
      </c>
      <c r="G2" s="46">
        <v>156</v>
      </c>
      <c r="H2" s="132">
        <f>IF(B$17=0,0,G2/B$17)</f>
        <v>0.60465116279069764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444.3478260869565</v>
      </c>
      <c r="P2" s="118">
        <v>115</v>
      </c>
      <c r="Q2" s="102">
        <v>51100</v>
      </c>
    </row>
    <row r="3" spans="1:17" x14ac:dyDescent="0.4">
      <c r="A3" s="55" t="s">
        <v>8</v>
      </c>
      <c r="B3" s="148">
        <v>947</v>
      </c>
      <c r="C3" s="149"/>
      <c r="E3" s="63" t="s">
        <v>66</v>
      </c>
      <c r="F3" s="60" t="s">
        <v>22</v>
      </c>
      <c r="G3" s="47">
        <v>41</v>
      </c>
      <c r="H3" s="133">
        <f>IF(B$17=0,0,G3/B$17)</f>
        <v>0.15891472868217055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-2309.0090090090089</v>
      </c>
      <c r="P3" s="119">
        <v>111</v>
      </c>
      <c r="Q3" s="103">
        <v>-256300</v>
      </c>
    </row>
    <row r="4" spans="1:17" x14ac:dyDescent="0.4">
      <c r="A4" s="55" t="s">
        <v>6</v>
      </c>
      <c r="B4" s="150">
        <v>-327.60000000000008</v>
      </c>
      <c r="C4" s="151"/>
      <c r="E4" s="63" t="s">
        <v>67</v>
      </c>
      <c r="F4" s="60" t="s">
        <v>23</v>
      </c>
      <c r="G4" s="47">
        <v>197</v>
      </c>
      <c r="H4" s="133">
        <f>IF(B$17=0,0,G4/B$17)</f>
        <v>0.76356589147286824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62.037037037037038</v>
      </c>
      <c r="P4" s="119">
        <v>108</v>
      </c>
      <c r="Q4" s="103">
        <v>6700</v>
      </c>
    </row>
    <row r="5" spans="1:17" x14ac:dyDescent="0.4">
      <c r="A5" s="55" t="s">
        <v>7</v>
      </c>
      <c r="B5" s="152">
        <f>IF(B$2=0,0,B$4/B$2)</f>
        <v>-2.8486956521739137</v>
      </c>
      <c r="C5" s="153"/>
      <c r="E5" s="63" t="s">
        <v>68</v>
      </c>
      <c r="F5" s="60" t="s">
        <v>24</v>
      </c>
      <c r="G5" s="47">
        <v>94</v>
      </c>
      <c r="H5" s="133">
        <f>IF(B$17=0,0,G5/B$17)</f>
        <v>0.36434108527131781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256.25</v>
      </c>
      <c r="P5" s="119">
        <v>96</v>
      </c>
      <c r="Q5" s="103">
        <v>24600</v>
      </c>
    </row>
    <row r="6" spans="1:17" x14ac:dyDescent="0.4">
      <c r="A6" s="55" t="s">
        <v>1</v>
      </c>
      <c r="B6" s="142">
        <f>IF(B$2=0,0,(B$7*1+B$8*2+B$9*3)/B$2)</f>
        <v>2.0782608695652174</v>
      </c>
      <c r="C6" s="143"/>
      <c r="E6" s="63" t="s">
        <v>69</v>
      </c>
      <c r="F6" s="60" t="s">
        <v>12</v>
      </c>
      <c r="G6" s="47">
        <v>88</v>
      </c>
      <c r="H6" s="133">
        <f>IF(B$17=0,0,G6/B$17)</f>
        <v>0.34108527131782945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0.26956521739130435</v>
      </c>
      <c r="E7" s="63" t="s">
        <v>70</v>
      </c>
      <c r="F7" s="60" t="s">
        <v>25</v>
      </c>
      <c r="G7" s="47">
        <v>58</v>
      </c>
      <c r="H7" s="133">
        <f>IF(B$17=0,0,G7/B$17)</f>
        <v>0.22480620155038761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0.38260869565217392</v>
      </c>
      <c r="E8" s="63" t="s">
        <v>71</v>
      </c>
      <c r="F8" s="60" t="s">
        <v>26</v>
      </c>
      <c r="G8" s="47">
        <v>31</v>
      </c>
      <c r="H8" s="133">
        <f>IF(B$17=0,0,G8/B$17)</f>
        <v>0.12015503875968993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0.34782608695652173</v>
      </c>
      <c r="E9" s="63" t="s">
        <v>72</v>
      </c>
      <c r="F9" s="60" t="s">
        <v>27</v>
      </c>
      <c r="G9" s="47">
        <v>14</v>
      </c>
      <c r="H9" s="133">
        <f>IF(B$17=0,0,G9/B$17)</f>
        <v>5.4263565891472867E-2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0.13043478260869565</v>
      </c>
      <c r="E10" s="63" t="s">
        <v>73</v>
      </c>
      <c r="F10" s="60" t="s">
        <v>28</v>
      </c>
      <c r="G10" s="47">
        <v>120</v>
      </c>
      <c r="H10" s="133">
        <f>IF(B$17=0,0,G10/B$17)</f>
        <v>0.46511627906976744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9.5652173913043481E-2</v>
      </c>
      <c r="E11" s="63" t="s">
        <v>74</v>
      </c>
      <c r="F11" s="60" t="s">
        <v>29</v>
      </c>
      <c r="G11" s="47">
        <v>2</v>
      </c>
      <c r="H11" s="133">
        <f>IF(B$17=0,0,G11/B$17)</f>
        <v>7.7519379844961239E-3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6.9565217391304349E-2</v>
      </c>
      <c r="E12" s="63" t="s">
        <v>75</v>
      </c>
      <c r="F12" s="60" t="s">
        <v>30</v>
      </c>
      <c r="G12" s="47">
        <v>2</v>
      </c>
      <c r="H12" s="133">
        <f>IF(B$17=0,0,G12/B$17)</f>
        <v>7.7519379844961239E-3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282</v>
      </c>
      <c r="C13" s="44">
        <f>IF(B$3=0,0,B13/B$3)</f>
        <v>0.29778247096092925</v>
      </c>
      <c r="E13" s="63" t="s">
        <v>76</v>
      </c>
      <c r="F13" s="60" t="s">
        <v>31</v>
      </c>
      <c r="G13" s="47">
        <v>2</v>
      </c>
      <c r="H13" s="133">
        <f>IF(B$17=0,0,G13/B$17)</f>
        <v>7.7519379844961239E-3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0.18057022175290391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0.58510638297872342</v>
      </c>
      <c r="E15" s="63" t="s">
        <v>78</v>
      </c>
      <c r="F15" s="60" t="s">
        <v>33</v>
      </c>
      <c r="G15" s="47">
        <v>1</v>
      </c>
      <c r="H15" s="133">
        <f>IF(B$17=0,0,G15/B$17)</f>
        <v>3.875968992248062E-3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79</v>
      </c>
      <c r="F16" s="60" t="s">
        <v>34</v>
      </c>
      <c r="G16" s="47">
        <v>4</v>
      </c>
      <c r="H16" s="133">
        <f>IF(B$17=0,0,G16/B$17)</f>
        <v>1.5503875968992248E-2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0.27243928194297784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82</v>
      </c>
      <c r="F19" s="60" t="s">
        <v>37</v>
      </c>
      <c r="G19" s="47">
        <v>8</v>
      </c>
      <c r="H19" s="133">
        <f>IF(B$17=0,0,G19/B$17)</f>
        <v>3.1007751937984496E-2</v>
      </c>
      <c r="I19" s="94">
        <v>6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163</v>
      </c>
      <c r="C20" s="39">
        <f>IF(B$3=0,0,B20/B$3)</f>
        <v>0.17212249208025343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3.875968992248062E-2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85</v>
      </c>
      <c r="F22" s="60" t="s">
        <v>40</v>
      </c>
      <c r="G22" s="47">
        <v>1</v>
      </c>
      <c r="H22" s="133">
        <f>IF(B$17=0,0,G22/B$17)</f>
        <v>3.875968992248062E-3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-17.662025316455697</v>
      </c>
      <c r="P22" s="119">
        <v>79</v>
      </c>
      <c r="Q22" s="107">
        <v>-1395.3000000000002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-7741.1042944785277</v>
      </c>
      <c r="C24" s="45">
        <v>-1261800</v>
      </c>
      <c r="E24" s="63" t="s">
        <v>87</v>
      </c>
      <c r="F24" s="60" t="s">
        <v>42</v>
      </c>
      <c r="G24" s="47">
        <v>14</v>
      </c>
      <c r="H24" s="133">
        <f>IF(B$17=0,0,G24/B$17)</f>
        <v>5.4263565891472867E-2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3.875968992248062E-3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5.279831045406547E-3</v>
      </c>
      <c r="E27" s="63" t="s">
        <v>90</v>
      </c>
      <c r="F27" s="60" t="s">
        <v>45</v>
      </c>
      <c r="G27" s="47">
        <v>25</v>
      </c>
      <c r="H27" s="133">
        <f>IF(B$17=0,0,G27/B$17)</f>
        <v>9.6899224806201556E-2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2.3255813953488372E-2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3.875968992248062E-3</v>
      </c>
      <c r="I30" s="94">
        <v>5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3.875968992248062E-3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3.875968992248062E-3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1.937984496124031E-2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114</v>
      </c>
      <c r="H51" s="134">
        <f>IF(B$17=0,0,G51/B$17)</f>
        <v>0.44186046511627908</v>
      </c>
      <c r="I51" s="95">
        <v>3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</sheetData>
  <sortState ref="E2:I11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C4E6-4960-44B9-84DF-0C7256D0DAEE}">
  <sheetPr codeName="Sheet11"/>
  <dimension ref="A1:Q6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66</v>
      </c>
      <c r="C2" s="147"/>
      <c r="E2" s="62" t="s">
        <v>65</v>
      </c>
      <c r="F2" s="59" t="s">
        <v>21</v>
      </c>
      <c r="G2" s="46">
        <v>68</v>
      </c>
      <c r="H2" s="132">
        <f>IF(B$17=0,0,G2/B$17)</f>
        <v>0.56198347107438018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-1890.909090909091</v>
      </c>
      <c r="P2" s="118">
        <v>66</v>
      </c>
      <c r="Q2" s="102">
        <v>-124800</v>
      </c>
    </row>
    <row r="3" spans="1:17" x14ac:dyDescent="0.4">
      <c r="A3" s="55" t="s">
        <v>8</v>
      </c>
      <c r="B3" s="148">
        <v>542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7.43801652892562E-2</v>
      </c>
      <c r="I3" s="94">
        <v>8</v>
      </c>
      <c r="K3" s="38">
        <v>1</v>
      </c>
      <c r="L3" s="99">
        <v>-40.4</v>
      </c>
      <c r="N3" s="115" t="s">
        <v>133</v>
      </c>
      <c r="O3" s="122">
        <f t="shared" si="0"/>
        <v>-1323.4375</v>
      </c>
      <c r="P3" s="119">
        <v>64</v>
      </c>
      <c r="Q3" s="103">
        <v>-84700</v>
      </c>
    </row>
    <row r="4" spans="1:17" x14ac:dyDescent="0.4">
      <c r="A4" s="55" t="s">
        <v>6</v>
      </c>
      <c r="B4" s="150">
        <v>-1122.9999999999998</v>
      </c>
      <c r="C4" s="151"/>
      <c r="E4" s="63" t="s">
        <v>67</v>
      </c>
      <c r="F4" s="60" t="s">
        <v>23</v>
      </c>
      <c r="G4" s="47">
        <v>108</v>
      </c>
      <c r="H4" s="133">
        <f>IF(B$17=0,0,G4/B$17)</f>
        <v>0.8925619834710744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-1010</v>
      </c>
      <c r="P4" s="119">
        <v>60</v>
      </c>
      <c r="Q4" s="103">
        <v>-60600</v>
      </c>
    </row>
    <row r="5" spans="1:17" x14ac:dyDescent="0.4">
      <c r="A5" s="55" t="s">
        <v>7</v>
      </c>
      <c r="B5" s="152">
        <f>IF(B$2=0,0,B$4/B$2)</f>
        <v>-17.015151515151512</v>
      </c>
      <c r="C5" s="153"/>
      <c r="E5" s="63" t="s">
        <v>68</v>
      </c>
      <c r="F5" s="60" t="s">
        <v>24</v>
      </c>
      <c r="G5" s="47">
        <v>41</v>
      </c>
      <c r="H5" s="133">
        <f>IF(B$17=0,0,G5/B$17)</f>
        <v>0.33884297520661155</v>
      </c>
      <c r="I5" s="94">
        <v>7</v>
      </c>
      <c r="K5" s="38">
        <v>3</v>
      </c>
      <c r="L5" s="99">
        <v>-23.099999999999998</v>
      </c>
      <c r="N5" s="115" t="s">
        <v>135</v>
      </c>
      <c r="O5" s="122">
        <f t="shared" si="0"/>
        <v>-5440.3846153846152</v>
      </c>
      <c r="P5" s="119">
        <v>52</v>
      </c>
      <c r="Q5" s="103">
        <v>-282900</v>
      </c>
    </row>
    <row r="6" spans="1:17" x14ac:dyDescent="0.4">
      <c r="A6" s="55" t="s">
        <v>1</v>
      </c>
      <c r="B6" s="142">
        <f>IF(B$2=0,0,(B$7*1+B$8*2+B$9*3)/B$2)</f>
        <v>2.2878787878787881</v>
      </c>
      <c r="C6" s="143"/>
      <c r="E6" s="63" t="s">
        <v>69</v>
      </c>
      <c r="F6" s="60" t="s">
        <v>12</v>
      </c>
      <c r="G6" s="47">
        <v>52</v>
      </c>
      <c r="H6" s="133">
        <f>IF(B$17=0,0,G6/B$17)</f>
        <v>0.42975206611570249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-1971.7391304347825</v>
      </c>
      <c r="P6" s="119">
        <v>46</v>
      </c>
      <c r="Q6" s="103">
        <v>-90700</v>
      </c>
    </row>
    <row r="7" spans="1:17" x14ac:dyDescent="0.4">
      <c r="A7" s="55" t="s">
        <v>2</v>
      </c>
      <c r="B7" s="47">
        <v>15</v>
      </c>
      <c r="C7" s="39">
        <f>IF(B$2=0,0,B7/B$2)</f>
        <v>0.22727272727272727</v>
      </c>
      <c r="E7" s="63" t="s">
        <v>70</v>
      </c>
      <c r="F7" s="60" t="s">
        <v>25</v>
      </c>
      <c r="G7" s="47">
        <v>27</v>
      </c>
      <c r="H7" s="133">
        <f>IF(B$17=0,0,G7/B$17)</f>
        <v>0.2231404958677686</v>
      </c>
      <c r="I7" s="94">
        <v>3</v>
      </c>
      <c r="K7" s="38">
        <v>5</v>
      </c>
      <c r="L7" s="99">
        <v>-32.199999999999996</v>
      </c>
      <c r="N7" s="116" t="s">
        <v>137</v>
      </c>
      <c r="O7" s="123">
        <f t="shared" si="0"/>
        <v>-2148.8372093023254</v>
      </c>
      <c r="P7" s="120">
        <v>43</v>
      </c>
      <c r="Q7" s="104">
        <v>-92400</v>
      </c>
    </row>
    <row r="8" spans="1:17" x14ac:dyDescent="0.4">
      <c r="A8" s="55" t="s">
        <v>3</v>
      </c>
      <c r="B8" s="47">
        <v>17</v>
      </c>
      <c r="C8" s="39">
        <f>IF(B$2=0,0,B8/B$2)</f>
        <v>0.25757575757575757</v>
      </c>
      <c r="E8" s="63" t="s">
        <v>71</v>
      </c>
      <c r="F8" s="60" t="s">
        <v>26</v>
      </c>
      <c r="G8" s="47">
        <v>20</v>
      </c>
      <c r="H8" s="133">
        <f>IF(B$17=0,0,G8/B$17)</f>
        <v>0.16528925619834711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0.51515151515151514</v>
      </c>
      <c r="E9" s="63" t="s">
        <v>72</v>
      </c>
      <c r="F9" s="60" t="s">
        <v>27</v>
      </c>
      <c r="G9" s="47">
        <v>13</v>
      </c>
      <c r="H9" s="133">
        <f>IF(B$17=0,0,G9/B$17)</f>
        <v>0.10743801652892562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0.18181818181818182</v>
      </c>
      <c r="E10" s="63" t="s">
        <v>73</v>
      </c>
      <c r="F10" s="60" t="s">
        <v>28</v>
      </c>
      <c r="G10" s="47">
        <v>43</v>
      </c>
      <c r="H10" s="133">
        <f>IF(B$17=0,0,G10/B$17)</f>
        <v>0.35537190082644626</v>
      </c>
      <c r="I10" s="94">
        <v>11</v>
      </c>
      <c r="K10" s="38">
        <v>8</v>
      </c>
      <c r="L10" s="99">
        <v>-79.599999999999994</v>
      </c>
      <c r="N10" s="114" t="s">
        <v>164</v>
      </c>
      <c r="O10" s="124">
        <f>IF(P10=0,0,Q10/P10)</f>
        <v>-20.042857142857137</v>
      </c>
      <c r="P10" s="118">
        <v>21</v>
      </c>
      <c r="Q10" s="106">
        <v>-420.89999999999992</v>
      </c>
    </row>
    <row r="11" spans="1:17" x14ac:dyDescent="0.4">
      <c r="A11" s="56" t="s">
        <v>140</v>
      </c>
      <c r="B11" s="48">
        <v>7</v>
      </c>
      <c r="C11" s="40">
        <f>IF(B$2=0,0,B11/B$2)</f>
        <v>0.10606060606060606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-13.785185185185188</v>
      </c>
      <c r="P11" s="119">
        <v>27</v>
      </c>
      <c r="Q11" s="107">
        <v>-372.2000000000001</v>
      </c>
    </row>
    <row r="12" spans="1:17" x14ac:dyDescent="0.4">
      <c r="A12" s="57" t="s">
        <v>160</v>
      </c>
      <c r="B12" s="49">
        <v>5</v>
      </c>
      <c r="C12" s="42">
        <f>IF(B$2=0,0,B12/B$2)</f>
        <v>7.575757575757576E-2</v>
      </c>
      <c r="E12" s="63" t="s">
        <v>75</v>
      </c>
      <c r="F12" s="60" t="s">
        <v>30</v>
      </c>
      <c r="G12" s="47">
        <v>2</v>
      </c>
      <c r="H12" s="133">
        <f>IF(B$17=0,0,G12/B$17)</f>
        <v>1.6528925619834711E-2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144</v>
      </c>
      <c r="C13" s="44">
        <f>IF(B$3=0,0,B13/B$3)</f>
        <v>0.26568265682656828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90</v>
      </c>
      <c r="C14" s="39">
        <f>IF(B$3=0,0,B14/B$3)</f>
        <v>0.16605166051660517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71</v>
      </c>
      <c r="C15" s="37">
        <f>IF(B$13=0,0,B15/B$13)</f>
        <v>0.49305555555555558</v>
      </c>
      <c r="E15" s="63" t="s">
        <v>78</v>
      </c>
      <c r="F15" s="60" t="s">
        <v>33</v>
      </c>
      <c r="G15" s="47">
        <v>1</v>
      </c>
      <c r="H15" s="133">
        <f>IF(B$17=0,0,G15/B$17)</f>
        <v>8.2644628099173556E-3</v>
      </c>
      <c r="I15" s="94">
        <v>1</v>
      </c>
      <c r="K15" s="38">
        <v>13</v>
      </c>
      <c r="L15" s="99">
        <v>-369.1</v>
      </c>
      <c r="N15" s="114" t="s">
        <v>225</v>
      </c>
      <c r="O15" s="124">
        <f t="shared" ref="O15:O22" si="2"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21</v>
      </c>
      <c r="C16" s="37">
        <f>IF(B$14=0,0,B16/B$14)</f>
        <v>0.23333333333333334</v>
      </c>
      <c r="E16" s="63" t="s">
        <v>79</v>
      </c>
      <c r="F16" s="60" t="s">
        <v>34</v>
      </c>
      <c r="G16" s="47">
        <v>4</v>
      </c>
      <c r="H16" s="133">
        <f>IF(B$17=0,0,G16/B$17)</f>
        <v>3.3057851239669422E-2</v>
      </c>
      <c r="I16" s="94">
        <v>5</v>
      </c>
      <c r="K16" s="38">
        <v>14</v>
      </c>
      <c r="L16" s="99">
        <v>-394.6</v>
      </c>
      <c r="N16" s="115" t="s">
        <v>177</v>
      </c>
      <c r="O16" s="125">
        <f t="shared" si="2"/>
        <v>-4.4153846153846148</v>
      </c>
      <c r="P16" s="119">
        <v>13</v>
      </c>
      <c r="Q16" s="107">
        <v>-57.399999999999991</v>
      </c>
    </row>
    <row r="17" spans="1:17" x14ac:dyDescent="0.4">
      <c r="A17" s="54" t="s">
        <v>10</v>
      </c>
      <c r="B17" s="46">
        <f>B19+B18</f>
        <v>121</v>
      </c>
      <c r="C17" s="37">
        <f>IF(B$3=0,0,B17/B$3)</f>
        <v>0.22324723247232472</v>
      </c>
      <c r="E17" s="63" t="s">
        <v>80</v>
      </c>
      <c r="F17" s="60" t="s">
        <v>35</v>
      </c>
      <c r="G17" s="47">
        <v>1</v>
      </c>
      <c r="H17" s="133">
        <f>IF(B$17=0,0,G17/B$17)</f>
        <v>8.2644628099173556E-3</v>
      </c>
      <c r="I17" s="94">
        <v>9</v>
      </c>
      <c r="K17" s="38">
        <v>15</v>
      </c>
      <c r="L17" s="99">
        <v>-424.5</v>
      </c>
      <c r="N17" s="115" t="s">
        <v>128</v>
      </c>
      <c r="O17" s="125">
        <f t="shared" si="2"/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60</v>
      </c>
      <c r="C18" s="39">
        <f>IF(B$17=0,0,B18/B$17)</f>
        <v>0.49586776859504134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173</v>
      </c>
      <c r="O18" s="125">
        <f t="shared" si="2"/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61</v>
      </c>
      <c r="C19" s="39">
        <f>IF(B$17=0,0,B19/B$17)</f>
        <v>0.50413223140495866</v>
      </c>
      <c r="E19" s="63" t="s">
        <v>82</v>
      </c>
      <c r="F19" s="60" t="s">
        <v>37</v>
      </c>
      <c r="G19" s="47">
        <v>2</v>
      </c>
      <c r="H19" s="133">
        <f>IF(B$17=0,0,G19/B$17)</f>
        <v>1.6528925619834711E-2</v>
      </c>
      <c r="I19" s="94">
        <v>9</v>
      </c>
      <c r="K19" s="38">
        <v>17</v>
      </c>
      <c r="L19" s="99">
        <v>-538.29999999999995</v>
      </c>
      <c r="N19" s="115" t="s">
        <v>171</v>
      </c>
      <c r="O19" s="125">
        <f t="shared" si="2"/>
        <v>-26.395</v>
      </c>
      <c r="P19" s="119">
        <v>20</v>
      </c>
      <c r="Q19" s="107">
        <v>-527.9</v>
      </c>
    </row>
    <row r="20" spans="1:17" x14ac:dyDescent="0.4">
      <c r="A20" s="55" t="s">
        <v>13</v>
      </c>
      <c r="B20" s="47">
        <v>106</v>
      </c>
      <c r="C20" s="39">
        <f>IF(B$3=0,0,B20/B$3)</f>
        <v>0.19557195571955718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 t="shared" si="2"/>
        <v>-36.828205128205141</v>
      </c>
      <c r="P20" s="119">
        <v>39</v>
      </c>
      <c r="Q20" s="107">
        <v>-1436.3000000000006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4.1322314049586778E-2</v>
      </c>
      <c r="I21" s="94">
        <v>7</v>
      </c>
      <c r="K21" s="38">
        <v>19</v>
      </c>
      <c r="L21" s="99">
        <v>-569.49999999999989</v>
      </c>
      <c r="N21" s="115" t="s">
        <v>172</v>
      </c>
      <c r="O21" s="125">
        <f t="shared" si="2"/>
        <v>-44.76153846153845</v>
      </c>
      <c r="P21" s="119">
        <v>13</v>
      </c>
      <c r="Q21" s="107">
        <v>-581.89999999999986</v>
      </c>
    </row>
    <row r="22" spans="1:17" x14ac:dyDescent="0.4">
      <c r="A22" s="55" t="s">
        <v>194</v>
      </c>
      <c r="B22" s="47">
        <v>31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186</v>
      </c>
      <c r="O22" s="125">
        <f t="shared" si="2"/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9066.9421487603304</v>
      </c>
      <c r="C23" s="41">
        <v>1097100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-9527.3584905660373</v>
      </c>
      <c r="C24" s="45">
        <v>-1009900</v>
      </c>
      <c r="E24" s="63" t="s">
        <v>87</v>
      </c>
      <c r="F24" s="60" t="s">
        <v>42</v>
      </c>
      <c r="G24" s="47">
        <v>9</v>
      </c>
      <c r="H24" s="133">
        <f>IF(B$17=0,0,G24/B$17)</f>
        <v>7.43801652892562E-2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8.2644628099173556E-3</v>
      </c>
      <c r="I25" s="94">
        <v>2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8.2644628099173556E-3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1.8450184501845018E-3</v>
      </c>
      <c r="E27" s="63" t="s">
        <v>90</v>
      </c>
      <c r="F27" s="60" t="s">
        <v>45</v>
      </c>
      <c r="G27" s="47">
        <v>11</v>
      </c>
      <c r="H27" s="133">
        <f>IF(B$17=0,0,G27/B$17)</f>
        <v>9.0909090909090912E-2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8.2644628099173556E-3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1.6528925619834711E-2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64" t="s">
        <v>181</v>
      </c>
      <c r="F51" s="61" t="s">
        <v>182</v>
      </c>
      <c r="G51" s="49">
        <v>47</v>
      </c>
      <c r="H51" s="134">
        <f>IF(B$17=0,0,G51/B$17)</f>
        <v>0.38842975206611569</v>
      </c>
      <c r="I51" s="95">
        <v>9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</sheetData>
  <sortState ref="E2:I6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08340-0AAD-49FA-81BA-E02D22FAD482}">
  <sheetPr codeName="Sheet13"/>
  <dimension ref="A1:Q8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78</v>
      </c>
      <c r="C2" s="147"/>
      <c r="E2" s="62" t="s">
        <v>67</v>
      </c>
      <c r="F2" s="59" t="s">
        <v>23</v>
      </c>
      <c r="G2" s="46">
        <v>162</v>
      </c>
      <c r="H2" s="132">
        <f>IF(B$17=0,0,G2/B$17)</f>
        <v>0.88524590163934425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-1084.6153846153845</v>
      </c>
      <c r="P2" s="118">
        <v>78</v>
      </c>
      <c r="Q2" s="102">
        <v>-84600</v>
      </c>
    </row>
    <row r="3" spans="1:17" x14ac:dyDescent="0.4">
      <c r="A3" s="55" t="s">
        <v>8</v>
      </c>
      <c r="B3" s="148">
        <v>648</v>
      </c>
      <c r="C3" s="149"/>
      <c r="E3" s="63" t="s">
        <v>65</v>
      </c>
      <c r="F3" s="60" t="s">
        <v>21</v>
      </c>
      <c r="G3" s="47">
        <v>103</v>
      </c>
      <c r="H3" s="133">
        <f>IF(B$17=0,0,G3/B$17)</f>
        <v>0.56284153005464477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996.10389610389609</v>
      </c>
      <c r="P3" s="119">
        <v>77</v>
      </c>
      <c r="Q3" s="103">
        <v>76700</v>
      </c>
    </row>
    <row r="4" spans="1:17" x14ac:dyDescent="0.4">
      <c r="A4" s="55" t="s">
        <v>6</v>
      </c>
      <c r="B4" s="150">
        <v>94.299999999999983</v>
      </c>
      <c r="C4" s="151"/>
      <c r="E4" s="63" t="s">
        <v>73</v>
      </c>
      <c r="F4" s="60" t="s">
        <v>28</v>
      </c>
      <c r="G4" s="47">
        <v>94</v>
      </c>
      <c r="H4" s="133">
        <f>IF(B$17=0,0,G4/B$17)</f>
        <v>0.51366120218579236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1628.1690140845071</v>
      </c>
      <c r="P4" s="119">
        <v>71</v>
      </c>
      <c r="Q4" s="103">
        <v>115600</v>
      </c>
    </row>
    <row r="5" spans="1:17" x14ac:dyDescent="0.4">
      <c r="A5" s="55" t="s">
        <v>7</v>
      </c>
      <c r="B5" s="152">
        <f>IF(B$2=0,0,B$4/B$2)</f>
        <v>1.2089743589743587</v>
      </c>
      <c r="C5" s="153"/>
      <c r="E5" s="63" t="s">
        <v>181</v>
      </c>
      <c r="F5" s="60" t="s">
        <v>182</v>
      </c>
      <c r="G5" s="47">
        <v>73</v>
      </c>
      <c r="H5" s="133">
        <f>IF(B$17=0,0,G5/B$17)</f>
        <v>0.39890710382513661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1327.8688524590164</v>
      </c>
      <c r="P5" s="119">
        <v>61</v>
      </c>
      <c r="Q5" s="103">
        <v>81000</v>
      </c>
    </row>
    <row r="6" spans="1:17" x14ac:dyDescent="0.4">
      <c r="A6" s="55" t="s">
        <v>1</v>
      </c>
      <c r="B6" s="142">
        <f>IF(B$2=0,0,(B$7*1+B$8*2+B$9*3)/B$2)</f>
        <v>2.0512820512820511</v>
      </c>
      <c r="C6" s="143"/>
      <c r="E6" s="63" t="s">
        <v>68</v>
      </c>
      <c r="F6" s="60" t="s">
        <v>24</v>
      </c>
      <c r="G6" s="47">
        <v>63</v>
      </c>
      <c r="H6" s="133">
        <f>IF(B$17=0,0,G6/B$17)</f>
        <v>0.34426229508196721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-916.98113207547169</v>
      </c>
      <c r="P6" s="119">
        <v>53</v>
      </c>
      <c r="Q6" s="103">
        <v>-48600</v>
      </c>
    </row>
    <row r="7" spans="1:17" x14ac:dyDescent="0.4">
      <c r="A7" s="55" t="s">
        <v>2</v>
      </c>
      <c r="B7" s="47">
        <v>23</v>
      </c>
      <c r="C7" s="39">
        <f>IF(B$2=0,0,B7/B$2)</f>
        <v>0.29487179487179488</v>
      </c>
      <c r="E7" s="63" t="s">
        <v>69</v>
      </c>
      <c r="F7" s="60" t="s">
        <v>12</v>
      </c>
      <c r="G7" s="47">
        <v>57</v>
      </c>
      <c r="H7" s="133">
        <f>IF(B$17=0,0,G7/B$17)</f>
        <v>0.31147540983606559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106.12244897959184</v>
      </c>
      <c r="P7" s="120">
        <v>49</v>
      </c>
      <c r="Q7" s="104">
        <v>5200</v>
      </c>
    </row>
    <row r="8" spans="1:17" x14ac:dyDescent="0.4">
      <c r="A8" s="55" t="s">
        <v>3</v>
      </c>
      <c r="B8" s="47">
        <v>28</v>
      </c>
      <c r="C8" s="39">
        <f>IF(B$2=0,0,B8/B$2)</f>
        <v>0.35897435897435898</v>
      </c>
      <c r="E8" s="63" t="s">
        <v>70</v>
      </c>
      <c r="F8" s="60" t="s">
        <v>25</v>
      </c>
      <c r="G8" s="47">
        <v>36</v>
      </c>
      <c r="H8" s="133">
        <f>IF(B$17=0,0,G8/B$17)</f>
        <v>0.19672131147540983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0.34615384615384615</v>
      </c>
      <c r="E9" s="63" t="s">
        <v>90</v>
      </c>
      <c r="F9" s="60" t="s">
        <v>45</v>
      </c>
      <c r="G9" s="47">
        <v>28</v>
      </c>
      <c r="H9" s="133">
        <f>IF(B$17=0,0,G9/B$17)</f>
        <v>0.15300546448087432</v>
      </c>
      <c r="I9" s="94">
        <v>5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7.6923076923076927E-2</v>
      </c>
      <c r="E10" s="63" t="s">
        <v>66</v>
      </c>
      <c r="F10" s="60" t="s">
        <v>22</v>
      </c>
      <c r="G10" s="47">
        <v>26</v>
      </c>
      <c r="H10" s="133">
        <f>IF(B$17=0,0,G10/B$17)</f>
        <v>0.14207650273224043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4.68</v>
      </c>
      <c r="P10" s="118">
        <v>20</v>
      </c>
      <c r="Q10" s="106">
        <v>93.6</v>
      </c>
    </row>
    <row r="11" spans="1:17" x14ac:dyDescent="0.4">
      <c r="A11" s="56" t="s">
        <v>140</v>
      </c>
      <c r="B11" s="48">
        <v>10</v>
      </c>
      <c r="C11" s="40">
        <f>IF(B$2=0,0,B11/B$2)</f>
        <v>0.12820512820512819</v>
      </c>
      <c r="E11" s="63" t="s">
        <v>71</v>
      </c>
      <c r="F11" s="60" t="s">
        <v>26</v>
      </c>
      <c r="G11" s="47">
        <v>20</v>
      </c>
      <c r="H11" s="133">
        <f>IF(B$17=0,0,G11/B$17)</f>
        <v>0.10928961748633879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-4.1161290322580628</v>
      </c>
      <c r="P11" s="119">
        <v>31</v>
      </c>
      <c r="Q11" s="107">
        <v>-127.59999999999995</v>
      </c>
    </row>
    <row r="12" spans="1:17" x14ac:dyDescent="0.4">
      <c r="A12" s="57" t="s">
        <v>160</v>
      </c>
      <c r="B12" s="49">
        <v>6</v>
      </c>
      <c r="C12" s="42">
        <f>IF(B$2=0,0,B12/B$2)</f>
        <v>7.6923076923076927E-2</v>
      </c>
      <c r="E12" s="63" t="s">
        <v>87</v>
      </c>
      <c r="F12" s="60" t="s">
        <v>42</v>
      </c>
      <c r="G12" s="47">
        <v>13</v>
      </c>
      <c r="H12" s="133">
        <f>IF(B$17=0,0,G12/B$17)</f>
        <v>7.1038251366120214E-2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4.7518518518518524</v>
      </c>
      <c r="P12" s="120">
        <v>27</v>
      </c>
      <c r="Q12" s="108">
        <v>128.30000000000001</v>
      </c>
    </row>
    <row r="13" spans="1:17" x14ac:dyDescent="0.4">
      <c r="A13" s="58" t="s">
        <v>122</v>
      </c>
      <c r="B13" s="50">
        <v>187</v>
      </c>
      <c r="C13" s="44">
        <f>IF(B$3=0,0,B13/B$3)</f>
        <v>0.28858024691358025</v>
      </c>
      <c r="E13" s="63" t="s">
        <v>72</v>
      </c>
      <c r="F13" s="60" t="s">
        <v>27</v>
      </c>
      <c r="G13" s="47">
        <v>12</v>
      </c>
      <c r="H13" s="133">
        <f>IF(B$17=0,0,G13/B$17)</f>
        <v>6.5573770491803282E-2</v>
      </c>
      <c r="I13" s="94">
        <v>6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124</v>
      </c>
      <c r="C14" s="39">
        <f>IF(B$3=0,0,B14/B$3)</f>
        <v>0.19135802469135801</v>
      </c>
      <c r="E14" s="63" t="s">
        <v>79</v>
      </c>
      <c r="F14" s="60" t="s">
        <v>34</v>
      </c>
      <c r="G14" s="47">
        <v>9</v>
      </c>
      <c r="H14" s="133">
        <f>IF(B$17=0,0,G14/B$17)</f>
        <v>4.9180327868852458E-2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109</v>
      </c>
      <c r="C15" s="37">
        <f>IF(B$13=0,0,B15/B$13)</f>
        <v>0.58288770053475936</v>
      </c>
      <c r="E15" s="63" t="s">
        <v>84</v>
      </c>
      <c r="F15" s="60" t="s">
        <v>39</v>
      </c>
      <c r="G15" s="47">
        <v>8</v>
      </c>
      <c r="H15" s="133">
        <f>IF(B$17=0,0,G15/B$17)</f>
        <v>4.3715846994535519E-2</v>
      </c>
      <c r="I15" s="94">
        <v>7</v>
      </c>
      <c r="K15" s="38">
        <v>13</v>
      </c>
      <c r="L15" s="99">
        <v>-58.7</v>
      </c>
      <c r="N15" s="114" t="s">
        <v>129</v>
      </c>
      <c r="O15" s="124">
        <f>IF(P15=0,0,Q15/P15)</f>
        <v>26.394999999999992</v>
      </c>
      <c r="P15" s="118">
        <v>20</v>
      </c>
      <c r="Q15" s="106">
        <v>527.89999999999986</v>
      </c>
    </row>
    <row r="16" spans="1:17" x14ac:dyDescent="0.4">
      <c r="A16" s="54" t="s">
        <v>125</v>
      </c>
      <c r="B16" s="46">
        <v>49</v>
      </c>
      <c r="C16" s="37">
        <f>IF(B$14=0,0,B16/B$14)</f>
        <v>0.39516129032258063</v>
      </c>
      <c r="E16" s="63" t="s">
        <v>82</v>
      </c>
      <c r="F16" s="60" t="s">
        <v>37</v>
      </c>
      <c r="G16" s="47">
        <v>7</v>
      </c>
      <c r="H16" s="133">
        <f>IF(B$17=0,0,G16/B$17)</f>
        <v>3.825136612021858E-2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183</v>
      </c>
      <c r="C17" s="37">
        <f>IF(B$3=0,0,B17/B$3)</f>
        <v>0.28240740740740738</v>
      </c>
      <c r="E17" s="63" t="s">
        <v>92</v>
      </c>
      <c r="F17" s="60" t="s">
        <v>47</v>
      </c>
      <c r="G17" s="47">
        <v>4</v>
      </c>
      <c r="H17" s="133">
        <f>IF(B$17=0,0,G17/B$17)</f>
        <v>2.185792349726776E-2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77</v>
      </c>
      <c r="C18" s="39">
        <f>IF(B$17=0,0,B18/B$17)</f>
        <v>0.42076502732240439</v>
      </c>
      <c r="E18" s="63" t="s">
        <v>76</v>
      </c>
      <c r="F18" s="60" t="s">
        <v>31</v>
      </c>
      <c r="G18" s="47">
        <v>3</v>
      </c>
      <c r="H18" s="133">
        <f>IF(B$17=0,0,G18/B$17)</f>
        <v>1.6393442622950821E-2</v>
      </c>
      <c r="I18" s="94">
        <v>2</v>
      </c>
      <c r="K18" s="38">
        <v>16</v>
      </c>
      <c r="L18" s="99">
        <v>-50.3</v>
      </c>
      <c r="N18" s="115" t="s">
        <v>128</v>
      </c>
      <c r="O18" s="125">
        <f>IF(P18=0,0,Q18/P18)</f>
        <v>2.3171428571428523</v>
      </c>
      <c r="P18" s="119">
        <v>35</v>
      </c>
      <c r="Q18" s="107">
        <v>81.099999999999824</v>
      </c>
    </row>
    <row r="19" spans="1:17" x14ac:dyDescent="0.4">
      <c r="A19" s="55" t="s">
        <v>11</v>
      </c>
      <c r="B19" s="47">
        <v>106</v>
      </c>
      <c r="C19" s="39">
        <f>IF(B$17=0,0,B19/B$17)</f>
        <v>0.57923497267759561</v>
      </c>
      <c r="E19" s="63" t="s">
        <v>80</v>
      </c>
      <c r="F19" s="60" t="s">
        <v>35</v>
      </c>
      <c r="G19" s="47">
        <v>3</v>
      </c>
      <c r="H19" s="133">
        <f>IF(B$17=0,0,G19/B$17)</f>
        <v>1.6393442622950821E-2</v>
      </c>
      <c r="I19" s="94">
        <v>5</v>
      </c>
      <c r="K19" s="38">
        <v>17</v>
      </c>
      <c r="L19" s="99">
        <v>-74.3</v>
      </c>
      <c r="N19" s="115" t="s">
        <v>172</v>
      </c>
      <c r="O19" s="125">
        <f>IF(P19=0,0,Q19/P19)</f>
        <v>1.1473684210526311</v>
      </c>
      <c r="P19" s="119">
        <v>19</v>
      </c>
      <c r="Q19" s="107">
        <v>21.799999999999994</v>
      </c>
    </row>
    <row r="20" spans="1:17" x14ac:dyDescent="0.4">
      <c r="A20" s="55" t="s">
        <v>13</v>
      </c>
      <c r="B20" s="47">
        <v>114</v>
      </c>
      <c r="C20" s="39">
        <f>IF(B$3=0,0,B20/B$3)</f>
        <v>0.17592592592592593</v>
      </c>
      <c r="E20" s="63" t="s">
        <v>180</v>
      </c>
      <c r="F20" s="60" t="s">
        <v>183</v>
      </c>
      <c r="G20" s="47">
        <v>3</v>
      </c>
      <c r="H20" s="133">
        <f>IF(B$17=0,0,G20/B$17)</f>
        <v>1.6393442622950821E-2</v>
      </c>
      <c r="I20" s="94">
        <v>4</v>
      </c>
      <c r="K20" s="38">
        <v>18</v>
      </c>
      <c r="L20" s="99">
        <v>-76.099999999999994</v>
      </c>
      <c r="N20" s="115" t="s">
        <v>127</v>
      </c>
      <c r="O20" s="125">
        <f>IF(P20=0,0,Q20/P20)</f>
        <v>-1.0086956521739086</v>
      </c>
      <c r="P20" s="119">
        <v>46</v>
      </c>
      <c r="Q20" s="107">
        <v>-46.399999999999793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85</v>
      </c>
      <c r="F21" s="60" t="s">
        <v>40</v>
      </c>
      <c r="G21" s="47">
        <v>2</v>
      </c>
      <c r="H21" s="133">
        <f>IF(B$17=0,0,G21/B$17)</f>
        <v>1.092896174863388E-2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93</v>
      </c>
      <c r="F22" s="60" t="s">
        <v>48</v>
      </c>
      <c r="G22" s="47">
        <v>2</v>
      </c>
      <c r="H22" s="133">
        <f>IF(B$17=0,0,G22/B$17)</f>
        <v>1.092896174863388E-2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-34.907692307692308</v>
      </c>
      <c r="P22" s="119">
        <v>13</v>
      </c>
      <c r="Q22" s="107">
        <v>-453.8</v>
      </c>
    </row>
    <row r="23" spans="1:17" x14ac:dyDescent="0.4">
      <c r="A23" s="55" t="s">
        <v>5</v>
      </c>
      <c r="B23" s="51">
        <f>IF(B$17=0,0,C23/B$17)</f>
        <v>10057.92349726776</v>
      </c>
      <c r="C23" s="41">
        <v>1840600</v>
      </c>
      <c r="E23" s="63" t="s">
        <v>74</v>
      </c>
      <c r="F23" s="60" t="s">
        <v>29</v>
      </c>
      <c r="G23" s="47">
        <v>1</v>
      </c>
      <c r="H23" s="133">
        <f>IF(B$17=0,0,G23/B$17)</f>
        <v>5.4644808743169399E-3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-8107.0175438596489</v>
      </c>
      <c r="C24" s="45">
        <v>-924200</v>
      </c>
      <c r="E24" s="63" t="s">
        <v>88</v>
      </c>
      <c r="F24" s="60" t="s">
        <v>43</v>
      </c>
      <c r="G24" s="47">
        <v>1</v>
      </c>
      <c r="H24" s="133">
        <f>IF(B$17=0,0,G24/B$17)</f>
        <v>5.4644808743169399E-3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5.4644808743169399E-3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6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1.5432098765432098E-3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5715C-F592-49A8-9CA3-A30916D7A69D}">
  <sheetPr codeName="Sheet15"/>
  <dimension ref="A1:Q6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62</v>
      </c>
      <c r="C2" s="147"/>
      <c r="E2" s="62" t="s">
        <v>67</v>
      </c>
      <c r="F2" s="59" t="s">
        <v>23</v>
      </c>
      <c r="G2" s="46">
        <v>130</v>
      </c>
      <c r="H2" s="132">
        <f>IF(B$17=0,0,G2/B$17)</f>
        <v>0.67708333333333337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766.12903225806451</v>
      </c>
      <c r="P2" s="118">
        <v>62</v>
      </c>
      <c r="Q2" s="102">
        <v>47500</v>
      </c>
    </row>
    <row r="3" spans="1:17" x14ac:dyDescent="0.4">
      <c r="A3" s="55" t="s">
        <v>8</v>
      </c>
      <c r="B3" s="148">
        <v>535</v>
      </c>
      <c r="C3" s="149"/>
      <c r="E3" s="63" t="s">
        <v>73</v>
      </c>
      <c r="F3" s="60" t="s">
        <v>28</v>
      </c>
      <c r="G3" s="47">
        <v>112</v>
      </c>
      <c r="H3" s="133">
        <f>IF(B$17=0,0,G3/B$17)</f>
        <v>0.58333333333333337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-403.22580645161293</v>
      </c>
      <c r="P3" s="119">
        <v>62</v>
      </c>
      <c r="Q3" s="103">
        <v>-25000</v>
      </c>
    </row>
    <row r="4" spans="1:17" x14ac:dyDescent="0.4">
      <c r="A4" s="55" t="s">
        <v>6</v>
      </c>
      <c r="B4" s="150">
        <v>7.9999999999999822</v>
      </c>
      <c r="C4" s="151"/>
      <c r="E4" s="63" t="s">
        <v>181</v>
      </c>
      <c r="F4" s="60" t="s">
        <v>182</v>
      </c>
      <c r="G4" s="47">
        <v>87</v>
      </c>
      <c r="H4" s="133">
        <f>IF(B$17=0,0,G4/B$17)</f>
        <v>0.453125</v>
      </c>
      <c r="I4" s="94">
        <v>2</v>
      </c>
      <c r="K4" s="38">
        <v>2</v>
      </c>
      <c r="L4" s="99">
        <v>-7.7000000000000011</v>
      </c>
      <c r="N4" s="115" t="s">
        <v>134</v>
      </c>
      <c r="O4" s="122">
        <f t="shared" si="0"/>
        <v>-1281.8181818181818</v>
      </c>
      <c r="P4" s="119">
        <v>55</v>
      </c>
      <c r="Q4" s="103">
        <v>-70500</v>
      </c>
    </row>
    <row r="5" spans="1:17" x14ac:dyDescent="0.4">
      <c r="A5" s="55" t="s">
        <v>7</v>
      </c>
      <c r="B5" s="152">
        <f>IF(B$2=0,0,B$4/B$2)</f>
        <v>0.12903225806451585</v>
      </c>
      <c r="C5" s="153"/>
      <c r="E5" s="63" t="s">
        <v>65</v>
      </c>
      <c r="F5" s="60" t="s">
        <v>21</v>
      </c>
      <c r="G5" s="47">
        <v>66</v>
      </c>
      <c r="H5" s="133">
        <f>IF(B$17=0,0,G5/B$17)</f>
        <v>0.34375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319.23076923076923</v>
      </c>
      <c r="P5" s="119">
        <v>52</v>
      </c>
      <c r="Q5" s="103">
        <v>16600</v>
      </c>
    </row>
    <row r="6" spans="1:17" x14ac:dyDescent="0.4">
      <c r="A6" s="55" t="s">
        <v>1</v>
      </c>
      <c r="B6" s="142">
        <f>IF(B$2=0,0,(B$7*1+B$8*2+B$9*3)/B$2)</f>
        <v>2.032258064516129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0.265625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808</v>
      </c>
      <c r="P6" s="119">
        <v>50</v>
      </c>
      <c r="Q6" s="103">
        <v>40400</v>
      </c>
    </row>
    <row r="7" spans="1:17" x14ac:dyDescent="0.4">
      <c r="A7" s="55" t="s">
        <v>2</v>
      </c>
      <c r="B7" s="47">
        <v>17</v>
      </c>
      <c r="C7" s="39">
        <f>IF(B$2=0,0,B7/B$2)</f>
        <v>0.27419354838709675</v>
      </c>
      <c r="E7" s="63" t="s">
        <v>68</v>
      </c>
      <c r="F7" s="60" t="s">
        <v>24</v>
      </c>
      <c r="G7" s="47">
        <v>32</v>
      </c>
      <c r="H7" s="133">
        <f>IF(B$17=0,0,G7/B$17)</f>
        <v>0.16666666666666666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-343.18181818181819</v>
      </c>
      <c r="P7" s="120">
        <v>44</v>
      </c>
      <c r="Q7" s="104">
        <v>-15100</v>
      </c>
    </row>
    <row r="8" spans="1:17" x14ac:dyDescent="0.4">
      <c r="A8" s="55" t="s">
        <v>3</v>
      </c>
      <c r="B8" s="47">
        <v>26</v>
      </c>
      <c r="C8" s="39">
        <f>IF(B$2=0,0,B8/B$2)</f>
        <v>0.41935483870967744</v>
      </c>
      <c r="E8" s="63" t="s">
        <v>70</v>
      </c>
      <c r="F8" s="60" t="s">
        <v>25</v>
      </c>
      <c r="G8" s="47">
        <v>28</v>
      </c>
      <c r="H8" s="133">
        <f>IF(B$17=0,0,G8/B$17)</f>
        <v>0.14583333333333334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0.30645161290322581</v>
      </c>
      <c r="E9" s="63" t="s">
        <v>66</v>
      </c>
      <c r="F9" s="60" t="s">
        <v>22</v>
      </c>
      <c r="G9" s="47">
        <v>21</v>
      </c>
      <c r="H9" s="133">
        <f>IF(B$17=0,0,G9/B$17)</f>
        <v>0.109375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4.8387096774193547E-2</v>
      </c>
      <c r="E10" s="63" t="s">
        <v>72</v>
      </c>
      <c r="F10" s="60" t="s">
        <v>27</v>
      </c>
      <c r="G10" s="47">
        <v>15</v>
      </c>
      <c r="H10" s="133">
        <f>IF(B$17=0,0,G10/B$17)</f>
        <v>7.8125E-2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7</v>
      </c>
      <c r="C11" s="40">
        <f>IF(B$2=0,0,B11/B$2)</f>
        <v>0.11290322580645161</v>
      </c>
      <c r="E11" s="63" t="s">
        <v>90</v>
      </c>
      <c r="F11" s="60" t="s">
        <v>45</v>
      </c>
      <c r="G11" s="47">
        <v>14</v>
      </c>
      <c r="H11" s="133">
        <f>IF(B$17=0,0,G11/B$17)</f>
        <v>7.2916666666666671E-2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6.7349999999999994</v>
      </c>
      <c r="P11" s="119">
        <v>20</v>
      </c>
      <c r="Q11" s="107">
        <v>134.69999999999999</v>
      </c>
    </row>
    <row r="12" spans="1:17" x14ac:dyDescent="0.4">
      <c r="A12" s="57" t="s">
        <v>160</v>
      </c>
      <c r="B12" s="49">
        <v>4</v>
      </c>
      <c r="C12" s="42">
        <f>IF(B$2=0,0,B12/B$2)</f>
        <v>6.4516129032258063E-2</v>
      </c>
      <c r="E12" s="63" t="s">
        <v>84</v>
      </c>
      <c r="F12" s="60" t="s">
        <v>39</v>
      </c>
      <c r="G12" s="47">
        <v>12</v>
      </c>
      <c r="H12" s="133">
        <f>IF(B$17=0,0,G12/B$17)</f>
        <v>6.25E-2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1.94</v>
      </c>
      <c r="P12" s="120">
        <v>25</v>
      </c>
      <c r="Q12" s="108">
        <v>48.5</v>
      </c>
    </row>
    <row r="13" spans="1:17" x14ac:dyDescent="0.4">
      <c r="A13" s="58" t="s">
        <v>122</v>
      </c>
      <c r="B13" s="50">
        <v>117</v>
      </c>
      <c r="C13" s="44">
        <f>IF(B$3=0,0,B13/B$3)</f>
        <v>0.21869158878504674</v>
      </c>
      <c r="E13" s="63" t="s">
        <v>71</v>
      </c>
      <c r="F13" s="60" t="s">
        <v>26</v>
      </c>
      <c r="G13" s="47">
        <v>11</v>
      </c>
      <c r="H13" s="133">
        <f>IF(B$17=0,0,G13/B$17)</f>
        <v>5.7291666666666664E-2</v>
      </c>
      <c r="I13" s="94">
        <v>9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158</v>
      </c>
      <c r="C14" s="39">
        <f>IF(B$3=0,0,B14/B$3)</f>
        <v>0.29532710280373831</v>
      </c>
      <c r="E14" s="63" t="s">
        <v>87</v>
      </c>
      <c r="F14" s="60" t="s">
        <v>42</v>
      </c>
      <c r="G14" s="47">
        <v>8</v>
      </c>
      <c r="H14" s="133">
        <f>IF(B$17=0,0,G14/B$17)</f>
        <v>4.1666666666666664E-2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0.5641025641025641</v>
      </c>
      <c r="E15" s="63" t="s">
        <v>82</v>
      </c>
      <c r="F15" s="60" t="s">
        <v>37</v>
      </c>
      <c r="G15" s="47">
        <v>6</v>
      </c>
      <c r="H15" s="133">
        <f>IF(B$17=0,0,G15/B$17)</f>
        <v>3.125E-2</v>
      </c>
      <c r="I15" s="94">
        <v>3</v>
      </c>
      <c r="K15" s="38">
        <v>13</v>
      </c>
      <c r="L15" s="99">
        <v>-3</v>
      </c>
      <c r="N15" s="114" t="s">
        <v>129</v>
      </c>
      <c r="O15" s="124">
        <f>IF(P15=0,0,Q15/P15)</f>
        <v>44.761538461538443</v>
      </c>
      <c r="P15" s="118">
        <v>13</v>
      </c>
      <c r="Q15" s="106">
        <v>581.89999999999975</v>
      </c>
    </row>
    <row r="16" spans="1:17" x14ac:dyDescent="0.4">
      <c r="A16" s="54" t="s">
        <v>125</v>
      </c>
      <c r="B16" s="46">
        <v>70</v>
      </c>
      <c r="C16" s="37">
        <f>IF(B$14=0,0,B16/B$14)</f>
        <v>0.44303797468354428</v>
      </c>
      <c r="E16" s="63" t="s">
        <v>80</v>
      </c>
      <c r="F16" s="60" t="s">
        <v>35</v>
      </c>
      <c r="G16" s="47">
        <v>3</v>
      </c>
      <c r="H16" s="133">
        <f>IF(B$17=0,0,G16/B$17)</f>
        <v>1.5625E-2</v>
      </c>
      <c r="I16" s="94">
        <v>7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192</v>
      </c>
      <c r="C17" s="37">
        <f>IF(B$3=0,0,B17/B$3)</f>
        <v>0.35887850467289717</v>
      </c>
      <c r="E17" s="63" t="s">
        <v>79</v>
      </c>
      <c r="F17" s="60" t="s">
        <v>34</v>
      </c>
      <c r="G17" s="47">
        <v>2</v>
      </c>
      <c r="H17" s="133">
        <f>IF(B$17=0,0,G17/B$17)</f>
        <v>1.0416666666666666E-2</v>
      </c>
      <c r="I17" s="94">
        <v>10</v>
      </c>
      <c r="K17" s="38">
        <v>15</v>
      </c>
      <c r="L17" s="99">
        <v>-80.3</v>
      </c>
      <c r="N17" s="115" t="s">
        <v>186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81</v>
      </c>
      <c r="C18" s="39">
        <f>IF(B$17=0,0,B18/B$17)</f>
        <v>0.421875</v>
      </c>
      <c r="E18" s="63" t="s">
        <v>92</v>
      </c>
      <c r="F18" s="60" t="s">
        <v>47</v>
      </c>
      <c r="G18" s="47">
        <v>2</v>
      </c>
      <c r="H18" s="133">
        <f>IF(B$17=0,0,G18/B$17)</f>
        <v>1.0416666666666666E-2</v>
      </c>
      <c r="I18" s="94">
        <v>7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111</v>
      </c>
      <c r="C19" s="39">
        <f>IF(B$17=0,0,B19/B$17)</f>
        <v>0.578125</v>
      </c>
      <c r="E19" s="63" t="s">
        <v>74</v>
      </c>
      <c r="F19" s="60" t="s">
        <v>29</v>
      </c>
      <c r="G19" s="47">
        <v>1</v>
      </c>
      <c r="H19" s="133">
        <f>IF(B$17=0,0,G19/B$17)</f>
        <v>5.208333333333333E-3</v>
      </c>
      <c r="I19" s="94">
        <v>7</v>
      </c>
      <c r="K19" s="38">
        <v>17</v>
      </c>
      <c r="L19" s="99">
        <v>-55.099999999999994</v>
      </c>
      <c r="N19" s="115" t="s">
        <v>177</v>
      </c>
      <c r="O19" s="125">
        <f>IF(P19=0,0,Q19/P19)</f>
        <v>7.7299999999999995</v>
      </c>
      <c r="P19" s="119">
        <v>10</v>
      </c>
      <c r="Q19" s="107">
        <v>77.3</v>
      </c>
    </row>
    <row r="20" spans="1:17" x14ac:dyDescent="0.4">
      <c r="A20" s="55" t="s">
        <v>13</v>
      </c>
      <c r="B20" s="47">
        <v>69</v>
      </c>
      <c r="C20" s="39">
        <f>IF(B$3=0,0,B20/B$3)</f>
        <v>0.12897196261682242</v>
      </c>
      <c r="E20" s="63" t="s">
        <v>75</v>
      </c>
      <c r="F20" s="60" t="s">
        <v>30</v>
      </c>
      <c r="G20" s="47">
        <v>1</v>
      </c>
      <c r="H20" s="133">
        <f>IF(B$17=0,0,G20/B$17)</f>
        <v>5.208333333333333E-3</v>
      </c>
      <c r="I20" s="94">
        <v>4</v>
      </c>
      <c r="K20" s="38">
        <v>18</v>
      </c>
      <c r="L20" s="99">
        <v>-28.199999999999996</v>
      </c>
      <c r="N20" s="115" t="s">
        <v>173</v>
      </c>
      <c r="O20" s="125">
        <f>IF(P20=0,0,Q20/P20)</f>
        <v>6.6333333333333302</v>
      </c>
      <c r="P20" s="119">
        <v>12</v>
      </c>
      <c r="Q20" s="107">
        <v>79.599999999999966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5.208333333333333E-3</v>
      </c>
      <c r="I21" s="94">
        <v>6</v>
      </c>
      <c r="K21" s="38">
        <v>19</v>
      </c>
      <c r="L21" s="99">
        <v>29.200000000000003</v>
      </c>
      <c r="N21" s="115" t="s">
        <v>128</v>
      </c>
      <c r="O21" s="125">
        <f>IF(P21=0,0,Q21/P21)</f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5</v>
      </c>
      <c r="E22" s="63" t="s">
        <v>88</v>
      </c>
      <c r="F22" s="60" t="s">
        <v>43</v>
      </c>
      <c r="G22" s="47">
        <v>1</v>
      </c>
      <c r="H22" s="133">
        <f>IF(B$17=0,0,G22/B$17)</f>
        <v>5.208333333333333E-3</v>
      </c>
      <c r="I22" s="94">
        <v>4</v>
      </c>
      <c r="K22" s="38">
        <v>20</v>
      </c>
      <c r="L22" s="99">
        <v>43</v>
      </c>
      <c r="N22" s="115" t="s">
        <v>171</v>
      </c>
      <c r="O22" s="125">
        <f>IF(P22=0,0,Q22/P22)</f>
        <v>-1.1473684210526323</v>
      </c>
      <c r="P22" s="119">
        <v>19</v>
      </c>
      <c r="Q22" s="107">
        <v>-21.800000000000011</v>
      </c>
    </row>
    <row r="23" spans="1:17" x14ac:dyDescent="0.4">
      <c r="A23" s="55" t="s">
        <v>5</v>
      </c>
      <c r="B23" s="51">
        <f>IF(B$17=0,0,C23/B$17)</f>
        <v>6635.9375</v>
      </c>
      <c r="C23" s="41">
        <v>1274100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89.9</v>
      </c>
      <c r="N23" s="115" t="s">
        <v>127</v>
      </c>
      <c r="O23" s="125">
        <f>IF(P23=0,0,Q23/P23)</f>
        <v>-23.990909090909092</v>
      </c>
      <c r="P23" s="119">
        <v>33</v>
      </c>
      <c r="Q23" s="107">
        <v>-791.7</v>
      </c>
    </row>
    <row r="24" spans="1:17" x14ac:dyDescent="0.4">
      <c r="A24" s="57" t="s">
        <v>14</v>
      </c>
      <c r="B24" s="52">
        <f>IF(B$20=0,0,C24/B$20)</f>
        <v>-9417.391304347826</v>
      </c>
      <c r="C24" s="45">
        <v>-649800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1.869158878504673E-3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66764-8195-48A4-A88A-DF4F1B91545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</v>
      </c>
      <c r="C2" s="147"/>
      <c r="E2" s="62" t="s">
        <v>67</v>
      </c>
      <c r="F2" s="59" t="s">
        <v>23</v>
      </c>
      <c r="G2" s="46">
        <v>77</v>
      </c>
      <c r="H2" s="132">
        <f>IF(B$17=0,0,G2/B$17)</f>
        <v>0.67543859649122806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48">
        <v>382</v>
      </c>
      <c r="C3" s="149"/>
      <c r="E3" s="63" t="s">
        <v>73</v>
      </c>
      <c r="F3" s="60" t="s">
        <v>28</v>
      </c>
      <c r="G3" s="47">
        <v>59</v>
      </c>
      <c r="H3" s="133">
        <f>IF(B$17=0,0,G3/B$17)</f>
        <v>0.51754385964912286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0">
        <v>-262.59999999999997</v>
      </c>
      <c r="C4" s="151"/>
      <c r="E4" s="63" t="s">
        <v>65</v>
      </c>
      <c r="F4" s="60" t="s">
        <v>21</v>
      </c>
      <c r="G4" s="47">
        <v>50</v>
      </c>
      <c r="H4" s="133">
        <f>IF(B$17=0,0,G4/B$17)</f>
        <v>0.43859649122807015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2">
        <f>IF(B$2=0,0,B$4/B$2)</f>
        <v>-5.9681818181818178</v>
      </c>
      <c r="C5" s="153"/>
      <c r="E5" s="63" t="s">
        <v>181</v>
      </c>
      <c r="F5" s="60" t="s">
        <v>182</v>
      </c>
      <c r="G5" s="47">
        <v>45</v>
      </c>
      <c r="H5" s="133">
        <f>IF(B$17=0,0,G5/B$17)</f>
        <v>0.39473684210526316</v>
      </c>
      <c r="I5" s="94">
        <v>9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68</v>
      </c>
      <c r="F7" s="60" t="s">
        <v>24</v>
      </c>
      <c r="G7" s="47">
        <v>28</v>
      </c>
      <c r="H7" s="133">
        <f>IF(B$17=0,0,G7/B$17)</f>
        <v>0.24561403508771928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90</v>
      </c>
      <c r="F9" s="60" t="s">
        <v>45</v>
      </c>
      <c r="G9" s="47">
        <v>14</v>
      </c>
      <c r="H9" s="133">
        <f>IF(B$17=0,0,G9/B$17)</f>
        <v>0.12280701754385964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70</v>
      </c>
      <c r="F10" s="60" t="s">
        <v>25</v>
      </c>
      <c r="G10" s="47">
        <v>13</v>
      </c>
      <c r="H10" s="133">
        <f>IF(B$17=0,0,G10/B$17)</f>
        <v>0.11403508771929824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66</v>
      </c>
      <c r="F11" s="60" t="s">
        <v>22</v>
      </c>
      <c r="G11" s="47">
        <v>9</v>
      </c>
      <c r="H11" s="133">
        <f>IF(B$17=0,0,G11/B$17)</f>
        <v>7.8947368421052627E-2</v>
      </c>
      <c r="I11" s="94">
        <v>7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72</v>
      </c>
      <c r="F12" s="60" t="s">
        <v>27</v>
      </c>
      <c r="G12" s="47">
        <v>6</v>
      </c>
      <c r="H12" s="133">
        <f>IF(B$17=0,0,G12/B$17)</f>
        <v>5.2631578947368418E-2</v>
      </c>
      <c r="I12" s="94">
        <v>9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87</v>
      </c>
      <c r="F13" s="60" t="s">
        <v>42</v>
      </c>
      <c r="G13" s="47">
        <v>4</v>
      </c>
      <c r="H13" s="133">
        <f>IF(B$17=0,0,G13/B$17)</f>
        <v>3.5087719298245612E-2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74</v>
      </c>
      <c r="F14" s="60" t="s">
        <v>29</v>
      </c>
      <c r="G14" s="47">
        <v>2</v>
      </c>
      <c r="H14" s="133">
        <f>IF(B$17=0,0,G14/B$17)</f>
        <v>1.7543859649122806E-2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79</v>
      </c>
      <c r="F15" s="60" t="s">
        <v>34</v>
      </c>
      <c r="G15" s="47">
        <v>2</v>
      </c>
      <c r="H15" s="133">
        <f>IF(B$17=0,0,G15/B$17)</f>
        <v>1.7543859649122806E-2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80</v>
      </c>
      <c r="F16" s="60" t="s">
        <v>35</v>
      </c>
      <c r="G16" s="47">
        <v>2</v>
      </c>
      <c r="H16" s="133">
        <f>IF(B$17=0,0,G16/B$17)</f>
        <v>1.7543859649122806E-2</v>
      </c>
      <c r="I16" s="94">
        <v>4</v>
      </c>
      <c r="K16" s="38">
        <v>14</v>
      </c>
      <c r="L16" s="99">
        <v>-269.99999999999994</v>
      </c>
      <c r="N16" s="115" t="s">
        <v>128</v>
      </c>
      <c r="O16" s="125">
        <f>IF(P16=0,0,Q16/P16)</f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84</v>
      </c>
      <c r="F17" s="60" t="s">
        <v>39</v>
      </c>
      <c r="G17" s="47">
        <v>2</v>
      </c>
      <c r="H17" s="133">
        <f>IF(B$17=0,0,G17/B$17)</f>
        <v>1.7543859649122806E-2</v>
      </c>
      <c r="I17" s="94">
        <v>10</v>
      </c>
      <c r="K17" s="38">
        <v>15</v>
      </c>
      <c r="L17" s="99">
        <v>-264.59999999999997</v>
      </c>
      <c r="N17" s="115" t="s">
        <v>172</v>
      </c>
      <c r="O17" s="125">
        <f>IF(P17=0,0,Q17/P17)</f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92</v>
      </c>
      <c r="F18" s="60" t="s">
        <v>47</v>
      </c>
      <c r="G18" s="47">
        <v>2</v>
      </c>
      <c r="H18" s="133">
        <f>IF(B$17=0,0,G18/B$17)</f>
        <v>1.7543859649122806E-2</v>
      </c>
      <c r="I18" s="94">
        <v>6</v>
      </c>
      <c r="K18" s="38">
        <v>16</v>
      </c>
      <c r="L18" s="99">
        <v>-292.79999999999995</v>
      </c>
      <c r="N18" s="115" t="s">
        <v>177</v>
      </c>
      <c r="O18" s="125">
        <f>IF(P18=0,0,Q18/P18)</f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180</v>
      </c>
      <c r="F19" s="60" t="s">
        <v>183</v>
      </c>
      <c r="G19" s="47">
        <v>2</v>
      </c>
      <c r="H19" s="133">
        <f>IF(B$17=0,0,G19/B$17)</f>
        <v>1.7543859649122806E-2</v>
      </c>
      <c r="I19" s="94">
        <v>3</v>
      </c>
      <c r="K19" s="38">
        <v>17</v>
      </c>
      <c r="L19" s="99">
        <v>-248.89999999999995</v>
      </c>
      <c r="N19" s="115" t="s">
        <v>171</v>
      </c>
      <c r="O19" s="125">
        <f>IF(P19=0,0,Q19/P19)</f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88</v>
      </c>
      <c r="F20" s="60" t="s">
        <v>43</v>
      </c>
      <c r="G20" s="47">
        <v>1</v>
      </c>
      <c r="H20" s="133">
        <f>IF(B$17=0,0,G20/B$17)</f>
        <v>8.771929824561403E-3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>IF(P20=0,0,Q20/P20)</f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8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10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764A7-1F12-442F-AB65-AF140CF570E0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47</v>
      </c>
      <c r="C2" s="147"/>
      <c r="E2" s="62" t="s">
        <v>65</v>
      </c>
      <c r="F2" s="59" t="s">
        <v>21</v>
      </c>
      <c r="G2" s="46">
        <v>66</v>
      </c>
      <c r="H2" s="132">
        <f>IF(B$17=0,0,G2/B$17)</f>
        <v>0.5892857142857143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1202.127659574468</v>
      </c>
      <c r="P2" s="118">
        <v>47</v>
      </c>
      <c r="Q2" s="102">
        <v>56500</v>
      </c>
    </row>
    <row r="3" spans="1:17" x14ac:dyDescent="0.4">
      <c r="A3" s="55" t="s">
        <v>8</v>
      </c>
      <c r="B3" s="148">
        <v>381</v>
      </c>
      <c r="C3" s="149"/>
      <c r="E3" s="63" t="s">
        <v>66</v>
      </c>
      <c r="F3" s="60" t="s">
        <v>22</v>
      </c>
      <c r="G3" s="47">
        <v>14</v>
      </c>
      <c r="H3" s="133">
        <f>IF(B$17=0,0,G3/B$17)</f>
        <v>0.125</v>
      </c>
      <c r="I3" s="94">
        <v>4</v>
      </c>
      <c r="K3" s="38">
        <v>1</v>
      </c>
      <c r="L3" s="99">
        <v>-1.9</v>
      </c>
      <c r="N3" s="115" t="s">
        <v>133</v>
      </c>
      <c r="O3" s="122">
        <f t="shared" si="0"/>
        <v>537.77777777777783</v>
      </c>
      <c r="P3" s="119">
        <v>45</v>
      </c>
      <c r="Q3" s="103">
        <v>24200</v>
      </c>
    </row>
    <row r="4" spans="1:17" x14ac:dyDescent="0.4">
      <c r="A4" s="55" t="s">
        <v>6</v>
      </c>
      <c r="B4" s="150">
        <v>71.099999999999994</v>
      </c>
      <c r="C4" s="151"/>
      <c r="E4" s="63" t="s">
        <v>67</v>
      </c>
      <c r="F4" s="60" t="s">
        <v>23</v>
      </c>
      <c r="G4" s="47">
        <v>61</v>
      </c>
      <c r="H4" s="133">
        <f>IF(B$17=0,0,G4/B$17)</f>
        <v>0.5446428571428571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-1153.6585365853659</v>
      </c>
      <c r="P4" s="119">
        <v>41</v>
      </c>
      <c r="Q4" s="103">
        <v>-47300</v>
      </c>
    </row>
    <row r="5" spans="1:17" x14ac:dyDescent="0.4">
      <c r="A5" s="55" t="s">
        <v>7</v>
      </c>
      <c r="B5" s="152">
        <f>IF(B$2=0,0,B$4/B$2)</f>
        <v>1.5127659574468084</v>
      </c>
      <c r="C5" s="153"/>
      <c r="E5" s="63" t="s">
        <v>68</v>
      </c>
      <c r="F5" s="60" t="s">
        <v>24</v>
      </c>
      <c r="G5" s="47">
        <v>39</v>
      </c>
      <c r="H5" s="133">
        <f>IF(B$17=0,0,G5/B$17)</f>
        <v>0.3482142857142857</v>
      </c>
      <c r="I5" s="94">
        <v>6</v>
      </c>
      <c r="K5" s="38">
        <v>3</v>
      </c>
      <c r="L5" s="99">
        <v>-10</v>
      </c>
      <c r="N5" s="115" t="s">
        <v>135</v>
      </c>
      <c r="O5" s="122">
        <f t="shared" si="0"/>
        <v>1572.5</v>
      </c>
      <c r="P5" s="119">
        <v>40</v>
      </c>
      <c r="Q5" s="103">
        <v>62900</v>
      </c>
    </row>
    <row r="6" spans="1:17" x14ac:dyDescent="0.4">
      <c r="A6" s="55" t="s">
        <v>1</v>
      </c>
      <c r="B6" s="142">
        <f>IF(B$2=0,0,(B$7*1+B$8*2+B$9*3)/B$2)</f>
        <v>1.9361702127659575</v>
      </c>
      <c r="C6" s="143"/>
      <c r="E6" s="63" t="s">
        <v>69</v>
      </c>
      <c r="F6" s="60" t="s">
        <v>12</v>
      </c>
      <c r="G6" s="47">
        <v>33</v>
      </c>
      <c r="H6" s="133">
        <f>IF(B$17=0,0,G6/B$17)</f>
        <v>0.29464285714285715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-1572.2222222222222</v>
      </c>
      <c r="P6" s="119">
        <v>36</v>
      </c>
      <c r="Q6" s="103">
        <v>-56600</v>
      </c>
    </row>
    <row r="7" spans="1:17" x14ac:dyDescent="0.4">
      <c r="A7" s="55" t="s">
        <v>2</v>
      </c>
      <c r="B7" s="47">
        <v>18</v>
      </c>
      <c r="C7" s="39">
        <f>IF(B$2=0,0,B7/B$2)</f>
        <v>0.38297872340425532</v>
      </c>
      <c r="E7" s="63" t="s">
        <v>70</v>
      </c>
      <c r="F7" s="60" t="s">
        <v>25</v>
      </c>
      <c r="G7" s="47">
        <v>18</v>
      </c>
      <c r="H7" s="133">
        <f>IF(B$17=0,0,G7/B$17)</f>
        <v>0.16071428571428573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320</v>
      </c>
      <c r="P7" s="120">
        <v>30</v>
      </c>
      <c r="Q7" s="104">
        <v>9600</v>
      </c>
    </row>
    <row r="8" spans="1:17" x14ac:dyDescent="0.4">
      <c r="A8" s="55" t="s">
        <v>3</v>
      </c>
      <c r="B8" s="47">
        <v>14</v>
      </c>
      <c r="C8" s="39">
        <f>IF(B$2=0,0,B8/B$2)</f>
        <v>0.2978723404255319</v>
      </c>
      <c r="E8" s="63" t="s">
        <v>71</v>
      </c>
      <c r="F8" s="60" t="s">
        <v>26</v>
      </c>
      <c r="G8" s="47">
        <v>8</v>
      </c>
      <c r="H8" s="133">
        <f>IF(B$17=0,0,G8/B$17)</f>
        <v>7.1428571428571425E-2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0.31914893617021278</v>
      </c>
      <c r="E9" s="63" t="s">
        <v>72</v>
      </c>
      <c r="F9" s="60" t="s">
        <v>27</v>
      </c>
      <c r="G9" s="47">
        <v>5</v>
      </c>
      <c r="H9" s="133">
        <f>IF(B$17=0,0,G9/B$17)</f>
        <v>4.4642857142857144E-2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0.1702127659574468</v>
      </c>
      <c r="E10" s="63" t="s">
        <v>73</v>
      </c>
      <c r="F10" s="60" t="s">
        <v>28</v>
      </c>
      <c r="G10" s="47">
        <v>52</v>
      </c>
      <c r="H10" s="133">
        <f>IF(B$17=0,0,G10/B$17)</f>
        <v>0.4642857142857143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1.5999999999999992</v>
      </c>
      <c r="P10" s="118">
        <v>13</v>
      </c>
      <c r="Q10" s="106">
        <v>20.79999999999999</v>
      </c>
    </row>
    <row r="11" spans="1:17" x14ac:dyDescent="0.4">
      <c r="A11" s="56" t="s">
        <v>140</v>
      </c>
      <c r="B11" s="48">
        <v>5</v>
      </c>
      <c r="C11" s="40">
        <f>IF(B$2=0,0,B11/B$2)</f>
        <v>0.10638297872340426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5.6888888888888882</v>
      </c>
      <c r="P11" s="119">
        <v>18</v>
      </c>
      <c r="Q11" s="107">
        <v>102.39999999999999</v>
      </c>
    </row>
    <row r="12" spans="1:17" x14ac:dyDescent="0.4">
      <c r="A12" s="57" t="s">
        <v>160</v>
      </c>
      <c r="B12" s="49">
        <v>5</v>
      </c>
      <c r="C12" s="42">
        <f>IF(B$2=0,0,B12/B$2)</f>
        <v>0.10638297872340426</v>
      </c>
      <c r="E12" s="63" t="s">
        <v>75</v>
      </c>
      <c r="F12" s="60" t="s">
        <v>30</v>
      </c>
      <c r="G12" s="47">
        <v>1</v>
      </c>
      <c r="H12" s="133">
        <f>IF(B$17=0,0,G12/B$17)</f>
        <v>8.9285714285714281E-3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-3.2562499999999996</v>
      </c>
      <c r="P12" s="120">
        <v>16</v>
      </c>
      <c r="Q12" s="108">
        <v>-52.099999999999994</v>
      </c>
    </row>
    <row r="13" spans="1:17" x14ac:dyDescent="0.4">
      <c r="A13" s="58" t="s">
        <v>122</v>
      </c>
      <c r="B13" s="50">
        <v>99</v>
      </c>
      <c r="C13" s="44">
        <f>IF(B$3=0,0,B13/B$3)</f>
        <v>0.25984251968503935</v>
      </c>
      <c r="E13" s="63" t="s">
        <v>76</v>
      </c>
      <c r="F13" s="60" t="s">
        <v>31</v>
      </c>
      <c r="G13" s="47">
        <v>1</v>
      </c>
      <c r="H13" s="133">
        <f>IF(B$17=0,0,G13/B$17)</f>
        <v>8.9285714285714281E-3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73</v>
      </c>
      <c r="C14" s="39">
        <f>IF(B$3=0,0,B14/B$3)</f>
        <v>0.19160104986876642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0.35616438356164382</v>
      </c>
      <c r="E16" s="63" t="s">
        <v>79</v>
      </c>
      <c r="F16" s="60" t="s">
        <v>34</v>
      </c>
      <c r="G16" s="47">
        <v>5</v>
      </c>
      <c r="H16" s="133">
        <f>IF(B$17=0,0,G16/B$17)</f>
        <v>4.4642857142857144E-2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 t="shared" si="2"/>
        <v>34.907692307692315</v>
      </c>
      <c r="P16" s="119">
        <v>13</v>
      </c>
      <c r="Q16" s="107">
        <v>453.80000000000007</v>
      </c>
    </row>
    <row r="17" spans="1:17" x14ac:dyDescent="0.4">
      <c r="A17" s="54" t="s">
        <v>10</v>
      </c>
      <c r="B17" s="46">
        <f>B19+B18</f>
        <v>112</v>
      </c>
      <c r="C17" s="37">
        <f>IF(B$3=0,0,B17/B$3)</f>
        <v>0.29396325459317585</v>
      </c>
      <c r="E17" s="63" t="s">
        <v>80</v>
      </c>
      <c r="F17" s="60" t="s">
        <v>35</v>
      </c>
      <c r="G17" s="47">
        <v>2</v>
      </c>
      <c r="H17" s="133">
        <f>IF(B$17=0,0,G17/B$17)</f>
        <v>1.7857142857142856E-2</v>
      </c>
      <c r="I17" s="94">
        <v>4</v>
      </c>
      <c r="K17" s="38">
        <v>15</v>
      </c>
      <c r="L17" s="99">
        <v>-146.19999999999999</v>
      </c>
      <c r="N17" s="115" t="s">
        <v>186</v>
      </c>
      <c r="O17" s="125">
        <f t="shared" si="2"/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47</v>
      </c>
      <c r="C18" s="39">
        <f>IF(B$17=0,0,B18/B$17)</f>
        <v>0.41964285714285715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10.631818181818183</v>
      </c>
      <c r="P18" s="119">
        <v>22</v>
      </c>
      <c r="Q18" s="107">
        <v>233.9</v>
      </c>
    </row>
    <row r="19" spans="1:17" x14ac:dyDescent="0.4">
      <c r="A19" s="55" t="s">
        <v>11</v>
      </c>
      <c r="B19" s="47">
        <v>65</v>
      </c>
      <c r="C19" s="39">
        <f>IF(B$17=0,0,B19/B$17)</f>
        <v>0.5803571428571429</v>
      </c>
      <c r="E19" s="63" t="s">
        <v>82</v>
      </c>
      <c r="F19" s="60" t="s">
        <v>37</v>
      </c>
      <c r="G19" s="47">
        <v>3</v>
      </c>
      <c r="H19" s="133">
        <f>IF(B$17=0,0,G19/B$17)</f>
        <v>2.6785714285714284E-2</v>
      </c>
      <c r="I19" s="94">
        <v>8</v>
      </c>
      <c r="K19" s="38">
        <v>17</v>
      </c>
      <c r="L19" s="99">
        <v>-161.19999999999999</v>
      </c>
      <c r="N19" s="115" t="s">
        <v>173</v>
      </c>
      <c r="O19" s="125">
        <f t="shared" si="2"/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61</v>
      </c>
      <c r="C20" s="39">
        <f>IF(B$3=0,0,B20/B$3)</f>
        <v>0.16010498687664043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4.4153846153846121</v>
      </c>
      <c r="P20" s="119">
        <v>13</v>
      </c>
      <c r="Q20" s="107">
        <v>57.399999999999963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5</v>
      </c>
      <c r="H21" s="133">
        <f>IF(B$17=0,0,G21/B$17)</f>
        <v>4.4642857142857144E-2</v>
      </c>
      <c r="I21" s="94">
        <v>5</v>
      </c>
      <c r="K21" s="38">
        <v>19</v>
      </c>
      <c r="L21" s="99">
        <v>-235.6</v>
      </c>
      <c r="N21" s="115" t="s">
        <v>172</v>
      </c>
      <c r="O21" s="125">
        <f t="shared" si="2"/>
        <v>-7.730000000000004</v>
      </c>
      <c r="P21" s="119">
        <v>10</v>
      </c>
      <c r="Q21" s="107">
        <v>-77.30000000000004</v>
      </c>
    </row>
    <row r="22" spans="1:17" x14ac:dyDescent="0.4">
      <c r="A22" s="55" t="s">
        <v>194</v>
      </c>
      <c r="B22" s="47">
        <v>22</v>
      </c>
      <c r="C22" s="135">
        <v>15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-29.850000000000005</v>
      </c>
      <c r="P22" s="119">
        <v>20</v>
      </c>
      <c r="Q22" s="107">
        <v>-597.00000000000011</v>
      </c>
    </row>
    <row r="23" spans="1:17" x14ac:dyDescent="0.4">
      <c r="A23" s="55" t="s">
        <v>5</v>
      </c>
      <c r="B23" s="51">
        <f>IF(B$17=0,0,C23/B$17)</f>
        <v>8838.3928571428569</v>
      </c>
      <c r="C23" s="41">
        <v>989900</v>
      </c>
      <c r="E23" s="63" t="s">
        <v>86</v>
      </c>
      <c r="F23" s="60" t="s">
        <v>41</v>
      </c>
      <c r="G23" s="47">
        <v>2</v>
      </c>
      <c r="H23" s="133">
        <f>IF(B$17=0,0,G23/B$17)</f>
        <v>1.7857142857142856E-2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-7621.311475409836</v>
      </c>
      <c r="C24" s="45">
        <v>-464900</v>
      </c>
      <c r="E24" s="63" t="s">
        <v>87</v>
      </c>
      <c r="F24" s="60" t="s">
        <v>42</v>
      </c>
      <c r="G24" s="47">
        <v>2</v>
      </c>
      <c r="H24" s="133">
        <f>IF(B$17=0,0,G24/B$17)</f>
        <v>1.7857142857142856E-2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7.874015748031496E-3</v>
      </c>
      <c r="E27" s="63" t="s">
        <v>90</v>
      </c>
      <c r="F27" s="60" t="s">
        <v>45</v>
      </c>
      <c r="G27" s="47">
        <v>13</v>
      </c>
      <c r="H27" s="133">
        <f>IF(B$17=0,0,G27/B$17)</f>
        <v>0.11607142857142858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8.9285714285714281E-3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4.4642857142857144E-2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8.9285714285714281E-3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8.9285714285714281E-3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12" x14ac:dyDescent="0.4">
      <c r="E51" s="64" t="s">
        <v>181</v>
      </c>
      <c r="F51" s="61" t="s">
        <v>182</v>
      </c>
      <c r="G51" s="49">
        <v>47</v>
      </c>
      <c r="H51" s="134">
        <f>IF(B$17=0,0,G51/B$17)</f>
        <v>0.41964285714285715</v>
      </c>
      <c r="I51" s="95">
        <v>4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30D0-3903-4C85-AEAE-8097FF5AC185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DE1F8-16F1-4B14-B9FD-33592E6996EF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6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12</v>
      </c>
      <c r="H51" s="134">
        <f>IF(B$17=0,0,G51/B$17)</f>
        <v>0.35294117647058826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153AF-2078-408E-8167-5521A82CA606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4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DC5B4-A072-4822-8C3B-CD2D873593F1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47D8F-7D91-466C-A755-13AD3EC2ACE8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27E8A-CFCE-47A5-837E-CB44B08AE0A4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F601F-93E7-4D79-8817-1058DC674F62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BFDCF-17EA-4310-AAFF-AB48F430B06B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63455-20AE-4DA8-97ED-BA76EAA82F72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5600-6635-47E3-9FB1-DC9B5CCDAC5E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8E52-0D08-463B-86E4-854D7195E562}">
  <sheetPr codeName="Sheet20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9EC-1F87-4066-BA97-948D38F3BA68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1C0CC-FC4B-4C4A-B719-77E3F350CD15}">
  <sheetPr codeName="Sheet16"/>
  <dimension ref="A1:Q6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0CB4-47EE-42C6-B2A6-064C42428CB7}">
  <sheetPr codeName="Sheet14"/>
  <dimension ref="A1:Q8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5B521-45D7-484C-833B-E0BDF64530BA}">
  <sheetPr codeName="Sheet12"/>
  <dimension ref="A1:Q6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F36A7-5471-424E-AFC8-730416647676}">
  <sheetPr codeName="Sheet10"/>
  <dimension ref="A1:Q1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2B54-62C2-4822-A2E7-CA05CD4C6780}">
  <sheetPr codeName="Sheet8"/>
  <dimension ref="A1:Q1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56624-9B68-4DCF-ADED-DCF9221E715F}">
  <sheetPr codeName="Sheet6"/>
  <dimension ref="A1:Q1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2019-05-25T15:34:02Z</dcterms:modified>
</cp:coreProperties>
</file>