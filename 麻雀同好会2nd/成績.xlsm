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99BFBE5B-7C90-466B-B0F5-9061434EF374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6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19" i="5385" l="1"/>
  <c r="O16" i="5381"/>
  <c r="O21" i="5389"/>
  <c r="O20" i="5389"/>
  <c r="O21" i="5377" l="1"/>
  <c r="O17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8" i="5393"/>
  <c r="C27" i="5393"/>
  <c r="B24" i="5393"/>
  <c r="C20" i="5393"/>
  <c r="B17" i="5393"/>
  <c r="H49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5" i="5393" l="1"/>
  <c r="H27" i="5393"/>
  <c r="H34" i="5393"/>
  <c r="H10" i="5393"/>
  <c r="H6" i="5393"/>
  <c r="C17" i="5391"/>
  <c r="H8" i="5391"/>
  <c r="H3" i="5391"/>
  <c r="H10" i="5391"/>
  <c r="H2" i="5391"/>
  <c r="H4" i="5391"/>
  <c r="H16" i="5393"/>
  <c r="H3" i="5393"/>
  <c r="H25" i="5393"/>
  <c r="H43" i="5393"/>
  <c r="H12" i="5393"/>
  <c r="H19" i="5393"/>
  <c r="H9" i="5393"/>
  <c r="H44" i="5393"/>
  <c r="H4" i="5393"/>
  <c r="H21" i="5393"/>
  <c r="H7" i="5393"/>
  <c r="H46" i="5393"/>
  <c r="H36" i="5393"/>
  <c r="H13" i="5393"/>
  <c r="H22" i="5393"/>
  <c r="H29" i="5393"/>
  <c r="H5" i="5393"/>
  <c r="H14" i="5393"/>
  <c r="H23" i="5393"/>
  <c r="H30" i="5393"/>
  <c r="H39" i="5393"/>
  <c r="H48" i="5393"/>
  <c r="H45" i="5393"/>
  <c r="H28" i="5393"/>
  <c r="B23" i="5393"/>
  <c r="H47" i="5393"/>
  <c r="H11" i="5393"/>
  <c r="H2" i="5393"/>
  <c r="H8" i="5393"/>
  <c r="H18" i="5393"/>
  <c r="H31" i="5393"/>
  <c r="H40" i="5393"/>
  <c r="H50" i="5393"/>
  <c r="C17" i="5393"/>
  <c r="H37" i="5393"/>
  <c r="H17" i="5393"/>
  <c r="H38" i="5393"/>
  <c r="C18" i="5393"/>
  <c r="H15" i="5393"/>
  <c r="C19" i="5393"/>
  <c r="H24" i="5393"/>
  <c r="H32" i="5393"/>
  <c r="H42" i="5393"/>
  <c r="H51" i="5393"/>
  <c r="H20" i="5393"/>
  <c r="H26" i="5393"/>
  <c r="H33" i="5393"/>
  <c r="H41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8" i="5387"/>
  <c r="O16" i="5387"/>
  <c r="O17" i="5379"/>
  <c r="O20" i="5385" l="1"/>
  <c r="O17" i="5383"/>
  <c r="O17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49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3" i="5375"/>
  <c r="H16" i="5389" l="1"/>
  <c r="H39" i="5389"/>
  <c r="H27" i="5389"/>
  <c r="H42" i="5389"/>
  <c r="H17" i="5389"/>
  <c r="H29" i="5389"/>
  <c r="H10" i="5389"/>
  <c r="C17" i="5389"/>
  <c r="H31" i="5389"/>
  <c r="H5" i="5389"/>
  <c r="H11" i="5389"/>
  <c r="H23" i="5389"/>
  <c r="H8" i="5389"/>
  <c r="H35" i="5389"/>
  <c r="H47" i="5389"/>
  <c r="H4" i="5389"/>
  <c r="H21" i="5389"/>
  <c r="H13" i="5389"/>
  <c r="H43" i="5389"/>
  <c r="H44" i="5389"/>
  <c r="C18" i="5389"/>
  <c r="H45" i="5389"/>
  <c r="C19" i="5389"/>
  <c r="H24" i="5389"/>
  <c r="H36" i="5389"/>
  <c r="H50" i="5389"/>
  <c r="H28" i="5389"/>
  <c r="H7" i="5389"/>
  <c r="H22" i="5389"/>
  <c r="B23" i="5389"/>
  <c r="H14" i="5389"/>
  <c r="H34" i="5389"/>
  <c r="H2" i="5389"/>
  <c r="H18" i="5389"/>
  <c r="H15" i="5389"/>
  <c r="H3" i="5389"/>
  <c r="H6" i="5389"/>
  <c r="H9" i="5389"/>
  <c r="H12" i="5389"/>
  <c r="H19" i="5389"/>
  <c r="H37" i="5389"/>
  <c r="H51" i="5389"/>
  <c r="H30" i="5389"/>
  <c r="H38" i="5389"/>
  <c r="H46" i="5389"/>
  <c r="H25" i="5389"/>
  <c r="H32" i="5389"/>
  <c r="H40" i="5389"/>
  <c r="H48" i="5389"/>
  <c r="H20" i="5389"/>
  <c r="H26" i="5389"/>
  <c r="H33" i="5389"/>
  <c r="H41" i="5389"/>
  <c r="O18" i="5381" l="1"/>
  <c r="O20" i="5387"/>
  <c r="O15" i="5387"/>
  <c r="C27" i="5387"/>
  <c r="B24" i="5387"/>
  <c r="C20" i="5387"/>
  <c r="B17" i="5387"/>
  <c r="H49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8" i="5383"/>
  <c r="O22" i="5385"/>
  <c r="O23" i="5385"/>
  <c r="C27" i="5385"/>
  <c r="B24" i="5385"/>
  <c r="C20" i="5385"/>
  <c r="B17" i="5385"/>
  <c r="H50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9" i="5383"/>
  <c r="C27" i="5383"/>
  <c r="B24" i="5383"/>
  <c r="C20" i="5383"/>
  <c r="B17" i="5383"/>
  <c r="H50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2" i="5375"/>
  <c r="H43" i="5385" l="1"/>
  <c r="H30" i="5387"/>
  <c r="H8" i="5387"/>
  <c r="H16" i="5387"/>
  <c r="H19" i="5387"/>
  <c r="H5" i="5387"/>
  <c r="H31" i="5387"/>
  <c r="H43" i="5387"/>
  <c r="H2" i="5387"/>
  <c r="H45" i="5387"/>
  <c r="H15" i="5387"/>
  <c r="H12" i="5387"/>
  <c r="H9" i="5387"/>
  <c r="C19" i="5387"/>
  <c r="H44" i="5387"/>
  <c r="H11" i="5387"/>
  <c r="H27" i="5387"/>
  <c r="B23" i="5387"/>
  <c r="H3" i="5387"/>
  <c r="H23" i="5387"/>
  <c r="H10" i="5387"/>
  <c r="H36" i="5387"/>
  <c r="H46" i="5387"/>
  <c r="H6" i="5387"/>
  <c r="H47" i="5387"/>
  <c r="H17" i="5387"/>
  <c r="H4" i="5387"/>
  <c r="C18" i="5387"/>
  <c r="H24" i="5387"/>
  <c r="H37" i="5387"/>
  <c r="H34" i="5387"/>
  <c r="H35" i="5387"/>
  <c r="H14" i="5387"/>
  <c r="H18" i="5387"/>
  <c r="H42" i="5387"/>
  <c r="H40" i="5385"/>
  <c r="H3" i="5383"/>
  <c r="H4" i="5383"/>
  <c r="H10" i="5383"/>
  <c r="H6" i="5383"/>
  <c r="H21" i="5387"/>
  <c r="H28" i="5387"/>
  <c r="H38" i="5387"/>
  <c r="H50" i="5387"/>
  <c r="H7" i="5387"/>
  <c r="H13" i="5387"/>
  <c r="C17" i="5387"/>
  <c r="H22" i="5387"/>
  <c r="H29" i="5387"/>
  <c r="H39" i="5387"/>
  <c r="H51" i="5387"/>
  <c r="H25" i="5387"/>
  <c r="H32" i="5387"/>
  <c r="H40" i="5387"/>
  <c r="H48" i="5387"/>
  <c r="H20" i="5387"/>
  <c r="H26" i="5387"/>
  <c r="H33" i="5387"/>
  <c r="H41" i="5387"/>
  <c r="H17" i="5385"/>
  <c r="H44" i="5385"/>
  <c r="H9" i="5385"/>
  <c r="H30" i="5385"/>
  <c r="H3" i="5385"/>
  <c r="H14" i="5385"/>
  <c r="C19" i="5385"/>
  <c r="H32" i="5385"/>
  <c r="H5" i="5385"/>
  <c r="H8" i="5385"/>
  <c r="H24" i="5385"/>
  <c r="H25" i="5385"/>
  <c r="H2" i="5385"/>
  <c r="C18" i="5385"/>
  <c r="H45" i="5385"/>
  <c r="H6" i="5385"/>
  <c r="H18" i="5385"/>
  <c r="H31" i="5385"/>
  <c r="H11" i="5385"/>
  <c r="H15" i="5385"/>
  <c r="H23" i="5385"/>
  <c r="H35" i="5385"/>
  <c r="H12" i="5385"/>
  <c r="H19" i="5385"/>
  <c r="H36" i="5385"/>
  <c r="H46" i="5385"/>
  <c r="H16" i="5385"/>
  <c r="H27" i="5385"/>
  <c r="H37" i="5385"/>
  <c r="H47" i="5385"/>
  <c r="H48" i="5385"/>
  <c r="H4" i="5385"/>
  <c r="H10" i="5385"/>
  <c r="H22" i="5385"/>
  <c r="H28" i="5385"/>
  <c r="H38" i="5385"/>
  <c r="H7" i="5385"/>
  <c r="H13" i="5385"/>
  <c r="C17" i="5385"/>
  <c r="B23" i="5385"/>
  <c r="H29" i="5385"/>
  <c r="H39" i="5385"/>
  <c r="H51" i="5385"/>
  <c r="H20" i="5385"/>
  <c r="H26" i="5385"/>
  <c r="H33" i="5385"/>
  <c r="H41" i="5385"/>
  <c r="H49" i="5385"/>
  <c r="H21" i="5385"/>
  <c r="H34" i="5385"/>
  <c r="H42" i="5385"/>
  <c r="H8" i="5383"/>
  <c r="C17" i="5383"/>
  <c r="H12" i="5383"/>
  <c r="H2" i="5383"/>
  <c r="H9" i="5383"/>
  <c r="H17" i="5383"/>
  <c r="H22" i="5383"/>
  <c r="H27" i="5383"/>
  <c r="H35" i="5383"/>
  <c r="H43" i="5383"/>
  <c r="H51" i="5383"/>
  <c r="H5" i="5383"/>
  <c r="H11" i="5383"/>
  <c r="H14" i="5383"/>
  <c r="C18" i="5383"/>
  <c r="B23" i="5383"/>
  <c r="H28" i="5383"/>
  <c r="H36" i="5383"/>
  <c r="H44" i="5383"/>
  <c r="H18" i="5383"/>
  <c r="H23" i="5383"/>
  <c r="H29" i="5383"/>
  <c r="H37" i="5383"/>
  <c r="H45" i="5383"/>
  <c r="H15" i="5383"/>
  <c r="C19" i="5383"/>
  <c r="H30" i="5383"/>
  <c r="H38" i="5383"/>
  <c r="H46" i="5383"/>
  <c r="H19" i="5383"/>
  <c r="H24" i="5383"/>
  <c r="H31" i="5383"/>
  <c r="H39" i="5383"/>
  <c r="H47" i="5383"/>
  <c r="H16" i="5383"/>
  <c r="H25" i="5383"/>
  <c r="H32" i="5383"/>
  <c r="H40" i="5383"/>
  <c r="H48" i="5383"/>
  <c r="H20" i="5383"/>
  <c r="H26" i="5383"/>
  <c r="H33" i="5383"/>
  <c r="H41" i="5383"/>
  <c r="H49" i="5383"/>
  <c r="H7" i="5383"/>
  <c r="H13" i="5383"/>
  <c r="H21" i="5383"/>
  <c r="H34" i="5383"/>
  <c r="H42" i="5383"/>
  <c r="O17" i="5381" l="1"/>
  <c r="O20" i="5381"/>
  <c r="C27" i="5381"/>
  <c r="B24" i="5381"/>
  <c r="C20" i="5381"/>
  <c r="B17" i="5381"/>
  <c r="H50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2" i="5377"/>
  <c r="C27" i="5377"/>
  <c r="B24" i="5377"/>
  <c r="C20" i="5377"/>
  <c r="B17" i="5377"/>
  <c r="H49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1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15" i="5377"/>
  <c r="H2" i="5377"/>
  <c r="H42" i="5377"/>
  <c r="H43" i="5377"/>
  <c r="H16" i="5377"/>
  <c r="H24" i="5381"/>
  <c r="H4" i="5381"/>
  <c r="H3" i="5379"/>
  <c r="H4" i="5377"/>
  <c r="H8" i="5377"/>
  <c r="H24" i="5377"/>
  <c r="H25" i="5377"/>
  <c r="H44" i="5377"/>
  <c r="H9" i="5377"/>
  <c r="H18" i="5377"/>
  <c r="H31" i="5377"/>
  <c r="H12" i="5377"/>
  <c r="C19" i="5377"/>
  <c r="H32" i="5377"/>
  <c r="H3" i="5377"/>
  <c r="H10" i="5377"/>
  <c r="H19" i="5377"/>
  <c r="H34" i="5377"/>
  <c r="H6" i="5377"/>
  <c r="H35" i="5377"/>
  <c r="H8" i="5381"/>
  <c r="H27" i="5381"/>
  <c r="H12" i="5381"/>
  <c r="H17" i="5381"/>
  <c r="H31" i="5381"/>
  <c r="H35" i="5381"/>
  <c r="C17" i="5381"/>
  <c r="H2" i="5381"/>
  <c r="H9" i="5381"/>
  <c r="H19" i="5381"/>
  <c r="H6" i="5381"/>
  <c r="H39" i="5381"/>
  <c r="H3" i="5381"/>
  <c r="H10" i="5381"/>
  <c r="H22" i="5381"/>
  <c r="H43" i="5381"/>
  <c r="H51" i="5381"/>
  <c r="H5" i="5381"/>
  <c r="H11" i="5381"/>
  <c r="H14" i="5381"/>
  <c r="C18" i="5381"/>
  <c r="B23" i="5381"/>
  <c r="H28" i="5381"/>
  <c r="H36" i="5381"/>
  <c r="H44" i="5381"/>
  <c r="H18" i="5381"/>
  <c r="H23" i="5381"/>
  <c r="H29" i="5381"/>
  <c r="H37" i="5381"/>
  <c r="H45" i="5381"/>
  <c r="H15" i="5381"/>
  <c r="C19" i="5381"/>
  <c r="H30" i="5381"/>
  <c r="H38" i="5381"/>
  <c r="H46" i="5381"/>
  <c r="H47" i="5381"/>
  <c r="H16" i="5381"/>
  <c r="H25" i="5381"/>
  <c r="H32" i="5381"/>
  <c r="H40" i="5381"/>
  <c r="H48" i="5381"/>
  <c r="H20" i="5381"/>
  <c r="H26" i="5381"/>
  <c r="H33" i="5381"/>
  <c r="H41" i="5381"/>
  <c r="H49" i="5381"/>
  <c r="H7" i="5381"/>
  <c r="H13" i="5381"/>
  <c r="H21" i="5381"/>
  <c r="H34" i="5381"/>
  <c r="H42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5" i="5377"/>
  <c r="H13" i="5377"/>
  <c r="H21" i="5377"/>
  <c r="H36" i="5377"/>
  <c r="C17" i="5377"/>
  <c r="H37" i="5377"/>
  <c r="B23" i="5377"/>
  <c r="H29" i="5377"/>
  <c r="H38" i="5377"/>
  <c r="H50" i="5377"/>
  <c r="H27" i="5377"/>
  <c r="H46" i="5377"/>
  <c r="H7" i="5377"/>
  <c r="H22" i="5377"/>
  <c r="H28" i="5377"/>
  <c r="H48" i="5377"/>
  <c r="H17" i="5377"/>
  <c r="H5" i="5377"/>
  <c r="H11" i="5377"/>
  <c r="H14" i="5377"/>
  <c r="C18" i="5377"/>
  <c r="H23" i="5377"/>
  <c r="H30" i="5377"/>
  <c r="H40" i="5377"/>
  <c r="H51" i="5377"/>
  <c r="H39" i="5377"/>
  <c r="H47" i="5377"/>
  <c r="H20" i="5377"/>
  <c r="H26" i="5377"/>
  <c r="H33" i="5377"/>
  <c r="H41" i="5377"/>
  <c r="H16" i="5375"/>
  <c r="H3" i="5375"/>
  <c r="H12" i="5375"/>
  <c r="H29" i="5375"/>
  <c r="H34" i="5375"/>
  <c r="H42" i="5375"/>
  <c r="C17" i="5375"/>
  <c r="H10" i="5375"/>
  <c r="H18" i="5375"/>
  <c r="H37" i="5375"/>
  <c r="H15" i="5375"/>
  <c r="H45" i="5375"/>
  <c r="H6" i="5375"/>
  <c r="H9" i="5375"/>
  <c r="H4" i="5375"/>
  <c r="H13" i="5375"/>
  <c r="H7" i="5375"/>
  <c r="C19" i="5375"/>
  <c r="H5" i="5375"/>
  <c r="H21" i="5375"/>
  <c r="H2" i="5375"/>
  <c r="H8" i="5375"/>
  <c r="H23" i="5375"/>
  <c r="H50" i="5375"/>
  <c r="H11" i="5375"/>
  <c r="H14" i="5375"/>
  <c r="C18" i="5375"/>
  <c r="B23" i="5375"/>
  <c r="H28" i="5375"/>
  <c r="H36" i="5375"/>
  <c r="H44" i="5375"/>
  <c r="H30" i="5375"/>
  <c r="H38" i="5375"/>
  <c r="H46" i="5375"/>
  <c r="H19" i="5375"/>
  <c r="H24" i="5375"/>
  <c r="H31" i="5375"/>
  <c r="H39" i="5375"/>
  <c r="H47" i="5375"/>
  <c r="H25" i="5375"/>
  <c r="H32" i="5375"/>
  <c r="H40" i="5375"/>
  <c r="H48" i="5375"/>
  <c r="H20" i="5375"/>
  <c r="H26" i="5375"/>
  <c r="H33" i="5375"/>
  <c r="H41" i="5375"/>
  <c r="H49" i="5375"/>
  <c r="H17" i="5375"/>
  <c r="H22" i="5375"/>
  <c r="H27" i="5375"/>
  <c r="H35" i="5375"/>
  <c r="H43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<sst xmlns="http://schemas.openxmlformats.org/spreadsheetml/2006/main" count="3226" uniqueCount="240">
  <si>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</si>
  <si>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</si>
  <si>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</si>
  <si>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</si>
  <si>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</si>
  <si>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</si>
  <si>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</si>
  <si>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</si>
  <si>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</si>
  <si>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</si>
  <si>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</si>
  <si>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</si>
  <si>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</si>
  <si>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</si>
  <si>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</si>
  <si>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</si>
  <si>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</si>
  <si>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</si>
  <si>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</si>
  <si>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</si>
  <si>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</si>
  <si>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</si>
  <si>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</si>
  <si>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</si>
  <si>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</si>
  <si>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</si>
  <si>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</si>
  <si>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</si>
  <si>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</si>
  <si>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</si>
  <si>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</si>
  <si>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</si>
  <si>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</si>
  <si>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</si>
  <si>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</si>
  <si>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</si>
  <si>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</si>
  <si>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</si>
  <si>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</si>
  <si>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</si>
  <si>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</si>
  <si>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</si>
  <si>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</si>
  <si>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</si>
  <si>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</si>
  <si>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</si>
  <si>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</si>
  <si>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</si>
  <si>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</si>
  <si>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</si>
  <si>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</si>
  <si>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</si>
  <si>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</si>
  <si>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</si>
  <si>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</si>
  <si>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</si>
  <si>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</si>
  <si>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</si>
  <si>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</si>
  <si>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</si>
  <si>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</si>
  <si>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</si>
  <si>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</si>
  <si>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</si>
  <si>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</si>
  <si>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</si>
  <si>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</si>
  <si>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</si>
  <si>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</si>
  <si>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</si>
  <si>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</si>
  <si>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</si>
  <si>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</si>
  <si>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</si>
  <si>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</si>
  <si>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</si>
  <si>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</si>
  <si>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</si>
  <si>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</si>
  <si>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</si>
  <si>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</si>
  <si>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</si>
  <si>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</si>
  <si>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</si>
  <si>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</si>
  <si>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</si>
  <si>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</si>
  <si>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</si>
  <si>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</si>
  <si>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</si>
  <si>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</si>
  <si>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</si>
  <si>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</si>
  <si>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</si>
  <si>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</si>
  <si>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</si>
  <si>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</si>
  <si>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</si>
  <si>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</si>
  <si>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</si>
  <si>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</si>
  <si>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</si>
  <si>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</si>
  <si>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</si>
  <si>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</si>
  <si>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</si>
  <si>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</si>
  <si>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</si>
  <si>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</si>
  <si>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</si>
  <si>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</si>
  <si>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</si>
  <si>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</si>
  <si>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</si>
  <si>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</si>
  <si>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</si>
  <si>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</si>
  <si>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</si>
  <si>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</si>
  <si>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</si>
  <si>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</si>
  <si>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</si>
  <si>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</si>
  <si>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</si>
  <si>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</si>
  <si>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</si>
  <si>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</si>
  <si>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</si>
  <si>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</si>
  <si>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</si>
  <si>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</si>
  <si>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</si>
  <si>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</si>
  <si>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</si>
  <si>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</si>
  <si>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</si>
  <si>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</si>
  <si>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</si>
  <si>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</si>
  <si>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</si>
  <si>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</si>
  <si>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</si>
  <si>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</si>
  <si>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</si>
  <si>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</si>
  <si>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</si>
  <si>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</si>
  <si>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</si>
  <si>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</si>
  <si>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</si>
  <si>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</si>
  <si>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</si>
  <si>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</si>
  <si>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</si>
  <si>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</si>
  <si>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</si>
  <si>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</si>
  <si>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</si>
  <si>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</si>
  <si>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</si>
  <si>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</si>
  <si>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</si>
  <si>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</si>
  <si>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</si>
  <si>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</si>
  <si>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</si>
  <si>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</si>
  <si>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</si>
  <si>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</si>
  <si>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</si>
  <si>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</si>
  <si>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</si>
  <si>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</si>
  <si>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</si>
  <si>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</si>
  <si>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</si>
  <si>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</si>
  <si>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</si>
  <si>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</si>
  <si>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</si>
  <si>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</si>
  <si>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</si>
  <si>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</si>
  <si>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</si>
  <si>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</si>
  <si>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</si>
  <si>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</si>
  <si>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</si>
  <si>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</si>
  <si>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</si>
  <si>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</si>
  <si>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</si>
  <si>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</si>
  <si>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</si>
  <si>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</si>
  <si>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</si>
  <si>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</si>
  <si>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</si>
  <si>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</si>
  <si>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</si>
  <si>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</si>
  <si>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</si>
  <si>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</si>
  <si>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</si>
  <si>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</si>
  <si>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</si>
  <si>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</si>
  <si>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</si>
  <si>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</si>
  <si>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</si>
  <si>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</si>
  <si>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</si>
  <si>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</si>
  <si>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</si>
  <si>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</si>
  <si>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</si>
  <si>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</si>
  <si>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</si>
  <si>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</si>
  <si>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</si>
  <si>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</si>
  <si>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</si>
  <si>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</si>
  <si>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</si>
  <si>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</si>
  <si>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</si>
  <si>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</si>
  <si>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</si>
  <si>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</si>
  <si>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</si>
  <si>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</si>
  <si>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</si>
  <si>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</si>
  <si>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</si>
  <si>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</si>
  <si>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</si>
  <si>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</si>
  <si>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</si>
  <si>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</si>
  <si>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2019-05-25@1.xlsm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</si>
</sst>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全体!$K$2:$K$566</c:f>
              <c:numCache>
                <c:formatCode>General</c:formatCode>
                <c:ptCount val="5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</c:numCache>
            </c:numRef>
          </c:xVal>
          <c:yVal>
            <c:numRef>
              <c:f>全体!$L$2:$L$566</c:f>
              <c:numCache>
                <c:formatCode>\+0.0;\-0.0;\±0</c:formatCode>
                <c:ptCount val="565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-14.184397163120567</c:v>
                </c:pt>
                <c:pt idx="1">
                  <c:v>-7.2463768115942031</c:v>
                </c:pt>
                <c:pt idx="2">
                  <c:v>7.7071290944123314</c:v>
                </c:pt>
                <c:pt idx="3">
                  <c:v>10.615711252653927</c:v>
                </c:pt>
                <c:pt idx="4">
                  <c:v>-14.285714285714286</c:v>
                </c:pt>
                <c:pt idx="5">
                  <c:v>23.622047244094489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だいち!$K$2:$K$128</c:f>
              <c:numCache>
                <c:formatCode>General</c:formatCode>
                <c:ptCount val="1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</c:numCache>
            </c:numRef>
          </c:xVal>
          <c:yVal>
            <c:numRef>
              <c:f>だいち!$L$2:$L$128</c:f>
              <c:numCache>
                <c:formatCode>\+0.0;\-0.0;\±0</c:formatCode>
                <c:ptCount val="12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1457.1428571428571</c:v>
                </c:pt>
                <c:pt idx="1">
                  <c:v>1135.7723577235772</c:v>
                </c:pt>
                <c:pt idx="2">
                  <c:v>1496.5517241379309</c:v>
                </c:pt>
                <c:pt idx="3">
                  <c:v>2935.8490566037735</c:v>
                </c:pt>
                <c:pt idx="4">
                  <c:v>878.26086956521738</c:v>
                </c:pt>
                <c:pt idx="5">
                  <c:v>896.2962962962963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ただ!$L$2:$L$68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-1890.909090909091</c:v>
                </c:pt>
                <c:pt idx="1">
                  <c:v>-1323.4375</c:v>
                </c:pt>
                <c:pt idx="2">
                  <c:v>-1010</c:v>
                </c:pt>
                <c:pt idx="3">
                  <c:v>-5440.3846153846152</c:v>
                </c:pt>
                <c:pt idx="4">
                  <c:v>-1971.7391304347825</c:v>
                </c:pt>
                <c:pt idx="5">
                  <c:v>-2148.8372093023254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れんたろう!$L$2:$L$80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-1084.6153846153845</c:v>
                </c:pt>
                <c:pt idx="1">
                  <c:v>996.10389610389609</c:v>
                </c:pt>
                <c:pt idx="2">
                  <c:v>1628.1690140845071</c:v>
                </c:pt>
                <c:pt idx="3">
                  <c:v>1327.8688524590164</c:v>
                </c:pt>
                <c:pt idx="4">
                  <c:v>-916.98113207547169</c:v>
                </c:pt>
                <c:pt idx="5">
                  <c:v>106.12244897959184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766.12903225806451</c:v>
                </c:pt>
                <c:pt idx="1">
                  <c:v>-403.22580645161293</c:v>
                </c:pt>
                <c:pt idx="2">
                  <c:v>-1281.8181818181818</c:v>
                </c:pt>
                <c:pt idx="3">
                  <c:v>319.23076923076923</c:v>
                </c:pt>
                <c:pt idx="4">
                  <c:v>808</c:v>
                </c:pt>
                <c:pt idx="5">
                  <c:v>-343.18181818181819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ぱぱ2!$B$3:$B$47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ぱぱ2!$C$3:$C$47</c:f>
              <c:numCache>
                <c:formatCode>\+0.0;\-0.0;\±0</c:formatCode>
                <c:ptCount val="45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299137728369682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ぱぱ2!$D$3:$D$47</c:f>
              <c:numCache>
                <c:formatCode>0.00\ "位"</c:formatCode>
                <c:ptCount val="4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ぱぱ2!$E$3:$E$47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ぱぱ2!$F$3:$F$47</c:f>
              <c:numCache>
                <c:formatCode>0.0%</c:formatCode>
                <c:ptCount val="4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ぱぱ2!$G$3:$G$47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ぱぱ2!$H$3:$H$47</c:f>
              <c:numCache>
                <c:formatCode>0.0%</c:formatCode>
                <c:ptCount val="45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7350427350427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ぱぱ2!$I$3:$I$47</c:f>
              <c:numCache>
                <c:formatCode>0</c:formatCode>
                <c:ptCount val="45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89.24501424501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ぱぱ2!$J$3:$J$47</c:f>
              <c:numCache>
                <c:formatCode>0</c:formatCode>
                <c:ptCount val="45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10.82802547770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ぱぱ2!$K$3:$K$47</c:f>
              <c:numCache>
                <c:formatCode>0.0%</c:formatCode>
                <c:ptCount val="4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24822695035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ぱぱ2!$L$3:$L$47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2482269503546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ぱぱ2!$M$3:$M$47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84615384615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ぱぱ2!$N$3:$N$47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752136752136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ぱぱ2!$O$3:$O$47</c:f>
              <c:numCache>
                <c:formatCode>0.0%</c:formatCode>
                <c:ptCount val="45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237547892720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ぱぱ2!$P$3:$P$47</c:f>
              <c:numCache>
                <c:formatCode>0.0%</c:formatCode>
                <c:ptCount val="4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523713420787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ぱぱ2!$Q$3:$Q$47</c:f>
              <c:numCache>
                <c:formatCode>0.0%</c:formatCode>
                <c:ptCount val="45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8518518518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43607.022546296299</v>
      </c>
      <c r="C44" s="30" t="s">
        <v>130</v>
      </c>
    </row>
    <row r="45" spans="1:11" x14ac:dyDescent="0.4">
      <c r="A45" s="30" t="s">
        <v>232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43608.770729166667</v>
      </c>
      <c r="C47" s="30" t="s">
        <v>130</v>
      </c>
    </row>
    <row r="48" spans="1:11" x14ac:dyDescent="0.4">
      <c r="A48" s="30" t="s">
        <v>237</v>
      </c>
      <c r="B48" s="31">
        <v>43609.351793981485</v>
      </c>
      <c r="C48" s="30" t="s">
        <v>130</v>
      </c>
    </row>
    <row r="49" spans="1:7" x14ac:dyDescent="0.4">
      <c r="A49" s="30" t="s">
        <v>236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239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564</v>
      </c>
    </row>
    <row r="2" spans="1:2" x14ac:dyDescent="0.4">
      <c r="A2" t="s">
        <v>127</v>
      </c>
      <c r="B2">
        <v>126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66</v>
      </c>
    </row>
    <row r="5" spans="1:2" x14ac:dyDescent="0.4">
      <c r="A5" t="s">
        <v>171</v>
      </c>
      <c r="B5">
        <v>78</v>
      </c>
    </row>
    <row r="6" spans="1:2" x14ac:dyDescent="0.4">
      <c r="A6" t="s">
        <v>172</v>
      </c>
      <c r="B6">
        <v>62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0.96432416553044542</v>
      </c>
      <c r="G2" s="159"/>
      <c r="H2" s="158">
        <v>0.74773804433971869</v>
      </c>
      <c r="I2" s="159"/>
      <c r="J2" s="158">
        <v>0.94657227251443354</v>
      </c>
      <c r="K2" s="159"/>
      <c r="L2" s="158">
        <v>0.77346733182040872</v>
      </c>
      <c r="M2" s="159"/>
      <c r="N2" s="158">
        <v>0.67630583476875861</v>
      </c>
      <c r="O2" s="159"/>
      <c r="P2" s="158">
        <v>0.22069486032165603</v>
      </c>
      <c r="Q2" s="159"/>
      <c r="R2" s="158">
        <v>0.33745853060467079</v>
      </c>
      <c r="S2" s="159"/>
      <c r="T2" s="158">
        <v>0.47527466871880347</v>
      </c>
      <c r="U2" s="159"/>
      <c r="V2" s="158">
        <v>0.66805390040310519</v>
      </c>
      <c r="W2" s="159"/>
      <c r="X2" s="158">
        <v>0.52374918386719982</v>
      </c>
      <c r="Y2" s="159"/>
      <c r="Z2" s="158">
        <v>0.28078493699134249</v>
      </c>
      <c r="AA2" s="159"/>
      <c r="AB2" s="158">
        <v>0.22537967656739463</v>
      </c>
      <c r="AC2" s="159"/>
      <c r="AD2" s="158">
        <v>0.72987322126837306</v>
      </c>
      <c r="AE2" s="159"/>
      <c r="AF2" s="158">
        <v>-0.80926517309303758</v>
      </c>
      <c r="AG2" s="159"/>
      <c r="AH2" s="158">
        <v>0.623241077898679</v>
      </c>
      <c r="AI2" s="159"/>
    </row>
    <row r="3" spans="1:35" x14ac:dyDescent="0.4">
      <c r="A3" s="74">
        <v>1</v>
      </c>
      <c r="B3" s="75" t="s">
        <v>127</v>
      </c>
      <c r="C3" s="76">
        <v>1666.5000000000011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0.17460317460317459</v>
      </c>
      <c r="X3" s="77" t="s">
        <v>225</v>
      </c>
      <c r="Y3" s="80">
        <v>0.375</v>
      </c>
      <c r="Z3" s="77" t="s">
        <v>172</v>
      </c>
      <c r="AA3" s="80">
        <v>0.29532710280373831</v>
      </c>
      <c r="AB3" s="77" t="s">
        <v>225</v>
      </c>
      <c r="AC3" s="80">
        <v>1</v>
      </c>
      <c r="AD3" s="77" t="s">
        <v>127</v>
      </c>
      <c r="AE3" s="80">
        <v>0.51541850220264318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94.299999999999983</v>
      </c>
      <c r="D4" s="85" t="s">
        <v>224</v>
      </c>
      <c r="E4" s="97">
        <v>13.3</v>
      </c>
      <c r="F4" s="85" t="s">
        <v>127</v>
      </c>
      <c r="G4" s="86">
        <v>1.7222222222222223</v>
      </c>
      <c r="H4" s="85" t="s">
        <v>127</v>
      </c>
      <c r="I4" s="87">
        <v>0.5</v>
      </c>
      <c r="J4" s="85" t="s">
        <v>224</v>
      </c>
      <c r="K4" s="87">
        <v>0</v>
      </c>
      <c r="L4" s="85" t="s">
        <v>172</v>
      </c>
      <c r="M4" s="88">
        <v>0.35887850467289717</v>
      </c>
      <c r="N4" s="85" t="s">
        <v>185</v>
      </c>
      <c r="O4" s="88">
        <v>0.10526315789473684</v>
      </c>
      <c r="P4" s="85" t="s">
        <v>171</v>
      </c>
      <c r="Q4" s="89">
        <v>10057.92349726776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0.12820512820512819</v>
      </c>
      <c r="X4" s="85" t="s">
        <v>127</v>
      </c>
      <c r="Y4" s="88">
        <v>0.32612966601178783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13.226190476190485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0.3526522593320236</v>
      </c>
      <c r="N5" s="85" t="s">
        <v>172</v>
      </c>
      <c r="O5" s="88">
        <v>0.12897196261682242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0.11524822695035461</v>
      </c>
      <c r="X5" s="85" t="s">
        <v>128</v>
      </c>
      <c r="Y5" s="88">
        <v>0.29778247096092925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172</v>
      </c>
      <c r="AE5" s="88">
        <v>0.44303797468354428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1.5127659574468084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0.22222222222222221</v>
      </c>
      <c r="L6" s="85" t="s">
        <v>202</v>
      </c>
      <c r="M6" s="88">
        <v>0.30434782608695654</v>
      </c>
      <c r="N6" s="85" t="s">
        <v>127</v>
      </c>
      <c r="O6" s="88">
        <v>0.15422396856581533</v>
      </c>
      <c r="P6" s="85" t="s">
        <v>127</v>
      </c>
      <c r="Q6" s="89">
        <v>9180.5013927576601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172</v>
      </c>
      <c r="W6" s="87">
        <v>0.11290322580645161</v>
      </c>
      <c r="X6" s="85" t="s">
        <v>171</v>
      </c>
      <c r="Y6" s="88">
        <v>0.28858024691358025</v>
      </c>
      <c r="Z6" s="85" t="s">
        <v>127</v>
      </c>
      <c r="AA6" s="88">
        <v>0.22298624754420432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1.2089743589743587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0.30645161290322581</v>
      </c>
      <c r="L7" s="85" t="s">
        <v>145</v>
      </c>
      <c r="M7" s="88">
        <v>0.3</v>
      </c>
      <c r="N7" s="85" t="s">
        <v>177</v>
      </c>
      <c r="O7" s="88">
        <v>0.16010498687664043</v>
      </c>
      <c r="P7" s="85" t="s">
        <v>129</v>
      </c>
      <c r="Q7" s="89">
        <v>9066.9421487603304</v>
      </c>
      <c r="R7" s="85" t="s">
        <v>173</v>
      </c>
      <c r="S7" s="89">
        <v>-7866.1971830985913</v>
      </c>
      <c r="T7" s="85" t="s">
        <v>172</v>
      </c>
      <c r="U7" s="87">
        <v>4.8387096774193547E-2</v>
      </c>
      <c r="V7" s="85" t="s">
        <v>177</v>
      </c>
      <c r="W7" s="87">
        <v>0.10638297872340426</v>
      </c>
      <c r="X7" s="85" t="s">
        <v>145</v>
      </c>
      <c r="Y7" s="88">
        <v>0.27884615384615385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172</v>
      </c>
      <c r="C8" s="84">
        <v>7.9999999999999822</v>
      </c>
      <c r="D8" s="85" t="s">
        <v>172</v>
      </c>
      <c r="E8" s="97">
        <v>0.12903225806451585</v>
      </c>
      <c r="F8" s="85" t="s">
        <v>224</v>
      </c>
      <c r="G8" s="86">
        <v>2</v>
      </c>
      <c r="H8" s="85" t="s">
        <v>173</v>
      </c>
      <c r="I8" s="87">
        <v>0.29545454545454547</v>
      </c>
      <c r="J8" s="85" t="s">
        <v>177</v>
      </c>
      <c r="K8" s="87">
        <v>0.31914893617021278</v>
      </c>
      <c r="L8" s="85" t="s">
        <v>173</v>
      </c>
      <c r="M8" s="88">
        <v>0.29842931937172773</v>
      </c>
      <c r="N8" s="85" t="s">
        <v>145</v>
      </c>
      <c r="O8" s="88">
        <v>0.16773504273504272</v>
      </c>
      <c r="P8" s="85" t="s">
        <v>177</v>
      </c>
      <c r="Q8" s="89">
        <v>8838.3928571428569</v>
      </c>
      <c r="R8" s="85" t="s">
        <v>171</v>
      </c>
      <c r="S8" s="89">
        <v>-8107.0175438596489</v>
      </c>
      <c r="T8" s="85" t="s">
        <v>171</v>
      </c>
      <c r="U8" s="87">
        <v>7.6923076923076927E-2</v>
      </c>
      <c r="V8" s="85" t="s">
        <v>129</v>
      </c>
      <c r="W8" s="87">
        <v>0.10606060606060606</v>
      </c>
      <c r="X8" s="85" t="s">
        <v>129</v>
      </c>
      <c r="Y8" s="88">
        <v>0.26568265682656828</v>
      </c>
      <c r="Z8" s="85" t="s">
        <v>145</v>
      </c>
      <c r="AA8" s="88">
        <v>0.21175213675213675</v>
      </c>
      <c r="AB8" s="85" t="s">
        <v>173</v>
      </c>
      <c r="AC8" s="88">
        <v>0.59090909090909094</v>
      </c>
      <c r="AD8" s="85" t="s">
        <v>171</v>
      </c>
      <c r="AE8" s="88">
        <v>0.39516129032258063</v>
      </c>
      <c r="AF8" s="85" t="s">
        <v>129</v>
      </c>
      <c r="AG8" s="88">
        <v>0.49586776859504134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3.5527136788005009E-15</v>
      </c>
      <c r="D9" s="85" t="s">
        <v>145</v>
      </c>
      <c r="E9" s="97">
        <v>6.2991377283696823E-18</v>
      </c>
      <c r="F9" s="85" t="s">
        <v>172</v>
      </c>
      <c r="G9" s="86">
        <v>2.032258064516129</v>
      </c>
      <c r="H9" s="85" t="s">
        <v>171</v>
      </c>
      <c r="I9" s="87">
        <v>0.29487179487179488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145</v>
      </c>
      <c r="Q9" s="89">
        <v>8689.2450142450143</v>
      </c>
      <c r="R9" s="85" t="s">
        <v>186</v>
      </c>
      <c r="S9" s="89">
        <v>-8107.6923076923076</v>
      </c>
      <c r="T9" s="85" t="s">
        <v>127</v>
      </c>
      <c r="U9" s="87">
        <v>0.1111111111111111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0.58510638297872342</v>
      </c>
      <c r="AD9" s="85" t="s">
        <v>145</v>
      </c>
      <c r="AE9" s="88">
        <v>0.39152371342078707</v>
      </c>
      <c r="AF9" s="85" t="s">
        <v>145</v>
      </c>
      <c r="AG9" s="88">
        <v>0.43518518518518517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2.0512820512820511</v>
      </c>
      <c r="H10" s="85" t="s">
        <v>172</v>
      </c>
      <c r="I10" s="87">
        <v>0.27419354838709675</v>
      </c>
      <c r="J10" s="85" t="s">
        <v>171</v>
      </c>
      <c r="K10" s="87">
        <v>0.34615384615384615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225</v>
      </c>
      <c r="Q10" s="89">
        <v>8666.6666666666661</v>
      </c>
      <c r="R10" s="85" t="s">
        <v>127</v>
      </c>
      <c r="S10" s="89">
        <v>-8277.7070063694264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177</v>
      </c>
      <c r="Y10" s="88">
        <v>0.25984251968503935</v>
      </c>
      <c r="Z10" s="85" t="s">
        <v>177</v>
      </c>
      <c r="AA10" s="88">
        <v>0.19160104986876642</v>
      </c>
      <c r="AB10" s="85" t="s">
        <v>171</v>
      </c>
      <c r="AC10" s="88">
        <v>0.58288770053475936</v>
      </c>
      <c r="AD10" s="85" t="s">
        <v>177</v>
      </c>
      <c r="AE10" s="88">
        <v>0.35616438356164382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0.28240740740740738</v>
      </c>
      <c r="N11" s="85" t="s">
        <v>171</v>
      </c>
      <c r="O11" s="88">
        <v>0.17592592592592593</v>
      </c>
      <c r="P11" s="85" t="s">
        <v>185</v>
      </c>
      <c r="Q11" s="89">
        <v>7860</v>
      </c>
      <c r="R11" s="85" t="s">
        <v>145</v>
      </c>
      <c r="S11" s="89">
        <v>-8310.8280254777073</v>
      </c>
      <c r="T11" s="85" t="s">
        <v>145</v>
      </c>
      <c r="U11" s="87">
        <v>0.11524822695035461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171</v>
      </c>
      <c r="AA11" s="88">
        <v>0.19135802469135801</v>
      </c>
      <c r="AB11" s="85" t="s">
        <v>145</v>
      </c>
      <c r="AC11" s="88">
        <v>0.58237547892720309</v>
      </c>
      <c r="AD11" s="85" t="s">
        <v>173</v>
      </c>
      <c r="AE11" s="88">
        <v>0.33673469387755101</v>
      </c>
      <c r="AF11" s="85" t="s">
        <v>172</v>
      </c>
      <c r="AG11" s="88">
        <v>0.421875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2.0782608695652174</v>
      </c>
      <c r="H12" s="85" t="s">
        <v>129</v>
      </c>
      <c r="I12" s="87">
        <v>0.22727272727272727</v>
      </c>
      <c r="J12" s="85" t="s">
        <v>173</v>
      </c>
      <c r="K12" s="87">
        <v>0.36363636363636365</v>
      </c>
      <c r="L12" s="85" t="s">
        <v>128</v>
      </c>
      <c r="M12" s="88">
        <v>0.27243928194297784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-9417.391304347826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127</v>
      </c>
      <c r="AC12" s="88">
        <v>0.58132530120481929</v>
      </c>
      <c r="AD12" s="85" t="s">
        <v>128</v>
      </c>
      <c r="AE12" s="88">
        <v>0.2982456140350877</v>
      </c>
      <c r="AF12" s="85" t="s">
        <v>171</v>
      </c>
      <c r="AG12" s="88">
        <v>0.42076502732240439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0.19557195571955718</v>
      </c>
      <c r="P13" s="85" t="s">
        <v>202</v>
      </c>
      <c r="Q13" s="89">
        <v>7438.0952380952385</v>
      </c>
      <c r="R13" s="85" t="s">
        <v>129</v>
      </c>
      <c r="S13" s="89">
        <v>-9527.3584905660373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0.16605166051660517</v>
      </c>
      <c r="AB13" s="85" t="s">
        <v>172</v>
      </c>
      <c r="AC13" s="88">
        <v>0.5641025641025641</v>
      </c>
      <c r="AD13" s="85" t="s">
        <v>129</v>
      </c>
      <c r="AE13" s="88">
        <v>0.23333333333333334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-17.015151515151512</v>
      </c>
      <c r="F14" s="85" t="s">
        <v>129</v>
      </c>
      <c r="G14" s="86">
        <v>2.2878787878787881</v>
      </c>
      <c r="H14" s="85" t="s">
        <v>224</v>
      </c>
      <c r="I14" s="87">
        <v>0</v>
      </c>
      <c r="J14" s="85" t="s">
        <v>129</v>
      </c>
      <c r="K14" s="87">
        <v>0.51515151515151514</v>
      </c>
      <c r="L14" s="85" t="s">
        <v>129</v>
      </c>
      <c r="M14" s="88">
        <v>0.22324723247232472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0.23036649214659685</v>
      </c>
      <c r="Z14" s="85" t="s">
        <v>225</v>
      </c>
      <c r="AA14" s="88">
        <v>0.125</v>
      </c>
      <c r="AB14" s="85" t="s">
        <v>129</v>
      </c>
      <c r="AC14" s="88">
        <v>0.49305555555555558</v>
      </c>
      <c r="AD14" s="85" t="s">
        <v>224</v>
      </c>
      <c r="AE14" s="88">
        <v>0</v>
      </c>
      <c r="AF14" s="85" t="s">
        <v>127</v>
      </c>
      <c r="AG14" s="88">
        <v>0.4011142061281337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-1122.9999999999998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6635.9375</v>
      </c>
      <c r="R15" s="85" t="s">
        <v>225</v>
      </c>
      <c r="S15" s="89">
        <v>-14000</v>
      </c>
      <c r="T15" s="85" t="s">
        <v>129</v>
      </c>
      <c r="U15" s="87">
        <v>0.18181818181818182</v>
      </c>
      <c r="V15" s="85" t="s">
        <v>225</v>
      </c>
      <c r="W15" s="87">
        <v>0</v>
      </c>
      <c r="X15" s="85" t="s">
        <v>172</v>
      </c>
      <c r="Y15" s="88">
        <v>0.21869158878504674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564</v>
      </c>
      <c r="C2" s="147"/>
      <c r="E2" s="62" t="s">
        <v>65</v>
      </c>
      <c r="F2" s="59" t="s">
        <v>21</v>
      </c>
      <c r="G2" s="46">
        <v>725</v>
      </c>
      <c r="H2" s="132">
        <f>IF(B$17=0,0,G2/B$17)</f>
        <v>0.51638176638176636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-14.184397163120567</v>
      </c>
      <c r="P2" s="118">
        <v>564</v>
      </c>
      <c r="Q2" s="102">
        <v>-8000</v>
      </c>
    </row>
    <row r="3" spans="1:17" x14ac:dyDescent="0.4">
      <c r="A3" s="55" t="s">
        <v>8</v>
      </c>
      <c r="B3" s="148">
        <v>4680</v>
      </c>
      <c r="C3" s="149"/>
      <c r="E3" s="63" t="s">
        <v>66</v>
      </c>
      <c r="F3" s="60" t="s">
        <v>22</v>
      </c>
      <c r="G3" s="47">
        <v>172</v>
      </c>
      <c r="H3" s="133">
        <f>IF(B$17=0,0,G3/B$17)</f>
        <v>0.12250712250712251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-7.2463768115942031</v>
      </c>
      <c r="P3" s="119">
        <v>552</v>
      </c>
      <c r="Q3" s="103">
        <v>-4000</v>
      </c>
    </row>
    <row r="4" spans="1:17" x14ac:dyDescent="0.4">
      <c r="A4" s="55" t="s">
        <v>6</v>
      </c>
      <c r="B4" s="150">
        <v>3.5527136788005009E-15</v>
      </c>
      <c r="C4" s="151"/>
      <c r="E4" s="63" t="s">
        <v>67</v>
      </c>
      <c r="F4" s="60" t="s">
        <v>23</v>
      </c>
      <c r="G4" s="47">
        <v>1049</v>
      </c>
      <c r="H4" s="133">
        <f>IF(B$17=0,0,G4/B$17)</f>
        <v>0.7471509971509972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7.7071290944123314</v>
      </c>
      <c r="P4" s="119">
        <v>519</v>
      </c>
      <c r="Q4" s="103">
        <v>4000</v>
      </c>
    </row>
    <row r="5" spans="1:17" x14ac:dyDescent="0.4">
      <c r="A5" s="55" t="s">
        <v>7</v>
      </c>
      <c r="B5" s="152">
        <f>IF(B$2=0,0,B$4/B$2)</f>
        <v>6.2991377283696823E-18</v>
      </c>
      <c r="C5" s="153"/>
      <c r="E5" s="63" t="s">
        <v>68</v>
      </c>
      <c r="F5" s="60" t="s">
        <v>24</v>
      </c>
      <c r="G5" s="47">
        <v>423</v>
      </c>
      <c r="H5" s="133">
        <f>IF(B$17=0,0,G5/B$17)</f>
        <v>0.30128205128205127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10.615711252653927</v>
      </c>
      <c r="P5" s="119">
        <v>471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441</v>
      </c>
      <c r="H6" s="133">
        <f>IF(B$17=0,0,G6/B$17)</f>
        <v>0.3141025641025641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-14.285714285714286</v>
      </c>
      <c r="P6" s="119">
        <v>420</v>
      </c>
      <c r="Q6" s="103">
        <v>-6000</v>
      </c>
    </row>
    <row r="7" spans="1:17" x14ac:dyDescent="0.4">
      <c r="A7" s="55" t="s">
        <v>2</v>
      </c>
      <c r="B7" s="47">
        <v>188</v>
      </c>
      <c r="C7" s="39">
        <f>IF(B$2=0,0,B7/B$2)</f>
        <v>0.33333333333333331</v>
      </c>
      <c r="E7" s="63" t="s">
        <v>70</v>
      </c>
      <c r="F7" s="60" t="s">
        <v>25</v>
      </c>
      <c r="G7" s="47">
        <v>253</v>
      </c>
      <c r="H7" s="133">
        <f>IF(B$17=0,0,G7/B$17)</f>
        <v>0.18019943019943019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23.622047244094489</v>
      </c>
      <c r="P7" s="120">
        <v>381</v>
      </c>
      <c r="Q7" s="104">
        <v>9000</v>
      </c>
    </row>
    <row r="8" spans="1:17" x14ac:dyDescent="0.4">
      <c r="A8" s="55" t="s">
        <v>3</v>
      </c>
      <c r="B8" s="47">
        <v>188</v>
      </c>
      <c r="C8" s="39">
        <f>IF(B$2=0,0,B8/B$2)</f>
        <v>0.33333333333333331</v>
      </c>
      <c r="E8" s="63" t="s">
        <v>71</v>
      </c>
      <c r="F8" s="60" t="s">
        <v>26</v>
      </c>
      <c r="G8" s="47">
        <v>142</v>
      </c>
      <c r="H8" s="133">
        <f>IF(B$17=0,0,G8/B$17)</f>
        <v>0.10113960113960115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188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93</v>
      </c>
      <c r="H9" s="133">
        <f>IF(B$17=0,0,G9/B$17)</f>
        <v>6.623931623931624E-2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65</v>
      </c>
      <c r="C10" s="40">
        <f>IF(B$2=0,0,B10/B$2)</f>
        <v>0.11524822695035461</v>
      </c>
      <c r="E10" s="63" t="s">
        <v>73</v>
      </c>
      <c r="F10" s="60" t="s">
        <v>28</v>
      </c>
      <c r="G10" s="47">
        <v>723</v>
      </c>
      <c r="H10" s="133">
        <f>IF(B$17=0,0,G10/B$17)</f>
        <v>0.5149572649572649</v>
      </c>
      <c r="I10" s="94">
        <v>7</v>
      </c>
      <c r="K10" s="38">
        <v>8</v>
      </c>
      <c r="L10" s="99">
        <v>19.699999999999996</v>
      </c>
      <c r="N10" s="114" t="s">
        <v>164</v>
      </c>
      <c r="O10" s="124">
        <f>IF(P10=0,0,Q10/P10)</f>
        <v>-2.5425531914893615</v>
      </c>
      <c r="P10" s="118">
        <v>188</v>
      </c>
      <c r="Q10" s="106">
        <v>-478</v>
      </c>
    </row>
    <row r="11" spans="1:17" x14ac:dyDescent="0.4">
      <c r="A11" s="56" t="s">
        <v>140</v>
      </c>
      <c r="B11" s="48">
        <v>65</v>
      </c>
      <c r="C11" s="40">
        <f>IF(B$2=0,0,B11/B$2)</f>
        <v>0.11524822695035461</v>
      </c>
      <c r="E11" s="63" t="s">
        <v>74</v>
      </c>
      <c r="F11" s="60" t="s">
        <v>29</v>
      </c>
      <c r="G11" s="47">
        <v>9</v>
      </c>
      <c r="H11" s="133">
        <f>IF(B$17=0,0,G11/B$17)</f>
        <v>6.41025641025641E-3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-0.65000000000000013</v>
      </c>
      <c r="P11" s="119">
        <v>188</v>
      </c>
      <c r="Q11" s="107">
        <v>-122.20000000000003</v>
      </c>
    </row>
    <row r="12" spans="1:17" x14ac:dyDescent="0.4">
      <c r="A12" s="57" t="s">
        <v>160</v>
      </c>
      <c r="B12" s="49">
        <v>50</v>
      </c>
      <c r="C12" s="42">
        <f>IF(B$2=0,0,B12/B$2)</f>
        <v>8.8652482269503549E-2</v>
      </c>
      <c r="E12" s="63" t="s">
        <v>75</v>
      </c>
      <c r="F12" s="60" t="s">
        <v>30</v>
      </c>
      <c r="G12" s="47">
        <v>6</v>
      </c>
      <c r="H12" s="133">
        <f>IF(B$17=0,0,G12/B$17)</f>
        <v>4.2735042735042739E-3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3.1925531914893619</v>
      </c>
      <c r="P12" s="120">
        <v>188</v>
      </c>
      <c r="Q12" s="108">
        <v>600.20000000000005</v>
      </c>
    </row>
    <row r="13" spans="1:17" x14ac:dyDescent="0.4">
      <c r="A13" s="58" t="s">
        <v>122</v>
      </c>
      <c r="B13" s="50">
        <v>1305</v>
      </c>
      <c r="C13" s="44">
        <f>IF(B$3=0,0,B13/B$3)</f>
        <v>0.27884615384615385</v>
      </c>
      <c r="E13" s="63" t="s">
        <v>76</v>
      </c>
      <c r="F13" s="60" t="s">
        <v>31</v>
      </c>
      <c r="G13" s="47">
        <v>9</v>
      </c>
      <c r="H13" s="133">
        <f>IF(B$17=0,0,G13/B$17)</f>
        <v>6.41025641025641E-3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991</v>
      </c>
      <c r="C14" s="39">
        <f>IF(B$3=0,0,B14/B$3)</f>
        <v>0.21175213675213675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760</v>
      </c>
      <c r="C15" s="37">
        <f>IF(B$13=0,0,B15/B$13)</f>
        <v>0.58237547892720309</v>
      </c>
      <c r="E15" s="63" t="s">
        <v>78</v>
      </c>
      <c r="F15" s="60" t="s">
        <v>33</v>
      </c>
      <c r="G15" s="47">
        <v>3</v>
      </c>
      <c r="H15" s="133">
        <f>IF(B$17=0,0,G15/B$17)</f>
        <v>2.136752136752137E-3</v>
      </c>
      <c r="I15" s="94">
        <v>4</v>
      </c>
      <c r="K15" s="38">
        <v>13</v>
      </c>
      <c r="L15" s="99">
        <v>-42.100000000000009</v>
      </c>
      <c r="N15" s="114" t="s">
        <v>225</v>
      </c>
      <c r="O15" s="124">
        <f t="shared" ref="O15:O26" si="2"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388</v>
      </c>
      <c r="C16" s="37">
        <f>IF(B$14=0,0,B16/B$14)</f>
        <v>0.39152371342078707</v>
      </c>
      <c r="E16" s="63" t="s">
        <v>79</v>
      </c>
      <c r="F16" s="60" t="s">
        <v>34</v>
      </c>
      <c r="G16" s="47">
        <v>36</v>
      </c>
      <c r="H16" s="133">
        <f>IF(B$17=0,0,G16/B$17)</f>
        <v>2.564102564102564E-2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 t="shared" si="2"/>
        <v>25.522727272727295</v>
      </c>
      <c r="P16" s="119">
        <v>132</v>
      </c>
      <c r="Q16" s="107">
        <v>3369.0000000000027</v>
      </c>
    </row>
    <row r="17" spans="1:17" x14ac:dyDescent="0.4">
      <c r="A17" s="54" t="s">
        <v>10</v>
      </c>
      <c r="B17" s="46">
        <f>B19+B18</f>
        <v>1404</v>
      </c>
      <c r="C17" s="37">
        <f>IF(B$3=0,0,B17/B$3)</f>
        <v>0.3</v>
      </c>
      <c r="E17" s="63" t="s">
        <v>80</v>
      </c>
      <c r="F17" s="60" t="s">
        <v>35</v>
      </c>
      <c r="G17" s="47">
        <v>23</v>
      </c>
      <c r="H17" s="133">
        <f>IF(B$17=0,0,G17/B$17)</f>
        <v>1.6381766381766381E-2</v>
      </c>
      <c r="I17" s="94">
        <v>6</v>
      </c>
      <c r="K17" s="38">
        <v>15</v>
      </c>
      <c r="L17" s="99">
        <v>-1.0658141036401503E-14</v>
      </c>
      <c r="N17" s="115" t="s">
        <v>186</v>
      </c>
      <c r="O17" s="125">
        <f t="shared" si="2"/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611</v>
      </c>
      <c r="C18" s="39">
        <f>IF(B$17=0,0,B18/B$17)</f>
        <v>0.43518518518518517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173</v>
      </c>
      <c r="O18" s="125">
        <f t="shared" si="2"/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793</v>
      </c>
      <c r="C19" s="39">
        <f>IF(B$17=0,0,B19/B$17)</f>
        <v>0.56481481481481477</v>
      </c>
      <c r="E19" s="63" t="s">
        <v>82</v>
      </c>
      <c r="F19" s="60" t="s">
        <v>37</v>
      </c>
      <c r="G19" s="47">
        <v>39</v>
      </c>
      <c r="H19" s="133">
        <f>IF(B$17=0,0,G19/B$17)</f>
        <v>2.7777777777777776E-2</v>
      </c>
      <c r="I19" s="94">
        <v>7</v>
      </c>
      <c r="K19" s="38">
        <v>17</v>
      </c>
      <c r="L19" s="99">
        <v>8.2999999999999972</v>
      </c>
      <c r="N19" s="115" t="s">
        <v>202</v>
      </c>
      <c r="O19" s="125">
        <f t="shared" si="2"/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785</v>
      </c>
      <c r="C20" s="39">
        <f>IF(B$3=0,0,B20/B$3)</f>
        <v>0.16773504273504272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128</v>
      </c>
      <c r="O20" s="125">
        <f t="shared" si="2"/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65</v>
      </c>
      <c r="H21" s="133">
        <f>IF(B$17=0,0,G21/B$17)</f>
        <v>4.6296296296296294E-2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 t="shared" si="2"/>
        <v>-0.19354838709677544</v>
      </c>
      <c r="P21" s="119">
        <v>124</v>
      </c>
      <c r="Q21" s="107">
        <v>-24.000000000000153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85</v>
      </c>
      <c r="F22" s="60" t="s">
        <v>40</v>
      </c>
      <c r="G22" s="47">
        <v>4</v>
      </c>
      <c r="H22" s="133">
        <f>IF(B$17=0,0,G22/B$17)</f>
        <v>2.8490028490028491E-3</v>
      </c>
      <c r="I22" s="94">
        <v>3</v>
      </c>
      <c r="K22" s="38">
        <v>20</v>
      </c>
      <c r="L22" s="99">
        <v>0.79999999999999716</v>
      </c>
      <c r="N22" s="115" t="s">
        <v>171</v>
      </c>
      <c r="O22" s="125">
        <f t="shared" si="2"/>
        <v>-1.8134615384615362</v>
      </c>
      <c r="P22" s="119">
        <v>156</v>
      </c>
      <c r="Q22" s="107">
        <v>-282.89999999999964</v>
      </c>
    </row>
    <row r="23" spans="1:17" x14ac:dyDescent="0.4">
      <c r="A23" s="55" t="s">
        <v>5</v>
      </c>
      <c r="B23" s="51">
        <f>IF(B$17=0,0,C23/B$17)</f>
        <v>8689.2450142450143</v>
      </c>
      <c r="C23" s="41">
        <v>12199700</v>
      </c>
      <c r="E23" s="63" t="s">
        <v>86</v>
      </c>
      <c r="F23" s="60" t="s">
        <v>41</v>
      </c>
      <c r="G23" s="47">
        <v>3</v>
      </c>
      <c r="H23" s="133">
        <f>IF(B$17=0,0,G23/B$17)</f>
        <v>2.136752136752137E-3</v>
      </c>
      <c r="I23" s="94">
        <v>3</v>
      </c>
      <c r="K23" s="38">
        <v>21</v>
      </c>
      <c r="L23" s="99">
        <v>-2.886579864025407E-15</v>
      </c>
      <c r="N23" s="115" t="s">
        <v>177</v>
      </c>
      <c r="O23" s="125">
        <f t="shared" si="2"/>
        <v>-2.2691489361702146</v>
      </c>
      <c r="P23" s="119">
        <v>94</v>
      </c>
      <c r="Q23" s="107">
        <v>-213.30000000000018</v>
      </c>
    </row>
    <row r="24" spans="1:17" x14ac:dyDescent="0.4">
      <c r="A24" s="57" t="s">
        <v>14</v>
      </c>
      <c r="B24" s="52">
        <f>IF(B$20=0,0,C24/B$20)</f>
        <v>-8310.8280254777073</v>
      </c>
      <c r="C24" s="45">
        <v>-6524000</v>
      </c>
      <c r="E24" s="63" t="s">
        <v>87</v>
      </c>
      <c r="F24" s="60" t="s">
        <v>42</v>
      </c>
      <c r="G24" s="47">
        <v>78</v>
      </c>
      <c r="H24" s="133">
        <f>IF(B$17=0,0,G24/B$17)</f>
        <v>5.5555555555555552E-2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 t="shared" si="2"/>
        <v>-19.839285714285683</v>
      </c>
      <c r="P24" s="119">
        <v>252</v>
      </c>
      <c r="Q24" s="107">
        <v>-4999.4999999999918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5</v>
      </c>
      <c r="H25" s="133">
        <f>IF(B$17=0,0,G25/B$17)</f>
        <v>3.5612535612535613E-3</v>
      </c>
      <c r="I25" s="94">
        <v>5</v>
      </c>
      <c r="K25" s="38">
        <v>23</v>
      </c>
      <c r="L25" s="99">
        <v>26.299999999999997</v>
      </c>
      <c r="N25" s="115" t="s">
        <v>224</v>
      </c>
      <c r="O25" s="125">
        <f t="shared" si="2"/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1.4245014245014246E-3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 t="shared" si="2"/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2.9914529914529917E-3</v>
      </c>
      <c r="E27" s="63" t="s">
        <v>90</v>
      </c>
      <c r="F27" s="60" t="s">
        <v>45</v>
      </c>
      <c r="G27" s="47">
        <v>172</v>
      </c>
      <c r="H27" s="133">
        <f>IF(B$17=0,0,G27/B$17)</f>
        <v>0.12250712250712251</v>
      </c>
      <c r="I27" s="94">
        <v>8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1.4245014245014246E-3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27</v>
      </c>
      <c r="H29" s="133">
        <f>IF(B$17=0,0,G29/B$17)</f>
        <v>1.9230769230769232E-2</v>
      </c>
      <c r="I29" s="94">
        <v>5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6</v>
      </c>
      <c r="H30" s="133">
        <f>IF(B$17=0,0,G30/B$17)</f>
        <v>4.2735042735042739E-3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5</v>
      </c>
      <c r="H31" s="133">
        <f>IF(B$17=0,0,G31/B$17)</f>
        <v>3.5612535612535613E-3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1.4245014245014246E-3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7.1225071225071229E-4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22</v>
      </c>
      <c r="H50" s="133">
        <f>IF(B$17=0,0,G50/B$17)</f>
        <v>1.5669515669515671E-2</v>
      </c>
      <c r="I50" s="94">
        <v>5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585</v>
      </c>
      <c r="H51" s="134">
        <f>IF(B$17=0,0,G51/B$17)</f>
        <v>0.41666666666666669</v>
      </c>
      <c r="I51" s="95">
        <v>5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</sheetData>
  <sortState ref="E2:I56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126</v>
      </c>
      <c r="C2" s="147"/>
      <c r="E2" s="62" t="s">
        <v>65</v>
      </c>
      <c r="F2" s="59" t="s">
        <v>21</v>
      </c>
      <c r="G2" s="46">
        <v>178</v>
      </c>
      <c r="H2" s="132">
        <f>IF(B$17=0,0,G2/B$17)</f>
        <v>0.49582172701949861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1457.1428571428571</v>
      </c>
      <c r="P2" s="118">
        <v>126</v>
      </c>
      <c r="Q2" s="102">
        <v>183600</v>
      </c>
    </row>
    <row r="3" spans="1:17" x14ac:dyDescent="0.4">
      <c r="A3" s="55" t="s">
        <v>8</v>
      </c>
      <c r="B3" s="148">
        <v>1018</v>
      </c>
      <c r="C3" s="149"/>
      <c r="E3" s="63" t="s">
        <v>66</v>
      </c>
      <c r="F3" s="60" t="s">
        <v>22</v>
      </c>
      <c r="G3" s="47">
        <v>50</v>
      </c>
      <c r="H3" s="133">
        <f>IF(B$17=0,0,G3/B$17)</f>
        <v>0.1392757660167131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1135.7723577235772</v>
      </c>
      <c r="P3" s="119">
        <v>123</v>
      </c>
      <c r="Q3" s="103">
        <v>139700</v>
      </c>
    </row>
    <row r="4" spans="1:17" x14ac:dyDescent="0.4">
      <c r="A4" s="55" t="s">
        <v>6</v>
      </c>
      <c r="B4" s="150">
        <v>1666.5000000000011</v>
      </c>
      <c r="C4" s="151"/>
      <c r="E4" s="63" t="s">
        <v>67</v>
      </c>
      <c r="F4" s="60" t="s">
        <v>23</v>
      </c>
      <c r="G4" s="47">
        <v>269</v>
      </c>
      <c r="H4" s="133">
        <f>IF(B$17=0,0,G4/B$17)</f>
        <v>0.74930362116991645</v>
      </c>
      <c r="I4" s="94">
        <v>6</v>
      </c>
      <c r="K4" s="38">
        <v>2</v>
      </c>
      <c r="L4" s="99">
        <v>-2.8999999999999995</v>
      </c>
      <c r="N4" s="115" t="s">
        <v>134</v>
      </c>
      <c r="O4" s="122">
        <f t="shared" si="0"/>
        <v>1496.5517241379309</v>
      </c>
      <c r="P4" s="119">
        <v>116</v>
      </c>
      <c r="Q4" s="103">
        <v>173600</v>
      </c>
    </row>
    <row r="5" spans="1:17" x14ac:dyDescent="0.4">
      <c r="A5" s="55" t="s">
        <v>7</v>
      </c>
      <c r="B5" s="152">
        <f>IF(B$2=0,0,B$4/B$2)</f>
        <v>13.226190476190485</v>
      </c>
      <c r="C5" s="153"/>
      <c r="E5" s="63" t="s">
        <v>68</v>
      </c>
      <c r="F5" s="60" t="s">
        <v>24</v>
      </c>
      <c r="G5" s="47">
        <v>105</v>
      </c>
      <c r="H5" s="133">
        <f>IF(B$17=0,0,G5/B$17)</f>
        <v>0.29247910863509752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2935.8490566037735</v>
      </c>
      <c r="P5" s="119">
        <v>106</v>
      </c>
      <c r="Q5" s="103">
        <v>311200</v>
      </c>
    </row>
    <row r="6" spans="1:17" x14ac:dyDescent="0.4">
      <c r="A6" s="55" t="s">
        <v>1</v>
      </c>
      <c r="B6" s="142">
        <f>IF(B$2=0,0,(B$7*1+B$8*2+B$9*3)/B$2)</f>
        <v>1.7222222222222223</v>
      </c>
      <c r="C6" s="143"/>
      <c r="E6" s="63" t="s">
        <v>69</v>
      </c>
      <c r="F6" s="60" t="s">
        <v>12</v>
      </c>
      <c r="G6" s="47">
        <v>92</v>
      </c>
      <c r="H6" s="133">
        <f>IF(B$17=0,0,G6/B$17)</f>
        <v>0.25626740947075211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878.26086956521738</v>
      </c>
      <c r="P6" s="119">
        <v>92</v>
      </c>
      <c r="Q6" s="103">
        <v>80800</v>
      </c>
    </row>
    <row r="7" spans="1:17" x14ac:dyDescent="0.4">
      <c r="A7" s="55" t="s">
        <v>2</v>
      </c>
      <c r="B7" s="47">
        <v>63</v>
      </c>
      <c r="C7" s="39">
        <f>IF(B$2=0,0,B7/B$2)</f>
        <v>0.5</v>
      </c>
      <c r="E7" s="63" t="s">
        <v>70</v>
      </c>
      <c r="F7" s="60" t="s">
        <v>25</v>
      </c>
      <c r="G7" s="47">
        <v>61</v>
      </c>
      <c r="H7" s="133">
        <f>IF(B$17=0,0,G7/B$17)</f>
        <v>0.16991643454038996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896.2962962962963</v>
      </c>
      <c r="P7" s="120">
        <v>81</v>
      </c>
      <c r="Q7" s="104">
        <v>72600</v>
      </c>
    </row>
    <row r="8" spans="1:17" x14ac:dyDescent="0.4">
      <c r="A8" s="55" t="s">
        <v>3</v>
      </c>
      <c r="B8" s="47">
        <v>35</v>
      </c>
      <c r="C8" s="39">
        <f>IF(B$2=0,0,B8/B$2)</f>
        <v>0.27777777777777779</v>
      </c>
      <c r="E8" s="63" t="s">
        <v>71</v>
      </c>
      <c r="F8" s="60" t="s">
        <v>26</v>
      </c>
      <c r="G8" s="47">
        <v>34</v>
      </c>
      <c r="H8" s="133">
        <f>IF(B$17=0,0,G8/B$17)</f>
        <v>9.4707520891364902E-2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28</v>
      </c>
      <c r="C9" s="40">
        <f t="shared" ref="C9" si="1">IF(B$2=0,0,B9/B$2)</f>
        <v>0.22222222222222221</v>
      </c>
      <c r="E9" s="63" t="s">
        <v>72</v>
      </c>
      <c r="F9" s="60" t="s">
        <v>27</v>
      </c>
      <c r="G9" s="47">
        <v>25</v>
      </c>
      <c r="H9" s="133">
        <f>IF(B$17=0,0,G9/B$17)</f>
        <v>6.9637883008356549E-2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0.1111111111111111</v>
      </c>
      <c r="E10" s="63" t="s">
        <v>73</v>
      </c>
      <c r="F10" s="60" t="s">
        <v>28</v>
      </c>
      <c r="G10" s="47">
        <v>205</v>
      </c>
      <c r="H10" s="133">
        <f>IF(B$17=0,0,G10/B$17)</f>
        <v>0.57103064066852371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16.805555555555557</v>
      </c>
      <c r="P10" s="118">
        <v>36</v>
      </c>
      <c r="Q10" s="106">
        <v>605</v>
      </c>
    </row>
    <row r="11" spans="1:17" x14ac:dyDescent="0.4">
      <c r="A11" s="56" t="s">
        <v>140</v>
      </c>
      <c r="B11" s="48">
        <v>22</v>
      </c>
      <c r="C11" s="40">
        <f>IF(B$2=0,0,B11/B$2)</f>
        <v>0.17460317460317459</v>
      </c>
      <c r="E11" s="63" t="s">
        <v>74</v>
      </c>
      <c r="F11" s="60" t="s">
        <v>29</v>
      </c>
      <c r="G11" s="47">
        <v>2</v>
      </c>
      <c r="H11" s="133">
        <f>IF(B$17=0,0,G11/B$17)</f>
        <v>5.5710306406685237E-3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0.15079365079365079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332</v>
      </c>
      <c r="C13" s="44">
        <f>IF(B$3=0,0,B13/B$3)</f>
        <v>0.32612966601178783</v>
      </c>
      <c r="E13" s="63" t="s">
        <v>76</v>
      </c>
      <c r="F13" s="60" t="s">
        <v>31</v>
      </c>
      <c r="G13" s="47">
        <v>1</v>
      </c>
      <c r="H13" s="133">
        <f>IF(B$17=0,0,G13/B$17)</f>
        <v>2.7855153203342618E-3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227</v>
      </c>
      <c r="C14" s="39">
        <f>IF(B$3=0,0,B14/B$3)</f>
        <v>0.22298624754420432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193</v>
      </c>
      <c r="C15" s="37">
        <f>IF(B$13=0,0,B15/B$13)</f>
        <v>0.58132530120481929</v>
      </c>
      <c r="E15" s="63" t="s">
        <v>78</v>
      </c>
      <c r="F15" s="60" t="s">
        <v>33</v>
      </c>
      <c r="G15" s="47">
        <v>1</v>
      </c>
      <c r="H15" s="133">
        <f>IF(B$17=0,0,G15/B$17)</f>
        <v>2.7855153203342618E-3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 t="shared" ref="O15:O24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117</v>
      </c>
      <c r="C16" s="37">
        <f>IF(B$14=0,0,B16/B$14)</f>
        <v>0.51541850220264318</v>
      </c>
      <c r="E16" s="63" t="s">
        <v>79</v>
      </c>
      <c r="F16" s="60" t="s">
        <v>34</v>
      </c>
      <c r="G16" s="47">
        <v>7</v>
      </c>
      <c r="H16" s="133">
        <f>IF(B$17=0,0,G16/B$17)</f>
        <v>1.9498607242339833E-2</v>
      </c>
      <c r="I16" s="94">
        <v>7</v>
      </c>
      <c r="K16" s="38">
        <v>14</v>
      </c>
      <c r="L16" s="99">
        <v>473.50000000000006</v>
      </c>
      <c r="N16" s="115" t="s">
        <v>129</v>
      </c>
      <c r="O16" s="125">
        <f t="shared" si="2"/>
        <v>36.828205128205141</v>
      </c>
      <c r="P16" s="119">
        <v>39</v>
      </c>
      <c r="Q16" s="107">
        <v>1436.3000000000004</v>
      </c>
    </row>
    <row r="17" spans="1:17" x14ac:dyDescent="0.4">
      <c r="A17" s="54" t="s">
        <v>10</v>
      </c>
      <c r="B17" s="46">
        <f>B19+B18</f>
        <v>359</v>
      </c>
      <c r="C17" s="37">
        <f>IF(B$3=0,0,B17/B$3)</f>
        <v>0.3526522593320236</v>
      </c>
      <c r="E17" s="63" t="s">
        <v>80</v>
      </c>
      <c r="F17" s="60" t="s">
        <v>35</v>
      </c>
      <c r="G17" s="47">
        <v>5</v>
      </c>
      <c r="H17" s="133">
        <f>IF(B$17=0,0,G17/B$17)</f>
        <v>1.3927576601671309E-2</v>
      </c>
      <c r="I17" s="94">
        <v>8</v>
      </c>
      <c r="K17" s="38">
        <v>15</v>
      </c>
      <c r="L17" s="99">
        <v>481.50000000000006</v>
      </c>
      <c r="N17" s="115" t="s">
        <v>177</v>
      </c>
      <c r="O17" s="125">
        <f t="shared" si="2"/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144</v>
      </c>
      <c r="C18" s="39">
        <f>IF(B$17=0,0,B18/B$17)</f>
        <v>0.4011142061281337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224</v>
      </c>
      <c r="O18" s="125">
        <f t="shared" si="2"/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215</v>
      </c>
      <c r="C19" s="39">
        <f>IF(B$17=0,0,B19/B$17)</f>
        <v>0.59888579387186625</v>
      </c>
      <c r="E19" s="63" t="s">
        <v>82</v>
      </c>
      <c r="F19" s="60" t="s">
        <v>37</v>
      </c>
      <c r="G19" s="47">
        <v>11</v>
      </c>
      <c r="H19" s="133">
        <f>IF(B$17=0,0,G19/B$17)</f>
        <v>3.0640668523676879E-2</v>
      </c>
      <c r="I19" s="94">
        <v>5</v>
      </c>
      <c r="K19" s="38">
        <v>17</v>
      </c>
      <c r="L19" s="99">
        <v>427.40000000000003</v>
      </c>
      <c r="N19" s="115" t="s">
        <v>172</v>
      </c>
      <c r="O19" s="125">
        <f t="shared" si="2"/>
        <v>23.990909090909092</v>
      </c>
      <c r="P19" s="119">
        <v>33</v>
      </c>
      <c r="Q19" s="107">
        <v>791.7</v>
      </c>
    </row>
    <row r="20" spans="1:17" x14ac:dyDescent="0.4">
      <c r="A20" s="55" t="s">
        <v>13</v>
      </c>
      <c r="B20" s="47">
        <v>157</v>
      </c>
      <c r="C20" s="39">
        <f>IF(B$3=0,0,B20/B$3)</f>
        <v>0.15422396856581533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 t="shared" si="2"/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6</v>
      </c>
      <c r="E21" s="63" t="s">
        <v>84</v>
      </c>
      <c r="F21" s="60" t="s">
        <v>39</v>
      </c>
      <c r="G21" s="47">
        <v>18</v>
      </c>
      <c r="H21" s="133">
        <f>IF(B$17=0,0,G21/B$17)</f>
        <v>5.0139275766016712E-2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 t="shared" si="2"/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2.7855153203342618E-3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 t="shared" si="2"/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9180.5013927576601</v>
      </c>
      <c r="C23" s="41">
        <v>3295800</v>
      </c>
      <c r="E23" s="63" t="s">
        <v>86</v>
      </c>
      <c r="F23" s="60" t="s">
        <v>41</v>
      </c>
      <c r="G23" s="47">
        <v>1</v>
      </c>
      <c r="H23" s="133">
        <f>IF(B$17=0,0,G23/B$17)</f>
        <v>2.7855153203342618E-3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1.0086956521739103</v>
      </c>
      <c r="P23" s="119">
        <v>46</v>
      </c>
      <c r="Q23" s="107">
        <v>46.399999999999878</v>
      </c>
    </row>
    <row r="24" spans="1:17" x14ac:dyDescent="0.4">
      <c r="A24" s="57" t="s">
        <v>14</v>
      </c>
      <c r="B24" s="52">
        <f>IF(B$20=0,0,C24/B$20)</f>
        <v>-8277.7070063694264</v>
      </c>
      <c r="C24" s="45">
        <v>-1299600</v>
      </c>
      <c r="E24" s="63" t="s">
        <v>87</v>
      </c>
      <c r="F24" s="60" t="s">
        <v>42</v>
      </c>
      <c r="G24" s="47">
        <v>25</v>
      </c>
      <c r="H24" s="133">
        <f>IF(B$17=0,0,G24/B$17)</f>
        <v>6.9637883008356549E-2</v>
      </c>
      <c r="I24" s="94">
        <v>5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2.7855153203342618E-3</v>
      </c>
      <c r="I25" s="94">
        <v>6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9.8231827111984276E-4</v>
      </c>
      <c r="E27" s="63" t="s">
        <v>90</v>
      </c>
      <c r="F27" s="60" t="s">
        <v>45</v>
      </c>
      <c r="G27" s="47">
        <v>55</v>
      </c>
      <c r="H27" s="133">
        <f>IF(B$17=0,0,G27/B$17)</f>
        <v>0.15320334261838439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2.7855153203342618E-3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1.9498607242339833E-2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5.5710306406685237E-3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2.7855153203342618E-3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2.7855153203342618E-3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12</v>
      </c>
      <c r="H50" s="133">
        <f>IF(B$17=0,0,G50/B$17)</f>
        <v>3.3426183844011144E-2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149</v>
      </c>
      <c r="H51" s="134">
        <f>IF(B$17=0,0,G51/B$17)</f>
        <v>0.41504178272980502</v>
      </c>
      <c r="I51" s="95">
        <v>5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</sheetData>
  <sortState ref="E2:I12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66</v>
      </c>
      <c r="C2" s="147"/>
      <c r="E2" s="62" t="s">
        <v>65</v>
      </c>
      <c r="F2" s="59" t="s">
        <v>21</v>
      </c>
      <c r="G2" s="46">
        <v>68</v>
      </c>
      <c r="H2" s="132">
        <f>IF(B$17=0,0,G2/B$17)</f>
        <v>0.56198347107438018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-1890.909090909091</v>
      </c>
      <c r="P2" s="118">
        <v>66</v>
      </c>
      <c r="Q2" s="102">
        <v>-124800</v>
      </c>
    </row>
    <row r="3" spans="1:17" x14ac:dyDescent="0.4">
      <c r="A3" s="55" t="s">
        <v>8</v>
      </c>
      <c r="B3" s="148">
        <v>542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7.43801652892562E-2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-1323.4375</v>
      </c>
      <c r="P3" s="119">
        <v>64</v>
      </c>
      <c r="Q3" s="103">
        <v>-84700</v>
      </c>
    </row>
    <row r="4" spans="1:17" x14ac:dyDescent="0.4">
      <c r="A4" s="55" t="s">
        <v>6</v>
      </c>
      <c r="B4" s="150">
        <v>-1122.9999999999998</v>
      </c>
      <c r="C4" s="151"/>
      <c r="E4" s="63" t="s">
        <v>67</v>
      </c>
      <c r="F4" s="60" t="s">
        <v>23</v>
      </c>
      <c r="G4" s="47">
        <v>108</v>
      </c>
      <c r="H4" s="133">
        <f>IF(B$17=0,0,G4/B$17)</f>
        <v>0.8925619834710744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-1010</v>
      </c>
      <c r="P4" s="119">
        <v>60</v>
      </c>
      <c r="Q4" s="103">
        <v>-60600</v>
      </c>
    </row>
    <row r="5" spans="1:17" x14ac:dyDescent="0.4">
      <c r="A5" s="55" t="s">
        <v>7</v>
      </c>
      <c r="B5" s="152">
        <f>IF(B$2=0,0,B$4/B$2)</f>
        <v>-17.015151515151512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0.33884297520661155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-5440.3846153846152</v>
      </c>
      <c r="P5" s="119">
        <v>52</v>
      </c>
      <c r="Q5" s="103">
        <v>-282900</v>
      </c>
    </row>
    <row r="6" spans="1:17" x14ac:dyDescent="0.4">
      <c r="A6" s="55" t="s">
        <v>1</v>
      </c>
      <c r="B6" s="142">
        <f>IF(B$2=0,0,(B$7*1+B$8*2+B$9*3)/B$2)</f>
        <v>2.2878787878787881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0.42975206611570249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-1971.7391304347825</v>
      </c>
      <c r="P6" s="119">
        <v>46</v>
      </c>
      <c r="Q6" s="103">
        <v>-90700</v>
      </c>
    </row>
    <row r="7" spans="1:17" x14ac:dyDescent="0.4">
      <c r="A7" s="55" t="s">
        <v>2</v>
      </c>
      <c r="B7" s="47">
        <v>15</v>
      </c>
      <c r="C7" s="39">
        <f>IF(B$2=0,0,B7/B$2)</f>
        <v>0.22727272727272727</v>
      </c>
      <c r="E7" s="63" t="s">
        <v>70</v>
      </c>
      <c r="F7" s="60" t="s">
        <v>25</v>
      </c>
      <c r="G7" s="47">
        <v>27</v>
      </c>
      <c r="H7" s="133">
        <f>IF(B$17=0,0,G7/B$17)</f>
        <v>0.2231404958677686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-2148.8372093023254</v>
      </c>
      <c r="P7" s="120">
        <v>43</v>
      </c>
      <c r="Q7" s="104">
        <v>-92400</v>
      </c>
    </row>
    <row r="8" spans="1:17" x14ac:dyDescent="0.4">
      <c r="A8" s="55" t="s">
        <v>3</v>
      </c>
      <c r="B8" s="47">
        <v>17</v>
      </c>
      <c r="C8" s="39">
        <f>IF(B$2=0,0,B8/B$2)</f>
        <v>0.25757575757575757</v>
      </c>
      <c r="E8" s="63" t="s">
        <v>71</v>
      </c>
      <c r="F8" s="60" t="s">
        <v>26</v>
      </c>
      <c r="G8" s="47">
        <v>20</v>
      </c>
      <c r="H8" s="133">
        <f>IF(B$17=0,0,G8/B$17)</f>
        <v>0.16528925619834711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0.51515151515151514</v>
      </c>
      <c r="E9" s="63" t="s">
        <v>72</v>
      </c>
      <c r="F9" s="60" t="s">
        <v>27</v>
      </c>
      <c r="G9" s="47">
        <v>13</v>
      </c>
      <c r="H9" s="133">
        <f>IF(B$17=0,0,G9/B$17)</f>
        <v>0.10743801652892562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0.18181818181818182</v>
      </c>
      <c r="E10" s="63" t="s">
        <v>73</v>
      </c>
      <c r="F10" s="60" t="s">
        <v>28</v>
      </c>
      <c r="G10" s="47">
        <v>43</v>
      </c>
      <c r="H10" s="133">
        <f>IF(B$17=0,0,G10/B$17)</f>
        <v>0.35537190082644626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0.10606060606060606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-13.785185185185188</v>
      </c>
      <c r="P11" s="119">
        <v>27</v>
      </c>
      <c r="Q11" s="107">
        <v>-372.2000000000001</v>
      </c>
    </row>
    <row r="12" spans="1:17" x14ac:dyDescent="0.4">
      <c r="A12" s="57" t="s">
        <v>160</v>
      </c>
      <c r="B12" s="49">
        <v>5</v>
      </c>
      <c r="C12" s="42">
        <f>IF(B$2=0,0,B12/B$2)</f>
        <v>7.575757575757576E-2</v>
      </c>
      <c r="E12" s="63" t="s">
        <v>75</v>
      </c>
      <c r="F12" s="60" t="s">
        <v>30</v>
      </c>
      <c r="G12" s="47">
        <v>2</v>
      </c>
      <c r="H12" s="133">
        <f>IF(B$17=0,0,G12/B$17)</f>
        <v>1.6528925619834711E-2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144</v>
      </c>
      <c r="C13" s="44">
        <f>IF(B$3=0,0,B13/B$3)</f>
        <v>0.26568265682656828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0.16605166051660517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71</v>
      </c>
      <c r="C15" s="37">
        <f>IF(B$13=0,0,B15/B$13)</f>
        <v>0.49305555555555558</v>
      </c>
      <c r="E15" s="63" t="s">
        <v>78</v>
      </c>
      <c r="F15" s="60" t="s">
        <v>33</v>
      </c>
      <c r="G15" s="47">
        <v>1</v>
      </c>
      <c r="H15" s="133">
        <f>IF(B$17=0,0,G15/B$17)</f>
        <v>8.2644628099173556E-3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0.23333333333333334</v>
      </c>
      <c r="E16" s="63" t="s">
        <v>79</v>
      </c>
      <c r="F16" s="60" t="s">
        <v>34</v>
      </c>
      <c r="G16" s="47">
        <v>4</v>
      </c>
      <c r="H16" s="133">
        <f>IF(B$17=0,0,G16/B$17)</f>
        <v>3.3057851239669422E-2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121</v>
      </c>
      <c r="C17" s="37">
        <f>IF(B$3=0,0,B17/B$3)</f>
        <v>0.22324723247232472</v>
      </c>
      <c r="E17" s="63" t="s">
        <v>80</v>
      </c>
      <c r="F17" s="60" t="s">
        <v>35</v>
      </c>
      <c r="G17" s="47">
        <v>1</v>
      </c>
      <c r="H17" s="133">
        <f>IF(B$17=0,0,G17/B$17)</f>
        <v>8.2644628099173556E-3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60</v>
      </c>
      <c r="C18" s="39">
        <f>IF(B$17=0,0,B18/B$17)</f>
        <v>0.49586776859504134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61</v>
      </c>
      <c r="C19" s="39">
        <f>IF(B$17=0,0,B19/B$17)</f>
        <v>0.50413223140495866</v>
      </c>
      <c r="E19" s="63" t="s">
        <v>82</v>
      </c>
      <c r="F19" s="60" t="s">
        <v>37</v>
      </c>
      <c r="G19" s="47">
        <v>2</v>
      </c>
      <c r="H19" s="133">
        <f>IF(B$17=0,0,G19/B$17)</f>
        <v>1.6528925619834711E-2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-26.395</v>
      </c>
      <c r="P19" s="119">
        <v>20</v>
      </c>
      <c r="Q19" s="107">
        <v>-527.9</v>
      </c>
    </row>
    <row r="20" spans="1:17" x14ac:dyDescent="0.4">
      <c r="A20" s="55" t="s">
        <v>13</v>
      </c>
      <c r="B20" s="47">
        <v>106</v>
      </c>
      <c r="C20" s="39">
        <f>IF(B$3=0,0,B20/B$3)</f>
        <v>0.19557195571955718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-36.828205128205141</v>
      </c>
      <c r="P20" s="119">
        <v>39</v>
      </c>
      <c r="Q20" s="107">
        <v>-1436.3000000000006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4.1322314049586778E-2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9066.9421487603304</v>
      </c>
      <c r="C23" s="41">
        <v>1097100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-9527.3584905660373</v>
      </c>
      <c r="C24" s="45">
        <v>-1009900</v>
      </c>
      <c r="E24" s="63" t="s">
        <v>87</v>
      </c>
      <c r="F24" s="60" t="s">
        <v>42</v>
      </c>
      <c r="G24" s="47">
        <v>9</v>
      </c>
      <c r="H24" s="133">
        <f>IF(B$17=0,0,G24/B$17)</f>
        <v>7.43801652892562E-2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8.2644628099173556E-3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8.2644628099173556E-3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1.8450184501845018E-3</v>
      </c>
      <c r="E27" s="63" t="s">
        <v>90</v>
      </c>
      <c r="F27" s="60" t="s">
        <v>45</v>
      </c>
      <c r="G27" s="47">
        <v>11</v>
      </c>
      <c r="H27" s="133">
        <f>IF(B$17=0,0,G27/B$17)</f>
        <v>9.0909090909090912E-2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8.2644628099173556E-3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1.6528925619834711E-2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0.38842975206611569</v>
      </c>
      <c r="I51" s="95">
        <v>9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</sheetData>
  <sortState ref="E2:I6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8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78</v>
      </c>
      <c r="C2" s="147"/>
      <c r="E2" s="62" t="s">
        <v>65</v>
      </c>
      <c r="F2" s="59" t="s">
        <v>21</v>
      </c>
      <c r="G2" s="46">
        <v>103</v>
      </c>
      <c r="H2" s="132">
        <f>IF(B$17=0,0,G2/B$17)</f>
        <v>0.56284153005464477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-1084.6153846153845</v>
      </c>
      <c r="P2" s="118">
        <v>78</v>
      </c>
      <c r="Q2" s="102">
        <v>-84600</v>
      </c>
    </row>
    <row r="3" spans="1:17" x14ac:dyDescent="0.4">
      <c r="A3" s="55" t="s">
        <v>8</v>
      </c>
      <c r="B3" s="148">
        <v>648</v>
      </c>
      <c r="C3" s="149"/>
      <c r="E3" s="63" t="s">
        <v>66</v>
      </c>
      <c r="F3" s="60" t="s">
        <v>22</v>
      </c>
      <c r="G3" s="47">
        <v>26</v>
      </c>
      <c r="H3" s="133">
        <f>IF(B$17=0,0,G3/B$17)</f>
        <v>0.14207650273224043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996.10389610389609</v>
      </c>
      <c r="P3" s="119">
        <v>77</v>
      </c>
      <c r="Q3" s="103">
        <v>76700</v>
      </c>
    </row>
    <row r="4" spans="1:17" x14ac:dyDescent="0.4">
      <c r="A4" s="55" t="s">
        <v>6</v>
      </c>
      <c r="B4" s="150">
        <v>94.299999999999983</v>
      </c>
      <c r="C4" s="151"/>
      <c r="E4" s="63" t="s">
        <v>67</v>
      </c>
      <c r="F4" s="60" t="s">
        <v>23</v>
      </c>
      <c r="G4" s="47">
        <v>162</v>
      </c>
      <c r="H4" s="133">
        <f>IF(B$17=0,0,G4/B$17)</f>
        <v>0.88524590163934425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1628.1690140845071</v>
      </c>
      <c r="P4" s="119">
        <v>71</v>
      </c>
      <c r="Q4" s="103">
        <v>115600</v>
      </c>
    </row>
    <row r="5" spans="1:17" x14ac:dyDescent="0.4">
      <c r="A5" s="55" t="s">
        <v>7</v>
      </c>
      <c r="B5" s="152">
        <f>IF(B$2=0,0,B$4/B$2)</f>
        <v>1.2089743589743587</v>
      </c>
      <c r="C5" s="153"/>
      <c r="E5" s="63" t="s">
        <v>68</v>
      </c>
      <c r="F5" s="60" t="s">
        <v>24</v>
      </c>
      <c r="G5" s="47">
        <v>63</v>
      </c>
      <c r="H5" s="133">
        <f>IF(B$17=0,0,G5/B$17)</f>
        <v>0.34426229508196721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1327.8688524590164</v>
      </c>
      <c r="P5" s="119">
        <v>61</v>
      </c>
      <c r="Q5" s="103">
        <v>81000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57</v>
      </c>
      <c r="H6" s="133">
        <f>IF(B$17=0,0,G6/B$17)</f>
        <v>0.31147540983606559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-916.98113207547169</v>
      </c>
      <c r="P6" s="119">
        <v>53</v>
      </c>
      <c r="Q6" s="103">
        <v>-48600</v>
      </c>
    </row>
    <row r="7" spans="1:17" x14ac:dyDescent="0.4">
      <c r="A7" s="55" t="s">
        <v>2</v>
      </c>
      <c r="B7" s="47">
        <v>23</v>
      </c>
      <c r="C7" s="39">
        <f>IF(B$2=0,0,B7/B$2)</f>
        <v>0.29487179487179488</v>
      </c>
      <c r="E7" s="63" t="s">
        <v>70</v>
      </c>
      <c r="F7" s="60" t="s">
        <v>25</v>
      </c>
      <c r="G7" s="47">
        <v>36</v>
      </c>
      <c r="H7" s="133">
        <f>IF(B$17=0,0,G7/B$17)</f>
        <v>0.19672131147540983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106.12244897959184</v>
      </c>
      <c r="P7" s="120">
        <v>49</v>
      </c>
      <c r="Q7" s="104">
        <v>5200</v>
      </c>
    </row>
    <row r="8" spans="1:17" x14ac:dyDescent="0.4">
      <c r="A8" s="55" t="s">
        <v>3</v>
      </c>
      <c r="B8" s="47">
        <v>28</v>
      </c>
      <c r="C8" s="39">
        <f>IF(B$2=0,0,B8/B$2)</f>
        <v>0.35897435897435898</v>
      </c>
      <c r="E8" s="63" t="s">
        <v>71</v>
      </c>
      <c r="F8" s="60" t="s">
        <v>26</v>
      </c>
      <c r="G8" s="47">
        <v>20</v>
      </c>
      <c r="H8" s="133">
        <f>IF(B$17=0,0,G8/B$17)</f>
        <v>0.10928961748633879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0.34615384615384615</v>
      </c>
      <c r="E9" s="63" t="s">
        <v>72</v>
      </c>
      <c r="F9" s="60" t="s">
        <v>27</v>
      </c>
      <c r="G9" s="47">
        <v>12</v>
      </c>
      <c r="H9" s="133">
        <f>IF(B$17=0,0,G9/B$17)</f>
        <v>6.5573770491803282E-2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7.6923076923076927E-2</v>
      </c>
      <c r="E10" s="63" t="s">
        <v>73</v>
      </c>
      <c r="F10" s="60" t="s">
        <v>28</v>
      </c>
      <c r="G10" s="47">
        <v>94</v>
      </c>
      <c r="H10" s="133">
        <f>IF(B$17=0,0,G10/B$17)</f>
        <v>0.51366120218579236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0.12820512820512819</v>
      </c>
      <c r="E11" s="63" t="s">
        <v>74</v>
      </c>
      <c r="F11" s="60" t="s">
        <v>29</v>
      </c>
      <c r="G11" s="47">
        <v>1</v>
      </c>
      <c r="H11" s="133">
        <f>IF(B$17=0,0,G11/B$17)</f>
        <v>5.4644808743169399E-3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7.6923076923076927E-2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4.7518518518518524</v>
      </c>
      <c r="P12" s="120">
        <v>27</v>
      </c>
      <c r="Q12" s="108">
        <v>128.30000000000001</v>
      </c>
    </row>
    <row r="13" spans="1:17" x14ac:dyDescent="0.4">
      <c r="A13" s="58" t="s">
        <v>122</v>
      </c>
      <c r="B13" s="50">
        <v>187</v>
      </c>
      <c r="C13" s="44">
        <f>IF(B$3=0,0,B13/B$3)</f>
        <v>0.28858024691358025</v>
      </c>
      <c r="E13" s="63" t="s">
        <v>76</v>
      </c>
      <c r="F13" s="60" t="s">
        <v>31</v>
      </c>
      <c r="G13" s="47">
        <v>3</v>
      </c>
      <c r="H13" s="133">
        <f>IF(B$17=0,0,G13/B$17)</f>
        <v>1.6393442622950821E-2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124</v>
      </c>
      <c r="C14" s="39">
        <f>IF(B$3=0,0,B14/B$3)</f>
        <v>0.19135802469135801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109</v>
      </c>
      <c r="C15" s="37">
        <f>IF(B$13=0,0,B15/B$13)</f>
        <v>0.58288770053475936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26.394999999999992</v>
      </c>
      <c r="P15" s="118">
        <v>20</v>
      </c>
      <c r="Q15" s="106">
        <v>527.89999999999986</v>
      </c>
    </row>
    <row r="16" spans="1:17" x14ac:dyDescent="0.4">
      <c r="A16" s="54" t="s">
        <v>125</v>
      </c>
      <c r="B16" s="46">
        <v>49</v>
      </c>
      <c r="C16" s="37">
        <f>IF(B$14=0,0,B16/B$14)</f>
        <v>0.39516129032258063</v>
      </c>
      <c r="E16" s="63" t="s">
        <v>79</v>
      </c>
      <c r="F16" s="60" t="s">
        <v>34</v>
      </c>
      <c r="G16" s="47">
        <v>9</v>
      </c>
      <c r="H16" s="133">
        <f>IF(B$17=0,0,G16/B$17)</f>
        <v>4.9180327868852458E-2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183</v>
      </c>
      <c r="C17" s="37">
        <f>IF(B$3=0,0,B17/B$3)</f>
        <v>0.28240740740740738</v>
      </c>
      <c r="E17" s="63" t="s">
        <v>80</v>
      </c>
      <c r="F17" s="60" t="s">
        <v>35</v>
      </c>
      <c r="G17" s="47">
        <v>3</v>
      </c>
      <c r="H17" s="133">
        <f>IF(B$17=0,0,G17/B$17)</f>
        <v>1.6393442622950821E-2</v>
      </c>
      <c r="I17" s="94">
        <v>5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77</v>
      </c>
      <c r="C18" s="39">
        <f>IF(B$17=0,0,B18/B$17)</f>
        <v>0.42076502732240439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128</v>
      </c>
      <c r="O18" s="125">
        <f t="shared" si="2"/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106</v>
      </c>
      <c r="C19" s="39">
        <f>IF(B$17=0,0,B19/B$17)</f>
        <v>0.57923497267759561</v>
      </c>
      <c r="E19" s="63" t="s">
        <v>82</v>
      </c>
      <c r="F19" s="60" t="s">
        <v>37</v>
      </c>
      <c r="G19" s="47">
        <v>7</v>
      </c>
      <c r="H19" s="133">
        <f>IF(B$17=0,0,G19/B$17)</f>
        <v>3.825136612021858E-2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 t="shared" si="2"/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114</v>
      </c>
      <c r="C20" s="39">
        <f>IF(B$3=0,0,B20/B$3)</f>
        <v>0.17592592592592593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-1.0086956521739086</v>
      </c>
      <c r="P20" s="119">
        <v>46</v>
      </c>
      <c r="Q20" s="107">
        <v>-46.399999999999793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8</v>
      </c>
      <c r="H21" s="133">
        <f>IF(B$17=0,0,G21/B$17)</f>
        <v>4.3715846994535519E-2</v>
      </c>
      <c r="I21" s="94">
        <v>7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85</v>
      </c>
      <c r="F22" s="60" t="s">
        <v>40</v>
      </c>
      <c r="G22" s="47">
        <v>2</v>
      </c>
      <c r="H22" s="133">
        <f>IF(B$17=0,0,G22/B$17)</f>
        <v>1.092896174863388E-2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10057.92349726776</v>
      </c>
      <c r="C23" s="41">
        <v>1840600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-8107.0175438596489</v>
      </c>
      <c r="C24" s="45">
        <v>-924200</v>
      </c>
      <c r="E24" s="63" t="s">
        <v>87</v>
      </c>
      <c r="F24" s="60" t="s">
        <v>42</v>
      </c>
      <c r="G24" s="47">
        <v>13</v>
      </c>
      <c r="H24" s="133">
        <f>IF(B$17=0,0,G24/B$17)</f>
        <v>7.1038251366120214E-2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5.4644808743169399E-3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1.5432098765432098E-3</v>
      </c>
      <c r="E27" s="63" t="s">
        <v>90</v>
      </c>
      <c r="F27" s="60" t="s">
        <v>45</v>
      </c>
      <c r="G27" s="47">
        <v>28</v>
      </c>
      <c r="H27" s="133">
        <f>IF(B$17=0,0,G27/B$17)</f>
        <v>0.15300546448087432</v>
      </c>
      <c r="I27" s="94">
        <v>5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2.185792349726776E-2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1.092896174863388E-2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5.4644808743169399E-3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3</v>
      </c>
      <c r="H50" s="133">
        <f>IF(B$17=0,0,G50/B$17)</f>
        <v>1.6393442622950821E-2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73</v>
      </c>
      <c r="H51" s="134">
        <f>IF(B$17=0,0,G51/B$17)</f>
        <v>0.39890710382513661</v>
      </c>
      <c r="I51" s="95">
        <v>8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</sheetData>
  <sortState ref="E2:I80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0.34375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766.12903225806451</v>
      </c>
      <c r="P2" s="118">
        <v>62</v>
      </c>
      <c r="Q2" s="102">
        <v>47500</v>
      </c>
    </row>
    <row r="3" spans="1:17" x14ac:dyDescent="0.4">
      <c r="A3" s="55" t="s">
        <v>8</v>
      </c>
      <c r="B3" s="148">
        <v>535</v>
      </c>
      <c r="C3" s="149"/>
      <c r="E3" s="63" t="s">
        <v>66</v>
      </c>
      <c r="F3" s="60" t="s">
        <v>22</v>
      </c>
      <c r="G3" s="47">
        <v>21</v>
      </c>
      <c r="H3" s="133">
        <f>IF(B$17=0,0,G3/B$17)</f>
        <v>0.109375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-403.22580645161293</v>
      </c>
      <c r="P3" s="119">
        <v>62</v>
      </c>
      <c r="Q3" s="103">
        <v>-25000</v>
      </c>
    </row>
    <row r="4" spans="1:17" x14ac:dyDescent="0.4">
      <c r="A4" s="55" t="s">
        <v>6</v>
      </c>
      <c r="B4" s="150">
        <v>7.9999999999999822</v>
      </c>
      <c r="C4" s="151"/>
      <c r="E4" s="63" t="s">
        <v>67</v>
      </c>
      <c r="F4" s="60" t="s">
        <v>23</v>
      </c>
      <c r="G4" s="47">
        <v>130</v>
      </c>
      <c r="H4" s="133">
        <f>IF(B$17=0,0,G4/B$17)</f>
        <v>0.67708333333333337</v>
      </c>
      <c r="I4" s="94">
        <v>8</v>
      </c>
      <c r="K4" s="38">
        <v>2</v>
      </c>
      <c r="L4" s="99">
        <v>-7.7000000000000011</v>
      </c>
      <c r="N4" s="115" t="s">
        <v>134</v>
      </c>
      <c r="O4" s="122">
        <f t="shared" si="0"/>
        <v>-1281.8181818181818</v>
      </c>
      <c r="P4" s="119">
        <v>55</v>
      </c>
      <c r="Q4" s="103">
        <v>-70500</v>
      </c>
    </row>
    <row r="5" spans="1:17" x14ac:dyDescent="0.4">
      <c r="A5" s="55" t="s">
        <v>7</v>
      </c>
      <c r="B5" s="152">
        <f>IF(B$2=0,0,B$4/B$2)</f>
        <v>0.12903225806451585</v>
      </c>
      <c r="C5" s="153"/>
      <c r="E5" s="63" t="s">
        <v>68</v>
      </c>
      <c r="F5" s="60" t="s">
        <v>24</v>
      </c>
      <c r="G5" s="47">
        <v>32</v>
      </c>
      <c r="H5" s="133">
        <f>IF(B$17=0,0,G5/B$17)</f>
        <v>0.16666666666666666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319.23076923076923</v>
      </c>
      <c r="P5" s="119">
        <v>52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2.032258064516129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0.265625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808</v>
      </c>
      <c r="P6" s="119">
        <v>50</v>
      </c>
      <c r="Q6" s="103">
        <v>40400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70</v>
      </c>
      <c r="F7" s="60" t="s">
        <v>25</v>
      </c>
      <c r="G7" s="47">
        <v>28</v>
      </c>
      <c r="H7" s="133">
        <f>IF(B$17=0,0,G7/B$17)</f>
        <v>0.14583333333333334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-343.18181818181819</v>
      </c>
      <c r="P7" s="120">
        <v>44</v>
      </c>
      <c r="Q7" s="104">
        <v>-15100</v>
      </c>
    </row>
    <row r="8" spans="1:17" x14ac:dyDescent="0.4">
      <c r="A8" s="55" t="s">
        <v>3</v>
      </c>
      <c r="B8" s="47">
        <v>26</v>
      </c>
      <c r="C8" s="39">
        <f>IF(B$2=0,0,B8/B$2)</f>
        <v>0.41935483870967744</v>
      </c>
      <c r="E8" s="63" t="s">
        <v>71</v>
      </c>
      <c r="F8" s="60" t="s">
        <v>26</v>
      </c>
      <c r="G8" s="47">
        <v>11</v>
      </c>
      <c r="H8" s="133">
        <f>IF(B$17=0,0,G8/B$17)</f>
        <v>5.7291666666666664E-2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72</v>
      </c>
      <c r="F9" s="60" t="s">
        <v>27</v>
      </c>
      <c r="G9" s="47">
        <v>15</v>
      </c>
      <c r="H9" s="133">
        <f>IF(B$17=0,0,G9/B$17)</f>
        <v>7.8125E-2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4.8387096774193547E-2</v>
      </c>
      <c r="E10" s="63" t="s">
        <v>73</v>
      </c>
      <c r="F10" s="60" t="s">
        <v>28</v>
      </c>
      <c r="G10" s="47">
        <v>112</v>
      </c>
      <c r="H10" s="133">
        <f>IF(B$17=0,0,G10/B$17)</f>
        <v>0.58333333333333337</v>
      </c>
      <c r="I10" s="94">
        <v>4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74</v>
      </c>
      <c r="F11" s="60" t="s">
        <v>29</v>
      </c>
      <c r="G11" s="47">
        <v>1</v>
      </c>
      <c r="H11" s="133">
        <f>IF(B$17=0,0,G11/B$17)</f>
        <v>5.208333333333333E-3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75</v>
      </c>
      <c r="F12" s="60" t="s">
        <v>30</v>
      </c>
      <c r="G12" s="47">
        <v>1</v>
      </c>
      <c r="H12" s="133">
        <f>IF(B$17=0,0,G12/B$17)</f>
        <v>5.208333333333333E-3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117</v>
      </c>
      <c r="C13" s="44">
        <f>IF(B$3=0,0,B13/B$3)</f>
        <v>0.21869158878504674</v>
      </c>
      <c r="E13" s="63" t="s">
        <v>76</v>
      </c>
      <c r="F13" s="60" t="s">
        <v>31</v>
      </c>
      <c r="G13" s="47">
        <v>1</v>
      </c>
      <c r="H13" s="133">
        <f>IF(B$17=0,0,G13/B$17)</f>
        <v>5.208333333333333E-3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0.29532710280373831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0.5641025641025641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70</v>
      </c>
      <c r="C16" s="37">
        <f>IF(B$14=0,0,B16/B$14)</f>
        <v>0.44303797468354428</v>
      </c>
      <c r="E16" s="63" t="s">
        <v>79</v>
      </c>
      <c r="F16" s="60" t="s">
        <v>34</v>
      </c>
      <c r="G16" s="47">
        <v>2</v>
      </c>
      <c r="H16" s="133">
        <f>IF(B$17=0,0,G16/B$17)</f>
        <v>1.0416666666666666E-2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192</v>
      </c>
      <c r="C17" s="37">
        <f>IF(B$3=0,0,B17/B$3)</f>
        <v>0.35887850467289717</v>
      </c>
      <c r="E17" s="63" t="s">
        <v>80</v>
      </c>
      <c r="F17" s="60" t="s">
        <v>35</v>
      </c>
      <c r="G17" s="47">
        <v>3</v>
      </c>
      <c r="H17" s="133">
        <f>IF(B$17=0,0,G17/B$17)</f>
        <v>1.5625E-2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81</v>
      </c>
      <c r="C18" s="39">
        <f>IF(B$17=0,0,B18/B$17)</f>
        <v>0.421875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111</v>
      </c>
      <c r="C19" s="39">
        <f>IF(B$17=0,0,B19/B$17)</f>
        <v>0.578125</v>
      </c>
      <c r="E19" s="63" t="s">
        <v>82</v>
      </c>
      <c r="F19" s="60" t="s">
        <v>37</v>
      </c>
      <c r="G19" s="47">
        <v>6</v>
      </c>
      <c r="H19" s="133">
        <f>IF(B$17=0,0,G19/B$17)</f>
        <v>3.125E-2</v>
      </c>
      <c r="I19" s="94">
        <v>3</v>
      </c>
      <c r="K19" s="38">
        <v>17</v>
      </c>
      <c r="L19" s="99">
        <v>-55.099999999999994</v>
      </c>
      <c r="N19" s="115" t="s">
        <v>177</v>
      </c>
      <c r="O19" s="125">
        <f t="shared" si="2"/>
        <v>7.7299999999999995</v>
      </c>
      <c r="P19" s="119">
        <v>10</v>
      </c>
      <c r="Q19" s="107">
        <v>77.3</v>
      </c>
    </row>
    <row r="20" spans="1:17" x14ac:dyDescent="0.4">
      <c r="A20" s="55" t="s">
        <v>13</v>
      </c>
      <c r="B20" s="47">
        <v>69</v>
      </c>
      <c r="C20" s="39">
        <f>IF(B$3=0,0,B20/B$3)</f>
        <v>0.12897196261682242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6.25E-2</v>
      </c>
      <c r="I21" s="94">
        <v>2</v>
      </c>
      <c r="K21" s="38">
        <v>19</v>
      </c>
      <c r="L21" s="99">
        <v>29.200000000000003</v>
      </c>
      <c r="N21" s="115" t="s">
        <v>128</v>
      </c>
      <c r="O21" s="125">
        <f t="shared" si="2"/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6635.9375</v>
      </c>
      <c r="C23" s="41">
        <v>1274100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-23.990909090909092</v>
      </c>
      <c r="P23" s="119">
        <v>33</v>
      </c>
      <c r="Q23" s="107">
        <v>-791.7</v>
      </c>
    </row>
    <row r="24" spans="1:17" x14ac:dyDescent="0.4">
      <c r="A24" s="57" t="s">
        <v>14</v>
      </c>
      <c r="B24" s="52">
        <f>IF(B$20=0,0,C24/B$20)</f>
        <v>-9417.391304347826</v>
      </c>
      <c r="C24" s="45">
        <v>-649800</v>
      </c>
      <c r="E24" s="63" t="s">
        <v>87</v>
      </c>
      <c r="F24" s="60" t="s">
        <v>42</v>
      </c>
      <c r="G24" s="47">
        <v>8</v>
      </c>
      <c r="H24" s="133">
        <f>IF(B$17=0,0,G24/B$17)</f>
        <v>4.1666666666666664E-2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5.208333333333333E-3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1.869158878504673E-3</v>
      </c>
      <c r="E27" s="63" t="s">
        <v>90</v>
      </c>
      <c r="F27" s="60" t="s">
        <v>45</v>
      </c>
      <c r="G27" s="47">
        <v>14</v>
      </c>
      <c r="H27" s="133">
        <f>IF(B$17=0,0,G27/B$17)</f>
        <v>7.2916666666666671E-2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1.0416666666666666E-2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87</v>
      </c>
      <c r="H51" s="134">
        <f>IF(B$17=0,0,G51/B$17)</f>
        <v>0.453125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</sheetData>
  <sortState ref="E2:I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6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3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67</v>
      </c>
      <c r="F4" s="60" t="s">
        <v>23</v>
      </c>
      <c r="G4" s="47">
        <v>61</v>
      </c>
      <c r="H4" s="133">
        <f>IF(B$17=0,0,G4/B$17)</f>
        <v>0.5446428571428571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68</v>
      </c>
      <c r="F5" s="60" t="s">
        <v>24</v>
      </c>
      <c r="G5" s="47">
        <v>39</v>
      </c>
      <c r="H5" s="133">
        <f>IF(B$17=0,0,G5/B$17)</f>
        <v>0.3482142857142857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0.29464285714285715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70</v>
      </c>
      <c r="F7" s="60" t="s">
        <v>25</v>
      </c>
      <c r="G7" s="47">
        <v>18</v>
      </c>
      <c r="H7" s="133">
        <f>IF(B$17=0,0,G7/B$17)</f>
        <v>0.16071428571428573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71</v>
      </c>
      <c r="F8" s="60" t="s">
        <v>26</v>
      </c>
      <c r="G8" s="47">
        <v>8</v>
      </c>
      <c r="H8" s="133">
        <f>IF(B$17=0,0,G8/B$17)</f>
        <v>7.1428571428571425E-2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72</v>
      </c>
      <c r="F9" s="60" t="s">
        <v>27</v>
      </c>
      <c r="G9" s="47">
        <v>5</v>
      </c>
      <c r="H9" s="133">
        <f>IF(B$17=0,0,G9/B$17)</f>
        <v>4.4642857142857144E-2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73</v>
      </c>
      <c r="F10" s="60" t="s">
        <v>28</v>
      </c>
      <c r="G10" s="47">
        <v>52</v>
      </c>
      <c r="H10" s="133">
        <f>IF(B$17=0,0,G10/B$17)</f>
        <v>0.4642857142857143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75</v>
      </c>
      <c r="F12" s="60" t="s">
        <v>30</v>
      </c>
      <c r="G12" s="47">
        <v>1</v>
      </c>
      <c r="H12" s="133">
        <f>IF(B$17=0,0,G12/B$17)</f>
        <v>8.9285714285714281E-3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76</v>
      </c>
      <c r="F13" s="60" t="s">
        <v>31</v>
      </c>
      <c r="G13" s="47">
        <v>1</v>
      </c>
      <c r="H13" s="133">
        <f>IF(B$17=0,0,G13/B$17)</f>
        <v>8.9285714285714281E-3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79</v>
      </c>
      <c r="F16" s="60" t="s">
        <v>34</v>
      </c>
      <c r="G16" s="47">
        <v>5</v>
      </c>
      <c r="H16" s="133">
        <f>IF(B$17=0,0,G16/B$17)</f>
        <v>4.4642857142857144E-2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82</v>
      </c>
      <c r="F19" s="60" t="s">
        <v>37</v>
      </c>
      <c r="G19" s="47">
        <v>3</v>
      </c>
      <c r="H19" s="133">
        <f>IF(B$17=0,0,G19/B$17)</f>
        <v>2.6785714285714284E-2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4.4642857142857144E-2</v>
      </c>
      <c r="I21" s="94">
        <v>5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86</v>
      </c>
      <c r="F23" s="60" t="s">
        <v>41</v>
      </c>
      <c r="G23" s="47">
        <v>2</v>
      </c>
      <c r="H23" s="133">
        <f>IF(B$17=0,0,G23/B$17)</f>
        <v>1.7857142857142856E-2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87</v>
      </c>
      <c r="F24" s="60" t="s">
        <v>42</v>
      </c>
      <c r="G24" s="47">
        <v>2</v>
      </c>
      <c r="H24" s="133">
        <f>IF(B$17=0,0,G24/B$17)</f>
        <v>1.7857142857142856E-2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90</v>
      </c>
      <c r="F27" s="60" t="s">
        <v>45</v>
      </c>
      <c r="G27" s="47">
        <v>13</v>
      </c>
      <c r="H27" s="133">
        <f>IF(B$17=0,0,G27/B$17)</f>
        <v>0.11607142857142858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8.9285714285714281E-3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4.4642857142857144E-2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8.9285714285714281E-3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8.9285714285714281E-3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0.41964285714285715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8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6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2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2019-05-25T16:33:02Z</dcterms:modified>
</cp:coreProperties>
</file>