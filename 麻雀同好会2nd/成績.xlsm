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079A933-0598-424C-A9AB-44B31D24227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33" r:id="rId6"/>
    <sheet name="だいち" sheetId="5535" r:id="rId7"/>
    <sheet name="りくと" sheetId="5537" r:id="rId8"/>
    <sheet name="ただ" sheetId="5539" r:id="rId9"/>
    <sheet name="れんたろう" sheetId="5541" r:id="rId10"/>
    <sheet name="たかの" sheetId="5543" r:id="rId11"/>
    <sheet name="ぱぱ" sheetId="5545" r:id="rId12"/>
    <sheet name="まっつん" sheetId="5547" r:id="rId13"/>
    <sheet name="あさひ" sheetId="5549" r:id="rId14"/>
    <sheet name="いっしー" sheetId="5551" r:id="rId15"/>
    <sheet name="ほたに" sheetId="5553" r:id="rId16"/>
    <sheet name="かわたつ" sheetId="5555" r:id="rId17"/>
    <sheet name="やがさき" sheetId="5557" r:id="rId18"/>
    <sheet name="のり" sheetId="5559" r:id="rId19"/>
    <sheet name="のり2" sheetId="5560" state="hidden" r:id="rId20"/>
    <sheet name="やがさき2" sheetId="5558" state="hidden" r:id="rId21"/>
    <sheet name="かわたつ2" sheetId="5556" state="hidden" r:id="rId22"/>
    <sheet name="ほたに2" sheetId="5554" state="hidden" r:id="rId23"/>
    <sheet name="いっしー2" sheetId="5552" state="hidden" r:id="rId24"/>
    <sheet name="あさひ2" sheetId="5550" state="hidden" r:id="rId25"/>
    <sheet name="まっつん2" sheetId="5548" state="hidden" r:id="rId26"/>
    <sheet name="ぱぱ2" sheetId="5546" state="hidden" r:id="rId27"/>
    <sheet name="たかの2" sheetId="5544" state="hidden" r:id="rId28"/>
    <sheet name="れんたろう2" sheetId="5542" state="hidden" r:id="rId29"/>
    <sheet name="ただ2" sheetId="5540" state="hidden" r:id="rId30"/>
    <sheet name="りくと2" sheetId="5538" state="hidden" r:id="rId31"/>
    <sheet name="だいち2" sheetId="5536" state="hidden" r:id="rId32"/>
    <sheet name="全体2" sheetId="553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45" l="1"/>
  <c r="O18" i="5559"/>
  <c r="O21" i="5553"/>
  <c r="O15" i="5559"/>
  <c r="O15" i="5539" l="1"/>
  <c r="O15" i="5547"/>
  <c r="O15" i="5533"/>
  <c r="O17" i="5559"/>
  <c r="O16" i="5559"/>
  <c r="H40" i="5559"/>
  <c r="H30" i="5559"/>
  <c r="C27" i="5559"/>
  <c r="B24" i="5559"/>
  <c r="C20" i="5559"/>
  <c r="B17" i="5559"/>
  <c r="H2" i="5559" s="1"/>
  <c r="C16" i="5559"/>
  <c r="C15" i="5559"/>
  <c r="C14" i="5559"/>
  <c r="C13" i="5559"/>
  <c r="O12" i="5559"/>
  <c r="C12" i="5559"/>
  <c r="O11" i="5559"/>
  <c r="C11" i="5559"/>
  <c r="O10" i="5559"/>
  <c r="C10" i="5559"/>
  <c r="H13" i="5559"/>
  <c r="C9" i="5559"/>
  <c r="C8" i="5559"/>
  <c r="O7" i="5559"/>
  <c r="C7" i="5559"/>
  <c r="O6" i="5559"/>
  <c r="H6" i="5559"/>
  <c r="B6" i="5559"/>
  <c r="O5" i="5559"/>
  <c r="B5" i="5559"/>
  <c r="O4" i="5559"/>
  <c r="O3" i="5559"/>
  <c r="O2" i="5559"/>
  <c r="H11" i="5559" l="1"/>
  <c r="H15" i="5559"/>
  <c r="H31" i="5559"/>
  <c r="H10" i="5559"/>
  <c r="H3" i="5559"/>
  <c r="C17" i="5559"/>
  <c r="H32" i="5559"/>
  <c r="H46" i="5559"/>
  <c r="H47" i="5559"/>
  <c r="H14" i="5559"/>
  <c r="H20" i="5559"/>
  <c r="H37" i="5559"/>
  <c r="H49" i="5559"/>
  <c r="H9" i="5559"/>
  <c r="H23" i="5559"/>
  <c r="H41" i="5559"/>
  <c r="H4" i="5559"/>
  <c r="B23" i="5559"/>
  <c r="H45" i="5559"/>
  <c r="H7" i="5559"/>
  <c r="H16" i="5559"/>
  <c r="H25" i="5559"/>
  <c r="C18" i="5559"/>
  <c r="H33" i="5559"/>
  <c r="H12" i="5559"/>
  <c r="H17" i="5559"/>
  <c r="H26" i="5559"/>
  <c r="H48" i="5559"/>
  <c r="H5" i="5559"/>
  <c r="H8" i="5559"/>
  <c r="C19" i="5559"/>
  <c r="H27" i="5559"/>
  <c r="H38" i="5559"/>
  <c r="H18" i="5559"/>
  <c r="H21" i="5559"/>
  <c r="H39" i="5559"/>
  <c r="H52" i="5559"/>
  <c r="H22" i="5559"/>
  <c r="H28" i="5559"/>
  <c r="H34" i="5559"/>
  <c r="H42" i="5559"/>
  <c r="H50" i="5559"/>
  <c r="H35" i="5559"/>
  <c r="H43" i="5559"/>
  <c r="H51" i="5559"/>
  <c r="H19" i="5559"/>
  <c r="H24" i="5559"/>
  <c r="H29" i="5559"/>
  <c r="H36" i="5559"/>
  <c r="H44" i="5559"/>
  <c r="O23" i="5551" l="1"/>
  <c r="O15" i="5557"/>
  <c r="O22" i="5553" l="1"/>
  <c r="O17" i="5539"/>
  <c r="O24" i="5545" l="1"/>
  <c r="O15" i="5551"/>
  <c r="O25" i="5535" l="1"/>
  <c r="O17" i="5557"/>
  <c r="O16" i="5539" l="1"/>
  <c r="O23" i="5543"/>
  <c r="O26" i="5533"/>
  <c r="O18" i="5557"/>
  <c r="O16" i="5557"/>
  <c r="H30" i="5557"/>
  <c r="C27" i="5557"/>
  <c r="H28" i="5557"/>
  <c r="B24" i="5557"/>
  <c r="C20" i="5557"/>
  <c r="B17" i="5557"/>
  <c r="H10" i="5557" s="1"/>
  <c r="C16" i="5557"/>
  <c r="H21" i="5557"/>
  <c r="C15" i="5557"/>
  <c r="C14" i="5557"/>
  <c r="C13" i="5557"/>
  <c r="O12" i="5557"/>
  <c r="C12" i="5557"/>
  <c r="O11" i="5557"/>
  <c r="C11" i="5557"/>
  <c r="O10" i="5557"/>
  <c r="C10" i="5557"/>
  <c r="C9" i="5557"/>
  <c r="C8" i="5557"/>
  <c r="O7" i="5557"/>
  <c r="C7" i="5557"/>
  <c r="O6" i="5557"/>
  <c r="H5" i="5557"/>
  <c r="B6" i="5557"/>
  <c r="O5" i="5557"/>
  <c r="B5" i="5557"/>
  <c r="O4" i="5557"/>
  <c r="O3" i="5557"/>
  <c r="O2" i="5557"/>
  <c r="O15" i="5555"/>
  <c r="O16" i="5555"/>
  <c r="H7" i="5555"/>
  <c r="H44" i="5555"/>
  <c r="H41" i="5555"/>
  <c r="H38" i="5555"/>
  <c r="H37" i="5555"/>
  <c r="H29" i="5555"/>
  <c r="C27" i="5555"/>
  <c r="H26" i="5555"/>
  <c r="H25" i="5555"/>
  <c r="B24" i="5555"/>
  <c r="C20" i="5555"/>
  <c r="H6" i="5555"/>
  <c r="C19" i="5555"/>
  <c r="H20" i="5555"/>
  <c r="B17" i="5555"/>
  <c r="H51" i="5555" s="1"/>
  <c r="H18" i="5555"/>
  <c r="C16" i="5555"/>
  <c r="H17" i="5555"/>
  <c r="C15" i="5555"/>
  <c r="C14" i="5555"/>
  <c r="C13" i="5555"/>
  <c r="O12" i="5555"/>
  <c r="H14" i="5555"/>
  <c r="C12" i="5555"/>
  <c r="O11" i="5555"/>
  <c r="C11" i="5555"/>
  <c r="O10" i="5555"/>
  <c r="C10" i="5555"/>
  <c r="H11" i="5555"/>
  <c r="C9" i="5555"/>
  <c r="H10" i="5555"/>
  <c r="C8" i="5555"/>
  <c r="O7" i="5555"/>
  <c r="C7" i="5555"/>
  <c r="O6" i="5555"/>
  <c r="H5" i="5555"/>
  <c r="B6" i="5555"/>
  <c r="O5" i="5555"/>
  <c r="B5" i="5555"/>
  <c r="O4" i="5555"/>
  <c r="H2" i="5555"/>
  <c r="O3" i="5555"/>
  <c r="H8" i="5555"/>
  <c r="O2" i="5555"/>
  <c r="H3" i="5555"/>
  <c r="O23" i="5541"/>
  <c r="O16" i="5535"/>
  <c r="O25" i="5533"/>
  <c r="H14" i="5557" l="1"/>
  <c r="H11" i="5557"/>
  <c r="H2" i="5557"/>
  <c r="H18" i="5557"/>
  <c r="H42" i="5557"/>
  <c r="H39" i="5557"/>
  <c r="C19" i="5557"/>
  <c r="H9" i="5557"/>
  <c r="H23" i="5557"/>
  <c r="H45" i="5557"/>
  <c r="H3" i="5557"/>
  <c r="H46" i="5557"/>
  <c r="C17" i="5557"/>
  <c r="H31" i="5557"/>
  <c r="H19" i="5557"/>
  <c r="H47" i="5557"/>
  <c r="H15" i="5557"/>
  <c r="H26" i="5557"/>
  <c r="H34" i="5557"/>
  <c r="H49" i="5557"/>
  <c r="H25" i="5557"/>
  <c r="H33" i="5557"/>
  <c r="H20" i="5557"/>
  <c r="H50" i="5557"/>
  <c r="H12" i="5557"/>
  <c r="B23" i="5557"/>
  <c r="H7" i="5557"/>
  <c r="H17" i="5557"/>
  <c r="C18" i="5557"/>
  <c r="H37" i="5557"/>
  <c r="H6" i="5557"/>
  <c r="H13" i="5557"/>
  <c r="H22" i="5557"/>
  <c r="H27" i="5557"/>
  <c r="H38" i="5557"/>
  <c r="H4" i="5557"/>
  <c r="H16" i="5557"/>
  <c r="H8" i="5557"/>
  <c r="H41" i="5557"/>
  <c r="H52" i="5557"/>
  <c r="H32" i="5557"/>
  <c r="H40" i="5557"/>
  <c r="H48" i="5557"/>
  <c r="H24" i="5557"/>
  <c r="H29" i="5557"/>
  <c r="H35" i="5557"/>
  <c r="H43" i="5557"/>
  <c r="H51" i="5557"/>
  <c r="H36" i="5557"/>
  <c r="H44" i="5557"/>
  <c r="H12" i="5555"/>
  <c r="H23" i="5555"/>
  <c r="H30" i="5555"/>
  <c r="H45" i="5555"/>
  <c r="H9" i="5555"/>
  <c r="H15" i="5555"/>
  <c r="H46" i="5555"/>
  <c r="H24" i="5555"/>
  <c r="C17" i="5555"/>
  <c r="B23" i="5555"/>
  <c r="H32" i="5555"/>
  <c r="H19" i="5555"/>
  <c r="H33" i="5555"/>
  <c r="H48" i="5555"/>
  <c r="H4" i="5555"/>
  <c r="H13" i="5555"/>
  <c r="H16" i="5555"/>
  <c r="C18" i="5555"/>
  <c r="H36" i="5555"/>
  <c r="H49" i="5555"/>
  <c r="H22" i="5555"/>
  <c r="H28" i="5555"/>
  <c r="H40" i="5555"/>
  <c r="H52" i="5555"/>
  <c r="H31" i="5555"/>
  <c r="H39" i="5555"/>
  <c r="H47" i="5555"/>
  <c r="H21" i="5555"/>
  <c r="H27" i="5555"/>
  <c r="H34" i="5555"/>
  <c r="H42" i="5555"/>
  <c r="H50" i="5555"/>
  <c r="H35" i="5555"/>
  <c r="H43" i="5555"/>
  <c r="O15" i="5543" l="1"/>
  <c r="O21" i="5551"/>
  <c r="O20" i="5553" l="1"/>
  <c r="O19" i="5553"/>
  <c r="O20" i="5547"/>
  <c r="O21" i="5537"/>
  <c r="O24" i="5535" l="1"/>
  <c r="O17" i="5553"/>
  <c r="O23" i="5545"/>
  <c r="O15" i="5553"/>
  <c r="O18" i="5553" l="1"/>
  <c r="O16" i="5553"/>
  <c r="C27" i="5553"/>
  <c r="B24" i="5553"/>
  <c r="C20" i="5553"/>
  <c r="B17" i="5553"/>
  <c r="H50" i="5553" s="1"/>
  <c r="C16" i="5553"/>
  <c r="C15" i="5553"/>
  <c r="C14" i="5553"/>
  <c r="C13" i="5553"/>
  <c r="O12" i="5553"/>
  <c r="C12" i="5553"/>
  <c r="O11" i="5553"/>
  <c r="C11" i="5553"/>
  <c r="O10" i="5553"/>
  <c r="C10" i="5553"/>
  <c r="C9" i="5553"/>
  <c r="C8" i="5553"/>
  <c r="O7" i="5553"/>
  <c r="C7" i="5553"/>
  <c r="O6" i="5553"/>
  <c r="B6" i="5553"/>
  <c r="O5" i="5553"/>
  <c r="B5" i="5553"/>
  <c r="O4" i="5553"/>
  <c r="O3" i="5553"/>
  <c r="O2" i="5553"/>
  <c r="O21" i="5541"/>
  <c r="O21" i="5543"/>
  <c r="O23" i="5533"/>
  <c r="H12" i="5553" l="1"/>
  <c r="H36" i="5553"/>
  <c r="H14" i="5553"/>
  <c r="H45" i="5553"/>
  <c r="H3" i="5553"/>
  <c r="H2" i="5553"/>
  <c r="H47" i="5553"/>
  <c r="H29" i="5553"/>
  <c r="H37" i="5553"/>
  <c r="H21" i="5553"/>
  <c r="H25" i="5553"/>
  <c r="H48" i="5553"/>
  <c r="H19" i="5553"/>
  <c r="H22" i="5553"/>
  <c r="H31" i="5553"/>
  <c r="H4" i="5553"/>
  <c r="H51" i="5553"/>
  <c r="H9" i="5553"/>
  <c r="C17" i="5553"/>
  <c r="B23" i="5553"/>
  <c r="H39" i="5553"/>
  <c r="H26" i="5553"/>
  <c r="H49" i="5553"/>
  <c r="H32" i="5553"/>
  <c r="H13" i="5553"/>
  <c r="H10" i="5553"/>
  <c r="H43" i="5553"/>
  <c r="H6" i="5553"/>
  <c r="H46" i="5553"/>
  <c r="H8" i="5553"/>
  <c r="H38" i="5553"/>
  <c r="H17" i="5553"/>
  <c r="H30" i="5553"/>
  <c r="H7" i="5553"/>
  <c r="C18" i="5553"/>
  <c r="H40" i="5553"/>
  <c r="H15" i="5553"/>
  <c r="H23" i="5553"/>
  <c r="H41" i="5553"/>
  <c r="C19" i="5553"/>
  <c r="H33" i="5553"/>
  <c r="H11" i="5553"/>
  <c r="H5" i="5553"/>
  <c r="H16" i="5553"/>
  <c r="H20" i="5553"/>
  <c r="H18" i="5553"/>
  <c r="H27" i="5553"/>
  <c r="H35" i="5553"/>
  <c r="H44" i="5553"/>
  <c r="H52" i="5553"/>
  <c r="H24" i="5553"/>
  <c r="H28" i="5553"/>
  <c r="H34" i="5553"/>
  <c r="H42" i="5553"/>
  <c r="O18" i="5543" l="1"/>
  <c r="O18" i="5539"/>
  <c r="O21" i="5547"/>
  <c r="O22" i="5547"/>
  <c r="O17" i="5535" l="1"/>
  <c r="O20" i="5551"/>
  <c r="O18" i="5551" l="1"/>
  <c r="O16" i="5551"/>
  <c r="O16" i="5541"/>
  <c r="O24" i="5539"/>
  <c r="O17" i="5549" l="1"/>
  <c r="O22" i="5545"/>
  <c r="O15" i="5549"/>
  <c r="O22" i="5551"/>
  <c r="O15" i="5537"/>
  <c r="O18" i="5547"/>
  <c r="O16" i="5533"/>
  <c r="O19" i="5551"/>
  <c r="O17" i="5551"/>
  <c r="C27" i="5551"/>
  <c r="B24" i="5551"/>
  <c r="C20" i="5551"/>
  <c r="B17" i="5551"/>
  <c r="H51" i="5551" s="1"/>
  <c r="C16" i="5551"/>
  <c r="C15" i="5551"/>
  <c r="C14" i="5551"/>
  <c r="C13" i="5551"/>
  <c r="O12" i="5551"/>
  <c r="C12" i="5551"/>
  <c r="O11" i="5551"/>
  <c r="C11" i="5551"/>
  <c r="O10" i="5551"/>
  <c r="C10" i="5551"/>
  <c r="C9" i="5551"/>
  <c r="C8" i="5551"/>
  <c r="O7" i="5551"/>
  <c r="C7" i="5551"/>
  <c r="O6" i="5551"/>
  <c r="B6" i="5551"/>
  <c r="O5" i="5551"/>
  <c r="B5" i="5551"/>
  <c r="O4" i="5551"/>
  <c r="O3" i="5551"/>
  <c r="O2" i="5551"/>
  <c r="O16" i="5549"/>
  <c r="O18" i="5549"/>
  <c r="H46" i="5549"/>
  <c r="H38" i="5549"/>
  <c r="C27" i="5549"/>
  <c r="B24" i="5549"/>
  <c r="C20" i="5549"/>
  <c r="B17" i="5549"/>
  <c r="H51" i="5549" s="1"/>
  <c r="H19" i="5549"/>
  <c r="C16" i="5549"/>
  <c r="H18" i="5549"/>
  <c r="C15" i="5549"/>
  <c r="C14" i="5549"/>
  <c r="C13" i="5549"/>
  <c r="O12" i="5549"/>
  <c r="C12" i="5549"/>
  <c r="O11" i="5549"/>
  <c r="C11" i="5549"/>
  <c r="O10" i="5549"/>
  <c r="C10" i="5549"/>
  <c r="C9" i="5549"/>
  <c r="C8" i="5549"/>
  <c r="O7" i="5549"/>
  <c r="C7" i="5549"/>
  <c r="O6" i="5549"/>
  <c r="B6" i="5549"/>
  <c r="O5" i="5549"/>
  <c r="B5" i="5549"/>
  <c r="O4" i="5549"/>
  <c r="O3" i="5549"/>
  <c r="O2" i="5549"/>
  <c r="O23" i="5547"/>
  <c r="O24" i="5547"/>
  <c r="O15" i="5535"/>
  <c r="O20" i="5535"/>
  <c r="O27" i="5533"/>
  <c r="H20" i="5551" l="1"/>
  <c r="B23" i="5551"/>
  <c r="H40" i="5551"/>
  <c r="H7" i="5551"/>
  <c r="H3" i="5551"/>
  <c r="H38" i="5551"/>
  <c r="H4" i="5551"/>
  <c r="H15" i="5551"/>
  <c r="H44" i="5551"/>
  <c r="H25" i="5551"/>
  <c r="H12" i="5549"/>
  <c r="H3" i="5549"/>
  <c r="H49" i="5549"/>
  <c r="H11" i="5549"/>
  <c r="H48" i="5549"/>
  <c r="H27" i="5549"/>
  <c r="H13" i="5549"/>
  <c r="H21" i="5549"/>
  <c r="H15" i="5549"/>
  <c r="H7" i="5549"/>
  <c r="H33" i="5549"/>
  <c r="H2" i="5549"/>
  <c r="H36" i="5549"/>
  <c r="H10" i="5549"/>
  <c r="C19" i="5549"/>
  <c r="H8" i="5549"/>
  <c r="H22" i="5549"/>
  <c r="H37" i="5549"/>
  <c r="H4" i="5549"/>
  <c r="H24" i="5549"/>
  <c r="H40" i="5549"/>
  <c r="H9" i="5549"/>
  <c r="H41" i="5549"/>
  <c r="H6" i="5549"/>
  <c r="H16" i="5549"/>
  <c r="H25" i="5549"/>
  <c r="H20" i="5549"/>
  <c r="H44" i="5549"/>
  <c r="H52" i="5549"/>
  <c r="C17" i="5549"/>
  <c r="H29" i="5549"/>
  <c r="B23" i="5549"/>
  <c r="H30" i="5549"/>
  <c r="H5" i="5549"/>
  <c r="H14" i="5549"/>
  <c r="H17" i="5549"/>
  <c r="C18" i="5549"/>
  <c r="H26" i="5549"/>
  <c r="H32" i="5549"/>
  <c r="H45" i="5549"/>
  <c r="H30" i="5551"/>
  <c r="H2" i="5551"/>
  <c r="H11" i="5551"/>
  <c r="H23" i="5551"/>
  <c r="H18" i="5551"/>
  <c r="H31" i="5551"/>
  <c r="H45" i="5551"/>
  <c r="H27" i="5551"/>
  <c r="H9" i="5551"/>
  <c r="C18" i="5551"/>
  <c r="H46" i="5551"/>
  <c r="H48" i="5551"/>
  <c r="C17" i="5551"/>
  <c r="H5" i="5551"/>
  <c r="H33" i="5551"/>
  <c r="H13" i="5551"/>
  <c r="H16" i="5551"/>
  <c r="H26" i="5551"/>
  <c r="H19" i="5551"/>
  <c r="H12" i="5551"/>
  <c r="H6" i="5551"/>
  <c r="H14" i="5551"/>
  <c r="H37" i="5551"/>
  <c r="H52" i="5551"/>
  <c r="H21" i="5551"/>
  <c r="C19" i="5551"/>
  <c r="H32" i="5551"/>
  <c r="H39" i="5551"/>
  <c r="H47" i="5551"/>
  <c r="H22" i="5551"/>
  <c r="H28" i="5551"/>
  <c r="H34" i="5551"/>
  <c r="H41" i="5551"/>
  <c r="H49" i="5551"/>
  <c r="H24" i="5551"/>
  <c r="H29" i="5551"/>
  <c r="H35" i="5551"/>
  <c r="H42" i="5551"/>
  <c r="H50" i="5551"/>
  <c r="H8" i="5551"/>
  <c r="H17" i="5551"/>
  <c r="H10" i="5551"/>
  <c r="H36" i="5551"/>
  <c r="H43" i="5551"/>
  <c r="H31" i="5549"/>
  <c r="H39" i="5549"/>
  <c r="H47" i="5549"/>
  <c r="H23" i="5549"/>
  <c r="H28" i="5549"/>
  <c r="H34" i="5549"/>
  <c r="H42" i="5549"/>
  <c r="H50" i="5549"/>
  <c r="H35" i="5549"/>
  <c r="H43" i="5549"/>
  <c r="O17" i="5547" l="1"/>
  <c r="O21" i="5545"/>
  <c r="O18" i="5545"/>
  <c r="O16" i="5537"/>
  <c r="O17" i="5543" l="1"/>
  <c r="O17" i="5541"/>
  <c r="O17" i="5545"/>
  <c r="O19" i="5545"/>
  <c r="O16" i="5543" l="1"/>
  <c r="O15" i="5541"/>
  <c r="O23" i="5539"/>
  <c r="O21" i="5539"/>
  <c r="O16" i="5547"/>
  <c r="O19" i="5547"/>
  <c r="C27" i="5547"/>
  <c r="B24" i="5547"/>
  <c r="C20" i="5547"/>
  <c r="B17" i="5547"/>
  <c r="H51" i="5547" s="1"/>
  <c r="C16" i="5547"/>
  <c r="C15" i="5547"/>
  <c r="C14" i="5547"/>
  <c r="C13" i="5547"/>
  <c r="O12" i="5547"/>
  <c r="C12" i="5547"/>
  <c r="O11" i="5547"/>
  <c r="C11" i="5547"/>
  <c r="O10" i="5547"/>
  <c r="C10" i="5547"/>
  <c r="C9" i="5547"/>
  <c r="C8" i="5547"/>
  <c r="O7" i="5547"/>
  <c r="C7" i="5547"/>
  <c r="O6" i="5547"/>
  <c r="B6" i="5547"/>
  <c r="O5" i="5547"/>
  <c r="B5" i="5547"/>
  <c r="O4" i="5547"/>
  <c r="O3" i="5547"/>
  <c r="O2" i="5547"/>
  <c r="O22" i="5541"/>
  <c r="O19" i="5537"/>
  <c r="O21" i="5533"/>
  <c r="H45" i="5547" l="1"/>
  <c r="H15" i="5547"/>
  <c r="H46" i="5547"/>
  <c r="H13" i="5547"/>
  <c r="H11" i="5547"/>
  <c r="H32" i="5547"/>
  <c r="H7" i="5547"/>
  <c r="H12" i="5547"/>
  <c r="H25" i="5547"/>
  <c r="C19" i="5547"/>
  <c r="H38" i="5547"/>
  <c r="H23" i="5547"/>
  <c r="H29" i="5547"/>
  <c r="H2" i="5547"/>
  <c r="H34" i="5547"/>
  <c r="H5" i="5547"/>
  <c r="H16" i="5547"/>
  <c r="H37" i="5547"/>
  <c r="H10" i="5547"/>
  <c r="H21" i="5547"/>
  <c r="H44" i="5547"/>
  <c r="H47" i="5547"/>
  <c r="H3" i="5547"/>
  <c r="H14" i="5547"/>
  <c r="H9" i="5547"/>
  <c r="H48" i="5547"/>
  <c r="H8" i="5547"/>
  <c r="H20" i="5547"/>
  <c r="H40" i="5547"/>
  <c r="H17" i="5547"/>
  <c r="H4" i="5547"/>
  <c r="H39" i="5547"/>
  <c r="C17" i="5547"/>
  <c r="H31" i="5547"/>
  <c r="H22" i="5547"/>
  <c r="H49" i="5547"/>
  <c r="H18" i="5547"/>
  <c r="B23" i="5547"/>
  <c r="H26" i="5547"/>
  <c r="H6" i="5547"/>
  <c r="H27" i="5547"/>
  <c r="H28" i="5547"/>
  <c r="C18" i="5547"/>
  <c r="H19" i="5547"/>
  <c r="H24" i="5547"/>
  <c r="H41" i="5547"/>
  <c r="H52" i="5547"/>
  <c r="H30" i="5547"/>
  <c r="H33" i="5547"/>
  <c r="H35" i="5547"/>
  <c r="H42" i="5547"/>
  <c r="H50" i="5547"/>
  <c r="H36" i="5547"/>
  <c r="H43" i="5547"/>
  <c r="O20" i="5539" l="1"/>
  <c r="O20" i="5545"/>
  <c r="O16" i="5545"/>
  <c r="C27" i="5545"/>
  <c r="B24" i="5545"/>
  <c r="C20" i="5545"/>
  <c r="B17" i="5545"/>
  <c r="H51" i="5545" s="1"/>
  <c r="C16" i="5545"/>
  <c r="C15" i="5545"/>
  <c r="C14" i="5545"/>
  <c r="C13" i="5545"/>
  <c r="O12" i="5545"/>
  <c r="C12" i="5545"/>
  <c r="O11" i="5545"/>
  <c r="C11" i="5545"/>
  <c r="O10" i="5545"/>
  <c r="C10" i="5545"/>
  <c r="C9" i="5545"/>
  <c r="C8" i="5545"/>
  <c r="O7" i="5545"/>
  <c r="C7" i="5545"/>
  <c r="O6" i="5545"/>
  <c r="B6" i="5545"/>
  <c r="O5" i="5545"/>
  <c r="B5" i="5545"/>
  <c r="O4" i="5545"/>
  <c r="O3" i="5545"/>
  <c r="O2" i="5545"/>
  <c r="O22" i="5535"/>
  <c r="O17" i="5533"/>
  <c r="O19" i="5543"/>
  <c r="O18" i="5537"/>
  <c r="O20" i="5537"/>
  <c r="O19" i="5541"/>
  <c r="O20" i="5543"/>
  <c r="O22" i="5543"/>
  <c r="C27" i="5543"/>
  <c r="B24" i="5543"/>
  <c r="C20" i="5543"/>
  <c r="B17" i="5543"/>
  <c r="H51" i="5543" s="1"/>
  <c r="C16" i="5543"/>
  <c r="C15" i="5543"/>
  <c r="C14" i="5543"/>
  <c r="C13" i="5543"/>
  <c r="O12" i="5543"/>
  <c r="C12" i="5543"/>
  <c r="O11" i="5543"/>
  <c r="C11" i="5543"/>
  <c r="O10" i="5543"/>
  <c r="C10" i="5543"/>
  <c r="C9" i="5543"/>
  <c r="C8" i="5543"/>
  <c r="O7" i="5543"/>
  <c r="C7" i="5543"/>
  <c r="O6" i="5543"/>
  <c r="B6" i="5543"/>
  <c r="O5" i="5543"/>
  <c r="B5" i="5543"/>
  <c r="O4" i="5543"/>
  <c r="O3" i="5543"/>
  <c r="O2" i="5543"/>
  <c r="O20" i="5541"/>
  <c r="O18" i="5541"/>
  <c r="C27" i="5541"/>
  <c r="B24" i="5541"/>
  <c r="C20" i="5541"/>
  <c r="B17" i="5541"/>
  <c r="H19" i="5541" s="1"/>
  <c r="C16" i="5541"/>
  <c r="C15" i="5541"/>
  <c r="C14" i="5541"/>
  <c r="C13" i="5541"/>
  <c r="O12" i="5541"/>
  <c r="C12" i="5541"/>
  <c r="O11" i="5541"/>
  <c r="C11" i="5541"/>
  <c r="O10" i="5541"/>
  <c r="C10" i="5541"/>
  <c r="C9" i="5541"/>
  <c r="C8" i="5541"/>
  <c r="O7" i="5541"/>
  <c r="C7" i="5541"/>
  <c r="O6" i="5541"/>
  <c r="B6" i="5541"/>
  <c r="O5" i="5541"/>
  <c r="B5" i="5541"/>
  <c r="O4" i="5541"/>
  <c r="O3" i="5541"/>
  <c r="O2" i="5541"/>
  <c r="O18" i="5535"/>
  <c r="O23" i="5535"/>
  <c r="O20" i="5533"/>
  <c r="O22" i="5533"/>
  <c r="H11" i="5545" l="1"/>
  <c r="H25" i="5545"/>
  <c r="H38" i="5545"/>
  <c r="H21" i="5545"/>
  <c r="H14" i="5545"/>
  <c r="H37" i="5543"/>
  <c r="H12" i="5545"/>
  <c r="H48" i="5545"/>
  <c r="H49" i="5545"/>
  <c r="H17" i="5545"/>
  <c r="H22" i="5545"/>
  <c r="H27" i="5545"/>
  <c r="H7" i="5545"/>
  <c r="H50" i="5545"/>
  <c r="H4" i="5545"/>
  <c r="H32" i="5545"/>
  <c r="H10" i="5545"/>
  <c r="H15" i="5545"/>
  <c r="H35" i="5545"/>
  <c r="H37" i="5545"/>
  <c r="H13" i="5545"/>
  <c r="H41" i="5545"/>
  <c r="H5" i="5545"/>
  <c r="H19" i="5545"/>
  <c r="H3" i="5545"/>
  <c r="H16" i="5545"/>
  <c r="H2" i="5545"/>
  <c r="H42" i="5545"/>
  <c r="H39" i="5545"/>
  <c r="H20" i="5545"/>
  <c r="C18" i="5545"/>
  <c r="H24" i="5545"/>
  <c r="C19" i="5545"/>
  <c r="H9" i="5545"/>
  <c r="H46" i="5545"/>
  <c r="H48" i="5541"/>
  <c r="H47" i="5541"/>
  <c r="H5" i="5543"/>
  <c r="H36" i="5543"/>
  <c r="H27" i="5541"/>
  <c r="H15" i="5541"/>
  <c r="H2" i="5541"/>
  <c r="H11" i="5541"/>
  <c r="H6" i="5541"/>
  <c r="H52" i="5541"/>
  <c r="H31" i="5541"/>
  <c r="H20" i="5541"/>
  <c r="H22" i="5541"/>
  <c r="H24" i="5541"/>
  <c r="H13" i="5541"/>
  <c r="H34" i="5541"/>
  <c r="H26" i="5541"/>
  <c r="H37" i="5541"/>
  <c r="H4" i="5541"/>
  <c r="C19" i="5541"/>
  <c r="H16" i="5541"/>
  <c r="H28" i="5541"/>
  <c r="H38" i="5541"/>
  <c r="H29" i="5545"/>
  <c r="H33" i="5545"/>
  <c r="H43" i="5545"/>
  <c r="H6" i="5545"/>
  <c r="H8" i="5545"/>
  <c r="H23" i="5545"/>
  <c r="C17" i="5545"/>
  <c r="B23" i="5545"/>
  <c r="H34" i="5545"/>
  <c r="H45" i="5545"/>
  <c r="H52" i="5545"/>
  <c r="H26" i="5545"/>
  <c r="H30" i="5545"/>
  <c r="H18" i="5545"/>
  <c r="H40" i="5545"/>
  <c r="H47" i="5545"/>
  <c r="H28" i="5545"/>
  <c r="H31" i="5545"/>
  <c r="H36" i="5545"/>
  <c r="H44" i="5545"/>
  <c r="H28" i="5543"/>
  <c r="H13" i="5543"/>
  <c r="B23" i="5543"/>
  <c r="H20" i="5543"/>
  <c r="H7" i="5543"/>
  <c r="H12" i="5541"/>
  <c r="H45" i="5541"/>
  <c r="H42" i="5541"/>
  <c r="H10" i="5541"/>
  <c r="H7" i="5541"/>
  <c r="C18" i="5541"/>
  <c r="H25" i="5541"/>
  <c r="H29" i="5541"/>
  <c r="H46" i="5541"/>
  <c r="H19" i="5543"/>
  <c r="H40" i="5543"/>
  <c r="H14" i="5543"/>
  <c r="H18" i="5543"/>
  <c r="H3" i="5543"/>
  <c r="H11" i="5543"/>
  <c r="H48" i="5543"/>
  <c r="H10" i="5543"/>
  <c r="H44" i="5543"/>
  <c r="H9" i="5543"/>
  <c r="C18" i="5543"/>
  <c r="H2" i="5543"/>
  <c r="H23" i="5543"/>
  <c r="H4" i="5543"/>
  <c r="C17" i="5543"/>
  <c r="H6" i="5543"/>
  <c r="H45" i="5543"/>
  <c r="H15" i="5543"/>
  <c r="H24" i="5543"/>
  <c r="H32" i="5543"/>
  <c r="H52" i="5543"/>
  <c r="H26" i="5543"/>
  <c r="H29" i="5543"/>
  <c r="H17" i="5543"/>
  <c r="H38" i="5543"/>
  <c r="H46" i="5543"/>
  <c r="H25" i="5543"/>
  <c r="C19" i="5543"/>
  <c r="H31" i="5543"/>
  <c r="H39" i="5543"/>
  <c r="H47" i="5543"/>
  <c r="H16" i="5543"/>
  <c r="H22" i="5543"/>
  <c r="H33" i="5543"/>
  <c r="H41" i="5543"/>
  <c r="H49" i="5543"/>
  <c r="H27" i="5543"/>
  <c r="H30" i="5543"/>
  <c r="H34" i="5543"/>
  <c r="H42" i="5543"/>
  <c r="H50" i="5543"/>
  <c r="H8" i="5543"/>
  <c r="H21" i="5543"/>
  <c r="H12" i="5543"/>
  <c r="H35" i="5543"/>
  <c r="H43" i="5543"/>
  <c r="H9" i="5541"/>
  <c r="C17" i="5541"/>
  <c r="H23" i="5541"/>
  <c r="H33" i="5541"/>
  <c r="H40" i="5541"/>
  <c r="H50" i="5541"/>
  <c r="H3" i="5541"/>
  <c r="H14" i="5541"/>
  <c r="H39" i="5541"/>
  <c r="H49" i="5541"/>
  <c r="H8" i="5541"/>
  <c r="H21" i="5541"/>
  <c r="H18" i="5541"/>
  <c r="B23" i="5541"/>
  <c r="H17" i="5541"/>
  <c r="H41" i="5541"/>
  <c r="H5" i="5541"/>
  <c r="H30" i="5541"/>
  <c r="H32" i="5541"/>
  <c r="H35" i="5541"/>
  <c r="H43" i="5541"/>
  <c r="H51" i="5541"/>
  <c r="H36" i="5541"/>
  <c r="H44" i="5541"/>
  <c r="O19" i="5539" l="1"/>
  <c r="O22" i="5539"/>
  <c r="C27" i="5539"/>
  <c r="B24" i="5539"/>
  <c r="C20" i="5539"/>
  <c r="B17" i="5539"/>
  <c r="H28" i="5539" s="1"/>
  <c r="C16" i="5539"/>
  <c r="C15" i="5539"/>
  <c r="C14" i="5539"/>
  <c r="C13" i="5539"/>
  <c r="O12" i="5539"/>
  <c r="C12" i="5539"/>
  <c r="O11" i="5539"/>
  <c r="C11" i="5539"/>
  <c r="O10" i="5539"/>
  <c r="C10" i="5539"/>
  <c r="C9" i="5539"/>
  <c r="C8" i="5539"/>
  <c r="O7" i="5539"/>
  <c r="C7" i="5539"/>
  <c r="O6" i="5539"/>
  <c r="B6" i="5539"/>
  <c r="O5" i="5539"/>
  <c r="B5" i="5539"/>
  <c r="O4" i="5539"/>
  <c r="O3" i="5539"/>
  <c r="O2" i="5539"/>
  <c r="O22" i="5537"/>
  <c r="O17" i="5537"/>
  <c r="C27" i="5537"/>
  <c r="B24" i="5537"/>
  <c r="C20" i="5537"/>
  <c r="B17" i="5537"/>
  <c r="H5" i="5537" s="1"/>
  <c r="C16" i="5537"/>
  <c r="C15" i="5537"/>
  <c r="C14" i="5537"/>
  <c r="C13" i="5537"/>
  <c r="O12" i="5537"/>
  <c r="C12" i="5537"/>
  <c r="O11" i="5537"/>
  <c r="C11" i="5537"/>
  <c r="O10" i="5537"/>
  <c r="C10" i="5537"/>
  <c r="C9" i="5537"/>
  <c r="C8" i="5537"/>
  <c r="O7" i="5537"/>
  <c r="C7" i="5537"/>
  <c r="O6" i="5537"/>
  <c r="B6" i="5537"/>
  <c r="O5" i="5537"/>
  <c r="B5" i="5537"/>
  <c r="O4" i="5537"/>
  <c r="O3" i="5537"/>
  <c r="O2" i="5537"/>
  <c r="O24" i="5533"/>
  <c r="O19" i="5535"/>
  <c r="O21" i="5535"/>
  <c r="C27" i="5535"/>
  <c r="B24" i="5535"/>
  <c r="C20" i="5535"/>
  <c r="B17" i="5535"/>
  <c r="H5" i="5535" s="1"/>
  <c r="C16" i="5535"/>
  <c r="C15" i="5535"/>
  <c r="C14" i="5535"/>
  <c r="C13" i="5535"/>
  <c r="O12" i="5535"/>
  <c r="C12" i="5535"/>
  <c r="O11" i="5535"/>
  <c r="C11" i="5535"/>
  <c r="O10" i="5535"/>
  <c r="C10" i="5535"/>
  <c r="C9" i="5535"/>
  <c r="C8" i="5535"/>
  <c r="O7" i="5535"/>
  <c r="C7" i="5535"/>
  <c r="O6" i="5535"/>
  <c r="B6" i="5535"/>
  <c r="O5" i="5535"/>
  <c r="B5" i="5535"/>
  <c r="O4" i="5535"/>
  <c r="O3" i="5535"/>
  <c r="O2" i="5535"/>
  <c r="O18" i="5533"/>
  <c r="O19" i="5533"/>
  <c r="C27" i="5533"/>
  <c r="B24" i="5533"/>
  <c r="C20" i="5533"/>
  <c r="B17" i="5533"/>
  <c r="H18" i="5533" s="1"/>
  <c r="C16" i="5533"/>
  <c r="C15" i="5533"/>
  <c r="C14" i="5533"/>
  <c r="C13" i="5533"/>
  <c r="O12" i="5533"/>
  <c r="C12" i="5533"/>
  <c r="O11" i="5533"/>
  <c r="C11" i="5533"/>
  <c r="O10" i="5533"/>
  <c r="C10" i="5533"/>
  <c r="C9" i="5533"/>
  <c r="C8" i="5533"/>
  <c r="O7" i="5533"/>
  <c r="C7" i="5533"/>
  <c r="O6" i="5533"/>
  <c r="B6" i="5533"/>
  <c r="O5" i="5533"/>
  <c r="B5" i="5533"/>
  <c r="O4" i="5533"/>
  <c r="O3" i="5533"/>
  <c r="O2" i="5533"/>
  <c r="H29" i="5539" l="1"/>
  <c r="H3" i="5539"/>
  <c r="H33" i="5539"/>
  <c r="H30" i="5539"/>
  <c r="H2" i="5539"/>
  <c r="H38" i="5539"/>
  <c r="H37" i="5539"/>
  <c r="H21" i="5539"/>
  <c r="H23" i="5539"/>
  <c r="H16" i="5539"/>
  <c r="H9" i="5539"/>
  <c r="H7" i="5539"/>
  <c r="B23" i="5539"/>
  <c r="H45" i="5539"/>
  <c r="H46" i="5539"/>
  <c r="H10" i="5539"/>
  <c r="H19" i="5539"/>
  <c r="H12" i="5539"/>
  <c r="H20" i="5539"/>
  <c r="H5" i="5539"/>
  <c r="C17" i="5539"/>
  <c r="H13" i="5539"/>
  <c r="H6" i="5539"/>
  <c r="H4" i="5539"/>
  <c r="C18" i="5539"/>
  <c r="H11" i="5539"/>
  <c r="H52" i="5539"/>
  <c r="H31" i="5539"/>
  <c r="H25" i="5539"/>
  <c r="H18" i="5539"/>
  <c r="H39" i="5539"/>
  <c r="H47" i="5539"/>
  <c r="H17" i="5539"/>
  <c r="C19" i="5539"/>
  <c r="H27" i="5539"/>
  <c r="H40" i="5539"/>
  <c r="H48" i="5539"/>
  <c r="H41" i="5539"/>
  <c r="H49" i="5539"/>
  <c r="H14" i="5539"/>
  <c r="H22" i="5539"/>
  <c r="H34" i="5539"/>
  <c r="H42" i="5539"/>
  <c r="H50" i="5539"/>
  <c r="H32" i="5539"/>
  <c r="H26" i="5539"/>
  <c r="H35" i="5539"/>
  <c r="H43" i="5539"/>
  <c r="H51" i="5539"/>
  <c r="H8" i="5539"/>
  <c r="H24" i="5539"/>
  <c r="H15" i="5539"/>
  <c r="H36" i="5539"/>
  <c r="H44" i="5539"/>
  <c r="H14" i="5537"/>
  <c r="H16" i="5537"/>
  <c r="H35" i="5537"/>
  <c r="H8" i="5537"/>
  <c r="C17" i="5537"/>
  <c r="C18" i="5537"/>
  <c r="H32" i="5537"/>
  <c r="H30" i="5537"/>
  <c r="C19" i="5537"/>
  <c r="H47" i="5537"/>
  <c r="H4" i="5537"/>
  <c r="H38" i="5537"/>
  <c r="H42" i="5537"/>
  <c r="H6" i="5537"/>
  <c r="H29" i="5537"/>
  <c r="H33" i="5537"/>
  <c r="H23" i="5537"/>
  <c r="H34" i="5537"/>
  <c r="H50" i="5537"/>
  <c r="H2" i="5537"/>
  <c r="B23" i="5537"/>
  <c r="H20" i="5537"/>
  <c r="H39" i="5537"/>
  <c r="H21" i="5537"/>
  <c r="H46" i="5537"/>
  <c r="H3" i="5537"/>
  <c r="H10" i="5537"/>
  <c r="H15" i="5537"/>
  <c r="H9" i="5537"/>
  <c r="H7" i="5537"/>
  <c r="H12" i="5537"/>
  <c r="H22" i="5537"/>
  <c r="H18" i="5537"/>
  <c r="H52" i="5537"/>
  <c r="H26" i="5537"/>
  <c r="H40" i="5537"/>
  <c r="H48" i="5537"/>
  <c r="H13" i="5537"/>
  <c r="H27" i="5537"/>
  <c r="H41" i="5537"/>
  <c r="H49" i="5537"/>
  <c r="H31" i="5537"/>
  <c r="H25" i="5537"/>
  <c r="H28" i="5537"/>
  <c r="H43" i="5537"/>
  <c r="H51" i="5537"/>
  <c r="H36" i="5537"/>
  <c r="H44" i="5537"/>
  <c r="H19" i="5537"/>
  <c r="H17" i="5537"/>
  <c r="H24" i="5537"/>
  <c r="H11" i="5537"/>
  <c r="H37" i="5537"/>
  <c r="H45" i="5537"/>
  <c r="H11" i="5535"/>
  <c r="H23" i="5535"/>
  <c r="C18" i="5535"/>
  <c r="H32" i="5535"/>
  <c r="C17" i="5535"/>
  <c r="H18" i="5535"/>
  <c r="H38" i="5535"/>
  <c r="H3" i="5535"/>
  <c r="H39" i="5535"/>
  <c r="H47" i="5535"/>
  <c r="H6" i="5535"/>
  <c r="H33" i="5535"/>
  <c r="H4" i="5535"/>
  <c r="B23" i="5535"/>
  <c r="H46" i="5535"/>
  <c r="H20" i="5535"/>
  <c r="H2" i="5535"/>
  <c r="H22" i="5535"/>
  <c r="H52" i="5535"/>
  <c r="H21" i="5535"/>
  <c r="C19" i="5535"/>
  <c r="H24" i="5535"/>
  <c r="H40" i="5535"/>
  <c r="H48" i="5535"/>
  <c r="H10" i="5535"/>
  <c r="H7" i="5535"/>
  <c r="H13" i="5535"/>
  <c r="H31" i="5535"/>
  <c r="H17" i="5535"/>
  <c r="H12" i="5535"/>
  <c r="H26" i="5535"/>
  <c r="H41" i="5535"/>
  <c r="H49" i="5535"/>
  <c r="H16" i="5535"/>
  <c r="H29" i="5535"/>
  <c r="H35" i="5535"/>
  <c r="H42" i="5535"/>
  <c r="H50" i="5535"/>
  <c r="H34" i="5535"/>
  <c r="H8" i="5535"/>
  <c r="H27" i="5535"/>
  <c r="H14" i="5535"/>
  <c r="H36" i="5535"/>
  <c r="H44" i="5535"/>
  <c r="H15" i="5535"/>
  <c r="H25" i="5535"/>
  <c r="H30" i="5535"/>
  <c r="H43" i="5535"/>
  <c r="H51" i="5535"/>
  <c r="H19" i="5535"/>
  <c r="H28" i="5535"/>
  <c r="H9" i="5535"/>
  <c r="H37" i="5535"/>
  <c r="H45" i="5535"/>
  <c r="H12" i="5533"/>
  <c r="C17" i="5533"/>
  <c r="H26" i="5533"/>
  <c r="H32" i="5533"/>
  <c r="H6" i="5533"/>
  <c r="H49" i="5533"/>
  <c r="H7" i="5533"/>
  <c r="H24" i="5533"/>
  <c r="H9" i="5533"/>
  <c r="H19" i="5533"/>
  <c r="H16" i="5533"/>
  <c r="H10" i="5533"/>
  <c r="H3" i="5533"/>
  <c r="H33" i="5533"/>
  <c r="H35" i="5533"/>
  <c r="H27" i="5533"/>
  <c r="H46" i="5533"/>
  <c r="H2" i="5533"/>
  <c r="H13" i="5533"/>
  <c r="H5" i="5533"/>
  <c r="H21" i="5533"/>
  <c r="C18" i="5533"/>
  <c r="B23" i="5533"/>
  <c r="H29" i="5533"/>
  <c r="H40" i="5533"/>
  <c r="H34" i="5533"/>
  <c r="H52" i="5533"/>
  <c r="H4" i="5533"/>
  <c r="H11" i="5533"/>
  <c r="H36" i="5533"/>
  <c r="H23" i="5533"/>
  <c r="H17" i="5533"/>
  <c r="H41" i="5533"/>
  <c r="H47" i="5533"/>
  <c r="H20" i="5533"/>
  <c r="C19" i="5533"/>
  <c r="H25" i="5533"/>
  <c r="H42" i="5533"/>
  <c r="H48" i="5533"/>
  <c r="H15" i="5533"/>
  <c r="H28" i="5533"/>
  <c r="H38" i="5533"/>
  <c r="H43" i="5533"/>
  <c r="H50" i="5533"/>
  <c r="H37" i="5533"/>
  <c r="H30" i="5533"/>
  <c r="H31" i="5533"/>
  <c r="H44" i="5533"/>
  <c r="H51" i="5533"/>
  <c r="H8" i="5533"/>
  <c r="H22" i="5533"/>
  <c r="H14" i="5533"/>
  <c r="H39" i="5533"/>
  <c r="H45" i="553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<sst xmlns="http://schemas.openxmlformats.org/spreadsheetml/2006/main" count="3611" uniqueCount="279">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</sst>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全体!$K$2:$K$848</c:f>
              <c:numCache>
                <c:formatCode>General</c:formatCode>
                <c:ptCount val="8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</c:numCache>
            </c:numRef>
          </c:xVal>
          <c:yVal>
            <c:numRef>
              <c:f>全体!$L$2:$L$848</c:f>
              <c:numCache>
                <c:formatCode>\+0.0;\-0.0;\±0</c:formatCode>
                <c:ptCount val="84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39.1</c:v>
                </c:pt>
                <c:pt idx="803">
                  <c:v>50</c:v>
                </c:pt>
                <c:pt idx="804">
                  <c:v>-2</c:v>
                </c:pt>
                <c:pt idx="805">
                  <c:v>52.6</c:v>
                </c:pt>
                <c:pt idx="806">
                  <c:v>53.9</c:v>
                </c:pt>
                <c:pt idx="807">
                  <c:v>-2</c:v>
                </c:pt>
                <c:pt idx="808">
                  <c:v>25.5</c:v>
                </c:pt>
                <c:pt idx="809">
                  <c:v>26.5</c:v>
                </c:pt>
                <c:pt idx="810">
                  <c:v>-2</c:v>
                </c:pt>
                <c:pt idx="811">
                  <c:v>31.4</c:v>
                </c:pt>
                <c:pt idx="812">
                  <c:v>-1.8999999999999986</c:v>
                </c:pt>
                <c:pt idx="813">
                  <c:v>-1.9999999999999987</c:v>
                </c:pt>
                <c:pt idx="814">
                  <c:v>36.299999999999997</c:v>
                </c:pt>
                <c:pt idx="815">
                  <c:v>-14.900000000000006</c:v>
                </c:pt>
                <c:pt idx="816">
                  <c:v>-2.0000000000000053</c:v>
                </c:pt>
                <c:pt idx="817">
                  <c:v>45.899999999999991</c:v>
                </c:pt>
                <c:pt idx="818">
                  <c:v>-24.600000000000009</c:v>
                </c:pt>
                <c:pt idx="819">
                  <c:v>-2.0000000000000071</c:v>
                </c:pt>
                <c:pt idx="820">
                  <c:v>-9.6000000000000068</c:v>
                </c:pt>
                <c:pt idx="821">
                  <c:v>-56.600000000000009</c:v>
                </c:pt>
                <c:pt idx="822">
                  <c:v>-2.0000000000000071</c:v>
                </c:pt>
                <c:pt idx="823">
                  <c:v>-34.800000000000004</c:v>
                </c:pt>
                <c:pt idx="824">
                  <c:v>1.2999999999999972</c:v>
                </c:pt>
                <c:pt idx="825">
                  <c:v>-2.0000000000000027</c:v>
                </c:pt>
                <c:pt idx="826">
                  <c:v>-3.8000000000000025</c:v>
                </c:pt>
                <c:pt idx="827">
                  <c:v>-30.200000000000003</c:v>
                </c:pt>
                <c:pt idx="828">
                  <c:v>-2.0000000000000036</c:v>
                </c:pt>
                <c:pt idx="829">
                  <c:v>-58.8</c:v>
                </c:pt>
                <c:pt idx="830">
                  <c:v>2.2000000000000028</c:v>
                </c:pt>
                <c:pt idx="831">
                  <c:v>-1.9999999999999973</c:v>
                </c:pt>
                <c:pt idx="832">
                  <c:v>-34.5</c:v>
                </c:pt>
                <c:pt idx="833">
                  <c:v>0.89999999999999858</c:v>
                </c:pt>
                <c:pt idx="834">
                  <c:v>-2.0000000000000013</c:v>
                </c:pt>
                <c:pt idx="835">
                  <c:v>-14.700000000000001</c:v>
                </c:pt>
                <c:pt idx="836">
                  <c:v>40.799999999999997</c:v>
                </c:pt>
                <c:pt idx="837">
                  <c:v>-2</c:v>
                </c:pt>
                <c:pt idx="838">
                  <c:v>-45.1</c:v>
                </c:pt>
                <c:pt idx="839">
                  <c:v>-11.800000000000004</c:v>
                </c:pt>
                <c:pt idx="840">
                  <c:v>-2.0000000000000036</c:v>
                </c:pt>
                <c:pt idx="841">
                  <c:v>24.499999999999996</c:v>
                </c:pt>
                <c:pt idx="842">
                  <c:v>-2.3000000000000043</c:v>
                </c:pt>
                <c:pt idx="843">
                  <c:v>-2.0000000000000044</c:v>
                </c:pt>
                <c:pt idx="844">
                  <c:v>38.79999999999999</c:v>
                </c:pt>
                <c:pt idx="845">
                  <c:v>32.099999999999987</c:v>
                </c:pt>
                <c:pt idx="846">
                  <c:v>-2.0000000000000142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C6-4407-8847-089D07A8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-16.548463356973997</c:v>
                </c:pt>
                <c:pt idx="1">
                  <c:v>-6.0386473429951693</c:v>
                </c:pt>
                <c:pt idx="2">
                  <c:v>11.71875</c:v>
                </c:pt>
                <c:pt idx="3">
                  <c:v>5.6497175141242941</c:v>
                </c:pt>
                <c:pt idx="4">
                  <c:v>-14.218009478672986</c:v>
                </c:pt>
                <c:pt idx="5">
                  <c:v>23.423423423423422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6-41E2-9234-DF64135BF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だいち!$K$2:$K$184</c:f>
              <c:numCache>
                <c:formatCode>General</c:formatCode>
                <c:ptCount val="1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</c:numCache>
            </c:numRef>
          </c:xVal>
          <c:yVal>
            <c:numRef>
              <c:f>だいち!$L$2:$L$184</c:f>
              <c:numCache>
                <c:formatCode>\+0.0;\-0.0;\±0</c:formatCode>
                <c:ptCount val="18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1974.5000000000005</c:v>
                </c:pt>
                <c:pt idx="170">
                  <c:v>2029.1000000000004</c:v>
                </c:pt>
                <c:pt idx="171">
                  <c:v>2029.0000000000005</c:v>
                </c:pt>
                <c:pt idx="172">
                  <c:v>2041.9000000000005</c:v>
                </c:pt>
                <c:pt idx="173">
                  <c:v>2064.5000000000005</c:v>
                </c:pt>
                <c:pt idx="174">
                  <c:v>2119.1000000000004</c:v>
                </c:pt>
                <c:pt idx="175">
                  <c:v>2155.2000000000003</c:v>
                </c:pt>
                <c:pt idx="176">
                  <c:v>2128.8000000000002</c:v>
                </c:pt>
                <c:pt idx="177">
                  <c:v>2189.8000000000002</c:v>
                </c:pt>
                <c:pt idx="178">
                  <c:v>2225.2000000000003</c:v>
                </c:pt>
                <c:pt idx="179">
                  <c:v>2280.7000000000003</c:v>
                </c:pt>
                <c:pt idx="180">
                  <c:v>2314.0000000000005</c:v>
                </c:pt>
                <c:pt idx="181">
                  <c:v>2287.2000000000003</c:v>
                </c:pt>
                <c:pt idx="182">
                  <c:v>2280.5000000000005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40-4983-9944-6BC3A698B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1660.4395604395604</c:v>
                </c:pt>
                <c:pt idx="1">
                  <c:v>2377.4011299435028</c:v>
                </c:pt>
                <c:pt idx="2">
                  <c:v>588.09523809523807</c:v>
                </c:pt>
                <c:pt idx="3">
                  <c:v>2144.8717948717949</c:v>
                </c:pt>
                <c:pt idx="4">
                  <c:v>728.05755395683457</c:v>
                </c:pt>
                <c:pt idx="5">
                  <c:v>1197.5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D-42C4-8F90-1A4FEE008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りくと!$K$2:$K$153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りくと!$L$2:$L$153</c:f>
              <c:numCache>
                <c:formatCode>\+0.0;\-0.0;\±0</c:formatCode>
                <c:ptCount val="15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-400.50000000000006</c:v>
                </c:pt>
                <c:pt idx="145">
                  <c:v>-402.30000000000007</c:v>
                </c:pt>
                <c:pt idx="146">
                  <c:v>-459.10000000000008</c:v>
                </c:pt>
                <c:pt idx="147">
                  <c:v>-491.60000000000008</c:v>
                </c:pt>
                <c:pt idx="148">
                  <c:v>-504.30000000000007</c:v>
                </c:pt>
                <c:pt idx="149">
                  <c:v>-547.40000000000009</c:v>
                </c:pt>
                <c:pt idx="150">
                  <c:v>-520.90000000000009</c:v>
                </c:pt>
                <c:pt idx="151">
                  <c:v>-480.10000000000008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F6-4D88-B261-6806C78CD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464.23841059602648</c:v>
                </c:pt>
                <c:pt idx="1">
                  <c:v>-1963.013698630137</c:v>
                </c:pt>
                <c:pt idx="2">
                  <c:v>-269.28571428571428</c:v>
                </c:pt>
                <c:pt idx="3">
                  <c:v>-83.333333333333329</c:v>
                </c:pt>
                <c:pt idx="4">
                  <c:v>800.89285714285711</c:v>
                </c:pt>
                <c:pt idx="5">
                  <c:v>-486.27450980392155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86-4476-B318-AAE3A052C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ただ!$K$2:$K$130</c:f>
              <c:numCache>
                <c:formatCode>General</c:formatCode>
                <c:ptCount val="1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</c:numCache>
            </c:numRef>
          </c:xVal>
          <c:yVal>
            <c:numRef>
              <c:f>ただ!$L$2:$L$130</c:f>
              <c:numCache>
                <c:formatCode>\+0.0;\-0.0;\±0</c:formatCode>
                <c:ptCount val="12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-905.80000000000007</c:v>
                </c:pt>
                <c:pt idx="122">
                  <c:v>-877.6</c:v>
                </c:pt>
                <c:pt idx="123">
                  <c:v>-881.80000000000007</c:v>
                </c:pt>
                <c:pt idx="124">
                  <c:v>-884.7</c:v>
                </c:pt>
                <c:pt idx="125">
                  <c:v>-927.5</c:v>
                </c:pt>
                <c:pt idx="126">
                  <c:v>-917.7</c:v>
                </c:pt>
                <c:pt idx="127">
                  <c:v>-917.40000000000009</c:v>
                </c:pt>
                <c:pt idx="128">
                  <c:v>-951.50000000000011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F-4193-82BA-9D5692CA0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-1921.09375</c:v>
                </c:pt>
                <c:pt idx="1">
                  <c:v>-1605.6</c:v>
                </c:pt>
                <c:pt idx="2">
                  <c:v>1036.7521367521367</c:v>
                </c:pt>
                <c:pt idx="3">
                  <c:v>-3183.8095238095239</c:v>
                </c:pt>
                <c:pt idx="4">
                  <c:v>-427.36842105263156</c:v>
                </c:pt>
                <c:pt idx="5">
                  <c:v>-39.285714285714285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39-4478-AD94-6DD8E8D4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0-4AD1-90C3-1A959284F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-365.625</c:v>
                </c:pt>
                <c:pt idx="1">
                  <c:v>677.65957446808511</c:v>
                </c:pt>
                <c:pt idx="2">
                  <c:v>1677.6470588235295</c:v>
                </c:pt>
                <c:pt idx="3">
                  <c:v>58.666666666666664</c:v>
                </c:pt>
                <c:pt idx="4">
                  <c:v>-1990.909090909091</c:v>
                </c:pt>
                <c:pt idx="5">
                  <c:v>-369.49152542372883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8-49D0-BAE2-46EA1D33D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たかの!$L$2:$L$94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BF-47E0-90BA-C3F98A227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239.13043478260869</c:v>
                </c:pt>
                <c:pt idx="1">
                  <c:v>-1233.695652173913</c:v>
                </c:pt>
                <c:pt idx="2">
                  <c:v>-904.8780487804878</c:v>
                </c:pt>
                <c:pt idx="3">
                  <c:v>1247.4358974358975</c:v>
                </c:pt>
                <c:pt idx="4">
                  <c:v>-173.61111111111111</c:v>
                </c:pt>
                <c:pt idx="5">
                  <c:v>-175.40983606557376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E-470F-B637-18AC11636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ぱぱ!$L$2:$L$54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6-42E6-9AA9-6E4DCFC95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-2951.9230769230771</c:v>
                </c:pt>
                <c:pt idx="1">
                  <c:v>1819.2307692307693</c:v>
                </c:pt>
                <c:pt idx="2">
                  <c:v>-961.22448979591832</c:v>
                </c:pt>
                <c:pt idx="3">
                  <c:v>-4015.5555555555557</c:v>
                </c:pt>
                <c:pt idx="4">
                  <c:v>-582.5</c:v>
                </c:pt>
                <c:pt idx="5">
                  <c:v>-55.263157894736842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0-46C5-B15B-C907A9F18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0F-4576-9FFB-830FE87E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993.18181818181813</c:v>
                </c:pt>
                <c:pt idx="1">
                  <c:v>127.05882352941177</c:v>
                </c:pt>
                <c:pt idx="2">
                  <c:v>-477.9220779220779</c:v>
                </c:pt>
                <c:pt idx="3">
                  <c:v>1517.8082191780823</c:v>
                </c:pt>
                <c:pt idx="4">
                  <c:v>-1734.8484848484848</c:v>
                </c:pt>
                <c:pt idx="5">
                  <c:v>211.11111111111111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B5-4BAB-8BA1-1F2363864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04-43E7-9830-3FBE333E9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A5-4291-AF65-261F29DB2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3-41AF-A32B-A30997272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7-4501-A139-D31626EBB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ほたに!$L$2:$L$20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C7-44A5-B43C-C3A8B152C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-1616.6666666666667</c:v>
                </c:pt>
                <c:pt idx="1">
                  <c:v>2655.5555555555557</c:v>
                </c:pt>
                <c:pt idx="2">
                  <c:v>-7358.8235294117649</c:v>
                </c:pt>
                <c:pt idx="3">
                  <c:v>-1135.2941176470588</c:v>
                </c:pt>
                <c:pt idx="4">
                  <c:v>10135.714285714286</c:v>
                </c:pt>
                <c:pt idx="5">
                  <c:v>853.84615384615381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1F-4B16-A1BD-C5FE8C680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8-4BE5-9991-34274C2D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6C-433A-85A2-C31FF3723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0-4EA4-B8F3-8B39B81AF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5-4C3E-91D2-11E9DB5C7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7-48D9-A4B3-EE91EB556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-5260</c:v>
                </c:pt>
                <c:pt idx="1">
                  <c:v>-3400</c:v>
                </c:pt>
                <c:pt idx="2">
                  <c:v>150</c:v>
                </c:pt>
                <c:pt idx="3">
                  <c:v>5000</c:v>
                </c:pt>
                <c:pt idx="4">
                  <c:v>-2700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74-4AC8-B9A1-0EFD8E3CD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0000000000000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のり2!$C$3:$C$8</c:f>
              <c:numCache>
                <c:formatCode>\+0.0;\-0.0;\±0</c:formatCode>
                <c:ptCount val="6"/>
                <c:pt idx="1">
                  <c:v>-43.2</c:v>
                </c:pt>
                <c:pt idx="2">
                  <c:v>-48.25</c:v>
                </c:pt>
                <c:pt idx="3">
                  <c:v>-50.633333333333333</c:v>
                </c:pt>
                <c:pt idx="4">
                  <c:v>-33.524999999999999</c:v>
                </c:pt>
                <c:pt idx="5">
                  <c:v>-30.4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3640661938534448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のり2!$D$3:$D$8</c:f>
              <c:numCache>
                <c:formatCode>0.00\ "位"</c:formatCode>
                <c:ptCount val="6"/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2.75</c:v>
                </c:pt>
                <c:pt idx="5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のり2!$F$3:$F$8</c:f>
              <c:numCache>
                <c:formatCode>0.0%</c:formatCode>
                <c:ptCount val="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のり2!$G$3:$G$8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0.19047619047619047</c:v>
                </c:pt>
                <c:pt idx="3">
                  <c:v>0.16</c:v>
                </c:pt>
                <c:pt idx="4">
                  <c:v>0.2</c:v>
                </c:pt>
                <c:pt idx="5">
                  <c:v>0.24444444444444444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703149494085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0.23809523809523808</c:v>
                </c:pt>
                <c:pt idx="3">
                  <c:v>0.28000000000000003</c:v>
                </c:pt>
                <c:pt idx="4">
                  <c:v>0.22857142857142856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7801054581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のり2!$I$3:$I$8</c:f>
              <c:numCache>
                <c:formatCode>0</c:formatCode>
                <c:ptCount val="6"/>
                <c:pt idx="1">
                  <c:v>3900</c:v>
                </c:pt>
                <c:pt idx="2">
                  <c:v>4475</c:v>
                </c:pt>
                <c:pt idx="3">
                  <c:v>4475</c:v>
                </c:pt>
                <c:pt idx="4">
                  <c:v>5157.1428571428569</c:v>
                </c:pt>
                <c:pt idx="5">
                  <c:v>6727.272727272727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43.65458015267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のり2!$J$3:$J$8</c:f>
              <c:numCache>
                <c:formatCode>0</c:formatCode>
                <c:ptCount val="6"/>
                <c:pt idx="1">
                  <c:v>-3200</c:v>
                </c:pt>
                <c:pt idx="2">
                  <c:v>-6140</c:v>
                </c:pt>
                <c:pt idx="3">
                  <c:v>-6514.2857142857147</c:v>
                </c:pt>
                <c:pt idx="4">
                  <c:v>-6187.5</c:v>
                </c:pt>
                <c:pt idx="5">
                  <c:v>-6077.7777777777774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07.8098471986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113475177304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のり2!$L$3:$L$8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113475177304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のり2!$M$3:$M$8</c:f>
              <c:numCache>
                <c:formatCode>0.0%</c:formatCode>
                <c:ptCount val="6"/>
                <c:pt idx="1">
                  <c:v>0</c:v>
                </c:pt>
                <c:pt idx="2">
                  <c:v>4.7619047619047616E-2</c:v>
                </c:pt>
                <c:pt idx="3">
                  <c:v>0.04</c:v>
                </c:pt>
                <c:pt idx="4">
                  <c:v>5.7142857142857141E-2</c:v>
                </c:pt>
                <c:pt idx="5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2766139375801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のり2!$N$3:$N$8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0.47619047619047616</c:v>
                </c:pt>
                <c:pt idx="3">
                  <c:v>0.48</c:v>
                </c:pt>
                <c:pt idx="4">
                  <c:v>0.4</c:v>
                </c:pt>
                <c:pt idx="5">
                  <c:v>0.35555555555555557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773834972210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のり2!$O$3:$O$8</c:f>
              <c:numCache>
                <c:formatCode>0.0%</c:formatCode>
                <c:ptCount val="6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9414838035527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のり2!$P$3:$P$8</c:f>
              <c:numCache>
                <c:formatCode>0.0%</c:formatCode>
                <c:ptCount val="6"/>
                <c:pt idx="1">
                  <c:v>0.5</c:v>
                </c:pt>
                <c:pt idx="2">
                  <c:v>0.2</c:v>
                </c:pt>
                <c:pt idx="3">
                  <c:v>0.16666666666666666</c:v>
                </c:pt>
                <c:pt idx="4">
                  <c:v>0.21428571428571427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8242055442866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のり2!$Q$3:$Q$8</c:f>
              <c:numCache>
                <c:formatCode>0.0%</c:formatCode>
                <c:ptCount val="6"/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0.42857142857142855</c:v>
                </c:pt>
                <c:pt idx="5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9866412213740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E6018F-3C82-40D0-AD76-1069644A6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000145-402B-47BB-B63C-6EB7D2EF8B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0583A3-EAC3-4350-9AB9-2EF61DC3B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363AA0-C5EE-4342-90C4-CB1B2F5BA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57A8B3-A88C-4D99-AEF7-E2211A915A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F20EC4-0BC2-4908-8BE2-78BAE231D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DC484D-E810-42E6-991C-52C866B82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4DFEC0-FC34-4D02-A5DA-1C869A8177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546331-AB16-44E2-937C-9247ACC3C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E12672-1B18-4409-9C57-6B49E0D3C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905AB4-BEBC-4AF7-98F6-846DABC59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84D5F7-9AB3-41AB-B48C-D02CE05AD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69B244-80E0-400F-BC11-95E3BCCB8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519F1C-CCAD-4D75-807E-1A6FA347A0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B06D184-6B7C-4B40-84D2-9E24BADE3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7F7950-E63E-4F4C-81A1-6D85BF1D9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5CEBA1-2C48-47BD-8BF3-119956B09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E8F5E72-B940-4A60-A782-399EB1B5B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D9B59B-56C8-47E5-9D08-BA9E08CF6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DF2329-B9D3-4E54-A1F6-5709BE5C96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DC14E4-3464-4B20-8D5C-D940459EA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D4C096-318C-42EA-A865-0CCA154155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7872D4-D6B2-4191-9014-86D97DD6D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4A89BA-6227-49FA-9DB3-2AB13A44D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CB9ED9-ECA8-4061-BFFE-F3173CD40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080EAC-7892-4A50-BC94-79C9E797D1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217220-07FC-4DFE-9457-5BD1BEDB90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E33AA56-D47E-4F4D-869B-7BB9CCFDF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8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0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0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0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0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0" x14ac:dyDescent="0.4">
      <c r="A85" s="30" t="s">
        <v>276</v>
      </c>
      <c r="B85" s="31">
        <v>43660.536006944443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0" x14ac:dyDescent="0.4">
      <c r="A86" s="30" t="s">
        <v>277</v>
      </c>
      <c r="B86" s="31">
        <v>43660.536006944443</v>
      </c>
      <c r="C86" s="30" t="s">
        <v>130</v>
      </c>
    </row>
    <row r="87" spans="1:10" x14ac:dyDescent="0.4">
      <c r="A87" s="30" t="s">
        <v>278</v>
      </c>
      <c r="B87" s="31">
        <v>43660.713645833333</v>
      </c>
      <c r="C87" s="30" t="s">
        <v>130</v>
      </c>
      <c r="D87" s="30" t="s">
        <v>131</v>
      </c>
      <c r="E87" s="30" t="s">
        <v>169</v>
      </c>
      <c r="F87" s="30" t="s">
        <v>174</v>
      </c>
      <c r="G87" s="30" t="s">
        <v>175</v>
      </c>
      <c r="H87" s="30" t="s">
        <v>185</v>
      </c>
      <c r="I87" s="30" t="s">
        <v>186</v>
      </c>
      <c r="J87" s="30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846</v>
      </c>
    </row>
    <row r="2" spans="1:2" x14ac:dyDescent="0.4">
      <c r="A2" t="s">
        <v>127</v>
      </c>
      <c r="B2">
        <v>182</v>
      </c>
    </row>
    <row r="3" spans="1:2" x14ac:dyDescent="0.4">
      <c r="A3" t="s">
        <v>128</v>
      </c>
      <c r="B3">
        <v>151</v>
      </c>
    </row>
    <row r="4" spans="1:2" x14ac:dyDescent="0.4">
      <c r="A4" t="s">
        <v>129</v>
      </c>
      <c r="B4">
        <v>128</v>
      </c>
    </row>
    <row r="5" spans="1:2" x14ac:dyDescent="0.4">
      <c r="A5" t="s">
        <v>171</v>
      </c>
      <c r="B5">
        <v>96</v>
      </c>
    </row>
    <row r="6" spans="1:2" x14ac:dyDescent="0.4">
      <c r="A6" t="s">
        <v>172</v>
      </c>
      <c r="B6">
        <v>92</v>
      </c>
    </row>
    <row r="7" spans="1:2" x14ac:dyDescent="0.4">
      <c r="A7" t="s">
        <v>173</v>
      </c>
      <c r="B7">
        <v>52</v>
      </c>
    </row>
    <row r="8" spans="1:2" x14ac:dyDescent="0.4">
      <c r="A8" t="s">
        <v>177</v>
      </c>
      <c r="B8">
        <v>88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18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0.96898749858980071</v>
      </c>
      <c r="G2" s="163"/>
      <c r="H2" s="162">
        <v>0.66060314047277802</v>
      </c>
      <c r="I2" s="163"/>
      <c r="J2" s="162">
        <v>0.88240566092077599</v>
      </c>
      <c r="K2" s="163"/>
      <c r="L2" s="162">
        <v>0.67574799259316864</v>
      </c>
      <c r="M2" s="163"/>
      <c r="N2" s="162">
        <v>0.7239016480216216</v>
      </c>
      <c r="O2" s="163"/>
      <c r="P2" s="162">
        <v>0.2886550094533365</v>
      </c>
      <c r="Q2" s="163"/>
      <c r="R2" s="162">
        <v>0.5105531493151253</v>
      </c>
      <c r="S2" s="163"/>
      <c r="T2" s="162">
        <v>0.66490136232978814</v>
      </c>
      <c r="U2" s="163"/>
      <c r="V2" s="162">
        <v>0.56339465637790709</v>
      </c>
      <c r="W2" s="163"/>
      <c r="X2" s="162">
        <v>0.50893830989240507</v>
      </c>
      <c r="Y2" s="163"/>
      <c r="Z2" s="162">
        <v>2.9961647115618689E-2</v>
      </c>
      <c r="AA2" s="163"/>
      <c r="AB2" s="162">
        <v>-0.22033020391570171</v>
      </c>
      <c r="AC2" s="163"/>
      <c r="AD2" s="162">
        <v>0.76148289790992196</v>
      </c>
      <c r="AE2" s="163"/>
      <c r="AF2" s="162">
        <v>-9.6805624815872182E-2</v>
      </c>
      <c r="AG2" s="163"/>
      <c r="AH2" s="162">
        <v>0.5820428001798249</v>
      </c>
      <c r="AI2" s="163"/>
    </row>
    <row r="3" spans="1:35" x14ac:dyDescent="0.4">
      <c r="A3" s="74">
        <v>1</v>
      </c>
      <c r="B3" s="75" t="s">
        <v>127</v>
      </c>
      <c r="C3" s="76">
        <v>2280.5000000000005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0.30764075067024127</v>
      </c>
      <c r="Z3" s="77" t="s">
        <v>223</v>
      </c>
      <c r="AA3" s="80">
        <v>0.36956521739130432</v>
      </c>
      <c r="AB3" s="77" t="s">
        <v>271</v>
      </c>
      <c r="AC3" s="80">
        <v>0.83333333333333337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1.7582417582417582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172</v>
      </c>
      <c r="M4" s="88">
        <v>0.34326424870466321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-6077.7777777777774</v>
      </c>
      <c r="T4" s="85" t="s">
        <v>222</v>
      </c>
      <c r="U4" s="87">
        <v>0</v>
      </c>
      <c r="V4" s="85" t="s">
        <v>127</v>
      </c>
      <c r="W4" s="87">
        <v>0.17032967032967034</v>
      </c>
      <c r="X4" s="85" t="s">
        <v>128</v>
      </c>
      <c r="Y4" s="88">
        <v>0.3017799352750809</v>
      </c>
      <c r="Z4" s="85" t="s">
        <v>271</v>
      </c>
      <c r="AA4" s="88">
        <v>0.35555555555555557</v>
      </c>
      <c r="AB4" s="85" t="s">
        <v>223</v>
      </c>
      <c r="AC4" s="88">
        <v>0.7142857142857143</v>
      </c>
      <c r="AD4" s="85" t="s">
        <v>127</v>
      </c>
      <c r="AE4" s="88">
        <v>0.52229299363057324</v>
      </c>
      <c r="AF4" s="85" t="s">
        <v>200</v>
      </c>
      <c r="AG4" s="88">
        <v>0.6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0.47802197802197804</v>
      </c>
      <c r="J5" s="85" t="s">
        <v>200</v>
      </c>
      <c r="K5" s="87">
        <v>0.22222222222222221</v>
      </c>
      <c r="L5" s="85" t="s">
        <v>127</v>
      </c>
      <c r="M5" s="88">
        <v>0.33914209115281502</v>
      </c>
      <c r="N5" s="85" t="s">
        <v>223</v>
      </c>
      <c r="O5" s="88">
        <v>0.13043478260869565</v>
      </c>
      <c r="P5" s="85" t="s">
        <v>171</v>
      </c>
      <c r="Q5" s="89">
        <v>9990.7488986784138</v>
      </c>
      <c r="R5" s="85" t="s">
        <v>177</v>
      </c>
      <c r="S5" s="89">
        <v>-7214.6788990825689</v>
      </c>
      <c r="T5" s="85" t="s">
        <v>223</v>
      </c>
      <c r="U5" s="87">
        <v>0</v>
      </c>
      <c r="V5" s="85" t="s">
        <v>171</v>
      </c>
      <c r="W5" s="87">
        <v>0.14583333333333334</v>
      </c>
      <c r="X5" s="85" t="s">
        <v>171</v>
      </c>
      <c r="Y5" s="88">
        <v>0.2908863920099875</v>
      </c>
      <c r="Z5" s="85" t="s">
        <v>200</v>
      </c>
      <c r="AA5" s="88">
        <v>0.31707317073170732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0.50387596899224807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45.399999999999991</v>
      </c>
      <c r="D6" s="85" t="s">
        <v>127</v>
      </c>
      <c r="E6" s="97">
        <v>12.530219780219783</v>
      </c>
      <c r="F6" s="85" t="s">
        <v>200</v>
      </c>
      <c r="G6" s="86">
        <v>1.8888888888888888</v>
      </c>
      <c r="H6" s="85" t="s">
        <v>184</v>
      </c>
      <c r="I6" s="87">
        <v>0.33333333333333331</v>
      </c>
      <c r="J6" s="85" t="s">
        <v>127</v>
      </c>
      <c r="K6" s="87">
        <v>0.23626373626373626</v>
      </c>
      <c r="L6" s="85" t="s">
        <v>200</v>
      </c>
      <c r="M6" s="88">
        <v>0.33536585365853661</v>
      </c>
      <c r="N6" s="85" t="s">
        <v>172</v>
      </c>
      <c r="O6" s="88">
        <v>0.14119170984455959</v>
      </c>
      <c r="P6" s="85" t="s">
        <v>127</v>
      </c>
      <c r="Q6" s="89">
        <v>9288.9328063241101</v>
      </c>
      <c r="R6" s="85" t="s">
        <v>128</v>
      </c>
      <c r="S6" s="89">
        <v>-7599.1111111111113</v>
      </c>
      <c r="T6" s="85" t="s">
        <v>172</v>
      </c>
      <c r="U6" s="87">
        <v>5.434782608695652E-2</v>
      </c>
      <c r="V6" s="85" t="s">
        <v>177</v>
      </c>
      <c r="W6" s="87">
        <v>0.125</v>
      </c>
      <c r="X6" s="85" t="s">
        <v>177</v>
      </c>
      <c r="Y6" s="88">
        <v>0.28294036061026351</v>
      </c>
      <c r="Z6" s="85" t="s">
        <v>172</v>
      </c>
      <c r="AA6" s="88">
        <v>0.28756476683937826</v>
      </c>
      <c r="AB6" s="85" t="s">
        <v>200</v>
      </c>
      <c r="AC6" s="88">
        <v>0.63157894736842102</v>
      </c>
      <c r="AD6" s="85" t="s">
        <v>172</v>
      </c>
      <c r="AE6" s="88">
        <v>0.42792792792792794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200</v>
      </c>
      <c r="E7" s="97">
        <v>2.5222222222222217</v>
      </c>
      <c r="F7" s="85" t="s">
        <v>145</v>
      </c>
      <c r="G7" s="86">
        <v>2</v>
      </c>
      <c r="H7" s="85" t="s">
        <v>200</v>
      </c>
      <c r="I7" s="87">
        <v>0.33333333333333331</v>
      </c>
      <c r="J7" s="85" t="s">
        <v>172</v>
      </c>
      <c r="K7" s="87">
        <v>0.29347826086956524</v>
      </c>
      <c r="L7" s="85" t="s">
        <v>145</v>
      </c>
      <c r="M7" s="88">
        <v>0.29870314949408577</v>
      </c>
      <c r="N7" s="85" t="s">
        <v>177</v>
      </c>
      <c r="O7" s="88">
        <v>0.15117891816920942</v>
      </c>
      <c r="P7" s="85" t="s">
        <v>128</v>
      </c>
      <c r="Q7" s="89">
        <v>9042.2287390029323</v>
      </c>
      <c r="R7" s="85" t="s">
        <v>127</v>
      </c>
      <c r="S7" s="89">
        <v>-8112.8318584070794</v>
      </c>
      <c r="T7" s="85" t="s">
        <v>127</v>
      </c>
      <c r="U7" s="87">
        <v>8.7912087912087919E-2</v>
      </c>
      <c r="V7" s="85" t="s">
        <v>145</v>
      </c>
      <c r="W7" s="87">
        <v>0.12411347517730496</v>
      </c>
      <c r="X7" s="85" t="s">
        <v>145</v>
      </c>
      <c r="Y7" s="88">
        <v>0.27276613937580163</v>
      </c>
      <c r="Z7" s="85" t="s">
        <v>184</v>
      </c>
      <c r="AA7" s="88">
        <v>0.24861878453038674</v>
      </c>
      <c r="AB7" s="85" t="s">
        <v>177</v>
      </c>
      <c r="AC7" s="88">
        <v>0.6029411764705882</v>
      </c>
      <c r="AD7" s="85" t="s">
        <v>200</v>
      </c>
      <c r="AE7" s="88">
        <v>0.42307692307692307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145</v>
      </c>
      <c r="C8" s="84">
        <v>-2.0000000000000142</v>
      </c>
      <c r="D8" s="85" t="s">
        <v>145</v>
      </c>
      <c r="E8" s="97">
        <v>-2.3640661938534448E-3</v>
      </c>
      <c r="F8" s="85" t="s">
        <v>222</v>
      </c>
      <c r="G8" s="86">
        <v>2</v>
      </c>
      <c r="H8" s="85" t="s">
        <v>145</v>
      </c>
      <c r="I8" s="87">
        <v>0.33333333333333331</v>
      </c>
      <c r="J8" s="85" t="s">
        <v>145</v>
      </c>
      <c r="K8" s="87">
        <v>0.33333333333333331</v>
      </c>
      <c r="L8" s="85" t="s">
        <v>173</v>
      </c>
      <c r="M8" s="88">
        <v>0.28666666666666668</v>
      </c>
      <c r="N8" s="85" t="s">
        <v>127</v>
      </c>
      <c r="O8" s="88">
        <v>0.15147453083109919</v>
      </c>
      <c r="P8" s="85" t="s">
        <v>177</v>
      </c>
      <c r="Q8" s="89">
        <v>8845.6852791878173</v>
      </c>
      <c r="R8" s="85" t="s">
        <v>145</v>
      </c>
      <c r="S8" s="89">
        <v>-8207.8098471986414</v>
      </c>
      <c r="T8" s="85" t="s">
        <v>171</v>
      </c>
      <c r="U8" s="87">
        <v>0.11458333333333333</v>
      </c>
      <c r="V8" s="85" t="s">
        <v>129</v>
      </c>
      <c r="W8" s="87">
        <v>0.1171875</v>
      </c>
      <c r="X8" s="85" t="s">
        <v>183</v>
      </c>
      <c r="Y8" s="88">
        <v>0.26315789473684209</v>
      </c>
      <c r="Z8" s="85" t="s">
        <v>173</v>
      </c>
      <c r="AA8" s="88">
        <v>0.24</v>
      </c>
      <c r="AB8" s="85" t="s">
        <v>183</v>
      </c>
      <c r="AC8" s="88">
        <v>0.6</v>
      </c>
      <c r="AD8" s="85" t="s">
        <v>171</v>
      </c>
      <c r="AE8" s="88">
        <v>0.41025641025641024</v>
      </c>
      <c r="AF8" s="85" t="s">
        <v>128</v>
      </c>
      <c r="AG8" s="88">
        <v>0.43401759530791789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171</v>
      </c>
      <c r="C9" s="84">
        <v>-48.599999999999987</v>
      </c>
      <c r="D9" s="85" t="s">
        <v>171</v>
      </c>
      <c r="E9" s="97">
        <v>-0.50624999999999987</v>
      </c>
      <c r="F9" s="85" t="s">
        <v>177</v>
      </c>
      <c r="G9" s="86">
        <v>2.0113636363636362</v>
      </c>
      <c r="H9" s="85" t="s">
        <v>177</v>
      </c>
      <c r="I9" s="87">
        <v>0.32954545454545453</v>
      </c>
      <c r="J9" s="85" t="s">
        <v>223</v>
      </c>
      <c r="K9" s="87">
        <v>0.33333333333333331</v>
      </c>
      <c r="L9" s="85" t="s">
        <v>171</v>
      </c>
      <c r="M9" s="88">
        <v>0.28339575530586769</v>
      </c>
      <c r="N9" s="85" t="s">
        <v>145</v>
      </c>
      <c r="O9" s="88">
        <v>0.1678780105458173</v>
      </c>
      <c r="P9" s="85" t="s">
        <v>145</v>
      </c>
      <c r="Q9" s="89">
        <v>8743.6545801526718</v>
      </c>
      <c r="R9" s="85" t="s">
        <v>173</v>
      </c>
      <c r="S9" s="89">
        <v>-8271.9512195121952</v>
      </c>
      <c r="T9" s="85" t="s">
        <v>145</v>
      </c>
      <c r="U9" s="87">
        <v>0.12411347517730496</v>
      </c>
      <c r="V9" s="85" t="s">
        <v>172</v>
      </c>
      <c r="W9" s="87">
        <v>0.10869565217391304</v>
      </c>
      <c r="X9" s="85" t="s">
        <v>129</v>
      </c>
      <c r="Y9" s="88">
        <v>0.25812441968430827</v>
      </c>
      <c r="Z9" s="85" t="s">
        <v>145</v>
      </c>
      <c r="AA9" s="88">
        <v>0.21077383497221033</v>
      </c>
      <c r="AB9" s="85" t="s">
        <v>128</v>
      </c>
      <c r="AC9" s="88">
        <v>0.58445040214477206</v>
      </c>
      <c r="AD9" s="85" t="s">
        <v>145</v>
      </c>
      <c r="AE9" s="88">
        <v>0.39824205544286678</v>
      </c>
      <c r="AF9" s="85" t="s">
        <v>145</v>
      </c>
      <c r="AG9" s="88">
        <v>0.42986641221374045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177</v>
      </c>
      <c r="C10" s="84">
        <v>-51.800000000000068</v>
      </c>
      <c r="D10" s="85" t="s">
        <v>177</v>
      </c>
      <c r="E10" s="97">
        <v>-0.5886363636363644</v>
      </c>
      <c r="F10" s="85" t="s">
        <v>172</v>
      </c>
      <c r="G10" s="86">
        <v>2.0434782608695654</v>
      </c>
      <c r="H10" s="85" t="s">
        <v>129</v>
      </c>
      <c r="I10" s="87">
        <v>0.3046875</v>
      </c>
      <c r="J10" s="85" t="s">
        <v>177</v>
      </c>
      <c r="K10" s="87">
        <v>0.34090909090909088</v>
      </c>
      <c r="L10" s="85" t="s">
        <v>184</v>
      </c>
      <c r="M10" s="88">
        <v>0.27624309392265195</v>
      </c>
      <c r="N10" s="85" t="s">
        <v>200</v>
      </c>
      <c r="O10" s="88">
        <v>0.17073170731707318</v>
      </c>
      <c r="P10" s="85" t="s">
        <v>129</v>
      </c>
      <c r="Q10" s="89">
        <v>8695.5479452054788</v>
      </c>
      <c r="R10" s="85" t="s">
        <v>200</v>
      </c>
      <c r="S10" s="89">
        <v>-8367.8571428571431</v>
      </c>
      <c r="T10" s="85" t="s">
        <v>128</v>
      </c>
      <c r="U10" s="87">
        <v>0.13245033112582782</v>
      </c>
      <c r="V10" s="85" t="s">
        <v>128</v>
      </c>
      <c r="W10" s="87">
        <v>9.9337748344370855E-2</v>
      </c>
      <c r="X10" s="85" t="s">
        <v>184</v>
      </c>
      <c r="Y10" s="88">
        <v>0.23204419889502761</v>
      </c>
      <c r="Z10" s="85" t="s">
        <v>183</v>
      </c>
      <c r="AA10" s="88">
        <v>0.21052631578947367</v>
      </c>
      <c r="AB10" s="85" t="s">
        <v>127</v>
      </c>
      <c r="AC10" s="88">
        <v>0.579520697167756</v>
      </c>
      <c r="AD10" s="85" t="s">
        <v>184</v>
      </c>
      <c r="AE10" s="88">
        <v>0.37777777777777777</v>
      </c>
      <c r="AF10" s="85" t="s">
        <v>177</v>
      </c>
      <c r="AG10" s="88">
        <v>0.42131979695431471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-120.50000000000006</v>
      </c>
      <c r="D11" s="85" t="s">
        <v>172</v>
      </c>
      <c r="E11" s="97">
        <v>-1.3097826086956528</v>
      </c>
      <c r="F11" s="85" t="s">
        <v>171</v>
      </c>
      <c r="G11" s="86">
        <v>2.0520833333333335</v>
      </c>
      <c r="H11" s="85" t="s">
        <v>171</v>
      </c>
      <c r="I11" s="87">
        <v>0.30208333333333331</v>
      </c>
      <c r="J11" s="85" t="s">
        <v>128</v>
      </c>
      <c r="K11" s="87">
        <v>0.35099337748344372</v>
      </c>
      <c r="L11" s="85" t="s">
        <v>128</v>
      </c>
      <c r="M11" s="88">
        <v>0.27588996763754048</v>
      </c>
      <c r="N11" s="85" t="s">
        <v>171</v>
      </c>
      <c r="O11" s="88">
        <v>0.17852684144818975</v>
      </c>
      <c r="P11" s="85" t="s">
        <v>184</v>
      </c>
      <c r="Q11" s="89">
        <v>8434</v>
      </c>
      <c r="R11" s="85" t="s">
        <v>172</v>
      </c>
      <c r="S11" s="89">
        <v>-8425.6880733944963</v>
      </c>
      <c r="T11" s="85" t="s">
        <v>177</v>
      </c>
      <c r="U11" s="87">
        <v>0.14772727272727273</v>
      </c>
      <c r="V11" s="85" t="s">
        <v>184</v>
      </c>
      <c r="W11" s="87">
        <v>8.3333333333333329E-2</v>
      </c>
      <c r="X11" s="85" t="s">
        <v>200</v>
      </c>
      <c r="Y11" s="88">
        <v>0.23170731707317074</v>
      </c>
      <c r="Z11" s="85" t="s">
        <v>127</v>
      </c>
      <c r="AA11" s="88">
        <v>0.21045576407506703</v>
      </c>
      <c r="AB11" s="85" t="s">
        <v>145</v>
      </c>
      <c r="AC11" s="88">
        <v>0.57941483803552774</v>
      </c>
      <c r="AD11" s="85" t="s">
        <v>173</v>
      </c>
      <c r="AE11" s="88">
        <v>0.33333333333333331</v>
      </c>
      <c r="AF11" s="85" t="s">
        <v>129</v>
      </c>
      <c r="AG11" s="88">
        <v>0.42123287671232879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-152</v>
      </c>
      <c r="D12" s="85" t="s">
        <v>128</v>
      </c>
      <c r="E12" s="97">
        <v>-3.1794701986754972</v>
      </c>
      <c r="F12" s="85" t="s">
        <v>128</v>
      </c>
      <c r="G12" s="86">
        <v>2.0794701986754967</v>
      </c>
      <c r="H12" s="85" t="s">
        <v>173</v>
      </c>
      <c r="I12" s="87">
        <v>0.28846153846153844</v>
      </c>
      <c r="J12" s="85" t="s">
        <v>171</v>
      </c>
      <c r="K12" s="87">
        <v>0.35416666666666669</v>
      </c>
      <c r="L12" s="85" t="s">
        <v>177</v>
      </c>
      <c r="M12" s="88">
        <v>0.27323162274618584</v>
      </c>
      <c r="N12" s="85" t="s">
        <v>128</v>
      </c>
      <c r="O12" s="88">
        <v>0.18203883495145631</v>
      </c>
      <c r="P12" s="85" t="s">
        <v>200</v>
      </c>
      <c r="Q12" s="89">
        <v>8063.636363636364</v>
      </c>
      <c r="R12" s="85" t="s">
        <v>171</v>
      </c>
      <c r="S12" s="89">
        <v>-8548.9510489510485</v>
      </c>
      <c r="T12" s="85" t="s">
        <v>173</v>
      </c>
      <c r="U12" s="87">
        <v>0.15384615384615385</v>
      </c>
      <c r="V12" s="85" t="s">
        <v>173</v>
      </c>
      <c r="W12" s="87">
        <v>7.6923076923076927E-2</v>
      </c>
      <c r="X12" s="85" t="s">
        <v>222</v>
      </c>
      <c r="Y12" s="88">
        <v>0.23076923076923078</v>
      </c>
      <c r="Z12" s="85" t="s">
        <v>171</v>
      </c>
      <c r="AA12" s="88">
        <v>0.19475655430711611</v>
      </c>
      <c r="AB12" s="85" t="s">
        <v>171</v>
      </c>
      <c r="AC12" s="88">
        <v>0.5622317596566524</v>
      </c>
      <c r="AD12" s="85" t="s">
        <v>177</v>
      </c>
      <c r="AE12" s="88">
        <v>0.33333333333333331</v>
      </c>
      <c r="AF12" s="85" t="s">
        <v>127</v>
      </c>
      <c r="AG12" s="88">
        <v>0.4189723320158103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129</v>
      </c>
      <c r="E13" s="97">
        <v>-7.4335937500000009</v>
      </c>
      <c r="F13" s="85" t="s">
        <v>129</v>
      </c>
      <c r="G13" s="86">
        <v>2.1015625</v>
      </c>
      <c r="H13" s="85" t="s">
        <v>128</v>
      </c>
      <c r="I13" s="87">
        <v>0.27152317880794702</v>
      </c>
      <c r="J13" s="85" t="s">
        <v>173</v>
      </c>
      <c r="K13" s="87">
        <v>0.40384615384615385</v>
      </c>
      <c r="L13" s="85" t="s">
        <v>129</v>
      </c>
      <c r="M13" s="88">
        <v>0.27112349117920148</v>
      </c>
      <c r="N13" s="85" t="s">
        <v>173</v>
      </c>
      <c r="O13" s="88">
        <v>0.18222222222222223</v>
      </c>
      <c r="P13" s="85" t="s">
        <v>183</v>
      </c>
      <c r="Q13" s="89">
        <v>7860</v>
      </c>
      <c r="R13" s="85" t="s">
        <v>129</v>
      </c>
      <c r="S13" s="89">
        <v>-8832.9949238578683</v>
      </c>
      <c r="T13" s="85" t="s">
        <v>129</v>
      </c>
      <c r="U13" s="87">
        <v>0.1640625</v>
      </c>
      <c r="V13" s="85" t="s">
        <v>200</v>
      </c>
      <c r="W13" s="87">
        <v>5.5555555555555552E-2</v>
      </c>
      <c r="X13" s="85" t="s">
        <v>173</v>
      </c>
      <c r="Y13" s="88">
        <v>0.22666666666666666</v>
      </c>
      <c r="Z13" s="85" t="s">
        <v>129</v>
      </c>
      <c r="AA13" s="88">
        <v>0.18384401114206128</v>
      </c>
      <c r="AB13" s="85" t="s">
        <v>129</v>
      </c>
      <c r="AC13" s="88">
        <v>0.5611510791366906</v>
      </c>
      <c r="AD13" s="85" t="s">
        <v>129</v>
      </c>
      <c r="AE13" s="88">
        <v>0.32323232323232326</v>
      </c>
      <c r="AF13" s="85" t="s">
        <v>171</v>
      </c>
      <c r="AG13" s="88">
        <v>0.40528634361233479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-397.6</v>
      </c>
      <c r="D14" s="85" t="s">
        <v>173</v>
      </c>
      <c r="E14" s="97">
        <v>-7.6461538461538465</v>
      </c>
      <c r="F14" s="85" t="s">
        <v>173</v>
      </c>
      <c r="G14" s="86">
        <v>2.1153846153846154</v>
      </c>
      <c r="H14" s="85" t="s">
        <v>172</v>
      </c>
      <c r="I14" s="87">
        <v>0.25</v>
      </c>
      <c r="J14" s="85" t="s">
        <v>129</v>
      </c>
      <c r="K14" s="87">
        <v>0.40625</v>
      </c>
      <c r="L14" s="85" t="s">
        <v>183</v>
      </c>
      <c r="M14" s="88">
        <v>0.26315789473684209</v>
      </c>
      <c r="N14" s="85" t="s">
        <v>129</v>
      </c>
      <c r="O14" s="88">
        <v>0.1829155060352832</v>
      </c>
      <c r="P14" s="85" t="s">
        <v>173</v>
      </c>
      <c r="Q14" s="89">
        <v>7534.1085271317834</v>
      </c>
      <c r="R14" s="85" t="s">
        <v>184</v>
      </c>
      <c r="S14" s="89">
        <v>-9878.0487804878048</v>
      </c>
      <c r="T14" s="85" t="s">
        <v>200</v>
      </c>
      <c r="U14" s="87">
        <v>0.16666666666666666</v>
      </c>
      <c r="V14" s="85" t="s">
        <v>183</v>
      </c>
      <c r="W14" s="87">
        <v>0</v>
      </c>
      <c r="X14" s="85" t="s">
        <v>172</v>
      </c>
      <c r="Y14" s="88">
        <v>0.21243523316062177</v>
      </c>
      <c r="Z14" s="85" t="s">
        <v>177</v>
      </c>
      <c r="AA14" s="88">
        <v>0.17891816920943135</v>
      </c>
      <c r="AB14" s="85" t="s">
        <v>172</v>
      </c>
      <c r="AC14" s="88">
        <v>0.56097560975609762</v>
      </c>
      <c r="AD14" s="85" t="s">
        <v>128</v>
      </c>
      <c r="AE14" s="88">
        <v>0.31797235023041476</v>
      </c>
      <c r="AF14" s="85" t="s">
        <v>172</v>
      </c>
      <c r="AG14" s="88">
        <v>0.39622641509433965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-480.10000000000008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0.24444444444444444</v>
      </c>
      <c r="N15" s="85" t="s">
        <v>271</v>
      </c>
      <c r="O15" s="88">
        <v>0.2</v>
      </c>
      <c r="P15" s="85" t="s">
        <v>172</v>
      </c>
      <c r="Q15" s="89">
        <v>6872.4528301886794</v>
      </c>
      <c r="R15" s="85" t="s">
        <v>223</v>
      </c>
      <c r="S15" s="89">
        <v>-10583.333333333334</v>
      </c>
      <c r="T15" s="85" t="s">
        <v>271</v>
      </c>
      <c r="U15" s="87">
        <v>0.2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128</v>
      </c>
      <c r="AA15" s="88">
        <v>0.17556634304207119</v>
      </c>
      <c r="AB15" s="85" t="s">
        <v>173</v>
      </c>
      <c r="AC15" s="88">
        <v>0.55882352941176472</v>
      </c>
      <c r="AD15" s="85" t="s">
        <v>271</v>
      </c>
      <c r="AE15" s="88">
        <v>0.25</v>
      </c>
      <c r="AF15" s="85" t="s">
        <v>271</v>
      </c>
      <c r="AG15" s="88">
        <v>0.36363636363636365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-951.50000000000011</v>
      </c>
      <c r="D16" s="85" t="s">
        <v>271</v>
      </c>
      <c r="E16" s="97">
        <v>-30.4</v>
      </c>
      <c r="F16" s="85" t="s">
        <v>271</v>
      </c>
      <c r="G16" s="86">
        <v>2.6</v>
      </c>
      <c r="H16" s="85" t="s">
        <v>271</v>
      </c>
      <c r="I16" s="87">
        <v>0</v>
      </c>
      <c r="J16" s="85" t="s">
        <v>271</v>
      </c>
      <c r="K16" s="87">
        <v>0.6</v>
      </c>
      <c r="L16" s="85" t="s">
        <v>222</v>
      </c>
      <c r="M16" s="88">
        <v>0.15384615384615385</v>
      </c>
      <c r="N16" s="85" t="s">
        <v>184</v>
      </c>
      <c r="O16" s="88">
        <v>0.22651933701657459</v>
      </c>
      <c r="P16" s="85" t="s">
        <v>271</v>
      </c>
      <c r="Q16" s="89">
        <v>6727.272727272727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271</v>
      </c>
      <c r="Y16" s="88">
        <v>0.13333333333333333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1173-4E31-4F8B-96EF-C1C131330B6C}">
  <sheetPr codeName="Sheet4"/>
  <dimension ref="A1:Q84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846</v>
      </c>
      <c r="C2" s="151"/>
      <c r="E2" s="62" t="s">
        <v>67</v>
      </c>
      <c r="F2" s="59" t="s">
        <v>23</v>
      </c>
      <c r="G2" s="46">
        <v>1539</v>
      </c>
      <c r="H2" s="132">
        <f>IF(B$17=0,0,G2/B$17)</f>
        <v>0.7342557251908397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-16.548463356973997</v>
      </c>
      <c r="P2" s="118">
        <v>846</v>
      </c>
      <c r="Q2" s="102">
        <v>-14000</v>
      </c>
    </row>
    <row r="3" spans="1:17" x14ac:dyDescent="0.4">
      <c r="A3" s="55" t="s">
        <v>8</v>
      </c>
      <c r="B3" s="152">
        <v>7017</v>
      </c>
      <c r="C3" s="153"/>
      <c r="E3" s="63" t="s">
        <v>73</v>
      </c>
      <c r="F3" s="60" t="s">
        <v>28</v>
      </c>
      <c r="G3" s="47">
        <v>1084</v>
      </c>
      <c r="H3" s="133">
        <f>IF(B$17=0,0,G3/B$17)</f>
        <v>0.51717557251908397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-6.0386473429951693</v>
      </c>
      <c r="P3" s="119">
        <v>828</v>
      </c>
      <c r="Q3" s="103">
        <v>-5000</v>
      </c>
    </row>
    <row r="4" spans="1:17" x14ac:dyDescent="0.4">
      <c r="A4" s="55" t="s">
        <v>6</v>
      </c>
      <c r="B4" s="154">
        <v>-2.0000000000000142</v>
      </c>
      <c r="C4" s="155"/>
      <c r="E4" s="63" t="s">
        <v>65</v>
      </c>
      <c r="F4" s="60" t="s">
        <v>21</v>
      </c>
      <c r="G4" s="47">
        <v>1058</v>
      </c>
      <c r="H4" s="133">
        <f>IF(B$17=0,0,G4/B$17)</f>
        <v>0.50477099236641221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11.71875</v>
      </c>
      <c r="P4" s="119">
        <v>768</v>
      </c>
      <c r="Q4" s="103">
        <v>9000</v>
      </c>
    </row>
    <row r="5" spans="1:17" x14ac:dyDescent="0.4">
      <c r="A5" s="55" t="s">
        <v>7</v>
      </c>
      <c r="B5" s="156">
        <f>IF(B$2=0,0,B$4/B$2)</f>
        <v>-2.3640661938534448E-3</v>
      </c>
      <c r="C5" s="157"/>
      <c r="E5" s="63" t="s">
        <v>245</v>
      </c>
      <c r="F5" s="60" t="s">
        <v>246</v>
      </c>
      <c r="G5" s="47">
        <v>839</v>
      </c>
      <c r="H5" s="133">
        <f>IF(B$17=0,0,G5/B$17)</f>
        <v>0.40028625954198471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5.6497175141242941</v>
      </c>
      <c r="P5" s="119">
        <v>708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646</v>
      </c>
      <c r="H6" s="133">
        <f>IF(B$17=0,0,G6/B$17)</f>
        <v>0.30820610687022904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-14.218009478672986</v>
      </c>
      <c r="P6" s="119">
        <v>633</v>
      </c>
      <c r="Q6" s="103">
        <v>-9000</v>
      </c>
    </row>
    <row r="7" spans="1:17" x14ac:dyDescent="0.4">
      <c r="A7" s="55" t="s">
        <v>2</v>
      </c>
      <c r="B7" s="47">
        <v>282</v>
      </c>
      <c r="C7" s="39">
        <f>IF(B$2=0,0,B7/B$2)</f>
        <v>0.33333333333333331</v>
      </c>
      <c r="E7" s="63" t="s">
        <v>68</v>
      </c>
      <c r="F7" s="60" t="s">
        <v>24</v>
      </c>
      <c r="G7" s="47">
        <v>645</v>
      </c>
      <c r="H7" s="133">
        <f>IF(B$17=0,0,G7/B$17)</f>
        <v>0.30772900763358779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23.423423423423422</v>
      </c>
      <c r="P7" s="120">
        <v>555</v>
      </c>
      <c r="Q7" s="104">
        <v>13000</v>
      </c>
    </row>
    <row r="8" spans="1:17" x14ac:dyDescent="0.4">
      <c r="A8" s="55" t="s">
        <v>3</v>
      </c>
      <c r="B8" s="47">
        <v>282</v>
      </c>
      <c r="C8" s="39">
        <f>IF(B$2=0,0,B8/B$2)</f>
        <v>0.33333333333333331</v>
      </c>
      <c r="E8" s="63" t="s">
        <v>70</v>
      </c>
      <c r="F8" s="60" t="s">
        <v>25</v>
      </c>
      <c r="G8" s="47">
        <v>359</v>
      </c>
      <c r="H8" s="133">
        <f>IF(B$17=0,0,G8/B$17)</f>
        <v>0.17127862595419846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282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265</v>
      </c>
      <c r="H9" s="133">
        <f>IF(B$17=0,0,G9/B$17)</f>
        <v>0.12643129770992367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105</v>
      </c>
      <c r="C10" s="40">
        <f>IF(B$2=0,0,B10/B$2)</f>
        <v>0.12411347517730496</v>
      </c>
      <c r="E10" s="63" t="s">
        <v>66</v>
      </c>
      <c r="F10" s="60" t="s">
        <v>22</v>
      </c>
      <c r="G10" s="47">
        <v>233</v>
      </c>
      <c r="H10" s="133">
        <f>IF(B$17=0,0,G10/B$17)</f>
        <v>0.11116412213740458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-2.9553191489361685</v>
      </c>
      <c r="P10" s="118">
        <v>282</v>
      </c>
      <c r="Q10" s="106">
        <v>-833.39999999999952</v>
      </c>
    </row>
    <row r="11" spans="1:17" x14ac:dyDescent="0.4">
      <c r="A11" s="56" t="s">
        <v>140</v>
      </c>
      <c r="B11" s="48">
        <v>105</v>
      </c>
      <c r="C11" s="40">
        <f>IF(B$2=0,0,B11/B$2)</f>
        <v>0.12411347517730496</v>
      </c>
      <c r="E11" s="63" t="s">
        <v>71</v>
      </c>
      <c r="F11" s="60" t="s">
        <v>26</v>
      </c>
      <c r="G11" s="47">
        <v>216</v>
      </c>
      <c r="H11" s="133">
        <f>IF(B$17=0,0,G11/B$17)</f>
        <v>0.10305343511450382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1.6748226950354608</v>
      </c>
      <c r="P11" s="119">
        <v>282</v>
      </c>
      <c r="Q11" s="107">
        <v>472.29999999999995</v>
      </c>
    </row>
    <row r="12" spans="1:17" x14ac:dyDescent="0.4">
      <c r="A12" s="57" t="s">
        <v>160</v>
      </c>
      <c r="B12" s="49">
        <v>75</v>
      </c>
      <c r="C12" s="42">
        <f>IF(B$2=0,0,B12/B$2)</f>
        <v>8.8652482269503549E-2</v>
      </c>
      <c r="E12" s="63" t="s">
        <v>72</v>
      </c>
      <c r="F12" s="60" t="s">
        <v>27</v>
      </c>
      <c r="G12" s="47">
        <v>143</v>
      </c>
      <c r="H12" s="133">
        <f>IF(B$17=0,0,G12/B$17)</f>
        <v>6.8225190839694652E-2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1.2734042553191485</v>
      </c>
      <c r="P12" s="120">
        <v>282</v>
      </c>
      <c r="Q12" s="108">
        <v>359.09999999999985</v>
      </c>
    </row>
    <row r="13" spans="1:17" x14ac:dyDescent="0.4">
      <c r="A13" s="58" t="s">
        <v>122</v>
      </c>
      <c r="B13" s="50">
        <v>1914</v>
      </c>
      <c r="C13" s="44">
        <f>IF(B$3=0,0,B13/B$3)</f>
        <v>0.27276613937580163</v>
      </c>
      <c r="E13" s="63" t="s">
        <v>87</v>
      </c>
      <c r="F13" s="60" t="s">
        <v>42</v>
      </c>
      <c r="G13" s="47">
        <v>117</v>
      </c>
      <c r="H13" s="133">
        <f>IF(B$17=0,0,G13/B$17)</f>
        <v>5.5820610687022904E-2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1479</v>
      </c>
      <c r="C14" s="39">
        <f>IF(B$3=0,0,B14/B$3)</f>
        <v>0.21077383497221033</v>
      </c>
      <c r="E14" s="63" t="s">
        <v>84</v>
      </c>
      <c r="F14" s="60" t="s">
        <v>39</v>
      </c>
      <c r="G14" s="47">
        <v>104</v>
      </c>
      <c r="H14" s="133">
        <f>IF(B$17=0,0,G14/B$17)</f>
        <v>4.9618320610687022E-2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1109</v>
      </c>
      <c r="C15" s="37">
        <f>IF(B$13=0,0,B15/B$13)</f>
        <v>0.57941483803552774</v>
      </c>
      <c r="E15" s="63" t="s">
        <v>79</v>
      </c>
      <c r="F15" s="60" t="s">
        <v>34</v>
      </c>
      <c r="G15" s="47">
        <v>58</v>
      </c>
      <c r="H15" s="133">
        <f>IF(B$17=0,0,G15/B$17)</f>
        <v>2.7671755725190841E-2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45.6</v>
      </c>
      <c r="P15" s="118">
        <v>10</v>
      </c>
      <c r="Q15" s="106">
        <v>456</v>
      </c>
    </row>
    <row r="16" spans="1:17" x14ac:dyDescent="0.4">
      <c r="A16" s="54" t="s">
        <v>125</v>
      </c>
      <c r="B16" s="46">
        <v>589</v>
      </c>
      <c r="C16" s="37">
        <f>IF(B$14=0,0,B16/B$14)</f>
        <v>0.39824205544286678</v>
      </c>
      <c r="E16" s="63" t="s">
        <v>82</v>
      </c>
      <c r="F16" s="60" t="s">
        <v>37</v>
      </c>
      <c r="G16" s="47">
        <v>58</v>
      </c>
      <c r="H16" s="133">
        <f>IF(B$17=0,0,G16/B$17)</f>
        <v>2.7671755725190841E-2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18.739583333333339</v>
      </c>
      <c r="P16" s="119">
        <v>48</v>
      </c>
      <c r="Q16" s="107">
        <v>899.50000000000023</v>
      </c>
    </row>
    <row r="17" spans="1:17" x14ac:dyDescent="0.4">
      <c r="A17" s="54" t="s">
        <v>10</v>
      </c>
      <c r="B17" s="46">
        <f>B19+B18</f>
        <v>2096</v>
      </c>
      <c r="C17" s="37">
        <f>IF(B$3=0,0,B17/B$3)</f>
        <v>0.29870314949408577</v>
      </c>
      <c r="E17" s="63" t="s">
        <v>92</v>
      </c>
      <c r="F17" s="60" t="s">
        <v>47</v>
      </c>
      <c r="G17" s="47">
        <v>41</v>
      </c>
      <c r="H17" s="133">
        <f>IF(B$17=0,0,G17/B$17)</f>
        <v>1.9561068702290078E-2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11.469230769230762</v>
      </c>
      <c r="P17" s="119">
        <v>104</v>
      </c>
      <c r="Q17" s="107">
        <v>1192.7999999999993</v>
      </c>
    </row>
    <row r="18" spans="1:17" x14ac:dyDescent="0.4">
      <c r="A18" s="55" t="s">
        <v>12</v>
      </c>
      <c r="B18" s="47">
        <v>901</v>
      </c>
      <c r="C18" s="39">
        <f>IF(B$17=0,0,B18/B$17)</f>
        <v>0.42986641221374045</v>
      </c>
      <c r="E18" s="63" t="s">
        <v>180</v>
      </c>
      <c r="F18" s="60" t="s">
        <v>181</v>
      </c>
      <c r="G18" s="47">
        <v>34</v>
      </c>
      <c r="H18" s="133">
        <f>IF(B$17=0,0,G18/B$17)</f>
        <v>1.6221374045801526E-2</v>
      </c>
      <c r="I18" s="94">
        <v>5</v>
      </c>
      <c r="K18" s="38">
        <v>16</v>
      </c>
      <c r="L18" s="99">
        <v>90.899999999999991</v>
      </c>
      <c r="N18" s="115" t="s">
        <v>129</v>
      </c>
      <c r="O18" s="125">
        <f>IF(P18=0,0,Q18/P18)</f>
        <v>11.142578125000027</v>
      </c>
      <c r="P18" s="119">
        <v>256</v>
      </c>
      <c r="Q18" s="107">
        <v>2852.5000000000068</v>
      </c>
    </row>
    <row r="19" spans="1:17" x14ac:dyDescent="0.4">
      <c r="A19" s="55" t="s">
        <v>11</v>
      </c>
      <c r="B19" s="47">
        <v>1195</v>
      </c>
      <c r="C19" s="39">
        <f>IF(B$17=0,0,B19/B$17)</f>
        <v>0.57013358778625955</v>
      </c>
      <c r="E19" s="63" t="s">
        <v>80</v>
      </c>
      <c r="F19" s="60" t="s">
        <v>35</v>
      </c>
      <c r="G19" s="47">
        <v>33</v>
      </c>
      <c r="H19" s="133">
        <f>IF(B$17=0,0,G19/B$17)</f>
        <v>1.5744274809160304E-2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4.7692052980132438</v>
      </c>
      <c r="P19" s="119">
        <v>302</v>
      </c>
      <c r="Q19" s="107">
        <v>1440.2999999999997</v>
      </c>
    </row>
    <row r="20" spans="1:17" x14ac:dyDescent="0.4">
      <c r="A20" s="55" t="s">
        <v>13</v>
      </c>
      <c r="B20" s="47">
        <v>1178</v>
      </c>
      <c r="C20" s="39">
        <f>IF(B$3=0,0,B20/B$3)</f>
        <v>0.1678780105458173</v>
      </c>
      <c r="E20" s="63" t="s">
        <v>78</v>
      </c>
      <c r="F20" s="60" t="s">
        <v>33</v>
      </c>
      <c r="G20" s="47">
        <v>18</v>
      </c>
      <c r="H20" s="133">
        <f>IF(B$17=0,0,G20/B$17)</f>
        <v>8.5877862595419852E-3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1.9646739130434776</v>
      </c>
      <c r="P20" s="119">
        <v>184</v>
      </c>
      <c r="Q20" s="107">
        <v>361.49999999999989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14</v>
      </c>
      <c r="H21" s="133">
        <f>IF(B$17=0,0,G21/B$17)</f>
        <v>6.6793893129770991E-3</v>
      </c>
      <c r="I21" s="94">
        <v>5</v>
      </c>
      <c r="K21" s="38">
        <v>19</v>
      </c>
      <c r="L21" s="99">
        <v>30.999999999999996</v>
      </c>
      <c r="N21" s="115" t="s">
        <v>177</v>
      </c>
      <c r="O21" s="125">
        <f>IF(P21=0,0,Q21/P21)</f>
        <v>0.88295454545454344</v>
      </c>
      <c r="P21" s="119">
        <v>176</v>
      </c>
      <c r="Q21" s="107">
        <v>155.39999999999964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76</v>
      </c>
      <c r="F22" s="60" t="s">
        <v>31</v>
      </c>
      <c r="G22" s="47">
        <v>13</v>
      </c>
      <c r="H22" s="133">
        <f>IF(B$17=0,0,G22/B$17)</f>
        <v>6.2022900763358778E-3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0.75937500000000246</v>
      </c>
      <c r="P22" s="119">
        <v>192</v>
      </c>
      <c r="Q22" s="107">
        <v>145.80000000000047</v>
      </c>
    </row>
    <row r="23" spans="1:17" x14ac:dyDescent="0.4">
      <c r="A23" s="55" t="s">
        <v>5</v>
      </c>
      <c r="B23" s="51">
        <f>IF(B$17=0,0,C23/B$17)</f>
        <v>8743.6545801526718</v>
      </c>
      <c r="C23" s="41">
        <v>18326700</v>
      </c>
      <c r="E23" s="63" t="s">
        <v>86</v>
      </c>
      <c r="F23" s="60" t="s">
        <v>41</v>
      </c>
      <c r="G23" s="47">
        <v>10</v>
      </c>
      <c r="H23" s="133">
        <f>IF(B$17=0,0,G23/B$17)</f>
        <v>4.7709923664122139E-3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-3.7833333333333283</v>
      </c>
      <c r="P23" s="119">
        <v>36</v>
      </c>
      <c r="Q23" s="107">
        <v>-136.19999999999982</v>
      </c>
    </row>
    <row r="24" spans="1:17" x14ac:dyDescent="0.4">
      <c r="A24" s="57" t="s">
        <v>14</v>
      </c>
      <c r="B24" s="52">
        <f>IF(B$20=0,0,C24/B$20)</f>
        <v>-8207.8098471986414</v>
      </c>
      <c r="C24" s="45">
        <v>-9668800</v>
      </c>
      <c r="E24" s="63" t="s">
        <v>75</v>
      </c>
      <c r="F24" s="60" t="s">
        <v>30</v>
      </c>
      <c r="G24" s="47">
        <v>9</v>
      </c>
      <c r="H24" s="133">
        <f>IF(B$17=0,0,G24/B$17)</f>
        <v>4.2938931297709926E-3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-18.800824175824168</v>
      </c>
      <c r="P24" s="119">
        <v>364</v>
      </c>
      <c r="Q24" s="107">
        <v>-6843.4999999999973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>IF(B$17=0,0,G25/B$17)</f>
        <v>3.8167938931297708E-3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>IF(B$17=0,0,G26/B$17)</f>
        <v>3.3396946564885495E-3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2.7077098475131824E-3</v>
      </c>
      <c r="E27" s="63" t="s">
        <v>85</v>
      </c>
      <c r="F27" s="60" t="s">
        <v>40</v>
      </c>
      <c r="G27" s="47">
        <v>6</v>
      </c>
      <c r="H27" s="133">
        <f>IF(B$17=0,0,G27/B$17)</f>
        <v>2.8625954198473282E-3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>IF(B$17=0,0,G28/B$17)</f>
        <v>2.8625954198473282E-3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2.8625954198473282E-3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1.9083969465648854E-3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9.5419847328244271E-4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4.7709923664122136E-4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4.7709923664122136E-4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4.7709923664122136E-4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39.1</v>
      </c>
    </row>
    <row r="805" spans="11:12" x14ac:dyDescent="0.4">
      <c r="K805" s="38">
        <v>803</v>
      </c>
      <c r="L805" s="99">
        <v>50</v>
      </c>
    </row>
    <row r="806" spans="11:12" x14ac:dyDescent="0.4">
      <c r="K806" s="38">
        <v>804</v>
      </c>
      <c r="L806" s="99">
        <v>-2</v>
      </c>
    </row>
    <row r="807" spans="11:12" x14ac:dyDescent="0.4">
      <c r="K807" s="38">
        <v>805</v>
      </c>
      <c r="L807" s="99">
        <v>52.6</v>
      </c>
    </row>
    <row r="808" spans="11:12" x14ac:dyDescent="0.4">
      <c r="K808" s="38">
        <v>806</v>
      </c>
      <c r="L808" s="99">
        <v>53.9</v>
      </c>
    </row>
    <row r="809" spans="11:12" x14ac:dyDescent="0.4">
      <c r="K809" s="38">
        <v>807</v>
      </c>
      <c r="L809" s="99">
        <v>-2</v>
      </c>
    </row>
    <row r="810" spans="11:12" x14ac:dyDescent="0.4">
      <c r="K810" s="38">
        <v>808</v>
      </c>
      <c r="L810" s="99">
        <v>25.5</v>
      </c>
    </row>
    <row r="811" spans="11:12" x14ac:dyDescent="0.4">
      <c r="K811" s="38">
        <v>809</v>
      </c>
      <c r="L811" s="99">
        <v>26.5</v>
      </c>
    </row>
    <row r="812" spans="11:12" x14ac:dyDescent="0.4">
      <c r="K812" s="38">
        <v>810</v>
      </c>
      <c r="L812" s="99">
        <v>-2</v>
      </c>
    </row>
    <row r="813" spans="11:12" x14ac:dyDescent="0.4">
      <c r="K813" s="38">
        <v>811</v>
      </c>
      <c r="L813" s="99">
        <v>31.4</v>
      </c>
    </row>
    <row r="814" spans="11:12" x14ac:dyDescent="0.4">
      <c r="K814" s="38">
        <v>812</v>
      </c>
      <c r="L814" s="99">
        <v>-1.8999999999999986</v>
      </c>
    </row>
    <row r="815" spans="11:12" x14ac:dyDescent="0.4">
      <c r="K815" s="38">
        <v>813</v>
      </c>
      <c r="L815" s="99">
        <v>-1.9999999999999987</v>
      </c>
    </row>
    <row r="816" spans="11:12" x14ac:dyDescent="0.4">
      <c r="K816" s="38">
        <v>814</v>
      </c>
      <c r="L816" s="99">
        <v>36.299999999999997</v>
      </c>
    </row>
    <row r="817" spans="11:12" x14ac:dyDescent="0.4">
      <c r="K817" s="38">
        <v>815</v>
      </c>
      <c r="L817" s="99">
        <v>-14.900000000000006</v>
      </c>
    </row>
    <row r="818" spans="11:12" x14ac:dyDescent="0.4">
      <c r="K818" s="38">
        <v>816</v>
      </c>
      <c r="L818" s="99">
        <v>-2.0000000000000053</v>
      </c>
    </row>
    <row r="819" spans="11:12" x14ac:dyDescent="0.4">
      <c r="K819" s="38">
        <v>817</v>
      </c>
      <c r="L819" s="99">
        <v>45.899999999999991</v>
      </c>
    </row>
    <row r="820" spans="11:12" x14ac:dyDescent="0.4">
      <c r="K820" s="38">
        <v>818</v>
      </c>
      <c r="L820" s="99">
        <v>-24.600000000000009</v>
      </c>
    </row>
    <row r="821" spans="11:12" x14ac:dyDescent="0.4">
      <c r="K821" s="38">
        <v>819</v>
      </c>
      <c r="L821" s="99">
        <v>-2.0000000000000071</v>
      </c>
    </row>
    <row r="822" spans="11:12" x14ac:dyDescent="0.4">
      <c r="K822" s="38">
        <v>820</v>
      </c>
      <c r="L822" s="99">
        <v>-9.6000000000000068</v>
      </c>
    </row>
    <row r="823" spans="11:12" x14ac:dyDescent="0.4">
      <c r="K823" s="38">
        <v>821</v>
      </c>
      <c r="L823" s="99">
        <v>-56.600000000000009</v>
      </c>
    </row>
    <row r="824" spans="11:12" x14ac:dyDescent="0.4">
      <c r="K824" s="38">
        <v>822</v>
      </c>
      <c r="L824" s="99">
        <v>-2.0000000000000071</v>
      </c>
    </row>
    <row r="825" spans="11:12" x14ac:dyDescent="0.4">
      <c r="K825" s="38">
        <v>823</v>
      </c>
      <c r="L825" s="99">
        <v>-34.800000000000004</v>
      </c>
    </row>
    <row r="826" spans="11:12" x14ac:dyDescent="0.4">
      <c r="K826" s="38">
        <v>824</v>
      </c>
      <c r="L826" s="99">
        <v>1.2999999999999972</v>
      </c>
    </row>
    <row r="827" spans="11:12" x14ac:dyDescent="0.4">
      <c r="K827" s="38">
        <v>825</v>
      </c>
      <c r="L827" s="99">
        <v>-2.0000000000000027</v>
      </c>
    </row>
    <row r="828" spans="11:12" x14ac:dyDescent="0.4">
      <c r="K828" s="38">
        <v>826</v>
      </c>
      <c r="L828" s="99">
        <v>-3.8000000000000025</v>
      </c>
    </row>
    <row r="829" spans="11:12" x14ac:dyDescent="0.4">
      <c r="K829" s="38">
        <v>827</v>
      </c>
      <c r="L829" s="99">
        <v>-30.200000000000003</v>
      </c>
    </row>
    <row r="830" spans="11:12" x14ac:dyDescent="0.4">
      <c r="K830" s="38">
        <v>828</v>
      </c>
      <c r="L830" s="99">
        <v>-2.0000000000000036</v>
      </c>
    </row>
    <row r="831" spans="11:12" x14ac:dyDescent="0.4">
      <c r="K831" s="38">
        <v>829</v>
      </c>
      <c r="L831" s="99">
        <v>-58.8</v>
      </c>
    </row>
    <row r="832" spans="11:12" x14ac:dyDescent="0.4">
      <c r="K832" s="38">
        <v>830</v>
      </c>
      <c r="L832" s="99">
        <v>2.2000000000000028</v>
      </c>
    </row>
    <row r="833" spans="11:12" x14ac:dyDescent="0.4">
      <c r="K833" s="38">
        <v>831</v>
      </c>
      <c r="L833" s="99">
        <v>-1.9999999999999973</v>
      </c>
    </row>
    <row r="834" spans="11:12" x14ac:dyDescent="0.4">
      <c r="K834" s="38">
        <v>832</v>
      </c>
      <c r="L834" s="99">
        <v>-34.5</v>
      </c>
    </row>
    <row r="835" spans="11:12" x14ac:dyDescent="0.4">
      <c r="K835" s="38">
        <v>833</v>
      </c>
      <c r="L835" s="99">
        <v>0.89999999999999858</v>
      </c>
    </row>
    <row r="836" spans="11:12" x14ac:dyDescent="0.4">
      <c r="K836" s="38">
        <v>834</v>
      </c>
      <c r="L836" s="99">
        <v>-2.0000000000000013</v>
      </c>
    </row>
    <row r="837" spans="11:12" x14ac:dyDescent="0.4">
      <c r="K837" s="38">
        <v>835</v>
      </c>
      <c r="L837" s="99">
        <v>-14.700000000000001</v>
      </c>
    </row>
    <row r="838" spans="11:12" x14ac:dyDescent="0.4">
      <c r="K838" s="38">
        <v>836</v>
      </c>
      <c r="L838" s="99">
        <v>40.799999999999997</v>
      </c>
    </row>
    <row r="839" spans="11:12" x14ac:dyDescent="0.4">
      <c r="K839" s="38">
        <v>837</v>
      </c>
      <c r="L839" s="99">
        <v>-2</v>
      </c>
    </row>
    <row r="840" spans="11:12" x14ac:dyDescent="0.4">
      <c r="K840" s="38">
        <v>838</v>
      </c>
      <c r="L840" s="99">
        <v>-45.1</v>
      </c>
    </row>
    <row r="841" spans="11:12" x14ac:dyDescent="0.4">
      <c r="K841" s="38">
        <v>839</v>
      </c>
      <c r="L841" s="99">
        <v>-11.800000000000004</v>
      </c>
    </row>
    <row r="842" spans="11:12" x14ac:dyDescent="0.4">
      <c r="K842" s="38">
        <v>840</v>
      </c>
      <c r="L842" s="99">
        <v>-2.0000000000000036</v>
      </c>
    </row>
    <row r="843" spans="11:12" x14ac:dyDescent="0.4">
      <c r="K843" s="38">
        <v>841</v>
      </c>
      <c r="L843" s="99">
        <v>24.499999999999996</v>
      </c>
    </row>
    <row r="844" spans="11:12" x14ac:dyDescent="0.4">
      <c r="K844" s="38">
        <v>842</v>
      </c>
      <c r="L844" s="99">
        <v>-2.3000000000000043</v>
      </c>
    </row>
    <row r="845" spans="11:12" x14ac:dyDescent="0.4">
      <c r="K845" s="38">
        <v>843</v>
      </c>
      <c r="L845" s="99">
        <v>-2.0000000000000044</v>
      </c>
    </row>
    <row r="846" spans="11:12" x14ac:dyDescent="0.4">
      <c r="K846" s="38">
        <v>844</v>
      </c>
      <c r="L846" s="99">
        <v>38.79999999999999</v>
      </c>
    </row>
    <row r="847" spans="11:12" x14ac:dyDescent="0.4">
      <c r="K847" s="38">
        <v>845</v>
      </c>
      <c r="L847" s="99">
        <v>32.099999999999987</v>
      </c>
    </row>
    <row r="848" spans="11:12" x14ac:dyDescent="0.4">
      <c r="K848" s="38">
        <v>846</v>
      </c>
      <c r="L848" s="99">
        <v>-2.0000000000000142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52DEC-8055-4465-820E-1BC260121855}">
  <sheetPr codeName="Sheet7"/>
  <dimension ref="A1:Q18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182</v>
      </c>
      <c r="C2" s="151"/>
      <c r="E2" s="62" t="s">
        <v>67</v>
      </c>
      <c r="F2" s="59" t="s">
        <v>23</v>
      </c>
      <c r="G2" s="46">
        <v>377</v>
      </c>
      <c r="H2" s="132">
        <f>IF(B$17=0,0,G2/B$17)</f>
        <v>0.74505928853754944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1660.4395604395604</v>
      </c>
      <c r="P2" s="118">
        <v>182</v>
      </c>
      <c r="Q2" s="102">
        <v>302200</v>
      </c>
    </row>
    <row r="3" spans="1:17" x14ac:dyDescent="0.4">
      <c r="A3" s="55" t="s">
        <v>8</v>
      </c>
      <c r="B3" s="152">
        <v>1492</v>
      </c>
      <c r="C3" s="153"/>
      <c r="E3" s="63" t="s">
        <v>73</v>
      </c>
      <c r="F3" s="60" t="s">
        <v>28</v>
      </c>
      <c r="G3" s="47">
        <v>282</v>
      </c>
      <c r="H3" s="133">
        <f>IF(B$17=0,0,G3/B$17)</f>
        <v>0.55731225296442688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2377.4011299435028</v>
      </c>
      <c r="P3" s="119">
        <v>177</v>
      </c>
      <c r="Q3" s="103">
        <v>420800</v>
      </c>
    </row>
    <row r="4" spans="1:17" x14ac:dyDescent="0.4">
      <c r="A4" s="55" t="s">
        <v>6</v>
      </c>
      <c r="B4" s="154">
        <v>2280.5000000000005</v>
      </c>
      <c r="C4" s="155"/>
      <c r="E4" s="63" t="s">
        <v>65</v>
      </c>
      <c r="F4" s="60" t="s">
        <v>21</v>
      </c>
      <c r="G4" s="47">
        <v>243</v>
      </c>
      <c r="H4" s="133">
        <f>IF(B$17=0,0,G4/B$17)</f>
        <v>0.48023715415019763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588.09523809523807</v>
      </c>
      <c r="P4" s="119">
        <v>168</v>
      </c>
      <c r="Q4" s="103">
        <v>98800</v>
      </c>
    </row>
    <row r="5" spans="1:17" x14ac:dyDescent="0.4">
      <c r="A5" s="55" t="s">
        <v>7</v>
      </c>
      <c r="B5" s="156">
        <f>IF(B$2=0,0,B$4/B$2)</f>
        <v>12.530219780219783</v>
      </c>
      <c r="C5" s="157"/>
      <c r="E5" s="63" t="s">
        <v>245</v>
      </c>
      <c r="F5" s="60" t="s">
        <v>246</v>
      </c>
      <c r="G5" s="47">
        <v>203</v>
      </c>
      <c r="H5" s="133">
        <f>IF(B$17=0,0,G5/B$17)</f>
        <v>0.40118577075098816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2144.8717948717949</v>
      </c>
      <c r="P5" s="119">
        <v>156</v>
      </c>
      <c r="Q5" s="103">
        <v>334600</v>
      </c>
    </row>
    <row r="6" spans="1:17" x14ac:dyDescent="0.4">
      <c r="A6" s="55" t="s">
        <v>1</v>
      </c>
      <c r="B6" s="146">
        <f>IF(B$2=0,0,(B$7*1+B$8*2+B$9*3)/B$2)</f>
        <v>1.7582417582417582</v>
      </c>
      <c r="C6" s="147"/>
      <c r="E6" s="63" t="s">
        <v>68</v>
      </c>
      <c r="F6" s="60" t="s">
        <v>24</v>
      </c>
      <c r="G6" s="47">
        <v>153</v>
      </c>
      <c r="H6" s="133">
        <f>IF(B$17=0,0,G6/B$17)</f>
        <v>0.30237154150197626</v>
      </c>
      <c r="I6" s="94">
        <v>7</v>
      </c>
      <c r="K6" s="38">
        <v>4</v>
      </c>
      <c r="L6" s="99">
        <v>110.5</v>
      </c>
      <c r="N6" s="115" t="s">
        <v>136</v>
      </c>
      <c r="O6" s="122">
        <f t="shared" si="0"/>
        <v>728.05755395683457</v>
      </c>
      <c r="P6" s="119">
        <v>139</v>
      </c>
      <c r="Q6" s="103">
        <v>101200</v>
      </c>
    </row>
    <row r="7" spans="1:17" x14ac:dyDescent="0.4">
      <c r="A7" s="55" t="s">
        <v>2</v>
      </c>
      <c r="B7" s="47">
        <v>87</v>
      </c>
      <c r="C7" s="39">
        <f>IF(B$2=0,0,B7/B$2)</f>
        <v>0.47802197802197804</v>
      </c>
      <c r="E7" s="63" t="s">
        <v>69</v>
      </c>
      <c r="F7" s="60" t="s">
        <v>12</v>
      </c>
      <c r="G7" s="47">
        <v>138</v>
      </c>
      <c r="H7" s="133">
        <f>IF(B$17=0,0,G7/B$17)</f>
        <v>0.27272727272727271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1197.5</v>
      </c>
      <c r="P7" s="120">
        <v>120</v>
      </c>
      <c r="Q7" s="104">
        <v>143700</v>
      </c>
    </row>
    <row r="8" spans="1:17" x14ac:dyDescent="0.4">
      <c r="A8" s="55" t="s">
        <v>3</v>
      </c>
      <c r="B8" s="47">
        <v>52</v>
      </c>
      <c r="C8" s="39">
        <f>IF(B$2=0,0,B8/B$2)</f>
        <v>0.2857142857142857</v>
      </c>
      <c r="E8" s="63" t="s">
        <v>70</v>
      </c>
      <c r="F8" s="60" t="s">
        <v>25</v>
      </c>
      <c r="G8" s="47">
        <v>80</v>
      </c>
      <c r="H8" s="133">
        <f>IF(B$17=0,0,G8/B$17)</f>
        <v>0.15810276679841898</v>
      </c>
      <c r="I8" s="94">
        <v>10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0.23626373626373626</v>
      </c>
      <c r="E9" s="63" t="s">
        <v>90</v>
      </c>
      <c r="F9" s="60" t="s">
        <v>45</v>
      </c>
      <c r="G9" s="47">
        <v>80</v>
      </c>
      <c r="H9" s="133">
        <f>IF(B$17=0,0,G9/B$17)</f>
        <v>0.15810276679841898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16</v>
      </c>
      <c r="C10" s="40">
        <f>IF(B$2=0,0,B10/B$2)</f>
        <v>8.7912087912087919E-2</v>
      </c>
      <c r="E10" s="63" t="s">
        <v>66</v>
      </c>
      <c r="F10" s="60" t="s">
        <v>22</v>
      </c>
      <c r="G10" s="47">
        <v>63</v>
      </c>
      <c r="H10" s="133">
        <f>IF(B$17=0,0,G10/B$17)</f>
        <v>0.12450592885375494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15.689090909090911</v>
      </c>
      <c r="P10" s="118">
        <v>55</v>
      </c>
      <c r="Q10" s="106">
        <v>862.90000000000009</v>
      </c>
    </row>
    <row r="11" spans="1:17" x14ac:dyDescent="0.4">
      <c r="A11" s="56" t="s">
        <v>140</v>
      </c>
      <c r="B11" s="48">
        <v>31</v>
      </c>
      <c r="C11" s="40">
        <f>IF(B$2=0,0,B11/B$2)</f>
        <v>0.17032967032967034</v>
      </c>
      <c r="E11" s="63" t="s">
        <v>71</v>
      </c>
      <c r="F11" s="60" t="s">
        <v>26</v>
      </c>
      <c r="G11" s="47">
        <v>45</v>
      </c>
      <c r="H11" s="133">
        <f>IF(B$17=0,0,G11/B$17)</f>
        <v>8.8932806324110672E-2</v>
      </c>
      <c r="I11" s="94">
        <v>8</v>
      </c>
      <c r="K11" s="38">
        <v>9</v>
      </c>
      <c r="L11" s="99">
        <v>277.90000000000003</v>
      </c>
      <c r="N11" s="115" t="s">
        <v>165</v>
      </c>
      <c r="O11" s="125">
        <f>IF(P11=0,0,Q11/P11)</f>
        <v>11.882758620689653</v>
      </c>
      <c r="P11" s="119">
        <v>58</v>
      </c>
      <c r="Q11" s="107">
        <v>689.19999999999993</v>
      </c>
    </row>
    <row r="12" spans="1:17" x14ac:dyDescent="0.4">
      <c r="A12" s="57" t="s">
        <v>160</v>
      </c>
      <c r="B12" s="49">
        <v>25</v>
      </c>
      <c r="C12" s="42">
        <f>IF(B$2=0,0,B12/B$2)</f>
        <v>0.13736263736263737</v>
      </c>
      <c r="E12" s="63" t="s">
        <v>87</v>
      </c>
      <c r="F12" s="60" t="s">
        <v>42</v>
      </c>
      <c r="G12" s="47">
        <v>36</v>
      </c>
      <c r="H12" s="133">
        <f>IF(B$17=0,0,G12/B$17)</f>
        <v>7.1146245059288543E-2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10.556521739130439</v>
      </c>
      <c r="P12" s="120">
        <v>69</v>
      </c>
      <c r="Q12" s="108">
        <v>728.40000000000032</v>
      </c>
    </row>
    <row r="13" spans="1:17" x14ac:dyDescent="0.4">
      <c r="A13" s="58" t="s">
        <v>122</v>
      </c>
      <c r="B13" s="50">
        <v>459</v>
      </c>
      <c r="C13" s="44">
        <f>IF(B$3=0,0,B13/B$3)</f>
        <v>0.30764075067024127</v>
      </c>
      <c r="E13" s="63" t="s">
        <v>72</v>
      </c>
      <c r="F13" s="60" t="s">
        <v>27</v>
      </c>
      <c r="G13" s="47">
        <v>34</v>
      </c>
      <c r="H13" s="133">
        <f>IF(B$17=0,0,G13/B$17)</f>
        <v>6.7193675889328064E-2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314</v>
      </c>
      <c r="C14" s="39">
        <f>IF(B$3=0,0,B14/B$3)</f>
        <v>0.21045576407506703</v>
      </c>
      <c r="E14" s="63" t="s">
        <v>84</v>
      </c>
      <c r="F14" s="60" t="s">
        <v>39</v>
      </c>
      <c r="G14" s="47">
        <v>27</v>
      </c>
      <c r="H14" s="133">
        <f>IF(B$17=0,0,G14/B$17)</f>
        <v>5.33596837944664E-2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266</v>
      </c>
      <c r="C15" s="37">
        <f>IF(B$13=0,0,B15/B$13)</f>
        <v>0.579520697167756</v>
      </c>
      <c r="E15" s="63" t="s">
        <v>180</v>
      </c>
      <c r="F15" s="60" t="s">
        <v>181</v>
      </c>
      <c r="G15" s="47">
        <v>19</v>
      </c>
      <c r="H15" s="133">
        <f>IF(B$17=0,0,G15/B$17)</f>
        <v>3.7549407114624504E-2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164</v>
      </c>
      <c r="C16" s="37">
        <f>IF(B$14=0,0,B16/B$14)</f>
        <v>0.52229299363057324</v>
      </c>
      <c r="E16" s="63" t="s">
        <v>79</v>
      </c>
      <c r="F16" s="60" t="s">
        <v>34</v>
      </c>
      <c r="G16" s="47">
        <v>12</v>
      </c>
      <c r="H16" s="133">
        <f>IF(B$17=0,0,G16/B$17)</f>
        <v>2.3715415019762844E-2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506</v>
      </c>
      <c r="C17" s="37">
        <f>IF(B$3=0,0,B17/B$3)</f>
        <v>0.33914209115281502</v>
      </c>
      <c r="E17" s="63" t="s">
        <v>82</v>
      </c>
      <c r="F17" s="60" t="s">
        <v>37</v>
      </c>
      <c r="G17" s="47">
        <v>12</v>
      </c>
      <c r="H17" s="133">
        <f>IF(B$17=0,0,G17/B$17)</f>
        <v>2.3715415019762844E-2</v>
      </c>
      <c r="I17" s="94">
        <v>8</v>
      </c>
      <c r="K17" s="38">
        <v>15</v>
      </c>
      <c r="L17" s="99">
        <v>481.50000000000006</v>
      </c>
      <c r="N17" s="115" t="s">
        <v>184</v>
      </c>
      <c r="O17" s="125">
        <f>IF(P17=0,0,Q17/P17)</f>
        <v>28.978571428571428</v>
      </c>
      <c r="P17" s="119">
        <v>14</v>
      </c>
      <c r="Q17" s="107">
        <v>405.7</v>
      </c>
    </row>
    <row r="18" spans="1:17" x14ac:dyDescent="0.4">
      <c r="A18" s="55" t="s">
        <v>12</v>
      </c>
      <c r="B18" s="47">
        <v>212</v>
      </c>
      <c r="C18" s="39">
        <f>IF(B$17=0,0,B18/B$17)</f>
        <v>0.4189723320158103</v>
      </c>
      <c r="E18" s="63" t="s">
        <v>92</v>
      </c>
      <c r="F18" s="60" t="s">
        <v>47</v>
      </c>
      <c r="G18" s="47">
        <v>12</v>
      </c>
      <c r="H18" s="133">
        <f>IF(B$17=0,0,G18/B$17)</f>
        <v>2.3715415019762844E-2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25.497916666666658</v>
      </c>
      <c r="P18" s="119">
        <v>48</v>
      </c>
      <c r="Q18" s="107">
        <v>1223.8999999999996</v>
      </c>
    </row>
    <row r="19" spans="1:17" x14ac:dyDescent="0.4">
      <c r="A19" s="55" t="s">
        <v>11</v>
      </c>
      <c r="B19" s="47">
        <v>294</v>
      </c>
      <c r="C19" s="39">
        <f>IF(B$17=0,0,B19/B$17)</f>
        <v>0.5810276679841897</v>
      </c>
      <c r="E19" s="63" t="s">
        <v>80</v>
      </c>
      <c r="F19" s="60" t="s">
        <v>35</v>
      </c>
      <c r="G19" s="47">
        <v>7</v>
      </c>
      <c r="H19" s="133">
        <f>IF(B$17=0,0,G19/B$17)</f>
        <v>1.383399209486166E-2</v>
      </c>
      <c r="I19" s="94">
        <v>9</v>
      </c>
      <c r="K19" s="38">
        <v>17</v>
      </c>
      <c r="L19" s="99">
        <v>427.40000000000003</v>
      </c>
      <c r="N19" s="115" t="s">
        <v>129</v>
      </c>
      <c r="O19" s="125">
        <f>IF(P19=0,0,Q19/P19)</f>
        <v>24.35194805194805</v>
      </c>
      <c r="P19" s="119">
        <v>77</v>
      </c>
      <c r="Q19" s="107">
        <v>1875.1</v>
      </c>
    </row>
    <row r="20" spans="1:17" x14ac:dyDescent="0.4">
      <c r="A20" s="55" t="s">
        <v>13</v>
      </c>
      <c r="B20" s="47">
        <v>226</v>
      </c>
      <c r="C20" s="39">
        <f>IF(B$3=0,0,B20/B$3)</f>
        <v>0.15147453083109919</v>
      </c>
      <c r="E20" s="63" t="s">
        <v>86</v>
      </c>
      <c r="F20" s="60" t="s">
        <v>41</v>
      </c>
      <c r="G20" s="47">
        <v>6</v>
      </c>
      <c r="H20" s="133">
        <f>IF(B$17=0,0,G20/B$17)</f>
        <v>1.1857707509881422E-2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23.824324324324326</v>
      </c>
      <c r="P20" s="119">
        <v>37</v>
      </c>
      <c r="Q20" s="107">
        <v>881.50000000000011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>IF(B$17=0,0,G21/B$17)</f>
        <v>7.9051383399209481E-3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18.539423076923075</v>
      </c>
      <c r="P21" s="119">
        <v>104</v>
      </c>
      <c r="Q21" s="107">
        <v>1928.0999999999997</v>
      </c>
    </row>
    <row r="22" spans="1:17" x14ac:dyDescent="0.4">
      <c r="A22" s="55" t="s">
        <v>192</v>
      </c>
      <c r="B22" s="47">
        <v>39</v>
      </c>
      <c r="C22" s="135">
        <v>14</v>
      </c>
      <c r="E22" s="63" t="s">
        <v>74</v>
      </c>
      <c r="F22" s="60" t="s">
        <v>29</v>
      </c>
      <c r="G22" s="47">
        <v>3</v>
      </c>
      <c r="H22" s="133">
        <f>IF(B$17=0,0,G22/B$17)</f>
        <v>5.9288537549407111E-3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9288.9328063241101</v>
      </c>
      <c r="C23" s="41">
        <v>4700200</v>
      </c>
      <c r="E23" s="63" t="s">
        <v>91</v>
      </c>
      <c r="F23" s="60" t="s">
        <v>46</v>
      </c>
      <c r="G23" s="47">
        <v>3</v>
      </c>
      <c r="H23" s="133">
        <f>IF(B$17=0,0,G23/B$17)</f>
        <v>5.9288537549407111E-3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-8112.8318584070794</v>
      </c>
      <c r="C24" s="45">
        <v>-1833500</v>
      </c>
      <c r="E24" s="63" t="s">
        <v>93</v>
      </c>
      <c r="F24" s="60" t="s">
        <v>48</v>
      </c>
      <c r="G24" s="47">
        <v>3</v>
      </c>
      <c r="H24" s="133">
        <f>IF(B$17=0,0,G24/B$17)</f>
        <v>5.9288537549407111E-3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3.952569169960474E-3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3.952569169960474E-3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6.7024128686327079E-4</v>
      </c>
      <c r="E27" s="63" t="s">
        <v>76</v>
      </c>
      <c r="F27" s="60" t="s">
        <v>31</v>
      </c>
      <c r="G27" s="47">
        <v>1</v>
      </c>
      <c r="H27" s="133">
        <f>IF(B$17=0,0,G27/B$17)</f>
        <v>1.976284584980237E-3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1.976284584980237E-3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1.976284584980237E-3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1.976284584980237E-3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1974.5000000000005</v>
      </c>
    </row>
    <row r="172" spans="11:12" x14ac:dyDescent="0.4">
      <c r="K172" s="38">
        <v>170</v>
      </c>
      <c r="L172" s="99">
        <v>2029.1000000000004</v>
      </c>
    </row>
    <row r="173" spans="11:12" x14ac:dyDescent="0.4">
      <c r="K173" s="38">
        <v>171</v>
      </c>
      <c r="L173" s="99">
        <v>2029.0000000000005</v>
      </c>
    </row>
    <row r="174" spans="11:12" x14ac:dyDescent="0.4">
      <c r="K174" s="38">
        <v>172</v>
      </c>
      <c r="L174" s="99">
        <v>2041.9000000000005</v>
      </c>
    </row>
    <row r="175" spans="11:12" x14ac:dyDescent="0.4">
      <c r="K175" s="38">
        <v>173</v>
      </c>
      <c r="L175" s="99">
        <v>2064.5000000000005</v>
      </c>
    </row>
    <row r="176" spans="11:12" x14ac:dyDescent="0.4">
      <c r="K176" s="38">
        <v>174</v>
      </c>
      <c r="L176" s="99">
        <v>2119.1000000000004</v>
      </c>
    </row>
    <row r="177" spans="11:12" x14ac:dyDescent="0.4">
      <c r="K177" s="38">
        <v>175</v>
      </c>
      <c r="L177" s="99">
        <v>2155.2000000000003</v>
      </c>
    </row>
    <row r="178" spans="11:12" x14ac:dyDescent="0.4">
      <c r="K178" s="38">
        <v>176</v>
      </c>
      <c r="L178" s="99">
        <v>2128.8000000000002</v>
      </c>
    </row>
    <row r="179" spans="11:12" x14ac:dyDescent="0.4">
      <c r="K179" s="38">
        <v>177</v>
      </c>
      <c r="L179" s="99">
        <v>2189.8000000000002</v>
      </c>
    </row>
    <row r="180" spans="11:12" x14ac:dyDescent="0.4">
      <c r="K180" s="38">
        <v>178</v>
      </c>
      <c r="L180" s="99">
        <v>2225.2000000000003</v>
      </c>
    </row>
    <row r="181" spans="11:12" x14ac:dyDescent="0.4">
      <c r="K181" s="38">
        <v>179</v>
      </c>
      <c r="L181" s="99">
        <v>2280.7000000000003</v>
      </c>
    </row>
    <row r="182" spans="11:12" x14ac:dyDescent="0.4">
      <c r="K182" s="38">
        <v>180</v>
      </c>
      <c r="L182" s="99">
        <v>2314.0000000000005</v>
      </c>
    </row>
    <row r="183" spans="11:12" x14ac:dyDescent="0.4">
      <c r="K183" s="38">
        <v>181</v>
      </c>
      <c r="L183" s="99">
        <v>2287.2000000000003</v>
      </c>
    </row>
    <row r="184" spans="11:12" x14ac:dyDescent="0.4">
      <c r="K184" s="38">
        <v>182</v>
      </c>
      <c r="L184" s="99">
        <v>2280.5000000000005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7E563-E115-4180-B575-C1792353550C}">
  <sheetPr codeName="Sheet9"/>
  <dimension ref="A1:Q1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151</v>
      </c>
      <c r="C2" s="151"/>
      <c r="E2" s="62" t="s">
        <v>67</v>
      </c>
      <c r="F2" s="59" t="s">
        <v>23</v>
      </c>
      <c r="G2" s="46">
        <v>254</v>
      </c>
      <c r="H2" s="132">
        <f>IF(B$17=0,0,G2/B$17)</f>
        <v>0.74486803519061584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464.23841059602648</v>
      </c>
      <c r="P2" s="118">
        <v>151</v>
      </c>
      <c r="Q2" s="102">
        <v>70100</v>
      </c>
    </row>
    <row r="3" spans="1:17" x14ac:dyDescent="0.4">
      <c r="A3" s="55" t="s">
        <v>8</v>
      </c>
      <c r="B3" s="152">
        <v>1236</v>
      </c>
      <c r="C3" s="153"/>
      <c r="E3" s="63" t="s">
        <v>65</v>
      </c>
      <c r="F3" s="60" t="s">
        <v>21</v>
      </c>
      <c r="G3" s="47">
        <v>207</v>
      </c>
      <c r="H3" s="133">
        <f>IF(B$17=0,0,G3/B$17)</f>
        <v>0.60703812316715544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-1963.013698630137</v>
      </c>
      <c r="P3" s="119">
        <v>146</v>
      </c>
      <c r="Q3" s="103">
        <v>-286600</v>
      </c>
    </row>
    <row r="4" spans="1:17" x14ac:dyDescent="0.4">
      <c r="A4" s="55" t="s">
        <v>6</v>
      </c>
      <c r="B4" s="154">
        <v>-480.10000000000008</v>
      </c>
      <c r="C4" s="155"/>
      <c r="E4" s="63" t="s">
        <v>73</v>
      </c>
      <c r="F4" s="60" t="s">
        <v>28</v>
      </c>
      <c r="G4" s="47">
        <v>156</v>
      </c>
      <c r="H4" s="133">
        <f>IF(B$17=0,0,G4/B$17)</f>
        <v>0.45747800586510262</v>
      </c>
      <c r="I4" s="94">
        <v>11</v>
      </c>
      <c r="K4" s="38">
        <v>2</v>
      </c>
      <c r="L4" s="99">
        <v>6.2999999999999972</v>
      </c>
      <c r="N4" s="115" t="s">
        <v>134</v>
      </c>
      <c r="O4" s="122">
        <f t="shared" si="0"/>
        <v>-269.28571428571428</v>
      </c>
      <c r="P4" s="119">
        <v>140</v>
      </c>
      <c r="Q4" s="103">
        <v>-37700</v>
      </c>
    </row>
    <row r="5" spans="1:17" x14ac:dyDescent="0.4">
      <c r="A5" s="55" t="s">
        <v>7</v>
      </c>
      <c r="B5" s="156">
        <f>IF(B$2=0,0,B$4/B$2)</f>
        <v>-3.1794701986754972</v>
      </c>
      <c r="C5" s="157"/>
      <c r="E5" s="63" t="s">
        <v>245</v>
      </c>
      <c r="F5" s="60" t="s">
        <v>246</v>
      </c>
      <c r="G5" s="47">
        <v>142</v>
      </c>
      <c r="H5" s="133">
        <f>IF(B$17=0,0,G5/B$17)</f>
        <v>0.41642228739002934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-83.333333333333329</v>
      </c>
      <c r="P5" s="119">
        <v>126</v>
      </c>
      <c r="Q5" s="103">
        <v>-10500</v>
      </c>
    </row>
    <row r="6" spans="1:17" x14ac:dyDescent="0.4">
      <c r="A6" s="55" t="s">
        <v>1</v>
      </c>
      <c r="B6" s="146">
        <f>IF(B$2=0,0,(B$7*1+B$8*2+B$9*3)/B$2)</f>
        <v>2.0794701986754967</v>
      </c>
      <c r="C6" s="147"/>
      <c r="E6" s="63" t="s">
        <v>68</v>
      </c>
      <c r="F6" s="60" t="s">
        <v>24</v>
      </c>
      <c r="G6" s="47">
        <v>133</v>
      </c>
      <c r="H6" s="133">
        <f>IF(B$17=0,0,G6/B$17)</f>
        <v>0.39002932551319647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800.89285714285711</v>
      </c>
      <c r="P6" s="119">
        <v>112</v>
      </c>
      <c r="Q6" s="103">
        <v>89700</v>
      </c>
    </row>
    <row r="7" spans="1:17" x14ac:dyDescent="0.4">
      <c r="A7" s="55" t="s">
        <v>2</v>
      </c>
      <c r="B7" s="47">
        <v>41</v>
      </c>
      <c r="C7" s="39">
        <f>IF(B$2=0,0,B7/B$2)</f>
        <v>0.27152317880794702</v>
      </c>
      <c r="E7" s="63" t="s">
        <v>69</v>
      </c>
      <c r="F7" s="60" t="s">
        <v>12</v>
      </c>
      <c r="G7" s="47">
        <v>118</v>
      </c>
      <c r="H7" s="133">
        <f>IF(B$17=0,0,G7/B$17)</f>
        <v>0.3460410557184751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-486.27450980392155</v>
      </c>
      <c r="P7" s="120">
        <v>102</v>
      </c>
      <c r="Q7" s="104">
        <v>-49600</v>
      </c>
    </row>
    <row r="8" spans="1:17" x14ac:dyDescent="0.4">
      <c r="A8" s="55" t="s">
        <v>3</v>
      </c>
      <c r="B8" s="47">
        <v>57</v>
      </c>
      <c r="C8" s="39">
        <f>IF(B$2=0,0,B8/B$2)</f>
        <v>0.37748344370860926</v>
      </c>
      <c r="E8" s="63" t="s">
        <v>70</v>
      </c>
      <c r="F8" s="60" t="s">
        <v>25</v>
      </c>
      <c r="G8" s="47">
        <v>77</v>
      </c>
      <c r="H8" s="133">
        <f>IF(B$17=0,0,G8/B$17)</f>
        <v>0.22580645161290322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ref="C9" si="1">IF(B$2=0,0,B9/B$2)</f>
        <v>0.35099337748344372</v>
      </c>
      <c r="E9" s="63" t="s">
        <v>66</v>
      </c>
      <c r="F9" s="60" t="s">
        <v>22</v>
      </c>
      <c r="G9" s="47">
        <v>50</v>
      </c>
      <c r="H9" s="133">
        <f>IF(B$17=0,0,G9/B$17)</f>
        <v>0.1466275659824047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0.13245033112582782</v>
      </c>
      <c r="E10" s="63" t="s">
        <v>71</v>
      </c>
      <c r="F10" s="60" t="s">
        <v>26</v>
      </c>
      <c r="G10" s="47">
        <v>43</v>
      </c>
      <c r="H10" s="133">
        <f>IF(B$17=0,0,G10/B$17)</f>
        <v>0.12609970674486803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-6.116216216216217</v>
      </c>
      <c r="P10" s="118">
        <v>74</v>
      </c>
      <c r="Q10" s="106">
        <v>-452.60000000000008</v>
      </c>
    </row>
    <row r="11" spans="1:17" x14ac:dyDescent="0.4">
      <c r="A11" s="56" t="s">
        <v>140</v>
      </c>
      <c r="B11" s="48">
        <v>15</v>
      </c>
      <c r="C11" s="40">
        <f>IF(B$2=0,0,B11/B$2)</f>
        <v>9.9337748344370855E-2</v>
      </c>
      <c r="E11" s="63" t="s">
        <v>90</v>
      </c>
      <c r="F11" s="60" t="s">
        <v>45</v>
      </c>
      <c r="G11" s="47">
        <v>39</v>
      </c>
      <c r="H11" s="133">
        <f>IF(B$17=0,0,G11/B$17)</f>
        <v>0.11436950146627566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-3.8424999999999989</v>
      </c>
      <c r="P11" s="119">
        <v>40</v>
      </c>
      <c r="Q11" s="107">
        <v>-153.69999999999996</v>
      </c>
    </row>
    <row r="12" spans="1:17" x14ac:dyDescent="0.4">
      <c r="A12" s="57" t="s">
        <v>160</v>
      </c>
      <c r="B12" s="49">
        <v>9</v>
      </c>
      <c r="C12" s="42">
        <f>IF(B$2=0,0,B12/B$2)</f>
        <v>5.9602649006622516E-2</v>
      </c>
      <c r="E12" s="63" t="s">
        <v>72</v>
      </c>
      <c r="F12" s="60" t="s">
        <v>27</v>
      </c>
      <c r="G12" s="47">
        <v>17</v>
      </c>
      <c r="H12" s="133">
        <f>IF(B$17=0,0,G12/B$17)</f>
        <v>4.9853372434017593E-2</v>
      </c>
      <c r="I12" s="94">
        <v>10</v>
      </c>
      <c r="K12" s="38">
        <v>10</v>
      </c>
      <c r="L12" s="99">
        <v>-80.900000000000006</v>
      </c>
      <c r="N12" s="116" t="s">
        <v>166</v>
      </c>
      <c r="O12" s="126">
        <f>IF(P12=0,0,Q12/P12)</f>
        <v>3.4108108108108102</v>
      </c>
      <c r="P12" s="120">
        <v>37</v>
      </c>
      <c r="Q12" s="108">
        <v>126.19999999999997</v>
      </c>
    </row>
    <row r="13" spans="1:17" x14ac:dyDescent="0.4">
      <c r="A13" s="58" t="s">
        <v>122</v>
      </c>
      <c r="B13" s="50">
        <v>373</v>
      </c>
      <c r="C13" s="44">
        <f>IF(B$3=0,0,B13/B$3)</f>
        <v>0.3017799352750809</v>
      </c>
      <c r="E13" s="63" t="s">
        <v>87</v>
      </c>
      <c r="F13" s="60" t="s">
        <v>42</v>
      </c>
      <c r="G13" s="47">
        <v>17</v>
      </c>
      <c r="H13" s="133">
        <f>IF(B$17=0,0,G13/B$17)</f>
        <v>4.9853372434017593E-2</v>
      </c>
      <c r="I13" s="94">
        <v>8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217</v>
      </c>
      <c r="C14" s="39">
        <f>IF(B$3=0,0,B14/B$3)</f>
        <v>0.17556634304207119</v>
      </c>
      <c r="E14" s="63" t="s">
        <v>84</v>
      </c>
      <c r="F14" s="60" t="s">
        <v>39</v>
      </c>
      <c r="G14" s="47">
        <v>15</v>
      </c>
      <c r="H14" s="133">
        <f>IF(B$17=0,0,G14/B$17)</f>
        <v>4.398826979472141E-2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218</v>
      </c>
      <c r="C15" s="37">
        <f>IF(B$13=0,0,B15/B$13)</f>
        <v>0.58445040214477206</v>
      </c>
      <c r="E15" s="63" t="s">
        <v>82</v>
      </c>
      <c r="F15" s="60" t="s">
        <v>37</v>
      </c>
      <c r="G15" s="47">
        <v>11</v>
      </c>
      <c r="H15" s="133">
        <f>IF(B$17=0,0,G15/B$17)</f>
        <v>3.2258064516129031E-2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69</v>
      </c>
      <c r="C16" s="37">
        <f>IF(B$14=0,0,B16/B$14)</f>
        <v>0.31797235023041476</v>
      </c>
      <c r="E16" s="63" t="s">
        <v>79</v>
      </c>
      <c r="F16" s="60" t="s">
        <v>34</v>
      </c>
      <c r="G16" s="47">
        <v>7</v>
      </c>
      <c r="H16" s="133">
        <f>IF(B$17=0,0,G16/B$17)</f>
        <v>2.0527859237536656E-2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341</v>
      </c>
      <c r="C17" s="37">
        <f>IF(B$3=0,0,B17/B$3)</f>
        <v>0.27588996763754048</v>
      </c>
      <c r="E17" s="63" t="s">
        <v>80</v>
      </c>
      <c r="F17" s="60" t="s">
        <v>35</v>
      </c>
      <c r="G17" s="47">
        <v>7</v>
      </c>
      <c r="H17" s="133">
        <f>IF(B$17=0,0,G17/B$17)</f>
        <v>2.0527859237536656E-2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4.2142857142857117</v>
      </c>
      <c r="P17" s="119">
        <v>56</v>
      </c>
      <c r="Q17" s="107">
        <v>235.99999999999986</v>
      </c>
    </row>
    <row r="18" spans="1:17" x14ac:dyDescent="0.4">
      <c r="A18" s="55" t="s">
        <v>12</v>
      </c>
      <c r="B18" s="47">
        <v>148</v>
      </c>
      <c r="C18" s="39">
        <f>IF(B$17=0,0,B18/B$17)</f>
        <v>0.43401759530791789</v>
      </c>
      <c r="E18" s="63" t="s">
        <v>92</v>
      </c>
      <c r="F18" s="60" t="s">
        <v>47</v>
      </c>
      <c r="G18" s="47">
        <v>6</v>
      </c>
      <c r="H18" s="133">
        <f>IF(B$17=0,0,G18/B$17)</f>
        <v>1.7595307917888565E-2</v>
      </c>
      <c r="I18" s="94">
        <v>6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193</v>
      </c>
      <c r="C19" s="39">
        <f>IF(B$17=0,0,B19/B$17)</f>
        <v>0.56598240469208216</v>
      </c>
      <c r="E19" s="63" t="s">
        <v>180</v>
      </c>
      <c r="F19" s="60" t="s">
        <v>181</v>
      </c>
      <c r="G19" s="47">
        <v>6</v>
      </c>
      <c r="H19" s="133">
        <f>IF(B$17=0,0,G19/B$17)</f>
        <v>1.7595307917888565E-2</v>
      </c>
      <c r="I19" s="94">
        <v>4</v>
      </c>
      <c r="K19" s="38">
        <v>17</v>
      </c>
      <c r="L19" s="99">
        <v>94.6</v>
      </c>
      <c r="N19" s="115" t="s">
        <v>177</v>
      </c>
      <c r="O19" s="125">
        <f>IF(P19=0,0,Q19/P19)</f>
        <v>-1.8258064516129036</v>
      </c>
      <c r="P19" s="119">
        <v>31</v>
      </c>
      <c r="Q19" s="107">
        <v>-56.600000000000009</v>
      </c>
    </row>
    <row r="20" spans="1:17" x14ac:dyDescent="0.4">
      <c r="A20" s="55" t="s">
        <v>13</v>
      </c>
      <c r="B20" s="47">
        <v>225</v>
      </c>
      <c r="C20" s="39">
        <f>IF(B$3=0,0,B20/B$3)</f>
        <v>0.18203883495145631</v>
      </c>
      <c r="E20" s="63" t="s">
        <v>76</v>
      </c>
      <c r="F20" s="60" t="s">
        <v>31</v>
      </c>
      <c r="G20" s="47">
        <v>4</v>
      </c>
      <c r="H20" s="133">
        <f>IF(B$17=0,0,G20/B$17)</f>
        <v>1.1730205278592375E-2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>IF(P20=0,0,Q20/P20)</f>
        <v>-3.4914285714285702</v>
      </c>
      <c r="P20" s="119">
        <v>35</v>
      </c>
      <c r="Q20" s="107">
        <v>-122.19999999999996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74</v>
      </c>
      <c r="F21" s="60" t="s">
        <v>29</v>
      </c>
      <c r="G21" s="47">
        <v>3</v>
      </c>
      <c r="H21" s="133">
        <f>IF(B$17=0,0,G21/B$17)</f>
        <v>8.7976539589442824E-3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75</v>
      </c>
      <c r="F22" s="60" t="s">
        <v>30</v>
      </c>
      <c r="G22" s="47">
        <v>2</v>
      </c>
      <c r="H22" s="133">
        <f>IF(B$17=0,0,G22/B$17)</f>
        <v>5.8651026392961877E-3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-18.539423076923075</v>
      </c>
      <c r="P22" s="119">
        <v>104</v>
      </c>
      <c r="Q22" s="107">
        <v>-1928.0999999999997</v>
      </c>
    </row>
    <row r="23" spans="1:17" x14ac:dyDescent="0.4">
      <c r="A23" s="55" t="s">
        <v>5</v>
      </c>
      <c r="B23" s="51">
        <f>IF(B$17=0,0,C23/B$17)</f>
        <v>9042.2287390029323</v>
      </c>
      <c r="C23" s="41">
        <v>3083400</v>
      </c>
      <c r="E23" s="63" t="s">
        <v>78</v>
      </c>
      <c r="F23" s="60" t="s">
        <v>33</v>
      </c>
      <c r="G23" s="47">
        <v>1</v>
      </c>
      <c r="H23" s="133">
        <f>IF(B$17=0,0,G23/B$17)</f>
        <v>2.9325513196480938E-3</v>
      </c>
      <c r="I23" s="94">
        <v>7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-7599.1111111111113</v>
      </c>
      <c r="C24" s="45">
        <v>-1709800</v>
      </c>
      <c r="E24" s="63" t="s">
        <v>85</v>
      </c>
      <c r="F24" s="60" t="s">
        <v>40</v>
      </c>
      <c r="G24" s="47">
        <v>1</v>
      </c>
      <c r="H24" s="133">
        <f>IF(B$17=0,0,G24/B$17)</f>
        <v>2.9325513196480938E-3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2.9325513196480938E-3</v>
      </c>
      <c r="I25" s="94">
        <v>3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2.9325513196480938E-3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4.0453074433656954E-3</v>
      </c>
      <c r="E27" s="63" t="s">
        <v>94</v>
      </c>
      <c r="F27" s="60" t="s">
        <v>49</v>
      </c>
      <c r="G27" s="47">
        <v>1</v>
      </c>
      <c r="H27" s="133">
        <f>IF(B$17=0,0,G27/B$17)</f>
        <v>2.9325513196480938E-3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2.9325513196480938E-3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-400.50000000000006</v>
      </c>
    </row>
    <row r="147" spans="11:12" x14ac:dyDescent="0.4">
      <c r="K147" s="38">
        <v>145</v>
      </c>
      <c r="L147" s="99">
        <v>-402.30000000000007</v>
      </c>
    </row>
    <row r="148" spans="11:12" x14ac:dyDescent="0.4">
      <c r="K148" s="38">
        <v>146</v>
      </c>
      <c r="L148" s="99">
        <v>-459.10000000000008</v>
      </c>
    </row>
    <row r="149" spans="11:12" x14ac:dyDescent="0.4">
      <c r="K149" s="38">
        <v>147</v>
      </c>
      <c r="L149" s="99">
        <v>-491.60000000000008</v>
      </c>
    </row>
    <row r="150" spans="11:12" x14ac:dyDescent="0.4">
      <c r="K150" s="38">
        <v>148</v>
      </c>
      <c r="L150" s="99">
        <v>-504.30000000000007</v>
      </c>
    </row>
    <row r="151" spans="11:12" x14ac:dyDescent="0.4">
      <c r="K151" s="38">
        <v>149</v>
      </c>
      <c r="L151" s="99">
        <v>-547.40000000000009</v>
      </c>
    </row>
    <row r="152" spans="11:12" x14ac:dyDescent="0.4">
      <c r="K152" s="38">
        <v>150</v>
      </c>
      <c r="L152" s="99">
        <v>-520.90000000000009</v>
      </c>
    </row>
    <row r="153" spans="11:12" x14ac:dyDescent="0.4">
      <c r="K153" s="38">
        <v>151</v>
      </c>
      <c r="L153" s="99">
        <v>-480.10000000000008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E88A6-704F-4892-A797-BDFA4DE1471C}">
  <sheetPr codeName="Sheet11"/>
  <dimension ref="A1:Q13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128</v>
      </c>
      <c r="C2" s="151"/>
      <c r="E2" s="62" t="s">
        <v>67</v>
      </c>
      <c r="F2" s="59" t="s">
        <v>23</v>
      </c>
      <c r="G2" s="46">
        <v>248</v>
      </c>
      <c r="H2" s="132">
        <f>IF(B$17=0,0,G2/B$17)</f>
        <v>0.84931506849315064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-1921.09375</v>
      </c>
      <c r="P2" s="118">
        <v>128</v>
      </c>
      <c r="Q2" s="102">
        <v>-245900</v>
      </c>
    </row>
    <row r="3" spans="1:17" x14ac:dyDescent="0.4">
      <c r="A3" s="55" t="s">
        <v>8</v>
      </c>
      <c r="B3" s="152">
        <v>1077</v>
      </c>
      <c r="C3" s="153"/>
      <c r="E3" s="63" t="s">
        <v>65</v>
      </c>
      <c r="F3" s="60" t="s">
        <v>21</v>
      </c>
      <c r="G3" s="47">
        <v>148</v>
      </c>
      <c r="H3" s="133">
        <f>IF(B$17=0,0,G3/B$17)</f>
        <v>0.50684931506849318</v>
      </c>
      <c r="I3" s="94">
        <v>6</v>
      </c>
      <c r="K3" s="38">
        <v>1</v>
      </c>
      <c r="L3" s="99">
        <v>-40.4</v>
      </c>
      <c r="N3" s="115" t="s">
        <v>133</v>
      </c>
      <c r="O3" s="122">
        <f t="shared" si="0"/>
        <v>-1605.6</v>
      </c>
      <c r="P3" s="119">
        <v>125</v>
      </c>
      <c r="Q3" s="103">
        <v>-200700</v>
      </c>
    </row>
    <row r="4" spans="1:17" x14ac:dyDescent="0.4">
      <c r="A4" s="55" t="s">
        <v>6</v>
      </c>
      <c r="B4" s="154">
        <v>-951.50000000000011</v>
      </c>
      <c r="C4" s="155"/>
      <c r="E4" s="63" t="s">
        <v>73</v>
      </c>
      <c r="F4" s="60" t="s">
        <v>28</v>
      </c>
      <c r="G4" s="47">
        <v>126</v>
      </c>
      <c r="H4" s="133">
        <f>IF(B$17=0,0,G4/B$17)</f>
        <v>0.4315068493150685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1036.7521367521367</v>
      </c>
      <c r="P4" s="119">
        <v>117</v>
      </c>
      <c r="Q4" s="103">
        <v>121300</v>
      </c>
    </row>
    <row r="5" spans="1:17" x14ac:dyDescent="0.4">
      <c r="A5" s="55" t="s">
        <v>7</v>
      </c>
      <c r="B5" s="156">
        <f>IF(B$2=0,0,B$4/B$2)</f>
        <v>-7.4335937500000009</v>
      </c>
      <c r="C5" s="157"/>
      <c r="E5" s="63" t="s">
        <v>245</v>
      </c>
      <c r="F5" s="60" t="s">
        <v>246</v>
      </c>
      <c r="G5" s="47">
        <v>111</v>
      </c>
      <c r="H5" s="133">
        <f>IF(B$17=0,0,G5/B$17)</f>
        <v>0.38013698630136988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-3183.8095238095239</v>
      </c>
      <c r="P5" s="119">
        <v>105</v>
      </c>
      <c r="Q5" s="103">
        <v>-334300</v>
      </c>
    </row>
    <row r="6" spans="1:17" x14ac:dyDescent="0.4">
      <c r="A6" s="55" t="s">
        <v>1</v>
      </c>
      <c r="B6" s="146">
        <f>IF(B$2=0,0,(B$7*1+B$8*2+B$9*3)/B$2)</f>
        <v>2.1015625</v>
      </c>
      <c r="C6" s="147"/>
      <c r="E6" s="63" t="s">
        <v>69</v>
      </c>
      <c r="F6" s="60" t="s">
        <v>12</v>
      </c>
      <c r="G6" s="47">
        <v>101</v>
      </c>
      <c r="H6" s="133">
        <f>IF(B$17=0,0,G6/B$17)</f>
        <v>0.3458904109589041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-427.36842105263156</v>
      </c>
      <c r="P6" s="119">
        <v>95</v>
      </c>
      <c r="Q6" s="103">
        <v>-40600</v>
      </c>
    </row>
    <row r="7" spans="1:17" x14ac:dyDescent="0.4">
      <c r="A7" s="55" t="s">
        <v>2</v>
      </c>
      <c r="B7" s="47">
        <v>39</v>
      </c>
      <c r="C7" s="39">
        <f>IF(B$2=0,0,B7/B$2)</f>
        <v>0.3046875</v>
      </c>
      <c r="E7" s="63" t="s">
        <v>68</v>
      </c>
      <c r="F7" s="60" t="s">
        <v>24</v>
      </c>
      <c r="G7" s="47">
        <v>87</v>
      </c>
      <c r="H7" s="133">
        <f>IF(B$17=0,0,G7/B$17)</f>
        <v>0.29794520547945208</v>
      </c>
      <c r="I7" s="94">
        <v>8</v>
      </c>
      <c r="K7" s="38">
        <v>5</v>
      </c>
      <c r="L7" s="99">
        <v>-32.199999999999996</v>
      </c>
      <c r="N7" s="116" t="s">
        <v>137</v>
      </c>
      <c r="O7" s="123">
        <f t="shared" si="0"/>
        <v>-39.285714285714285</v>
      </c>
      <c r="P7" s="120">
        <v>84</v>
      </c>
      <c r="Q7" s="104">
        <v>-3300</v>
      </c>
    </row>
    <row r="8" spans="1:17" x14ac:dyDescent="0.4">
      <c r="A8" s="55" t="s">
        <v>3</v>
      </c>
      <c r="B8" s="47">
        <v>37</v>
      </c>
      <c r="C8" s="39">
        <f>IF(B$2=0,0,B8/B$2)</f>
        <v>0.2890625</v>
      </c>
      <c r="E8" s="63" t="s">
        <v>70</v>
      </c>
      <c r="F8" s="60" t="s">
        <v>25</v>
      </c>
      <c r="G8" s="47">
        <v>48</v>
      </c>
      <c r="H8" s="133">
        <f>IF(B$17=0,0,G8/B$17)</f>
        <v>0.16438356164383561</v>
      </c>
      <c r="I8" s="94">
        <v>5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52</v>
      </c>
      <c r="C9" s="40">
        <f t="shared" ref="C9" si="1">IF(B$2=0,0,B9/B$2)</f>
        <v>0.40625</v>
      </c>
      <c r="E9" s="63" t="s">
        <v>71</v>
      </c>
      <c r="F9" s="60" t="s">
        <v>26</v>
      </c>
      <c r="G9" s="47">
        <v>45</v>
      </c>
      <c r="H9" s="133">
        <f>IF(B$17=0,0,G9/B$17)</f>
        <v>0.1541095890410959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21</v>
      </c>
      <c r="C10" s="40">
        <f>IF(B$2=0,0,B10/B$2)</f>
        <v>0.1640625</v>
      </c>
      <c r="E10" s="63" t="s">
        <v>72</v>
      </c>
      <c r="F10" s="60" t="s">
        <v>27</v>
      </c>
      <c r="G10" s="47">
        <v>32</v>
      </c>
      <c r="H10" s="133">
        <f>IF(B$17=0,0,G10/B$17)</f>
        <v>0.1095890410958904</v>
      </c>
      <c r="I10" s="94">
        <v>3</v>
      </c>
      <c r="K10" s="38">
        <v>8</v>
      </c>
      <c r="L10" s="99">
        <v>-79.599999999999994</v>
      </c>
      <c r="N10" s="114" t="s">
        <v>164</v>
      </c>
      <c r="O10" s="124">
        <f>IF(P10=0,0,Q10/P10)</f>
        <v>-13.755555555555548</v>
      </c>
      <c r="P10" s="118">
        <v>36</v>
      </c>
      <c r="Q10" s="106">
        <v>-495.1999999999997</v>
      </c>
    </row>
    <row r="11" spans="1:17" x14ac:dyDescent="0.4">
      <c r="A11" s="56" t="s">
        <v>140</v>
      </c>
      <c r="B11" s="48">
        <v>15</v>
      </c>
      <c r="C11" s="40">
        <f>IF(B$2=0,0,B11/B$2)</f>
        <v>0.1171875</v>
      </c>
      <c r="E11" s="63" t="s">
        <v>90</v>
      </c>
      <c r="F11" s="60" t="s">
        <v>45</v>
      </c>
      <c r="G11" s="47">
        <v>31</v>
      </c>
      <c r="H11" s="133">
        <f>IF(B$17=0,0,G11/B$17)</f>
        <v>0.10616438356164383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-5.5795918367346973</v>
      </c>
      <c r="P11" s="119">
        <v>49</v>
      </c>
      <c r="Q11" s="107">
        <v>-273.40000000000015</v>
      </c>
    </row>
    <row r="12" spans="1:17" x14ac:dyDescent="0.4">
      <c r="A12" s="57" t="s">
        <v>160</v>
      </c>
      <c r="B12" s="49">
        <v>13</v>
      </c>
      <c r="C12" s="42">
        <f>IF(B$2=0,0,B12/B$2)</f>
        <v>0.1015625</v>
      </c>
      <c r="E12" s="63" t="s">
        <v>66</v>
      </c>
      <c r="F12" s="60" t="s">
        <v>22</v>
      </c>
      <c r="G12" s="47">
        <v>25</v>
      </c>
      <c r="H12" s="133">
        <f>IF(B$17=0,0,G12/B$17)</f>
        <v>8.5616438356164379E-2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-4.2534883720930203</v>
      </c>
      <c r="P12" s="120">
        <v>43</v>
      </c>
      <c r="Q12" s="108">
        <v>-182.89999999999986</v>
      </c>
    </row>
    <row r="13" spans="1:17" x14ac:dyDescent="0.4">
      <c r="A13" s="58" t="s">
        <v>122</v>
      </c>
      <c r="B13" s="50">
        <v>278</v>
      </c>
      <c r="C13" s="44">
        <f>IF(B$3=0,0,B13/B$3)</f>
        <v>0.25812441968430827</v>
      </c>
      <c r="E13" s="63" t="s">
        <v>87</v>
      </c>
      <c r="F13" s="60" t="s">
        <v>42</v>
      </c>
      <c r="G13" s="47">
        <v>16</v>
      </c>
      <c r="H13" s="133">
        <f>IF(B$17=0,0,G13/B$17)</f>
        <v>5.4794520547945202E-2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198</v>
      </c>
      <c r="C14" s="39">
        <f>IF(B$3=0,0,B14/B$3)</f>
        <v>0.18384401114206128</v>
      </c>
      <c r="E14" s="63" t="s">
        <v>79</v>
      </c>
      <c r="F14" s="60" t="s">
        <v>34</v>
      </c>
      <c r="G14" s="47">
        <v>11</v>
      </c>
      <c r="H14" s="133">
        <f>IF(B$17=0,0,G14/B$17)</f>
        <v>3.7671232876712327E-2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156</v>
      </c>
      <c r="C15" s="37">
        <f>IF(B$13=0,0,B15/B$13)</f>
        <v>0.5611510791366906</v>
      </c>
      <c r="E15" s="63" t="s">
        <v>84</v>
      </c>
      <c r="F15" s="60" t="s">
        <v>39</v>
      </c>
      <c r="G15" s="47">
        <v>11</v>
      </c>
      <c r="H15" s="133">
        <f>IF(B$17=0,0,G15/B$17)</f>
        <v>3.7671232876712327E-2</v>
      </c>
      <c r="I15" s="94">
        <v>10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64</v>
      </c>
      <c r="C16" s="37">
        <f>IF(B$14=0,0,B16/B$14)</f>
        <v>0.32323232323232326</v>
      </c>
      <c r="E16" s="63" t="s">
        <v>82</v>
      </c>
      <c r="F16" s="60" t="s">
        <v>37</v>
      </c>
      <c r="G16" s="47">
        <v>9</v>
      </c>
      <c r="H16" s="133">
        <f>IF(B$17=0,0,G16/B$17)</f>
        <v>3.0821917808219176E-2</v>
      </c>
      <c r="I16" s="94">
        <v>5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292</v>
      </c>
      <c r="C17" s="37">
        <f>IF(B$3=0,0,B17/B$3)</f>
        <v>0.27112349117920148</v>
      </c>
      <c r="E17" s="63" t="s">
        <v>78</v>
      </c>
      <c r="F17" s="60" t="s">
        <v>33</v>
      </c>
      <c r="G17" s="47">
        <v>5</v>
      </c>
      <c r="H17" s="133">
        <f>IF(B$17=0,0,G17/B$17)</f>
        <v>1.7123287671232876E-2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123</v>
      </c>
      <c r="C18" s="39">
        <f>IF(B$17=0,0,B18/B$17)</f>
        <v>0.42123287671232879</v>
      </c>
      <c r="E18" s="63" t="s">
        <v>92</v>
      </c>
      <c r="F18" s="60" t="s">
        <v>47</v>
      </c>
      <c r="G18" s="47">
        <v>4</v>
      </c>
      <c r="H18" s="133">
        <f>IF(B$17=0,0,G18/B$17)</f>
        <v>1.3698630136986301E-2</v>
      </c>
      <c r="I18" s="94">
        <v>9</v>
      </c>
      <c r="K18" s="38">
        <v>16</v>
      </c>
      <c r="L18" s="99">
        <v>-472</v>
      </c>
      <c r="N18" s="115" t="s">
        <v>177</v>
      </c>
      <c r="O18" s="125">
        <f>IF(P18=0,0,Q18/P18)</f>
        <v>8.8093750000000011</v>
      </c>
      <c r="P18" s="119">
        <v>32</v>
      </c>
      <c r="Q18" s="107">
        <v>281.90000000000003</v>
      </c>
    </row>
    <row r="19" spans="1:17" x14ac:dyDescent="0.4">
      <c r="A19" s="55" t="s">
        <v>11</v>
      </c>
      <c r="B19" s="47">
        <v>169</v>
      </c>
      <c r="C19" s="39">
        <f>IF(B$17=0,0,B19/B$17)</f>
        <v>0.57876712328767121</v>
      </c>
      <c r="E19" s="63" t="s">
        <v>75</v>
      </c>
      <c r="F19" s="60" t="s">
        <v>30</v>
      </c>
      <c r="G19" s="47">
        <v>3</v>
      </c>
      <c r="H19" s="133">
        <f>IF(B$17=0,0,G19/B$17)</f>
        <v>1.0273972602739725E-2</v>
      </c>
      <c r="I19" s="94">
        <v>2</v>
      </c>
      <c r="K19" s="38">
        <v>17</v>
      </c>
      <c r="L19" s="99">
        <v>-538.29999999999995</v>
      </c>
      <c r="N19" s="115" t="s">
        <v>128</v>
      </c>
      <c r="O19" s="125">
        <f>IF(P19=0,0,Q19/P19)</f>
        <v>-4.2142857142857126</v>
      </c>
      <c r="P19" s="119">
        <v>56</v>
      </c>
      <c r="Q19" s="107">
        <v>-235.99999999999989</v>
      </c>
    </row>
    <row r="20" spans="1:17" x14ac:dyDescent="0.4">
      <c r="A20" s="55" t="s">
        <v>13</v>
      </c>
      <c r="B20" s="47">
        <v>197</v>
      </c>
      <c r="C20" s="39">
        <f>IF(B$3=0,0,B20/B$3)</f>
        <v>0.1829155060352832</v>
      </c>
      <c r="E20" s="63" t="s">
        <v>80</v>
      </c>
      <c r="F20" s="60" t="s">
        <v>35</v>
      </c>
      <c r="G20" s="47">
        <v>2</v>
      </c>
      <c r="H20" s="133">
        <f>IF(B$17=0,0,G20/B$17)</f>
        <v>6.8493150684931503E-3</v>
      </c>
      <c r="I20" s="94">
        <v>11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6.8493150684931503E-3</v>
      </c>
      <c r="I21" s="94">
        <v>2</v>
      </c>
      <c r="K21" s="38">
        <v>19</v>
      </c>
      <c r="L21" s="99">
        <v>-569.49999999999989</v>
      </c>
      <c r="N21" s="115" t="s">
        <v>171</v>
      </c>
      <c r="O21" s="125">
        <f>IF(P21=0,0,Q21/P21)</f>
        <v>-18.865624999999994</v>
      </c>
      <c r="P21" s="119">
        <v>32</v>
      </c>
      <c r="Q21" s="107">
        <v>-603.69999999999982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88</v>
      </c>
      <c r="F22" s="60" t="s">
        <v>43</v>
      </c>
      <c r="G22" s="47">
        <v>2</v>
      </c>
      <c r="H22" s="133">
        <f>IF(B$17=0,0,G22/B$17)</f>
        <v>6.8493150684931503E-3</v>
      </c>
      <c r="I22" s="94">
        <v>2</v>
      </c>
      <c r="K22" s="38">
        <v>20</v>
      </c>
      <c r="L22" s="99">
        <v>-632.99999999999989</v>
      </c>
      <c r="N22" s="115" t="s">
        <v>127</v>
      </c>
      <c r="O22" s="125">
        <f>IF(P22=0,0,Q22/P22)</f>
        <v>-24.351948051948053</v>
      </c>
      <c r="P22" s="119">
        <v>77</v>
      </c>
      <c r="Q22" s="107">
        <v>-1875.1000000000001</v>
      </c>
    </row>
    <row r="23" spans="1:17" x14ac:dyDescent="0.4">
      <c r="A23" s="55" t="s">
        <v>5</v>
      </c>
      <c r="B23" s="51">
        <f>IF(B$17=0,0,C23/B$17)</f>
        <v>8695.5479452054788</v>
      </c>
      <c r="C23" s="41">
        <v>2539100</v>
      </c>
      <c r="E23" s="63" t="s">
        <v>94</v>
      </c>
      <c r="F23" s="60" t="s">
        <v>49</v>
      </c>
      <c r="G23" s="47">
        <v>2</v>
      </c>
      <c r="H23" s="133">
        <f>IF(B$17=0,0,G23/B$17)</f>
        <v>6.8493150684931503E-3</v>
      </c>
      <c r="I23" s="94">
        <v>1</v>
      </c>
      <c r="K23" s="38">
        <v>21</v>
      </c>
      <c r="L23" s="99">
        <v>-629.49999999999989</v>
      </c>
      <c r="N23" s="115" t="s">
        <v>172</v>
      </c>
      <c r="O23" s="125">
        <f>IF(P23=0,0,Q23/P23)</f>
        <v>-25.859259259259254</v>
      </c>
      <c r="P23" s="119">
        <v>27</v>
      </c>
      <c r="Q23" s="107">
        <v>-698.19999999999982</v>
      </c>
    </row>
    <row r="24" spans="1:17" x14ac:dyDescent="0.4">
      <c r="A24" s="57" t="s">
        <v>14</v>
      </c>
      <c r="B24" s="52">
        <f>IF(B$20=0,0,C24/B$20)</f>
        <v>-8832.9949238578683</v>
      </c>
      <c r="C24" s="45">
        <v>-1740100</v>
      </c>
      <c r="E24" s="63" t="s">
        <v>76</v>
      </c>
      <c r="F24" s="60" t="s">
        <v>31</v>
      </c>
      <c r="G24" s="47">
        <v>1</v>
      </c>
      <c r="H24" s="133">
        <f>IF(B$17=0,0,G24/B$17)</f>
        <v>3.4246575342465752E-3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3.4246575342465752E-3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3.4246575342465752E-3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1.8570102135561746E-3</v>
      </c>
      <c r="E27" s="63" t="s">
        <v>93</v>
      </c>
      <c r="F27" s="60" t="s">
        <v>48</v>
      </c>
      <c r="G27" s="47">
        <v>1</v>
      </c>
      <c r="H27" s="133">
        <f>IF(B$17=0,0,G27/B$17)</f>
        <v>3.4246575342465752E-3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3.4246575342465752E-3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-905.80000000000007</v>
      </c>
    </row>
    <row r="124" spans="11:12" x14ac:dyDescent="0.4">
      <c r="K124" s="38">
        <v>122</v>
      </c>
      <c r="L124" s="99">
        <v>-877.6</v>
      </c>
    </row>
    <row r="125" spans="11:12" x14ac:dyDescent="0.4">
      <c r="K125" s="38">
        <v>123</v>
      </c>
      <c r="L125" s="99">
        <v>-881.80000000000007</v>
      </c>
    </row>
    <row r="126" spans="11:12" x14ac:dyDescent="0.4">
      <c r="K126" s="38">
        <v>124</v>
      </c>
      <c r="L126" s="99">
        <v>-884.7</v>
      </c>
    </row>
    <row r="127" spans="11:12" x14ac:dyDescent="0.4">
      <c r="K127" s="38">
        <v>125</v>
      </c>
      <c r="L127" s="99">
        <v>-927.5</v>
      </c>
    </row>
    <row r="128" spans="11:12" x14ac:dyDescent="0.4">
      <c r="K128" s="38">
        <v>126</v>
      </c>
      <c r="L128" s="99">
        <v>-917.7</v>
      </c>
    </row>
    <row r="129" spans="11:12" x14ac:dyDescent="0.4">
      <c r="K129" s="38">
        <v>127</v>
      </c>
      <c r="L129" s="99">
        <v>-917.40000000000009</v>
      </c>
    </row>
    <row r="130" spans="11:12" x14ac:dyDescent="0.4">
      <c r="K130" s="38">
        <v>128</v>
      </c>
      <c r="L130" s="99">
        <v>-951.50000000000011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26066-C0DE-4C28-BD6C-F368E5DFF6FA}">
  <sheetPr codeName="Sheet13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96</v>
      </c>
      <c r="C2" s="151"/>
      <c r="E2" s="62" t="s">
        <v>67</v>
      </c>
      <c r="F2" s="59" t="s">
        <v>23</v>
      </c>
      <c r="G2" s="46">
        <v>185</v>
      </c>
      <c r="H2" s="132">
        <f>IF(B$17=0,0,G2/B$17)</f>
        <v>0.81497797356828194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-365.625</v>
      </c>
      <c r="P2" s="118">
        <v>96</v>
      </c>
      <c r="Q2" s="102">
        <v>-35100</v>
      </c>
    </row>
    <row r="3" spans="1:17" x14ac:dyDescent="0.4">
      <c r="A3" s="55" t="s">
        <v>8</v>
      </c>
      <c r="B3" s="152">
        <v>801</v>
      </c>
      <c r="C3" s="153"/>
      <c r="E3" s="63" t="s">
        <v>73</v>
      </c>
      <c r="F3" s="60" t="s">
        <v>28</v>
      </c>
      <c r="G3" s="47">
        <v>125</v>
      </c>
      <c r="H3" s="133">
        <f>IF(B$17=0,0,G3/B$17)</f>
        <v>0.5506607929515418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677.65957446808511</v>
      </c>
      <c r="P3" s="119">
        <v>94</v>
      </c>
      <c r="Q3" s="103">
        <v>63700</v>
      </c>
    </row>
    <row r="4" spans="1:17" x14ac:dyDescent="0.4">
      <c r="A4" s="55" t="s">
        <v>6</v>
      </c>
      <c r="B4" s="154">
        <v>-48.599999999999987</v>
      </c>
      <c r="C4" s="155"/>
      <c r="E4" s="63" t="s">
        <v>65</v>
      </c>
      <c r="F4" s="60" t="s">
        <v>21</v>
      </c>
      <c r="G4" s="47">
        <v>124</v>
      </c>
      <c r="H4" s="133">
        <f>IF(B$17=0,0,G4/B$17)</f>
        <v>0.54625550660792954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1677.6470588235295</v>
      </c>
      <c r="P4" s="119">
        <v>85</v>
      </c>
      <c r="Q4" s="103">
        <v>142600</v>
      </c>
    </row>
    <row r="5" spans="1:17" x14ac:dyDescent="0.4">
      <c r="A5" s="55" t="s">
        <v>7</v>
      </c>
      <c r="B5" s="156">
        <f>IF(B$2=0,0,B$4/B$2)</f>
        <v>-0.50624999999999987</v>
      </c>
      <c r="C5" s="157"/>
      <c r="E5" s="63" t="s">
        <v>245</v>
      </c>
      <c r="F5" s="60" t="s">
        <v>246</v>
      </c>
      <c r="G5" s="47">
        <v>86</v>
      </c>
      <c r="H5" s="133">
        <f>IF(B$17=0,0,G5/B$17)</f>
        <v>0.3788546255506608</v>
      </c>
      <c r="I5" s="94">
        <v>11</v>
      </c>
      <c r="K5" s="38">
        <v>3</v>
      </c>
      <c r="L5" s="99">
        <v>-60.100000000000009</v>
      </c>
      <c r="N5" s="115" t="s">
        <v>135</v>
      </c>
      <c r="O5" s="122">
        <f t="shared" si="0"/>
        <v>58.666666666666664</v>
      </c>
      <c r="P5" s="119">
        <v>75</v>
      </c>
      <c r="Q5" s="103">
        <v>4400</v>
      </c>
    </row>
    <row r="6" spans="1:17" x14ac:dyDescent="0.4">
      <c r="A6" s="55" t="s">
        <v>1</v>
      </c>
      <c r="B6" s="146">
        <f>IF(B$2=0,0,(B$7*1+B$8*2+B$9*3)/B$2)</f>
        <v>2.0520833333333335</v>
      </c>
      <c r="C6" s="147"/>
      <c r="E6" s="63" t="s">
        <v>68</v>
      </c>
      <c r="F6" s="60" t="s">
        <v>24</v>
      </c>
      <c r="G6" s="47">
        <v>77</v>
      </c>
      <c r="H6" s="133">
        <f>IF(B$17=0,0,G6/B$17)</f>
        <v>0.33920704845814981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-1990.909090909091</v>
      </c>
      <c r="P6" s="119">
        <v>66</v>
      </c>
      <c r="Q6" s="103">
        <v>-131400</v>
      </c>
    </row>
    <row r="7" spans="1:17" x14ac:dyDescent="0.4">
      <c r="A7" s="55" t="s">
        <v>2</v>
      </c>
      <c r="B7" s="47">
        <v>29</v>
      </c>
      <c r="C7" s="39">
        <f>IF(B$2=0,0,B7/B$2)</f>
        <v>0.30208333333333331</v>
      </c>
      <c r="E7" s="63" t="s">
        <v>69</v>
      </c>
      <c r="F7" s="60" t="s">
        <v>12</v>
      </c>
      <c r="G7" s="47">
        <v>67</v>
      </c>
      <c r="H7" s="133">
        <f>IF(B$17=0,0,G7/B$17)</f>
        <v>0.29515418502202645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-369.49152542372883</v>
      </c>
      <c r="P7" s="120">
        <v>59</v>
      </c>
      <c r="Q7" s="104">
        <v>-21800</v>
      </c>
    </row>
    <row r="8" spans="1:17" x14ac:dyDescent="0.4">
      <c r="A8" s="55" t="s">
        <v>3</v>
      </c>
      <c r="B8" s="47">
        <v>33</v>
      </c>
      <c r="C8" s="39">
        <f>IF(B$2=0,0,B8/B$2)</f>
        <v>0.34375</v>
      </c>
      <c r="E8" s="63" t="s">
        <v>70</v>
      </c>
      <c r="F8" s="60" t="s">
        <v>25</v>
      </c>
      <c r="G8" s="47">
        <v>44</v>
      </c>
      <c r="H8" s="133">
        <f>IF(B$17=0,0,G8/B$17)</f>
        <v>0.19383259911894274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0.35416666666666669</v>
      </c>
      <c r="E9" s="63" t="s">
        <v>90</v>
      </c>
      <c r="F9" s="60" t="s">
        <v>45</v>
      </c>
      <c r="G9" s="47">
        <v>38</v>
      </c>
      <c r="H9" s="133">
        <f>IF(B$17=0,0,G9/B$17)</f>
        <v>0.16740088105726872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0.11458333333333333</v>
      </c>
      <c r="E10" s="63" t="s">
        <v>66</v>
      </c>
      <c r="F10" s="60" t="s">
        <v>22</v>
      </c>
      <c r="G10" s="47">
        <v>28</v>
      </c>
      <c r="H10" s="133">
        <f>IF(B$17=0,0,G10/B$17)</f>
        <v>0.12334801762114538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1.4119999999999999</v>
      </c>
      <c r="P10" s="118">
        <v>25</v>
      </c>
      <c r="Q10" s="106">
        <v>35.299999999999997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0.14583333333333334</v>
      </c>
      <c r="E11" s="63" t="s">
        <v>71</v>
      </c>
      <c r="F11" s="60" t="s">
        <v>26</v>
      </c>
      <c r="G11" s="47">
        <v>25</v>
      </c>
      <c r="H11" s="133">
        <f>IF(B$17=0,0,G11/B$17)</f>
        <v>0.11013215859030837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6.25E-2</v>
      </c>
      <c r="E12" s="63" t="s">
        <v>87</v>
      </c>
      <c r="F12" s="60" t="s">
        <v>42</v>
      </c>
      <c r="G12" s="47">
        <v>16</v>
      </c>
      <c r="H12" s="133">
        <f>IF(B$17=0,0,G12/B$17)</f>
        <v>7.0484581497797363E-2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-2.2457142857142856</v>
      </c>
      <c r="P12" s="120">
        <v>35</v>
      </c>
      <c r="Q12" s="108">
        <v>-78.599999999999994</v>
      </c>
    </row>
    <row r="13" spans="1:17" x14ac:dyDescent="0.4">
      <c r="A13" s="58" t="s">
        <v>122</v>
      </c>
      <c r="B13" s="50">
        <v>233</v>
      </c>
      <c r="C13" s="44">
        <f>IF(B$3=0,0,B13/B$3)</f>
        <v>0.2908863920099875</v>
      </c>
      <c r="E13" s="63" t="s">
        <v>72</v>
      </c>
      <c r="F13" s="60" t="s">
        <v>27</v>
      </c>
      <c r="G13" s="47">
        <v>14</v>
      </c>
      <c r="H13" s="133">
        <f>IF(B$17=0,0,G13/B$17)</f>
        <v>6.1674008810572688E-2</v>
      </c>
      <c r="I13" s="94">
        <v>7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0.19475655430711611</v>
      </c>
      <c r="E14" s="63" t="s">
        <v>84</v>
      </c>
      <c r="F14" s="60" t="s">
        <v>39</v>
      </c>
      <c r="G14" s="47">
        <v>11</v>
      </c>
      <c r="H14" s="133">
        <f>IF(B$17=0,0,G14/B$17)</f>
        <v>4.8458149779735685E-2</v>
      </c>
      <c r="I14" s="94">
        <v>7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0.5622317596566524</v>
      </c>
      <c r="E15" s="63" t="s">
        <v>79</v>
      </c>
      <c r="F15" s="60" t="s">
        <v>34</v>
      </c>
      <c r="G15" s="47">
        <v>9</v>
      </c>
      <c r="H15" s="133">
        <f>IF(B$17=0,0,G15/B$17)</f>
        <v>3.9647577092511016E-2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18.865624999999991</v>
      </c>
      <c r="P15" s="118">
        <v>32</v>
      </c>
      <c r="Q15" s="106">
        <v>603.6999999999997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0.41025641025641024</v>
      </c>
      <c r="E16" s="63" t="s">
        <v>82</v>
      </c>
      <c r="F16" s="60" t="s">
        <v>37</v>
      </c>
      <c r="G16" s="47">
        <v>8</v>
      </c>
      <c r="H16" s="133">
        <f>IF(B$17=0,0,G16/B$17)</f>
        <v>3.5242290748898682E-2</v>
      </c>
      <c r="I16" s="94">
        <v>2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227</v>
      </c>
      <c r="C17" s="37">
        <f>IF(B$3=0,0,B17/B$3)</f>
        <v>0.28339575530586769</v>
      </c>
      <c r="E17" s="63" t="s">
        <v>92</v>
      </c>
      <c r="F17" s="60" t="s">
        <v>47</v>
      </c>
      <c r="G17" s="47">
        <v>6</v>
      </c>
      <c r="H17" s="133">
        <f>IF(B$17=0,0,G17/B$17)</f>
        <v>2.643171806167401E-2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92</v>
      </c>
      <c r="C18" s="39">
        <f>IF(B$17=0,0,B18/B$17)</f>
        <v>0.40528634361233479</v>
      </c>
      <c r="E18" s="63" t="s">
        <v>80</v>
      </c>
      <c r="F18" s="60" t="s">
        <v>35</v>
      </c>
      <c r="G18" s="47">
        <v>4</v>
      </c>
      <c r="H18" s="133">
        <f>IF(B$17=0,0,G18/B$17)</f>
        <v>1.7621145374449341E-2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135</v>
      </c>
      <c r="C19" s="39">
        <f>IF(B$17=0,0,B19/B$17)</f>
        <v>0.59471365638766516</v>
      </c>
      <c r="E19" s="63" t="s">
        <v>180</v>
      </c>
      <c r="F19" s="60" t="s">
        <v>181</v>
      </c>
      <c r="G19" s="47">
        <v>4</v>
      </c>
      <c r="H19" s="133">
        <f>IF(B$17=0,0,G19/B$17)</f>
        <v>1.7621145374449341E-2</v>
      </c>
      <c r="I19" s="94">
        <v>3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143</v>
      </c>
      <c r="C20" s="39">
        <f>IF(B$3=0,0,B20/B$3)</f>
        <v>0.17852684144818975</v>
      </c>
      <c r="E20" s="63" t="s">
        <v>74</v>
      </c>
      <c r="F20" s="60" t="s">
        <v>29</v>
      </c>
      <c r="G20" s="47">
        <v>3</v>
      </c>
      <c r="H20" s="133">
        <f>IF(B$17=0,0,G20/B$17)</f>
        <v>1.3215859030837005E-2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1.3215859030837005E-2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78</v>
      </c>
      <c r="F22" s="60" t="s">
        <v>33</v>
      </c>
      <c r="G22" s="47">
        <v>3</v>
      </c>
      <c r="H22" s="133">
        <f>IF(B$17=0,0,G22/B$17)</f>
        <v>1.3215859030837005E-2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9990.7488986784138</v>
      </c>
      <c r="C23" s="41">
        <v>2267900</v>
      </c>
      <c r="E23" s="63" t="s">
        <v>85</v>
      </c>
      <c r="F23" s="60" t="s">
        <v>40</v>
      </c>
      <c r="G23" s="47">
        <v>2</v>
      </c>
      <c r="H23" s="133">
        <f>IF(B$17=0,0,G23/B$17)</f>
        <v>8.8105726872246704E-3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-8548.9510489510485</v>
      </c>
      <c r="C24" s="45">
        <v>-1222500</v>
      </c>
      <c r="E24" s="63" t="s">
        <v>93</v>
      </c>
      <c r="F24" s="60" t="s">
        <v>48</v>
      </c>
      <c r="G24" s="47">
        <v>2</v>
      </c>
      <c r="H24" s="133">
        <f>IF(B$17=0,0,G24/B$17)</f>
        <v>8.8105726872246704E-3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4.4052863436123352E-3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4.4052863436123352E-3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2.4968789013732834E-3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B45E-E43C-41A7-8465-DCEC33EC4716}">
  <sheetPr codeName="Sheet15"/>
  <dimension ref="A1:Q9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92</v>
      </c>
      <c r="C2" s="151"/>
      <c r="E2" s="62" t="s">
        <v>67</v>
      </c>
      <c r="F2" s="59" t="s">
        <v>23</v>
      </c>
      <c r="G2" s="46">
        <v>177</v>
      </c>
      <c r="H2" s="132">
        <f>IF(B$17=0,0,G2/B$17)</f>
        <v>0.66792452830188676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239.13043478260869</v>
      </c>
      <c r="P2" s="118">
        <v>92</v>
      </c>
      <c r="Q2" s="102">
        <v>22000</v>
      </c>
    </row>
    <row r="3" spans="1:17" x14ac:dyDescent="0.4">
      <c r="A3" s="55" t="s">
        <v>8</v>
      </c>
      <c r="B3" s="152">
        <v>772</v>
      </c>
      <c r="C3" s="153"/>
      <c r="E3" s="63" t="s">
        <v>73</v>
      </c>
      <c r="F3" s="60" t="s">
        <v>28</v>
      </c>
      <c r="G3" s="47">
        <v>151</v>
      </c>
      <c r="H3" s="133">
        <f>IF(B$17=0,0,G3/B$17)</f>
        <v>0.56981132075471697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-1233.695652173913</v>
      </c>
      <c r="P3" s="119">
        <v>92</v>
      </c>
      <c r="Q3" s="103">
        <v>-113500</v>
      </c>
    </row>
    <row r="4" spans="1:17" x14ac:dyDescent="0.4">
      <c r="A4" s="55" t="s">
        <v>6</v>
      </c>
      <c r="B4" s="154">
        <v>-120.50000000000006</v>
      </c>
      <c r="C4" s="155"/>
      <c r="E4" s="63" t="s">
        <v>245</v>
      </c>
      <c r="F4" s="60" t="s">
        <v>246</v>
      </c>
      <c r="G4" s="47">
        <v>114</v>
      </c>
      <c r="H4" s="133">
        <f>IF(B$17=0,0,G4/B$17)</f>
        <v>0.43018867924528303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-904.8780487804878</v>
      </c>
      <c r="P4" s="119">
        <v>82</v>
      </c>
      <c r="Q4" s="103">
        <v>-74200</v>
      </c>
    </row>
    <row r="5" spans="1:17" x14ac:dyDescent="0.4">
      <c r="A5" s="55" t="s">
        <v>7</v>
      </c>
      <c r="B5" s="156">
        <f>IF(B$2=0,0,B$4/B$2)</f>
        <v>-1.3097826086956528</v>
      </c>
      <c r="C5" s="157"/>
      <c r="E5" s="63" t="s">
        <v>65</v>
      </c>
      <c r="F5" s="60" t="s">
        <v>21</v>
      </c>
      <c r="G5" s="47">
        <v>94</v>
      </c>
      <c r="H5" s="133">
        <f>IF(B$17=0,0,G5/B$17)</f>
        <v>0.35471698113207545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1247.4358974358975</v>
      </c>
      <c r="P5" s="119">
        <v>78</v>
      </c>
      <c r="Q5" s="103">
        <v>97300</v>
      </c>
    </row>
    <row r="6" spans="1:17" x14ac:dyDescent="0.4">
      <c r="A6" s="55" t="s">
        <v>1</v>
      </c>
      <c r="B6" s="146">
        <f>IF(B$2=0,0,(B$7*1+B$8*2+B$9*3)/B$2)</f>
        <v>2.0434782608695654</v>
      </c>
      <c r="C6" s="147"/>
      <c r="E6" s="63" t="s">
        <v>69</v>
      </c>
      <c r="F6" s="60" t="s">
        <v>12</v>
      </c>
      <c r="G6" s="47">
        <v>65</v>
      </c>
      <c r="H6" s="133">
        <f>IF(B$17=0,0,G6/B$17)</f>
        <v>0.24528301886792453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-173.61111111111111</v>
      </c>
      <c r="P6" s="119">
        <v>72</v>
      </c>
      <c r="Q6" s="103">
        <v>-12500</v>
      </c>
    </row>
    <row r="7" spans="1:17" x14ac:dyDescent="0.4">
      <c r="A7" s="55" t="s">
        <v>2</v>
      </c>
      <c r="B7" s="47">
        <v>23</v>
      </c>
      <c r="C7" s="39">
        <f>IF(B$2=0,0,B7/B$2)</f>
        <v>0.25</v>
      </c>
      <c r="E7" s="63" t="s">
        <v>68</v>
      </c>
      <c r="F7" s="60" t="s">
        <v>24</v>
      </c>
      <c r="G7" s="47">
        <v>48</v>
      </c>
      <c r="H7" s="133">
        <f>IF(B$17=0,0,G7/B$17)</f>
        <v>0.1811320754716981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-175.40983606557376</v>
      </c>
      <c r="P7" s="120">
        <v>61</v>
      </c>
      <c r="Q7" s="104">
        <v>-10700</v>
      </c>
    </row>
    <row r="8" spans="1:17" x14ac:dyDescent="0.4">
      <c r="A8" s="55" t="s">
        <v>3</v>
      </c>
      <c r="B8" s="47">
        <v>42</v>
      </c>
      <c r="C8" s="39">
        <f>IF(B$2=0,0,B8/B$2)</f>
        <v>0.45652173913043476</v>
      </c>
      <c r="E8" s="63" t="s">
        <v>70</v>
      </c>
      <c r="F8" s="60" t="s">
        <v>25</v>
      </c>
      <c r="G8" s="47">
        <v>42</v>
      </c>
      <c r="H8" s="133">
        <f>IF(B$17=0,0,G8/B$17)</f>
        <v>0.15849056603773584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0.29347826086956524</v>
      </c>
      <c r="E9" s="63" t="s">
        <v>66</v>
      </c>
      <c r="F9" s="60" t="s">
        <v>22</v>
      </c>
      <c r="G9" s="47">
        <v>27</v>
      </c>
      <c r="H9" s="133">
        <f>IF(B$17=0,0,G9/B$17)</f>
        <v>0.10188679245283019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5.434782608695652E-2</v>
      </c>
      <c r="E10" s="63" t="s">
        <v>72</v>
      </c>
      <c r="F10" s="60" t="s">
        <v>27</v>
      </c>
      <c r="G10" s="47">
        <v>21</v>
      </c>
      <c r="H10" s="133">
        <f>IF(B$17=0,0,G10/B$17)</f>
        <v>7.9245283018867921E-2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-5.0793103448275883</v>
      </c>
      <c r="P10" s="118">
        <v>29</v>
      </c>
      <c r="Q10" s="106">
        <v>-147.30000000000007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0.10869565217391304</v>
      </c>
      <c r="E11" s="63" t="s">
        <v>90</v>
      </c>
      <c r="F11" s="60" t="s">
        <v>45</v>
      </c>
      <c r="G11" s="47">
        <v>20</v>
      </c>
      <c r="H11" s="133">
        <f>IF(B$17=0,0,G11/B$17)</f>
        <v>7.5471698113207544E-2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2.9592592592592588</v>
      </c>
      <c r="P11" s="119">
        <v>27</v>
      </c>
      <c r="Q11" s="107">
        <v>79.899999999999991</v>
      </c>
    </row>
    <row r="12" spans="1:17" x14ac:dyDescent="0.4">
      <c r="A12" s="57" t="s">
        <v>160</v>
      </c>
      <c r="B12" s="49">
        <v>8</v>
      </c>
      <c r="C12" s="42">
        <f>IF(B$2=0,0,B12/B$2)</f>
        <v>8.6956521739130432E-2</v>
      </c>
      <c r="E12" s="63" t="s">
        <v>84</v>
      </c>
      <c r="F12" s="60" t="s">
        <v>39</v>
      </c>
      <c r="G12" s="47">
        <v>19</v>
      </c>
      <c r="H12" s="133">
        <f>IF(B$17=0,0,G12/B$17)</f>
        <v>7.1698113207547168E-2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-1.4750000000000005</v>
      </c>
      <c r="P12" s="120">
        <v>36</v>
      </c>
      <c r="Q12" s="108">
        <v>-53.100000000000023</v>
      </c>
    </row>
    <row r="13" spans="1:17" x14ac:dyDescent="0.4">
      <c r="A13" s="58" t="s">
        <v>122</v>
      </c>
      <c r="B13" s="50">
        <v>164</v>
      </c>
      <c r="C13" s="44">
        <f>IF(B$3=0,0,B13/B$3)</f>
        <v>0.21243523316062177</v>
      </c>
      <c r="E13" s="63" t="s">
        <v>71</v>
      </c>
      <c r="F13" s="60" t="s">
        <v>26</v>
      </c>
      <c r="G13" s="47">
        <v>18</v>
      </c>
      <c r="H13" s="133">
        <f>IF(B$17=0,0,G13/B$17)</f>
        <v>6.7924528301886791E-2</v>
      </c>
      <c r="I13" s="94">
        <v>10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222</v>
      </c>
      <c r="C14" s="39">
        <f>IF(B$3=0,0,B14/B$3)</f>
        <v>0.28756476683937826</v>
      </c>
      <c r="E14" s="63" t="s">
        <v>87</v>
      </c>
      <c r="F14" s="60" t="s">
        <v>42</v>
      </c>
      <c r="G14" s="47">
        <v>10</v>
      </c>
      <c r="H14" s="133">
        <f>IF(B$17=0,0,G14/B$17)</f>
        <v>3.7735849056603772E-2</v>
      </c>
      <c r="I14" s="94">
        <v>10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92</v>
      </c>
      <c r="C15" s="37">
        <f>IF(B$13=0,0,B15/B$13)</f>
        <v>0.56097560975609762</v>
      </c>
      <c r="E15" s="63" t="s">
        <v>82</v>
      </c>
      <c r="F15" s="60" t="s">
        <v>37</v>
      </c>
      <c r="G15" s="47">
        <v>9</v>
      </c>
      <c r="H15" s="133">
        <f>IF(B$17=0,0,G15/B$17)</f>
        <v>3.3962264150943396E-2</v>
      </c>
      <c r="I15" s="94">
        <v>3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95</v>
      </c>
      <c r="C16" s="37">
        <f>IF(B$14=0,0,B16/B$14)</f>
        <v>0.42792792792792794</v>
      </c>
      <c r="E16" s="63" t="s">
        <v>79</v>
      </c>
      <c r="F16" s="60" t="s">
        <v>34</v>
      </c>
      <c r="G16" s="47">
        <v>4</v>
      </c>
      <c r="H16" s="133">
        <f>IF(B$17=0,0,G16/B$17)</f>
        <v>1.509433962264151E-2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25.859259259259247</v>
      </c>
      <c r="P16" s="119">
        <v>27</v>
      </c>
      <c r="Q16" s="107">
        <v>698.1999999999997</v>
      </c>
    </row>
    <row r="17" spans="1:17" x14ac:dyDescent="0.4">
      <c r="A17" s="54" t="s">
        <v>10</v>
      </c>
      <c r="B17" s="46">
        <f>B19+B18</f>
        <v>265</v>
      </c>
      <c r="C17" s="37">
        <f>IF(B$3=0,0,B17/B$3)</f>
        <v>0.34326424870466321</v>
      </c>
      <c r="E17" s="63" t="s">
        <v>92</v>
      </c>
      <c r="F17" s="60" t="s">
        <v>47</v>
      </c>
      <c r="G17" s="47">
        <v>4</v>
      </c>
      <c r="H17" s="133">
        <f>IF(B$17=0,0,G17/B$17)</f>
        <v>1.509433962264151E-2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>IF(P17=0,0,Q17/P17)</f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105</v>
      </c>
      <c r="C18" s="39">
        <f>IF(B$17=0,0,B18/B$17)</f>
        <v>0.39622641509433965</v>
      </c>
      <c r="E18" s="63" t="s">
        <v>80</v>
      </c>
      <c r="F18" s="60" t="s">
        <v>35</v>
      </c>
      <c r="G18" s="47">
        <v>3</v>
      </c>
      <c r="H18" s="133">
        <f>IF(B$17=0,0,G18/B$17)</f>
        <v>1.1320754716981131E-2</v>
      </c>
      <c r="I18" s="94">
        <v>10</v>
      </c>
      <c r="K18" s="38">
        <v>16</v>
      </c>
      <c r="L18" s="99">
        <v>-87.6</v>
      </c>
      <c r="N18" s="115" t="s">
        <v>177</v>
      </c>
      <c r="O18" s="125">
        <f>IF(P18=0,0,Q18/P18)</f>
        <v>3.52142857142857</v>
      </c>
      <c r="P18" s="119">
        <v>28</v>
      </c>
      <c r="Q18" s="107">
        <v>98.599999999999966</v>
      </c>
    </row>
    <row r="19" spans="1:17" x14ac:dyDescent="0.4">
      <c r="A19" s="55" t="s">
        <v>11</v>
      </c>
      <c r="B19" s="47">
        <v>160</v>
      </c>
      <c r="C19" s="39">
        <f>IF(B$17=0,0,B19/B$17)</f>
        <v>0.60377358490566035</v>
      </c>
      <c r="E19" s="63" t="s">
        <v>75</v>
      </c>
      <c r="F19" s="60" t="s">
        <v>30</v>
      </c>
      <c r="G19" s="47">
        <v>2</v>
      </c>
      <c r="H19" s="133">
        <f>IF(B$17=0,0,G19/B$17)</f>
        <v>7.5471698113207548E-3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>IF(P19=0,0,Q19/P19)</f>
        <v>3.4914285714285711</v>
      </c>
      <c r="P19" s="119">
        <v>35</v>
      </c>
      <c r="Q19" s="107">
        <v>122.19999999999999</v>
      </c>
    </row>
    <row r="20" spans="1:17" x14ac:dyDescent="0.4">
      <c r="A20" s="55" t="s">
        <v>13</v>
      </c>
      <c r="B20" s="47">
        <v>109</v>
      </c>
      <c r="C20" s="39">
        <f>IF(B$3=0,0,B20/B$3)</f>
        <v>0.14119170984455959</v>
      </c>
      <c r="E20" s="63" t="s">
        <v>74</v>
      </c>
      <c r="F20" s="60" t="s">
        <v>29</v>
      </c>
      <c r="G20" s="47">
        <v>1</v>
      </c>
      <c r="H20" s="133">
        <f>IF(B$17=0,0,G20/B$17)</f>
        <v>3.7735849056603774E-3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3.7735849056603774E-3</v>
      </c>
      <c r="I21" s="94">
        <v>6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8</v>
      </c>
      <c r="E22" s="63" t="s">
        <v>88</v>
      </c>
      <c r="F22" s="60" t="s">
        <v>43</v>
      </c>
      <c r="G22" s="47">
        <v>1</v>
      </c>
      <c r="H22" s="133">
        <f>IF(B$17=0,0,G22/B$17)</f>
        <v>3.7735849056603774E-3</v>
      </c>
      <c r="I22" s="94">
        <v>4</v>
      </c>
      <c r="K22" s="38">
        <v>20</v>
      </c>
      <c r="L22" s="99">
        <v>43</v>
      </c>
      <c r="N22" s="115" t="s">
        <v>127</v>
      </c>
      <c r="O22" s="125">
        <f>IF(P22=0,0,Q22/P22)</f>
        <v>-25.497916666666658</v>
      </c>
      <c r="P22" s="119">
        <v>48</v>
      </c>
      <c r="Q22" s="107">
        <v>-1223.8999999999996</v>
      </c>
    </row>
    <row r="23" spans="1:17" x14ac:dyDescent="0.4">
      <c r="A23" s="55" t="s">
        <v>5</v>
      </c>
      <c r="B23" s="51">
        <f>IF(B$17=0,0,C23/B$17)</f>
        <v>6872.4528301886794</v>
      </c>
      <c r="C23" s="41">
        <v>1821200</v>
      </c>
      <c r="E23" s="63" t="s">
        <v>91</v>
      </c>
      <c r="F23" s="60" t="s">
        <v>46</v>
      </c>
      <c r="G23" s="47">
        <v>1</v>
      </c>
      <c r="H23" s="133">
        <f>IF(B$17=0,0,G23/B$17)</f>
        <v>3.7735849056603774E-3</v>
      </c>
      <c r="I23" s="94">
        <v>3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-8425.6880733944963</v>
      </c>
      <c r="C24" s="45">
        <v>-918400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1.2953367875647669E-3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2623D-F5C9-4458-8B90-1DF82A6CB972}">
  <sheetPr codeName="Sheet17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52</v>
      </c>
      <c r="C2" s="151"/>
      <c r="E2" s="62" t="s">
        <v>67</v>
      </c>
      <c r="F2" s="59" t="s">
        <v>23</v>
      </c>
      <c r="G2" s="46">
        <v>84</v>
      </c>
      <c r="H2" s="132">
        <f>IF(B$17=0,0,G2/B$17)</f>
        <v>0.65116279069767447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-2951.9230769230771</v>
      </c>
      <c r="P2" s="118">
        <v>52</v>
      </c>
      <c r="Q2" s="102">
        <v>-153500</v>
      </c>
    </row>
    <row r="3" spans="1:17" x14ac:dyDescent="0.4">
      <c r="A3" s="55" t="s">
        <v>8</v>
      </c>
      <c r="B3" s="152">
        <v>450</v>
      </c>
      <c r="C3" s="153"/>
      <c r="E3" s="63" t="s">
        <v>73</v>
      </c>
      <c r="F3" s="60" t="s">
        <v>28</v>
      </c>
      <c r="G3" s="47">
        <v>65</v>
      </c>
      <c r="H3" s="133">
        <f>IF(B$17=0,0,G3/B$17)</f>
        <v>0.50387596899224807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1819.2307692307693</v>
      </c>
      <c r="P3" s="119">
        <v>52</v>
      </c>
      <c r="Q3" s="103">
        <v>94600</v>
      </c>
    </row>
    <row r="4" spans="1:17" x14ac:dyDescent="0.4">
      <c r="A4" s="55" t="s">
        <v>6</v>
      </c>
      <c r="B4" s="154">
        <v>-397.6</v>
      </c>
      <c r="C4" s="155"/>
      <c r="E4" s="63" t="s">
        <v>65</v>
      </c>
      <c r="F4" s="60" t="s">
        <v>21</v>
      </c>
      <c r="G4" s="47">
        <v>55</v>
      </c>
      <c r="H4" s="133">
        <f>IF(B$17=0,0,G4/B$17)</f>
        <v>0.4263565891472868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-961.22448979591832</v>
      </c>
      <c r="P4" s="119">
        <v>49</v>
      </c>
      <c r="Q4" s="103">
        <v>-47100</v>
      </c>
    </row>
    <row r="5" spans="1:17" x14ac:dyDescent="0.4">
      <c r="A5" s="55" t="s">
        <v>7</v>
      </c>
      <c r="B5" s="156">
        <f>IF(B$2=0,0,B$4/B$2)</f>
        <v>-7.6461538461538465</v>
      </c>
      <c r="C5" s="157"/>
      <c r="E5" s="63" t="s">
        <v>69</v>
      </c>
      <c r="F5" s="60" t="s">
        <v>12</v>
      </c>
      <c r="G5" s="47">
        <v>49</v>
      </c>
      <c r="H5" s="133">
        <f>IF(B$17=0,0,G5/B$17)</f>
        <v>0.37984496124031009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-4015.5555555555557</v>
      </c>
      <c r="P5" s="119">
        <v>45</v>
      </c>
      <c r="Q5" s="103">
        <v>-180700</v>
      </c>
    </row>
    <row r="6" spans="1:17" x14ac:dyDescent="0.4">
      <c r="A6" s="55" t="s">
        <v>1</v>
      </c>
      <c r="B6" s="146">
        <f>IF(B$2=0,0,(B$7*1+B$8*2+B$9*3)/B$2)</f>
        <v>2.1153846153846154</v>
      </c>
      <c r="C6" s="147"/>
      <c r="E6" s="63" t="s">
        <v>245</v>
      </c>
      <c r="F6" s="60" t="s">
        <v>246</v>
      </c>
      <c r="G6" s="47">
        <v>49</v>
      </c>
      <c r="H6" s="133">
        <f>IF(B$17=0,0,G6/B$17)</f>
        <v>0.37984496124031009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-582.5</v>
      </c>
      <c r="P6" s="119">
        <v>40</v>
      </c>
      <c r="Q6" s="103">
        <v>-23300</v>
      </c>
    </row>
    <row r="7" spans="1:17" x14ac:dyDescent="0.4">
      <c r="A7" s="55" t="s">
        <v>2</v>
      </c>
      <c r="B7" s="47">
        <v>15</v>
      </c>
      <c r="C7" s="39">
        <f>IF(B$2=0,0,B7/B$2)</f>
        <v>0.28846153846153844</v>
      </c>
      <c r="E7" s="63" t="s">
        <v>68</v>
      </c>
      <c r="F7" s="60" t="s">
        <v>24</v>
      </c>
      <c r="G7" s="47">
        <v>29</v>
      </c>
      <c r="H7" s="133">
        <f>IF(B$17=0,0,G7/B$17)</f>
        <v>0.22480620155038761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-55.263157894736842</v>
      </c>
      <c r="P7" s="120">
        <v>38</v>
      </c>
      <c r="Q7" s="104">
        <v>-2100</v>
      </c>
    </row>
    <row r="8" spans="1:17" x14ac:dyDescent="0.4">
      <c r="A8" s="55" t="s">
        <v>3</v>
      </c>
      <c r="B8" s="47">
        <v>16</v>
      </c>
      <c r="C8" s="39">
        <f>IF(B$2=0,0,B8/B$2)</f>
        <v>0.30769230769230771</v>
      </c>
      <c r="E8" s="63" t="s">
        <v>70</v>
      </c>
      <c r="F8" s="60" t="s">
        <v>25</v>
      </c>
      <c r="G8" s="47">
        <v>16</v>
      </c>
      <c r="H8" s="133">
        <f>IF(B$17=0,0,G8/B$17)</f>
        <v>0.12403100775193798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0.40384615384615385</v>
      </c>
      <c r="E9" s="63" t="s">
        <v>90</v>
      </c>
      <c r="F9" s="60" t="s">
        <v>45</v>
      </c>
      <c r="G9" s="47">
        <v>16</v>
      </c>
      <c r="H9" s="133">
        <f>IF(B$17=0,0,G9/B$17)</f>
        <v>0.12403100775193798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0.15384615384615385</v>
      </c>
      <c r="E10" s="63" t="s">
        <v>71</v>
      </c>
      <c r="F10" s="60" t="s">
        <v>26</v>
      </c>
      <c r="G10" s="47">
        <v>15</v>
      </c>
      <c r="H10" s="133">
        <f>IF(B$17=0,0,G10/B$17)</f>
        <v>0.11627906976744186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7.6923076923076927E-2</v>
      </c>
      <c r="E11" s="63" t="s">
        <v>66</v>
      </c>
      <c r="F11" s="60" t="s">
        <v>22</v>
      </c>
      <c r="G11" s="47">
        <v>10</v>
      </c>
      <c r="H11" s="133">
        <f>IF(B$17=0,0,G11/B$17)</f>
        <v>7.7519379844961239E-2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-4.5499999999999989</v>
      </c>
      <c r="P11" s="119">
        <v>24</v>
      </c>
      <c r="Q11" s="107">
        <v>-109.19999999999997</v>
      </c>
    </row>
    <row r="12" spans="1:17" x14ac:dyDescent="0.4">
      <c r="A12" s="57" t="s">
        <v>160</v>
      </c>
      <c r="B12" s="49">
        <v>3</v>
      </c>
      <c r="C12" s="42">
        <f>IF(B$2=0,0,B12/B$2)</f>
        <v>5.7692307692307696E-2</v>
      </c>
      <c r="E12" s="63" t="s">
        <v>72</v>
      </c>
      <c r="F12" s="60" t="s">
        <v>27</v>
      </c>
      <c r="G12" s="47">
        <v>6</v>
      </c>
      <c r="H12" s="133">
        <f>IF(B$17=0,0,G12/B$17)</f>
        <v>4.6511627906976744E-2</v>
      </c>
      <c r="I12" s="94">
        <v>11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102</v>
      </c>
      <c r="C13" s="44">
        <f>IF(B$3=0,0,B13/B$3)</f>
        <v>0.22666666666666666</v>
      </c>
      <c r="E13" s="63" t="s">
        <v>87</v>
      </c>
      <c r="F13" s="60" t="s">
        <v>42</v>
      </c>
      <c r="G13" s="47">
        <v>6</v>
      </c>
      <c r="H13" s="133">
        <f>IF(B$17=0,0,G13/B$17)</f>
        <v>4.6511627906976744E-2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108</v>
      </c>
      <c r="C14" s="39">
        <f>IF(B$3=0,0,B14/B$3)</f>
        <v>0.24</v>
      </c>
      <c r="E14" s="63" t="s">
        <v>74</v>
      </c>
      <c r="F14" s="60" t="s">
        <v>29</v>
      </c>
      <c r="G14" s="47">
        <v>3</v>
      </c>
      <c r="H14" s="133">
        <f>IF(B$17=0,0,G14/B$17)</f>
        <v>2.3255813953488372E-2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0.55882352941176472</v>
      </c>
      <c r="E15" s="63" t="s">
        <v>79</v>
      </c>
      <c r="F15" s="60" t="s">
        <v>34</v>
      </c>
      <c r="G15" s="47">
        <v>3</v>
      </c>
      <c r="H15" s="133">
        <f>IF(B$17=0,0,G15/B$17)</f>
        <v>2.3255813953488372E-2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>IF(P15=0,0,Q15/P15)</f>
        <v>116.19999999999999</v>
      </c>
      <c r="P15" s="118">
        <v>1</v>
      </c>
      <c r="Q15" s="106">
        <v>116.19999999999999</v>
      </c>
    </row>
    <row r="16" spans="1:17" x14ac:dyDescent="0.4">
      <c r="A16" s="54" t="s">
        <v>125</v>
      </c>
      <c r="B16" s="46">
        <v>36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1.5503875968992248E-2</v>
      </c>
      <c r="I16" s="94">
        <v>7</v>
      </c>
      <c r="K16" s="38">
        <v>14</v>
      </c>
      <c r="L16" s="99">
        <v>-269.99999999999994</v>
      </c>
      <c r="N16" s="115" t="s">
        <v>129</v>
      </c>
      <c r="O16" s="125">
        <f>IF(P16=0,0,Q16/P16)</f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129</v>
      </c>
      <c r="C17" s="37">
        <f>IF(B$3=0,0,B17/B$3)</f>
        <v>0.28666666666666668</v>
      </c>
      <c r="E17" s="63" t="s">
        <v>84</v>
      </c>
      <c r="F17" s="60" t="s">
        <v>39</v>
      </c>
      <c r="G17" s="47">
        <v>2</v>
      </c>
      <c r="H17" s="133">
        <f>IF(B$17=0,0,G17/B$17)</f>
        <v>1.5503875968992248E-2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65</v>
      </c>
      <c r="C18" s="39">
        <f>IF(B$17=0,0,B18/B$17)</f>
        <v>0.50387596899224807</v>
      </c>
      <c r="E18" s="63" t="s">
        <v>92</v>
      </c>
      <c r="F18" s="60" t="s">
        <v>47</v>
      </c>
      <c r="G18" s="47">
        <v>2</v>
      </c>
      <c r="H18" s="133">
        <f>IF(B$17=0,0,G18/B$17)</f>
        <v>1.5503875968992248E-2</v>
      </c>
      <c r="I18" s="94">
        <v>7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64</v>
      </c>
      <c r="C19" s="39">
        <f>IF(B$17=0,0,B19/B$17)</f>
        <v>0.49612403100775193</v>
      </c>
      <c r="E19" s="63" t="s">
        <v>180</v>
      </c>
      <c r="F19" s="60" t="s">
        <v>181</v>
      </c>
      <c r="G19" s="47">
        <v>2</v>
      </c>
      <c r="H19" s="133">
        <f>IF(B$17=0,0,G19/B$17)</f>
        <v>1.5503875968992248E-2</v>
      </c>
      <c r="I19" s="94">
        <v>6</v>
      </c>
      <c r="K19" s="38">
        <v>17</v>
      </c>
      <c r="L19" s="99">
        <v>-248.89999999999995</v>
      </c>
      <c r="N19" s="115" t="s">
        <v>171</v>
      </c>
      <c r="O19" s="125">
        <f>IF(P19=0,0,Q19/P19)</f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82</v>
      </c>
      <c r="C20" s="39">
        <f>IF(B$3=0,0,B20/B$3)</f>
        <v>0.18222222222222223</v>
      </c>
      <c r="E20" s="63" t="s">
        <v>88</v>
      </c>
      <c r="F20" s="60" t="s">
        <v>43</v>
      </c>
      <c r="G20" s="47">
        <v>1</v>
      </c>
      <c r="H20" s="133">
        <f>IF(B$17=0,0,G20/B$17)</f>
        <v>7.7519379844961239E-3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>IF(P20=0,0,Q20/P20)</f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107</v>
      </c>
      <c r="F21" s="60" t="s">
        <v>114</v>
      </c>
      <c r="G21" s="47">
        <v>1</v>
      </c>
      <c r="H21" s="133">
        <f>IF(B$17=0,0,G21/B$17)</f>
        <v>7.7519379844961239E-3</v>
      </c>
      <c r="I21" s="94">
        <v>1</v>
      </c>
      <c r="K21" s="38">
        <v>19</v>
      </c>
      <c r="L21" s="99">
        <v>-188.59999999999994</v>
      </c>
      <c r="N21" s="115" t="s">
        <v>177</v>
      </c>
      <c r="O21" s="125">
        <f>IF(P21=0,0,Q21/P21)</f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9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7534.1085271317834</v>
      </c>
      <c r="C23" s="41">
        <v>971900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9</v>
      </c>
      <c r="K23" s="38">
        <v>21</v>
      </c>
      <c r="L23" s="99">
        <v>-203.79999999999993</v>
      </c>
      <c r="N23" s="115" t="s">
        <v>200</v>
      </c>
      <c r="O23" s="125">
        <f>IF(P23=0,0,Q23/P23)</f>
        <v>-65.550000000000011</v>
      </c>
      <c r="P23" s="119">
        <v>2</v>
      </c>
      <c r="Q23" s="107">
        <v>-131.10000000000002</v>
      </c>
    </row>
    <row r="24" spans="1:17" x14ac:dyDescent="0.4">
      <c r="A24" s="57" t="s">
        <v>14</v>
      </c>
      <c r="B24" s="52">
        <f>IF(B$20=0,0,C24/B$20)</f>
        <v>-8271.9512195121952</v>
      </c>
      <c r="C24" s="45">
        <v>-678300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4.4444444444444444E-3</v>
      </c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11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4751-AB37-4E2E-8B18-C2FF226155AD}">
  <sheetPr codeName="Sheet19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88</v>
      </c>
      <c r="C2" s="151"/>
      <c r="E2" s="62" t="s">
        <v>65</v>
      </c>
      <c r="F2" s="59" t="s">
        <v>21</v>
      </c>
      <c r="G2" s="46">
        <v>123</v>
      </c>
      <c r="H2" s="132">
        <f>IF(B$17=0,0,G2/B$17)</f>
        <v>0.62436548223350252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993.18181818181813</v>
      </c>
      <c r="P2" s="118">
        <v>88</v>
      </c>
      <c r="Q2" s="102">
        <v>87400</v>
      </c>
    </row>
    <row r="3" spans="1:17" x14ac:dyDescent="0.4">
      <c r="A3" s="55" t="s">
        <v>8</v>
      </c>
      <c r="B3" s="152">
        <v>721</v>
      </c>
      <c r="C3" s="153"/>
      <c r="E3" s="63" t="s">
        <v>67</v>
      </c>
      <c r="F3" s="60" t="s">
        <v>23</v>
      </c>
      <c r="G3" s="47">
        <v>111</v>
      </c>
      <c r="H3" s="133">
        <f>IF(B$17=0,0,G3/B$17)</f>
        <v>0.56345177664974622</v>
      </c>
      <c r="I3" s="94">
        <v>13</v>
      </c>
      <c r="K3" s="38">
        <v>1</v>
      </c>
      <c r="L3" s="99">
        <v>-1.9</v>
      </c>
      <c r="N3" s="115" t="s">
        <v>133</v>
      </c>
      <c r="O3" s="122">
        <f t="shared" si="0"/>
        <v>127.05882352941177</v>
      </c>
      <c r="P3" s="119">
        <v>85</v>
      </c>
      <c r="Q3" s="103">
        <v>10800</v>
      </c>
    </row>
    <row r="4" spans="1:17" x14ac:dyDescent="0.4">
      <c r="A4" s="55" t="s">
        <v>6</v>
      </c>
      <c r="B4" s="154">
        <v>-51.800000000000068</v>
      </c>
      <c r="C4" s="155"/>
      <c r="E4" s="63" t="s">
        <v>245</v>
      </c>
      <c r="F4" s="60" t="s">
        <v>246</v>
      </c>
      <c r="G4" s="47">
        <v>86</v>
      </c>
      <c r="H4" s="133">
        <f>IF(B$17=0,0,G4/B$17)</f>
        <v>0.43654822335025378</v>
      </c>
      <c r="I4" s="94">
        <v>3</v>
      </c>
      <c r="K4" s="38">
        <v>2</v>
      </c>
      <c r="L4" s="99">
        <v>30</v>
      </c>
      <c r="N4" s="115" t="s">
        <v>134</v>
      </c>
      <c r="O4" s="122">
        <f t="shared" si="0"/>
        <v>-477.9220779220779</v>
      </c>
      <c r="P4" s="119">
        <v>77</v>
      </c>
      <c r="Q4" s="103">
        <v>-36800</v>
      </c>
    </row>
    <row r="5" spans="1:17" x14ac:dyDescent="0.4">
      <c r="A5" s="55" t="s">
        <v>7</v>
      </c>
      <c r="B5" s="156">
        <f>IF(B$2=0,0,B$4/B$2)</f>
        <v>-0.5886363636363644</v>
      </c>
      <c r="C5" s="157"/>
      <c r="E5" s="63" t="s">
        <v>73</v>
      </c>
      <c r="F5" s="60" t="s">
        <v>28</v>
      </c>
      <c r="G5" s="47">
        <v>85</v>
      </c>
      <c r="H5" s="133">
        <f>IF(B$17=0,0,G5/B$17)</f>
        <v>0.43147208121827413</v>
      </c>
      <c r="I5" s="94">
        <v>13</v>
      </c>
      <c r="K5" s="38">
        <v>3</v>
      </c>
      <c r="L5" s="99">
        <v>-10</v>
      </c>
      <c r="N5" s="115" t="s">
        <v>135</v>
      </c>
      <c r="O5" s="122">
        <f t="shared" si="0"/>
        <v>1517.8082191780823</v>
      </c>
      <c r="P5" s="119">
        <v>73</v>
      </c>
      <c r="Q5" s="103">
        <v>110800</v>
      </c>
    </row>
    <row r="6" spans="1:17" x14ac:dyDescent="0.4">
      <c r="A6" s="55" t="s">
        <v>1</v>
      </c>
      <c r="B6" s="146">
        <f>IF(B$2=0,0,(B$7*1+B$8*2+B$9*3)/B$2)</f>
        <v>2.0113636363636362</v>
      </c>
      <c r="C6" s="147"/>
      <c r="E6" s="63" t="s">
        <v>68</v>
      </c>
      <c r="F6" s="60" t="s">
        <v>24</v>
      </c>
      <c r="G6" s="47">
        <v>84</v>
      </c>
      <c r="H6" s="133">
        <f>IF(B$17=0,0,G6/B$17)</f>
        <v>0.42639593908629442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-1734.8484848484848</v>
      </c>
      <c r="P6" s="119">
        <v>66</v>
      </c>
      <c r="Q6" s="103">
        <v>-114500</v>
      </c>
    </row>
    <row r="7" spans="1:17" x14ac:dyDescent="0.4">
      <c r="A7" s="55" t="s">
        <v>2</v>
      </c>
      <c r="B7" s="47">
        <v>29</v>
      </c>
      <c r="C7" s="39">
        <f>IF(B$2=0,0,B7/B$2)</f>
        <v>0.32954545454545453</v>
      </c>
      <c r="E7" s="63" t="s">
        <v>69</v>
      </c>
      <c r="F7" s="60" t="s">
        <v>12</v>
      </c>
      <c r="G7" s="47">
        <v>61</v>
      </c>
      <c r="H7" s="133">
        <f>IF(B$17=0,0,G7/B$17)</f>
        <v>0.30964467005076141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211.11111111111111</v>
      </c>
      <c r="P7" s="120">
        <v>54</v>
      </c>
      <c r="Q7" s="104">
        <v>11400</v>
      </c>
    </row>
    <row r="8" spans="1:17" x14ac:dyDescent="0.4">
      <c r="A8" s="55" t="s">
        <v>3</v>
      </c>
      <c r="B8" s="47">
        <v>29</v>
      </c>
      <c r="C8" s="39">
        <f>IF(B$2=0,0,B8/B$2)</f>
        <v>0.32954545454545453</v>
      </c>
      <c r="E8" s="63" t="s">
        <v>70</v>
      </c>
      <c r="F8" s="60" t="s">
        <v>25</v>
      </c>
      <c r="G8" s="47">
        <v>32</v>
      </c>
      <c r="H8" s="133">
        <f>IF(B$17=0,0,G8/B$17)</f>
        <v>0.16243654822335024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0.34090909090909088</v>
      </c>
      <c r="E9" s="63" t="s">
        <v>90</v>
      </c>
      <c r="F9" s="60" t="s">
        <v>45</v>
      </c>
      <c r="G9" s="47">
        <v>23</v>
      </c>
      <c r="H9" s="133">
        <f>IF(B$17=0,0,G9/B$17)</f>
        <v>0.116751269035533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0.14772727272727273</v>
      </c>
      <c r="E10" s="63" t="s">
        <v>66</v>
      </c>
      <c r="F10" s="60" t="s">
        <v>22</v>
      </c>
      <c r="G10" s="47">
        <v>21</v>
      </c>
      <c r="H10" s="133">
        <f>IF(B$17=0,0,G10/B$17)</f>
        <v>0.1065989847715736</v>
      </c>
      <c r="I10" s="94">
        <v>5</v>
      </c>
      <c r="K10" s="38">
        <v>8</v>
      </c>
      <c r="L10" s="99">
        <v>-87.1</v>
      </c>
      <c r="N10" s="114" t="s">
        <v>164</v>
      </c>
      <c r="O10" s="124">
        <f>IF(P10=0,0,Q10/P10)</f>
        <v>-7.7866666666666671</v>
      </c>
      <c r="P10" s="118">
        <v>30</v>
      </c>
      <c r="Q10" s="106">
        <v>-233.60000000000002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0.125</v>
      </c>
      <c r="E11" s="63" t="s">
        <v>71</v>
      </c>
      <c r="F11" s="60" t="s">
        <v>26</v>
      </c>
      <c r="G11" s="47">
        <v>14</v>
      </c>
      <c r="H11" s="133">
        <f>IF(B$17=0,0,G11/B$17)</f>
        <v>7.1065989847715741E-2</v>
      </c>
      <c r="I11" s="94">
        <v>9</v>
      </c>
      <c r="K11" s="38">
        <v>9</v>
      </c>
      <c r="L11" s="99">
        <v>-128.6</v>
      </c>
      <c r="N11" s="115" t="s">
        <v>165</v>
      </c>
      <c r="O11" s="125">
        <f>IF(P11=0,0,Q11/P11)</f>
        <v>5.0225806451612902</v>
      </c>
      <c r="P11" s="119">
        <v>31</v>
      </c>
      <c r="Q11" s="107">
        <v>155.69999999999999</v>
      </c>
    </row>
    <row r="12" spans="1:17" x14ac:dyDescent="0.4">
      <c r="A12" s="57" t="s">
        <v>160</v>
      </c>
      <c r="B12" s="49">
        <v>5</v>
      </c>
      <c r="C12" s="42">
        <f>IF(B$2=0,0,B12/B$2)</f>
        <v>5.6818181818181816E-2</v>
      </c>
      <c r="E12" s="63" t="s">
        <v>72</v>
      </c>
      <c r="F12" s="60" t="s">
        <v>27</v>
      </c>
      <c r="G12" s="47">
        <v>12</v>
      </c>
      <c r="H12" s="133">
        <f>IF(B$17=0,0,G12/B$17)</f>
        <v>6.0913705583756347E-2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0.96666666666666623</v>
      </c>
      <c r="P12" s="120">
        <v>27</v>
      </c>
      <c r="Q12" s="108">
        <v>26.099999999999987</v>
      </c>
    </row>
    <row r="13" spans="1:17" x14ac:dyDescent="0.4">
      <c r="A13" s="58" t="s">
        <v>122</v>
      </c>
      <c r="B13" s="50">
        <v>204</v>
      </c>
      <c r="C13" s="44">
        <f>IF(B$3=0,0,B13/B$3)</f>
        <v>0.28294036061026351</v>
      </c>
      <c r="E13" s="63" t="s">
        <v>87</v>
      </c>
      <c r="F13" s="60" t="s">
        <v>42</v>
      </c>
      <c r="G13" s="47">
        <v>10</v>
      </c>
      <c r="H13" s="133">
        <f>IF(B$17=0,0,G13/B$17)</f>
        <v>5.0761421319796954E-2</v>
      </c>
      <c r="I13" s="94">
        <v>7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129</v>
      </c>
      <c r="C14" s="39">
        <f>IF(B$3=0,0,B14/B$3)</f>
        <v>0.17891816920943135</v>
      </c>
      <c r="E14" s="63" t="s">
        <v>84</v>
      </c>
      <c r="F14" s="60" t="s">
        <v>39</v>
      </c>
      <c r="G14" s="47">
        <v>9</v>
      </c>
      <c r="H14" s="133">
        <f>IF(B$17=0,0,G14/B$17)</f>
        <v>4.5685279187817257E-2</v>
      </c>
      <c r="I14" s="94">
        <v>8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123</v>
      </c>
      <c r="C15" s="37">
        <f>IF(B$13=0,0,B15/B$13)</f>
        <v>0.6029411764705882</v>
      </c>
      <c r="E15" s="63" t="s">
        <v>79</v>
      </c>
      <c r="F15" s="60" t="s">
        <v>34</v>
      </c>
      <c r="G15" s="47">
        <v>6</v>
      </c>
      <c r="H15" s="133">
        <f>IF(B$17=0,0,G15/B$17)</f>
        <v>3.0456852791878174E-2</v>
      </c>
      <c r="I15" s="94">
        <v>6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43</v>
      </c>
      <c r="C16" s="37">
        <f>IF(B$14=0,0,B16/B$14)</f>
        <v>0.33333333333333331</v>
      </c>
      <c r="E16" s="63" t="s">
        <v>82</v>
      </c>
      <c r="F16" s="60" t="s">
        <v>37</v>
      </c>
      <c r="G16" s="47">
        <v>6</v>
      </c>
      <c r="H16" s="133">
        <f>IF(B$17=0,0,G16/B$17)</f>
        <v>3.0456852791878174E-2</v>
      </c>
      <c r="I16" s="94">
        <v>6</v>
      </c>
      <c r="K16" s="38">
        <v>14</v>
      </c>
      <c r="L16" s="99">
        <v>-178.49999999999997</v>
      </c>
      <c r="N16" s="115" t="s">
        <v>171</v>
      </c>
      <c r="O16" s="125">
        <f>IF(P16=0,0,Q16/P16)</f>
        <v>44.647368421052633</v>
      </c>
      <c r="P16" s="119">
        <v>19</v>
      </c>
      <c r="Q16" s="107">
        <v>848.30000000000007</v>
      </c>
    </row>
    <row r="17" spans="1:17" x14ac:dyDescent="0.4">
      <c r="A17" s="54" t="s">
        <v>10</v>
      </c>
      <c r="B17" s="46">
        <f>B19+B18</f>
        <v>197</v>
      </c>
      <c r="C17" s="37">
        <f>IF(B$3=0,0,B17/B$3)</f>
        <v>0.27323162274618584</v>
      </c>
      <c r="E17" s="63" t="s">
        <v>92</v>
      </c>
      <c r="F17" s="60" t="s">
        <v>47</v>
      </c>
      <c r="G17" s="47">
        <v>6</v>
      </c>
      <c r="H17" s="133">
        <f>IF(B$17=0,0,G17/B$17)</f>
        <v>3.0456852791878174E-2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83</v>
      </c>
      <c r="C18" s="39">
        <f>IF(B$17=0,0,B18/B$17)</f>
        <v>0.42131979695431471</v>
      </c>
      <c r="E18" s="63" t="s">
        <v>80</v>
      </c>
      <c r="F18" s="60" t="s">
        <v>35</v>
      </c>
      <c r="G18" s="47">
        <v>3</v>
      </c>
      <c r="H18" s="133">
        <f>IF(B$17=0,0,G18/B$17)</f>
        <v>1.5228426395939087E-2</v>
      </c>
      <c r="I18" s="94">
        <v>8</v>
      </c>
      <c r="K18" s="38">
        <v>16</v>
      </c>
      <c r="L18" s="99">
        <v>-153.29999999999998</v>
      </c>
      <c r="N18" s="115" t="s">
        <v>184</v>
      </c>
      <c r="O18" s="125">
        <f>IF(P18=0,0,Q18/P18)</f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114</v>
      </c>
      <c r="C19" s="39">
        <f>IF(B$17=0,0,B19/B$17)</f>
        <v>0.57868020304568524</v>
      </c>
      <c r="E19" s="63" t="s">
        <v>86</v>
      </c>
      <c r="F19" s="60" t="s">
        <v>41</v>
      </c>
      <c r="G19" s="47">
        <v>3</v>
      </c>
      <c r="H19" s="133">
        <f>IF(B$17=0,0,G19/B$17)</f>
        <v>1.5228426395939087E-2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1.8258064516129038</v>
      </c>
      <c r="P19" s="119">
        <v>31</v>
      </c>
      <c r="Q19" s="107">
        <v>56.600000000000016</v>
      </c>
    </row>
    <row r="20" spans="1:17" x14ac:dyDescent="0.4">
      <c r="A20" s="55" t="s">
        <v>13</v>
      </c>
      <c r="B20" s="47">
        <v>109</v>
      </c>
      <c r="C20" s="39">
        <f>IF(B$3=0,0,B20/B$3)</f>
        <v>0.15117891816920942</v>
      </c>
      <c r="E20" s="63" t="s">
        <v>76</v>
      </c>
      <c r="F20" s="60" t="s">
        <v>31</v>
      </c>
      <c r="G20" s="47">
        <v>2</v>
      </c>
      <c r="H20" s="133">
        <f>IF(B$17=0,0,G20/B$17)</f>
        <v>1.015228426395939E-2</v>
      </c>
      <c r="I20" s="94">
        <v>4</v>
      </c>
      <c r="K20" s="38">
        <v>18</v>
      </c>
      <c r="L20" s="99">
        <v>-159</v>
      </c>
      <c r="N20" s="115" t="s">
        <v>200</v>
      </c>
      <c r="O20" s="125">
        <f>IF(P20=0,0,Q20/P20)</f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1.015228426395939E-2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-3.5214285714285727</v>
      </c>
      <c r="P21" s="119">
        <v>28</v>
      </c>
      <c r="Q21" s="107">
        <v>-98.600000000000037</v>
      </c>
    </row>
    <row r="22" spans="1:17" x14ac:dyDescent="0.4">
      <c r="A22" s="55" t="s">
        <v>192</v>
      </c>
      <c r="B22" s="47">
        <v>45</v>
      </c>
      <c r="C22" s="135">
        <v>0</v>
      </c>
      <c r="E22" s="63" t="s">
        <v>91</v>
      </c>
      <c r="F22" s="60" t="s">
        <v>46</v>
      </c>
      <c r="G22" s="47">
        <v>2</v>
      </c>
      <c r="H22" s="133">
        <f>IF(B$17=0,0,G22/B$17)</f>
        <v>1.015228426395939E-2</v>
      </c>
      <c r="I22" s="94">
        <v>1</v>
      </c>
      <c r="K22" s="38">
        <v>20</v>
      </c>
      <c r="L22" s="99">
        <v>-200.8</v>
      </c>
      <c r="N22" s="115" t="s">
        <v>129</v>
      </c>
      <c r="O22" s="125">
        <f>IF(P22=0,0,Q22/P22)</f>
        <v>-8.8093749999999993</v>
      </c>
      <c r="P22" s="119">
        <v>32</v>
      </c>
      <c r="Q22" s="107">
        <v>-281.89999999999998</v>
      </c>
    </row>
    <row r="23" spans="1:17" x14ac:dyDescent="0.4">
      <c r="A23" s="55" t="s">
        <v>5</v>
      </c>
      <c r="B23" s="51">
        <f>IF(B$17=0,0,C23/B$17)</f>
        <v>8845.6852791878173</v>
      </c>
      <c r="C23" s="41">
        <v>1742600</v>
      </c>
      <c r="E23" s="63" t="s">
        <v>75</v>
      </c>
      <c r="F23" s="60" t="s">
        <v>30</v>
      </c>
      <c r="G23" s="47">
        <v>1</v>
      </c>
      <c r="H23" s="133">
        <f>IF(B$17=0,0,G23/B$17)</f>
        <v>5.076142131979695E-3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-23.824324324324326</v>
      </c>
      <c r="P23" s="119">
        <v>37</v>
      </c>
      <c r="Q23" s="107">
        <v>-881.50000000000011</v>
      </c>
    </row>
    <row r="24" spans="1:17" x14ac:dyDescent="0.4">
      <c r="A24" s="57" t="s">
        <v>14</v>
      </c>
      <c r="B24" s="52">
        <f>IF(B$20=0,0,C24/B$20)</f>
        <v>-7214.6788990825689</v>
      </c>
      <c r="C24" s="45">
        <v>-786400</v>
      </c>
      <c r="E24" s="63" t="s">
        <v>93</v>
      </c>
      <c r="F24" s="60" t="s">
        <v>48</v>
      </c>
      <c r="G24" s="47">
        <v>1</v>
      </c>
      <c r="H24" s="133">
        <f>IF(B$17=0,0,G24/B$17)</f>
        <v>5.076142131979695E-3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5.076142131979695E-3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>IF(B$17=0,0,G26/B$17)</f>
        <v>5.076142131979695E-3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4.160887656033287E-3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E3C9C-C67E-43F7-A9A9-117964D20C7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8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12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21703-CE1C-4BC6-A2AB-EBB26348849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43</v>
      </c>
      <c r="H2" s="132">
        <f>IF(B$17=0,0,G2/B$17)</f>
        <v>0.86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30</v>
      </c>
      <c r="H3" s="133">
        <f>IF(B$17=0,0,G3/B$17)</f>
        <v>0.6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65</v>
      </c>
      <c r="F4" s="60" t="s">
        <v>21</v>
      </c>
      <c r="G4" s="47">
        <v>27</v>
      </c>
      <c r="H4" s="133">
        <f>IF(B$17=0,0,G4/B$17)</f>
        <v>0.54</v>
      </c>
      <c r="I4" s="94">
        <v>5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245</v>
      </c>
      <c r="F5" s="60" t="s">
        <v>246</v>
      </c>
      <c r="G5" s="47">
        <v>16</v>
      </c>
      <c r="H5" s="133">
        <f>IF(B$17=0,0,G5/B$17)</f>
        <v>0.32</v>
      </c>
      <c r="I5" s="94">
        <v>13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68</v>
      </c>
      <c r="F7" s="60" t="s">
        <v>24</v>
      </c>
      <c r="G7" s="47">
        <v>12</v>
      </c>
      <c r="H7" s="133">
        <f>IF(B$17=0,0,G7/B$17)</f>
        <v>0.24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70</v>
      </c>
      <c r="F8" s="60" t="s">
        <v>25</v>
      </c>
      <c r="G8" s="47">
        <v>8</v>
      </c>
      <c r="H8" s="133">
        <f>IF(B$17=0,0,G8/B$17)</f>
        <v>0.16</v>
      </c>
      <c r="I8" s="94">
        <v>8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71</v>
      </c>
      <c r="F9" s="60" t="s">
        <v>26</v>
      </c>
      <c r="G9" s="47">
        <v>8</v>
      </c>
      <c r="H9" s="133">
        <f>IF(B$17=0,0,G9/B$17)</f>
        <v>0.16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84</v>
      </c>
      <c r="F10" s="60" t="s">
        <v>39</v>
      </c>
      <c r="G10" s="47">
        <v>6</v>
      </c>
      <c r="H10" s="133">
        <f>IF(B$17=0,0,G10/B$17)</f>
        <v>0.12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90</v>
      </c>
      <c r="F11" s="60" t="s">
        <v>45</v>
      </c>
      <c r="G11" s="47">
        <v>5</v>
      </c>
      <c r="H11" s="133">
        <f>IF(B$17=0,0,G11/B$17)</f>
        <v>0.1</v>
      </c>
      <c r="I11" s="94">
        <v>11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66</v>
      </c>
      <c r="F12" s="60" t="s">
        <v>22</v>
      </c>
      <c r="G12" s="47">
        <v>4</v>
      </c>
      <c r="H12" s="133">
        <f>IF(B$17=0,0,G12/B$17)</f>
        <v>0.08</v>
      </c>
      <c r="I12" s="94">
        <v>8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72</v>
      </c>
      <c r="F13" s="60" t="s">
        <v>27</v>
      </c>
      <c r="G13" s="47">
        <v>3</v>
      </c>
      <c r="H13" s="133">
        <f>IF(B$17=0,0,G13/B$17)</f>
        <v>0.06</v>
      </c>
      <c r="I13" s="94">
        <v>9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80</v>
      </c>
      <c r="F14" s="60" t="s">
        <v>35</v>
      </c>
      <c r="G14" s="47">
        <v>3</v>
      </c>
      <c r="H14" s="133">
        <f>IF(B$17=0,0,G14/B$17)</f>
        <v>0.06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1</v>
      </c>
      <c r="H15" s="133">
        <f>IF(B$17=0,0,G15/B$17)</f>
        <v>0.02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75</v>
      </c>
      <c r="F16" s="60" t="s">
        <v>30</v>
      </c>
      <c r="G16" s="47">
        <v>1</v>
      </c>
      <c r="H16" s="133">
        <f>IF(B$17=0,0,G16/B$17)</f>
        <v>0.02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76</v>
      </c>
      <c r="F17" s="60" t="s">
        <v>31</v>
      </c>
      <c r="G17" s="47">
        <v>1</v>
      </c>
      <c r="H17" s="133">
        <f>IF(B$17=0,0,G17/B$17)</f>
        <v>0.02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82</v>
      </c>
      <c r="F18" s="60" t="s">
        <v>37</v>
      </c>
      <c r="G18" s="47">
        <v>1</v>
      </c>
      <c r="H18" s="133">
        <f>IF(B$17=0,0,G18/B$17)</f>
        <v>0.02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>IF(P18=0,0,Q18/P18)</f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98</v>
      </c>
      <c r="F19" s="60" t="s">
        <v>53</v>
      </c>
      <c r="G19" s="47">
        <v>1</v>
      </c>
      <c r="H19" s="133">
        <f>IF(B$17=0,0,G19/B$17)</f>
        <v>0.02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>IF(P19=0,0,Q19/P19)</f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>IF(P20=0,0,Q20/P20)</f>
        <v>-28.978571428571435</v>
      </c>
      <c r="P20" s="119">
        <v>14</v>
      </c>
      <c r="Q20" s="107">
        <v>-405.7000000000001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8</v>
      </c>
      <c r="K21" s="38">
        <v>19</v>
      </c>
      <c r="L21" s="99">
        <v>-67.599999999999994</v>
      </c>
      <c r="N21" s="115" t="s">
        <v>172</v>
      </c>
      <c r="O21" s="125">
        <f>IF(P21=0,0,Q21/P21)</f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12</v>
      </c>
      <c r="K22" s="38">
        <v>20</v>
      </c>
      <c r="L22" s="99">
        <v>-124.1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>IF(P23=0,0,Q23/P23)</f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1A49-7978-4BDF-884A-E3B3AB4E7593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73</v>
      </c>
      <c r="F2" s="59" t="s">
        <v>28</v>
      </c>
      <c r="G2" s="46">
        <v>41</v>
      </c>
      <c r="H2" s="132">
        <f>IF(B$17=0,0,G2/B$17)</f>
        <v>0.74545454545454548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-1616.6666666666667</v>
      </c>
      <c r="P2" s="118">
        <v>18</v>
      </c>
      <c r="Q2" s="102">
        <v>-29100</v>
      </c>
    </row>
    <row r="3" spans="1:17" x14ac:dyDescent="0.4">
      <c r="A3" s="55" t="s">
        <v>8</v>
      </c>
      <c r="B3" s="152">
        <v>164</v>
      </c>
      <c r="C3" s="153"/>
      <c r="E3" s="63" t="s">
        <v>67</v>
      </c>
      <c r="F3" s="60" t="s">
        <v>23</v>
      </c>
      <c r="G3" s="47">
        <v>32</v>
      </c>
      <c r="H3" s="133">
        <f>IF(B$17=0,0,G3/B$17)</f>
        <v>0.58181818181818179</v>
      </c>
      <c r="I3" s="94">
        <v>12</v>
      </c>
      <c r="K3" s="38">
        <v>1</v>
      </c>
      <c r="L3" s="99">
        <v>-12.5</v>
      </c>
      <c r="N3" s="115" t="s">
        <v>133</v>
      </c>
      <c r="O3" s="122">
        <f t="shared" si="0"/>
        <v>2655.5555555555557</v>
      </c>
      <c r="P3" s="119">
        <v>18</v>
      </c>
      <c r="Q3" s="103">
        <v>47800</v>
      </c>
    </row>
    <row r="4" spans="1:17" x14ac:dyDescent="0.4">
      <c r="A4" s="55" t="s">
        <v>6</v>
      </c>
      <c r="B4" s="154">
        <v>45.399999999999991</v>
      </c>
      <c r="C4" s="155"/>
      <c r="E4" s="63" t="s">
        <v>65</v>
      </c>
      <c r="F4" s="60" t="s">
        <v>21</v>
      </c>
      <c r="G4" s="47">
        <v>24</v>
      </c>
      <c r="H4" s="133">
        <f>IF(B$17=0,0,G4/B$17)</f>
        <v>0.43636363636363634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-7358.8235294117649</v>
      </c>
      <c r="P4" s="119">
        <v>17</v>
      </c>
      <c r="Q4" s="103">
        <v>-125100</v>
      </c>
    </row>
    <row r="5" spans="1:17" x14ac:dyDescent="0.4">
      <c r="A5" s="55" t="s">
        <v>7</v>
      </c>
      <c r="B5" s="156">
        <f>IF(B$2=0,0,B$4/B$2)</f>
        <v>2.5222222222222217</v>
      </c>
      <c r="C5" s="157"/>
      <c r="E5" s="63" t="s">
        <v>69</v>
      </c>
      <c r="F5" s="60" t="s">
        <v>12</v>
      </c>
      <c r="G5" s="47">
        <v>22</v>
      </c>
      <c r="H5" s="133">
        <f>IF(B$17=0,0,G5/B$17)</f>
        <v>0.4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-1135.2941176470588</v>
      </c>
      <c r="P5" s="119">
        <v>17</v>
      </c>
      <c r="Q5" s="103">
        <v>-19300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245</v>
      </c>
      <c r="F6" s="60" t="s">
        <v>246</v>
      </c>
      <c r="G6" s="47">
        <v>16</v>
      </c>
      <c r="H6" s="133">
        <f>IF(B$17=0,0,G6/B$17)</f>
        <v>0.29090909090909089</v>
      </c>
      <c r="I6" s="94">
        <v>14</v>
      </c>
      <c r="K6" s="38">
        <v>4</v>
      </c>
      <c r="L6" s="99">
        <v>19.399999999999995</v>
      </c>
      <c r="N6" s="115" t="s">
        <v>136</v>
      </c>
      <c r="O6" s="122">
        <f t="shared" si="0"/>
        <v>10135.714285714286</v>
      </c>
      <c r="P6" s="119">
        <v>14</v>
      </c>
      <c r="Q6" s="103">
        <v>141900</v>
      </c>
    </row>
    <row r="7" spans="1:17" x14ac:dyDescent="0.4">
      <c r="A7" s="55" t="s">
        <v>2</v>
      </c>
      <c r="B7" s="47">
        <v>6</v>
      </c>
      <c r="C7" s="39">
        <f>IF(B$2=0,0,B7/B$2)</f>
        <v>0.33333333333333331</v>
      </c>
      <c r="E7" s="63" t="s">
        <v>68</v>
      </c>
      <c r="F7" s="60" t="s">
        <v>24</v>
      </c>
      <c r="G7" s="47">
        <v>15</v>
      </c>
      <c r="H7" s="133">
        <f>IF(B$17=0,0,G7/B$17)</f>
        <v>0.27272727272727271</v>
      </c>
      <c r="I7" s="94">
        <v>9</v>
      </c>
      <c r="K7" s="38">
        <v>5</v>
      </c>
      <c r="L7" s="99">
        <v>-16.100000000000005</v>
      </c>
      <c r="N7" s="116" t="s">
        <v>137</v>
      </c>
      <c r="O7" s="123">
        <f t="shared" si="0"/>
        <v>853.84615384615381</v>
      </c>
      <c r="P7" s="120">
        <v>13</v>
      </c>
      <c r="Q7" s="104">
        <v>11100</v>
      </c>
    </row>
    <row r="8" spans="1:17" x14ac:dyDescent="0.4">
      <c r="A8" s="55" t="s">
        <v>3</v>
      </c>
      <c r="B8" s="47">
        <v>8</v>
      </c>
      <c r="C8" s="39">
        <f>IF(B$2=0,0,B8/B$2)</f>
        <v>0.44444444444444442</v>
      </c>
      <c r="E8" s="63" t="s">
        <v>70</v>
      </c>
      <c r="F8" s="60" t="s">
        <v>25</v>
      </c>
      <c r="G8" s="47">
        <v>9</v>
      </c>
      <c r="H8" s="133">
        <f>IF(B$17=0,0,G8/B$17)</f>
        <v>0.16363636363636364</v>
      </c>
      <c r="I8" s="94">
        <v>6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0.22222222222222221</v>
      </c>
      <c r="E9" s="63" t="s">
        <v>90</v>
      </c>
      <c r="F9" s="60" t="s">
        <v>45</v>
      </c>
      <c r="G9" s="47">
        <v>8</v>
      </c>
      <c r="H9" s="133">
        <f>IF(B$17=0,0,G9/B$17)</f>
        <v>0.14545454545454545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0.16666666666666666</v>
      </c>
      <c r="E10" s="63" t="s">
        <v>87</v>
      </c>
      <c r="F10" s="60" t="s">
        <v>42</v>
      </c>
      <c r="G10" s="47">
        <v>5</v>
      </c>
      <c r="H10" s="133">
        <f>IF(B$17=0,0,G10/B$17)</f>
        <v>9.0909090909090912E-2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66</v>
      </c>
      <c r="F11" s="60" t="s">
        <v>22</v>
      </c>
      <c r="G11" s="47">
        <v>4</v>
      </c>
      <c r="H11" s="133">
        <f>IF(B$17=0,0,G11/B$17)</f>
        <v>7.2727272727272724E-2</v>
      </c>
      <c r="I11" s="94">
        <v>10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79</v>
      </c>
      <c r="F12" s="60" t="s">
        <v>34</v>
      </c>
      <c r="G12" s="47">
        <v>4</v>
      </c>
      <c r="H12" s="133">
        <f>IF(B$17=0,0,G12/B$17)</f>
        <v>7.2727272727272724E-2</v>
      </c>
      <c r="I12" s="94">
        <v>2</v>
      </c>
      <c r="K12" s="38">
        <v>10</v>
      </c>
      <c r="L12" s="99">
        <v>109.39999999999999</v>
      </c>
      <c r="N12" s="116" t="s">
        <v>166</v>
      </c>
      <c r="O12" s="126">
        <f>IF(P12=0,0,Q12/P12)</f>
        <v>3.9142857142857141</v>
      </c>
      <c r="P12" s="120">
        <v>7</v>
      </c>
      <c r="Q12" s="108">
        <v>27.4</v>
      </c>
    </row>
    <row r="13" spans="1:17" x14ac:dyDescent="0.4">
      <c r="A13" s="58" t="s">
        <v>122</v>
      </c>
      <c r="B13" s="50">
        <v>38</v>
      </c>
      <c r="C13" s="44">
        <f>IF(B$3=0,0,B13/B$3)</f>
        <v>0.23170731707317074</v>
      </c>
      <c r="E13" s="63" t="s">
        <v>78</v>
      </c>
      <c r="F13" s="60" t="s">
        <v>33</v>
      </c>
      <c r="G13" s="47">
        <v>3</v>
      </c>
      <c r="H13" s="133">
        <f>IF(B$17=0,0,G13/B$17)</f>
        <v>5.4545454545454543E-2</v>
      </c>
      <c r="I13" s="94">
        <v>1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0.31707317073170732</v>
      </c>
      <c r="E14" s="63" t="s">
        <v>84</v>
      </c>
      <c r="F14" s="60" t="s">
        <v>39</v>
      </c>
      <c r="G14" s="47">
        <v>3</v>
      </c>
      <c r="H14" s="133">
        <f>IF(B$17=0,0,G14/B$17)</f>
        <v>5.4545454545454543E-2</v>
      </c>
      <c r="I14" s="94">
        <v>4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</v>
      </c>
      <c r="C15" s="37">
        <f>IF(B$13=0,0,B15/B$13)</f>
        <v>0.63157894736842102</v>
      </c>
      <c r="E15" s="63" t="s">
        <v>71</v>
      </c>
      <c r="F15" s="60" t="s">
        <v>26</v>
      </c>
      <c r="G15" s="47">
        <v>1</v>
      </c>
      <c r="H15" s="133">
        <f>IF(B$17=0,0,G15/B$17)</f>
        <v>1.8181818181818181E-2</v>
      </c>
      <c r="I15" s="94">
        <v>12</v>
      </c>
      <c r="K15" s="38">
        <v>13</v>
      </c>
      <c r="L15" s="99">
        <v>83.299999999999983</v>
      </c>
      <c r="N15" s="114" t="s">
        <v>173</v>
      </c>
      <c r="O15" s="124">
        <f>IF(P15=0,0,Q15/P15)</f>
        <v>65.550000000000011</v>
      </c>
      <c r="P15" s="118">
        <v>2</v>
      </c>
      <c r="Q15" s="106">
        <v>131.10000000000002</v>
      </c>
    </row>
    <row r="16" spans="1:17" x14ac:dyDescent="0.4">
      <c r="A16" s="54" t="s">
        <v>125</v>
      </c>
      <c r="B16" s="46">
        <v>22</v>
      </c>
      <c r="C16" s="37">
        <f>IF(B$14=0,0,B16/B$14)</f>
        <v>0.42307692307692307</v>
      </c>
      <c r="E16" s="63" t="s">
        <v>72</v>
      </c>
      <c r="F16" s="60" t="s">
        <v>27</v>
      </c>
      <c r="G16" s="47">
        <v>1</v>
      </c>
      <c r="H16" s="133">
        <f>IF(B$17=0,0,G16/B$17)</f>
        <v>1.8181818181818181E-2</v>
      </c>
      <c r="I16" s="94">
        <v>12</v>
      </c>
      <c r="K16" s="38">
        <v>14</v>
      </c>
      <c r="L16" s="99">
        <v>114.99999999999999</v>
      </c>
      <c r="N16" s="115" t="s">
        <v>172</v>
      </c>
      <c r="O16" s="125">
        <f>IF(P16=0,0,Q16/P16)</f>
        <v>16.62857142857143</v>
      </c>
      <c r="P16" s="119">
        <v>7</v>
      </c>
      <c r="Q16" s="107">
        <v>116.4</v>
      </c>
    </row>
    <row r="17" spans="1:17" x14ac:dyDescent="0.4">
      <c r="A17" s="54" t="s">
        <v>10</v>
      </c>
      <c r="B17" s="46">
        <f>B19+B18</f>
        <v>55</v>
      </c>
      <c r="C17" s="37">
        <f>IF(B$3=0,0,B17/B$3)</f>
        <v>0.33536585365853661</v>
      </c>
      <c r="E17" s="63" t="s">
        <v>80</v>
      </c>
      <c r="F17" s="60" t="s">
        <v>35</v>
      </c>
      <c r="G17" s="47">
        <v>1</v>
      </c>
      <c r="H17" s="133">
        <f>IF(B$17=0,0,G17/B$17)</f>
        <v>1.8181818181818181E-2</v>
      </c>
      <c r="I17" s="94">
        <v>4</v>
      </c>
      <c r="K17" s="38">
        <v>15</v>
      </c>
      <c r="L17" s="99">
        <v>157.69999999999999</v>
      </c>
      <c r="N17" s="115" t="s">
        <v>127</v>
      </c>
      <c r="O17" s="125">
        <f>IF(P17=0,0,Q17/P17)</f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33</v>
      </c>
      <c r="C18" s="39">
        <f>IF(B$17=0,0,B18/B$17)</f>
        <v>0.6</v>
      </c>
      <c r="E18" s="63" t="s">
        <v>82</v>
      </c>
      <c r="F18" s="60" t="s">
        <v>37</v>
      </c>
      <c r="G18" s="47">
        <v>1</v>
      </c>
      <c r="H18" s="133">
        <f>IF(B$17=0,0,G18/B$17)</f>
        <v>1.8181818181818181E-2</v>
      </c>
      <c r="I18" s="94">
        <v>10</v>
      </c>
      <c r="K18" s="38">
        <v>16</v>
      </c>
      <c r="L18" s="99">
        <v>99.6</v>
      </c>
      <c r="N18" s="115" t="s">
        <v>171</v>
      </c>
      <c r="O18" s="125">
        <f>IF(P18=0,0,Q18/P18)</f>
        <v>12.75</v>
      </c>
      <c r="P18" s="119">
        <v>6</v>
      </c>
      <c r="Q18" s="107">
        <v>76.5</v>
      </c>
    </row>
    <row r="19" spans="1:17" x14ac:dyDescent="0.4">
      <c r="A19" s="55" t="s">
        <v>11</v>
      </c>
      <c r="B19" s="47">
        <v>22</v>
      </c>
      <c r="C19" s="39">
        <f>IF(B$17=0,0,B19/B$17)</f>
        <v>0.4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8</v>
      </c>
      <c r="K19" s="38">
        <v>17</v>
      </c>
      <c r="L19" s="99">
        <v>112.39999999999999</v>
      </c>
      <c r="N19" s="115" t="s">
        <v>128</v>
      </c>
      <c r="O19" s="125">
        <f>IF(P19=0,0,Q19/P19)</f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28</v>
      </c>
      <c r="C20" s="39">
        <f>IF(B$3=0,0,B20/B$3)</f>
        <v>0.17073170731707318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7</v>
      </c>
      <c r="K20" s="38">
        <v>18</v>
      </c>
      <c r="L20" s="99">
        <v>45.399999999999991</v>
      </c>
      <c r="N20" s="115" t="s">
        <v>177</v>
      </c>
      <c r="O20" s="125">
        <f>IF(P20=0,0,Q20/P20)</f>
        <v>0.90000000000000258</v>
      </c>
      <c r="P20" s="119">
        <v>9</v>
      </c>
      <c r="Q20" s="107">
        <v>8.1000000000000227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9</v>
      </c>
      <c r="N21" s="115" t="s">
        <v>271</v>
      </c>
      <c r="O21" s="125">
        <f>IF(P21=0,0,Q21/P21)</f>
        <v>-8.2999999999999989</v>
      </c>
      <c r="P21" s="119">
        <v>2</v>
      </c>
      <c r="Q21" s="107">
        <v>-16.599999999999998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N22" s="115" t="s">
        <v>129</v>
      </c>
      <c r="O22" s="125">
        <f>IF(P22=0,0,Q22/P22)</f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8063.636363636364</v>
      </c>
      <c r="C23" s="41">
        <v>443500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1.2195121951219513E-2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9C15A-639D-4A0E-9A38-32A8B97A1904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8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13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8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12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12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6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5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D9545-7937-4722-9768-E75FA90B8068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>IF(B$17=0,0,G3/B$17)</f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>IF(B$17=0,0,G4/B$17)</f>
        <v>0.375</v>
      </c>
      <c r="I4" s="94">
        <v>12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>IF(B$17=0,0,G5/B$17)</f>
        <v>0.3125</v>
      </c>
      <c r="I5" s="94">
        <v>6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>IF(B$17=0,0,G6/B$17)</f>
        <v>0.25</v>
      </c>
      <c r="I6" s="94">
        <v>14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68</v>
      </c>
      <c r="F7" s="60" t="s">
        <v>24</v>
      </c>
      <c r="G7" s="47">
        <v>4</v>
      </c>
      <c r="H7" s="133">
        <f>IF(B$17=0,0,G7/B$17)</f>
        <v>0.25</v>
      </c>
      <c r="I7" s="94">
        <v>10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90</v>
      </c>
      <c r="F8" s="60" t="s">
        <v>45</v>
      </c>
      <c r="G8" s="47">
        <v>3</v>
      </c>
      <c r="H8" s="133">
        <f>IF(B$17=0,0,G8/B$17)</f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180</v>
      </c>
      <c r="F10" s="60" t="s">
        <v>181</v>
      </c>
      <c r="G10" s="47">
        <v>2</v>
      </c>
      <c r="H10" s="133">
        <f>IF(B$17=0,0,G10/B$17)</f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66</v>
      </c>
      <c r="F11" s="60" t="s">
        <v>22</v>
      </c>
      <c r="G11" s="47">
        <v>1</v>
      </c>
      <c r="H11" s="133">
        <f>IF(B$17=0,0,G11/B$17)</f>
        <v>6.25E-2</v>
      </c>
      <c r="I11" s="94">
        <v>11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70</v>
      </c>
      <c r="F12" s="60" t="s">
        <v>25</v>
      </c>
      <c r="G12" s="47">
        <v>1</v>
      </c>
      <c r="H12" s="133">
        <f>IF(B$17=0,0,G12/B$17)</f>
        <v>6.25E-2</v>
      </c>
      <c r="I12" s="94">
        <v>13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>IF(B$17=0,0,G13/B$17)</f>
        <v>6.25E-2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>IF(B$17=0,0,G14/B$17)</f>
        <v>6.25E-2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>IF(B$17=0,0,G15/B$17)</f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8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8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11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69E9D-D487-47BD-8CC6-A497ED414AC0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</v>
      </c>
      <c r="C2" s="151"/>
      <c r="E2" s="62" t="s">
        <v>245</v>
      </c>
      <c r="F2" s="59" t="s">
        <v>246</v>
      </c>
      <c r="G2" s="46">
        <v>7</v>
      </c>
      <c r="H2" s="132">
        <f>IF(B$17=0,0,G2/B$17)</f>
        <v>0.63636363636363635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-5260</v>
      </c>
      <c r="P2" s="118">
        <v>5</v>
      </c>
      <c r="Q2" s="102">
        <v>-26300</v>
      </c>
    </row>
    <row r="3" spans="1:17" x14ac:dyDescent="0.4">
      <c r="A3" s="55" t="s">
        <v>8</v>
      </c>
      <c r="B3" s="152">
        <v>45</v>
      </c>
      <c r="C3" s="153"/>
      <c r="E3" s="63" t="s">
        <v>67</v>
      </c>
      <c r="F3" s="60" t="s">
        <v>23</v>
      </c>
      <c r="G3" s="47">
        <v>6</v>
      </c>
      <c r="H3" s="133">
        <f>IF(B$17=0,0,G3/B$17)</f>
        <v>0.54545454545454541</v>
      </c>
      <c r="I3" s="94">
        <v>14</v>
      </c>
      <c r="K3" s="38">
        <v>1</v>
      </c>
      <c r="L3" s="99">
        <v>-43.2</v>
      </c>
      <c r="N3" s="115" t="s">
        <v>133</v>
      </c>
      <c r="O3" s="122">
        <f t="shared" si="0"/>
        <v>-3400</v>
      </c>
      <c r="P3" s="119">
        <v>5</v>
      </c>
      <c r="Q3" s="103">
        <v>-17000</v>
      </c>
    </row>
    <row r="4" spans="1:17" x14ac:dyDescent="0.4">
      <c r="A4" s="55" t="s">
        <v>6</v>
      </c>
      <c r="B4" s="154">
        <v>-152</v>
      </c>
      <c r="C4" s="155"/>
      <c r="E4" s="63" t="s">
        <v>73</v>
      </c>
      <c r="F4" s="60" t="s">
        <v>28</v>
      </c>
      <c r="G4" s="47">
        <v>6</v>
      </c>
      <c r="H4" s="133">
        <f>IF(B$17=0,0,G4/B$17)</f>
        <v>0.54545454545454541</v>
      </c>
      <c r="I4" s="94">
        <v>8</v>
      </c>
      <c r="K4" s="38">
        <v>2</v>
      </c>
      <c r="L4" s="99">
        <v>-96.5</v>
      </c>
      <c r="N4" s="115" t="s">
        <v>134</v>
      </c>
      <c r="O4" s="122">
        <f t="shared" si="0"/>
        <v>150</v>
      </c>
      <c r="P4" s="119">
        <v>4</v>
      </c>
      <c r="Q4" s="103">
        <v>600</v>
      </c>
    </row>
    <row r="5" spans="1:17" x14ac:dyDescent="0.4">
      <c r="A5" s="55" t="s">
        <v>7</v>
      </c>
      <c r="B5" s="156">
        <f>IF(B$2=0,0,B$4/B$2)</f>
        <v>-30.4</v>
      </c>
      <c r="C5" s="157"/>
      <c r="E5" s="63" t="s">
        <v>65</v>
      </c>
      <c r="F5" s="60" t="s">
        <v>21</v>
      </c>
      <c r="G5" s="47">
        <v>5</v>
      </c>
      <c r="H5" s="133">
        <f>IF(B$17=0,0,G5/B$17)</f>
        <v>0.45454545454545453</v>
      </c>
      <c r="I5" s="94">
        <v>10</v>
      </c>
      <c r="K5" s="38">
        <v>3</v>
      </c>
      <c r="L5" s="99">
        <v>-151.9</v>
      </c>
      <c r="N5" s="115" t="s">
        <v>135</v>
      </c>
      <c r="O5" s="122">
        <f t="shared" si="0"/>
        <v>5000</v>
      </c>
      <c r="P5" s="119">
        <v>4</v>
      </c>
      <c r="Q5" s="103">
        <v>20000</v>
      </c>
    </row>
    <row r="6" spans="1:17" x14ac:dyDescent="0.4">
      <c r="A6" s="55" t="s">
        <v>1</v>
      </c>
      <c r="B6" s="146">
        <f>IF(B$2=0,0,(B$7*1+B$8*2+B$9*3)/B$2)</f>
        <v>2.6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0.27272727272727271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-2700</v>
      </c>
      <c r="P6" s="119">
        <v>3</v>
      </c>
      <c r="Q6" s="103">
        <v>-8100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9.0909090909090912E-2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2</v>
      </c>
      <c r="C8" s="39">
        <f>IF(B$2=0,0,B8/B$2)</f>
        <v>0.4</v>
      </c>
      <c r="E8" s="63" t="s">
        <v>71</v>
      </c>
      <c r="F8" s="60" t="s">
        <v>26</v>
      </c>
      <c r="G8" s="47">
        <v>1</v>
      </c>
      <c r="H8" s="133">
        <f>IF(B$17=0,0,G8/B$17)</f>
        <v>9.0909090909090912E-2</v>
      </c>
      <c r="I8" s="94">
        <v>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0.6</v>
      </c>
      <c r="E9" s="63" t="s">
        <v>79</v>
      </c>
      <c r="F9" s="60" t="s">
        <v>34</v>
      </c>
      <c r="G9" s="47">
        <v>1</v>
      </c>
      <c r="H9" s="133">
        <f>IF(B$17=0,0,G9/B$17)</f>
        <v>9.0909090909090912E-2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0.2</v>
      </c>
      <c r="E10" s="63" t="s">
        <v>92</v>
      </c>
      <c r="F10" s="60" t="s">
        <v>47</v>
      </c>
      <c r="G10" s="47">
        <v>1</v>
      </c>
      <c r="H10" s="133">
        <f>IF(B$17=0,0,G10/B$17)</f>
        <v>9.0909090909090912E-2</v>
      </c>
      <c r="I10" s="94">
        <v>1</v>
      </c>
      <c r="N10" s="114" t="s">
        <v>164</v>
      </c>
      <c r="O10" s="124">
        <f>IF(P10=0,0,Q10/P10)</f>
        <v>-14.433333333333332</v>
      </c>
      <c r="P10" s="118">
        <v>3</v>
      </c>
      <c r="Q10" s="106">
        <v>-43.3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68</v>
      </c>
      <c r="F12" s="60" t="s">
        <v>24</v>
      </c>
      <c r="G12" s="47">
        <v>0</v>
      </c>
      <c r="H12" s="133">
        <f>IF(B$17=0,0,G12/B$17)</f>
        <v>0</v>
      </c>
      <c r="I12" s="94">
        <v>14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6</v>
      </c>
      <c r="C13" s="44">
        <f>IF(B$3=0,0,B13/B$3)</f>
        <v>0.13333333333333333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</v>
      </c>
      <c r="C14" s="39">
        <f>IF(B$3=0,0,B14/B$3)</f>
        <v>0.35555555555555557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0.83333333333333337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200</v>
      </c>
      <c r="O15" s="124">
        <f>IF(P15=0,0,Q15/P15)</f>
        <v>8.2999999999999972</v>
      </c>
      <c r="P15" s="118">
        <v>2</v>
      </c>
      <c r="Q15" s="106">
        <v>16.599999999999994</v>
      </c>
    </row>
    <row r="16" spans="1:17" x14ac:dyDescent="0.4">
      <c r="A16" s="54" t="s">
        <v>125</v>
      </c>
      <c r="B16" s="46">
        <v>4</v>
      </c>
      <c r="C16" s="37">
        <f>IF(B$14=0,0,B16/B$14)</f>
        <v>0.25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11</v>
      </c>
      <c r="C17" s="37">
        <f>IF(B$3=0,0,B17/B$3)</f>
        <v>0.24444444444444444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4</v>
      </c>
      <c r="C18" s="39">
        <f>IF(B$17=0,0,B18/B$17)</f>
        <v>0.36363636363636365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8</v>
      </c>
      <c r="N18" s="115" t="s">
        <v>173</v>
      </c>
      <c r="O18" s="125">
        <f>IF(P18=0,0,Q18/P18)</f>
        <v>-116.19999999999999</v>
      </c>
      <c r="P18" s="119">
        <v>1</v>
      </c>
      <c r="Q18" s="107">
        <v>-116.19999999999999</v>
      </c>
    </row>
    <row r="19" spans="1:17" x14ac:dyDescent="0.4">
      <c r="A19" s="55" t="s">
        <v>11</v>
      </c>
      <c r="B19" s="47">
        <v>7</v>
      </c>
      <c r="C19" s="39">
        <f>IF(B$17=0,0,B19/B$17)</f>
        <v>0.63636363636363635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9</v>
      </c>
      <c r="C20" s="39">
        <f>IF(B$3=0,0,B20/B$3)</f>
        <v>0.2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192</v>
      </c>
      <c r="B22" s="47">
        <v>8</v>
      </c>
      <c r="C22" s="135">
        <v>3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6727.272727272727</v>
      </c>
      <c r="C23" s="41">
        <v>74000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12</v>
      </c>
    </row>
    <row r="24" spans="1:17" x14ac:dyDescent="0.4">
      <c r="A24" s="57" t="s">
        <v>14</v>
      </c>
      <c r="B24" s="52">
        <f>IF(B$20=0,0,C24/B$20)</f>
        <v>-6077.7777777777774</v>
      </c>
      <c r="C24" s="45">
        <v>-54700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142</v>
      </c>
      <c r="B25" s="144">
        <v>4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52800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1</v>
      </c>
      <c r="C27" s="42">
        <f>IF(B$3=0,0,B27/B$3)</f>
        <v>2.2222222222222223E-2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13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F348E-0134-418C-AD6E-34090774B706}">
  <sheetPr codeName="Sheet33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D5E5-5010-4DC2-A471-8D0832BC2579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FCD7C-0DA8-424B-971F-2311209ECB5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BE85F-0BD8-4F02-A735-A35F7502F078}">
  <sheetPr codeName="Sheet26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AD448-6F88-47C9-B1D4-0309554E2FF0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FA5A-55B0-491E-9E35-39BFCC877F6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6137-1EC1-42F4-970F-5E9998B95D90}">
  <sheetPr codeName="Sheet20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019D2-725E-4990-B274-E2C7DB60C9DC}">
  <sheetPr codeName="Sheet18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B2934-5E03-4E7D-83EB-E3BC9751F69B}">
  <sheetPr codeName="Sheet16"/>
  <dimension ref="A1:Q9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4D73F-9F7C-402B-AEF4-C07A171755F4}">
  <sheetPr codeName="Sheet14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2F509-3C19-4065-9FF3-0C4C45C4938F}">
  <sheetPr codeName="Sheet12"/>
  <dimension ref="A1:Q1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-905.80000000000007</v>
      </c>
      <c r="C124" s="66">
        <v>-7.4859504132231409</v>
      </c>
      <c r="D124" s="71">
        <v>2.0991735537190084</v>
      </c>
      <c r="E124" s="67">
        <v>0.31404958677685951</v>
      </c>
      <c r="F124" s="67">
        <v>0.41322314049586778</v>
      </c>
      <c r="G124" s="67">
        <v>0.26712328767123289</v>
      </c>
      <c r="H124" s="67">
        <v>0.18395303326810175</v>
      </c>
      <c r="I124" s="68">
        <v>8898.9010989010985</v>
      </c>
      <c r="J124" s="68">
        <v>-8912.7659574468089</v>
      </c>
      <c r="K124" s="67">
        <v>0.17355371900826447</v>
      </c>
      <c r="L124" s="67">
        <v>0.12396694214876033</v>
      </c>
      <c r="M124" s="67">
        <v>0.26027397260273971</v>
      </c>
      <c r="N124" s="67">
        <v>0.18395303326810175</v>
      </c>
      <c r="O124" s="67">
        <v>0.55263157894736847</v>
      </c>
      <c r="P124" s="67">
        <v>0.30851063829787234</v>
      </c>
      <c r="Q124" s="67">
        <v>0.42857142857142855</v>
      </c>
    </row>
    <row r="125" spans="1:17" x14ac:dyDescent="0.4">
      <c r="A125" s="69">
        <v>122</v>
      </c>
      <c r="B125" s="66">
        <v>-877.6</v>
      </c>
      <c r="C125" s="66">
        <v>-7.1934426229508199</v>
      </c>
      <c r="D125" s="71">
        <v>2.0901639344262297</v>
      </c>
      <c r="E125" s="67">
        <v>0.31967213114754101</v>
      </c>
      <c r="F125" s="67">
        <v>0.4098360655737705</v>
      </c>
      <c r="G125" s="67">
        <v>0.26750972762645914</v>
      </c>
      <c r="H125" s="67">
        <v>0.18482490272373542</v>
      </c>
      <c r="I125" s="68">
        <v>8896.7272727272721</v>
      </c>
      <c r="J125" s="68">
        <v>-8866.3157894736851</v>
      </c>
      <c r="K125" s="67">
        <v>0.1721311475409836</v>
      </c>
      <c r="L125" s="67">
        <v>0.12295081967213115</v>
      </c>
      <c r="M125" s="67">
        <v>0.26070038910505838</v>
      </c>
      <c r="N125" s="67">
        <v>0.1828793774319066</v>
      </c>
      <c r="O125" s="67">
        <v>0.55597014925373134</v>
      </c>
      <c r="P125" s="67">
        <v>0.30851063829787234</v>
      </c>
      <c r="Q125" s="67">
        <v>0.42909090909090908</v>
      </c>
    </row>
    <row r="126" spans="1:17" x14ac:dyDescent="0.4">
      <c r="A126" s="69">
        <v>123</v>
      </c>
      <c r="B126" s="66">
        <v>-881.80000000000007</v>
      </c>
      <c r="C126" s="66">
        <v>-7.1691056910569113</v>
      </c>
      <c r="D126" s="71">
        <v>2.089430894308943</v>
      </c>
      <c r="E126" s="67">
        <v>0.31707317073170732</v>
      </c>
      <c r="F126" s="67">
        <v>0.4065040650406504</v>
      </c>
      <c r="G126" s="67">
        <v>0.26859903381642514</v>
      </c>
      <c r="H126" s="67">
        <v>0.18357487922705315</v>
      </c>
      <c r="I126" s="68">
        <v>8832.374100719424</v>
      </c>
      <c r="J126" s="68">
        <v>-8866.3157894736851</v>
      </c>
      <c r="K126" s="67">
        <v>0.17073170731707318</v>
      </c>
      <c r="L126" s="67">
        <v>0.12195121951219512</v>
      </c>
      <c r="M126" s="67">
        <v>0.2608695652173913</v>
      </c>
      <c r="N126" s="67">
        <v>0.18454106280193236</v>
      </c>
      <c r="O126" s="67">
        <v>0.55555555555555558</v>
      </c>
      <c r="P126" s="67">
        <v>0.31413612565445026</v>
      </c>
      <c r="Q126" s="67">
        <v>0.42446043165467628</v>
      </c>
    </row>
    <row r="127" spans="1:17" x14ac:dyDescent="0.4">
      <c r="A127" s="69">
        <v>124</v>
      </c>
      <c r="B127" s="66">
        <v>-884.7</v>
      </c>
      <c r="C127" s="66">
        <v>-7.1346774193548388</v>
      </c>
      <c r="D127" s="71">
        <v>2.088709677419355</v>
      </c>
      <c r="E127" s="67">
        <v>0.31451612903225806</v>
      </c>
      <c r="F127" s="67">
        <v>0.40322580645161288</v>
      </c>
      <c r="G127" s="67">
        <v>0.26897214217098941</v>
      </c>
      <c r="H127" s="67">
        <v>0.18443804034582131</v>
      </c>
      <c r="I127" s="68">
        <v>8808.2142857142862</v>
      </c>
      <c r="J127" s="68">
        <v>-8814.5833333333339</v>
      </c>
      <c r="K127" s="67">
        <v>0.16935483870967741</v>
      </c>
      <c r="L127" s="67">
        <v>0.12096774193548387</v>
      </c>
      <c r="M127" s="67">
        <v>0.26128722382324687</v>
      </c>
      <c r="N127" s="67">
        <v>0.18443804034582131</v>
      </c>
      <c r="O127" s="67">
        <v>0.55514705882352944</v>
      </c>
      <c r="P127" s="67">
        <v>0.31770833333333331</v>
      </c>
      <c r="Q127" s="67">
        <v>0.42142857142857143</v>
      </c>
    </row>
    <row r="128" spans="1:17" x14ac:dyDescent="0.4">
      <c r="A128" s="69">
        <v>125</v>
      </c>
      <c r="B128" s="66">
        <v>-927.5</v>
      </c>
      <c r="C128" s="66">
        <v>-7.42</v>
      </c>
      <c r="D128" s="71">
        <v>2.0960000000000001</v>
      </c>
      <c r="E128" s="67">
        <v>0.312</v>
      </c>
      <c r="F128" s="67">
        <v>0.40799999999999997</v>
      </c>
      <c r="G128" s="67">
        <v>0.2681297709923664</v>
      </c>
      <c r="H128" s="67">
        <v>0.18416030534351144</v>
      </c>
      <c r="I128" s="68">
        <v>8795.373665480427</v>
      </c>
      <c r="J128" s="68">
        <v>-8810.3626943005183</v>
      </c>
      <c r="K128" s="67">
        <v>0.16800000000000001</v>
      </c>
      <c r="L128" s="67">
        <v>0.12</v>
      </c>
      <c r="M128" s="67">
        <v>0.25954198473282442</v>
      </c>
      <c r="N128" s="67">
        <v>0.18416030534351144</v>
      </c>
      <c r="O128" s="67">
        <v>0.55514705882352944</v>
      </c>
      <c r="P128" s="67">
        <v>0.31606217616580312</v>
      </c>
      <c r="Q128" s="67">
        <v>0.41992882562277578</v>
      </c>
    </row>
    <row r="129" spans="1:17" x14ac:dyDescent="0.4">
      <c r="A129" s="69">
        <v>126</v>
      </c>
      <c r="B129" s="66">
        <v>-917.7</v>
      </c>
      <c r="C129" s="66">
        <v>-7.2833333333333341</v>
      </c>
      <c r="D129" s="71">
        <v>2.0952380952380953</v>
      </c>
      <c r="E129" s="67">
        <v>0.30952380952380953</v>
      </c>
      <c r="F129" s="67">
        <v>0.40476190476190477</v>
      </c>
      <c r="G129" s="67">
        <v>0.26988636363636365</v>
      </c>
      <c r="H129" s="67">
        <v>0.18371212121212122</v>
      </c>
      <c r="I129" s="68">
        <v>8744.9122807017538</v>
      </c>
      <c r="J129" s="68">
        <v>-8826.8041237113393</v>
      </c>
      <c r="K129" s="67">
        <v>0.16666666666666666</v>
      </c>
      <c r="L129" s="67">
        <v>0.11904761904761904</v>
      </c>
      <c r="M129" s="67">
        <v>0.26041666666666669</v>
      </c>
      <c r="N129" s="67">
        <v>0.18276515151515152</v>
      </c>
      <c r="O129" s="67">
        <v>0.55636363636363639</v>
      </c>
      <c r="P129" s="67">
        <v>0.31606217616580312</v>
      </c>
      <c r="Q129" s="67">
        <v>0.42105263157894735</v>
      </c>
    </row>
    <row r="130" spans="1:17" x14ac:dyDescent="0.4">
      <c r="A130" s="69">
        <v>127</v>
      </c>
      <c r="B130" s="66">
        <v>-917.40000000000009</v>
      </c>
      <c r="C130" s="66">
        <v>-7.2236220472440955</v>
      </c>
      <c r="D130" s="71">
        <v>2.0944881889763778</v>
      </c>
      <c r="E130" s="67">
        <v>0.30708661417322836</v>
      </c>
      <c r="F130" s="67">
        <v>0.40157480314960631</v>
      </c>
      <c r="G130" s="67">
        <v>0.27110694183864914</v>
      </c>
      <c r="H130" s="67">
        <v>0.18292682926829268</v>
      </c>
      <c r="I130" s="68">
        <v>8735.6401384083038</v>
      </c>
      <c r="J130" s="68">
        <v>-8843.0769230769238</v>
      </c>
      <c r="K130" s="67">
        <v>0.16535433070866143</v>
      </c>
      <c r="L130" s="67">
        <v>0.11811023622047244</v>
      </c>
      <c r="M130" s="67">
        <v>0.25984990619136961</v>
      </c>
      <c r="N130" s="67">
        <v>0.18386491557223264</v>
      </c>
      <c r="O130" s="67">
        <v>0.55956678700361007</v>
      </c>
      <c r="P130" s="67">
        <v>0.31632653061224492</v>
      </c>
      <c r="Q130" s="67">
        <v>0.42214532871972316</v>
      </c>
    </row>
    <row r="131" spans="1:17" x14ac:dyDescent="0.4">
      <c r="A131" s="69">
        <v>128</v>
      </c>
      <c r="B131" s="66">
        <v>-951.50000000000011</v>
      </c>
      <c r="C131" s="66">
        <v>-7.4335937500000009</v>
      </c>
      <c r="D131" s="71">
        <v>2.1015625</v>
      </c>
      <c r="E131" s="67">
        <v>0.3046875</v>
      </c>
      <c r="F131" s="67">
        <v>0.40625</v>
      </c>
      <c r="G131" s="67">
        <v>0.27112349117920148</v>
      </c>
      <c r="H131" s="67">
        <v>0.1829155060352832</v>
      </c>
      <c r="I131" s="68">
        <v>8695.5479452054788</v>
      </c>
      <c r="J131" s="68">
        <v>-8832.9949238578683</v>
      </c>
      <c r="K131" s="67">
        <v>0.1640625</v>
      </c>
      <c r="L131" s="67">
        <v>0.1171875</v>
      </c>
      <c r="M131" s="67">
        <v>0.25812441968430827</v>
      </c>
      <c r="N131" s="67">
        <v>0.18384401114206128</v>
      </c>
      <c r="O131" s="67">
        <v>0.5611510791366906</v>
      </c>
      <c r="P131" s="67">
        <v>0.32323232323232326</v>
      </c>
      <c r="Q131" s="67">
        <v>0.42123287671232879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389B-1C3D-44BA-8605-9F19ABCD43C3}">
  <sheetPr codeName="Sheet10"/>
  <dimension ref="A1:Q1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-400.50000000000006</v>
      </c>
      <c r="C147" s="66">
        <v>-2.7812500000000004</v>
      </c>
      <c r="D147" s="71">
        <v>2.0763888888888888</v>
      </c>
      <c r="E147" s="67">
        <v>0.27083333333333331</v>
      </c>
      <c r="F147" s="67">
        <v>0.34722222222222221</v>
      </c>
      <c r="G147" s="67">
        <v>0.27603725656223538</v>
      </c>
      <c r="H147" s="67">
        <v>0.17442845046570704</v>
      </c>
      <c r="I147" s="68">
        <v>9132.2085889570553</v>
      </c>
      <c r="J147" s="68">
        <v>-7762.6213592233007</v>
      </c>
      <c r="K147" s="67">
        <v>0.13194444444444445</v>
      </c>
      <c r="L147" s="67">
        <v>0.10416666666666667</v>
      </c>
      <c r="M147" s="67">
        <v>0.30059271803556309</v>
      </c>
      <c r="N147" s="67">
        <v>0.17696867061812024</v>
      </c>
      <c r="O147" s="67">
        <v>0.58591549295774648</v>
      </c>
      <c r="P147" s="67">
        <v>0.31100478468899523</v>
      </c>
      <c r="Q147" s="67">
        <v>0.42944785276073622</v>
      </c>
    </row>
    <row r="148" spans="1:17" x14ac:dyDescent="0.4">
      <c r="A148" s="69">
        <v>145</v>
      </c>
      <c r="B148" s="66">
        <v>-402.30000000000007</v>
      </c>
      <c r="C148" s="66">
        <v>-2.7744827586206902</v>
      </c>
      <c r="D148" s="71">
        <v>2.0758620689655172</v>
      </c>
      <c r="E148" s="67">
        <v>0.26896551724137929</v>
      </c>
      <c r="F148" s="67">
        <v>0.34482758620689657</v>
      </c>
      <c r="G148" s="67">
        <v>0.27716933445661329</v>
      </c>
      <c r="H148" s="67">
        <v>0.17438921651221567</v>
      </c>
      <c r="I148" s="68">
        <v>9099.6960486322187</v>
      </c>
      <c r="J148" s="68">
        <v>-7783.0917874396137</v>
      </c>
      <c r="K148" s="67">
        <v>0.1310344827586207</v>
      </c>
      <c r="L148" s="67">
        <v>0.10344827586206896</v>
      </c>
      <c r="M148" s="67">
        <v>0.30075821398483571</v>
      </c>
      <c r="N148" s="67">
        <v>0.17775905644481887</v>
      </c>
      <c r="O148" s="67">
        <v>0.58823529411764708</v>
      </c>
      <c r="P148" s="67">
        <v>0.3127962085308057</v>
      </c>
      <c r="Q148" s="67">
        <v>0.42553191489361702</v>
      </c>
    </row>
    <row r="149" spans="1:17" x14ac:dyDescent="0.4">
      <c r="A149" s="69">
        <v>146</v>
      </c>
      <c r="B149" s="66">
        <v>-459.10000000000008</v>
      </c>
      <c r="C149" s="66">
        <v>-3.1445205479452061</v>
      </c>
      <c r="D149" s="71">
        <v>2.0821917808219177</v>
      </c>
      <c r="E149" s="67">
        <v>0.26712328767123289</v>
      </c>
      <c r="F149" s="67">
        <v>0.34931506849315069</v>
      </c>
      <c r="G149" s="67">
        <v>0.27554438860971525</v>
      </c>
      <c r="H149" s="67">
        <v>0.17755443886097153</v>
      </c>
      <c r="I149" s="68">
        <v>9099.6960486322187</v>
      </c>
      <c r="J149" s="68">
        <v>-7707.0754716981128</v>
      </c>
      <c r="K149" s="67">
        <v>0.13698630136986301</v>
      </c>
      <c r="L149" s="67">
        <v>0.10273972602739725</v>
      </c>
      <c r="M149" s="67">
        <v>0.30067001675041877</v>
      </c>
      <c r="N149" s="67">
        <v>0.17671691792294808</v>
      </c>
      <c r="O149" s="67">
        <v>0.58495821727019504</v>
      </c>
      <c r="P149" s="67">
        <v>0.3127962085308057</v>
      </c>
      <c r="Q149" s="67">
        <v>0.42553191489361702</v>
      </c>
    </row>
    <row r="150" spans="1:17" x14ac:dyDescent="0.4">
      <c r="A150" s="69">
        <v>147</v>
      </c>
      <c r="B150" s="66">
        <v>-491.60000000000008</v>
      </c>
      <c r="C150" s="66">
        <v>-3.3442176870748304</v>
      </c>
      <c r="D150" s="71">
        <v>2.0884353741496597</v>
      </c>
      <c r="E150" s="67">
        <v>0.26530612244897961</v>
      </c>
      <c r="F150" s="67">
        <v>0.35374149659863946</v>
      </c>
      <c r="G150" s="67">
        <v>0.27500000000000002</v>
      </c>
      <c r="H150" s="67">
        <v>0.17916666666666667</v>
      </c>
      <c r="I150" s="68">
        <v>9096.363636363636</v>
      </c>
      <c r="J150" s="68">
        <v>-7694.8837209302328</v>
      </c>
      <c r="K150" s="67">
        <v>0.1360544217687075</v>
      </c>
      <c r="L150" s="67">
        <v>0.10204081632653061</v>
      </c>
      <c r="M150" s="67">
        <v>0.29916666666666669</v>
      </c>
      <c r="N150" s="67">
        <v>0.17666666666666667</v>
      </c>
      <c r="O150" s="67">
        <v>0.58495821727019504</v>
      </c>
      <c r="P150" s="67">
        <v>0.31132075471698112</v>
      </c>
      <c r="Q150" s="67">
        <v>0.42727272727272725</v>
      </c>
    </row>
    <row r="151" spans="1:17" x14ac:dyDescent="0.4">
      <c r="A151" s="69">
        <v>148</v>
      </c>
      <c r="B151" s="66">
        <v>-504.30000000000007</v>
      </c>
      <c r="C151" s="66">
        <v>-3.407432432432433</v>
      </c>
      <c r="D151" s="71">
        <v>2.0878378378378377</v>
      </c>
      <c r="E151" s="67">
        <v>0.26351351351351349</v>
      </c>
      <c r="F151" s="67">
        <v>0.35135135135135137</v>
      </c>
      <c r="G151" s="67">
        <v>0.27506213753106878</v>
      </c>
      <c r="H151" s="67">
        <v>0.17978458989229495</v>
      </c>
      <c r="I151" s="68">
        <v>9081.6265060240967</v>
      </c>
      <c r="J151" s="68">
        <v>-7684.7926267281109</v>
      </c>
      <c r="K151" s="67">
        <v>0.13513513513513514</v>
      </c>
      <c r="L151" s="67">
        <v>0.10135135135135136</v>
      </c>
      <c r="M151" s="67">
        <v>0.30074565037282519</v>
      </c>
      <c r="N151" s="67">
        <v>0.17729908864954433</v>
      </c>
      <c r="O151" s="67">
        <v>0.58126721763085398</v>
      </c>
      <c r="P151" s="67">
        <v>0.31308411214953269</v>
      </c>
      <c r="Q151" s="67">
        <v>0.42771084337349397</v>
      </c>
    </row>
    <row r="152" spans="1:17" x14ac:dyDescent="0.4">
      <c r="A152" s="69">
        <v>149</v>
      </c>
      <c r="B152" s="66">
        <v>-547.40000000000009</v>
      </c>
      <c r="C152" s="66">
        <v>-3.6738255033557055</v>
      </c>
      <c r="D152" s="71">
        <v>2.0939597315436242</v>
      </c>
      <c r="E152" s="67">
        <v>0.26174496644295303</v>
      </c>
      <c r="F152" s="67">
        <v>0.35570469798657717</v>
      </c>
      <c r="G152" s="67">
        <v>0.27407407407407408</v>
      </c>
      <c r="H152" s="67">
        <v>0.18189300411522633</v>
      </c>
      <c r="I152" s="68">
        <v>9069.9699699699704</v>
      </c>
      <c r="J152" s="68">
        <v>-7630.316742081448</v>
      </c>
      <c r="K152" s="67">
        <v>0.13422818791946309</v>
      </c>
      <c r="L152" s="67">
        <v>0.10067114093959731</v>
      </c>
      <c r="M152" s="67">
        <v>0.30041152263374488</v>
      </c>
      <c r="N152" s="67">
        <v>0.17613168724279835</v>
      </c>
      <c r="O152" s="67">
        <v>0.58082191780821912</v>
      </c>
      <c r="P152" s="67">
        <v>0.31308411214953269</v>
      </c>
      <c r="Q152" s="67">
        <v>0.42642642642642642</v>
      </c>
    </row>
    <row r="153" spans="1:17" x14ac:dyDescent="0.4">
      <c r="A153" s="69">
        <v>150</v>
      </c>
      <c r="B153" s="66">
        <v>-520.90000000000009</v>
      </c>
      <c r="C153" s="66">
        <v>-3.4726666666666675</v>
      </c>
      <c r="D153" s="71">
        <v>2.0866666666666664</v>
      </c>
      <c r="E153" s="67">
        <v>0.26666666666666666</v>
      </c>
      <c r="F153" s="67">
        <v>0.35333333333333333</v>
      </c>
      <c r="G153" s="67">
        <v>0.27510204081632655</v>
      </c>
      <c r="H153" s="67">
        <v>0.18122448979591838</v>
      </c>
      <c r="I153" s="68">
        <v>9032.3442136498525</v>
      </c>
      <c r="J153" s="68">
        <v>-7607.6576576576581</v>
      </c>
      <c r="K153" s="67">
        <v>0.13333333333333333</v>
      </c>
      <c r="L153" s="67">
        <v>0.1</v>
      </c>
      <c r="M153" s="67">
        <v>0.30040816326530612</v>
      </c>
      <c r="N153" s="67">
        <v>0.1763265306122449</v>
      </c>
      <c r="O153" s="67">
        <v>0.58152173913043481</v>
      </c>
      <c r="P153" s="67">
        <v>0.31944444444444442</v>
      </c>
      <c r="Q153" s="67">
        <v>0.43323442136498519</v>
      </c>
    </row>
    <row r="154" spans="1:17" x14ac:dyDescent="0.4">
      <c r="A154" s="69">
        <v>151</v>
      </c>
      <c r="B154" s="66">
        <v>-480.10000000000008</v>
      </c>
      <c r="C154" s="66">
        <v>-3.1794701986754972</v>
      </c>
      <c r="D154" s="71">
        <v>2.0794701986754967</v>
      </c>
      <c r="E154" s="67">
        <v>0.27152317880794702</v>
      </c>
      <c r="F154" s="67">
        <v>0.35099337748344372</v>
      </c>
      <c r="G154" s="67">
        <v>0.27588996763754048</v>
      </c>
      <c r="H154" s="67">
        <v>0.18203883495145631</v>
      </c>
      <c r="I154" s="68">
        <v>9042.2287390029323</v>
      </c>
      <c r="J154" s="68">
        <v>-7599.1111111111113</v>
      </c>
      <c r="K154" s="67">
        <v>0.13245033112582782</v>
      </c>
      <c r="L154" s="67">
        <v>9.9337748344370855E-2</v>
      </c>
      <c r="M154" s="67">
        <v>0.3017799352750809</v>
      </c>
      <c r="N154" s="67">
        <v>0.17556634304207119</v>
      </c>
      <c r="O154" s="67">
        <v>0.58445040214477206</v>
      </c>
      <c r="P154" s="67">
        <v>0.31797235023041476</v>
      </c>
      <c r="Q154" s="67">
        <v>0.43401759530791789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BB825-5482-443A-8F55-E0BF277A4C1E}">
  <sheetPr codeName="Sheet8"/>
  <dimension ref="A1:Q18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1974.5000000000005</v>
      </c>
      <c r="C172" s="66">
        <v>11.683431952662724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2029.1000000000004</v>
      </c>
      <c r="C173" s="66">
        <v>11.935882352941178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2029.0000000000005</v>
      </c>
      <c r="C174" s="66">
        <v>11.865497076023395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2041.9000000000005</v>
      </c>
      <c r="C175" s="66">
        <v>11.87151162790698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2064.5000000000005</v>
      </c>
      <c r="C176" s="66">
        <v>11.933526011560696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2119.1000000000004</v>
      </c>
      <c r="C177" s="66">
        <v>12.17873563218391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2155.2000000000003</v>
      </c>
      <c r="C178" s="66">
        <v>12.315428571428573</v>
      </c>
      <c r="D178" s="71">
        <v>1.76</v>
      </c>
      <c r="E178" s="67">
        <v>0.47428571428571431</v>
      </c>
      <c r="F178" s="67">
        <v>0.23428571428571429</v>
      </c>
      <c r="G178" s="67">
        <v>0.34029227557411273</v>
      </c>
      <c r="H178" s="67">
        <v>0.1544885177453027</v>
      </c>
      <c r="I178" s="68">
        <v>9284.0490797546008</v>
      </c>
      <c r="J178" s="68">
        <v>-8142.7927927927931</v>
      </c>
      <c r="K178" s="67">
        <v>9.1428571428571428E-2</v>
      </c>
      <c r="L178" s="67">
        <v>0.17142857142857143</v>
      </c>
      <c r="M178" s="67">
        <v>0.31384829505915102</v>
      </c>
      <c r="N178" s="67">
        <v>0.20668058455114824</v>
      </c>
      <c r="O178" s="67">
        <v>0.57871396895787142</v>
      </c>
      <c r="P178" s="67">
        <v>0.52188552188552184</v>
      </c>
      <c r="Q178" s="67">
        <v>0.42331288343558282</v>
      </c>
    </row>
    <row r="179" spans="1:17" x14ac:dyDescent="0.4">
      <c r="A179" s="69">
        <v>176</v>
      </c>
      <c r="B179" s="66">
        <v>2128.8000000000002</v>
      </c>
      <c r="C179" s="66">
        <v>12.095454545454546</v>
      </c>
      <c r="D179" s="71">
        <v>1.7670454545454546</v>
      </c>
      <c r="E179" s="67">
        <v>0.47159090909090912</v>
      </c>
      <c r="F179" s="67">
        <v>0.23863636363636365</v>
      </c>
      <c r="G179" s="67">
        <v>0.33957033957033955</v>
      </c>
      <c r="H179" s="67">
        <v>0.15523215523215522</v>
      </c>
      <c r="I179" s="68">
        <v>9289.5918367346931</v>
      </c>
      <c r="J179" s="68">
        <v>-8127.6785714285716</v>
      </c>
      <c r="K179" s="67">
        <v>9.0909090909090912E-2</v>
      </c>
      <c r="L179" s="67">
        <v>0.17045454545454544</v>
      </c>
      <c r="M179" s="67">
        <v>0.31323631323631324</v>
      </c>
      <c r="N179" s="67">
        <v>0.2072072072072072</v>
      </c>
      <c r="O179" s="67">
        <v>0.57743362831858402</v>
      </c>
      <c r="P179" s="67">
        <v>0.52173913043478259</v>
      </c>
      <c r="Q179" s="67">
        <v>0.42244897959183675</v>
      </c>
    </row>
    <row r="180" spans="1:17" x14ac:dyDescent="0.4">
      <c r="A180" s="69">
        <v>177</v>
      </c>
      <c r="B180" s="66">
        <v>2189.8000000000002</v>
      </c>
      <c r="C180" s="66">
        <v>12.371751412429379</v>
      </c>
      <c r="D180" s="71">
        <v>1.7627118644067796</v>
      </c>
      <c r="E180" s="67">
        <v>0.47457627118644069</v>
      </c>
      <c r="F180" s="67">
        <v>0.23728813559322035</v>
      </c>
      <c r="G180" s="67">
        <v>0.34068965517241379</v>
      </c>
      <c r="H180" s="67">
        <v>0.15448275862068966</v>
      </c>
      <c r="I180" s="68">
        <v>9291.2955465587038</v>
      </c>
      <c r="J180" s="68">
        <v>-8127.6785714285716</v>
      </c>
      <c r="K180" s="67">
        <v>9.03954802259887E-2</v>
      </c>
      <c r="L180" s="67">
        <v>0.1751412429378531</v>
      </c>
      <c r="M180" s="67">
        <v>0.31172413793103448</v>
      </c>
      <c r="N180" s="67">
        <v>0.20827586206896551</v>
      </c>
      <c r="O180" s="67">
        <v>0.57743362831858402</v>
      </c>
      <c r="P180" s="67">
        <v>0.52649006622516559</v>
      </c>
      <c r="Q180" s="67">
        <v>0.42307692307692307</v>
      </c>
    </row>
    <row r="181" spans="1:17" x14ac:dyDescent="0.4">
      <c r="A181" s="69">
        <v>178</v>
      </c>
      <c r="B181" s="66">
        <v>2225.2000000000003</v>
      </c>
      <c r="C181" s="66">
        <v>12.50112359550562</v>
      </c>
      <c r="D181" s="71">
        <v>1.7584269662921348</v>
      </c>
      <c r="E181" s="67">
        <v>0.47752808988764045</v>
      </c>
      <c r="F181" s="67">
        <v>0.23595505617977527</v>
      </c>
      <c r="G181" s="67">
        <v>0.34134615384615385</v>
      </c>
      <c r="H181" s="67">
        <v>0.15384615384615385</v>
      </c>
      <c r="I181" s="68">
        <v>9270.2213279678072</v>
      </c>
      <c r="J181" s="68">
        <v>-8127.6785714285716</v>
      </c>
      <c r="K181" s="67">
        <v>8.98876404494382E-2</v>
      </c>
      <c r="L181" s="67">
        <v>0.17415730337078653</v>
      </c>
      <c r="M181" s="67">
        <v>0.31112637362637363</v>
      </c>
      <c r="N181" s="67">
        <v>0.20947802197802198</v>
      </c>
      <c r="O181" s="67">
        <v>0.57836644591611475</v>
      </c>
      <c r="P181" s="67">
        <v>0.52459016393442626</v>
      </c>
      <c r="Q181" s="67">
        <v>0.42052313883299797</v>
      </c>
    </row>
    <row r="182" spans="1:17" x14ac:dyDescent="0.4">
      <c r="A182" s="69">
        <v>179</v>
      </c>
      <c r="B182" s="66">
        <v>2280.7000000000003</v>
      </c>
      <c r="C182" s="66">
        <v>12.741340782122906</v>
      </c>
      <c r="D182" s="71">
        <v>1.7541899441340782</v>
      </c>
      <c r="E182" s="67">
        <v>0.48044692737430167</v>
      </c>
      <c r="F182" s="67">
        <v>0.23463687150837989</v>
      </c>
      <c r="G182" s="67">
        <v>0.34176349965823649</v>
      </c>
      <c r="H182" s="67">
        <v>0.15311004784688995</v>
      </c>
      <c r="I182" s="68">
        <v>9289.2000000000007</v>
      </c>
      <c r="J182" s="68">
        <v>-8127.6785714285716</v>
      </c>
      <c r="K182" s="67">
        <v>8.9385474860335198E-2</v>
      </c>
      <c r="L182" s="67">
        <v>0.17318435754189945</v>
      </c>
      <c r="M182" s="67">
        <v>0.31168831168831168</v>
      </c>
      <c r="N182" s="67">
        <v>0.20915926179084074</v>
      </c>
      <c r="O182" s="67">
        <v>0.58114035087719296</v>
      </c>
      <c r="P182" s="67">
        <v>0.52287581699346408</v>
      </c>
      <c r="Q182" s="67">
        <v>0.42199999999999999</v>
      </c>
    </row>
    <row r="183" spans="1:17" x14ac:dyDescent="0.4">
      <c r="A183" s="69">
        <v>180</v>
      </c>
      <c r="B183" s="66">
        <v>2314.0000000000005</v>
      </c>
      <c r="C183" s="66">
        <v>12.855555555555558</v>
      </c>
      <c r="D183" s="71">
        <v>1.75</v>
      </c>
      <c r="E183" s="67">
        <v>0.48333333333333334</v>
      </c>
      <c r="F183" s="67">
        <v>0.23333333333333334</v>
      </c>
      <c r="G183" s="67">
        <v>0.34194425560842961</v>
      </c>
      <c r="H183" s="67">
        <v>0.15295717199184228</v>
      </c>
      <c r="I183" s="68">
        <v>9280.7157057654076</v>
      </c>
      <c r="J183" s="68">
        <v>-8114.666666666667</v>
      </c>
      <c r="K183" s="67">
        <v>8.8888888888888892E-2</v>
      </c>
      <c r="L183" s="67">
        <v>0.17222222222222222</v>
      </c>
      <c r="M183" s="67">
        <v>0.30999320190346702</v>
      </c>
      <c r="N183" s="67">
        <v>0.2107409925220938</v>
      </c>
      <c r="O183" s="67">
        <v>0.58114035087719296</v>
      </c>
      <c r="P183" s="67">
        <v>0.52580645161290318</v>
      </c>
      <c r="Q183" s="67">
        <v>0.41948310139165013</v>
      </c>
    </row>
    <row r="184" spans="1:17" x14ac:dyDescent="0.4">
      <c r="A184" s="69">
        <v>181</v>
      </c>
      <c r="B184" s="66">
        <v>2287.2000000000003</v>
      </c>
      <c r="C184" s="66">
        <v>12.636464088397792</v>
      </c>
      <c r="D184" s="71">
        <v>1.7569060773480663</v>
      </c>
      <c r="E184" s="67">
        <v>0.48066298342541436</v>
      </c>
      <c r="F184" s="67">
        <v>0.23756906077348067</v>
      </c>
      <c r="G184" s="67">
        <v>0.34098582039162728</v>
      </c>
      <c r="H184" s="67">
        <v>0.15259959486833222</v>
      </c>
      <c r="I184" s="68">
        <v>9291.485148514852</v>
      </c>
      <c r="J184" s="68">
        <v>-8112.8318584070794</v>
      </c>
      <c r="K184" s="67">
        <v>8.8397790055248615E-2</v>
      </c>
      <c r="L184" s="67">
        <v>0.17127071823204421</v>
      </c>
      <c r="M184" s="67">
        <v>0.30857528696826469</v>
      </c>
      <c r="N184" s="67">
        <v>0.21066846725185687</v>
      </c>
      <c r="O184" s="67">
        <v>0.57986870897155363</v>
      </c>
      <c r="P184" s="67">
        <v>0.52564102564102566</v>
      </c>
      <c r="Q184" s="67">
        <v>0.41980198019801979</v>
      </c>
    </row>
    <row r="185" spans="1:17" x14ac:dyDescent="0.4">
      <c r="A185" s="69">
        <v>182</v>
      </c>
      <c r="B185" s="66">
        <v>2280.5000000000005</v>
      </c>
      <c r="C185" s="66">
        <v>12.530219780219783</v>
      </c>
      <c r="D185" s="71">
        <v>1.7582417582417582</v>
      </c>
      <c r="E185" s="67">
        <v>0.47802197802197804</v>
      </c>
      <c r="F185" s="67">
        <v>0.23626373626373626</v>
      </c>
      <c r="G185" s="67">
        <v>0.33914209115281502</v>
      </c>
      <c r="H185" s="67">
        <v>0.15147453083109919</v>
      </c>
      <c r="I185" s="68">
        <v>9288.9328063241101</v>
      </c>
      <c r="J185" s="68">
        <v>-8112.8318584070794</v>
      </c>
      <c r="K185" s="67">
        <v>8.7912087912087919E-2</v>
      </c>
      <c r="L185" s="67">
        <v>0.17032967032967034</v>
      </c>
      <c r="M185" s="67">
        <v>0.30764075067024127</v>
      </c>
      <c r="N185" s="67">
        <v>0.21045576407506703</v>
      </c>
      <c r="O185" s="67">
        <v>0.579520697167756</v>
      </c>
      <c r="P185" s="67">
        <v>0.52229299363057324</v>
      </c>
      <c r="Q185" s="67">
        <v>0.4189723320158103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EB43E-2C2D-46E4-9B62-D549E550BFCD}">
  <sheetPr codeName="Sheet6"/>
  <dimension ref="A1:Q28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-2</v>
      </c>
      <c r="C271" s="66">
        <v>-2.4875621890547263E-3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-2</v>
      </c>
      <c r="C272" s="66">
        <v>-2.4783147459727386E-3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-2</v>
      </c>
      <c r="C273" s="66">
        <v>-2.4691358024691358E-3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-1.9999999999999987</v>
      </c>
      <c r="C274" s="66">
        <v>-2.4600246002460008E-3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-2.0000000000000053</v>
      </c>
      <c r="C275" s="66">
        <v>-2.4509803921568692E-3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-2.0000000000000071</v>
      </c>
      <c r="C276" s="66">
        <v>-2.4420024420024507E-3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-2.0000000000000071</v>
      </c>
      <c r="C277" s="66">
        <v>-2.433090024330909E-3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-2.0000000000000027</v>
      </c>
      <c r="C278" s="66">
        <v>-2.4242424242424273E-3</v>
      </c>
      <c r="D278" s="71">
        <v>2</v>
      </c>
      <c r="E278" s="67">
        <v>0.33333333333333331</v>
      </c>
      <c r="F278" s="67">
        <v>0.33333333333333331</v>
      </c>
      <c r="G278" s="67">
        <v>0.29845300642148276</v>
      </c>
      <c r="H278" s="67">
        <v>0.16725043782837129</v>
      </c>
      <c r="I278" s="68">
        <v>8777.7017114914433</v>
      </c>
      <c r="J278" s="68">
        <v>-8261.6055846422332</v>
      </c>
      <c r="K278" s="67">
        <v>0.12606060606060607</v>
      </c>
      <c r="L278" s="67">
        <v>0.12606060606060607</v>
      </c>
      <c r="M278" s="67">
        <v>0.27378867483946295</v>
      </c>
      <c r="N278" s="67">
        <v>0.21074138937536485</v>
      </c>
      <c r="O278" s="67">
        <v>0.57835820895522383</v>
      </c>
      <c r="P278" s="67">
        <v>0.39473684210526316</v>
      </c>
      <c r="Q278" s="67">
        <v>0.43129584352078237</v>
      </c>
    </row>
    <row r="279" spans="1:17" x14ac:dyDescent="0.4">
      <c r="A279" s="69">
        <v>276</v>
      </c>
      <c r="B279" s="66">
        <v>-2.0000000000000036</v>
      </c>
      <c r="C279" s="66">
        <v>-2.4154589371980719E-3</v>
      </c>
      <c r="D279" s="71">
        <v>2</v>
      </c>
      <c r="E279" s="67">
        <v>0.33333333333333331</v>
      </c>
      <c r="F279" s="67">
        <v>0.33333333333333331</v>
      </c>
      <c r="G279" s="67">
        <v>0.29854439592430859</v>
      </c>
      <c r="H279" s="67">
        <v>0.16754002911208152</v>
      </c>
      <c r="I279" s="68">
        <v>8774.4027303754265</v>
      </c>
      <c r="J279" s="68">
        <v>-8255.1694178974813</v>
      </c>
      <c r="K279" s="67">
        <v>0.12560386473429952</v>
      </c>
      <c r="L279" s="67">
        <v>0.12560386473429952</v>
      </c>
      <c r="M279" s="67">
        <v>0.27379912663755457</v>
      </c>
      <c r="N279" s="67">
        <v>0.21077147016011644</v>
      </c>
      <c r="O279" s="67">
        <v>0.57894736842105265</v>
      </c>
      <c r="P279" s="67">
        <v>0.39502762430939226</v>
      </c>
      <c r="Q279" s="67">
        <v>0.43052169673330082</v>
      </c>
    </row>
    <row r="280" spans="1:17" x14ac:dyDescent="0.4">
      <c r="A280" s="69">
        <v>277</v>
      </c>
      <c r="B280" s="66">
        <v>-1.9999999999999973</v>
      </c>
      <c r="C280" s="66">
        <v>-2.4067388688327283E-3</v>
      </c>
      <c r="D280" s="71">
        <v>2</v>
      </c>
      <c r="E280" s="67">
        <v>0.33333333333333331</v>
      </c>
      <c r="F280" s="67">
        <v>0.33333333333333331</v>
      </c>
      <c r="G280" s="67">
        <v>0.29865041358293426</v>
      </c>
      <c r="H280" s="67">
        <v>0.16775504280946163</v>
      </c>
      <c r="I280" s="68">
        <v>8767.2983479105933</v>
      </c>
      <c r="J280" s="68">
        <v>-8239.1868512110723</v>
      </c>
      <c r="K280" s="67">
        <v>0.1263537906137184</v>
      </c>
      <c r="L280" s="67">
        <v>0.1263537906137184</v>
      </c>
      <c r="M280" s="67">
        <v>0.27354520388913073</v>
      </c>
      <c r="N280" s="67">
        <v>0.21099985488318096</v>
      </c>
      <c r="O280" s="67">
        <v>0.57824933687002655</v>
      </c>
      <c r="P280" s="67">
        <v>0.39683631361760663</v>
      </c>
      <c r="Q280" s="67">
        <v>0.43002915451895046</v>
      </c>
    </row>
    <row r="281" spans="1:17" x14ac:dyDescent="0.4">
      <c r="A281" s="69">
        <v>278</v>
      </c>
      <c r="B281" s="66">
        <v>-2.0000000000000013</v>
      </c>
      <c r="C281" s="66">
        <v>-2.3980815347721838E-3</v>
      </c>
      <c r="D281" s="71">
        <v>2</v>
      </c>
      <c r="E281" s="67">
        <v>0.33333333333333331</v>
      </c>
      <c r="F281" s="67">
        <v>0.33333333333333331</v>
      </c>
      <c r="G281" s="67">
        <v>0.29874077290490664</v>
      </c>
      <c r="H281" s="67">
        <v>0.16804168475900999</v>
      </c>
      <c r="I281" s="68">
        <v>8759.3992248062023</v>
      </c>
      <c r="J281" s="68">
        <v>-8228.0792420327307</v>
      </c>
      <c r="K281" s="67">
        <v>0.12589928057553956</v>
      </c>
      <c r="L281" s="67">
        <v>0.12589928057553956</v>
      </c>
      <c r="M281" s="67">
        <v>0.27326675350991458</v>
      </c>
      <c r="N281" s="67">
        <v>0.2111738312346215</v>
      </c>
      <c r="O281" s="67">
        <v>0.57838983050847459</v>
      </c>
      <c r="P281" s="67">
        <v>0.3968471555860178</v>
      </c>
      <c r="Q281" s="67">
        <v>0.42926356589147285</v>
      </c>
    </row>
    <row r="282" spans="1:17" x14ac:dyDescent="0.4">
      <c r="A282" s="69">
        <v>279</v>
      </c>
      <c r="B282" s="66">
        <v>-2</v>
      </c>
      <c r="C282" s="66">
        <v>-2.3894862604540022E-3</v>
      </c>
      <c r="D282" s="71">
        <v>2</v>
      </c>
      <c r="E282" s="67">
        <v>0.33333333333333331</v>
      </c>
      <c r="F282" s="67">
        <v>0.33333333333333331</v>
      </c>
      <c r="G282" s="67">
        <v>0.29870129870129869</v>
      </c>
      <c r="H282" s="67">
        <v>0.16796536796536796</v>
      </c>
      <c r="I282" s="68">
        <v>8760.9661835748793</v>
      </c>
      <c r="J282" s="68">
        <v>-8225.0859106529206</v>
      </c>
      <c r="K282" s="67">
        <v>0.12544802867383512</v>
      </c>
      <c r="L282" s="67">
        <v>0.12544802867383512</v>
      </c>
      <c r="M282" s="67">
        <v>0.27344877344877344</v>
      </c>
      <c r="N282" s="67">
        <v>0.21111111111111111</v>
      </c>
      <c r="O282" s="67">
        <v>0.57836411609498684</v>
      </c>
      <c r="P282" s="67">
        <v>0.39644565960355432</v>
      </c>
      <c r="Q282" s="67">
        <v>0.4294685990338164</v>
      </c>
    </row>
    <row r="283" spans="1:17" x14ac:dyDescent="0.4">
      <c r="A283" s="69">
        <v>280</v>
      </c>
      <c r="B283" s="66">
        <v>-2.0000000000000036</v>
      </c>
      <c r="C283" s="66">
        <v>-2.3809523809523851E-3</v>
      </c>
      <c r="D283" s="71">
        <v>2</v>
      </c>
      <c r="E283" s="67">
        <v>0.33333333333333331</v>
      </c>
      <c r="F283" s="67">
        <v>0.33333333333333331</v>
      </c>
      <c r="G283" s="67">
        <v>0.29882082254817371</v>
      </c>
      <c r="H283" s="67">
        <v>0.16824849007765316</v>
      </c>
      <c r="I283" s="68">
        <v>8751.1068334937445</v>
      </c>
      <c r="J283" s="68">
        <v>-8213.5897435897441</v>
      </c>
      <c r="K283" s="67">
        <v>0.125</v>
      </c>
      <c r="L283" s="67">
        <v>0.125</v>
      </c>
      <c r="M283" s="67">
        <v>0.27322404371584702</v>
      </c>
      <c r="N283" s="67">
        <v>0.21095772217428818</v>
      </c>
      <c r="O283" s="67">
        <v>0.57842105263157895</v>
      </c>
      <c r="P283" s="67">
        <v>0.39740967961826856</v>
      </c>
      <c r="Q283" s="67">
        <v>0.42877767083734358</v>
      </c>
    </row>
    <row r="284" spans="1:17" x14ac:dyDescent="0.4">
      <c r="A284" s="69">
        <v>281</v>
      </c>
      <c r="B284" s="66">
        <v>-2.0000000000000044</v>
      </c>
      <c r="C284" s="66">
        <v>-2.3724792408066483E-3</v>
      </c>
      <c r="D284" s="71">
        <v>2</v>
      </c>
      <c r="E284" s="67">
        <v>0.33333333333333331</v>
      </c>
      <c r="F284" s="67">
        <v>0.33333333333333331</v>
      </c>
      <c r="G284" s="67">
        <v>0.29896907216494845</v>
      </c>
      <c r="H284" s="67">
        <v>0.16795532646048109</v>
      </c>
      <c r="I284" s="68">
        <v>8747.461685823755</v>
      </c>
      <c r="J284" s="68">
        <v>-8211.5942028985501</v>
      </c>
      <c r="K284" s="67">
        <v>0.12455516014234876</v>
      </c>
      <c r="L284" s="67">
        <v>0.12455516014234876</v>
      </c>
      <c r="M284" s="67">
        <v>0.27290950744558989</v>
      </c>
      <c r="N284" s="67">
        <v>0.21105383734249714</v>
      </c>
      <c r="O284" s="67">
        <v>0.57869884575026231</v>
      </c>
      <c r="P284" s="67">
        <v>0.39823609226594303</v>
      </c>
      <c r="Q284" s="67">
        <v>0.43007662835249044</v>
      </c>
    </row>
    <row r="285" spans="1:17" x14ac:dyDescent="0.4">
      <c r="A285" s="69">
        <v>282</v>
      </c>
      <c r="B285" s="66">
        <v>-2.0000000000000142</v>
      </c>
      <c r="C285" s="66">
        <v>-2.3640661938534448E-3</v>
      </c>
      <c r="D285" s="71">
        <v>2</v>
      </c>
      <c r="E285" s="67">
        <v>0.33333333333333331</v>
      </c>
      <c r="F285" s="67">
        <v>0.33333333333333331</v>
      </c>
      <c r="G285" s="67">
        <v>0.29870314949408577</v>
      </c>
      <c r="H285" s="67">
        <v>0.1678780105458173</v>
      </c>
      <c r="I285" s="68">
        <v>8743.6545801526718</v>
      </c>
      <c r="J285" s="68">
        <v>-8207.8098471986414</v>
      </c>
      <c r="K285" s="67">
        <v>0.12411347517730496</v>
      </c>
      <c r="L285" s="67">
        <v>0.12411347517730496</v>
      </c>
      <c r="M285" s="67">
        <v>0.27276613937580163</v>
      </c>
      <c r="N285" s="67">
        <v>0.21077383497221033</v>
      </c>
      <c r="O285" s="67">
        <v>0.57941483803552774</v>
      </c>
      <c r="P285" s="67">
        <v>0.39824205544286678</v>
      </c>
      <c r="Q285" s="67">
        <v>0.42986641221374045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2019-07-14T13:36:11Z</dcterms:modified>
</cp:coreProperties>
</file>