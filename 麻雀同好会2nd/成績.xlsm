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28F1E7B6-B4A2-4180-BC10-D90D4D58FB4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864" r:id="rId6"/>
    <sheet name="だいち" sheetId="4866" r:id="rId7"/>
    <sheet name="りくと" sheetId="4868" r:id="rId8"/>
    <sheet name="ただ" sheetId="4870" r:id="rId9"/>
    <sheet name="れんたろう" sheetId="4872" r:id="rId10"/>
    <sheet name="たかの" sheetId="4874" r:id="rId11"/>
    <sheet name="ぱぱ" sheetId="4876" r:id="rId12"/>
    <sheet name="まっつん" sheetId="4878" r:id="rId13"/>
    <sheet name="あさひ" sheetId="4880" r:id="rId14"/>
    <sheet name="いっしー" sheetId="4882" r:id="rId15"/>
    <sheet name="ほたに" sheetId="4884" r:id="rId16"/>
    <sheet name="ほたに2" sheetId="4885" state="hidden" r:id="rId17"/>
    <sheet name="いっしー2" sheetId="4883" state="hidden" r:id="rId18"/>
    <sheet name="あさひ2" sheetId="4881" state="hidden" r:id="rId19"/>
    <sheet name="まっつん2" sheetId="4879" state="hidden" r:id="rId20"/>
    <sheet name="ぱぱ2" sheetId="4877" state="hidden" r:id="rId21"/>
    <sheet name="たかの2" sheetId="4875" state="hidden" r:id="rId22"/>
    <sheet name="れんたろう2" sheetId="4873" state="hidden" r:id="rId23"/>
    <sheet name="ただ2" sheetId="4871" state="hidden" r:id="rId24"/>
    <sheet name="りくと2" sheetId="4869" state="hidden" r:id="rId25"/>
    <sheet name="だいち2" sheetId="4867" state="hidden" r:id="rId26"/>
    <sheet name="全体2" sheetId="4865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884" l="1"/>
  <c r="O16" i="4884"/>
  <c r="C27" i="4884"/>
  <c r="B24" i="4884"/>
  <c r="C20" i="4884"/>
  <c r="B17" i="4884"/>
  <c r="H50" i="4884" s="1"/>
  <c r="C16" i="4884"/>
  <c r="C15" i="4884"/>
  <c r="C14" i="4884"/>
  <c r="C13" i="4884"/>
  <c r="O12" i="4884"/>
  <c r="C12" i="4884"/>
  <c r="O11" i="4884"/>
  <c r="C11" i="4884"/>
  <c r="O10" i="4884"/>
  <c r="C10" i="4884"/>
  <c r="C9" i="4884"/>
  <c r="C8" i="4884"/>
  <c r="O7" i="4884"/>
  <c r="C7" i="4884"/>
  <c r="O6" i="4884"/>
  <c r="H6" i="4884"/>
  <c r="B6" i="4884"/>
  <c r="O5" i="4884"/>
  <c r="B5" i="4884"/>
  <c r="O4" i="4884"/>
  <c r="O3" i="4884"/>
  <c r="O2" i="4884"/>
  <c r="O21" i="4872"/>
  <c r="O16" i="4874"/>
  <c r="O17" i="4864"/>
  <c r="H5" i="4884" l="1"/>
  <c r="H40" i="4884"/>
  <c r="H2" i="4884"/>
  <c r="H43" i="4884"/>
  <c r="H24" i="4884"/>
  <c r="H8" i="4884"/>
  <c r="B23" i="4884"/>
  <c r="H44" i="4884"/>
  <c r="C18" i="4884"/>
  <c r="H20" i="4884"/>
  <c r="H26" i="4884"/>
  <c r="H17" i="4884"/>
  <c r="H37" i="4884"/>
  <c r="H48" i="4884"/>
  <c r="C17" i="4884"/>
  <c r="H25" i="4884"/>
  <c r="H16" i="4884"/>
  <c r="H46" i="4884"/>
  <c r="H13" i="4884"/>
  <c r="H36" i="4884"/>
  <c r="H11" i="4884"/>
  <c r="H4" i="4884"/>
  <c r="H9" i="4884"/>
  <c r="H38" i="4884"/>
  <c r="H51" i="4884"/>
  <c r="H30" i="4884"/>
  <c r="H31" i="4884"/>
  <c r="H19" i="4884"/>
  <c r="H32" i="4884"/>
  <c r="H35" i="4884"/>
  <c r="H47" i="4884"/>
  <c r="H3" i="4884"/>
  <c r="C19" i="4884"/>
  <c r="H21" i="4884"/>
  <c r="H12" i="4884"/>
  <c r="H14" i="4884"/>
  <c r="H18" i="4884"/>
  <c r="H29" i="4884"/>
  <c r="H39" i="4884"/>
  <c r="H10" i="4884"/>
  <c r="H45" i="4884"/>
  <c r="H22" i="4884"/>
  <c r="H27" i="4884"/>
  <c r="H33" i="4884"/>
  <c r="H41" i="4884"/>
  <c r="H49" i="4884"/>
  <c r="H7" i="4884"/>
  <c r="H15" i="4884"/>
  <c r="H23" i="4884"/>
  <c r="H28" i="4884"/>
  <c r="H34" i="4884"/>
  <c r="H42" i="4884"/>
  <c r="O17" i="4874" l="1"/>
  <c r="O15" i="4870"/>
  <c r="O20" i="4878"/>
  <c r="O19" i="4878"/>
  <c r="O16" i="4866" l="1"/>
  <c r="O17" i="4882"/>
  <c r="O16" i="4882" l="1"/>
  <c r="O15" i="4882"/>
  <c r="O16" i="4872"/>
  <c r="O20" i="4870"/>
  <c r="O17" i="4880" l="1"/>
  <c r="O20" i="4876"/>
  <c r="O15" i="4880"/>
  <c r="O20" i="4882"/>
  <c r="O15" i="4868"/>
  <c r="O15" i="4878"/>
  <c r="O15" i="4864"/>
  <c r="O19" i="4882"/>
  <c r="O18" i="4882"/>
  <c r="C27" i="4882"/>
  <c r="B24" i="4882"/>
  <c r="C20" i="4882"/>
  <c r="B17" i="4882"/>
  <c r="H50" i="4882" s="1"/>
  <c r="C16" i="4882"/>
  <c r="C15" i="4882"/>
  <c r="C14" i="4882"/>
  <c r="C13" i="4882"/>
  <c r="O12" i="4882"/>
  <c r="C12" i="4882"/>
  <c r="O11" i="4882"/>
  <c r="C11" i="4882"/>
  <c r="O10" i="4882"/>
  <c r="C10" i="4882"/>
  <c r="C9" i="4882"/>
  <c r="C8" i="4882"/>
  <c r="O7" i="4882"/>
  <c r="C7" i="4882"/>
  <c r="O6" i="4882"/>
  <c r="B6" i="4882"/>
  <c r="O5" i="4882"/>
  <c r="B5" i="4882"/>
  <c r="O4" i="4882"/>
  <c r="O3" i="4882"/>
  <c r="O2" i="4882"/>
  <c r="O16" i="4880"/>
  <c r="O18" i="4880"/>
  <c r="C27" i="4880"/>
  <c r="B24" i="4880"/>
  <c r="C20" i="4880"/>
  <c r="B17" i="4880"/>
  <c r="H50" i="4880" s="1"/>
  <c r="C16" i="4880"/>
  <c r="C15" i="4880"/>
  <c r="C14" i="4880"/>
  <c r="C13" i="4880"/>
  <c r="O12" i="4880"/>
  <c r="C12" i="4880"/>
  <c r="O11" i="4880"/>
  <c r="C11" i="4880"/>
  <c r="O10" i="4880"/>
  <c r="C10" i="4880"/>
  <c r="C9" i="4880"/>
  <c r="C8" i="4880"/>
  <c r="O7" i="4880"/>
  <c r="C7" i="4880"/>
  <c r="O6" i="4880"/>
  <c r="B6" i="4880"/>
  <c r="O5" i="4880"/>
  <c r="B5" i="4880"/>
  <c r="O4" i="4880"/>
  <c r="O3" i="4880"/>
  <c r="O2" i="4880"/>
  <c r="O22" i="4878"/>
  <c r="O21" i="4878"/>
  <c r="O15" i="4866"/>
  <c r="O18" i="4866"/>
  <c r="O23" i="4864"/>
  <c r="H2" i="4882" l="1"/>
  <c r="H19" i="4880"/>
  <c r="H32" i="4880"/>
  <c r="H5" i="4880"/>
  <c r="H15" i="4880"/>
  <c r="C17" i="4880"/>
  <c r="H43" i="4880"/>
  <c r="H4" i="4880"/>
  <c r="H11" i="4880"/>
  <c r="H35" i="4880"/>
  <c r="H10" i="4880"/>
  <c r="H40" i="4880"/>
  <c r="H20" i="4880"/>
  <c r="H12" i="4880"/>
  <c r="H8" i="4880"/>
  <c r="H48" i="4880"/>
  <c r="H51" i="4880"/>
  <c r="H3" i="4880"/>
  <c r="H14" i="4880"/>
  <c r="H15" i="4882"/>
  <c r="H31" i="4882"/>
  <c r="H35" i="4882"/>
  <c r="H13" i="4882"/>
  <c r="C17" i="4882"/>
  <c r="H14" i="4882"/>
  <c r="H16" i="4882"/>
  <c r="H21" i="4882"/>
  <c r="H39" i="4882"/>
  <c r="H10" i="4882"/>
  <c r="H43" i="4882"/>
  <c r="H12" i="4882"/>
  <c r="H7" i="4882"/>
  <c r="H3" i="4882"/>
  <c r="H47" i="4882"/>
  <c r="H51" i="4882"/>
  <c r="H18" i="4882"/>
  <c r="C18" i="4882"/>
  <c r="H24" i="4882"/>
  <c r="H6" i="4882"/>
  <c r="H36" i="4882"/>
  <c r="H44" i="4882"/>
  <c r="H5" i="4882"/>
  <c r="H4" i="4882"/>
  <c r="H9" i="4882"/>
  <c r="H22" i="4882"/>
  <c r="B23" i="4882"/>
  <c r="H29" i="4882"/>
  <c r="H37" i="4882"/>
  <c r="H45" i="4882"/>
  <c r="H19" i="4882"/>
  <c r="C19" i="4882"/>
  <c r="H25" i="4882"/>
  <c r="H30" i="4882"/>
  <c r="H38" i="4882"/>
  <c r="H46" i="4882"/>
  <c r="H20" i="4882"/>
  <c r="H26" i="4882"/>
  <c r="H32" i="4882"/>
  <c r="H40" i="4882"/>
  <c r="H48" i="4882"/>
  <c r="H23" i="4882"/>
  <c r="H27" i="4882"/>
  <c r="H33" i="4882"/>
  <c r="H41" i="4882"/>
  <c r="H49" i="4882"/>
  <c r="H8" i="4882"/>
  <c r="H17" i="4882"/>
  <c r="H11" i="4882"/>
  <c r="H28" i="4882"/>
  <c r="H34" i="4882"/>
  <c r="H42" i="4882"/>
  <c r="H17" i="4880"/>
  <c r="C18" i="4880"/>
  <c r="H25" i="4880"/>
  <c r="H6" i="4880"/>
  <c r="H36" i="4880"/>
  <c r="H44" i="4880"/>
  <c r="H7" i="4880"/>
  <c r="H2" i="4880"/>
  <c r="H13" i="4880"/>
  <c r="H21" i="4880"/>
  <c r="B23" i="4880"/>
  <c r="H29" i="4880"/>
  <c r="H37" i="4880"/>
  <c r="H45" i="4880"/>
  <c r="H18" i="4880"/>
  <c r="C19" i="4880"/>
  <c r="H26" i="4880"/>
  <c r="H30" i="4880"/>
  <c r="H38" i="4880"/>
  <c r="H46" i="4880"/>
  <c r="H22" i="4880"/>
  <c r="H31" i="4880"/>
  <c r="H39" i="4880"/>
  <c r="H47" i="4880"/>
  <c r="H23" i="4880"/>
  <c r="H27" i="4880"/>
  <c r="H33" i="4880"/>
  <c r="H41" i="4880"/>
  <c r="H49" i="4880"/>
  <c r="H9" i="4880"/>
  <c r="H16" i="4880"/>
  <c r="H24" i="4880"/>
  <c r="H28" i="4880"/>
  <c r="H34" i="4880"/>
  <c r="H42" i="4880"/>
  <c r="O16" i="4878" l="1"/>
  <c r="O19" i="4876"/>
  <c r="O17" i="4876"/>
  <c r="O18" i="4868"/>
  <c r="O18" i="4874" l="1"/>
  <c r="O17" i="4872"/>
  <c r="O16" i="4876"/>
  <c r="O18" i="4876"/>
  <c r="O15" i="4874" l="1"/>
  <c r="O15" i="4872"/>
  <c r="O19" i="4870"/>
  <c r="O21" i="4870"/>
  <c r="O17" i="4878"/>
  <c r="O18" i="4878"/>
  <c r="H44" i="4878"/>
  <c r="H43" i="4878"/>
  <c r="C27" i="4878"/>
  <c r="B24" i="4878"/>
  <c r="C20" i="4878"/>
  <c r="B17" i="4878"/>
  <c r="H50" i="4878" s="1"/>
  <c r="H21" i="4878"/>
  <c r="C16" i="4878"/>
  <c r="C15" i="4878"/>
  <c r="C14" i="4878"/>
  <c r="C13" i="4878"/>
  <c r="O12" i="4878"/>
  <c r="C12" i="4878"/>
  <c r="O11" i="4878"/>
  <c r="C11" i="4878"/>
  <c r="O10" i="4878"/>
  <c r="C10" i="4878"/>
  <c r="C9" i="4878"/>
  <c r="C8" i="4878"/>
  <c r="O7" i="4878"/>
  <c r="C7" i="4878"/>
  <c r="O6" i="4878"/>
  <c r="B6" i="4878"/>
  <c r="O5" i="4878"/>
  <c r="B5" i="4878"/>
  <c r="O4" i="4878"/>
  <c r="O3" i="4878"/>
  <c r="O2" i="4878"/>
  <c r="O19" i="4872"/>
  <c r="O20" i="4868"/>
  <c r="O18" i="4864"/>
  <c r="H10" i="4878" l="1"/>
  <c r="H16" i="4878"/>
  <c r="H18" i="4878"/>
  <c r="H24" i="4878"/>
  <c r="H12" i="4878"/>
  <c r="H4" i="4878"/>
  <c r="H20" i="4878"/>
  <c r="H8" i="4878"/>
  <c r="H30" i="4878"/>
  <c r="H31" i="4878"/>
  <c r="H9" i="4878"/>
  <c r="C19" i="4878"/>
  <c r="H39" i="4878"/>
  <c r="H6" i="4878"/>
  <c r="H32" i="4878"/>
  <c r="H2" i="4878"/>
  <c r="H47" i="4878"/>
  <c r="H45" i="4878"/>
  <c r="H46" i="4878"/>
  <c r="H48" i="4878"/>
  <c r="B23" i="4878"/>
  <c r="C17" i="4878"/>
  <c r="H15" i="4878"/>
  <c r="H35" i="4878"/>
  <c r="H3" i="4878"/>
  <c r="H22" i="4878"/>
  <c r="H36" i="4878"/>
  <c r="H19" i="4878"/>
  <c r="C18" i="4878"/>
  <c r="H27" i="4878"/>
  <c r="H37" i="4878"/>
  <c r="H17" i="4878"/>
  <c r="H23" i="4878"/>
  <c r="H38" i="4878"/>
  <c r="H51" i="4878"/>
  <c r="H26" i="4878"/>
  <c r="H11" i="4878"/>
  <c r="H40" i="4878"/>
  <c r="H5" i="4878"/>
  <c r="H25" i="4878"/>
  <c r="H28" i="4878"/>
  <c r="H33" i="4878"/>
  <c r="H41" i="4878"/>
  <c r="H49" i="4878"/>
  <c r="H7" i="4878"/>
  <c r="H13" i="4878"/>
  <c r="H14" i="4878"/>
  <c r="H29" i="4878"/>
  <c r="H34" i="4878"/>
  <c r="H42" i="4878"/>
  <c r="O16" i="4870" l="1"/>
  <c r="O21" i="4876"/>
  <c r="O15" i="4876"/>
  <c r="C27" i="4876"/>
  <c r="B24" i="4876"/>
  <c r="C20" i="4876"/>
  <c r="B17" i="4876"/>
  <c r="H50" i="4876" s="1"/>
  <c r="C16" i="4876"/>
  <c r="C15" i="4876"/>
  <c r="C14" i="4876"/>
  <c r="C13" i="4876"/>
  <c r="O12" i="4876"/>
  <c r="C12" i="4876"/>
  <c r="O11" i="4876"/>
  <c r="C11" i="4876"/>
  <c r="O10" i="4876"/>
  <c r="C10" i="4876"/>
  <c r="C9" i="4876"/>
  <c r="C8" i="4876"/>
  <c r="O7" i="4876"/>
  <c r="C7" i="4876"/>
  <c r="O6" i="4876"/>
  <c r="B6" i="4876"/>
  <c r="O5" i="4876"/>
  <c r="B5" i="4876"/>
  <c r="O4" i="4876"/>
  <c r="O3" i="4876"/>
  <c r="O2" i="4876"/>
  <c r="O19" i="4866"/>
  <c r="O19" i="4864"/>
  <c r="O19" i="4874"/>
  <c r="O17" i="4868"/>
  <c r="O19" i="4868"/>
  <c r="O20" i="4872"/>
  <c r="O20" i="4874"/>
  <c r="O21" i="4874"/>
  <c r="C27" i="4874"/>
  <c r="B24" i="4874"/>
  <c r="C20" i="4874"/>
  <c r="B17" i="4874"/>
  <c r="H50" i="4874" s="1"/>
  <c r="C16" i="4874"/>
  <c r="C15" i="4874"/>
  <c r="C14" i="4874"/>
  <c r="C13" i="4874"/>
  <c r="O12" i="4874"/>
  <c r="C12" i="4874"/>
  <c r="O11" i="4874"/>
  <c r="C11" i="4874"/>
  <c r="O10" i="4874"/>
  <c r="C10" i="4874"/>
  <c r="C9" i="4874"/>
  <c r="C8" i="4874"/>
  <c r="O7" i="4874"/>
  <c r="C7" i="4874"/>
  <c r="O6" i="4874"/>
  <c r="B6" i="4874"/>
  <c r="O5" i="4874"/>
  <c r="B5" i="4874"/>
  <c r="O4" i="4874"/>
  <c r="O3" i="4874"/>
  <c r="O2" i="4874"/>
  <c r="O22" i="4872"/>
  <c r="O18" i="4872"/>
  <c r="C27" i="4872"/>
  <c r="B24" i="4872"/>
  <c r="C20" i="4872"/>
  <c r="B17" i="4872"/>
  <c r="H51" i="4872" s="1"/>
  <c r="C16" i="4872"/>
  <c r="C15" i="4872"/>
  <c r="C14" i="4872"/>
  <c r="C13" i="4872"/>
  <c r="O12" i="4872"/>
  <c r="C12" i="4872"/>
  <c r="O11" i="4872"/>
  <c r="C11" i="4872"/>
  <c r="O10" i="4872"/>
  <c r="C10" i="4872"/>
  <c r="H12" i="4872"/>
  <c r="C9" i="4872"/>
  <c r="C8" i="4872"/>
  <c r="O7" i="4872"/>
  <c r="C7" i="4872"/>
  <c r="O6" i="4872"/>
  <c r="B6" i="4872"/>
  <c r="O5" i="4872"/>
  <c r="B5" i="4872"/>
  <c r="O4" i="4872"/>
  <c r="O3" i="4872"/>
  <c r="O2" i="4872"/>
  <c r="O20" i="4866"/>
  <c r="O21" i="4866"/>
  <c r="O21" i="4864"/>
  <c r="O20" i="4864"/>
  <c r="H6" i="4872" l="1"/>
  <c r="H9" i="4872"/>
  <c r="H40" i="4872"/>
  <c r="H9" i="4876"/>
  <c r="H14" i="4876"/>
  <c r="H11" i="4876"/>
  <c r="H7" i="4876"/>
  <c r="H16" i="4876"/>
  <c r="H3" i="4876"/>
  <c r="H43" i="4876"/>
  <c r="C17" i="4876"/>
  <c r="H35" i="4876"/>
  <c r="H24" i="4876"/>
  <c r="H2" i="4876"/>
  <c r="H15" i="4876"/>
  <c r="H47" i="4876"/>
  <c r="H18" i="4876"/>
  <c r="H31" i="4876"/>
  <c r="H5" i="4876"/>
  <c r="C18" i="4876"/>
  <c r="H39" i="4876"/>
  <c r="H20" i="4876"/>
  <c r="H51" i="4876"/>
  <c r="H26" i="4876"/>
  <c r="H36" i="4876"/>
  <c r="H44" i="4876"/>
  <c r="H6" i="4876"/>
  <c r="H4" i="4876"/>
  <c r="H8" i="4876"/>
  <c r="H23" i="4876"/>
  <c r="B23" i="4876"/>
  <c r="H30" i="4876"/>
  <c r="H37" i="4876"/>
  <c r="H45" i="4876"/>
  <c r="H21" i="4876"/>
  <c r="C19" i="4876"/>
  <c r="H27" i="4876"/>
  <c r="H17" i="4876"/>
  <c r="H38" i="4876"/>
  <c r="H46" i="4876"/>
  <c r="H22" i="4876"/>
  <c r="H13" i="4876"/>
  <c r="H32" i="4876"/>
  <c r="H40" i="4876"/>
  <c r="H48" i="4876"/>
  <c r="H25" i="4876"/>
  <c r="H28" i="4876"/>
  <c r="H33" i="4876"/>
  <c r="H41" i="4876"/>
  <c r="H49" i="4876"/>
  <c r="H10" i="4876"/>
  <c r="H19" i="4876"/>
  <c r="H12" i="4876"/>
  <c r="H29" i="4876"/>
  <c r="H34" i="4876"/>
  <c r="H42" i="4876"/>
  <c r="H15" i="4872"/>
  <c r="H21" i="4872"/>
  <c r="H40" i="4874"/>
  <c r="H43" i="4874"/>
  <c r="H26" i="4874"/>
  <c r="H21" i="4874"/>
  <c r="H27" i="4874"/>
  <c r="H3" i="4874"/>
  <c r="C17" i="4874"/>
  <c r="H16" i="4874"/>
  <c r="C18" i="4874"/>
  <c r="H18" i="4874"/>
  <c r="H8" i="4874"/>
  <c r="H32" i="4874"/>
  <c r="H23" i="4874"/>
  <c r="H2" i="4874"/>
  <c r="H4" i="4874"/>
  <c r="H31" i="4874"/>
  <c r="H7" i="4874"/>
  <c r="H35" i="4874"/>
  <c r="H5" i="4874"/>
  <c r="H9" i="4874"/>
  <c r="H13" i="4874"/>
  <c r="H46" i="4874"/>
  <c r="H37" i="4874"/>
  <c r="H11" i="4874"/>
  <c r="H6" i="4874"/>
  <c r="H20" i="4874"/>
  <c r="H12" i="4874"/>
  <c r="H10" i="4874"/>
  <c r="H38" i="4874"/>
  <c r="H48" i="4874"/>
  <c r="B23" i="4874"/>
  <c r="H44" i="4874"/>
  <c r="H19" i="4874"/>
  <c r="H22" i="4874"/>
  <c r="H45" i="4874"/>
  <c r="H24" i="4874"/>
  <c r="H36" i="4874"/>
  <c r="C19" i="4874"/>
  <c r="H47" i="4874"/>
  <c r="H14" i="4874"/>
  <c r="H15" i="4874"/>
  <c r="H30" i="4874"/>
  <c r="H39" i="4874"/>
  <c r="H51" i="4874"/>
  <c r="H25" i="4874"/>
  <c r="H28" i="4874"/>
  <c r="H33" i="4874"/>
  <c r="H41" i="4874"/>
  <c r="H49" i="4874"/>
  <c r="H17" i="4874"/>
  <c r="H29" i="4874"/>
  <c r="H34" i="4874"/>
  <c r="H42" i="4874"/>
  <c r="H13" i="4872"/>
  <c r="H2" i="4872"/>
  <c r="H44" i="4872"/>
  <c r="H45" i="4872"/>
  <c r="H18" i="4872"/>
  <c r="H41" i="4872"/>
  <c r="H4" i="4872"/>
  <c r="H16" i="4872"/>
  <c r="H10" i="4872"/>
  <c r="C18" i="4872"/>
  <c r="H48" i="4872"/>
  <c r="H20" i="4872"/>
  <c r="H17" i="4872"/>
  <c r="C17" i="4872"/>
  <c r="H7" i="4872"/>
  <c r="H24" i="4872"/>
  <c r="H19" i="4872"/>
  <c r="H8" i="4872"/>
  <c r="H22" i="4872"/>
  <c r="H33" i="4872"/>
  <c r="H49" i="4872"/>
  <c r="H3" i="4872"/>
  <c r="H11" i="4872"/>
  <c r="H36" i="4872"/>
  <c r="H27" i="4872"/>
  <c r="H37" i="4872"/>
  <c r="H5" i="4872"/>
  <c r="H25" i="4872"/>
  <c r="B23" i="4872"/>
  <c r="H31" i="4872"/>
  <c r="H38" i="4872"/>
  <c r="H46" i="4872"/>
  <c r="H23" i="4872"/>
  <c r="C19" i="4872"/>
  <c r="H28" i="4872"/>
  <c r="H32" i="4872"/>
  <c r="H39" i="4872"/>
  <c r="H47" i="4872"/>
  <c r="H26" i="4872"/>
  <c r="H29" i="4872"/>
  <c r="H34" i="4872"/>
  <c r="H42" i="4872"/>
  <c r="H50" i="4872"/>
  <c r="H14" i="4872"/>
  <c r="H30" i="4872"/>
  <c r="H35" i="4872"/>
  <c r="H43" i="4872"/>
  <c r="O17" i="4870" l="1"/>
  <c r="O18" i="4870"/>
  <c r="C27" i="4870"/>
  <c r="B24" i="4870"/>
  <c r="C20" i="4870"/>
  <c r="B17" i="4870"/>
  <c r="H50" i="4870" s="1"/>
  <c r="C16" i="4870"/>
  <c r="C15" i="4870"/>
  <c r="C14" i="4870"/>
  <c r="C13" i="4870"/>
  <c r="O12" i="4870"/>
  <c r="C12" i="4870"/>
  <c r="O11" i="4870"/>
  <c r="C11" i="4870"/>
  <c r="O10" i="4870"/>
  <c r="C10" i="4870"/>
  <c r="C9" i="4870"/>
  <c r="C8" i="4870"/>
  <c r="O7" i="4870"/>
  <c r="C7" i="4870"/>
  <c r="O6" i="4870"/>
  <c r="B6" i="4870"/>
  <c r="O5" i="4870"/>
  <c r="B5" i="4870"/>
  <c r="O4" i="4870"/>
  <c r="O3" i="4870"/>
  <c r="O2" i="4870"/>
  <c r="O21" i="4868"/>
  <c r="O16" i="4868"/>
  <c r="C27" i="4868"/>
  <c r="B24" i="4868"/>
  <c r="C20" i="4868"/>
  <c r="B17" i="4868"/>
  <c r="H51" i="4868" s="1"/>
  <c r="C16" i="4868"/>
  <c r="C15" i="4868"/>
  <c r="C14" i="4868"/>
  <c r="C13" i="4868"/>
  <c r="O12" i="4868"/>
  <c r="C12" i="4868"/>
  <c r="O11" i="4868"/>
  <c r="C11" i="4868"/>
  <c r="O10" i="4868"/>
  <c r="C10" i="4868"/>
  <c r="C9" i="4868"/>
  <c r="C8" i="4868"/>
  <c r="O7" i="4868"/>
  <c r="C7" i="4868"/>
  <c r="O6" i="4868"/>
  <c r="B6" i="4868"/>
  <c r="O5" i="4868"/>
  <c r="B5" i="4868"/>
  <c r="O4" i="4868"/>
  <c r="H2" i="4868"/>
  <c r="O3" i="4868"/>
  <c r="O2" i="4868"/>
  <c r="O24" i="4864"/>
  <c r="O17" i="4866"/>
  <c r="O22" i="4866"/>
  <c r="H39" i="4866"/>
  <c r="H36" i="4866"/>
  <c r="H34" i="4866"/>
  <c r="C27" i="4866"/>
  <c r="B24" i="4866"/>
  <c r="C20" i="4866"/>
  <c r="B17" i="4866"/>
  <c r="H51" i="4866" s="1"/>
  <c r="C16" i="4866"/>
  <c r="H20" i="4866"/>
  <c r="C15" i="4866"/>
  <c r="C14" i="4866"/>
  <c r="C13" i="4866"/>
  <c r="O12" i="4866"/>
  <c r="C12" i="4866"/>
  <c r="O11" i="4866"/>
  <c r="C11" i="4866"/>
  <c r="O10" i="4866"/>
  <c r="C10" i="4866"/>
  <c r="C9" i="4866"/>
  <c r="C8" i="4866"/>
  <c r="O7" i="4866"/>
  <c r="C7" i="4866"/>
  <c r="O6" i="4866"/>
  <c r="B6" i="4866"/>
  <c r="O5" i="4866"/>
  <c r="B5" i="4866"/>
  <c r="O4" i="4866"/>
  <c r="O3" i="4866"/>
  <c r="O2" i="4866"/>
  <c r="O16" i="4864"/>
  <c r="O22" i="4864"/>
  <c r="C27" i="4864"/>
  <c r="B24" i="4864"/>
  <c r="C20" i="4864"/>
  <c r="B17" i="4864"/>
  <c r="H51" i="4864" s="1"/>
  <c r="C16" i="4864"/>
  <c r="C15" i="4864"/>
  <c r="C14" i="4864"/>
  <c r="C13" i="4864"/>
  <c r="O12" i="4864"/>
  <c r="C12" i="4864"/>
  <c r="O11" i="4864"/>
  <c r="C11" i="4864"/>
  <c r="O10" i="4864"/>
  <c r="C10" i="4864"/>
  <c r="C9" i="4864"/>
  <c r="C8" i="4864"/>
  <c r="O7" i="4864"/>
  <c r="C7" i="4864"/>
  <c r="O6" i="4864"/>
  <c r="B6" i="4864"/>
  <c r="O5" i="4864"/>
  <c r="B5" i="4864"/>
  <c r="O4" i="4864"/>
  <c r="O3" i="4864"/>
  <c r="O2" i="4864"/>
  <c r="H35" i="4870" l="1"/>
  <c r="H2" i="4870"/>
  <c r="H17" i="4870"/>
  <c r="H43" i="4870"/>
  <c r="H7" i="4870"/>
  <c r="H10" i="4870"/>
  <c r="H4" i="4870"/>
  <c r="H12" i="4870"/>
  <c r="H21" i="4870"/>
  <c r="H16" i="4866"/>
  <c r="C17" i="4870"/>
  <c r="H2" i="4866"/>
  <c r="H26" i="4866"/>
  <c r="H31" i="4866"/>
  <c r="H6" i="4866"/>
  <c r="H21" i="4864"/>
  <c r="H51" i="4870"/>
  <c r="H19" i="4870"/>
  <c r="C18" i="4870"/>
  <c r="H11" i="4870"/>
  <c r="H5" i="4870"/>
  <c r="H3" i="4870"/>
  <c r="H8" i="4870"/>
  <c r="H22" i="4870"/>
  <c r="B23" i="4870"/>
  <c r="H29" i="4870"/>
  <c r="H37" i="4870"/>
  <c r="H45" i="4870"/>
  <c r="H6" i="4870"/>
  <c r="H16" i="4870"/>
  <c r="H25" i="4870"/>
  <c r="H36" i="4870"/>
  <c r="H44" i="4870"/>
  <c r="H20" i="4870"/>
  <c r="C19" i="4870"/>
  <c r="H26" i="4870"/>
  <c r="H30" i="4870"/>
  <c r="H38" i="4870"/>
  <c r="H46" i="4870"/>
  <c r="H23" i="4870"/>
  <c r="H31" i="4870"/>
  <c r="H39" i="4870"/>
  <c r="H47" i="4870"/>
  <c r="H14" i="4870"/>
  <c r="H13" i="4870"/>
  <c r="H32" i="4870"/>
  <c r="H40" i="4870"/>
  <c r="H48" i="4870"/>
  <c r="H24" i="4870"/>
  <c r="H27" i="4870"/>
  <c r="H33" i="4870"/>
  <c r="H41" i="4870"/>
  <c r="H49" i="4870"/>
  <c r="H9" i="4870"/>
  <c r="H18" i="4870"/>
  <c r="H15" i="4870"/>
  <c r="H28" i="4870"/>
  <c r="H34" i="4870"/>
  <c r="H42" i="4870"/>
  <c r="H23" i="4864"/>
  <c r="H24" i="4868"/>
  <c r="B23" i="4868"/>
  <c r="H26" i="4868"/>
  <c r="H44" i="4868"/>
  <c r="H5" i="4868"/>
  <c r="H45" i="4868"/>
  <c r="H4" i="4868"/>
  <c r="C17" i="4868"/>
  <c r="H6" i="4868"/>
  <c r="C18" i="4868"/>
  <c r="H36" i="4868"/>
  <c r="H46" i="4868"/>
  <c r="H15" i="4868"/>
  <c r="H8" i="4868"/>
  <c r="H30" i="4868"/>
  <c r="H22" i="4868"/>
  <c r="H41" i="4868"/>
  <c r="H20" i="4868"/>
  <c r="H27" i="4868"/>
  <c r="H3" i="4868"/>
  <c r="H28" i="4868"/>
  <c r="H12" i="4868"/>
  <c r="H47" i="4868"/>
  <c r="H38" i="4868"/>
  <c r="H10" i="4868"/>
  <c r="H14" i="4868"/>
  <c r="H18" i="4868"/>
  <c r="H11" i="4868"/>
  <c r="H39" i="4868"/>
  <c r="H49" i="4868"/>
  <c r="H19" i="4868"/>
  <c r="H33" i="4868"/>
  <c r="H21" i="4868"/>
  <c r="H9" i="4868"/>
  <c r="H37" i="4868"/>
  <c r="C19" i="4868"/>
  <c r="H48" i="4868"/>
  <c r="H7" i="4868"/>
  <c r="H13" i="4868"/>
  <c r="H23" i="4868"/>
  <c r="H32" i="4868"/>
  <c r="H40" i="4868"/>
  <c r="H17" i="4868"/>
  <c r="H29" i="4868"/>
  <c r="H31" i="4868"/>
  <c r="H34" i="4868"/>
  <c r="H42" i="4868"/>
  <c r="H50" i="4868"/>
  <c r="H16" i="4868"/>
  <c r="H25" i="4868"/>
  <c r="H35" i="4868"/>
  <c r="H43" i="4868"/>
  <c r="H15" i="4866"/>
  <c r="H41" i="4866"/>
  <c r="H13" i="4866"/>
  <c r="H11" i="4866"/>
  <c r="H47" i="4866"/>
  <c r="C17" i="4866"/>
  <c r="H21" i="4866"/>
  <c r="H49" i="4866"/>
  <c r="H44" i="4866"/>
  <c r="H10" i="4866"/>
  <c r="H7" i="4866"/>
  <c r="H3" i="4866"/>
  <c r="C19" i="4866"/>
  <c r="H17" i="4866"/>
  <c r="H25" i="4866"/>
  <c r="H18" i="4866"/>
  <c r="H27" i="4866"/>
  <c r="C18" i="4866"/>
  <c r="H30" i="4866"/>
  <c r="H9" i="4866"/>
  <c r="H37" i="4866"/>
  <c r="H45" i="4866"/>
  <c r="H5" i="4866"/>
  <c r="H4" i="4866"/>
  <c r="H12" i="4866"/>
  <c r="H28" i="4866"/>
  <c r="B23" i="4866"/>
  <c r="H23" i="4866"/>
  <c r="H38" i="4866"/>
  <c r="H46" i="4866"/>
  <c r="H33" i="4866"/>
  <c r="H40" i="4866"/>
  <c r="H48" i="4866"/>
  <c r="H29" i="4866"/>
  <c r="H22" i="4866"/>
  <c r="H35" i="4866"/>
  <c r="H42" i="4866"/>
  <c r="H50" i="4866"/>
  <c r="H8" i="4866"/>
  <c r="H19" i="4866"/>
  <c r="H14" i="4866"/>
  <c r="H32" i="4866"/>
  <c r="H24" i="4866"/>
  <c r="H43" i="4866"/>
  <c r="H36" i="4864"/>
  <c r="H11" i="4864"/>
  <c r="H7" i="4864"/>
  <c r="H37" i="4864"/>
  <c r="H4" i="4864"/>
  <c r="C17" i="4864"/>
  <c r="H10" i="4864"/>
  <c r="H19" i="4864"/>
  <c r="H47" i="4864"/>
  <c r="H39" i="4864"/>
  <c r="H13" i="4864"/>
  <c r="H26" i="4864"/>
  <c r="H45" i="4864"/>
  <c r="H3" i="4864"/>
  <c r="H2" i="4864"/>
  <c r="H31" i="4864"/>
  <c r="H32" i="4864"/>
  <c r="H9" i="4864"/>
  <c r="H20" i="4864"/>
  <c r="H25" i="4864"/>
  <c r="H44" i="4864"/>
  <c r="H6" i="4864"/>
  <c r="C18" i="4864"/>
  <c r="C19" i="4864"/>
  <c r="H16" i="4864"/>
  <c r="H5" i="4864"/>
  <c r="B23" i="4864"/>
  <c r="H29" i="4864"/>
  <c r="H38" i="4864"/>
  <c r="H46" i="4864"/>
  <c r="H22" i="4864"/>
  <c r="H15" i="4864"/>
  <c r="H24" i="4864"/>
  <c r="H40" i="4864"/>
  <c r="H48" i="4864"/>
  <c r="H17" i="4864"/>
  <c r="H12" i="4864"/>
  <c r="H34" i="4864"/>
  <c r="H41" i="4864"/>
  <c r="H49" i="4864"/>
  <c r="H33" i="4864"/>
  <c r="H27" i="4864"/>
  <c r="H35" i="4864"/>
  <c r="H42" i="4864"/>
  <c r="H50" i="4864"/>
  <c r="H8" i="4864"/>
  <c r="H18" i="4864"/>
  <c r="H14" i="4864"/>
  <c r="H28" i="4864"/>
  <c r="H30" i="4864"/>
  <c r="H43" i="4864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<sst xmlns="http://schemas.openxmlformats.org/spreadsheetml/2006/main" count="2661" uniqueCount="207">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</sst>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全体!$K$2:$K$236</c:f>
              <c:numCache>
                <c:formatCode>General</c:formatCode>
                <c:ptCount val="2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</c:numCache>
            </c:numRef>
          </c:xVal>
          <c:yVal>
            <c:numRef>
              <c:f>全体!$L$2:$L$236</c:f>
              <c:numCache>
                <c:formatCode>\+0.0;\-0.0;\±0</c:formatCode>
                <c:ptCount val="23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CC-4084-81F9-00FA09B47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-21.367521367521366</c:v>
                </c:pt>
                <c:pt idx="1">
                  <c:v>-12.987012987012987</c:v>
                </c:pt>
                <c:pt idx="2">
                  <c:v>18.779342723004696</c:v>
                </c:pt>
                <c:pt idx="3">
                  <c:v>15.625</c:v>
                </c:pt>
                <c:pt idx="4">
                  <c:v>-27.3224043715847</c:v>
                </c:pt>
                <c:pt idx="5">
                  <c:v>35.087719298245617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07-4EB6-8EDE-B325D330E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だいち!$L$2:$L$56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A6-4260-A7D8-DFEA8B801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4251.8518518518522</c:v>
                </c:pt>
                <c:pt idx="1">
                  <c:v>3688.6792452830186</c:v>
                </c:pt>
                <c:pt idx="2">
                  <c:v>2924.4897959183672</c:v>
                </c:pt>
                <c:pt idx="3">
                  <c:v>3390.6976744186045</c:v>
                </c:pt>
                <c:pt idx="4">
                  <c:v>1782.5</c:v>
                </c:pt>
                <c:pt idx="5">
                  <c:v>154.05405405405406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F0-4B73-B26C-35E4951E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りくと!$L$2:$L$57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EF-4E7B-BD55-00DB90EC2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718.18181818181813</c:v>
                </c:pt>
                <c:pt idx="1">
                  <c:v>-1235.1851851851852</c:v>
                </c:pt>
                <c:pt idx="2">
                  <c:v>-971.15384615384619</c:v>
                </c:pt>
                <c:pt idx="3">
                  <c:v>345.6521739130435</c:v>
                </c:pt>
                <c:pt idx="4">
                  <c:v>1361.3636363636363</c:v>
                </c:pt>
                <c:pt idx="5">
                  <c:v>1217.0731707317073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58-4108-AD5E-AC99BFC55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62-40E9-AA03-16BD57027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-2959.090909090909</c:v>
                </c:pt>
                <c:pt idx="1">
                  <c:v>-5186.363636363636</c:v>
                </c:pt>
                <c:pt idx="2">
                  <c:v>-5815.7894736842109</c:v>
                </c:pt>
                <c:pt idx="3">
                  <c:v>-2425</c:v>
                </c:pt>
                <c:pt idx="4">
                  <c:v>-2943.75</c:v>
                </c:pt>
                <c:pt idx="5">
                  <c:v>-2231.25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81-4292-AA89-FA7A16C45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れんたろう!$L$2:$L$35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A-457F-BC8B-7158AED77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-178.78787878787878</c:v>
                </c:pt>
                <c:pt idx="1">
                  <c:v>527.27272727272725</c:v>
                </c:pt>
                <c:pt idx="2">
                  <c:v>1096.7741935483871</c:v>
                </c:pt>
                <c:pt idx="3">
                  <c:v>-2127.5862068965516</c:v>
                </c:pt>
                <c:pt idx="4">
                  <c:v>-611.11111111111109</c:v>
                </c:pt>
                <c:pt idx="5">
                  <c:v>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B5-4AF4-90CE-E4549E6F0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6C-46B8-ABAC-E42D756CE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-347.82608695652175</c:v>
                </c:pt>
                <c:pt idx="1">
                  <c:v>1504.3478260869565</c:v>
                </c:pt>
                <c:pt idx="2">
                  <c:v>147.36842105263159</c:v>
                </c:pt>
                <c:pt idx="3">
                  <c:v>1447.0588235294117</c:v>
                </c:pt>
                <c:pt idx="4">
                  <c:v>-4852.9411764705883</c:v>
                </c:pt>
                <c:pt idx="5">
                  <c:v>-733.33333333333337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C0-4D8F-8FF0-3326CD9C5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ぱぱ!$L$2:$L$23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0-460D-BADE-BD907E195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-4204.7619047619046</c:v>
                </c:pt>
                <c:pt idx="1">
                  <c:v>-642.85714285714289</c:v>
                </c:pt>
                <c:pt idx="2">
                  <c:v>-889.47368421052636</c:v>
                </c:pt>
                <c:pt idx="3">
                  <c:v>-3194.4444444444443</c:v>
                </c:pt>
                <c:pt idx="4">
                  <c:v>1164.7058823529412</c:v>
                </c:pt>
                <c:pt idx="5">
                  <c:v>-462.5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6E-4458-8103-D08BDDD33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1-4E30-8DEA-F5CC34DEE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6B-4F9D-A046-59E7E3E33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14-41DB-BCC0-1F531D1CD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0-4B31-B78F-DD6BDC46B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97-4871-829E-994861145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D35-9697-07FD9A817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A8-4F15-8CD1-BA9CD4828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-18000</c:v>
                </c:pt>
                <c:pt idx="1">
                  <c:v>12000</c:v>
                </c:pt>
                <c:pt idx="2">
                  <c:v>-10000</c:v>
                </c:pt>
                <c:pt idx="3">
                  <c:v>-1000</c:v>
                </c:pt>
                <c:pt idx="4">
                  <c:v>12000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B8-4542-B1E0-2F3A966E9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ほたに2!$C$3:$C$4</c:f>
              <c:numCache>
                <c:formatCode>\+0.0;\-0.0;\±0</c:formatCode>
                <c:ptCount val="2"/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ほたに2!$D$3:$D$4</c:f>
              <c:numCache>
                <c:formatCode>0.00\ "位"</c:formatCode>
                <c:ptCount val="2"/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ほたに2!$F$3:$F$4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ほたに2!$G$3:$G$4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435897435897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ほたに2!$H$3:$H$4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2820512820512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ほたに2!$I$3:$I$4</c:f>
              <c:numCache>
                <c:formatCode>0</c:formatCode>
                <c:ptCount val="2"/>
                <c:pt idx="1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26.3793103448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ほたに2!$J$3:$J$4</c:f>
              <c:numCache>
                <c:formatCode>0</c:formatCode>
                <c:ptCount val="2"/>
                <c:pt idx="1">
                  <c:v>-3250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00.59347181008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29059829059828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29059829059828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ほたに2!$M$3:$M$4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6410256410256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ほたに2!$N$3:$N$4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89743589743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ほたに2!$O$3:$O$4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3999999999999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ほたに2!$P$3:$P$4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1923990498812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ほたに2!$Q$3:$Q$4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0344827586206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168</v>
      </c>
      <c r="F1" s="12" t="s">
        <v>116</v>
      </c>
      <c r="G1" s="26" t="s">
        <v>117</v>
      </c>
      <c r="H1" s="132" t="s">
        <v>118</v>
      </c>
      <c r="I1" s="102" t="s">
        <v>154</v>
      </c>
      <c r="K1" s="2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159</v>
      </c>
    </row>
    <row r="2" spans="1:17" x14ac:dyDescent="0.4">
      <c r="A2" s="21" t="s">
        <v>9</v>
      </c>
      <c r="B2" s="148">
        <v>0</v>
      </c>
      <c r="C2" s="149"/>
      <c r="E2" s="62" t="s">
        <v>65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132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66</v>
      </c>
      <c r="F3" s="28" t="s">
        <v>22</v>
      </c>
      <c r="G3" s="15">
        <v>0</v>
      </c>
      <c r="H3" s="135">
        <f t="shared" ref="H3:H51" si="1">IF(B$17=0,0,G3/B$17)</f>
        <v>0</v>
      </c>
      <c r="I3" s="96"/>
      <c r="N3" s="117" t="s">
        <v>133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67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134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68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135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69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136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137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167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155</v>
      </c>
      <c r="O14" s="34" t="s">
        <v>156</v>
      </c>
      <c r="P14" s="119" t="s">
        <v>157</v>
      </c>
      <c r="Q14" s="107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194</v>
      </c>
      <c r="B21" s="47">
        <v>0</v>
      </c>
      <c r="C21" s="137">
        <v>0</v>
      </c>
      <c r="E21" s="63" t="s">
        <v>84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195</v>
      </c>
      <c r="B22" s="15">
        <v>0</v>
      </c>
      <c r="C22" s="137">
        <f>IF(B$3=0,0,B22/B$3)</f>
        <v>0</v>
      </c>
      <c r="E22" s="63" t="s">
        <v>85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142</v>
      </c>
      <c r="B25" s="142">
        <v>0</v>
      </c>
      <c r="C25" s="143"/>
      <c r="E25" s="63" t="s">
        <v>88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152</v>
      </c>
      <c r="B26" s="140">
        <v>0</v>
      </c>
      <c r="C26" s="141"/>
      <c r="E26" s="63" t="s">
        <v>89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91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92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93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94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95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96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97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98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99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100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101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102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103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104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105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106</v>
      </c>
      <c r="F43" s="28" t="s">
        <v>113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107</v>
      </c>
      <c r="F44" s="28" t="s">
        <v>114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108</v>
      </c>
      <c r="F45" s="28" t="s">
        <v>115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109</v>
      </c>
      <c r="F46" s="28" t="s">
        <v>61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110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111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112</v>
      </c>
      <c r="F49" s="60" t="s">
        <v>64</v>
      </c>
      <c r="G49" s="47">
        <v>0</v>
      </c>
      <c r="H49" s="135">
        <f t="shared" si="1"/>
        <v>0</v>
      </c>
      <c r="I49" s="96"/>
    </row>
    <row r="50" spans="5:9" x14ac:dyDescent="0.4">
      <c r="E50" s="63" t="s">
        <v>181</v>
      </c>
      <c r="F50" s="60" t="s">
        <v>184</v>
      </c>
      <c r="G50" s="47">
        <v>0</v>
      </c>
      <c r="H50" s="135">
        <f t="shared" si="1"/>
        <v>0</v>
      </c>
      <c r="I50" s="96"/>
    </row>
    <row r="51" spans="5:9" x14ac:dyDescent="0.4">
      <c r="E51" s="64" t="s">
        <v>182</v>
      </c>
      <c r="F51" s="61" t="s">
        <v>183</v>
      </c>
      <c r="G51" s="49">
        <v>0</v>
      </c>
      <c r="H51" s="136">
        <f t="shared" si="1"/>
        <v>0</v>
      </c>
      <c r="I51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0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169</v>
      </c>
      <c r="B2" s="31">
        <v>43555.865243055552</v>
      </c>
      <c r="C2" s="30" t="s">
        <v>130</v>
      </c>
      <c r="D2" s="30" t="s">
        <v>131</v>
      </c>
      <c r="E2" s="30" t="s">
        <v>170</v>
      </c>
    </row>
    <row r="3" spans="1:10" x14ac:dyDescent="0.4">
      <c r="A3" s="30" t="s">
        <v>171</v>
      </c>
      <c r="B3" s="31">
        <v>43557.861886574072</v>
      </c>
      <c r="C3" s="30" t="s">
        <v>130</v>
      </c>
      <c r="D3" s="30" t="s">
        <v>131</v>
      </c>
      <c r="E3" s="30" t="s">
        <v>170</v>
      </c>
      <c r="F3" s="30" t="s">
        <v>175</v>
      </c>
      <c r="G3" s="30" t="s">
        <v>176</v>
      </c>
    </row>
    <row r="4" spans="1:10" x14ac:dyDescent="0.4">
      <c r="A4" s="30" t="s">
        <v>177</v>
      </c>
      <c r="B4" s="31">
        <v>43559.023634259262</v>
      </c>
      <c r="C4" s="30" t="s">
        <v>130</v>
      </c>
      <c r="D4" s="30" t="s">
        <v>131</v>
      </c>
      <c r="E4" s="30" t="s">
        <v>170</v>
      </c>
    </row>
    <row r="5" spans="1:10" x14ac:dyDescent="0.4">
      <c r="A5" s="30" t="s">
        <v>179</v>
      </c>
      <c r="B5" s="31">
        <v>43560.077002314814</v>
      </c>
      <c r="C5" s="30" t="s">
        <v>130</v>
      </c>
      <c r="D5" s="30" t="s">
        <v>131</v>
      </c>
      <c r="E5" s="30" t="s">
        <v>170</v>
      </c>
      <c r="F5" s="30" t="s">
        <v>175</v>
      </c>
    </row>
    <row r="6" spans="1:10" x14ac:dyDescent="0.4">
      <c r="A6" s="30" t="s">
        <v>180</v>
      </c>
      <c r="B6" s="31">
        <v>43561.108229166668</v>
      </c>
      <c r="C6" s="30" t="s">
        <v>130</v>
      </c>
      <c r="D6" s="30" t="s">
        <v>131</v>
      </c>
      <c r="E6" s="30" t="s">
        <v>170</v>
      </c>
      <c r="F6" s="30" t="s">
        <v>175</v>
      </c>
      <c r="G6" s="30" t="s">
        <v>176</v>
      </c>
    </row>
    <row r="7" spans="1:10" x14ac:dyDescent="0.4">
      <c r="A7" s="30" t="s">
        <v>185</v>
      </c>
      <c r="B7" s="31">
        <v>43562.38486111111</v>
      </c>
      <c r="C7" s="30" t="s">
        <v>130</v>
      </c>
      <c r="D7" s="30" t="s">
        <v>131</v>
      </c>
      <c r="E7" s="30" t="s">
        <v>170</v>
      </c>
      <c r="F7" s="30" t="s">
        <v>175</v>
      </c>
      <c r="G7" s="30" t="s">
        <v>176</v>
      </c>
      <c r="H7" s="30" t="s">
        <v>188</v>
      </c>
      <c r="I7" s="30" t="s">
        <v>189</v>
      </c>
      <c r="J7" s="30" t="s">
        <v>190</v>
      </c>
    </row>
    <row r="8" spans="1:10" x14ac:dyDescent="0.4">
      <c r="A8" s="30" t="s">
        <v>191</v>
      </c>
      <c r="B8" s="31">
        <v>43566.4999537037</v>
      </c>
      <c r="C8" s="30" t="s">
        <v>130</v>
      </c>
      <c r="D8" s="30" t="s">
        <v>131</v>
      </c>
      <c r="E8" s="30" t="s">
        <v>170</v>
      </c>
      <c r="F8" s="30" t="s">
        <v>175</v>
      </c>
      <c r="G8" s="30" t="s">
        <v>176</v>
      </c>
      <c r="H8" s="30" t="s">
        <v>188</v>
      </c>
      <c r="I8" s="30" t="s">
        <v>189</v>
      </c>
    </row>
    <row r="9" spans="1:10" x14ac:dyDescent="0.4">
      <c r="A9" s="30" t="s">
        <v>192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193</v>
      </c>
      <c r="B10" s="31">
        <v>43565.03292824074</v>
      </c>
      <c r="C10" s="30" t="s">
        <v>130</v>
      </c>
      <c r="D10" s="30" t="s">
        <v>131</v>
      </c>
      <c r="E10" s="30" t="s">
        <v>170</v>
      </c>
      <c r="F10" s="30" t="s">
        <v>175</v>
      </c>
    </row>
    <row r="11" spans="1:10" x14ac:dyDescent="0.4">
      <c r="A11" s="30" t="s">
        <v>196</v>
      </c>
      <c r="B11" s="31">
        <v>43566.030462962961</v>
      </c>
      <c r="C11" s="30" t="s">
        <v>130</v>
      </c>
      <c r="D11" s="30" t="s">
        <v>131</v>
      </c>
      <c r="E11" s="30" t="s">
        <v>170</v>
      </c>
    </row>
    <row r="12" spans="1:10" x14ac:dyDescent="0.4">
      <c r="A12" s="30" t="s">
        <v>197</v>
      </c>
      <c r="B12" s="31">
        <v>43567.091620370367</v>
      </c>
      <c r="C12" s="30" t="s">
        <v>130</v>
      </c>
      <c r="D12" s="30" t="s">
        <v>131</v>
      </c>
      <c r="E12" s="30" t="s">
        <v>170</v>
      </c>
      <c r="F12" s="30" t="s">
        <v>175</v>
      </c>
      <c r="G12" s="30" t="s">
        <v>176</v>
      </c>
    </row>
    <row r="13" spans="1:10" x14ac:dyDescent="0.4">
      <c r="A13" s="30" t="s">
        <v>198</v>
      </c>
      <c r="B13" s="31">
        <v>43568.067812499998</v>
      </c>
      <c r="C13" s="30" t="s">
        <v>130</v>
      </c>
      <c r="D13" s="30" t="s">
        <v>131</v>
      </c>
      <c r="E13" s="30" t="s">
        <v>170</v>
      </c>
    </row>
    <row r="14" spans="1:10" x14ac:dyDescent="0.4">
      <c r="A14" s="30" t="s">
        <v>199</v>
      </c>
      <c r="B14" s="31">
        <v>43569.100613425922</v>
      </c>
      <c r="C14" s="30" t="s">
        <v>130</v>
      </c>
      <c r="D14" s="30" t="s">
        <v>131</v>
      </c>
      <c r="E14" s="30" t="s">
        <v>170</v>
      </c>
      <c r="F14" s="30" t="s">
        <v>175</v>
      </c>
      <c r="G14" s="30" t="s">
        <v>176</v>
      </c>
    </row>
    <row r="15" spans="1:10" x14ac:dyDescent="0.4">
      <c r="A15" s="30" t="s">
        <v>200</v>
      </c>
      <c r="B15" s="31">
        <v>43570.006145833337</v>
      </c>
      <c r="C15" s="30" t="s">
        <v>130</v>
      </c>
      <c r="D15" s="30" t="s">
        <v>131</v>
      </c>
      <c r="E15" s="30" t="s">
        <v>170</v>
      </c>
      <c r="F15" s="30" t="s">
        <v>175</v>
      </c>
      <c r="G15" s="30" t="s">
        <v>176</v>
      </c>
      <c r="H15" s="30" t="s">
        <v>188</v>
      </c>
    </row>
    <row r="16" spans="1:10" x14ac:dyDescent="0.4">
      <c r="A16" s="30" t="s">
        <v>201</v>
      </c>
      <c r="B16" s="31">
        <v>43571.043113425927</v>
      </c>
      <c r="C16" s="30" t="s">
        <v>130</v>
      </c>
      <c r="D16" s="30" t="s">
        <v>131</v>
      </c>
    </row>
    <row r="17" spans="1:7" x14ac:dyDescent="0.4">
      <c r="A17" s="30" t="s">
        <v>202</v>
      </c>
      <c r="B17" s="31">
        <v>43573.057604166665</v>
      </c>
      <c r="C17" s="30" t="s">
        <v>130</v>
      </c>
      <c r="D17" s="30" t="s">
        <v>131</v>
      </c>
      <c r="E17" s="30" t="s">
        <v>170</v>
      </c>
    </row>
    <row r="18" spans="1:7" x14ac:dyDescent="0.4">
      <c r="A18" s="30" t="s">
        <v>204</v>
      </c>
      <c r="B18" s="31">
        <v>43574.063946759263</v>
      </c>
      <c r="C18" s="30" t="s">
        <v>130</v>
      </c>
      <c r="D18" s="30" t="s">
        <v>131</v>
      </c>
      <c r="E18" s="30" t="s">
        <v>170</v>
      </c>
      <c r="F18" s="30" t="s">
        <v>175</v>
      </c>
      <c r="G18" s="30" t="s">
        <v>176</v>
      </c>
    </row>
    <row r="19" spans="1:7" x14ac:dyDescent="0.4">
      <c r="A19" s="30" t="s">
        <v>205</v>
      </c>
      <c r="B19" s="31">
        <v>43575.082013888888</v>
      </c>
      <c r="C19" s="30" t="s">
        <v>130</v>
      </c>
      <c r="D19" s="30" t="s">
        <v>131</v>
      </c>
      <c r="E19" s="30" t="s">
        <v>170</v>
      </c>
    </row>
    <row r="20" spans="1:7" x14ac:dyDescent="0.4">
      <c r="A20" s="30" t="s">
        <v>206</v>
      </c>
      <c r="B20" s="31">
        <v>43575.907372685186</v>
      </c>
      <c r="C20" s="30" t="s">
        <v>130</v>
      </c>
      <c r="D20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172</v>
      </c>
    </row>
    <row r="6" spans="1:1" x14ac:dyDescent="0.4">
      <c r="A6" t="s">
        <v>173</v>
      </c>
    </row>
    <row r="7" spans="1:1" x14ac:dyDescent="0.4">
      <c r="A7" t="s">
        <v>174</v>
      </c>
    </row>
    <row r="8" spans="1:1" x14ac:dyDescent="0.4">
      <c r="A8" t="s">
        <v>178</v>
      </c>
    </row>
    <row r="9" spans="1:1" x14ac:dyDescent="0.4">
      <c r="A9" t="s">
        <v>186</v>
      </c>
    </row>
    <row r="10" spans="1:1" x14ac:dyDescent="0.4">
      <c r="A10" t="s">
        <v>187</v>
      </c>
    </row>
    <row r="11" spans="1:1" x14ac:dyDescent="0.4">
      <c r="A11" t="s">
        <v>203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  <c r="AJ1" s="156" t="s">
        <v>163</v>
      </c>
      <c r="AK1" s="157"/>
    </row>
    <row r="2" spans="1:37" x14ac:dyDescent="0.4">
      <c r="A2" s="72" t="s">
        <v>161</v>
      </c>
      <c r="B2" s="158"/>
      <c r="C2" s="159"/>
      <c r="D2" s="158"/>
      <c r="E2" s="159"/>
      <c r="F2" s="160">
        <v>0.98332138067132357</v>
      </c>
      <c r="G2" s="161"/>
      <c r="H2" s="160">
        <v>0.93069472731366187</v>
      </c>
      <c r="I2" s="161"/>
      <c r="J2" s="160">
        <v>0.96043509985770459</v>
      </c>
      <c r="K2" s="161"/>
      <c r="L2" s="160">
        <v>0.92597023442361337</v>
      </c>
      <c r="M2" s="161"/>
      <c r="N2" s="160">
        <v>0.83491177496631519</v>
      </c>
      <c r="O2" s="161"/>
      <c r="P2" s="160">
        <v>0.565557205880999</v>
      </c>
      <c r="Q2" s="161"/>
      <c r="R2" s="160">
        <v>0.48905860104982912</v>
      </c>
      <c r="S2" s="161"/>
      <c r="T2" s="160">
        <v>0.76525833617911743</v>
      </c>
      <c r="U2" s="161"/>
      <c r="V2" s="160">
        <v>0.92723474981778375</v>
      </c>
      <c r="W2" s="161"/>
      <c r="X2" s="160">
        <v>0.6541775192536754</v>
      </c>
      <c r="Y2" s="161"/>
      <c r="Z2" s="160">
        <v>0.43645051083735986</v>
      </c>
      <c r="AA2" s="161"/>
      <c r="AB2" s="160">
        <v>0.90030799718226806</v>
      </c>
      <c r="AC2" s="161"/>
      <c r="AD2" s="160">
        <v>0.86829401404017093</v>
      </c>
      <c r="AE2" s="161"/>
      <c r="AF2" s="160">
        <v>-0.54559427411738348</v>
      </c>
      <c r="AG2" s="161"/>
      <c r="AH2" s="160">
        <v>0.86650470929163004</v>
      </c>
      <c r="AI2" s="161"/>
      <c r="AJ2" s="160">
        <v>4.0921956063922467E-2</v>
      </c>
      <c r="AK2" s="161"/>
    </row>
    <row r="3" spans="1:37" x14ac:dyDescent="0.4">
      <c r="A3" s="74">
        <v>1</v>
      </c>
      <c r="B3" s="75" t="s">
        <v>127</v>
      </c>
      <c r="C3" s="76">
        <v>1316.2</v>
      </c>
      <c r="D3" s="77" t="s">
        <v>127</v>
      </c>
      <c r="E3" s="98">
        <v>24.374074074074073</v>
      </c>
      <c r="F3" s="77" t="s">
        <v>186</v>
      </c>
      <c r="G3" s="78">
        <v>1.3333333333333333</v>
      </c>
      <c r="H3" s="77" t="s">
        <v>186</v>
      </c>
      <c r="I3" s="79">
        <v>0.66666666666666663</v>
      </c>
      <c r="J3" s="77" t="s">
        <v>186</v>
      </c>
      <c r="K3" s="79">
        <v>0</v>
      </c>
      <c r="L3" s="77" t="s">
        <v>127</v>
      </c>
      <c r="M3" s="80">
        <v>0.41025641025641024</v>
      </c>
      <c r="N3" s="77" t="s">
        <v>186</v>
      </c>
      <c r="O3" s="80">
        <v>0.10526315789473684</v>
      </c>
      <c r="P3" s="77" t="s">
        <v>203</v>
      </c>
      <c r="Q3" s="81">
        <v>12000</v>
      </c>
      <c r="R3" s="77" t="s">
        <v>203</v>
      </c>
      <c r="S3" s="81">
        <v>-3250</v>
      </c>
      <c r="T3" s="77" t="s">
        <v>186</v>
      </c>
      <c r="U3" s="79">
        <v>0</v>
      </c>
      <c r="V3" s="77" t="s">
        <v>127</v>
      </c>
      <c r="W3" s="79">
        <v>0.22222222222222221</v>
      </c>
      <c r="X3" s="77" t="s">
        <v>127</v>
      </c>
      <c r="Y3" s="80">
        <v>0.32867132867132864</v>
      </c>
      <c r="Z3" s="77" t="s">
        <v>173</v>
      </c>
      <c r="AA3" s="80">
        <v>0.3439153439153439</v>
      </c>
      <c r="AB3" s="77" t="s">
        <v>187</v>
      </c>
      <c r="AC3" s="80">
        <v>0.7142857142857143</v>
      </c>
      <c r="AD3" s="77" t="s">
        <v>127</v>
      </c>
      <c r="AE3" s="80">
        <v>0.56190476190476191</v>
      </c>
      <c r="AF3" s="77" t="s">
        <v>174</v>
      </c>
      <c r="AG3" s="80">
        <v>0.5</v>
      </c>
      <c r="AH3" s="77" t="s">
        <v>127</v>
      </c>
      <c r="AI3" s="93">
        <v>105900</v>
      </c>
      <c r="AJ3" s="77" t="s">
        <v>145</v>
      </c>
      <c r="AK3" s="82">
        <v>7</v>
      </c>
    </row>
    <row r="4" spans="1:37" x14ac:dyDescent="0.4">
      <c r="A4" s="83">
        <v>2</v>
      </c>
      <c r="B4" s="84" t="s">
        <v>186</v>
      </c>
      <c r="C4" s="85">
        <v>61</v>
      </c>
      <c r="D4" s="86" t="s">
        <v>186</v>
      </c>
      <c r="E4" s="99">
        <v>20.333333333333332</v>
      </c>
      <c r="F4" s="86" t="s">
        <v>127</v>
      </c>
      <c r="G4" s="87">
        <v>1.5185185185185186</v>
      </c>
      <c r="H4" s="86" t="s">
        <v>127</v>
      </c>
      <c r="I4" s="88">
        <v>0.61111111111111116</v>
      </c>
      <c r="J4" s="86" t="s">
        <v>203</v>
      </c>
      <c r="K4" s="88">
        <v>0</v>
      </c>
      <c r="L4" s="86" t="s">
        <v>173</v>
      </c>
      <c r="M4" s="89">
        <v>0.33333333333333331</v>
      </c>
      <c r="N4" s="86" t="s">
        <v>127</v>
      </c>
      <c r="O4" s="89">
        <v>0.14219114219114218</v>
      </c>
      <c r="P4" s="86" t="s">
        <v>128</v>
      </c>
      <c r="Q4" s="90">
        <v>9156.060606060606</v>
      </c>
      <c r="R4" s="86" t="s">
        <v>186</v>
      </c>
      <c r="S4" s="90">
        <v>-5150</v>
      </c>
      <c r="T4" s="86" t="s">
        <v>203</v>
      </c>
      <c r="U4" s="88">
        <v>0</v>
      </c>
      <c r="V4" s="86" t="s">
        <v>145</v>
      </c>
      <c r="W4" s="88">
        <v>9.8290598290598288E-2</v>
      </c>
      <c r="X4" s="86" t="s">
        <v>128</v>
      </c>
      <c r="Y4" s="89">
        <v>0.27155172413793105</v>
      </c>
      <c r="Z4" s="86" t="s">
        <v>178</v>
      </c>
      <c r="AA4" s="89">
        <v>0.29203539823008851</v>
      </c>
      <c r="AB4" s="86" t="s">
        <v>127</v>
      </c>
      <c r="AC4" s="89">
        <v>0.63829787234042556</v>
      </c>
      <c r="AD4" s="86" t="s">
        <v>186</v>
      </c>
      <c r="AE4" s="89">
        <v>0.5</v>
      </c>
      <c r="AF4" s="86" t="s">
        <v>187</v>
      </c>
      <c r="AG4" s="89">
        <v>0.5</v>
      </c>
      <c r="AH4" s="86" t="s">
        <v>145</v>
      </c>
      <c r="AI4" s="94">
        <v>105900</v>
      </c>
      <c r="AJ4" s="86" t="s">
        <v>128</v>
      </c>
      <c r="AK4" s="91">
        <v>4</v>
      </c>
    </row>
    <row r="5" spans="1:37" x14ac:dyDescent="0.4">
      <c r="A5" s="83">
        <v>3</v>
      </c>
      <c r="B5" s="84" t="s">
        <v>145</v>
      </c>
      <c r="C5" s="85">
        <v>0</v>
      </c>
      <c r="D5" s="86" t="s">
        <v>145</v>
      </c>
      <c r="E5" s="99">
        <v>0</v>
      </c>
      <c r="F5" s="86" t="s">
        <v>145</v>
      </c>
      <c r="G5" s="87">
        <v>2</v>
      </c>
      <c r="H5" s="86" t="s">
        <v>178</v>
      </c>
      <c r="I5" s="88">
        <v>0.33333333333333331</v>
      </c>
      <c r="J5" s="86" t="s">
        <v>127</v>
      </c>
      <c r="K5" s="88">
        <v>0.12962962962962962</v>
      </c>
      <c r="L5" s="86" t="s">
        <v>145</v>
      </c>
      <c r="M5" s="89">
        <v>0.29743589743589743</v>
      </c>
      <c r="N5" s="86" t="s">
        <v>173</v>
      </c>
      <c r="O5" s="89">
        <v>0.14285714285714285</v>
      </c>
      <c r="P5" s="86" t="s">
        <v>127</v>
      </c>
      <c r="Q5" s="90">
        <v>9131.818181818182</v>
      </c>
      <c r="R5" s="86" t="s">
        <v>172</v>
      </c>
      <c r="S5" s="90">
        <v>-7206.25</v>
      </c>
      <c r="T5" s="86" t="s">
        <v>172</v>
      </c>
      <c r="U5" s="88">
        <v>3.0303030303030304E-2</v>
      </c>
      <c r="V5" s="86" t="s">
        <v>128</v>
      </c>
      <c r="W5" s="88">
        <v>9.0909090909090912E-2</v>
      </c>
      <c r="X5" s="86" t="s">
        <v>186</v>
      </c>
      <c r="Y5" s="89">
        <v>0.26315789473684209</v>
      </c>
      <c r="Z5" s="86" t="s">
        <v>127</v>
      </c>
      <c r="AA5" s="89">
        <v>0.24475524475524477</v>
      </c>
      <c r="AB5" s="86" t="s">
        <v>128</v>
      </c>
      <c r="AC5" s="89">
        <v>0.63492063492063489</v>
      </c>
      <c r="AD5" s="86" t="s">
        <v>203</v>
      </c>
      <c r="AE5" s="89">
        <v>0.5</v>
      </c>
      <c r="AF5" s="86" t="s">
        <v>203</v>
      </c>
      <c r="AG5" s="89">
        <v>0.5</v>
      </c>
      <c r="AH5" s="86" t="s">
        <v>173</v>
      </c>
      <c r="AI5" s="94">
        <v>95700</v>
      </c>
      <c r="AJ5" s="86" t="s">
        <v>172</v>
      </c>
      <c r="AK5" s="91">
        <v>1</v>
      </c>
    </row>
    <row r="6" spans="1:37" x14ac:dyDescent="0.4">
      <c r="A6" s="83">
        <v>4</v>
      </c>
      <c r="B6" s="84" t="s">
        <v>173</v>
      </c>
      <c r="C6" s="85">
        <v>-5.3999999999999986</v>
      </c>
      <c r="D6" s="86" t="s">
        <v>128</v>
      </c>
      <c r="E6" s="99">
        <v>-0.21818181818181895</v>
      </c>
      <c r="F6" s="86" t="s">
        <v>203</v>
      </c>
      <c r="G6" s="87">
        <v>2</v>
      </c>
      <c r="H6" s="86" t="s">
        <v>145</v>
      </c>
      <c r="I6" s="88">
        <v>0.33333333333333331</v>
      </c>
      <c r="J6" s="86" t="s">
        <v>128</v>
      </c>
      <c r="K6" s="88">
        <v>0.32727272727272727</v>
      </c>
      <c r="L6" s="86" t="s">
        <v>174</v>
      </c>
      <c r="M6" s="89">
        <v>0.28865979381443296</v>
      </c>
      <c r="N6" s="86" t="s">
        <v>172</v>
      </c>
      <c r="O6" s="89">
        <v>0.16666666666666666</v>
      </c>
      <c r="P6" s="86" t="s">
        <v>172</v>
      </c>
      <c r="Q6" s="90">
        <v>8422.8571428571431</v>
      </c>
      <c r="R6" s="86" t="s">
        <v>128</v>
      </c>
      <c r="S6" s="90">
        <v>-7232.9113924050635</v>
      </c>
      <c r="T6" s="86" t="s">
        <v>127</v>
      </c>
      <c r="U6" s="88">
        <v>3.7037037037037035E-2</v>
      </c>
      <c r="V6" s="86" t="s">
        <v>172</v>
      </c>
      <c r="W6" s="88">
        <v>9.0909090909090912E-2</v>
      </c>
      <c r="X6" s="86" t="s">
        <v>145</v>
      </c>
      <c r="Y6" s="89">
        <v>0.25641025641025639</v>
      </c>
      <c r="Z6" s="86" t="s">
        <v>187</v>
      </c>
      <c r="AA6" s="89">
        <v>0.22807017543859648</v>
      </c>
      <c r="AB6" s="86" t="s">
        <v>186</v>
      </c>
      <c r="AC6" s="89">
        <v>0.6</v>
      </c>
      <c r="AD6" s="86" t="s">
        <v>173</v>
      </c>
      <c r="AE6" s="89">
        <v>0.41538461538461541</v>
      </c>
      <c r="AF6" s="86" t="s">
        <v>129</v>
      </c>
      <c r="AG6" s="89">
        <v>0.48571428571428571</v>
      </c>
      <c r="AH6" s="86" t="s">
        <v>128</v>
      </c>
      <c r="AI6" s="94">
        <v>94000</v>
      </c>
      <c r="AJ6" s="86" t="s">
        <v>174</v>
      </c>
      <c r="AK6" s="91">
        <v>1</v>
      </c>
    </row>
    <row r="7" spans="1:37" x14ac:dyDescent="0.4">
      <c r="A7" s="83">
        <v>5</v>
      </c>
      <c r="B7" s="84" t="s">
        <v>128</v>
      </c>
      <c r="C7" s="85">
        <v>-12.000000000000043</v>
      </c>
      <c r="D7" s="86" t="s">
        <v>173</v>
      </c>
      <c r="E7" s="99">
        <v>-0.23478260869565212</v>
      </c>
      <c r="F7" s="86" t="s">
        <v>173</v>
      </c>
      <c r="G7" s="87">
        <v>2.0434782608695654</v>
      </c>
      <c r="H7" s="86" t="s">
        <v>173</v>
      </c>
      <c r="I7" s="88">
        <v>0.30434782608695654</v>
      </c>
      <c r="J7" s="86" t="s">
        <v>174</v>
      </c>
      <c r="K7" s="88">
        <v>0.33333333333333331</v>
      </c>
      <c r="L7" s="86" t="s">
        <v>128</v>
      </c>
      <c r="M7" s="89">
        <v>0.28448275862068967</v>
      </c>
      <c r="N7" s="86" t="s">
        <v>128</v>
      </c>
      <c r="O7" s="89">
        <v>0.17025862068965517</v>
      </c>
      <c r="P7" s="86" t="s">
        <v>145</v>
      </c>
      <c r="Q7" s="90">
        <v>8226.3793103448279</v>
      </c>
      <c r="R7" s="86" t="s">
        <v>178</v>
      </c>
      <c r="S7" s="90">
        <v>-7250</v>
      </c>
      <c r="T7" s="86" t="s">
        <v>173</v>
      </c>
      <c r="U7" s="88">
        <v>8.6956521739130432E-2</v>
      </c>
      <c r="V7" s="86" t="s">
        <v>173</v>
      </c>
      <c r="W7" s="88">
        <v>8.6956521739130432E-2</v>
      </c>
      <c r="X7" s="86" t="s">
        <v>172</v>
      </c>
      <c r="Y7" s="89">
        <v>0.24305555555555555</v>
      </c>
      <c r="Z7" s="86" t="s">
        <v>174</v>
      </c>
      <c r="AA7" s="89">
        <v>0.22164948453608246</v>
      </c>
      <c r="AB7" s="86" t="s">
        <v>145</v>
      </c>
      <c r="AC7" s="89">
        <v>0.59399999999999997</v>
      </c>
      <c r="AD7" s="86" t="s">
        <v>178</v>
      </c>
      <c r="AE7" s="89">
        <v>0.39393939393939392</v>
      </c>
      <c r="AF7" s="86" t="s">
        <v>173</v>
      </c>
      <c r="AG7" s="89">
        <v>0.41269841269841268</v>
      </c>
      <c r="AH7" s="86" t="s">
        <v>172</v>
      </c>
      <c r="AI7" s="94">
        <v>91700</v>
      </c>
      <c r="AJ7" s="86" t="s">
        <v>178</v>
      </c>
      <c r="AK7" s="91">
        <v>1</v>
      </c>
    </row>
    <row r="8" spans="1:37" x14ac:dyDescent="0.4">
      <c r="A8" s="83">
        <v>6</v>
      </c>
      <c r="B8" s="84" t="s">
        <v>203</v>
      </c>
      <c r="C8" s="85">
        <v>-12.5</v>
      </c>
      <c r="D8" s="86" t="s">
        <v>172</v>
      </c>
      <c r="E8" s="99">
        <v>-3.3000000000000003</v>
      </c>
      <c r="F8" s="86" t="s">
        <v>128</v>
      </c>
      <c r="G8" s="87">
        <v>2.0545454545454547</v>
      </c>
      <c r="H8" s="86" t="s">
        <v>128</v>
      </c>
      <c r="I8" s="88">
        <v>0.27272727272727271</v>
      </c>
      <c r="J8" s="86" t="s">
        <v>145</v>
      </c>
      <c r="K8" s="88">
        <v>0.33333333333333331</v>
      </c>
      <c r="L8" s="86" t="s">
        <v>186</v>
      </c>
      <c r="M8" s="89">
        <v>0.26315789473684209</v>
      </c>
      <c r="N8" s="86" t="s">
        <v>145</v>
      </c>
      <c r="O8" s="89">
        <v>0.17282051282051283</v>
      </c>
      <c r="P8" s="86" t="s">
        <v>186</v>
      </c>
      <c r="Q8" s="90">
        <v>7860</v>
      </c>
      <c r="R8" s="86" t="s">
        <v>127</v>
      </c>
      <c r="S8" s="90">
        <v>-7873.7704918032787</v>
      </c>
      <c r="T8" s="86" t="s">
        <v>174</v>
      </c>
      <c r="U8" s="88">
        <v>9.5238095238095233E-2</v>
      </c>
      <c r="V8" s="86" t="s">
        <v>174</v>
      </c>
      <c r="W8" s="88">
        <v>4.7619047619047616E-2</v>
      </c>
      <c r="X8" s="86" t="s">
        <v>129</v>
      </c>
      <c r="Y8" s="89">
        <v>0.24193548387096775</v>
      </c>
      <c r="Z8" s="86" t="s">
        <v>145</v>
      </c>
      <c r="AA8" s="89">
        <v>0.2158974358974359</v>
      </c>
      <c r="AB8" s="86" t="s">
        <v>173</v>
      </c>
      <c r="AC8" s="89">
        <v>0.58139534883720934</v>
      </c>
      <c r="AD8" s="86" t="s">
        <v>145</v>
      </c>
      <c r="AE8" s="89">
        <v>0.39192399049881232</v>
      </c>
      <c r="AF8" s="86" t="s">
        <v>145</v>
      </c>
      <c r="AG8" s="89">
        <v>0.41034482758620688</v>
      </c>
      <c r="AH8" s="86" t="s">
        <v>178</v>
      </c>
      <c r="AI8" s="94">
        <v>65000</v>
      </c>
      <c r="AJ8" s="86" t="s">
        <v>127</v>
      </c>
      <c r="AK8" s="91">
        <v>0</v>
      </c>
    </row>
    <row r="9" spans="1:37" x14ac:dyDescent="0.4">
      <c r="A9" s="83">
        <v>7</v>
      </c>
      <c r="B9" s="84" t="s">
        <v>172</v>
      </c>
      <c r="C9" s="85">
        <v>-108.9</v>
      </c>
      <c r="D9" s="86" t="s">
        <v>174</v>
      </c>
      <c r="E9" s="99">
        <v>-9.7047619047619005</v>
      </c>
      <c r="F9" s="86" t="s">
        <v>174</v>
      </c>
      <c r="G9" s="87">
        <v>2.0952380952380953</v>
      </c>
      <c r="H9" s="86" t="s">
        <v>172</v>
      </c>
      <c r="I9" s="88">
        <v>0.24242424242424243</v>
      </c>
      <c r="J9" s="86" t="s">
        <v>173</v>
      </c>
      <c r="K9" s="88">
        <v>0.34782608695652173</v>
      </c>
      <c r="L9" s="86" t="s">
        <v>178</v>
      </c>
      <c r="M9" s="89">
        <v>0.25663716814159293</v>
      </c>
      <c r="N9" s="86" t="s">
        <v>178</v>
      </c>
      <c r="O9" s="89">
        <v>0.17699115044247787</v>
      </c>
      <c r="P9" s="86" t="s">
        <v>129</v>
      </c>
      <c r="Q9" s="90">
        <v>7302.8571428571431</v>
      </c>
      <c r="R9" s="86" t="s">
        <v>145</v>
      </c>
      <c r="S9" s="90">
        <v>-7900.5934718100889</v>
      </c>
      <c r="T9" s="86" t="s">
        <v>145</v>
      </c>
      <c r="U9" s="88">
        <v>9.8290598290598288E-2</v>
      </c>
      <c r="V9" s="86" t="s">
        <v>129</v>
      </c>
      <c r="W9" s="88">
        <v>0</v>
      </c>
      <c r="X9" s="86" t="s">
        <v>173</v>
      </c>
      <c r="Y9" s="89">
        <v>0.2275132275132275</v>
      </c>
      <c r="Z9" s="86" t="s">
        <v>186</v>
      </c>
      <c r="AA9" s="89">
        <v>0.21052631578947367</v>
      </c>
      <c r="AB9" s="86" t="s">
        <v>172</v>
      </c>
      <c r="AC9" s="89">
        <v>0.55714285714285716</v>
      </c>
      <c r="AD9" s="86" t="s">
        <v>187</v>
      </c>
      <c r="AE9" s="89">
        <v>0.38461538461538464</v>
      </c>
      <c r="AF9" s="86" t="s">
        <v>128</v>
      </c>
      <c r="AG9" s="89">
        <v>0.40909090909090912</v>
      </c>
      <c r="AH9" s="86" t="s">
        <v>174</v>
      </c>
      <c r="AI9" s="94">
        <v>58900</v>
      </c>
      <c r="AJ9" s="86" t="s">
        <v>129</v>
      </c>
      <c r="AK9" s="91">
        <v>0</v>
      </c>
    </row>
    <row r="10" spans="1:37" x14ac:dyDescent="0.4">
      <c r="A10" s="83">
        <v>8</v>
      </c>
      <c r="B10" s="84" t="s">
        <v>178</v>
      </c>
      <c r="C10" s="85">
        <v>-146.19999999999999</v>
      </c>
      <c r="D10" s="86" t="s">
        <v>178</v>
      </c>
      <c r="E10" s="99">
        <v>-9.7466666666666661</v>
      </c>
      <c r="F10" s="86" t="s">
        <v>172</v>
      </c>
      <c r="G10" s="87">
        <v>2.1212121212121211</v>
      </c>
      <c r="H10" s="86" t="s">
        <v>174</v>
      </c>
      <c r="I10" s="88">
        <v>0.23809523809523808</v>
      </c>
      <c r="J10" s="86" t="s">
        <v>172</v>
      </c>
      <c r="K10" s="88">
        <v>0.36363636363636365</v>
      </c>
      <c r="L10" s="86" t="s">
        <v>172</v>
      </c>
      <c r="M10" s="89">
        <v>0.24305555555555555</v>
      </c>
      <c r="N10" s="86" t="s">
        <v>203</v>
      </c>
      <c r="O10" s="89">
        <v>0.18181818181818182</v>
      </c>
      <c r="P10" s="86" t="s">
        <v>173</v>
      </c>
      <c r="Q10" s="90">
        <v>6749.2063492063489</v>
      </c>
      <c r="R10" s="86" t="s">
        <v>174</v>
      </c>
      <c r="S10" s="90">
        <v>-7951.2195121951218</v>
      </c>
      <c r="T10" s="86" t="s">
        <v>128</v>
      </c>
      <c r="U10" s="88">
        <v>0.12727272727272726</v>
      </c>
      <c r="V10" s="86" t="s">
        <v>178</v>
      </c>
      <c r="W10" s="88">
        <v>0</v>
      </c>
      <c r="X10" s="86" t="s">
        <v>174</v>
      </c>
      <c r="Y10" s="89">
        <v>0.21134020618556701</v>
      </c>
      <c r="Z10" s="86" t="s">
        <v>203</v>
      </c>
      <c r="AA10" s="89">
        <v>0.18181818181818182</v>
      </c>
      <c r="AB10" s="86" t="s">
        <v>178</v>
      </c>
      <c r="AC10" s="89">
        <v>0.55000000000000004</v>
      </c>
      <c r="AD10" s="86" t="s">
        <v>174</v>
      </c>
      <c r="AE10" s="89">
        <v>0.34883720930232559</v>
      </c>
      <c r="AF10" s="86" t="s">
        <v>127</v>
      </c>
      <c r="AG10" s="89">
        <v>0.39204545454545453</v>
      </c>
      <c r="AH10" s="86" t="s">
        <v>186</v>
      </c>
      <c r="AI10" s="94">
        <v>53500</v>
      </c>
      <c r="AJ10" s="86" t="s">
        <v>173</v>
      </c>
      <c r="AK10" s="91">
        <v>0</v>
      </c>
    </row>
    <row r="11" spans="1:37" x14ac:dyDescent="0.4">
      <c r="A11" s="83">
        <v>9</v>
      </c>
      <c r="B11" s="84" t="s">
        <v>174</v>
      </c>
      <c r="C11" s="85">
        <v>-203.79999999999993</v>
      </c>
      <c r="D11" s="86" t="s">
        <v>203</v>
      </c>
      <c r="E11" s="99">
        <v>-12.5</v>
      </c>
      <c r="F11" s="86" t="s">
        <v>178</v>
      </c>
      <c r="G11" s="87">
        <v>2.1333333333333333</v>
      </c>
      <c r="H11" s="86" t="s">
        <v>187</v>
      </c>
      <c r="I11" s="88">
        <v>0.14285714285714285</v>
      </c>
      <c r="J11" s="86" t="s">
        <v>178</v>
      </c>
      <c r="K11" s="88">
        <v>0.46666666666666667</v>
      </c>
      <c r="L11" s="86" t="s">
        <v>187</v>
      </c>
      <c r="M11" s="89">
        <v>0.21052631578947367</v>
      </c>
      <c r="N11" s="86" t="s">
        <v>174</v>
      </c>
      <c r="O11" s="89">
        <v>0.21134020618556701</v>
      </c>
      <c r="P11" s="86" t="s">
        <v>187</v>
      </c>
      <c r="Q11" s="90">
        <v>6500</v>
      </c>
      <c r="R11" s="86" t="s">
        <v>187</v>
      </c>
      <c r="S11" s="90">
        <v>-8762.5</v>
      </c>
      <c r="T11" s="86" t="s">
        <v>187</v>
      </c>
      <c r="U11" s="88">
        <v>0.14285714285714285</v>
      </c>
      <c r="V11" s="86" t="s">
        <v>186</v>
      </c>
      <c r="W11" s="88">
        <v>0</v>
      </c>
      <c r="X11" s="86" t="s">
        <v>203</v>
      </c>
      <c r="Y11" s="89">
        <v>0.18181818181818182</v>
      </c>
      <c r="Z11" s="86" t="s">
        <v>128</v>
      </c>
      <c r="AA11" s="89">
        <v>0.1788793103448276</v>
      </c>
      <c r="AB11" s="86" t="s">
        <v>174</v>
      </c>
      <c r="AC11" s="89">
        <v>0.53658536585365857</v>
      </c>
      <c r="AD11" s="86" t="s">
        <v>172</v>
      </c>
      <c r="AE11" s="89">
        <v>0.31372549019607843</v>
      </c>
      <c r="AF11" s="86" t="s">
        <v>178</v>
      </c>
      <c r="AG11" s="89">
        <v>0.37931034482758619</v>
      </c>
      <c r="AH11" s="86" t="s">
        <v>129</v>
      </c>
      <c r="AI11" s="94">
        <v>52200</v>
      </c>
      <c r="AJ11" s="86" t="s">
        <v>186</v>
      </c>
      <c r="AK11" s="91">
        <v>0</v>
      </c>
    </row>
    <row r="12" spans="1:37" x14ac:dyDescent="0.4">
      <c r="A12" s="83">
        <v>10</v>
      </c>
      <c r="B12" s="84" t="s">
        <v>187</v>
      </c>
      <c r="C12" s="85">
        <v>-218.2</v>
      </c>
      <c r="D12" s="86" t="s">
        <v>129</v>
      </c>
      <c r="E12" s="99">
        <v>-30.463636363636361</v>
      </c>
      <c r="F12" s="86" t="s">
        <v>129</v>
      </c>
      <c r="G12" s="87">
        <v>2.5454545454545454</v>
      </c>
      <c r="H12" s="86" t="s">
        <v>129</v>
      </c>
      <c r="I12" s="88">
        <v>9.0909090909090912E-2</v>
      </c>
      <c r="J12" s="86" t="s">
        <v>129</v>
      </c>
      <c r="K12" s="88">
        <v>0.63636363636363635</v>
      </c>
      <c r="L12" s="86" t="s">
        <v>129</v>
      </c>
      <c r="M12" s="89">
        <v>0.18817204301075269</v>
      </c>
      <c r="N12" s="86" t="s">
        <v>129</v>
      </c>
      <c r="O12" s="89">
        <v>0.22043010752688172</v>
      </c>
      <c r="P12" s="86" t="s">
        <v>174</v>
      </c>
      <c r="Q12" s="90">
        <v>6416.0714285714284</v>
      </c>
      <c r="R12" s="86" t="s">
        <v>173</v>
      </c>
      <c r="S12" s="90">
        <v>-8785.1851851851843</v>
      </c>
      <c r="T12" s="86" t="s">
        <v>178</v>
      </c>
      <c r="U12" s="88">
        <v>0.2</v>
      </c>
      <c r="V12" s="86" t="s">
        <v>187</v>
      </c>
      <c r="W12" s="88">
        <v>0</v>
      </c>
      <c r="X12" s="86" t="s">
        <v>178</v>
      </c>
      <c r="Y12" s="89">
        <v>0.17699115044247787</v>
      </c>
      <c r="Z12" s="86" t="s">
        <v>172</v>
      </c>
      <c r="AA12" s="89">
        <v>0.17708333333333334</v>
      </c>
      <c r="AB12" s="86" t="s">
        <v>203</v>
      </c>
      <c r="AC12" s="89">
        <v>0.5</v>
      </c>
      <c r="AD12" s="86" t="s">
        <v>128</v>
      </c>
      <c r="AE12" s="89">
        <v>0.27710843373493976</v>
      </c>
      <c r="AF12" s="86" t="s">
        <v>172</v>
      </c>
      <c r="AG12" s="89">
        <v>0.35714285714285715</v>
      </c>
      <c r="AH12" s="86" t="s">
        <v>187</v>
      </c>
      <c r="AI12" s="94">
        <v>43600</v>
      </c>
      <c r="AJ12" s="86" t="s">
        <v>187</v>
      </c>
      <c r="AK12" s="91">
        <v>0</v>
      </c>
    </row>
    <row r="13" spans="1:37" x14ac:dyDescent="0.4">
      <c r="A13" s="83">
        <v>11</v>
      </c>
      <c r="B13" s="84" t="s">
        <v>129</v>
      </c>
      <c r="C13" s="85">
        <v>-670.19999999999993</v>
      </c>
      <c r="D13" s="86" t="s">
        <v>187</v>
      </c>
      <c r="E13" s="99">
        <v>-31.171428571428571</v>
      </c>
      <c r="F13" s="86" t="s">
        <v>187</v>
      </c>
      <c r="G13" s="87">
        <v>2.5714285714285716</v>
      </c>
      <c r="H13" s="86" t="s">
        <v>203</v>
      </c>
      <c r="I13" s="88">
        <v>0</v>
      </c>
      <c r="J13" s="86" t="s">
        <v>187</v>
      </c>
      <c r="K13" s="88">
        <v>0.7142857142857143</v>
      </c>
      <c r="L13" s="86" t="s">
        <v>203</v>
      </c>
      <c r="M13" s="89">
        <v>0.18181818181818182</v>
      </c>
      <c r="N13" s="86" t="s">
        <v>187</v>
      </c>
      <c r="O13" s="89">
        <v>0.2807017543859649</v>
      </c>
      <c r="P13" s="86" t="s">
        <v>178</v>
      </c>
      <c r="Q13" s="90">
        <v>6362.0689655172409</v>
      </c>
      <c r="R13" s="86" t="s">
        <v>129</v>
      </c>
      <c r="S13" s="90">
        <v>-9748.7804878048773</v>
      </c>
      <c r="T13" s="86" t="s">
        <v>129</v>
      </c>
      <c r="U13" s="88">
        <v>0.22727272727272727</v>
      </c>
      <c r="V13" s="86" t="s">
        <v>203</v>
      </c>
      <c r="W13" s="88">
        <v>0</v>
      </c>
      <c r="X13" s="86" t="s">
        <v>187</v>
      </c>
      <c r="Y13" s="89">
        <v>0.12280701754385964</v>
      </c>
      <c r="Z13" s="86" t="s">
        <v>129</v>
      </c>
      <c r="AA13" s="89">
        <v>0.11827956989247312</v>
      </c>
      <c r="AB13" s="86" t="s">
        <v>129</v>
      </c>
      <c r="AC13" s="89">
        <v>0.46666666666666667</v>
      </c>
      <c r="AD13" s="86" t="s">
        <v>129</v>
      </c>
      <c r="AE13" s="89">
        <v>0.18181818181818182</v>
      </c>
      <c r="AF13" s="86" t="s">
        <v>186</v>
      </c>
      <c r="AG13" s="89">
        <v>0.2</v>
      </c>
      <c r="AH13" s="86" t="s">
        <v>203</v>
      </c>
      <c r="AI13" s="94">
        <v>22500</v>
      </c>
      <c r="AJ13" s="86" t="s">
        <v>203</v>
      </c>
      <c r="AK13" s="91">
        <v>0</v>
      </c>
    </row>
  </sheetData>
  <sortState ref="AJ3:AK42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CADE8-1FE9-44D4-809F-951200A89293}">
  <sheetPr codeName="Sheet4"/>
  <dimension ref="A1:Q23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145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234</v>
      </c>
      <c r="C2" s="149"/>
      <c r="E2" s="62" t="s">
        <v>67</v>
      </c>
      <c r="F2" s="59" t="s">
        <v>23</v>
      </c>
      <c r="G2" s="46">
        <v>419</v>
      </c>
      <c r="H2" s="134">
        <f>IF(B$17=0,0,G2/B$17)</f>
        <v>0.72241379310344822</v>
      </c>
      <c r="I2" s="95">
        <v>6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-21.367521367521366</v>
      </c>
      <c r="P2" s="120">
        <v>234</v>
      </c>
      <c r="Q2" s="104">
        <v>-5000</v>
      </c>
    </row>
    <row r="3" spans="1:17" x14ac:dyDescent="0.4">
      <c r="A3" s="55" t="s">
        <v>8</v>
      </c>
      <c r="B3" s="150">
        <v>1950</v>
      </c>
      <c r="C3" s="151"/>
      <c r="E3" s="63" t="s">
        <v>73</v>
      </c>
      <c r="F3" s="60" t="s">
        <v>28</v>
      </c>
      <c r="G3" s="47">
        <v>315</v>
      </c>
      <c r="H3" s="135">
        <f>IF(B$17=0,0,G3/B$17)</f>
        <v>0.5431034482758621</v>
      </c>
      <c r="I3" s="96">
        <v>6</v>
      </c>
      <c r="K3" s="38">
        <v>1</v>
      </c>
      <c r="L3" s="101">
        <v>-5.0999999999999996</v>
      </c>
      <c r="N3" s="117" t="s">
        <v>133</v>
      </c>
      <c r="O3" s="124">
        <f t="shared" si="0"/>
        <v>-12.987012987012987</v>
      </c>
      <c r="P3" s="121">
        <v>231</v>
      </c>
      <c r="Q3" s="105">
        <v>-3000</v>
      </c>
    </row>
    <row r="4" spans="1:17" x14ac:dyDescent="0.4">
      <c r="A4" s="55" t="s">
        <v>6</v>
      </c>
      <c r="B4" s="152">
        <v>0</v>
      </c>
      <c r="C4" s="153"/>
      <c r="E4" s="63" t="s">
        <v>65</v>
      </c>
      <c r="F4" s="60" t="s">
        <v>21</v>
      </c>
      <c r="G4" s="47">
        <v>285</v>
      </c>
      <c r="H4" s="135">
        <f>IF(B$17=0,0,G4/B$17)</f>
        <v>0.49137931034482757</v>
      </c>
      <c r="I4" s="96">
        <v>7</v>
      </c>
      <c r="K4" s="38">
        <v>2</v>
      </c>
      <c r="L4" s="101">
        <v>40.4</v>
      </c>
      <c r="N4" s="117" t="s">
        <v>134</v>
      </c>
      <c r="O4" s="124">
        <f t="shared" si="0"/>
        <v>18.779342723004696</v>
      </c>
      <c r="P4" s="121">
        <v>213</v>
      </c>
      <c r="Q4" s="105">
        <v>4000</v>
      </c>
    </row>
    <row r="5" spans="1:17" x14ac:dyDescent="0.4">
      <c r="A5" s="55" t="s">
        <v>7</v>
      </c>
      <c r="B5" s="154">
        <f>IF(B$2=0,0,B$4/B$2)</f>
        <v>0</v>
      </c>
      <c r="C5" s="155"/>
      <c r="E5" s="63" t="s">
        <v>182</v>
      </c>
      <c r="F5" s="60" t="s">
        <v>183</v>
      </c>
      <c r="G5" s="47">
        <v>220</v>
      </c>
      <c r="H5" s="135">
        <f>IF(B$17=0,0,G5/B$17)</f>
        <v>0.37931034482758619</v>
      </c>
      <c r="I5" s="96">
        <v>6</v>
      </c>
      <c r="K5" s="38">
        <v>3</v>
      </c>
      <c r="L5" s="101">
        <v>0</v>
      </c>
      <c r="N5" s="117" t="s">
        <v>135</v>
      </c>
      <c r="O5" s="124">
        <f t="shared" si="0"/>
        <v>15.625</v>
      </c>
      <c r="P5" s="121">
        <v>192</v>
      </c>
      <c r="Q5" s="105">
        <v>3000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160</v>
      </c>
      <c r="H6" s="135">
        <f>IF(B$17=0,0,G6/B$17)</f>
        <v>0.27586206896551724</v>
      </c>
      <c r="I6" s="96">
        <v>5</v>
      </c>
      <c r="K6" s="38">
        <v>4</v>
      </c>
      <c r="L6" s="101">
        <v>2.2000000000000002</v>
      </c>
      <c r="N6" s="117" t="s">
        <v>136</v>
      </c>
      <c r="O6" s="124">
        <f t="shared" si="0"/>
        <v>-27.3224043715847</v>
      </c>
      <c r="P6" s="121">
        <v>183</v>
      </c>
      <c r="Q6" s="105">
        <v>-5000</v>
      </c>
    </row>
    <row r="7" spans="1:17" x14ac:dyDescent="0.4">
      <c r="A7" s="55" t="s">
        <v>2</v>
      </c>
      <c r="B7" s="47">
        <v>78</v>
      </c>
      <c r="C7" s="39">
        <f>IF(B$2=0,0,B7/B$2)</f>
        <v>0.33333333333333331</v>
      </c>
      <c r="E7" s="63" t="s">
        <v>68</v>
      </c>
      <c r="F7" s="60" t="s">
        <v>24</v>
      </c>
      <c r="G7" s="47">
        <v>156</v>
      </c>
      <c r="H7" s="135">
        <f>IF(B$17=0,0,G7/B$17)</f>
        <v>0.26896551724137929</v>
      </c>
      <c r="I7" s="96">
        <v>6</v>
      </c>
      <c r="K7" s="38">
        <v>5</v>
      </c>
      <c r="L7" s="101">
        <v>-37</v>
      </c>
      <c r="N7" s="118" t="s">
        <v>137</v>
      </c>
      <c r="O7" s="125">
        <f t="shared" si="0"/>
        <v>35.087719298245617</v>
      </c>
      <c r="P7" s="122">
        <v>171</v>
      </c>
      <c r="Q7" s="106">
        <v>6000</v>
      </c>
    </row>
    <row r="8" spans="1:17" x14ac:dyDescent="0.4">
      <c r="A8" s="55" t="s">
        <v>3</v>
      </c>
      <c r="B8" s="47">
        <v>78</v>
      </c>
      <c r="C8" s="39">
        <f>IF(B$2=0,0,B8/B$2)</f>
        <v>0.33333333333333331</v>
      </c>
      <c r="E8" s="63" t="s">
        <v>70</v>
      </c>
      <c r="F8" s="60" t="s">
        <v>25</v>
      </c>
      <c r="G8" s="47">
        <v>104</v>
      </c>
      <c r="H8" s="135">
        <f>IF(B$17=0,0,G8/B$17)</f>
        <v>0.1793103448275862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78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82</v>
      </c>
      <c r="H9" s="135">
        <f>IF(B$17=0,0,G9/B$17)</f>
        <v>0.14137931034482759</v>
      </c>
      <c r="I9" s="96">
        <v>7</v>
      </c>
      <c r="K9" s="38">
        <v>7</v>
      </c>
      <c r="L9" s="101">
        <v>73.3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23</v>
      </c>
      <c r="C10" s="40">
        <f>IF(B$2=0,0,B10/B$2)</f>
        <v>9.8290598290598288E-2</v>
      </c>
      <c r="E10" s="63" t="s">
        <v>66</v>
      </c>
      <c r="F10" s="60" t="s">
        <v>22</v>
      </c>
      <c r="G10" s="47">
        <v>69</v>
      </c>
      <c r="H10" s="135">
        <f>IF(B$17=0,0,G10/B$17)</f>
        <v>0.11896551724137931</v>
      </c>
      <c r="I10" s="96">
        <v>6</v>
      </c>
      <c r="K10" s="38">
        <v>8</v>
      </c>
      <c r="L10" s="101">
        <v>19.699999999999996</v>
      </c>
      <c r="N10" s="116" t="s">
        <v>165</v>
      </c>
      <c r="O10" s="126">
        <f>IF(P10=0,0,Q10/P10)</f>
        <v>-6.3615384615384611</v>
      </c>
      <c r="P10" s="120">
        <v>78</v>
      </c>
      <c r="Q10" s="108">
        <v>-496.2</v>
      </c>
    </row>
    <row r="11" spans="1:17" x14ac:dyDescent="0.4">
      <c r="A11" s="56" t="s">
        <v>140</v>
      </c>
      <c r="B11" s="48">
        <v>23</v>
      </c>
      <c r="C11" s="40">
        <f>IF(B$2=0,0,B11/B$2)</f>
        <v>9.8290598290598288E-2</v>
      </c>
      <c r="E11" s="63" t="s">
        <v>71</v>
      </c>
      <c r="F11" s="60" t="s">
        <v>26</v>
      </c>
      <c r="G11" s="47">
        <v>63</v>
      </c>
      <c r="H11" s="135">
        <f>IF(B$17=0,0,G11/B$17)</f>
        <v>0.10862068965517241</v>
      </c>
      <c r="I11" s="96">
        <v>5</v>
      </c>
      <c r="K11" s="38">
        <v>9</v>
      </c>
      <c r="L11" s="101">
        <v>-3.5527136788005009E-15</v>
      </c>
      <c r="N11" s="117" t="s">
        <v>166</v>
      </c>
      <c r="O11" s="127">
        <f>IF(P11=0,0,Q11/P11)</f>
        <v>-4.8448717948717954</v>
      </c>
      <c r="P11" s="121">
        <v>78</v>
      </c>
      <c r="Q11" s="109">
        <v>-377.90000000000003</v>
      </c>
    </row>
    <row r="12" spans="1:17" x14ac:dyDescent="0.4">
      <c r="A12" s="57" t="s">
        <v>160</v>
      </c>
      <c r="B12" s="49">
        <v>22</v>
      </c>
      <c r="C12" s="42">
        <f>IF(B$2=0,0,B12/B$2)</f>
        <v>9.4017094017094016E-2</v>
      </c>
      <c r="E12" s="63" t="s">
        <v>87</v>
      </c>
      <c r="F12" s="60" t="s">
        <v>42</v>
      </c>
      <c r="G12" s="47">
        <v>38</v>
      </c>
      <c r="H12" s="135">
        <f>IF(B$17=0,0,G12/B$17)</f>
        <v>6.5517241379310351E-2</v>
      </c>
      <c r="I12" s="96">
        <v>5</v>
      </c>
      <c r="K12" s="38">
        <v>10</v>
      </c>
      <c r="L12" s="101">
        <v>40.099999999999994</v>
      </c>
      <c r="N12" s="118" t="s">
        <v>167</v>
      </c>
      <c r="O12" s="128">
        <f>IF(P12=0,0,Q12/P12)</f>
        <v>11.206410256410258</v>
      </c>
      <c r="P12" s="122">
        <v>78</v>
      </c>
      <c r="Q12" s="110">
        <v>874.10000000000014</v>
      </c>
    </row>
    <row r="13" spans="1:17" x14ac:dyDescent="0.4">
      <c r="A13" s="58" t="s">
        <v>122</v>
      </c>
      <c r="B13" s="50">
        <v>500</v>
      </c>
      <c r="C13" s="44">
        <f>IF(B$3=0,0,B13/B$3)</f>
        <v>0.25641025641025639</v>
      </c>
      <c r="E13" s="63" t="s">
        <v>72</v>
      </c>
      <c r="F13" s="60" t="s">
        <v>27</v>
      </c>
      <c r="G13" s="47">
        <v>34</v>
      </c>
      <c r="H13" s="135">
        <f>IF(B$17=0,0,G13/B$17)</f>
        <v>5.8620689655172413E-2</v>
      </c>
      <c r="I13" s="96">
        <v>5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421</v>
      </c>
      <c r="C14" s="39">
        <f>IF(B$3=0,0,B14/B$3)</f>
        <v>0.2158974358974359</v>
      </c>
      <c r="E14" s="63" t="s">
        <v>84</v>
      </c>
      <c r="F14" s="60" t="s">
        <v>39</v>
      </c>
      <c r="G14" s="47">
        <v>25</v>
      </c>
      <c r="H14" s="135">
        <f>IF(B$17=0,0,G14/B$17)</f>
        <v>4.3103448275862072E-2</v>
      </c>
      <c r="I14" s="96">
        <v>4</v>
      </c>
      <c r="K14" s="38">
        <v>12</v>
      </c>
      <c r="L14" s="101">
        <v>-8.8817841970012523E-15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297</v>
      </c>
      <c r="C15" s="37">
        <f>IF(B$13=0,0,B15/B$13)</f>
        <v>0.59399999999999997</v>
      </c>
      <c r="E15" s="63" t="s">
        <v>82</v>
      </c>
      <c r="F15" s="60" t="s">
        <v>37</v>
      </c>
      <c r="G15" s="47">
        <v>15</v>
      </c>
      <c r="H15" s="135">
        <f>IF(B$17=0,0,G15/B$17)</f>
        <v>2.5862068965517241E-2</v>
      </c>
      <c r="I15" s="96">
        <v>4</v>
      </c>
      <c r="K15" s="38">
        <v>13</v>
      </c>
      <c r="L15" s="101">
        <v>-42.100000000000009</v>
      </c>
      <c r="N15" s="116" t="s">
        <v>187</v>
      </c>
      <c r="O15" s="126">
        <f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125</v>
      </c>
      <c r="B16" s="46">
        <v>165</v>
      </c>
      <c r="C16" s="37">
        <f>IF(B$14=0,0,B16/B$14)</f>
        <v>0.39192399049881232</v>
      </c>
      <c r="E16" s="63" t="s">
        <v>92</v>
      </c>
      <c r="F16" s="60" t="s">
        <v>47</v>
      </c>
      <c r="G16" s="47">
        <v>12</v>
      </c>
      <c r="H16" s="135">
        <f>IF(B$17=0,0,G16/B$17)</f>
        <v>2.0689655172413793E-2</v>
      </c>
      <c r="I16" s="96">
        <v>3</v>
      </c>
      <c r="K16" s="38">
        <v>14</v>
      </c>
      <c r="L16" s="101">
        <v>18.79999999999999</v>
      </c>
      <c r="N16" s="117" t="s">
        <v>129</v>
      </c>
      <c r="O16" s="127">
        <f>IF(P16=0,0,Q16/P16)</f>
        <v>45.695454545454545</v>
      </c>
      <c r="P16" s="121">
        <v>44</v>
      </c>
      <c r="Q16" s="109">
        <v>2010.6000000000001</v>
      </c>
    </row>
    <row r="17" spans="1:17" x14ac:dyDescent="0.4">
      <c r="A17" s="54" t="s">
        <v>10</v>
      </c>
      <c r="B17" s="46">
        <f>B19+B18</f>
        <v>580</v>
      </c>
      <c r="C17" s="37">
        <f>IF(B$3=0,0,B17/B$3)</f>
        <v>0.29743589743589743</v>
      </c>
      <c r="E17" s="63" t="s">
        <v>79</v>
      </c>
      <c r="F17" s="60" t="s">
        <v>34</v>
      </c>
      <c r="G17" s="47">
        <v>10</v>
      </c>
      <c r="H17" s="135">
        <f>IF(B$17=0,0,G17/B$17)</f>
        <v>1.7241379310344827E-2</v>
      </c>
      <c r="I17" s="96">
        <v>4</v>
      </c>
      <c r="K17" s="38">
        <v>15</v>
      </c>
      <c r="L17" s="101">
        <v>-1.0658141036401503E-14</v>
      </c>
      <c r="N17" s="117" t="s">
        <v>203</v>
      </c>
      <c r="O17" s="127">
        <f>IF(P17=0,0,Q17/P17)</f>
        <v>18.75</v>
      </c>
      <c r="P17" s="121">
        <v>2</v>
      </c>
      <c r="Q17" s="109">
        <v>37.5</v>
      </c>
    </row>
    <row r="18" spans="1:17" x14ac:dyDescent="0.4">
      <c r="A18" s="55" t="s">
        <v>12</v>
      </c>
      <c r="B18" s="47">
        <v>238</v>
      </c>
      <c r="C18" s="39">
        <f>IF(B$17=0,0,B18/B$17)</f>
        <v>0.41034482758620688</v>
      </c>
      <c r="E18" s="63" t="s">
        <v>76</v>
      </c>
      <c r="F18" s="60" t="s">
        <v>31</v>
      </c>
      <c r="G18" s="47">
        <v>6</v>
      </c>
      <c r="H18" s="135">
        <f>IF(B$17=0,0,G18/B$17)</f>
        <v>1.0344827586206896E-2</v>
      </c>
      <c r="I18" s="96">
        <v>4</v>
      </c>
      <c r="K18" s="38">
        <v>16</v>
      </c>
      <c r="L18" s="101">
        <v>90.899999999999991</v>
      </c>
      <c r="N18" s="117" t="s">
        <v>178</v>
      </c>
      <c r="O18" s="127">
        <f>IF(P18=0,0,Q18/P18)</f>
        <v>14.619999999999997</v>
      </c>
      <c r="P18" s="121">
        <v>30</v>
      </c>
      <c r="Q18" s="109">
        <v>438.59999999999991</v>
      </c>
    </row>
    <row r="19" spans="1:17" x14ac:dyDescent="0.4">
      <c r="A19" s="55" t="s">
        <v>11</v>
      </c>
      <c r="B19" s="47">
        <v>342</v>
      </c>
      <c r="C19" s="39">
        <f>IF(B$17=0,0,B19/B$17)</f>
        <v>0.58965517241379306</v>
      </c>
      <c r="E19" s="63" t="s">
        <v>80</v>
      </c>
      <c r="F19" s="60" t="s">
        <v>35</v>
      </c>
      <c r="G19" s="47">
        <v>6</v>
      </c>
      <c r="H19" s="135">
        <f>IF(B$17=0,0,G19/B$17)</f>
        <v>1.0344827586206896E-2</v>
      </c>
      <c r="I19" s="96">
        <v>4</v>
      </c>
      <c r="K19" s="38">
        <v>17</v>
      </c>
      <c r="L19" s="101">
        <v>8.2999999999999972</v>
      </c>
      <c r="N19" s="117" t="s">
        <v>174</v>
      </c>
      <c r="O19" s="127">
        <f>IF(P19=0,0,Q19/P19)</f>
        <v>14.557142857142864</v>
      </c>
      <c r="P19" s="121">
        <v>42</v>
      </c>
      <c r="Q19" s="109">
        <v>611.40000000000032</v>
      </c>
    </row>
    <row r="20" spans="1:17" x14ac:dyDescent="0.4">
      <c r="A20" s="55" t="s">
        <v>13</v>
      </c>
      <c r="B20" s="47">
        <v>337</v>
      </c>
      <c r="C20" s="39">
        <f>IF(B$3=0,0,B20/B$3)</f>
        <v>0.17282051282051283</v>
      </c>
      <c r="E20" s="63" t="s">
        <v>181</v>
      </c>
      <c r="F20" s="60" t="s">
        <v>184</v>
      </c>
      <c r="G20" s="47">
        <v>6</v>
      </c>
      <c r="H20" s="135">
        <f>IF(B$17=0,0,G20/B$17)</f>
        <v>1.0344827586206896E-2</v>
      </c>
      <c r="I20" s="96">
        <v>3</v>
      </c>
      <c r="K20" s="38">
        <v>18</v>
      </c>
      <c r="L20" s="101">
        <v>-3.5527136788005009E-15</v>
      </c>
      <c r="N20" s="117" t="s">
        <v>172</v>
      </c>
      <c r="O20" s="127">
        <f>IF(P20=0,0,Q20/P20)</f>
        <v>4.950000000000002</v>
      </c>
      <c r="P20" s="121">
        <v>66</v>
      </c>
      <c r="Q20" s="109">
        <v>326.7000000000001</v>
      </c>
    </row>
    <row r="21" spans="1:17" x14ac:dyDescent="0.4">
      <c r="A21" s="55" t="s">
        <v>194</v>
      </c>
      <c r="B21" s="47">
        <v>7</v>
      </c>
      <c r="C21" s="137">
        <v>0</v>
      </c>
      <c r="E21" s="63" t="s">
        <v>74</v>
      </c>
      <c r="F21" s="60" t="s">
        <v>29</v>
      </c>
      <c r="G21" s="47">
        <v>4</v>
      </c>
      <c r="H21" s="135">
        <f>IF(B$17=0,0,G21/B$17)</f>
        <v>6.8965517241379309E-3</v>
      </c>
      <c r="I21" s="96">
        <v>4</v>
      </c>
      <c r="K21" s="38">
        <v>19</v>
      </c>
      <c r="L21" s="101">
        <v>30.999999999999996</v>
      </c>
      <c r="N21" s="117" t="s">
        <v>173</v>
      </c>
      <c r="O21" s="127">
        <f>IF(P21=0,0,Q21/P21)</f>
        <v>0.35217391304347634</v>
      </c>
      <c r="P21" s="121">
        <v>46</v>
      </c>
      <c r="Q21" s="109">
        <v>16.19999999999991</v>
      </c>
    </row>
    <row r="22" spans="1:17" x14ac:dyDescent="0.4">
      <c r="A22" s="55" t="s">
        <v>195</v>
      </c>
      <c r="B22" s="47">
        <v>31</v>
      </c>
      <c r="C22" s="137">
        <v>1</v>
      </c>
      <c r="E22" s="63" t="s">
        <v>75</v>
      </c>
      <c r="F22" s="60" t="s">
        <v>30</v>
      </c>
      <c r="G22" s="47">
        <v>2</v>
      </c>
      <c r="H22" s="135">
        <f>IF(B$17=0,0,G22/B$17)</f>
        <v>3.4482758620689655E-3</v>
      </c>
      <c r="I22" s="96">
        <v>2</v>
      </c>
      <c r="K22" s="38">
        <v>20</v>
      </c>
      <c r="L22" s="101">
        <v>0.79999999999999716</v>
      </c>
      <c r="N22" s="117" t="s">
        <v>128</v>
      </c>
      <c r="O22" s="127">
        <f>IF(P22=0,0,Q22/P22)</f>
        <v>0.32727272727272572</v>
      </c>
      <c r="P22" s="121">
        <v>110</v>
      </c>
      <c r="Q22" s="109">
        <v>35.999999999999829</v>
      </c>
    </row>
    <row r="23" spans="1:17" x14ac:dyDescent="0.4">
      <c r="A23" s="55" t="s">
        <v>5</v>
      </c>
      <c r="B23" s="51">
        <f>IF(B$17=0,0,C23/B$17)</f>
        <v>8226.3793103448279</v>
      </c>
      <c r="C23" s="41">
        <v>4771300</v>
      </c>
      <c r="E23" s="63" t="s">
        <v>78</v>
      </c>
      <c r="F23" s="60" t="s">
        <v>33</v>
      </c>
      <c r="G23" s="47">
        <v>2</v>
      </c>
      <c r="H23" s="135">
        <f>IF(B$17=0,0,G23/B$17)</f>
        <v>3.4482758620689655E-3</v>
      </c>
      <c r="I23" s="96">
        <v>3</v>
      </c>
      <c r="K23" s="38">
        <v>21</v>
      </c>
      <c r="L23" s="101">
        <v>-2.886579864025407E-15</v>
      </c>
      <c r="N23" s="117" t="s">
        <v>186</v>
      </c>
      <c r="O23" s="127">
        <f>IF(P23=0,0,Q23/P23)</f>
        <v>-30.5</v>
      </c>
      <c r="P23" s="121">
        <v>6</v>
      </c>
      <c r="Q23" s="109">
        <v>-183</v>
      </c>
    </row>
    <row r="24" spans="1:17" x14ac:dyDescent="0.4">
      <c r="A24" s="57" t="s">
        <v>14</v>
      </c>
      <c r="B24" s="52">
        <f>IF(B$20=0,0,C24/B$20)</f>
        <v>-7900.5934718100889</v>
      </c>
      <c r="C24" s="45">
        <v>-2662500</v>
      </c>
      <c r="E24" s="63" t="s">
        <v>93</v>
      </c>
      <c r="F24" s="60" t="s">
        <v>48</v>
      </c>
      <c r="G24" s="47">
        <v>2</v>
      </c>
      <c r="H24" s="135">
        <f>IF(B$17=0,0,G24/B$17)</f>
        <v>3.4482758620689655E-3</v>
      </c>
      <c r="I24" s="96">
        <v>3</v>
      </c>
      <c r="K24" s="38">
        <v>22</v>
      </c>
      <c r="L24" s="101">
        <v>23.699999999999996</v>
      </c>
      <c r="N24" s="117" t="s">
        <v>127</v>
      </c>
      <c r="O24" s="127">
        <f>IF(P24=0,0,Q24/P24)</f>
        <v>-36.561111111111096</v>
      </c>
      <c r="P24" s="121">
        <v>108</v>
      </c>
      <c r="Q24" s="109">
        <v>-3948.5999999999985</v>
      </c>
    </row>
    <row r="25" spans="1:17" x14ac:dyDescent="0.4">
      <c r="A25" s="92" t="s">
        <v>142</v>
      </c>
      <c r="B25" s="142">
        <v>7</v>
      </c>
      <c r="C25" s="143"/>
      <c r="E25" s="63" t="s">
        <v>85</v>
      </c>
      <c r="F25" s="60" t="s">
        <v>40</v>
      </c>
      <c r="G25" s="47">
        <v>1</v>
      </c>
      <c r="H25" s="135">
        <f>IF(B$17=0,0,G25/B$17)</f>
        <v>1.7241379310344827E-3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152</v>
      </c>
      <c r="B26" s="140">
        <v>105900</v>
      </c>
      <c r="C26" s="141"/>
      <c r="E26" s="63" t="s">
        <v>86</v>
      </c>
      <c r="F26" s="60" t="s">
        <v>41</v>
      </c>
      <c r="G26" s="47">
        <v>1</v>
      </c>
      <c r="H26" s="135">
        <f>IF(B$17=0,0,G26/B$17)</f>
        <v>1.7241379310344827E-3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143</v>
      </c>
      <c r="B27" s="65">
        <v>7</v>
      </c>
      <c r="C27" s="42">
        <f>IF(B$3=0,0,B27/B$3)</f>
        <v>3.5897435897435897E-3</v>
      </c>
      <c r="E27" s="63" t="s">
        <v>88</v>
      </c>
      <c r="F27" s="60" t="s">
        <v>43</v>
      </c>
      <c r="G27" s="47">
        <v>1</v>
      </c>
      <c r="H27" s="135">
        <f>IF(B$17=0,0,G27/B$17)</f>
        <v>1.7241379310344827E-3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89</v>
      </c>
      <c r="F28" s="60" t="s">
        <v>44</v>
      </c>
      <c r="G28" s="47">
        <v>1</v>
      </c>
      <c r="H28" s="135">
        <f>IF(B$17=0,0,G28/B$17)</f>
        <v>1.7241379310344827E-3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5">
        <f>IF(B$17=0,0,G29/B$17)</f>
        <v>1.7241379310344827E-3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96</v>
      </c>
      <c r="F30" s="60" t="s">
        <v>51</v>
      </c>
      <c r="G30" s="47">
        <v>1</v>
      </c>
      <c r="H30" s="135">
        <f>IF(B$17=0,0,G30/B$17)</f>
        <v>1.7241379310344827E-3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77</v>
      </c>
      <c r="F31" s="60" t="s">
        <v>32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81</v>
      </c>
      <c r="F32" s="60" t="s">
        <v>36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83</v>
      </c>
      <c r="F33" s="60" t="s">
        <v>38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94</v>
      </c>
      <c r="F34" s="60" t="s">
        <v>49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38.399999999999991</v>
      </c>
    </row>
    <row r="52" spans="5:12" x14ac:dyDescent="0.4"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  <row r="198" spans="11:12" x14ac:dyDescent="0.4">
      <c r="K198" s="38">
        <v>196</v>
      </c>
      <c r="L198" s="101">
        <v>-55.499999999999986</v>
      </c>
    </row>
    <row r="199" spans="11:12" x14ac:dyDescent="0.4">
      <c r="K199" s="38">
        <v>197</v>
      </c>
      <c r="L199" s="101">
        <v>1.5000000000000142</v>
      </c>
    </row>
    <row r="200" spans="11:12" x14ac:dyDescent="0.4">
      <c r="K200" s="38">
        <v>198</v>
      </c>
      <c r="L200" s="101">
        <v>1.4210854715202004E-14</v>
      </c>
    </row>
    <row r="201" spans="11:12" x14ac:dyDescent="0.4">
      <c r="K201" s="38">
        <v>199</v>
      </c>
      <c r="L201" s="101">
        <v>46.900000000000013</v>
      </c>
    </row>
    <row r="202" spans="11:12" x14ac:dyDescent="0.4">
      <c r="K202" s="38">
        <v>200</v>
      </c>
      <c r="L202" s="101">
        <v>12.500000000000014</v>
      </c>
    </row>
    <row r="203" spans="11:12" x14ac:dyDescent="0.4">
      <c r="K203" s="38">
        <v>201</v>
      </c>
      <c r="L203" s="101">
        <v>1.4210854715202004E-14</v>
      </c>
    </row>
    <row r="204" spans="11:12" x14ac:dyDescent="0.4">
      <c r="K204" s="38">
        <v>202</v>
      </c>
      <c r="L204" s="101">
        <v>-59.899999999999984</v>
      </c>
    </row>
    <row r="205" spans="11:12" x14ac:dyDescent="0.4">
      <c r="K205" s="38">
        <v>203</v>
      </c>
      <c r="L205" s="101">
        <v>4.4000000000000128</v>
      </c>
    </row>
    <row r="206" spans="11:12" x14ac:dyDescent="0.4">
      <c r="K206" s="38">
        <v>204</v>
      </c>
      <c r="L206" s="101">
        <v>1.2434497875801753E-14</v>
      </c>
    </row>
    <row r="207" spans="11:12" x14ac:dyDescent="0.4">
      <c r="K207" s="38">
        <v>205</v>
      </c>
      <c r="L207" s="101">
        <v>54.500000000000014</v>
      </c>
    </row>
    <row r="208" spans="11:12" x14ac:dyDescent="0.4">
      <c r="K208" s="38">
        <v>206</v>
      </c>
      <c r="L208" s="101">
        <v>-8.9999999999999858</v>
      </c>
    </row>
    <row r="209" spans="11:12" x14ac:dyDescent="0.4">
      <c r="K209" s="38">
        <v>207</v>
      </c>
      <c r="L209" s="101">
        <v>1.4210854715202004E-14</v>
      </c>
    </row>
    <row r="210" spans="11:12" x14ac:dyDescent="0.4">
      <c r="K210" s="38">
        <v>208</v>
      </c>
      <c r="L210" s="101">
        <v>-55.399999999999984</v>
      </c>
    </row>
    <row r="211" spans="11:12" x14ac:dyDescent="0.4">
      <c r="K211" s="38">
        <v>209</v>
      </c>
      <c r="L211" s="101">
        <v>-51.899999999999984</v>
      </c>
    </row>
    <row r="212" spans="11:12" x14ac:dyDescent="0.4">
      <c r="K212" s="38">
        <v>210</v>
      </c>
      <c r="L212" s="101">
        <v>1.4210854715202004E-14</v>
      </c>
    </row>
    <row r="213" spans="11:12" x14ac:dyDescent="0.4">
      <c r="K213" s="38">
        <v>211</v>
      </c>
      <c r="L213" s="101">
        <v>4.1000000000000139</v>
      </c>
    </row>
    <row r="214" spans="11:12" x14ac:dyDescent="0.4">
      <c r="K214" s="38">
        <v>212</v>
      </c>
      <c r="L214" s="101">
        <v>35.200000000000017</v>
      </c>
    </row>
    <row r="215" spans="11:12" x14ac:dyDescent="0.4">
      <c r="K215" s="38">
        <v>213</v>
      </c>
      <c r="L215" s="101">
        <v>1.4210854715202004E-14</v>
      </c>
    </row>
    <row r="216" spans="11:12" x14ac:dyDescent="0.4">
      <c r="K216" s="38">
        <v>214</v>
      </c>
      <c r="L216" s="101">
        <v>-5.199999999999986</v>
      </c>
    </row>
    <row r="217" spans="11:12" x14ac:dyDescent="0.4">
      <c r="K217" s="38">
        <v>215</v>
      </c>
      <c r="L217" s="101">
        <v>-32.29999999999999</v>
      </c>
    </row>
    <row r="218" spans="11:12" x14ac:dyDescent="0.4">
      <c r="K218" s="38">
        <v>216</v>
      </c>
      <c r="L218" s="101">
        <v>7.1054273576010019E-15</v>
      </c>
    </row>
    <row r="219" spans="11:12" x14ac:dyDescent="0.4">
      <c r="K219" s="38">
        <v>217</v>
      </c>
      <c r="L219" s="101">
        <v>30.600000000000009</v>
      </c>
    </row>
    <row r="220" spans="11:12" x14ac:dyDescent="0.4">
      <c r="K220" s="38">
        <v>218</v>
      </c>
      <c r="L220" s="101">
        <v>-10.099999999999994</v>
      </c>
    </row>
    <row r="221" spans="11:12" x14ac:dyDescent="0.4">
      <c r="K221" s="38">
        <v>219</v>
      </c>
      <c r="L221" s="101">
        <v>5.3290705182007514E-15</v>
      </c>
    </row>
    <row r="222" spans="11:12" x14ac:dyDescent="0.4">
      <c r="K222" s="38">
        <v>220</v>
      </c>
      <c r="L222" s="101">
        <v>-28.599999999999994</v>
      </c>
    </row>
    <row r="223" spans="11:12" x14ac:dyDescent="0.4">
      <c r="K223" s="38">
        <v>221</v>
      </c>
      <c r="L223" s="101">
        <v>1.3000000000000043</v>
      </c>
    </row>
    <row r="224" spans="11:12" x14ac:dyDescent="0.4">
      <c r="K224" s="38">
        <v>222</v>
      </c>
      <c r="L224" s="101">
        <v>4.2188474935755949E-15</v>
      </c>
    </row>
    <row r="225" spans="11:12" x14ac:dyDescent="0.4">
      <c r="K225" s="38">
        <v>223</v>
      </c>
      <c r="L225" s="101">
        <v>-26.299999999999997</v>
      </c>
    </row>
    <row r="226" spans="11:12" x14ac:dyDescent="0.4">
      <c r="K226" s="38">
        <v>224</v>
      </c>
      <c r="L226" s="101">
        <v>4.1000000000000014</v>
      </c>
    </row>
    <row r="227" spans="11:12" x14ac:dyDescent="0.4">
      <c r="K227" s="38">
        <v>225</v>
      </c>
      <c r="L227" s="101">
        <v>1.7763568394002505E-15</v>
      </c>
    </row>
    <row r="228" spans="11:12" x14ac:dyDescent="0.4">
      <c r="K228" s="38">
        <v>226</v>
      </c>
      <c r="L228" s="101">
        <v>-39.5</v>
      </c>
    </row>
    <row r="229" spans="11:12" x14ac:dyDescent="0.4">
      <c r="K229" s="38">
        <v>227</v>
      </c>
      <c r="L229" s="101">
        <v>-33.700000000000003</v>
      </c>
    </row>
    <row r="230" spans="11:12" x14ac:dyDescent="0.4">
      <c r="K230" s="38">
        <v>228</v>
      </c>
      <c r="L230" s="101">
        <v>0</v>
      </c>
    </row>
    <row r="231" spans="11:12" x14ac:dyDescent="0.4">
      <c r="K231" s="38">
        <v>229</v>
      </c>
      <c r="L231" s="101">
        <v>4.0999999999999996</v>
      </c>
    </row>
    <row r="232" spans="11:12" x14ac:dyDescent="0.4">
      <c r="K232" s="38">
        <v>230</v>
      </c>
      <c r="L232" s="101">
        <v>-56</v>
      </c>
    </row>
    <row r="233" spans="11:12" x14ac:dyDescent="0.4">
      <c r="K233" s="38">
        <v>231</v>
      </c>
      <c r="L233" s="101">
        <v>0</v>
      </c>
    </row>
    <row r="234" spans="11:12" x14ac:dyDescent="0.4">
      <c r="K234" s="38">
        <v>232</v>
      </c>
      <c r="L234" s="101">
        <v>-21</v>
      </c>
    </row>
    <row r="235" spans="11:12" x14ac:dyDescent="0.4">
      <c r="K235" s="38">
        <v>233</v>
      </c>
      <c r="L235" s="101">
        <v>58</v>
      </c>
    </row>
    <row r="236" spans="11:12" x14ac:dyDescent="0.4">
      <c r="K236" s="38">
        <v>234</v>
      </c>
      <c r="L236" s="101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28DD-CC6E-443C-A87D-0F35C3C26EA1}">
  <sheetPr codeName="Sheet7"/>
  <dimension ref="A1:Q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54</v>
      </c>
      <c r="C2" s="149"/>
      <c r="E2" s="62" t="s">
        <v>67</v>
      </c>
      <c r="F2" s="59" t="s">
        <v>23</v>
      </c>
      <c r="G2" s="46">
        <v>145</v>
      </c>
      <c r="H2" s="134">
        <f>IF(B$17=0,0,G2/B$17)</f>
        <v>0.82386363636363635</v>
      </c>
      <c r="I2" s="95">
        <v>4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4251.8518518518522</v>
      </c>
      <c r="P2" s="120">
        <v>54</v>
      </c>
      <c r="Q2" s="104">
        <v>229600</v>
      </c>
    </row>
    <row r="3" spans="1:17" x14ac:dyDescent="0.4">
      <c r="A3" s="55" t="s">
        <v>8</v>
      </c>
      <c r="B3" s="150">
        <v>429</v>
      </c>
      <c r="C3" s="151"/>
      <c r="E3" s="63" t="s">
        <v>73</v>
      </c>
      <c r="F3" s="60" t="s">
        <v>28</v>
      </c>
      <c r="G3" s="47">
        <v>98</v>
      </c>
      <c r="H3" s="135">
        <f>IF(B$17=0,0,G3/B$17)</f>
        <v>0.55681818181818177</v>
      </c>
      <c r="I3" s="96">
        <v>5</v>
      </c>
      <c r="K3" s="38">
        <v>1</v>
      </c>
      <c r="L3" s="101">
        <v>-5.0999999999999996</v>
      </c>
      <c r="N3" s="117" t="s">
        <v>133</v>
      </c>
      <c r="O3" s="124">
        <f t="shared" si="0"/>
        <v>3688.6792452830186</v>
      </c>
      <c r="P3" s="121">
        <v>53</v>
      </c>
      <c r="Q3" s="105">
        <v>195500</v>
      </c>
    </row>
    <row r="4" spans="1:17" x14ac:dyDescent="0.4">
      <c r="A4" s="55" t="s">
        <v>6</v>
      </c>
      <c r="B4" s="152">
        <v>1316.2</v>
      </c>
      <c r="C4" s="153"/>
      <c r="E4" s="63" t="s">
        <v>65</v>
      </c>
      <c r="F4" s="60" t="s">
        <v>21</v>
      </c>
      <c r="G4" s="47">
        <v>88</v>
      </c>
      <c r="H4" s="135">
        <f>IF(B$17=0,0,G4/B$17)</f>
        <v>0.5</v>
      </c>
      <c r="I4" s="96">
        <v>5</v>
      </c>
      <c r="K4" s="38">
        <v>2</v>
      </c>
      <c r="L4" s="101">
        <v>-2.8999999999999995</v>
      </c>
      <c r="N4" s="117" t="s">
        <v>134</v>
      </c>
      <c r="O4" s="124">
        <f t="shared" si="0"/>
        <v>2924.4897959183672</v>
      </c>
      <c r="P4" s="121">
        <v>49</v>
      </c>
      <c r="Q4" s="105">
        <v>143300</v>
      </c>
    </row>
    <row r="5" spans="1:17" x14ac:dyDescent="0.4">
      <c r="A5" s="55" t="s">
        <v>7</v>
      </c>
      <c r="B5" s="154">
        <f>IF(B$2=0,0,B$4/B$2)</f>
        <v>24.374074074074073</v>
      </c>
      <c r="C5" s="155"/>
      <c r="E5" s="63" t="s">
        <v>182</v>
      </c>
      <c r="F5" s="60" t="s">
        <v>183</v>
      </c>
      <c r="G5" s="47">
        <v>76</v>
      </c>
      <c r="H5" s="135">
        <f>IF(B$17=0,0,G5/B$17)</f>
        <v>0.43181818181818182</v>
      </c>
      <c r="I5" s="96">
        <v>2</v>
      </c>
      <c r="K5" s="38">
        <v>3</v>
      </c>
      <c r="L5" s="101">
        <v>70.399999999999991</v>
      </c>
      <c r="N5" s="117" t="s">
        <v>135</v>
      </c>
      <c r="O5" s="124">
        <f t="shared" si="0"/>
        <v>3390.6976744186045</v>
      </c>
      <c r="P5" s="121">
        <v>43</v>
      </c>
      <c r="Q5" s="105">
        <v>145800</v>
      </c>
    </row>
    <row r="6" spans="1:17" x14ac:dyDescent="0.4">
      <c r="A6" s="55" t="s">
        <v>1</v>
      </c>
      <c r="B6" s="144">
        <f>IF(B$2=0,0,(B$7*1+B$8*2+B$9*3)/B$2)</f>
        <v>1.5185185185185186</v>
      </c>
      <c r="C6" s="145"/>
      <c r="E6" s="63" t="s">
        <v>68</v>
      </c>
      <c r="F6" s="60" t="s">
        <v>24</v>
      </c>
      <c r="G6" s="47">
        <v>56</v>
      </c>
      <c r="H6" s="135">
        <f>IF(B$17=0,0,G6/B$17)</f>
        <v>0.31818181818181818</v>
      </c>
      <c r="I6" s="96">
        <v>4</v>
      </c>
      <c r="K6" s="38">
        <v>4</v>
      </c>
      <c r="L6" s="101">
        <v>110.5</v>
      </c>
      <c r="N6" s="117" t="s">
        <v>136</v>
      </c>
      <c r="O6" s="124">
        <f t="shared" si="0"/>
        <v>1782.5</v>
      </c>
      <c r="P6" s="121">
        <v>40</v>
      </c>
      <c r="Q6" s="105">
        <v>71300</v>
      </c>
    </row>
    <row r="7" spans="1:17" x14ac:dyDescent="0.4">
      <c r="A7" s="55" t="s">
        <v>2</v>
      </c>
      <c r="B7" s="47">
        <v>33</v>
      </c>
      <c r="C7" s="39">
        <f>IF(B$2=0,0,B7/B$2)</f>
        <v>0.61111111111111116</v>
      </c>
      <c r="E7" s="63" t="s">
        <v>69</v>
      </c>
      <c r="F7" s="60" t="s">
        <v>12</v>
      </c>
      <c r="G7" s="47">
        <v>38</v>
      </c>
      <c r="H7" s="135">
        <f>IF(B$17=0,0,G7/B$17)</f>
        <v>0.21590909090909091</v>
      </c>
      <c r="I7" s="96">
        <v>8</v>
      </c>
      <c r="K7" s="38">
        <v>5</v>
      </c>
      <c r="L7" s="101">
        <v>201.4</v>
      </c>
      <c r="N7" s="118" t="s">
        <v>137</v>
      </c>
      <c r="O7" s="125">
        <f t="shared" si="0"/>
        <v>154.05405405405406</v>
      </c>
      <c r="P7" s="122">
        <v>37</v>
      </c>
      <c r="Q7" s="106">
        <v>5700</v>
      </c>
    </row>
    <row r="8" spans="1:17" x14ac:dyDescent="0.4">
      <c r="A8" s="55" t="s">
        <v>3</v>
      </c>
      <c r="B8" s="47">
        <v>14</v>
      </c>
      <c r="C8" s="39">
        <f>IF(B$2=0,0,B8/B$2)</f>
        <v>0.25925925925925924</v>
      </c>
      <c r="E8" s="63" t="s">
        <v>70</v>
      </c>
      <c r="F8" s="60" t="s">
        <v>25</v>
      </c>
      <c r="G8" s="47">
        <v>31</v>
      </c>
      <c r="H8" s="135">
        <f>IF(B$17=0,0,G8/B$17)</f>
        <v>0.17613636363636365</v>
      </c>
      <c r="I8" s="96">
        <v>7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0.12962962962962962</v>
      </c>
      <c r="E9" s="63" t="s">
        <v>90</v>
      </c>
      <c r="F9" s="60" t="s">
        <v>45</v>
      </c>
      <c r="G9" s="47">
        <v>31</v>
      </c>
      <c r="H9" s="135">
        <f>IF(B$17=0,0,G9/B$17)</f>
        <v>0.17613636363636365</v>
      </c>
      <c r="I9" s="96">
        <v>4</v>
      </c>
      <c r="K9" s="38">
        <v>7</v>
      </c>
      <c r="L9" s="101">
        <v>256.10000000000002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3.7037037037037035E-2</v>
      </c>
      <c r="E10" s="63" t="s">
        <v>66</v>
      </c>
      <c r="F10" s="60" t="s">
        <v>22</v>
      </c>
      <c r="G10" s="47">
        <v>25</v>
      </c>
      <c r="H10" s="135">
        <f>IF(B$17=0,0,G10/B$17)</f>
        <v>0.14204545454545456</v>
      </c>
      <c r="I10" s="96">
        <v>3</v>
      </c>
      <c r="K10" s="38">
        <v>8</v>
      </c>
      <c r="L10" s="101">
        <v>285.20000000000005</v>
      </c>
      <c r="N10" s="116" t="s">
        <v>165</v>
      </c>
      <c r="O10" s="126">
        <f>IF(P10=0,0,Q10/P10)</f>
        <v>12.881249999999998</v>
      </c>
      <c r="P10" s="120">
        <v>16</v>
      </c>
      <c r="Q10" s="108">
        <v>206.09999999999997</v>
      </c>
    </row>
    <row r="11" spans="1:17" x14ac:dyDescent="0.4">
      <c r="A11" s="56" t="s">
        <v>140</v>
      </c>
      <c r="B11" s="48">
        <v>12</v>
      </c>
      <c r="C11" s="40">
        <f>IF(B$2=0,0,B11/B$2)</f>
        <v>0.22222222222222221</v>
      </c>
      <c r="E11" s="63" t="s">
        <v>87</v>
      </c>
      <c r="F11" s="60" t="s">
        <v>42</v>
      </c>
      <c r="G11" s="47">
        <v>16</v>
      </c>
      <c r="H11" s="135">
        <f>IF(B$17=0,0,G11/B$17)</f>
        <v>9.0909090909090912E-2</v>
      </c>
      <c r="I11" s="96">
        <v>2</v>
      </c>
      <c r="K11" s="38">
        <v>9</v>
      </c>
      <c r="L11" s="101">
        <v>277.90000000000003</v>
      </c>
      <c r="N11" s="117" t="s">
        <v>166</v>
      </c>
      <c r="O11" s="127">
        <f>IF(P11=0,0,Q11/P11)</f>
        <v>21.46875</v>
      </c>
      <c r="P11" s="121">
        <v>16</v>
      </c>
      <c r="Q11" s="109">
        <v>343.5</v>
      </c>
    </row>
    <row r="12" spans="1:17" x14ac:dyDescent="0.4">
      <c r="A12" s="57" t="s">
        <v>160</v>
      </c>
      <c r="B12" s="49">
        <v>10</v>
      </c>
      <c r="C12" s="42">
        <f>IF(B$2=0,0,B12/B$2)</f>
        <v>0.18518518518518517</v>
      </c>
      <c r="E12" s="63" t="s">
        <v>71</v>
      </c>
      <c r="F12" s="60" t="s">
        <v>26</v>
      </c>
      <c r="G12" s="47">
        <v>15</v>
      </c>
      <c r="H12" s="135">
        <f>IF(B$17=0,0,G12/B$17)</f>
        <v>8.5227272727272721E-2</v>
      </c>
      <c r="I12" s="96">
        <v>6</v>
      </c>
      <c r="K12" s="38">
        <v>10</v>
      </c>
      <c r="L12" s="101">
        <v>246.20000000000005</v>
      </c>
      <c r="N12" s="118" t="s">
        <v>167</v>
      </c>
      <c r="O12" s="128">
        <f>IF(P12=0,0,Q12/P12)</f>
        <v>34.845454545454551</v>
      </c>
      <c r="P12" s="122">
        <v>22</v>
      </c>
      <c r="Q12" s="110">
        <v>766.60000000000014</v>
      </c>
    </row>
    <row r="13" spans="1:17" x14ac:dyDescent="0.4">
      <c r="A13" s="58" t="s">
        <v>122</v>
      </c>
      <c r="B13" s="50">
        <v>141</v>
      </c>
      <c r="C13" s="44">
        <f>IF(B$3=0,0,B13/B$3)</f>
        <v>0.32867132867132864</v>
      </c>
      <c r="E13" s="63" t="s">
        <v>72</v>
      </c>
      <c r="F13" s="60" t="s">
        <v>27</v>
      </c>
      <c r="G13" s="47">
        <v>10</v>
      </c>
      <c r="H13" s="135">
        <f>IF(B$17=0,0,G13/B$17)</f>
        <v>5.6818181818181816E-2</v>
      </c>
      <c r="I13" s="96">
        <v>6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105</v>
      </c>
      <c r="C14" s="39">
        <f>IF(B$3=0,0,B14/B$3)</f>
        <v>0.24475524475524477</v>
      </c>
      <c r="E14" s="63" t="s">
        <v>84</v>
      </c>
      <c r="F14" s="60" t="s">
        <v>39</v>
      </c>
      <c r="G14" s="47">
        <v>10</v>
      </c>
      <c r="H14" s="135">
        <f>IF(B$17=0,0,G14/B$17)</f>
        <v>5.6818181818181816E-2</v>
      </c>
      <c r="I14" s="96">
        <v>3</v>
      </c>
      <c r="K14" s="38">
        <v>12</v>
      </c>
      <c r="L14" s="101">
        <v>371.70000000000005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90</v>
      </c>
      <c r="C15" s="37">
        <f>IF(B$13=0,0,B15/B$13)</f>
        <v>0.63829787234042556</v>
      </c>
      <c r="E15" s="63" t="s">
        <v>82</v>
      </c>
      <c r="F15" s="60" t="s">
        <v>37</v>
      </c>
      <c r="G15" s="47">
        <v>4</v>
      </c>
      <c r="H15" s="135">
        <f>IF(B$17=0,0,G15/B$17)</f>
        <v>2.2727272727272728E-2</v>
      </c>
      <c r="I15" s="96">
        <v>5</v>
      </c>
      <c r="K15" s="38">
        <v>13</v>
      </c>
      <c r="L15" s="101">
        <v>418.90000000000003</v>
      </c>
      <c r="N15" s="116" t="s">
        <v>186</v>
      </c>
      <c r="O15" s="126">
        <f>IF(P15=0,0,Q15/P15)</f>
        <v>69.2</v>
      </c>
      <c r="P15" s="120">
        <v>1</v>
      </c>
      <c r="Q15" s="108">
        <v>69.2</v>
      </c>
    </row>
    <row r="16" spans="1:17" x14ac:dyDescent="0.4">
      <c r="A16" s="54" t="s">
        <v>125</v>
      </c>
      <c r="B16" s="46">
        <v>59</v>
      </c>
      <c r="C16" s="37">
        <f>IF(B$14=0,0,B16/B$14)</f>
        <v>0.56190476190476191</v>
      </c>
      <c r="E16" s="63" t="s">
        <v>79</v>
      </c>
      <c r="F16" s="60" t="s">
        <v>34</v>
      </c>
      <c r="G16" s="47">
        <v>3</v>
      </c>
      <c r="H16" s="135">
        <f>IF(B$17=0,0,G16/B$17)</f>
        <v>1.7045454545454544E-2</v>
      </c>
      <c r="I16" s="96">
        <v>5</v>
      </c>
      <c r="K16" s="38">
        <v>14</v>
      </c>
      <c r="L16" s="101">
        <v>473.50000000000006</v>
      </c>
      <c r="N16" s="117" t="s">
        <v>187</v>
      </c>
      <c r="O16" s="127">
        <f>IF(P16=0,0,Q16/P16)</f>
        <v>56.8</v>
      </c>
      <c r="P16" s="121">
        <v>4</v>
      </c>
      <c r="Q16" s="109">
        <v>227.2</v>
      </c>
    </row>
    <row r="17" spans="1:17" x14ac:dyDescent="0.4">
      <c r="A17" s="54" t="s">
        <v>10</v>
      </c>
      <c r="B17" s="46">
        <f>B19+B18</f>
        <v>176</v>
      </c>
      <c r="C17" s="37">
        <f>IF(B$3=0,0,B17/B$3)</f>
        <v>0.41025641025641024</v>
      </c>
      <c r="E17" s="63" t="s">
        <v>92</v>
      </c>
      <c r="F17" s="60" t="s">
        <v>47</v>
      </c>
      <c r="G17" s="47">
        <v>3</v>
      </c>
      <c r="H17" s="135">
        <f>IF(B$17=0,0,G17/B$17)</f>
        <v>1.7045454545454544E-2</v>
      </c>
      <c r="I17" s="96">
        <v>5</v>
      </c>
      <c r="K17" s="38">
        <v>15</v>
      </c>
      <c r="L17" s="101">
        <v>481.50000000000006</v>
      </c>
      <c r="N17" s="117" t="s">
        <v>129</v>
      </c>
      <c r="O17" s="127">
        <f>IF(P17=0,0,Q17/P17)</f>
        <v>54.900000000000006</v>
      </c>
      <c r="P17" s="121">
        <v>13</v>
      </c>
      <c r="Q17" s="109">
        <v>713.7</v>
      </c>
    </row>
    <row r="18" spans="1:17" x14ac:dyDescent="0.4">
      <c r="A18" s="55" t="s">
        <v>12</v>
      </c>
      <c r="B18" s="47">
        <v>69</v>
      </c>
      <c r="C18" s="39">
        <f>IF(B$17=0,0,B18/B$17)</f>
        <v>0.39204545454545453</v>
      </c>
      <c r="E18" s="63" t="s">
        <v>74</v>
      </c>
      <c r="F18" s="60" t="s">
        <v>29</v>
      </c>
      <c r="G18" s="47">
        <v>2</v>
      </c>
      <c r="H18" s="135">
        <f>IF(B$17=0,0,G18/B$17)</f>
        <v>1.1363636363636364E-2</v>
      </c>
      <c r="I18" s="96">
        <v>2</v>
      </c>
      <c r="K18" s="38">
        <v>16</v>
      </c>
      <c r="L18" s="101">
        <v>425.50000000000006</v>
      </c>
      <c r="N18" s="117" t="s">
        <v>178</v>
      </c>
      <c r="O18" s="127">
        <f>IF(P18=0,0,Q18/P18)</f>
        <v>48.9375</v>
      </c>
      <c r="P18" s="121">
        <v>8</v>
      </c>
      <c r="Q18" s="109">
        <v>391.5</v>
      </c>
    </row>
    <row r="19" spans="1:17" x14ac:dyDescent="0.4">
      <c r="A19" s="55" t="s">
        <v>11</v>
      </c>
      <c r="B19" s="47">
        <v>107</v>
      </c>
      <c r="C19" s="39">
        <f>IF(B$17=0,0,B19/B$17)</f>
        <v>0.60795454545454541</v>
      </c>
      <c r="E19" s="63" t="s">
        <v>76</v>
      </c>
      <c r="F19" s="60" t="s">
        <v>31</v>
      </c>
      <c r="G19" s="47">
        <v>1</v>
      </c>
      <c r="H19" s="135">
        <f>IF(B$17=0,0,G19/B$17)</f>
        <v>5.681818181818182E-3</v>
      </c>
      <c r="I19" s="96">
        <v>5</v>
      </c>
      <c r="K19" s="38">
        <v>17</v>
      </c>
      <c r="L19" s="101">
        <v>427.40000000000003</v>
      </c>
      <c r="N19" s="117" t="s">
        <v>174</v>
      </c>
      <c r="O19" s="127">
        <f>IF(P19=0,0,Q19/P19)</f>
        <v>47.655555555555551</v>
      </c>
      <c r="P19" s="121">
        <v>9</v>
      </c>
      <c r="Q19" s="109">
        <v>428.9</v>
      </c>
    </row>
    <row r="20" spans="1:17" x14ac:dyDescent="0.4">
      <c r="A20" s="55" t="s">
        <v>13</v>
      </c>
      <c r="B20" s="47">
        <v>61</v>
      </c>
      <c r="C20" s="39">
        <f>IF(B$3=0,0,B20/B$3)</f>
        <v>0.14219114219114218</v>
      </c>
      <c r="E20" s="63" t="s">
        <v>78</v>
      </c>
      <c r="F20" s="60" t="s">
        <v>33</v>
      </c>
      <c r="G20" s="47">
        <v>1</v>
      </c>
      <c r="H20" s="135">
        <f>IF(B$17=0,0,G20/B$17)</f>
        <v>5.681818181818182E-3</v>
      </c>
      <c r="I20" s="96">
        <v>2</v>
      </c>
      <c r="K20" s="38">
        <v>18</v>
      </c>
      <c r="L20" s="101">
        <v>429.3</v>
      </c>
      <c r="N20" s="117" t="s">
        <v>173</v>
      </c>
      <c r="O20" s="127">
        <f>IF(P20=0,0,Q20/P20)</f>
        <v>46.736363636363642</v>
      </c>
      <c r="P20" s="121">
        <v>11</v>
      </c>
      <c r="Q20" s="109">
        <v>514.1</v>
      </c>
    </row>
    <row r="21" spans="1:17" x14ac:dyDescent="0.4">
      <c r="A21" s="55" t="s">
        <v>194</v>
      </c>
      <c r="B21" s="47">
        <v>7</v>
      </c>
      <c r="C21" s="137">
        <v>0</v>
      </c>
      <c r="E21" s="63" t="s">
        <v>80</v>
      </c>
      <c r="F21" s="60" t="s">
        <v>35</v>
      </c>
      <c r="G21" s="47">
        <v>1</v>
      </c>
      <c r="H21" s="135">
        <f>IF(B$17=0,0,G21/B$17)</f>
        <v>5.681818181818182E-3</v>
      </c>
      <c r="I21" s="96">
        <v>5</v>
      </c>
      <c r="K21" s="38">
        <v>19</v>
      </c>
      <c r="L21" s="101">
        <v>405.40000000000003</v>
      </c>
      <c r="N21" s="117" t="s">
        <v>172</v>
      </c>
      <c r="O21" s="127">
        <f>IF(P21=0,0,Q21/P21)</f>
        <v>29.414285714285711</v>
      </c>
      <c r="P21" s="121">
        <v>21</v>
      </c>
      <c r="Q21" s="109">
        <v>617.69999999999993</v>
      </c>
    </row>
    <row r="22" spans="1:17" x14ac:dyDescent="0.4">
      <c r="A22" s="55" t="s">
        <v>195</v>
      </c>
      <c r="B22" s="47">
        <v>27</v>
      </c>
      <c r="C22" s="137">
        <v>1</v>
      </c>
      <c r="E22" s="63" t="s">
        <v>88</v>
      </c>
      <c r="F22" s="60" t="s">
        <v>43</v>
      </c>
      <c r="G22" s="47">
        <v>1</v>
      </c>
      <c r="H22" s="135">
        <f>IF(B$17=0,0,G22/B$17)</f>
        <v>5.681818181818182E-3</v>
      </c>
      <c r="I22" s="96">
        <v>1</v>
      </c>
      <c r="K22" s="38">
        <v>20</v>
      </c>
      <c r="L22" s="101">
        <v>469.6</v>
      </c>
      <c r="N22" s="117" t="s">
        <v>128</v>
      </c>
      <c r="O22" s="127">
        <f>IF(P22=0,0,Q22/P22)</f>
        <v>24.056097560975616</v>
      </c>
      <c r="P22" s="121">
        <v>41</v>
      </c>
      <c r="Q22" s="109">
        <v>986.30000000000018</v>
      </c>
    </row>
    <row r="23" spans="1:17" x14ac:dyDescent="0.4">
      <c r="A23" s="55" t="s">
        <v>5</v>
      </c>
      <c r="B23" s="51">
        <f>IF(B$17=0,0,C23/B$17)</f>
        <v>9131.818181818182</v>
      </c>
      <c r="C23" s="41">
        <v>1607200</v>
      </c>
      <c r="E23" s="63" t="s">
        <v>91</v>
      </c>
      <c r="F23" s="60" t="s">
        <v>46</v>
      </c>
      <c r="G23" s="47">
        <v>1</v>
      </c>
      <c r="H23" s="135">
        <f>IF(B$17=0,0,G23/B$17)</f>
        <v>5.681818181818182E-3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-7873.7704918032787</v>
      </c>
      <c r="C24" s="45">
        <v>-480300</v>
      </c>
      <c r="E24" s="63" t="s">
        <v>96</v>
      </c>
      <c r="F24" s="60" t="s">
        <v>51</v>
      </c>
      <c r="G24" s="47">
        <v>1</v>
      </c>
      <c r="H24" s="135">
        <f>IF(B$17=0,0,G24/B$17)</f>
        <v>5.681818181818182E-3</v>
      </c>
      <c r="I24" s="96">
        <v>1</v>
      </c>
      <c r="K24" s="38">
        <v>22</v>
      </c>
      <c r="L24" s="101">
        <v>519.20000000000005</v>
      </c>
    </row>
    <row r="25" spans="1:17" x14ac:dyDescent="0.4">
      <c r="A25" s="92" t="s">
        <v>142</v>
      </c>
      <c r="B25" s="142">
        <v>7</v>
      </c>
      <c r="C25" s="143"/>
      <c r="E25" s="63" t="s">
        <v>181</v>
      </c>
      <c r="F25" s="60" t="s">
        <v>184</v>
      </c>
      <c r="G25" s="47">
        <v>1</v>
      </c>
      <c r="H25" s="135">
        <f>IF(B$17=0,0,G25/B$17)</f>
        <v>5.681818181818182E-3</v>
      </c>
      <c r="I25" s="96">
        <v>4</v>
      </c>
      <c r="K25" s="38">
        <v>23</v>
      </c>
      <c r="L25" s="101">
        <v>555.90000000000009</v>
      </c>
    </row>
    <row r="26" spans="1:17" x14ac:dyDescent="0.4">
      <c r="A26" s="58" t="s">
        <v>152</v>
      </c>
      <c r="B26" s="140">
        <v>105900</v>
      </c>
      <c r="C26" s="141"/>
      <c r="E26" s="63" t="s">
        <v>75</v>
      </c>
      <c r="F26" s="60" t="s">
        <v>30</v>
      </c>
      <c r="G26" s="47">
        <v>0</v>
      </c>
      <c r="H26" s="135">
        <f>IF(B$17=0,0,G26/B$17)</f>
        <v>0</v>
      </c>
      <c r="I26" s="96">
        <v>3</v>
      </c>
      <c r="K26" s="38">
        <v>24</v>
      </c>
      <c r="L26" s="101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77</v>
      </c>
      <c r="F27" s="60" t="s">
        <v>32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81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83</v>
      </c>
      <c r="F29" s="60" t="s">
        <v>38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85</v>
      </c>
      <c r="F30" s="60" t="s">
        <v>40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655.6</v>
      </c>
    </row>
    <row r="31" spans="1:17" x14ac:dyDescent="0.4">
      <c r="E31" s="63" t="s">
        <v>86</v>
      </c>
      <c r="F31" s="60" t="s">
        <v>41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89</v>
      </c>
      <c r="F32" s="60" t="s">
        <v>44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733.6</v>
      </c>
    </row>
    <row r="33" spans="5:12" x14ac:dyDescent="0.4">
      <c r="E33" s="63" t="s">
        <v>93</v>
      </c>
      <c r="F33" s="60" t="s">
        <v>48</v>
      </c>
      <c r="G33" s="47">
        <v>0</v>
      </c>
      <c r="H33" s="135">
        <f>IF(B$17=0,0,G33/B$17)</f>
        <v>0</v>
      </c>
      <c r="I33" s="96">
        <v>4</v>
      </c>
      <c r="K33" s="38">
        <v>31</v>
      </c>
      <c r="L33" s="101">
        <v>796.80000000000007</v>
      </c>
    </row>
    <row r="34" spans="5:12" x14ac:dyDescent="0.4">
      <c r="E34" s="63" t="s">
        <v>94</v>
      </c>
      <c r="F34" s="60" t="s">
        <v>49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1289.8999999999999</v>
      </c>
    </row>
    <row r="52" spans="5:12" x14ac:dyDescent="0.4">
      <c r="K52" s="38">
        <v>50</v>
      </c>
      <c r="L52" s="101">
        <v>1288.5999999999999</v>
      </c>
    </row>
    <row r="53" spans="5:12" x14ac:dyDescent="0.4">
      <c r="K53" s="38">
        <v>51</v>
      </c>
      <c r="L53" s="101">
        <v>1284.5</v>
      </c>
    </row>
    <row r="54" spans="5:12" x14ac:dyDescent="0.4">
      <c r="K54" s="38">
        <v>52</v>
      </c>
      <c r="L54" s="101">
        <v>1318.2</v>
      </c>
    </row>
    <row r="55" spans="5:12" x14ac:dyDescent="0.4">
      <c r="K55" s="38">
        <v>53</v>
      </c>
      <c r="L55" s="101">
        <v>1374.2</v>
      </c>
    </row>
    <row r="56" spans="5:12" x14ac:dyDescent="0.4">
      <c r="K56" s="38">
        <v>54</v>
      </c>
      <c r="L56" s="101">
        <v>1316.2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0DD14-159D-4074-839E-388587269B0E}">
  <sheetPr codeName="Sheet9"/>
  <dimension ref="A1:Q5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55</v>
      </c>
      <c r="C2" s="149"/>
      <c r="E2" s="62" t="s">
        <v>67</v>
      </c>
      <c r="F2" s="59" t="s">
        <v>23</v>
      </c>
      <c r="G2" s="46">
        <v>84</v>
      </c>
      <c r="H2" s="134">
        <f>IF(B$17=0,0,G2/B$17)</f>
        <v>0.63636363636363635</v>
      </c>
      <c r="I2" s="95">
        <v>8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718.18181818181813</v>
      </c>
      <c r="P2" s="120">
        <v>55</v>
      </c>
      <c r="Q2" s="104">
        <v>39500</v>
      </c>
    </row>
    <row r="3" spans="1:17" x14ac:dyDescent="0.4">
      <c r="A3" s="55" t="s">
        <v>8</v>
      </c>
      <c r="B3" s="150">
        <v>464</v>
      </c>
      <c r="C3" s="151"/>
      <c r="E3" s="63" t="s">
        <v>65</v>
      </c>
      <c r="F3" s="60" t="s">
        <v>21</v>
      </c>
      <c r="G3" s="47">
        <v>75</v>
      </c>
      <c r="H3" s="135">
        <f>IF(B$17=0,0,G3/B$17)</f>
        <v>0.56818181818181823</v>
      </c>
      <c r="I3" s="96">
        <v>3</v>
      </c>
      <c r="K3" s="38">
        <v>1</v>
      </c>
      <c r="L3" s="101">
        <v>45.5</v>
      </c>
      <c r="N3" s="117" t="s">
        <v>133</v>
      </c>
      <c r="O3" s="124">
        <f t="shared" si="0"/>
        <v>-1235.1851851851852</v>
      </c>
      <c r="P3" s="121">
        <v>54</v>
      </c>
      <c r="Q3" s="105">
        <v>-66700</v>
      </c>
    </row>
    <row r="4" spans="1:17" x14ac:dyDescent="0.4">
      <c r="A4" s="55" t="s">
        <v>6</v>
      </c>
      <c r="B4" s="152">
        <v>-12.000000000000043</v>
      </c>
      <c r="C4" s="153"/>
      <c r="E4" s="63" t="s">
        <v>73</v>
      </c>
      <c r="F4" s="60" t="s">
        <v>28</v>
      </c>
      <c r="G4" s="47">
        <v>60</v>
      </c>
      <c r="H4" s="135">
        <f>IF(B$17=0,0,G4/B$17)</f>
        <v>0.45454545454545453</v>
      </c>
      <c r="I4" s="96">
        <v>10</v>
      </c>
      <c r="K4" s="38">
        <v>2</v>
      </c>
      <c r="L4" s="101">
        <v>6.2999999999999972</v>
      </c>
      <c r="N4" s="117" t="s">
        <v>134</v>
      </c>
      <c r="O4" s="124">
        <f t="shared" si="0"/>
        <v>-971.15384615384619</v>
      </c>
      <c r="P4" s="121">
        <v>52</v>
      </c>
      <c r="Q4" s="105">
        <v>-50500</v>
      </c>
    </row>
    <row r="5" spans="1:17" x14ac:dyDescent="0.4">
      <c r="A5" s="55" t="s">
        <v>7</v>
      </c>
      <c r="B5" s="154">
        <f>IF(B$2=0,0,B$4/B$2)</f>
        <v>-0.21818181818181895</v>
      </c>
      <c r="C5" s="155"/>
      <c r="E5" s="63" t="s">
        <v>182</v>
      </c>
      <c r="F5" s="60" t="s">
        <v>183</v>
      </c>
      <c r="G5" s="47">
        <v>54</v>
      </c>
      <c r="H5" s="135">
        <f>IF(B$17=0,0,G5/B$17)</f>
        <v>0.40909090909090912</v>
      </c>
      <c r="I5" s="96">
        <v>3</v>
      </c>
      <c r="K5" s="38">
        <v>3</v>
      </c>
      <c r="L5" s="101">
        <v>-47.300000000000004</v>
      </c>
      <c r="N5" s="117" t="s">
        <v>135</v>
      </c>
      <c r="O5" s="124">
        <f t="shared" si="0"/>
        <v>345.6521739130435</v>
      </c>
      <c r="P5" s="121">
        <v>46</v>
      </c>
      <c r="Q5" s="105">
        <v>15900</v>
      </c>
    </row>
    <row r="6" spans="1:17" x14ac:dyDescent="0.4">
      <c r="A6" s="55" t="s">
        <v>1</v>
      </c>
      <c r="B6" s="144">
        <f>IF(B$2=0,0,(B$7*1+B$8*2+B$9*3)/B$2)</f>
        <v>2.0545454545454547</v>
      </c>
      <c r="C6" s="145"/>
      <c r="E6" s="63" t="s">
        <v>68</v>
      </c>
      <c r="F6" s="60" t="s">
        <v>24</v>
      </c>
      <c r="G6" s="47">
        <v>47</v>
      </c>
      <c r="H6" s="135">
        <f>IF(B$17=0,0,G6/B$17)</f>
        <v>0.35606060606060608</v>
      </c>
      <c r="I6" s="96">
        <v>3</v>
      </c>
      <c r="K6" s="38">
        <v>4</v>
      </c>
      <c r="L6" s="101">
        <v>13.599999999999994</v>
      </c>
      <c r="N6" s="117" t="s">
        <v>136</v>
      </c>
      <c r="O6" s="124">
        <f t="shared" si="0"/>
        <v>1361.3636363636363</v>
      </c>
      <c r="P6" s="121">
        <v>44</v>
      </c>
      <c r="Q6" s="105">
        <v>59900</v>
      </c>
    </row>
    <row r="7" spans="1:17" x14ac:dyDescent="0.4">
      <c r="A7" s="55" t="s">
        <v>2</v>
      </c>
      <c r="B7" s="47">
        <v>15</v>
      </c>
      <c r="C7" s="39">
        <f>IF(B$2=0,0,B7/B$2)</f>
        <v>0.27272727272727271</v>
      </c>
      <c r="E7" s="63" t="s">
        <v>69</v>
      </c>
      <c r="F7" s="60" t="s">
        <v>12</v>
      </c>
      <c r="G7" s="47">
        <v>46</v>
      </c>
      <c r="H7" s="135">
        <f>IF(B$17=0,0,G7/B$17)</f>
        <v>0.34848484848484851</v>
      </c>
      <c r="I7" s="96">
        <v>4</v>
      </c>
      <c r="K7" s="38">
        <v>5</v>
      </c>
      <c r="L7" s="101">
        <v>-16.600000000000005</v>
      </c>
      <c r="N7" s="118" t="s">
        <v>137</v>
      </c>
      <c r="O7" s="125">
        <f t="shared" si="0"/>
        <v>1217.0731707317073</v>
      </c>
      <c r="P7" s="122">
        <v>41</v>
      </c>
      <c r="Q7" s="106">
        <v>49900</v>
      </c>
    </row>
    <row r="8" spans="1:17" x14ac:dyDescent="0.4">
      <c r="A8" s="55" t="s">
        <v>3</v>
      </c>
      <c r="B8" s="47">
        <v>22</v>
      </c>
      <c r="C8" s="39">
        <f>IF(B$2=0,0,B8/B$2)</f>
        <v>0.4</v>
      </c>
      <c r="E8" s="63" t="s">
        <v>70</v>
      </c>
      <c r="F8" s="60" t="s">
        <v>25</v>
      </c>
      <c r="G8" s="47">
        <v>29</v>
      </c>
      <c r="H8" s="135">
        <f>IF(B$17=0,0,G8/B$17)</f>
        <v>0.2196969696969697</v>
      </c>
      <c r="I8" s="96">
        <v>3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18</v>
      </c>
      <c r="C9" s="40">
        <f t="shared" ref="C9" si="1">IF(B$2=0,0,B9/B$2)</f>
        <v>0.32727272727272727</v>
      </c>
      <c r="E9" s="63" t="s">
        <v>71</v>
      </c>
      <c r="F9" s="60" t="s">
        <v>26</v>
      </c>
      <c r="G9" s="47">
        <v>19</v>
      </c>
      <c r="H9" s="135">
        <f>IF(B$17=0,0,G9/B$17)</f>
        <v>0.14393939393939395</v>
      </c>
      <c r="I9" s="96">
        <v>2</v>
      </c>
      <c r="K9" s="38">
        <v>7</v>
      </c>
      <c r="L9" s="101">
        <v>-45.300000000000004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0.12727272727272726</v>
      </c>
      <c r="E10" s="63" t="s">
        <v>66</v>
      </c>
      <c r="F10" s="60" t="s">
        <v>22</v>
      </c>
      <c r="G10" s="47">
        <v>18</v>
      </c>
      <c r="H10" s="135">
        <f>IF(B$17=0,0,G10/B$17)</f>
        <v>0.13636363636363635</v>
      </c>
      <c r="I10" s="96">
        <v>5</v>
      </c>
      <c r="K10" s="38">
        <v>8</v>
      </c>
      <c r="L10" s="101">
        <v>-49.6</v>
      </c>
      <c r="N10" s="116" t="s">
        <v>165</v>
      </c>
      <c r="O10" s="126">
        <f>IF(P10=0,0,Q10/P10)</f>
        <v>-2.6275862068965532</v>
      </c>
      <c r="P10" s="120">
        <v>29</v>
      </c>
      <c r="Q10" s="108">
        <v>-76.200000000000045</v>
      </c>
    </row>
    <row r="11" spans="1:17" x14ac:dyDescent="0.4">
      <c r="A11" s="56" t="s">
        <v>140</v>
      </c>
      <c r="B11" s="48">
        <v>5</v>
      </c>
      <c r="C11" s="40">
        <f>IF(B$2=0,0,B11/B$2)</f>
        <v>9.0909090909090912E-2</v>
      </c>
      <c r="E11" s="63" t="s">
        <v>90</v>
      </c>
      <c r="F11" s="60" t="s">
        <v>45</v>
      </c>
      <c r="G11" s="47">
        <v>14</v>
      </c>
      <c r="H11" s="135">
        <f>IF(B$17=0,0,G11/B$17)</f>
        <v>0.10606060606060606</v>
      </c>
      <c r="I11" s="96">
        <v>9</v>
      </c>
      <c r="K11" s="38">
        <v>9</v>
      </c>
      <c r="L11" s="101">
        <v>-79.5</v>
      </c>
      <c r="N11" s="117" t="s">
        <v>166</v>
      </c>
      <c r="O11" s="127">
        <f>IF(P11=0,0,Q11/P11)</f>
        <v>-7.26</v>
      </c>
      <c r="P11" s="121">
        <v>15</v>
      </c>
      <c r="Q11" s="109">
        <v>-108.89999999999999</v>
      </c>
    </row>
    <row r="12" spans="1:17" x14ac:dyDescent="0.4">
      <c r="A12" s="57" t="s">
        <v>160</v>
      </c>
      <c r="B12" s="49">
        <v>4</v>
      </c>
      <c r="C12" s="42">
        <f>IF(B$2=0,0,B12/B$2)</f>
        <v>7.2727272727272724E-2</v>
      </c>
      <c r="E12" s="63" t="s">
        <v>87</v>
      </c>
      <c r="F12" s="60" t="s">
        <v>42</v>
      </c>
      <c r="G12" s="47">
        <v>9</v>
      </c>
      <c r="H12" s="135">
        <f>IF(B$17=0,0,G12/B$17)</f>
        <v>6.8181818181818177E-2</v>
      </c>
      <c r="I12" s="96">
        <v>4</v>
      </c>
      <c r="K12" s="38">
        <v>10</v>
      </c>
      <c r="L12" s="101">
        <v>-80.900000000000006</v>
      </c>
      <c r="N12" s="118" t="s">
        <v>167</v>
      </c>
      <c r="O12" s="128">
        <f>IF(P12=0,0,Q12/P12)</f>
        <v>15.736363636363636</v>
      </c>
      <c r="P12" s="122">
        <v>11</v>
      </c>
      <c r="Q12" s="110">
        <v>173.1</v>
      </c>
    </row>
    <row r="13" spans="1:17" x14ac:dyDescent="0.4">
      <c r="A13" s="58" t="s">
        <v>122</v>
      </c>
      <c r="B13" s="50">
        <v>126</v>
      </c>
      <c r="C13" s="44">
        <f>IF(B$3=0,0,B13/B$3)</f>
        <v>0.27155172413793105</v>
      </c>
      <c r="E13" s="63" t="s">
        <v>82</v>
      </c>
      <c r="F13" s="60" t="s">
        <v>37</v>
      </c>
      <c r="G13" s="47">
        <v>6</v>
      </c>
      <c r="H13" s="135">
        <f>IF(B$17=0,0,G13/B$17)</f>
        <v>4.5454545454545456E-2</v>
      </c>
      <c r="I13" s="96">
        <v>3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83</v>
      </c>
      <c r="C14" s="39">
        <f>IF(B$3=0,0,B14/B$3)</f>
        <v>0.1788793103448276</v>
      </c>
      <c r="E14" s="63" t="s">
        <v>72</v>
      </c>
      <c r="F14" s="60" t="s">
        <v>27</v>
      </c>
      <c r="G14" s="47">
        <v>5</v>
      </c>
      <c r="H14" s="135">
        <f>IF(B$17=0,0,G14/B$17)</f>
        <v>3.787878787878788E-2</v>
      </c>
      <c r="I14" s="96">
        <v>7</v>
      </c>
      <c r="K14" s="38">
        <v>12</v>
      </c>
      <c r="L14" s="101">
        <v>-56.500000000000007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80</v>
      </c>
      <c r="C15" s="37">
        <f>IF(B$13=0,0,B15/B$13)</f>
        <v>0.63492063492063489</v>
      </c>
      <c r="E15" s="63" t="s">
        <v>92</v>
      </c>
      <c r="F15" s="60" t="s">
        <v>47</v>
      </c>
      <c r="G15" s="47">
        <v>5</v>
      </c>
      <c r="H15" s="135">
        <f>IF(B$17=0,0,G15/B$17)</f>
        <v>3.787878787878788E-2</v>
      </c>
      <c r="I15" s="96">
        <v>2</v>
      </c>
      <c r="K15" s="38">
        <v>13</v>
      </c>
      <c r="L15" s="101">
        <v>-81.900000000000006</v>
      </c>
      <c r="N15" s="116" t="s">
        <v>187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125</v>
      </c>
      <c r="B16" s="46">
        <v>23</v>
      </c>
      <c r="C16" s="37">
        <f>IF(B$14=0,0,B16/B$14)</f>
        <v>0.27710843373493976</v>
      </c>
      <c r="E16" s="63" t="s">
        <v>84</v>
      </c>
      <c r="F16" s="60" t="s">
        <v>39</v>
      </c>
      <c r="G16" s="47">
        <v>4</v>
      </c>
      <c r="H16" s="135">
        <f>IF(B$17=0,0,G16/B$17)</f>
        <v>3.0303030303030304E-2</v>
      </c>
      <c r="I16" s="96">
        <v>8</v>
      </c>
      <c r="K16" s="38">
        <v>14</v>
      </c>
      <c r="L16" s="101">
        <v>-25.600000000000009</v>
      </c>
      <c r="N16" s="117" t="s">
        <v>129</v>
      </c>
      <c r="O16" s="127">
        <f>IF(P16=0,0,Q16/P16)</f>
        <v>22.99285714285714</v>
      </c>
      <c r="P16" s="121">
        <v>14</v>
      </c>
      <c r="Q16" s="109">
        <v>321.89999999999998</v>
      </c>
    </row>
    <row r="17" spans="1:17" x14ac:dyDescent="0.4">
      <c r="A17" s="54" t="s">
        <v>10</v>
      </c>
      <c r="B17" s="46">
        <f>B19+B18</f>
        <v>132</v>
      </c>
      <c r="C17" s="37">
        <f>IF(B$3=0,0,B17/B$3)</f>
        <v>0.28448275862068967</v>
      </c>
      <c r="E17" s="63" t="s">
        <v>181</v>
      </c>
      <c r="F17" s="60" t="s">
        <v>184</v>
      </c>
      <c r="G17" s="47">
        <v>3</v>
      </c>
      <c r="H17" s="135">
        <f>IF(B$17=0,0,G17/B$17)</f>
        <v>2.2727272727272728E-2</v>
      </c>
      <c r="I17" s="96">
        <v>2</v>
      </c>
      <c r="K17" s="38">
        <v>15</v>
      </c>
      <c r="L17" s="101">
        <v>47.999999999999986</v>
      </c>
      <c r="N17" s="117" t="s">
        <v>172</v>
      </c>
      <c r="O17" s="127">
        <f>IF(P17=0,0,Q17/P17)</f>
        <v>21.681250000000009</v>
      </c>
      <c r="P17" s="121">
        <v>16</v>
      </c>
      <c r="Q17" s="109">
        <v>346.90000000000015</v>
      </c>
    </row>
    <row r="18" spans="1:17" x14ac:dyDescent="0.4">
      <c r="A18" s="55" t="s">
        <v>12</v>
      </c>
      <c r="B18" s="47">
        <v>54</v>
      </c>
      <c r="C18" s="39">
        <f>IF(B$17=0,0,B18/B$17)</f>
        <v>0.40909090909090912</v>
      </c>
      <c r="E18" s="63" t="s">
        <v>75</v>
      </c>
      <c r="F18" s="60" t="s">
        <v>30</v>
      </c>
      <c r="G18" s="47">
        <v>2</v>
      </c>
      <c r="H18" s="135">
        <f>IF(B$17=0,0,G18/B$17)</f>
        <v>1.5151515151515152E-2</v>
      </c>
      <c r="I18" s="96">
        <v>1</v>
      </c>
      <c r="K18" s="38">
        <v>16</v>
      </c>
      <c r="L18" s="101">
        <v>41.699999999999989</v>
      </c>
      <c r="N18" s="117" t="s">
        <v>174</v>
      </c>
      <c r="O18" s="127">
        <f>IF(P18=0,0,Q18/P18)</f>
        <v>1.9333333333333325</v>
      </c>
      <c r="P18" s="121">
        <v>12</v>
      </c>
      <c r="Q18" s="109">
        <v>23.199999999999989</v>
      </c>
    </row>
    <row r="19" spans="1:17" x14ac:dyDescent="0.4">
      <c r="A19" s="55" t="s">
        <v>11</v>
      </c>
      <c r="B19" s="47">
        <v>78</v>
      </c>
      <c r="C19" s="39">
        <f>IF(B$17=0,0,B19/B$17)</f>
        <v>0.59090909090909094</v>
      </c>
      <c r="E19" s="63" t="s">
        <v>76</v>
      </c>
      <c r="F19" s="60" t="s">
        <v>31</v>
      </c>
      <c r="G19" s="47">
        <v>2</v>
      </c>
      <c r="H19" s="135">
        <f>IF(B$17=0,0,G19/B$17)</f>
        <v>1.5151515151515152E-2</v>
      </c>
      <c r="I19" s="96">
        <v>3</v>
      </c>
      <c r="K19" s="38">
        <v>17</v>
      </c>
      <c r="L19" s="101">
        <v>94.6</v>
      </c>
      <c r="N19" s="117" t="s">
        <v>173</v>
      </c>
      <c r="O19" s="127">
        <f>IF(P19=0,0,Q19/P19)</f>
        <v>0.62307692307692375</v>
      </c>
      <c r="P19" s="121">
        <v>13</v>
      </c>
      <c r="Q19" s="109">
        <v>8.1000000000000085</v>
      </c>
    </row>
    <row r="20" spans="1:17" x14ac:dyDescent="0.4">
      <c r="A20" s="55" t="s">
        <v>13</v>
      </c>
      <c r="B20" s="47">
        <v>79</v>
      </c>
      <c r="C20" s="39">
        <f>IF(B$3=0,0,B20/B$3)</f>
        <v>0.17025862068965517</v>
      </c>
      <c r="E20" s="63" t="s">
        <v>80</v>
      </c>
      <c r="F20" s="60" t="s">
        <v>35</v>
      </c>
      <c r="G20" s="47">
        <v>2</v>
      </c>
      <c r="H20" s="135">
        <f>IF(B$17=0,0,G20/B$17)</f>
        <v>1.5151515151515152E-2</v>
      </c>
      <c r="I20" s="96">
        <v>3</v>
      </c>
      <c r="K20" s="38">
        <v>18</v>
      </c>
      <c r="L20" s="101">
        <v>116.69999999999999</v>
      </c>
      <c r="N20" s="117" t="s">
        <v>178</v>
      </c>
      <c r="O20" s="127">
        <f>IF(P20=0,0,Q20/P20)</f>
        <v>-0.75</v>
      </c>
      <c r="P20" s="121">
        <v>10</v>
      </c>
      <c r="Q20" s="109">
        <v>-7.5</v>
      </c>
    </row>
    <row r="21" spans="1:17" x14ac:dyDescent="0.4">
      <c r="A21" s="55" t="s">
        <v>194</v>
      </c>
      <c r="B21" s="47">
        <v>5</v>
      </c>
      <c r="C21" s="137">
        <v>3</v>
      </c>
      <c r="E21" s="63" t="s">
        <v>74</v>
      </c>
      <c r="F21" s="60" t="s">
        <v>29</v>
      </c>
      <c r="G21" s="47">
        <v>1</v>
      </c>
      <c r="H21" s="135">
        <f>IF(B$17=0,0,G21/B$17)</f>
        <v>7.575757575757576E-3</v>
      </c>
      <c r="I21" s="96">
        <v>3</v>
      </c>
      <c r="K21" s="38">
        <v>19</v>
      </c>
      <c r="L21" s="101">
        <v>138.79999999999998</v>
      </c>
      <c r="N21" s="117" t="s">
        <v>127</v>
      </c>
      <c r="O21" s="127">
        <f>IF(P21=0,0,Q21/P21)</f>
        <v>-24.056097560975616</v>
      </c>
      <c r="P21" s="121">
        <v>41</v>
      </c>
      <c r="Q21" s="109">
        <v>-986.30000000000018</v>
      </c>
    </row>
    <row r="22" spans="1:17" x14ac:dyDescent="0.4">
      <c r="A22" s="55" t="s">
        <v>195</v>
      </c>
      <c r="B22" s="47">
        <v>24</v>
      </c>
      <c r="C22" s="137">
        <v>13</v>
      </c>
      <c r="E22" s="63" t="s">
        <v>78</v>
      </c>
      <c r="F22" s="60" t="s">
        <v>33</v>
      </c>
      <c r="G22" s="47">
        <v>1</v>
      </c>
      <c r="H22" s="135">
        <f>IF(B$17=0,0,G22/B$17)</f>
        <v>7.575757575757576E-3</v>
      </c>
      <c r="I22" s="96">
        <v>1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9156.060606060606</v>
      </c>
      <c r="C23" s="41">
        <v>1208600</v>
      </c>
      <c r="E23" s="63" t="s">
        <v>79</v>
      </c>
      <c r="F23" s="60" t="s">
        <v>34</v>
      </c>
      <c r="G23" s="47">
        <v>1</v>
      </c>
      <c r="H23" s="135">
        <f>IF(B$17=0,0,G23/B$17)</f>
        <v>7.575757575757576E-3</v>
      </c>
      <c r="I23" s="96">
        <v>6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-7232.9113924050635</v>
      </c>
      <c r="C24" s="45">
        <v>-571400</v>
      </c>
      <c r="E24" s="63" t="s">
        <v>85</v>
      </c>
      <c r="F24" s="60" t="s">
        <v>40</v>
      </c>
      <c r="G24" s="47">
        <v>1</v>
      </c>
      <c r="H24" s="135">
        <f>IF(B$17=0,0,G24/B$17)</f>
        <v>7.575757575757576E-3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142</v>
      </c>
      <c r="B25" s="142">
        <v>5</v>
      </c>
      <c r="C25" s="143"/>
      <c r="E25" s="63" t="s">
        <v>89</v>
      </c>
      <c r="F25" s="60" t="s">
        <v>44</v>
      </c>
      <c r="G25" s="47">
        <v>1</v>
      </c>
      <c r="H25" s="135">
        <f>IF(B$17=0,0,G25/B$17)</f>
        <v>7.575757575757576E-3</v>
      </c>
      <c r="I25" s="96">
        <v>1</v>
      </c>
      <c r="K25" s="38">
        <v>23</v>
      </c>
      <c r="L25" s="101">
        <v>245.49999999999997</v>
      </c>
    </row>
    <row r="26" spans="1:17" x14ac:dyDescent="0.4">
      <c r="A26" s="58" t="s">
        <v>152</v>
      </c>
      <c r="B26" s="140">
        <v>94000</v>
      </c>
      <c r="C26" s="141"/>
      <c r="E26" s="63" t="s">
        <v>93</v>
      </c>
      <c r="F26" s="60" t="s">
        <v>48</v>
      </c>
      <c r="G26" s="47">
        <v>1</v>
      </c>
      <c r="H26" s="135">
        <f>IF(B$17=0,0,G26/B$17)</f>
        <v>7.575757575757576E-3</v>
      </c>
      <c r="I26" s="96">
        <v>2</v>
      </c>
      <c r="K26" s="38">
        <v>24</v>
      </c>
      <c r="L26" s="101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8.6206896551724137E-3</v>
      </c>
      <c r="E27" s="63" t="s">
        <v>77</v>
      </c>
      <c r="F27" s="60" t="s">
        <v>32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-4.8000000000000398</v>
      </c>
    </row>
    <row r="52" spans="5:12" x14ac:dyDescent="0.4">
      <c r="K52" s="38">
        <v>50</v>
      </c>
      <c r="L52" s="101">
        <v>-0.70000000000004015</v>
      </c>
    </row>
    <row r="53" spans="5:12" x14ac:dyDescent="0.4">
      <c r="K53" s="38">
        <v>51</v>
      </c>
      <c r="L53" s="101">
        <v>-29.30000000000004</v>
      </c>
    </row>
    <row r="54" spans="5:12" x14ac:dyDescent="0.4">
      <c r="K54" s="38">
        <v>52</v>
      </c>
      <c r="L54" s="101">
        <v>-55.600000000000037</v>
      </c>
    </row>
    <row r="55" spans="5:12" x14ac:dyDescent="0.4">
      <c r="K55" s="38">
        <v>53</v>
      </c>
      <c r="L55" s="101">
        <v>-95.100000000000037</v>
      </c>
    </row>
    <row r="56" spans="5:12" x14ac:dyDescent="0.4">
      <c r="K56" s="38">
        <v>54</v>
      </c>
      <c r="L56" s="101">
        <v>-91.000000000000043</v>
      </c>
    </row>
    <row r="57" spans="5:12" x14ac:dyDescent="0.4">
      <c r="K57" s="38">
        <v>55</v>
      </c>
      <c r="L57" s="101">
        <v>-12.000000000000043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6C8EA-9993-4250-A637-6F17BAA75CF6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22</v>
      </c>
      <c r="C2" s="149"/>
      <c r="E2" s="62" t="s">
        <v>67</v>
      </c>
      <c r="F2" s="59" t="s">
        <v>23</v>
      </c>
      <c r="G2" s="46">
        <v>30</v>
      </c>
      <c r="H2" s="134">
        <f>IF(B$17=0,0,G2/B$17)</f>
        <v>0.8571428571428571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-2959.090909090909</v>
      </c>
      <c r="P2" s="120">
        <v>22</v>
      </c>
      <c r="Q2" s="104">
        <v>-65100</v>
      </c>
    </row>
    <row r="3" spans="1:17" x14ac:dyDescent="0.4">
      <c r="A3" s="55" t="s">
        <v>8</v>
      </c>
      <c r="B3" s="150">
        <v>186</v>
      </c>
      <c r="C3" s="151"/>
      <c r="E3" s="63" t="s">
        <v>65</v>
      </c>
      <c r="F3" s="60" t="s">
        <v>21</v>
      </c>
      <c r="G3" s="47">
        <v>20</v>
      </c>
      <c r="H3" s="135">
        <f>IF(B$17=0,0,G3/B$17)</f>
        <v>0.5714285714285714</v>
      </c>
      <c r="I3" s="96">
        <v>2</v>
      </c>
      <c r="K3" s="38">
        <v>1</v>
      </c>
      <c r="L3" s="101">
        <v>-40.4</v>
      </c>
      <c r="N3" s="117" t="s">
        <v>133</v>
      </c>
      <c r="O3" s="124">
        <f t="shared" si="0"/>
        <v>-5186.363636363636</v>
      </c>
      <c r="P3" s="121">
        <v>22</v>
      </c>
      <c r="Q3" s="105">
        <v>-114100</v>
      </c>
    </row>
    <row r="4" spans="1:17" x14ac:dyDescent="0.4">
      <c r="A4" s="55" t="s">
        <v>6</v>
      </c>
      <c r="B4" s="152">
        <v>-670.19999999999993</v>
      </c>
      <c r="C4" s="153"/>
      <c r="E4" s="63" t="s">
        <v>69</v>
      </c>
      <c r="F4" s="60" t="s">
        <v>12</v>
      </c>
      <c r="G4" s="47">
        <v>13</v>
      </c>
      <c r="H4" s="135">
        <f>IF(B$17=0,0,G4/B$17)</f>
        <v>0.37142857142857144</v>
      </c>
      <c r="I4" s="96">
        <v>3</v>
      </c>
      <c r="K4" s="38">
        <v>2</v>
      </c>
      <c r="L4" s="101">
        <v>-3.3999999999999986</v>
      </c>
      <c r="N4" s="117" t="s">
        <v>134</v>
      </c>
      <c r="O4" s="124">
        <f t="shared" si="0"/>
        <v>-5815.7894736842109</v>
      </c>
      <c r="P4" s="121">
        <v>19</v>
      </c>
      <c r="Q4" s="105">
        <v>-110500</v>
      </c>
    </row>
    <row r="5" spans="1:17" x14ac:dyDescent="0.4">
      <c r="A5" s="55" t="s">
        <v>7</v>
      </c>
      <c r="B5" s="154">
        <f>IF(B$2=0,0,B$4/B$2)</f>
        <v>-30.463636363636361</v>
      </c>
      <c r="C5" s="155"/>
      <c r="E5" s="63" t="s">
        <v>182</v>
      </c>
      <c r="F5" s="60" t="s">
        <v>183</v>
      </c>
      <c r="G5" s="47">
        <v>12</v>
      </c>
      <c r="H5" s="135">
        <f>IF(B$17=0,0,G5/B$17)</f>
        <v>0.34285714285714286</v>
      </c>
      <c r="I5" s="96">
        <v>8</v>
      </c>
      <c r="K5" s="38">
        <v>3</v>
      </c>
      <c r="L5" s="101">
        <v>-23.099999999999998</v>
      </c>
      <c r="N5" s="117" t="s">
        <v>135</v>
      </c>
      <c r="O5" s="124">
        <f t="shared" si="0"/>
        <v>-2425</v>
      </c>
      <c r="P5" s="121">
        <v>16</v>
      </c>
      <c r="Q5" s="105">
        <v>-38800</v>
      </c>
    </row>
    <row r="6" spans="1:17" x14ac:dyDescent="0.4">
      <c r="A6" s="55" t="s">
        <v>1</v>
      </c>
      <c r="B6" s="144">
        <f>IF(B$2=0,0,(B$7*1+B$8*2+B$9*3)/B$2)</f>
        <v>2.5454545454545454</v>
      </c>
      <c r="C6" s="145"/>
      <c r="E6" s="63" t="s">
        <v>68</v>
      </c>
      <c r="F6" s="60" t="s">
        <v>24</v>
      </c>
      <c r="G6" s="47">
        <v>10</v>
      </c>
      <c r="H6" s="135">
        <f>IF(B$17=0,0,G6/B$17)</f>
        <v>0.2857142857142857</v>
      </c>
      <c r="I6" s="96">
        <v>5</v>
      </c>
      <c r="K6" s="38">
        <v>4</v>
      </c>
      <c r="L6" s="101">
        <v>-31.4</v>
      </c>
      <c r="N6" s="117" t="s">
        <v>136</v>
      </c>
      <c r="O6" s="124">
        <f t="shared" si="0"/>
        <v>-2943.75</v>
      </c>
      <c r="P6" s="121">
        <v>16</v>
      </c>
      <c r="Q6" s="105">
        <v>-47100</v>
      </c>
    </row>
    <row r="7" spans="1:17" x14ac:dyDescent="0.4">
      <c r="A7" s="55" t="s">
        <v>2</v>
      </c>
      <c r="B7" s="47">
        <v>2</v>
      </c>
      <c r="C7" s="39">
        <f>IF(B$2=0,0,B7/B$2)</f>
        <v>9.0909090909090912E-2</v>
      </c>
      <c r="E7" s="63" t="s">
        <v>73</v>
      </c>
      <c r="F7" s="60" t="s">
        <v>28</v>
      </c>
      <c r="G7" s="47">
        <v>9</v>
      </c>
      <c r="H7" s="135">
        <f>IF(B$17=0,0,G7/B$17)</f>
        <v>0.25714285714285712</v>
      </c>
      <c r="I7" s="96">
        <v>11</v>
      </c>
      <c r="K7" s="38">
        <v>5</v>
      </c>
      <c r="L7" s="101">
        <v>-32.199999999999996</v>
      </c>
      <c r="N7" s="118" t="s">
        <v>137</v>
      </c>
      <c r="O7" s="125">
        <f t="shared" si="0"/>
        <v>-2231.25</v>
      </c>
      <c r="P7" s="122">
        <v>16</v>
      </c>
      <c r="Q7" s="106">
        <v>-35700</v>
      </c>
    </row>
    <row r="8" spans="1:17" x14ac:dyDescent="0.4">
      <c r="A8" s="55" t="s">
        <v>3</v>
      </c>
      <c r="B8" s="47">
        <v>6</v>
      </c>
      <c r="C8" s="39">
        <f>IF(B$2=0,0,B8/B$2)</f>
        <v>0.27272727272727271</v>
      </c>
      <c r="E8" s="63" t="s">
        <v>71</v>
      </c>
      <c r="F8" s="60" t="s">
        <v>26</v>
      </c>
      <c r="G8" s="47">
        <v>8</v>
      </c>
      <c r="H8" s="135">
        <f>IF(B$17=0,0,G8/B$17)</f>
        <v>0.22857142857142856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14</v>
      </c>
      <c r="C9" s="40">
        <f t="shared" ref="C9" si="1">IF(B$2=0,0,B9/B$2)</f>
        <v>0.63636363636363635</v>
      </c>
      <c r="E9" s="63" t="s">
        <v>70</v>
      </c>
      <c r="F9" s="60" t="s">
        <v>25</v>
      </c>
      <c r="G9" s="47">
        <v>7</v>
      </c>
      <c r="H9" s="135">
        <f>IF(B$17=0,0,G9/B$17)</f>
        <v>0.2</v>
      </c>
      <c r="I9" s="96">
        <v>4</v>
      </c>
      <c r="K9" s="38">
        <v>7</v>
      </c>
      <c r="L9" s="101">
        <v>-116.8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0.22727272727272727</v>
      </c>
      <c r="E10" s="63" t="s">
        <v>72</v>
      </c>
      <c r="F10" s="60" t="s">
        <v>27</v>
      </c>
      <c r="G10" s="47">
        <v>5</v>
      </c>
      <c r="H10" s="135">
        <f>IF(B$17=0,0,G10/B$17)</f>
        <v>0.14285714285714285</v>
      </c>
      <c r="I10" s="96">
        <v>2</v>
      </c>
      <c r="K10" s="38">
        <v>8</v>
      </c>
      <c r="L10" s="101">
        <v>-79.599999999999994</v>
      </c>
      <c r="N10" s="116" t="s">
        <v>165</v>
      </c>
      <c r="O10" s="126">
        <f>IF(P10=0,0,Q10/P10)</f>
        <v>-38.342857142857142</v>
      </c>
      <c r="P10" s="120">
        <v>7</v>
      </c>
      <c r="Q10" s="108">
        <v>-268.39999999999998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5">
        <f>IF(B$17=0,0,G11/B$17)</f>
        <v>0.14285714285714285</v>
      </c>
      <c r="I11" s="96">
        <v>6</v>
      </c>
      <c r="K11" s="38">
        <v>9</v>
      </c>
      <c r="L11" s="101">
        <v>-127.6</v>
      </c>
      <c r="N11" s="117" t="s">
        <v>166</v>
      </c>
      <c r="O11" s="127">
        <f>IF(P11=0,0,Q11/P11)</f>
        <v>-31.090000000000003</v>
      </c>
      <c r="P11" s="121">
        <v>10</v>
      </c>
      <c r="Q11" s="109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4.5454545454545456E-2</v>
      </c>
      <c r="E12" s="63" t="s">
        <v>66</v>
      </c>
      <c r="F12" s="60" t="s">
        <v>22</v>
      </c>
      <c r="G12" s="47">
        <v>4</v>
      </c>
      <c r="H12" s="135">
        <f>IF(B$17=0,0,G12/B$17)</f>
        <v>0.11428571428571428</v>
      </c>
      <c r="I12" s="96">
        <v>7</v>
      </c>
      <c r="K12" s="38">
        <v>10</v>
      </c>
      <c r="L12" s="101">
        <v>-231.39999999999998</v>
      </c>
      <c r="N12" s="118" t="s">
        <v>167</v>
      </c>
      <c r="O12" s="128">
        <f>IF(P12=0,0,Q12/P12)</f>
        <v>-18.18</v>
      </c>
      <c r="P12" s="122">
        <v>5</v>
      </c>
      <c r="Q12" s="110">
        <v>-90.899999999999991</v>
      </c>
    </row>
    <row r="13" spans="1:17" x14ac:dyDescent="0.4">
      <c r="A13" s="58" t="s">
        <v>122</v>
      </c>
      <c r="B13" s="50">
        <v>45</v>
      </c>
      <c r="C13" s="44">
        <f>IF(B$3=0,0,B13/B$3)</f>
        <v>0.24193548387096775</v>
      </c>
      <c r="E13" s="63" t="s">
        <v>87</v>
      </c>
      <c r="F13" s="60" t="s">
        <v>42</v>
      </c>
      <c r="G13" s="47">
        <v>2</v>
      </c>
      <c r="H13" s="135">
        <f>IF(B$17=0,0,G13/B$17)</f>
        <v>5.7142857142857141E-2</v>
      </c>
      <c r="I13" s="96">
        <v>6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22</v>
      </c>
      <c r="C14" s="39">
        <f>IF(B$3=0,0,B14/B$3)</f>
        <v>0.11827956989247312</v>
      </c>
      <c r="E14" s="63" t="s">
        <v>79</v>
      </c>
      <c r="F14" s="60" t="s">
        <v>34</v>
      </c>
      <c r="G14" s="47">
        <v>1</v>
      </c>
      <c r="H14" s="135">
        <f>IF(B$17=0,0,G14/B$17)</f>
        <v>2.8571428571428571E-2</v>
      </c>
      <c r="I14" s="96">
        <v>3</v>
      </c>
      <c r="K14" s="38">
        <v>12</v>
      </c>
      <c r="L14" s="101">
        <v>-337.5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21</v>
      </c>
      <c r="C15" s="37">
        <f>IF(B$13=0,0,B15/B$13)</f>
        <v>0.46666666666666667</v>
      </c>
      <c r="E15" s="63" t="s">
        <v>84</v>
      </c>
      <c r="F15" s="60" t="s">
        <v>39</v>
      </c>
      <c r="G15" s="47">
        <v>1</v>
      </c>
      <c r="H15" s="135">
        <f>IF(B$17=0,0,G15/B$17)</f>
        <v>2.8571428571428571E-2</v>
      </c>
      <c r="I15" s="96">
        <v>9</v>
      </c>
      <c r="K15" s="38">
        <v>13</v>
      </c>
      <c r="L15" s="101">
        <v>-369.1</v>
      </c>
      <c r="N15" s="116" t="s">
        <v>178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0.18181818181818182</v>
      </c>
      <c r="E16" s="63" t="s">
        <v>74</v>
      </c>
      <c r="F16" s="60" t="s">
        <v>29</v>
      </c>
      <c r="G16" s="47">
        <v>0</v>
      </c>
      <c r="H16" s="135">
        <f>IF(B$17=0,0,G16/B$17)</f>
        <v>0</v>
      </c>
      <c r="I16" s="96">
        <v>5</v>
      </c>
      <c r="K16" s="38">
        <v>14</v>
      </c>
      <c r="L16" s="101">
        <v>-394.6</v>
      </c>
      <c r="N16" s="117" t="s">
        <v>174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0.18817204301075269</v>
      </c>
      <c r="E17" s="63" t="s">
        <v>75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-424.5</v>
      </c>
      <c r="N17" s="117" t="s">
        <v>128</v>
      </c>
      <c r="O17" s="127">
        <f>IF(P17=0,0,Q17/P17)</f>
        <v>-22.99285714285714</v>
      </c>
      <c r="P17" s="121">
        <v>14</v>
      </c>
      <c r="Q17" s="109">
        <v>-321.89999999999998</v>
      </c>
    </row>
    <row r="18" spans="1:17" x14ac:dyDescent="0.4">
      <c r="A18" s="55" t="s">
        <v>12</v>
      </c>
      <c r="B18" s="47">
        <v>17</v>
      </c>
      <c r="C18" s="39">
        <f>IF(B$17=0,0,B18/B$17)</f>
        <v>0.48571428571428571</v>
      </c>
      <c r="E18" s="63" t="s">
        <v>76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-472</v>
      </c>
      <c r="N18" s="117" t="s">
        <v>127</v>
      </c>
      <c r="O18" s="127">
        <f>IF(P18=0,0,Q18/P18)</f>
        <v>-54.900000000000006</v>
      </c>
      <c r="P18" s="121">
        <v>13</v>
      </c>
      <c r="Q18" s="109">
        <v>-713.7</v>
      </c>
    </row>
    <row r="19" spans="1:17" x14ac:dyDescent="0.4">
      <c r="A19" s="55" t="s">
        <v>11</v>
      </c>
      <c r="B19" s="47">
        <v>18</v>
      </c>
      <c r="C19" s="39">
        <f>IF(B$17=0,0,B19/B$17)</f>
        <v>0.51428571428571423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-538.29999999999995</v>
      </c>
      <c r="N19" s="117" t="s">
        <v>173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41</v>
      </c>
      <c r="C20" s="39">
        <f>IF(B$3=0,0,B20/B$3)</f>
        <v>0.22043010752688172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-537.19999999999993</v>
      </c>
      <c r="N20" s="117" t="s">
        <v>187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-569.49999999999989</v>
      </c>
      <c r="N21" s="117" t="s">
        <v>172</v>
      </c>
      <c r="O21" s="127">
        <f>IF(P21=0,0,Q21/P21)</f>
        <v>-86.820000000000007</v>
      </c>
      <c r="P21" s="121">
        <v>5</v>
      </c>
      <c r="Q21" s="109">
        <v>-434.1</v>
      </c>
    </row>
    <row r="22" spans="1:17" x14ac:dyDescent="0.4">
      <c r="A22" s="55" t="s">
        <v>195</v>
      </c>
      <c r="B22" s="47">
        <v>19</v>
      </c>
      <c r="C22" s="137">
        <v>0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-632.99999999999989</v>
      </c>
    </row>
    <row r="23" spans="1:17" x14ac:dyDescent="0.4">
      <c r="A23" s="55" t="s">
        <v>5</v>
      </c>
      <c r="B23" s="51">
        <f>IF(B$17=0,0,C23/B$17)</f>
        <v>7302.8571428571431</v>
      </c>
      <c r="C23" s="41">
        <v>255600</v>
      </c>
      <c r="E23" s="63" t="s">
        <v>82</v>
      </c>
      <c r="F23" s="60" t="s">
        <v>37</v>
      </c>
      <c r="G23" s="47">
        <v>0</v>
      </c>
      <c r="H23" s="135">
        <f>IF(B$17=0,0,G23/B$17)</f>
        <v>0</v>
      </c>
      <c r="I23" s="96">
        <v>7</v>
      </c>
      <c r="K23" s="38">
        <v>21</v>
      </c>
      <c r="L23" s="101">
        <v>-629.49999999999989</v>
      </c>
    </row>
    <row r="24" spans="1:17" x14ac:dyDescent="0.4">
      <c r="A24" s="57" t="s">
        <v>14</v>
      </c>
      <c r="B24" s="52">
        <f>IF(B$20=0,0,C24/B$20)</f>
        <v>-9748.7804878048773</v>
      </c>
      <c r="C24" s="45">
        <v>-399700</v>
      </c>
      <c r="E24" s="63" t="s">
        <v>83</v>
      </c>
      <c r="F24" s="60" t="s">
        <v>38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-670.19999999999993</v>
      </c>
    </row>
    <row r="25" spans="1:17" x14ac:dyDescent="0.4">
      <c r="A25" s="92" t="s">
        <v>142</v>
      </c>
      <c r="B25" s="142">
        <v>7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52200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BA9C6-E307-4894-83D9-5F965A8C62DB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172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33</v>
      </c>
      <c r="C2" s="149"/>
      <c r="E2" s="62" t="s">
        <v>67</v>
      </c>
      <c r="F2" s="59" t="s">
        <v>23</v>
      </c>
      <c r="G2" s="46">
        <v>49</v>
      </c>
      <c r="H2" s="134">
        <f>IF(B$17=0,0,G2/B$17)</f>
        <v>0.7</v>
      </c>
      <c r="I2" s="95">
        <v>7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-178.78787878787878</v>
      </c>
      <c r="P2" s="120">
        <v>33</v>
      </c>
      <c r="Q2" s="104">
        <v>-5900</v>
      </c>
    </row>
    <row r="3" spans="1:17" x14ac:dyDescent="0.4">
      <c r="A3" s="55" t="s">
        <v>8</v>
      </c>
      <c r="B3" s="150">
        <v>288</v>
      </c>
      <c r="C3" s="151"/>
      <c r="E3" s="63" t="s">
        <v>65</v>
      </c>
      <c r="F3" s="60" t="s">
        <v>21</v>
      </c>
      <c r="G3" s="47">
        <v>36</v>
      </c>
      <c r="H3" s="135">
        <f>IF(B$17=0,0,G3/B$17)</f>
        <v>0.51428571428571423</v>
      </c>
      <c r="I3" s="96">
        <v>4</v>
      </c>
      <c r="K3" s="38">
        <v>1</v>
      </c>
      <c r="L3" s="101">
        <v>-51.2</v>
      </c>
      <c r="N3" s="117" t="s">
        <v>133</v>
      </c>
      <c r="O3" s="124">
        <f t="shared" si="0"/>
        <v>527.27272727272725</v>
      </c>
      <c r="P3" s="121">
        <v>33</v>
      </c>
      <c r="Q3" s="105">
        <v>17400</v>
      </c>
    </row>
    <row r="4" spans="1:17" x14ac:dyDescent="0.4">
      <c r="A4" s="55" t="s">
        <v>6</v>
      </c>
      <c r="B4" s="152">
        <v>-108.9</v>
      </c>
      <c r="C4" s="153"/>
      <c r="E4" s="63" t="s">
        <v>73</v>
      </c>
      <c r="F4" s="60" t="s">
        <v>28</v>
      </c>
      <c r="G4" s="47">
        <v>36</v>
      </c>
      <c r="H4" s="135">
        <f>IF(B$17=0,0,G4/B$17)</f>
        <v>0.51428571428571423</v>
      </c>
      <c r="I4" s="96">
        <v>7</v>
      </c>
      <c r="K4" s="38">
        <v>2</v>
      </c>
      <c r="L4" s="101">
        <v>-93.300000000000011</v>
      </c>
      <c r="N4" s="117" t="s">
        <v>134</v>
      </c>
      <c r="O4" s="124">
        <f t="shared" si="0"/>
        <v>1096.7741935483871</v>
      </c>
      <c r="P4" s="121">
        <v>31</v>
      </c>
      <c r="Q4" s="105">
        <v>34000</v>
      </c>
    </row>
    <row r="5" spans="1:17" x14ac:dyDescent="0.4">
      <c r="A5" s="55" t="s">
        <v>7</v>
      </c>
      <c r="B5" s="154">
        <f>IF(B$2=0,0,B$4/B$2)</f>
        <v>-3.3000000000000003</v>
      </c>
      <c r="C5" s="155"/>
      <c r="E5" s="63" t="s">
        <v>182</v>
      </c>
      <c r="F5" s="60" t="s">
        <v>183</v>
      </c>
      <c r="G5" s="47">
        <v>22</v>
      </c>
      <c r="H5" s="135">
        <f>IF(B$17=0,0,G5/B$17)</f>
        <v>0.31428571428571428</v>
      </c>
      <c r="I5" s="96">
        <v>10</v>
      </c>
      <c r="K5" s="38">
        <v>3</v>
      </c>
      <c r="L5" s="101">
        <v>-60.100000000000009</v>
      </c>
      <c r="N5" s="117" t="s">
        <v>135</v>
      </c>
      <c r="O5" s="124">
        <f t="shared" si="0"/>
        <v>-2127.5862068965516</v>
      </c>
      <c r="P5" s="121">
        <v>29</v>
      </c>
      <c r="Q5" s="105">
        <v>-61700</v>
      </c>
    </row>
    <row r="6" spans="1:17" x14ac:dyDescent="0.4">
      <c r="A6" s="55" t="s">
        <v>1</v>
      </c>
      <c r="B6" s="144">
        <f>IF(B$2=0,0,(B$7*1+B$8*2+B$9*3)/B$2)</f>
        <v>2.1212121212121211</v>
      </c>
      <c r="C6" s="145"/>
      <c r="E6" s="63" t="s">
        <v>69</v>
      </c>
      <c r="F6" s="60" t="s">
        <v>12</v>
      </c>
      <c r="G6" s="47">
        <v>17</v>
      </c>
      <c r="H6" s="135">
        <f>IF(B$17=0,0,G6/B$17)</f>
        <v>0.24285714285714285</v>
      </c>
      <c r="I6" s="96">
        <v>7</v>
      </c>
      <c r="K6" s="38">
        <v>4</v>
      </c>
      <c r="L6" s="101">
        <v>-11.300000000000011</v>
      </c>
      <c r="N6" s="117" t="s">
        <v>136</v>
      </c>
      <c r="O6" s="124">
        <f t="shared" si="0"/>
        <v>-611.11111111111109</v>
      </c>
      <c r="P6" s="121">
        <v>27</v>
      </c>
      <c r="Q6" s="105">
        <v>-16500</v>
      </c>
    </row>
    <row r="7" spans="1:17" x14ac:dyDescent="0.4">
      <c r="A7" s="55" t="s">
        <v>2</v>
      </c>
      <c r="B7" s="47">
        <v>8</v>
      </c>
      <c r="C7" s="39">
        <f>IF(B$2=0,0,B7/B$2)</f>
        <v>0.24242424242424243</v>
      </c>
      <c r="E7" s="63" t="s">
        <v>70</v>
      </c>
      <c r="F7" s="60" t="s">
        <v>25</v>
      </c>
      <c r="G7" s="47">
        <v>16</v>
      </c>
      <c r="H7" s="135">
        <f>IF(B$17=0,0,G7/B$17)</f>
        <v>0.22857142857142856</v>
      </c>
      <c r="I7" s="96">
        <v>2</v>
      </c>
      <c r="K7" s="38">
        <v>5</v>
      </c>
      <c r="L7" s="101">
        <v>-36.100000000000009</v>
      </c>
      <c r="N7" s="118" t="s">
        <v>137</v>
      </c>
      <c r="O7" s="125">
        <f t="shared" si="0"/>
        <v>472</v>
      </c>
      <c r="P7" s="122">
        <v>25</v>
      </c>
      <c r="Q7" s="106">
        <v>11800</v>
      </c>
    </row>
    <row r="8" spans="1:17" x14ac:dyDescent="0.4">
      <c r="A8" s="55" t="s">
        <v>3</v>
      </c>
      <c r="B8" s="47">
        <v>13</v>
      </c>
      <c r="C8" s="39">
        <f>IF(B$2=0,0,B8/B$2)</f>
        <v>0.39393939393939392</v>
      </c>
      <c r="E8" s="63" t="s">
        <v>68</v>
      </c>
      <c r="F8" s="60" t="s">
        <v>24</v>
      </c>
      <c r="G8" s="47">
        <v>15</v>
      </c>
      <c r="H8" s="135">
        <f>IF(B$17=0,0,G8/B$17)</f>
        <v>0.21428571428571427</v>
      </c>
      <c r="I8" s="96">
        <v>7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12</v>
      </c>
      <c r="C9" s="40">
        <f t="shared" ref="C9" si="1">IF(B$2=0,0,B9/B$2)</f>
        <v>0.36363636363636365</v>
      </c>
      <c r="E9" s="63" t="s">
        <v>66</v>
      </c>
      <c r="F9" s="60" t="s">
        <v>22</v>
      </c>
      <c r="G9" s="47">
        <v>12</v>
      </c>
      <c r="H9" s="135">
        <f>IF(B$17=0,0,G9/B$17)</f>
        <v>0.17142857142857143</v>
      </c>
      <c r="I9" s="96">
        <v>2</v>
      </c>
      <c r="K9" s="38">
        <v>7</v>
      </c>
      <c r="L9" s="101">
        <v>-51.300000000000004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3.0303030303030304E-2</v>
      </c>
      <c r="E10" s="63" t="s">
        <v>90</v>
      </c>
      <c r="F10" s="60" t="s">
        <v>45</v>
      </c>
      <c r="G10" s="47">
        <v>11</v>
      </c>
      <c r="H10" s="135">
        <f>IF(B$17=0,0,G10/B$17)</f>
        <v>0.15714285714285714</v>
      </c>
      <c r="I10" s="96">
        <v>5</v>
      </c>
      <c r="K10" s="38">
        <v>8</v>
      </c>
      <c r="L10" s="101">
        <v>-1.7000000000000028</v>
      </c>
      <c r="N10" s="116" t="s">
        <v>165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140</v>
      </c>
      <c r="B11" s="48">
        <v>3</v>
      </c>
      <c r="C11" s="40">
        <f>IF(B$2=0,0,B11/B$2)</f>
        <v>9.0909090909090912E-2</v>
      </c>
      <c r="E11" s="63" t="s">
        <v>71</v>
      </c>
      <c r="F11" s="60" t="s">
        <v>26</v>
      </c>
      <c r="G11" s="47">
        <v>8</v>
      </c>
      <c r="H11" s="135">
        <f>IF(B$17=0,0,G11/B$17)</f>
        <v>0.11428571428571428</v>
      </c>
      <c r="I11" s="96">
        <v>4</v>
      </c>
      <c r="K11" s="38">
        <v>9</v>
      </c>
      <c r="L11" s="101">
        <v>-5.8000000000000025</v>
      </c>
      <c r="N11" s="117" t="s">
        <v>166</v>
      </c>
      <c r="O11" s="127">
        <f>IF(P11=0,0,Q11/P11)</f>
        <v>-8.9833333333333325</v>
      </c>
      <c r="P11" s="121">
        <v>12</v>
      </c>
      <c r="Q11" s="109">
        <v>-107.79999999999998</v>
      </c>
    </row>
    <row r="12" spans="1:17" x14ac:dyDescent="0.4">
      <c r="A12" s="57" t="s">
        <v>160</v>
      </c>
      <c r="B12" s="49">
        <v>3</v>
      </c>
      <c r="C12" s="42">
        <f>IF(B$2=0,0,B12/B$2)</f>
        <v>9.0909090909090912E-2</v>
      </c>
      <c r="E12" s="63" t="s">
        <v>72</v>
      </c>
      <c r="F12" s="60" t="s">
        <v>27</v>
      </c>
      <c r="G12" s="47">
        <v>6</v>
      </c>
      <c r="H12" s="135">
        <f>IF(B$17=0,0,G12/B$17)</f>
        <v>8.5714285714285715E-2</v>
      </c>
      <c r="I12" s="96">
        <v>3</v>
      </c>
      <c r="K12" s="38">
        <v>10</v>
      </c>
      <c r="L12" s="101">
        <v>-56.500000000000007</v>
      </c>
      <c r="N12" s="118" t="s">
        <v>167</v>
      </c>
      <c r="O12" s="128">
        <f>IF(P12=0,0,Q12/P12)</f>
        <v>-0.69285714285714317</v>
      </c>
      <c r="P12" s="122">
        <v>14</v>
      </c>
      <c r="Q12" s="110">
        <v>-9.7000000000000046</v>
      </c>
    </row>
    <row r="13" spans="1:17" x14ac:dyDescent="0.4">
      <c r="A13" s="58" t="s">
        <v>122</v>
      </c>
      <c r="B13" s="50">
        <v>70</v>
      </c>
      <c r="C13" s="44">
        <f>IF(B$3=0,0,B13/B$3)</f>
        <v>0.24305555555555555</v>
      </c>
      <c r="E13" s="63" t="s">
        <v>87</v>
      </c>
      <c r="F13" s="60" t="s">
        <v>42</v>
      </c>
      <c r="G13" s="47">
        <v>5</v>
      </c>
      <c r="H13" s="135">
        <f>IF(B$17=0,0,G13/B$17)</f>
        <v>7.1428571428571425E-2</v>
      </c>
      <c r="I13" s="96">
        <v>3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51</v>
      </c>
      <c r="C14" s="39">
        <f>IF(B$3=0,0,B14/B$3)</f>
        <v>0.17708333333333334</v>
      </c>
      <c r="E14" s="63" t="s">
        <v>84</v>
      </c>
      <c r="F14" s="60" t="s">
        <v>39</v>
      </c>
      <c r="G14" s="47">
        <v>4</v>
      </c>
      <c r="H14" s="135">
        <f>IF(B$17=0,0,G14/B$17)</f>
        <v>5.7142857142857141E-2</v>
      </c>
      <c r="I14" s="96">
        <v>2</v>
      </c>
      <c r="K14" s="38">
        <v>12</v>
      </c>
      <c r="L14" s="101">
        <v>-42.900000000000006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39</v>
      </c>
      <c r="C15" s="37">
        <f>IF(B$13=0,0,B15/B$13)</f>
        <v>0.55714285714285716</v>
      </c>
      <c r="E15" s="63" t="s">
        <v>79</v>
      </c>
      <c r="F15" s="60" t="s">
        <v>34</v>
      </c>
      <c r="G15" s="47">
        <v>3</v>
      </c>
      <c r="H15" s="135">
        <f>IF(B$17=0,0,G15/B$17)</f>
        <v>4.2857142857142858E-2</v>
      </c>
      <c r="I15" s="96">
        <v>1</v>
      </c>
      <c r="K15" s="38">
        <v>13</v>
      </c>
      <c r="L15" s="101">
        <v>-58.7</v>
      </c>
      <c r="N15" s="116" t="s">
        <v>129</v>
      </c>
      <c r="O15" s="126">
        <f>IF(P15=0,0,Q15/P15)</f>
        <v>86.820000000000007</v>
      </c>
      <c r="P15" s="120">
        <v>5</v>
      </c>
      <c r="Q15" s="108">
        <v>434.1</v>
      </c>
    </row>
    <row r="16" spans="1:17" x14ac:dyDescent="0.4">
      <c r="A16" s="54" t="s">
        <v>125</v>
      </c>
      <c r="B16" s="46">
        <v>16</v>
      </c>
      <c r="C16" s="37">
        <f>IF(B$14=0,0,B16/B$14)</f>
        <v>0.31372549019607843</v>
      </c>
      <c r="E16" s="63" t="s">
        <v>76</v>
      </c>
      <c r="F16" s="60" t="s">
        <v>31</v>
      </c>
      <c r="G16" s="47">
        <v>2</v>
      </c>
      <c r="H16" s="135">
        <f>IF(B$17=0,0,G16/B$17)</f>
        <v>2.8571428571428571E-2</v>
      </c>
      <c r="I16" s="96">
        <v>2</v>
      </c>
      <c r="K16" s="38">
        <v>14</v>
      </c>
      <c r="L16" s="101">
        <v>-29.400000000000002</v>
      </c>
      <c r="N16" s="117" t="s">
        <v>187</v>
      </c>
      <c r="O16" s="127">
        <f>IF(P16=0,0,Q16/P16)</f>
        <v>25.400000000000002</v>
      </c>
      <c r="P16" s="121">
        <v>2</v>
      </c>
      <c r="Q16" s="109">
        <v>50.800000000000004</v>
      </c>
    </row>
    <row r="17" spans="1:17" x14ac:dyDescent="0.4">
      <c r="A17" s="54" t="s">
        <v>10</v>
      </c>
      <c r="B17" s="46">
        <f>B19+B18</f>
        <v>70</v>
      </c>
      <c r="C17" s="37">
        <f>IF(B$3=0,0,B17/B$3)</f>
        <v>0.24305555555555555</v>
      </c>
      <c r="E17" s="63" t="s">
        <v>181</v>
      </c>
      <c r="F17" s="60" t="s">
        <v>184</v>
      </c>
      <c r="G17" s="47">
        <v>2</v>
      </c>
      <c r="H17" s="135">
        <f>IF(B$17=0,0,G17/B$17)</f>
        <v>2.8571428571428571E-2</v>
      </c>
      <c r="I17" s="96">
        <v>1</v>
      </c>
      <c r="K17" s="38">
        <v>15</v>
      </c>
      <c r="L17" s="101">
        <v>-26.3</v>
      </c>
      <c r="N17" s="117" t="s">
        <v>174</v>
      </c>
      <c r="O17" s="127">
        <f>IF(P17=0,0,Q17/P17)</f>
        <v>15.190000000000001</v>
      </c>
      <c r="P17" s="121">
        <v>10</v>
      </c>
      <c r="Q17" s="109">
        <v>151.9</v>
      </c>
    </row>
    <row r="18" spans="1:17" x14ac:dyDescent="0.4">
      <c r="A18" s="55" t="s">
        <v>12</v>
      </c>
      <c r="B18" s="47">
        <v>25</v>
      </c>
      <c r="C18" s="39">
        <f>IF(B$17=0,0,B18/B$17)</f>
        <v>0.35714285714285715</v>
      </c>
      <c r="E18" s="63" t="s">
        <v>82</v>
      </c>
      <c r="F18" s="60" t="s">
        <v>37</v>
      </c>
      <c r="G18" s="47">
        <v>1</v>
      </c>
      <c r="H18" s="135">
        <f>IF(B$17=0,0,G18/B$17)</f>
        <v>1.4285714285714285E-2</v>
      </c>
      <c r="I18" s="96">
        <v>6</v>
      </c>
      <c r="K18" s="38">
        <v>16</v>
      </c>
      <c r="L18" s="101">
        <v>-50.3</v>
      </c>
      <c r="N18" s="117" t="s">
        <v>173</v>
      </c>
      <c r="O18" s="127">
        <f>IF(P18=0,0,Q18/P18)</f>
        <v>5.2555555555555546</v>
      </c>
      <c r="P18" s="121">
        <v>9</v>
      </c>
      <c r="Q18" s="109">
        <v>47.29999999999999</v>
      </c>
    </row>
    <row r="19" spans="1:17" x14ac:dyDescent="0.4">
      <c r="A19" s="55" t="s">
        <v>11</v>
      </c>
      <c r="B19" s="47">
        <v>45</v>
      </c>
      <c r="C19" s="39">
        <f>IF(B$17=0,0,B19/B$17)</f>
        <v>0.6428571428571429</v>
      </c>
      <c r="E19" s="63" t="s">
        <v>93</v>
      </c>
      <c r="F19" s="60" t="s">
        <v>48</v>
      </c>
      <c r="G19" s="47">
        <v>1</v>
      </c>
      <c r="H19" s="135">
        <f>IF(B$17=0,0,G19/B$17)</f>
        <v>1.4285714285714285E-2</v>
      </c>
      <c r="I19" s="96">
        <v>1</v>
      </c>
      <c r="K19" s="38">
        <v>17</v>
      </c>
      <c r="L19" s="101">
        <v>-74.3</v>
      </c>
      <c r="N19" s="117" t="s">
        <v>178</v>
      </c>
      <c r="O19" s="127">
        <f>IF(P19=0,0,Q19/P19)</f>
        <v>-12.149999999999999</v>
      </c>
      <c r="P19" s="121">
        <v>2</v>
      </c>
      <c r="Q19" s="109">
        <v>-24.299999999999997</v>
      </c>
    </row>
    <row r="20" spans="1:17" x14ac:dyDescent="0.4">
      <c r="A20" s="55" t="s">
        <v>13</v>
      </c>
      <c r="B20" s="47">
        <v>48</v>
      </c>
      <c r="C20" s="39">
        <f>IF(B$3=0,0,B20/B$3)</f>
        <v>0.16666666666666666</v>
      </c>
      <c r="E20" s="63" t="s">
        <v>74</v>
      </c>
      <c r="F20" s="60" t="s">
        <v>29</v>
      </c>
      <c r="G20" s="47">
        <v>0</v>
      </c>
      <c r="H20" s="135">
        <f>IF(B$17=0,0,G20/B$17)</f>
        <v>0</v>
      </c>
      <c r="I20" s="96">
        <v>5</v>
      </c>
      <c r="K20" s="38">
        <v>18</v>
      </c>
      <c r="L20" s="101">
        <v>-76.099999999999994</v>
      </c>
      <c r="N20" s="117" t="s">
        <v>128</v>
      </c>
      <c r="O20" s="127">
        <f>IF(P20=0,0,Q20/P20)</f>
        <v>-21.681250000000009</v>
      </c>
      <c r="P20" s="121">
        <v>16</v>
      </c>
      <c r="Q20" s="109">
        <v>-346.90000000000015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75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203</v>
      </c>
      <c r="O21" s="127">
        <f>IF(P21=0,0,Q21/P21)</f>
        <v>-21.9</v>
      </c>
      <c r="P21" s="121">
        <v>1</v>
      </c>
      <c r="Q21" s="109">
        <v>-21.9</v>
      </c>
    </row>
    <row r="22" spans="1:17" x14ac:dyDescent="0.4">
      <c r="A22" s="55" t="s">
        <v>195</v>
      </c>
      <c r="B22" s="47">
        <v>20</v>
      </c>
      <c r="C22" s="137">
        <v>3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  <c r="N22" s="117" t="s">
        <v>127</v>
      </c>
      <c r="O22" s="127">
        <f>IF(P22=0,0,Q22/P22)</f>
        <v>-29.414285714285718</v>
      </c>
      <c r="P22" s="121">
        <v>21</v>
      </c>
      <c r="Q22" s="109">
        <v>-617.70000000000005</v>
      </c>
    </row>
    <row r="23" spans="1:17" x14ac:dyDescent="0.4">
      <c r="A23" s="55" t="s">
        <v>5</v>
      </c>
      <c r="B23" s="51">
        <f>IF(B$17=0,0,C23/B$17)</f>
        <v>8422.8571428571431</v>
      </c>
      <c r="C23" s="41">
        <v>589600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-7206.25</v>
      </c>
      <c r="C24" s="45">
        <v>-345900</v>
      </c>
      <c r="E24" s="63" t="s">
        <v>80</v>
      </c>
      <c r="F24" s="60" t="s">
        <v>35</v>
      </c>
      <c r="G24" s="47">
        <v>0</v>
      </c>
      <c r="H24" s="135">
        <f>IF(B$17=0,0,G24/B$17)</f>
        <v>0</v>
      </c>
      <c r="I24" s="96">
        <v>6</v>
      </c>
      <c r="K24" s="38">
        <v>22</v>
      </c>
      <c r="L24" s="101">
        <v>-17.099999999999991</v>
      </c>
    </row>
    <row r="25" spans="1:17" x14ac:dyDescent="0.4">
      <c r="A25" s="92" t="s">
        <v>142</v>
      </c>
      <c r="B25" s="142">
        <v>4</v>
      </c>
      <c r="C25" s="143"/>
      <c r="E25" s="63" t="s">
        <v>81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152</v>
      </c>
      <c r="B26" s="140">
        <v>91700</v>
      </c>
      <c r="C26" s="141"/>
      <c r="E26" s="63" t="s">
        <v>83</v>
      </c>
      <c r="F26" s="60" t="s">
        <v>38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3.472222222222222E-3</v>
      </c>
      <c r="E27" s="63" t="s">
        <v>85</v>
      </c>
      <c r="F27" s="60" t="s">
        <v>40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5">
        <f>IF(B$17=0,0,G32/B$17)</f>
        <v>0</v>
      </c>
      <c r="I32" s="96">
        <v>7</v>
      </c>
      <c r="K32" s="38">
        <v>30</v>
      </c>
      <c r="L32" s="101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20BAD-35D5-4ACF-AC09-63ACD21DDA2D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23</v>
      </c>
      <c r="C2" s="149"/>
      <c r="E2" s="62" t="s">
        <v>73</v>
      </c>
      <c r="F2" s="59" t="s">
        <v>28</v>
      </c>
      <c r="G2" s="46">
        <v>48</v>
      </c>
      <c r="H2" s="134">
        <f>IF(B$17=0,0,G2/B$17)</f>
        <v>0.76190476190476186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-347.82608695652175</v>
      </c>
      <c r="P2" s="120">
        <v>23</v>
      </c>
      <c r="Q2" s="104">
        <v>-8000</v>
      </c>
    </row>
    <row r="3" spans="1:17" x14ac:dyDescent="0.4">
      <c r="A3" s="55" t="s">
        <v>8</v>
      </c>
      <c r="B3" s="150">
        <v>189</v>
      </c>
      <c r="C3" s="151"/>
      <c r="E3" s="63" t="s">
        <v>67</v>
      </c>
      <c r="F3" s="60" t="s">
        <v>23</v>
      </c>
      <c r="G3" s="47">
        <v>38</v>
      </c>
      <c r="H3" s="135">
        <f>IF(B$17=0,0,G3/B$17)</f>
        <v>0.60317460317460314</v>
      </c>
      <c r="I3" s="96">
        <v>9</v>
      </c>
      <c r="K3" s="38">
        <v>1</v>
      </c>
      <c r="L3" s="101">
        <v>11.1</v>
      </c>
      <c r="N3" s="117" t="s">
        <v>133</v>
      </c>
      <c r="O3" s="124">
        <f t="shared" si="0"/>
        <v>1504.3478260869565</v>
      </c>
      <c r="P3" s="121">
        <v>23</v>
      </c>
      <c r="Q3" s="105">
        <v>34600</v>
      </c>
    </row>
    <row r="4" spans="1:17" x14ac:dyDescent="0.4">
      <c r="A4" s="55" t="s">
        <v>6</v>
      </c>
      <c r="B4" s="152">
        <v>-5.3999999999999986</v>
      </c>
      <c r="C4" s="153"/>
      <c r="E4" s="63" t="s">
        <v>182</v>
      </c>
      <c r="F4" s="60" t="s">
        <v>183</v>
      </c>
      <c r="G4" s="47">
        <v>25</v>
      </c>
      <c r="H4" s="135">
        <f>IF(B$17=0,0,G4/B$17)</f>
        <v>0.3968253968253968</v>
      </c>
      <c r="I4" s="96">
        <v>5</v>
      </c>
      <c r="K4" s="38">
        <v>2</v>
      </c>
      <c r="L4" s="101">
        <v>-7.7000000000000011</v>
      </c>
      <c r="N4" s="117" t="s">
        <v>134</v>
      </c>
      <c r="O4" s="124">
        <f t="shared" si="0"/>
        <v>147.36842105263159</v>
      </c>
      <c r="P4" s="121">
        <v>19</v>
      </c>
      <c r="Q4" s="105">
        <v>2800</v>
      </c>
    </row>
    <row r="5" spans="1:17" x14ac:dyDescent="0.4">
      <c r="A5" s="55" t="s">
        <v>7</v>
      </c>
      <c r="B5" s="154">
        <f>IF(B$2=0,0,B$4/B$2)</f>
        <v>-0.23478260869565212</v>
      </c>
      <c r="C5" s="155"/>
      <c r="E5" s="63" t="s">
        <v>65</v>
      </c>
      <c r="F5" s="60" t="s">
        <v>21</v>
      </c>
      <c r="G5" s="47">
        <v>24</v>
      </c>
      <c r="H5" s="135">
        <f>IF(B$17=0,0,G5/B$17)</f>
        <v>0.38095238095238093</v>
      </c>
      <c r="I5" s="96">
        <v>10</v>
      </c>
      <c r="K5" s="38">
        <v>3</v>
      </c>
      <c r="L5" s="101">
        <v>1.7999999999999989</v>
      </c>
      <c r="N5" s="117" t="s">
        <v>135</v>
      </c>
      <c r="O5" s="124">
        <f t="shared" si="0"/>
        <v>1447.0588235294117</v>
      </c>
      <c r="P5" s="121">
        <v>17</v>
      </c>
      <c r="Q5" s="105">
        <v>24600</v>
      </c>
    </row>
    <row r="6" spans="1:17" x14ac:dyDescent="0.4">
      <c r="A6" s="55" t="s">
        <v>1</v>
      </c>
      <c r="B6" s="144">
        <f>IF(B$2=0,0,(B$7*1+B$8*2+B$9*3)/B$2)</f>
        <v>2.0434782608695654</v>
      </c>
      <c r="C6" s="145"/>
      <c r="E6" s="63" t="s">
        <v>69</v>
      </c>
      <c r="F6" s="60" t="s">
        <v>12</v>
      </c>
      <c r="G6" s="47">
        <v>16</v>
      </c>
      <c r="H6" s="135">
        <f>IF(B$17=0,0,G6/B$17)</f>
        <v>0.25396825396825395</v>
      </c>
      <c r="I6" s="96">
        <v>6</v>
      </c>
      <c r="K6" s="38">
        <v>4</v>
      </c>
      <c r="L6" s="101">
        <v>34.9</v>
      </c>
      <c r="N6" s="117" t="s">
        <v>136</v>
      </c>
      <c r="O6" s="124">
        <f t="shared" si="0"/>
        <v>-4852.9411764705883</v>
      </c>
      <c r="P6" s="121">
        <v>17</v>
      </c>
      <c r="Q6" s="105">
        <v>-82500</v>
      </c>
    </row>
    <row r="7" spans="1:17" x14ac:dyDescent="0.4">
      <c r="A7" s="55" t="s">
        <v>2</v>
      </c>
      <c r="B7" s="47">
        <v>7</v>
      </c>
      <c r="C7" s="39">
        <f>IF(B$2=0,0,B7/B$2)</f>
        <v>0.30434782608695654</v>
      </c>
      <c r="E7" s="63" t="s">
        <v>68</v>
      </c>
      <c r="F7" s="60" t="s">
        <v>24</v>
      </c>
      <c r="G7" s="47">
        <v>13</v>
      </c>
      <c r="H7" s="135">
        <f>IF(B$17=0,0,G7/B$17)</f>
        <v>0.20634920634920634</v>
      </c>
      <c r="I7" s="96">
        <v>8</v>
      </c>
      <c r="K7" s="38">
        <v>5</v>
      </c>
      <c r="L7" s="101">
        <v>29.4</v>
      </c>
      <c r="N7" s="118" t="s">
        <v>137</v>
      </c>
      <c r="O7" s="125">
        <f t="shared" si="0"/>
        <v>-733.33333333333337</v>
      </c>
      <c r="P7" s="122">
        <v>15</v>
      </c>
      <c r="Q7" s="106">
        <v>-11000</v>
      </c>
    </row>
    <row r="8" spans="1:17" x14ac:dyDescent="0.4">
      <c r="A8" s="55" t="s">
        <v>3</v>
      </c>
      <c r="B8" s="47">
        <v>8</v>
      </c>
      <c r="C8" s="39">
        <f>IF(B$2=0,0,B8/B$2)</f>
        <v>0.34782608695652173</v>
      </c>
      <c r="E8" s="63" t="s">
        <v>70</v>
      </c>
      <c r="F8" s="60" t="s">
        <v>25</v>
      </c>
      <c r="G8" s="47">
        <v>7</v>
      </c>
      <c r="H8" s="135">
        <f>IF(B$17=0,0,G8/B$17)</f>
        <v>0.1111111111111111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0.34782608695652173</v>
      </c>
      <c r="E9" s="63" t="s">
        <v>71</v>
      </c>
      <c r="F9" s="60" t="s">
        <v>26</v>
      </c>
      <c r="G9" s="47">
        <v>5</v>
      </c>
      <c r="H9" s="135">
        <f>IF(B$17=0,0,G9/B$17)</f>
        <v>7.9365079365079361E-2</v>
      </c>
      <c r="I9" s="96">
        <v>8</v>
      </c>
      <c r="K9" s="38">
        <v>7</v>
      </c>
      <c r="L9" s="101">
        <v>7.7999999999999972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8.6956521739130432E-2</v>
      </c>
      <c r="E10" s="63" t="s">
        <v>90</v>
      </c>
      <c r="F10" s="60" t="s">
        <v>45</v>
      </c>
      <c r="G10" s="47">
        <v>5</v>
      </c>
      <c r="H10" s="135">
        <f>IF(B$17=0,0,G10/B$17)</f>
        <v>7.9365079365079361E-2</v>
      </c>
      <c r="I10" s="96">
        <v>11</v>
      </c>
      <c r="K10" s="38">
        <v>8</v>
      </c>
      <c r="L10" s="101">
        <v>-29.5</v>
      </c>
      <c r="N10" s="116" t="s">
        <v>165</v>
      </c>
      <c r="O10" s="126">
        <f>IF(P10=0,0,Q10/P10)</f>
        <v>-18.025000000000002</v>
      </c>
      <c r="P10" s="120">
        <v>8</v>
      </c>
      <c r="Q10" s="108">
        <v>-144.20000000000002</v>
      </c>
    </row>
    <row r="11" spans="1:17" x14ac:dyDescent="0.4">
      <c r="A11" s="56" t="s">
        <v>140</v>
      </c>
      <c r="B11" s="48">
        <v>2</v>
      </c>
      <c r="C11" s="40">
        <f>IF(B$2=0,0,B11/B$2)</f>
        <v>8.6956521739130432E-2</v>
      </c>
      <c r="E11" s="63" t="s">
        <v>66</v>
      </c>
      <c r="F11" s="60" t="s">
        <v>22</v>
      </c>
      <c r="G11" s="47">
        <v>4</v>
      </c>
      <c r="H11" s="135">
        <f>IF(B$17=0,0,G11/B$17)</f>
        <v>6.3492063492063489E-2</v>
      </c>
      <c r="I11" s="96">
        <v>8</v>
      </c>
      <c r="K11" s="38">
        <v>9</v>
      </c>
      <c r="L11" s="101">
        <v>-56.5</v>
      </c>
      <c r="N11" s="117" t="s">
        <v>166</v>
      </c>
      <c r="O11" s="127">
        <f>IF(P11=0,0,Q11/P11)</f>
        <v>20.7</v>
      </c>
      <c r="P11" s="121">
        <v>6</v>
      </c>
      <c r="Q11" s="109">
        <v>124.19999999999999</v>
      </c>
    </row>
    <row r="12" spans="1:17" x14ac:dyDescent="0.4">
      <c r="A12" s="57" t="s">
        <v>160</v>
      </c>
      <c r="B12" s="49">
        <v>1</v>
      </c>
      <c r="C12" s="42">
        <f>IF(B$2=0,0,B12/B$2)</f>
        <v>4.3478260869565216E-2</v>
      </c>
      <c r="E12" s="63" t="s">
        <v>82</v>
      </c>
      <c r="F12" s="60" t="s">
        <v>37</v>
      </c>
      <c r="G12" s="47">
        <v>3</v>
      </c>
      <c r="H12" s="135">
        <f>IF(B$17=0,0,G12/B$17)</f>
        <v>4.7619047619047616E-2</v>
      </c>
      <c r="I12" s="96">
        <v>2</v>
      </c>
      <c r="K12" s="38">
        <v>10</v>
      </c>
      <c r="L12" s="101">
        <v>24.200000000000003</v>
      </c>
      <c r="N12" s="118" t="s">
        <v>167</v>
      </c>
      <c r="O12" s="128">
        <f>IF(P12=0,0,Q12/P12)</f>
        <v>1.6222222222222227</v>
      </c>
      <c r="P12" s="122">
        <v>9</v>
      </c>
      <c r="Q12" s="110">
        <v>14.600000000000005</v>
      </c>
    </row>
    <row r="13" spans="1:17" x14ac:dyDescent="0.4">
      <c r="A13" s="58" t="s">
        <v>122</v>
      </c>
      <c r="B13" s="50">
        <v>43</v>
      </c>
      <c r="C13" s="44">
        <f>IF(B$3=0,0,B13/B$3)</f>
        <v>0.2275132275132275</v>
      </c>
      <c r="E13" s="63" t="s">
        <v>87</v>
      </c>
      <c r="F13" s="60" t="s">
        <v>42</v>
      </c>
      <c r="G13" s="47">
        <v>3</v>
      </c>
      <c r="H13" s="135">
        <f>IF(B$17=0,0,G13/B$17)</f>
        <v>4.7619047619047616E-2</v>
      </c>
      <c r="I13" s="96">
        <v>7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65</v>
      </c>
      <c r="C14" s="39">
        <f>IF(B$3=0,0,B14/B$3)</f>
        <v>0.3439153439153439</v>
      </c>
      <c r="E14" s="63" t="s">
        <v>72</v>
      </c>
      <c r="F14" s="60" t="s">
        <v>27</v>
      </c>
      <c r="G14" s="47">
        <v>2</v>
      </c>
      <c r="H14" s="135">
        <f>IF(B$17=0,0,G14/B$17)</f>
        <v>3.1746031746031744E-2</v>
      </c>
      <c r="I14" s="96">
        <v>9</v>
      </c>
      <c r="K14" s="38">
        <v>12</v>
      </c>
      <c r="L14" s="101">
        <v>46.1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0.58139534883720934</v>
      </c>
      <c r="E15" s="63" t="s">
        <v>79</v>
      </c>
      <c r="F15" s="60" t="s">
        <v>34</v>
      </c>
      <c r="G15" s="47">
        <v>2</v>
      </c>
      <c r="H15" s="135">
        <f>IF(B$17=0,0,G15/B$17)</f>
        <v>3.1746031746031744E-2</v>
      </c>
      <c r="I15" s="96">
        <v>2</v>
      </c>
      <c r="K15" s="38">
        <v>13</v>
      </c>
      <c r="L15" s="101">
        <v>-3</v>
      </c>
      <c r="N15" s="116" t="s">
        <v>129</v>
      </c>
      <c r="O15" s="126">
        <f>IF(P15=0,0,Q15/P15)</f>
        <v>70.183333333333323</v>
      </c>
      <c r="P15" s="120">
        <v>6</v>
      </c>
      <c r="Q15" s="108">
        <v>421.09999999999997</v>
      </c>
    </row>
    <row r="16" spans="1:17" x14ac:dyDescent="0.4">
      <c r="A16" s="54" t="s">
        <v>125</v>
      </c>
      <c r="B16" s="46">
        <v>27</v>
      </c>
      <c r="C16" s="37">
        <f>IF(B$14=0,0,B16/B$14)</f>
        <v>0.41538461538461541</v>
      </c>
      <c r="E16" s="63" t="s">
        <v>80</v>
      </c>
      <c r="F16" s="60" t="s">
        <v>35</v>
      </c>
      <c r="G16" s="47">
        <v>2</v>
      </c>
      <c r="H16" s="135">
        <f>IF(B$17=0,0,G16/B$17)</f>
        <v>3.1746031746031744E-2</v>
      </c>
      <c r="I16" s="96">
        <v>1</v>
      </c>
      <c r="K16" s="38">
        <v>14</v>
      </c>
      <c r="L16" s="101">
        <v>-12.3</v>
      </c>
      <c r="N16" s="117" t="s">
        <v>203</v>
      </c>
      <c r="O16" s="127">
        <f>IF(P16=0,0,Q16/P16)</f>
        <v>59.4</v>
      </c>
      <c r="P16" s="121">
        <v>1</v>
      </c>
      <c r="Q16" s="109">
        <v>59.4</v>
      </c>
    </row>
    <row r="17" spans="1:17" x14ac:dyDescent="0.4">
      <c r="A17" s="54" t="s">
        <v>10</v>
      </c>
      <c r="B17" s="46">
        <f>B19+B18</f>
        <v>63</v>
      </c>
      <c r="C17" s="37">
        <f>IF(B$3=0,0,B17/B$3)</f>
        <v>0.33333333333333331</v>
      </c>
      <c r="E17" s="63" t="s">
        <v>84</v>
      </c>
      <c r="F17" s="60" t="s">
        <v>39</v>
      </c>
      <c r="G17" s="47">
        <v>2</v>
      </c>
      <c r="H17" s="135">
        <f>IF(B$17=0,0,G17/B$17)</f>
        <v>3.1746031746031744E-2</v>
      </c>
      <c r="I17" s="96">
        <v>7</v>
      </c>
      <c r="K17" s="38">
        <v>15</v>
      </c>
      <c r="L17" s="101">
        <v>-80.3</v>
      </c>
      <c r="N17" s="117" t="s">
        <v>178</v>
      </c>
      <c r="O17" s="127">
        <f>IF(P17=0,0,Q17/P17)</f>
        <v>34.799999999999997</v>
      </c>
      <c r="P17" s="121">
        <v>2</v>
      </c>
      <c r="Q17" s="109">
        <v>69.599999999999994</v>
      </c>
    </row>
    <row r="18" spans="1:17" x14ac:dyDescent="0.4">
      <c r="A18" s="55" t="s">
        <v>12</v>
      </c>
      <c r="B18" s="47">
        <v>26</v>
      </c>
      <c r="C18" s="39">
        <f>IF(B$17=0,0,B18/B$17)</f>
        <v>0.41269841269841268</v>
      </c>
      <c r="E18" s="63" t="s">
        <v>92</v>
      </c>
      <c r="F18" s="60" t="s">
        <v>47</v>
      </c>
      <c r="G18" s="47">
        <v>1</v>
      </c>
      <c r="H18" s="135">
        <f>IF(B$17=0,0,G18/B$17)</f>
        <v>1.5873015873015872E-2</v>
      </c>
      <c r="I18" s="96">
        <v>6</v>
      </c>
      <c r="K18" s="38">
        <v>16</v>
      </c>
      <c r="L18" s="101">
        <v>-87.6</v>
      </c>
      <c r="N18" s="117" t="s">
        <v>174</v>
      </c>
      <c r="O18" s="127">
        <f>IF(P18=0,0,Q18/P18)</f>
        <v>0.80000000000000249</v>
      </c>
      <c r="P18" s="121">
        <v>4</v>
      </c>
      <c r="Q18" s="109">
        <v>3.2000000000000099</v>
      </c>
    </row>
    <row r="19" spans="1:17" x14ac:dyDescent="0.4">
      <c r="A19" s="55" t="s">
        <v>11</v>
      </c>
      <c r="B19" s="47">
        <v>37</v>
      </c>
      <c r="C19" s="39">
        <f>IF(B$17=0,0,B19/B$17)</f>
        <v>0.58730158730158732</v>
      </c>
      <c r="E19" s="63" t="s">
        <v>74</v>
      </c>
      <c r="F19" s="60" t="s">
        <v>29</v>
      </c>
      <c r="G19" s="47">
        <v>0</v>
      </c>
      <c r="H19" s="135">
        <f>IF(B$17=0,0,G19/B$17)</f>
        <v>0</v>
      </c>
      <c r="I19" s="96">
        <v>5</v>
      </c>
      <c r="K19" s="38">
        <v>17</v>
      </c>
      <c r="L19" s="101">
        <v>-55.099999999999994</v>
      </c>
      <c r="N19" s="117" t="s">
        <v>128</v>
      </c>
      <c r="O19" s="127">
        <f>IF(P19=0,0,Q19/P19)</f>
        <v>-0.6230769230769263</v>
      </c>
      <c r="P19" s="121">
        <v>13</v>
      </c>
      <c r="Q19" s="109">
        <v>-8.1000000000000423</v>
      </c>
    </row>
    <row r="20" spans="1:17" x14ac:dyDescent="0.4">
      <c r="A20" s="55" t="s">
        <v>13</v>
      </c>
      <c r="B20" s="47">
        <v>27</v>
      </c>
      <c r="C20" s="39">
        <f>IF(B$3=0,0,B20/B$3)</f>
        <v>0.14285714285714285</v>
      </c>
      <c r="E20" s="63" t="s">
        <v>75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172</v>
      </c>
      <c r="O20" s="127">
        <f>IF(P20=0,0,Q20/P20)</f>
        <v>-5.2555555555555573</v>
      </c>
      <c r="P20" s="121">
        <v>9</v>
      </c>
      <c r="Q20" s="109">
        <v>-47.300000000000018</v>
      </c>
    </row>
    <row r="21" spans="1:17" x14ac:dyDescent="0.4">
      <c r="A21" s="55" t="s">
        <v>194</v>
      </c>
      <c r="B21" s="47">
        <v>10</v>
      </c>
      <c r="C21" s="137">
        <v>0</v>
      </c>
      <c r="E21" s="63" t="s">
        <v>76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  <c r="N21" s="117" t="s">
        <v>127</v>
      </c>
      <c r="O21" s="127">
        <f>IF(P21=0,0,Q21/P21)</f>
        <v>-46.736363636363642</v>
      </c>
      <c r="P21" s="121">
        <v>11</v>
      </c>
      <c r="Q21" s="109">
        <v>-514.1</v>
      </c>
    </row>
    <row r="22" spans="1:17" x14ac:dyDescent="0.4">
      <c r="A22" s="55" t="s">
        <v>195</v>
      </c>
      <c r="B22" s="47">
        <v>23</v>
      </c>
      <c r="C22" s="137">
        <v>1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6749.2063492063489</v>
      </c>
      <c r="C23" s="41">
        <v>425200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89.9</v>
      </c>
    </row>
    <row r="24" spans="1:17" x14ac:dyDescent="0.4">
      <c r="A24" s="57" t="s">
        <v>14</v>
      </c>
      <c r="B24" s="52">
        <f>IF(B$20=0,0,C24/B$20)</f>
        <v>-8785.1851851851843</v>
      </c>
      <c r="C24" s="45">
        <v>-237200</v>
      </c>
      <c r="E24" s="63" t="s">
        <v>81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54.7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-5.3999999999999986</v>
      </c>
    </row>
    <row r="26" spans="1:17" x14ac:dyDescent="0.4">
      <c r="A26" s="58" t="s">
        <v>152</v>
      </c>
      <c r="B26" s="140">
        <v>95700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E473E-AA49-4DB3-91F4-2B648071474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21</v>
      </c>
      <c r="C2" s="149"/>
      <c r="E2" s="62" t="s">
        <v>67</v>
      </c>
      <c r="F2" s="59" t="s">
        <v>23</v>
      </c>
      <c r="G2" s="46">
        <v>45</v>
      </c>
      <c r="H2" s="134">
        <f>IF(B$17=0,0,G2/B$17)</f>
        <v>0.8035714285714286</v>
      </c>
      <c r="I2" s="95">
        <v>5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-4204.7619047619046</v>
      </c>
      <c r="P2" s="120">
        <v>21</v>
      </c>
      <c r="Q2" s="104">
        <v>-88300</v>
      </c>
    </row>
    <row r="3" spans="1:17" x14ac:dyDescent="0.4">
      <c r="A3" s="55" t="s">
        <v>8</v>
      </c>
      <c r="B3" s="150">
        <v>194</v>
      </c>
      <c r="C3" s="151"/>
      <c r="E3" s="63" t="s">
        <v>73</v>
      </c>
      <c r="F3" s="60" t="s">
        <v>28</v>
      </c>
      <c r="G3" s="47">
        <v>28</v>
      </c>
      <c r="H3" s="135">
        <f>IF(B$17=0,0,G3/B$17)</f>
        <v>0.5</v>
      </c>
      <c r="I3" s="96">
        <v>8</v>
      </c>
      <c r="K3" s="38">
        <v>1</v>
      </c>
      <c r="L3" s="101">
        <v>-82.6</v>
      </c>
      <c r="N3" s="117" t="s">
        <v>133</v>
      </c>
      <c r="O3" s="124">
        <f t="shared" si="0"/>
        <v>-642.85714285714289</v>
      </c>
      <c r="P3" s="121">
        <v>21</v>
      </c>
      <c r="Q3" s="105">
        <v>-13500</v>
      </c>
    </row>
    <row r="4" spans="1:17" x14ac:dyDescent="0.4">
      <c r="A4" s="55" t="s">
        <v>6</v>
      </c>
      <c r="B4" s="152">
        <v>-203.79999999999993</v>
      </c>
      <c r="C4" s="153"/>
      <c r="E4" s="63" t="s">
        <v>65</v>
      </c>
      <c r="F4" s="60" t="s">
        <v>21</v>
      </c>
      <c r="G4" s="47">
        <v>22</v>
      </c>
      <c r="H4" s="135">
        <f>IF(B$17=0,0,G4/B$17)</f>
        <v>0.39285714285714285</v>
      </c>
      <c r="I4" s="96">
        <v>9</v>
      </c>
      <c r="K4" s="38">
        <v>2</v>
      </c>
      <c r="L4" s="101">
        <v>-122.3</v>
      </c>
      <c r="N4" s="117" t="s">
        <v>134</v>
      </c>
      <c r="O4" s="124">
        <f t="shared" si="0"/>
        <v>-889.47368421052636</v>
      </c>
      <c r="P4" s="121">
        <v>19</v>
      </c>
      <c r="Q4" s="105">
        <v>-16900</v>
      </c>
    </row>
    <row r="5" spans="1:17" x14ac:dyDescent="0.4">
      <c r="A5" s="55" t="s">
        <v>7</v>
      </c>
      <c r="B5" s="154">
        <f>IF(B$2=0,0,B$4/B$2)</f>
        <v>-9.7047619047619005</v>
      </c>
      <c r="C5" s="155"/>
      <c r="E5" s="63" t="s">
        <v>69</v>
      </c>
      <c r="F5" s="60" t="s">
        <v>12</v>
      </c>
      <c r="G5" s="47">
        <v>21</v>
      </c>
      <c r="H5" s="135">
        <f>IF(B$17=0,0,G5/B$17)</f>
        <v>0.375</v>
      </c>
      <c r="I5" s="96">
        <v>2</v>
      </c>
      <c r="K5" s="38">
        <v>3</v>
      </c>
      <c r="L5" s="101">
        <v>-149</v>
      </c>
      <c r="N5" s="117" t="s">
        <v>135</v>
      </c>
      <c r="O5" s="124">
        <f t="shared" si="0"/>
        <v>-3194.4444444444443</v>
      </c>
      <c r="P5" s="121">
        <v>18</v>
      </c>
      <c r="Q5" s="105">
        <v>-57500</v>
      </c>
    </row>
    <row r="6" spans="1:17" x14ac:dyDescent="0.4">
      <c r="A6" s="55" t="s">
        <v>1</v>
      </c>
      <c r="B6" s="144">
        <f>IF(B$2=0,0,(B$7*1+B$8*2+B$9*3)/B$2)</f>
        <v>2.0952380952380953</v>
      </c>
      <c r="C6" s="145"/>
      <c r="E6" s="63" t="s">
        <v>182</v>
      </c>
      <c r="F6" s="60" t="s">
        <v>183</v>
      </c>
      <c r="G6" s="47">
        <v>14</v>
      </c>
      <c r="H6" s="135">
        <f>IF(B$17=0,0,G6/B$17)</f>
        <v>0.25</v>
      </c>
      <c r="I6" s="96">
        <v>11</v>
      </c>
      <c r="K6" s="38">
        <v>4</v>
      </c>
      <c r="L6" s="101">
        <v>-150.6</v>
      </c>
      <c r="N6" s="117" t="s">
        <v>136</v>
      </c>
      <c r="O6" s="124">
        <f t="shared" si="0"/>
        <v>1164.7058823529412</v>
      </c>
      <c r="P6" s="121">
        <v>17</v>
      </c>
      <c r="Q6" s="105">
        <v>19800</v>
      </c>
    </row>
    <row r="7" spans="1:17" x14ac:dyDescent="0.4">
      <c r="A7" s="55" t="s">
        <v>2</v>
      </c>
      <c r="B7" s="47">
        <v>5</v>
      </c>
      <c r="C7" s="39">
        <f>IF(B$2=0,0,B7/B$2)</f>
        <v>0.23809523809523808</v>
      </c>
      <c r="E7" s="63" t="s">
        <v>68</v>
      </c>
      <c r="F7" s="60" t="s">
        <v>24</v>
      </c>
      <c r="G7" s="47">
        <v>7</v>
      </c>
      <c r="H7" s="135">
        <f>IF(B$17=0,0,G7/B$17)</f>
        <v>0.125</v>
      </c>
      <c r="I7" s="96">
        <v>10</v>
      </c>
      <c r="K7" s="38">
        <v>5</v>
      </c>
      <c r="L7" s="101">
        <v>-184.89999999999998</v>
      </c>
      <c r="N7" s="118" t="s">
        <v>137</v>
      </c>
      <c r="O7" s="125">
        <f t="shared" si="0"/>
        <v>-462.5</v>
      </c>
      <c r="P7" s="122">
        <v>16</v>
      </c>
      <c r="Q7" s="106">
        <v>-7400</v>
      </c>
    </row>
    <row r="8" spans="1:17" x14ac:dyDescent="0.4">
      <c r="A8" s="55" t="s">
        <v>3</v>
      </c>
      <c r="B8" s="47">
        <v>9</v>
      </c>
      <c r="C8" s="39">
        <f>IF(B$2=0,0,B8/B$2)</f>
        <v>0.42857142857142855</v>
      </c>
      <c r="E8" s="63" t="s">
        <v>71</v>
      </c>
      <c r="F8" s="60" t="s">
        <v>26</v>
      </c>
      <c r="G8" s="47">
        <v>7</v>
      </c>
      <c r="H8" s="135">
        <f>IF(B$17=0,0,G8/B$17)</f>
        <v>0.125</v>
      </c>
      <c r="I8" s="96">
        <v>3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7</v>
      </c>
      <c r="H9" s="135">
        <f>IF(B$17=0,0,G9/B$17)</f>
        <v>0.125</v>
      </c>
      <c r="I9" s="96">
        <v>8</v>
      </c>
      <c r="K9" s="38">
        <v>7</v>
      </c>
      <c r="L9" s="101">
        <v>-216.09999999999997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9.5238095238095233E-2</v>
      </c>
      <c r="E10" s="63" t="s">
        <v>70</v>
      </c>
      <c r="F10" s="60" t="s">
        <v>25</v>
      </c>
      <c r="G10" s="47">
        <v>5</v>
      </c>
      <c r="H10" s="135">
        <f>IF(B$17=0,0,G10/B$17)</f>
        <v>8.9285714285714288E-2</v>
      </c>
      <c r="I10" s="96">
        <v>11</v>
      </c>
      <c r="K10" s="38">
        <v>8</v>
      </c>
      <c r="L10" s="101">
        <v>-219.59999999999997</v>
      </c>
      <c r="N10" s="116" t="s">
        <v>165</v>
      </c>
      <c r="O10" s="126">
        <f>IF(P10=0,0,Q10/P10)</f>
        <v>-13.520000000000001</v>
      </c>
      <c r="P10" s="120">
        <v>5</v>
      </c>
      <c r="Q10" s="108">
        <v>-67.600000000000009</v>
      </c>
    </row>
    <row r="11" spans="1:17" x14ac:dyDescent="0.4">
      <c r="A11" s="56" t="s">
        <v>140</v>
      </c>
      <c r="B11" s="48">
        <v>1</v>
      </c>
      <c r="C11" s="40">
        <f>IF(B$2=0,0,B11/B$2)</f>
        <v>4.7619047619047616E-2</v>
      </c>
      <c r="E11" s="63" t="s">
        <v>72</v>
      </c>
      <c r="F11" s="60" t="s">
        <v>27</v>
      </c>
      <c r="G11" s="47">
        <v>4</v>
      </c>
      <c r="H11" s="135">
        <f>IF(B$17=0,0,G11/B$17)</f>
        <v>7.1428571428571425E-2</v>
      </c>
      <c r="I11" s="96">
        <v>4</v>
      </c>
      <c r="K11" s="38">
        <v>9</v>
      </c>
      <c r="L11" s="101">
        <v>-260.59999999999997</v>
      </c>
      <c r="N11" s="117" t="s">
        <v>166</v>
      </c>
      <c r="O11" s="127">
        <f>IF(P11=0,0,Q11/P11)</f>
        <v>-5.8083333333333327</v>
      </c>
      <c r="P11" s="121">
        <v>12</v>
      </c>
      <c r="Q11" s="109">
        <v>-69.699999999999989</v>
      </c>
    </row>
    <row r="12" spans="1:17" x14ac:dyDescent="0.4">
      <c r="A12" s="57" t="s">
        <v>160</v>
      </c>
      <c r="B12" s="49">
        <v>1</v>
      </c>
      <c r="C12" s="42">
        <f>IF(B$2=0,0,B12/B$2)</f>
        <v>4.7619047619047616E-2</v>
      </c>
      <c r="E12" s="63" t="s">
        <v>84</v>
      </c>
      <c r="F12" s="60" t="s">
        <v>39</v>
      </c>
      <c r="G12" s="47">
        <v>2</v>
      </c>
      <c r="H12" s="135">
        <f>IF(B$17=0,0,G12/B$17)</f>
        <v>3.5714285714285712E-2</v>
      </c>
      <c r="I12" s="96">
        <v>5</v>
      </c>
      <c r="K12" s="38">
        <v>10</v>
      </c>
      <c r="L12" s="101">
        <v>-318.39999999999998</v>
      </c>
      <c r="N12" s="118" t="s">
        <v>167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122</v>
      </c>
      <c r="B13" s="50">
        <v>41</v>
      </c>
      <c r="C13" s="44">
        <f>IF(B$3=0,0,B13/B$3)</f>
        <v>0.21134020618556701</v>
      </c>
      <c r="E13" s="63" t="s">
        <v>87</v>
      </c>
      <c r="F13" s="60" t="s">
        <v>42</v>
      </c>
      <c r="G13" s="47">
        <v>2</v>
      </c>
      <c r="H13" s="135">
        <f>IF(B$17=0,0,G13/B$17)</f>
        <v>3.5714285714285712E-2</v>
      </c>
      <c r="I13" s="96">
        <v>8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43</v>
      </c>
      <c r="C14" s="39">
        <f>IF(B$3=0,0,B14/B$3)</f>
        <v>0.22164948453608246</v>
      </c>
      <c r="E14" s="63" t="s">
        <v>66</v>
      </c>
      <c r="F14" s="60" t="s">
        <v>22</v>
      </c>
      <c r="G14" s="47">
        <v>1</v>
      </c>
      <c r="H14" s="135">
        <f>IF(B$17=0,0,G14/B$17)</f>
        <v>1.7857142857142856E-2</v>
      </c>
      <c r="I14" s="96">
        <v>9</v>
      </c>
      <c r="K14" s="38">
        <v>12</v>
      </c>
      <c r="L14" s="101">
        <v>-289.59999999999997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22</v>
      </c>
      <c r="C15" s="37">
        <f>IF(B$13=0,0,B15/B$13)</f>
        <v>0.53658536585365857</v>
      </c>
      <c r="E15" s="63" t="s">
        <v>74</v>
      </c>
      <c r="F15" s="60" t="s">
        <v>29</v>
      </c>
      <c r="G15" s="47">
        <v>1</v>
      </c>
      <c r="H15" s="135">
        <f>IF(B$17=0,0,G15/B$17)</f>
        <v>1.7857142857142856E-2</v>
      </c>
      <c r="I15" s="96">
        <v>1</v>
      </c>
      <c r="K15" s="38">
        <v>13</v>
      </c>
      <c r="L15" s="101">
        <v>-302.59999999999997</v>
      </c>
      <c r="N15" s="116" t="s">
        <v>129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125</v>
      </c>
      <c r="B16" s="46">
        <v>15</v>
      </c>
      <c r="C16" s="37">
        <f>IF(B$14=0,0,B16/B$14)</f>
        <v>0.34883720930232559</v>
      </c>
      <c r="E16" s="63" t="s">
        <v>80</v>
      </c>
      <c r="F16" s="60" t="s">
        <v>35</v>
      </c>
      <c r="G16" s="47">
        <v>1</v>
      </c>
      <c r="H16" s="135">
        <f>IF(B$17=0,0,G16/B$17)</f>
        <v>1.7857142857142856E-2</v>
      </c>
      <c r="I16" s="96">
        <v>2</v>
      </c>
      <c r="K16" s="38">
        <v>14</v>
      </c>
      <c r="L16" s="101">
        <v>-269.99999999999994</v>
      </c>
      <c r="N16" s="117" t="s">
        <v>173</v>
      </c>
      <c r="O16" s="127">
        <f>IF(P16=0,0,Q16/P16)</f>
        <v>-0.8000000000000016</v>
      </c>
      <c r="P16" s="121">
        <v>4</v>
      </c>
      <c r="Q16" s="109">
        <v>-3.2000000000000064</v>
      </c>
    </row>
    <row r="17" spans="1:17" x14ac:dyDescent="0.4">
      <c r="A17" s="54" t="s">
        <v>10</v>
      </c>
      <c r="B17" s="46">
        <f>B19+B18</f>
        <v>56</v>
      </c>
      <c r="C17" s="37">
        <f>IF(B$3=0,0,B17/B$3)</f>
        <v>0.28865979381443296</v>
      </c>
      <c r="E17" s="63" t="s">
        <v>92</v>
      </c>
      <c r="F17" s="60" t="s">
        <v>47</v>
      </c>
      <c r="G17" s="47">
        <v>1</v>
      </c>
      <c r="H17" s="135">
        <f>IF(B$17=0,0,G17/B$17)</f>
        <v>1.7857142857142856E-2</v>
      </c>
      <c r="I17" s="96">
        <v>4</v>
      </c>
      <c r="K17" s="38">
        <v>15</v>
      </c>
      <c r="L17" s="101">
        <v>-264.59999999999997</v>
      </c>
      <c r="N17" s="117" t="s">
        <v>128</v>
      </c>
      <c r="O17" s="127">
        <f>IF(P17=0,0,Q17/P17)</f>
        <v>-1.9333333333333311</v>
      </c>
      <c r="P17" s="121">
        <v>12</v>
      </c>
      <c r="Q17" s="109">
        <v>-23.199999999999974</v>
      </c>
    </row>
    <row r="18" spans="1:17" x14ac:dyDescent="0.4">
      <c r="A18" s="55" t="s">
        <v>12</v>
      </c>
      <c r="B18" s="47">
        <v>28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-292.79999999999995</v>
      </c>
      <c r="N18" s="117" t="s">
        <v>172</v>
      </c>
      <c r="O18" s="127">
        <f>IF(P18=0,0,Q18/P18)</f>
        <v>-15.189999999999998</v>
      </c>
      <c r="P18" s="121">
        <v>10</v>
      </c>
      <c r="Q18" s="109">
        <v>-151.89999999999998</v>
      </c>
    </row>
    <row r="19" spans="1:17" x14ac:dyDescent="0.4">
      <c r="A19" s="55" t="s">
        <v>11</v>
      </c>
      <c r="B19" s="47">
        <v>28</v>
      </c>
      <c r="C19" s="39">
        <f>IF(B$17=0,0,B19/B$17)</f>
        <v>0.5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-248.89999999999995</v>
      </c>
      <c r="N19" s="117" t="s">
        <v>178</v>
      </c>
      <c r="O19" s="127">
        <f>IF(P19=0,0,Q19/P19)</f>
        <v>-17.950000000000003</v>
      </c>
      <c r="P19" s="121">
        <v>2</v>
      </c>
      <c r="Q19" s="109">
        <v>-35.900000000000006</v>
      </c>
    </row>
    <row r="20" spans="1:17" x14ac:dyDescent="0.4">
      <c r="A20" s="55" t="s">
        <v>13</v>
      </c>
      <c r="B20" s="47">
        <v>41</v>
      </c>
      <c r="C20" s="39">
        <f>IF(B$3=0,0,B20/B$3)</f>
        <v>0.21134020618556701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-218.99999999999994</v>
      </c>
      <c r="N20" s="117" t="s">
        <v>186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-188.59999999999994</v>
      </c>
      <c r="N21" s="117" t="s">
        <v>127</v>
      </c>
      <c r="O21" s="127">
        <f>IF(P21=0,0,Q21/P21)</f>
        <v>-47.655555555555544</v>
      </c>
      <c r="P21" s="121">
        <v>9</v>
      </c>
      <c r="Q21" s="109">
        <v>-428.89999999999992</v>
      </c>
    </row>
    <row r="22" spans="1:17" x14ac:dyDescent="0.4">
      <c r="A22" s="55" t="s">
        <v>195</v>
      </c>
      <c r="B22" s="47">
        <v>14</v>
      </c>
      <c r="C22" s="137">
        <v>6</v>
      </c>
      <c r="E22" s="63" t="s">
        <v>79</v>
      </c>
      <c r="F22" s="60" t="s">
        <v>34</v>
      </c>
      <c r="G22" s="47">
        <v>0</v>
      </c>
      <c r="H22" s="135">
        <f>IF(B$17=0,0,G22/B$17)</f>
        <v>0</v>
      </c>
      <c r="I22" s="96">
        <v>7</v>
      </c>
      <c r="K22" s="38">
        <v>20</v>
      </c>
      <c r="L22" s="101">
        <v>-182.79999999999993</v>
      </c>
    </row>
    <row r="23" spans="1:17" x14ac:dyDescent="0.4">
      <c r="A23" s="55" t="s">
        <v>5</v>
      </c>
      <c r="B23" s="51">
        <f>IF(B$17=0,0,C23/B$17)</f>
        <v>6416.0714285714284</v>
      </c>
      <c r="C23" s="41">
        <v>359300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  <c r="K23" s="38">
        <v>21</v>
      </c>
      <c r="L23" s="101">
        <v>-203.79999999999993</v>
      </c>
    </row>
    <row r="24" spans="1:17" x14ac:dyDescent="0.4">
      <c r="A24" s="57" t="s">
        <v>14</v>
      </c>
      <c r="B24" s="52">
        <f>IF(B$20=0,0,C24/B$20)</f>
        <v>-7951.2195121951218</v>
      </c>
      <c r="C24" s="45">
        <v>-326000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58900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5.1546391752577319E-3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88BCE-B841-4AA3-9BE3-9B2F1BC2BE06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15</v>
      </c>
      <c r="C2" s="149"/>
      <c r="E2" s="62" t="s">
        <v>73</v>
      </c>
      <c r="F2" s="59" t="s">
        <v>28</v>
      </c>
      <c r="G2" s="46">
        <v>22</v>
      </c>
      <c r="H2" s="134">
        <f>IF(B$17=0,0,G2/B$17)</f>
        <v>0.75862068965517238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-4773.333333333333</v>
      </c>
      <c r="P2" s="120">
        <v>15</v>
      </c>
      <c r="Q2" s="104">
        <v>-71600</v>
      </c>
    </row>
    <row r="3" spans="1:17" x14ac:dyDescent="0.4">
      <c r="A3" s="55" t="s">
        <v>8</v>
      </c>
      <c r="B3" s="150">
        <v>113</v>
      </c>
      <c r="C3" s="151"/>
      <c r="E3" s="63" t="s">
        <v>67</v>
      </c>
      <c r="F3" s="60" t="s">
        <v>23</v>
      </c>
      <c r="G3" s="47">
        <v>12</v>
      </c>
      <c r="H3" s="135">
        <f>IF(B$17=0,0,G3/B$17)</f>
        <v>0.41379310344827586</v>
      </c>
      <c r="I3" s="96">
        <v>11</v>
      </c>
      <c r="K3" s="38">
        <v>1</v>
      </c>
      <c r="L3" s="101">
        <v>-1.9</v>
      </c>
      <c r="N3" s="117" t="s">
        <v>133</v>
      </c>
      <c r="O3" s="124">
        <f t="shared" si="0"/>
        <v>-3307.1428571428573</v>
      </c>
      <c r="P3" s="121">
        <v>14</v>
      </c>
      <c r="Q3" s="105">
        <v>-46300</v>
      </c>
    </row>
    <row r="4" spans="1:17" x14ac:dyDescent="0.4">
      <c r="A4" s="55" t="s">
        <v>6</v>
      </c>
      <c r="B4" s="152">
        <v>-146.19999999999999</v>
      </c>
      <c r="C4" s="153"/>
      <c r="E4" s="63" t="s">
        <v>65</v>
      </c>
      <c r="F4" s="60" t="s">
        <v>21</v>
      </c>
      <c r="G4" s="47">
        <v>11</v>
      </c>
      <c r="H4" s="135">
        <f>IF(B$17=0,0,G4/B$17)</f>
        <v>0.37931034482758619</v>
      </c>
      <c r="I4" s="96">
        <v>11</v>
      </c>
      <c r="K4" s="38">
        <v>2</v>
      </c>
      <c r="L4" s="101">
        <v>30</v>
      </c>
      <c r="N4" s="117" t="s">
        <v>134</v>
      </c>
      <c r="O4" s="124">
        <f t="shared" si="0"/>
        <v>1069.2307692307693</v>
      </c>
      <c r="P4" s="121">
        <v>13</v>
      </c>
      <c r="Q4" s="105">
        <v>13900</v>
      </c>
    </row>
    <row r="5" spans="1:17" x14ac:dyDescent="0.4">
      <c r="A5" s="55" t="s">
        <v>7</v>
      </c>
      <c r="B5" s="154">
        <f>IF(B$2=0,0,B$4/B$2)</f>
        <v>-9.7466666666666661</v>
      </c>
      <c r="C5" s="155"/>
      <c r="E5" s="63" t="s">
        <v>182</v>
      </c>
      <c r="F5" s="60" t="s">
        <v>183</v>
      </c>
      <c r="G5" s="47">
        <v>10</v>
      </c>
      <c r="H5" s="135">
        <f>IF(B$17=0,0,G5/B$17)</f>
        <v>0.34482758620689657</v>
      </c>
      <c r="I5" s="96">
        <v>7</v>
      </c>
      <c r="K5" s="38">
        <v>3</v>
      </c>
      <c r="L5" s="101">
        <v>-10</v>
      </c>
      <c r="N5" s="117" t="s">
        <v>135</v>
      </c>
      <c r="O5" s="124">
        <f t="shared" si="0"/>
        <v>-76.92307692307692</v>
      </c>
      <c r="P5" s="121">
        <v>13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2.1333333333333333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0.17241379310344829</v>
      </c>
      <c r="I6" s="96">
        <v>10</v>
      </c>
      <c r="K6" s="38">
        <v>4</v>
      </c>
      <c r="L6" s="101">
        <v>40</v>
      </c>
      <c r="N6" s="117" t="s">
        <v>136</v>
      </c>
      <c r="O6" s="124">
        <f t="shared" si="0"/>
        <v>-375</v>
      </c>
      <c r="P6" s="121">
        <v>12</v>
      </c>
      <c r="Q6" s="105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5">
        <f>IF(B$17=0,0,G7/B$17)</f>
        <v>0.17241379310344829</v>
      </c>
      <c r="I7" s="96">
        <v>8</v>
      </c>
      <c r="K7" s="38">
        <v>5</v>
      </c>
      <c r="L7" s="101">
        <v>35.4</v>
      </c>
      <c r="N7" s="118" t="s">
        <v>137</v>
      </c>
      <c r="O7" s="125">
        <f t="shared" si="0"/>
        <v>3227.2727272727275</v>
      </c>
      <c r="P7" s="122">
        <v>11</v>
      </c>
      <c r="Q7" s="106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5">
        <f>IF(B$17=0,0,G8/B$17)</f>
        <v>0.13793103448275862</v>
      </c>
      <c r="I8" s="96">
        <v>4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68</v>
      </c>
      <c r="F9" s="60" t="s">
        <v>24</v>
      </c>
      <c r="G9" s="47">
        <v>4</v>
      </c>
      <c r="H9" s="135">
        <f>IF(B$17=0,0,G9/B$17)</f>
        <v>0.13793103448275862</v>
      </c>
      <c r="I9" s="96">
        <v>9</v>
      </c>
      <c r="K9" s="38">
        <v>7</v>
      </c>
      <c r="L9" s="101">
        <v>-30.1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5">
        <f>IF(B$17=0,0,G10/B$17)</f>
        <v>0.10344827586206896</v>
      </c>
      <c r="I10" s="96">
        <v>10</v>
      </c>
      <c r="K10" s="38">
        <v>8</v>
      </c>
      <c r="L10" s="101">
        <v>-87.1</v>
      </c>
      <c r="N10" s="116" t="s">
        <v>165</v>
      </c>
      <c r="O10" s="126">
        <f>IF(P10=0,0,Q10/P10)</f>
        <v>-8.2666666666666675</v>
      </c>
      <c r="P10" s="120">
        <v>3</v>
      </c>
      <c r="Q10" s="108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5">
        <f>IF(B$17=0,0,G11/B$17)</f>
        <v>6.8965517241379309E-2</v>
      </c>
      <c r="I11" s="96">
        <v>1</v>
      </c>
      <c r="K11" s="38">
        <v>9</v>
      </c>
      <c r="L11" s="101">
        <v>-128.6</v>
      </c>
      <c r="N11" s="117" t="s">
        <v>166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5">
        <f>IF(B$17=0,0,G12/B$17)</f>
        <v>3.4482758620689655E-2</v>
      </c>
      <c r="I12" s="96">
        <v>8</v>
      </c>
      <c r="K12" s="38">
        <v>10</v>
      </c>
      <c r="L12" s="101">
        <v>-183.7</v>
      </c>
      <c r="N12" s="118" t="s">
        <v>167</v>
      </c>
      <c r="O12" s="128">
        <f>IF(P12=0,0,Q12/P12)</f>
        <v>1.225000000000001</v>
      </c>
      <c r="P12" s="122">
        <v>8</v>
      </c>
      <c r="Q12" s="110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5">
        <f>IF(B$17=0,0,G13/B$17)</f>
        <v>3.4482758620689655E-2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5">
        <f>IF(B$17=0,0,G14/B$17)</f>
        <v>3.4482758620689655E-2</v>
      </c>
      <c r="I14" s="96">
        <v>6</v>
      </c>
      <c r="K14" s="38">
        <v>12</v>
      </c>
      <c r="L14" s="101">
        <v>-208.09999999999997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5">
        <f>IF(B$17=0,0,G15/B$17)</f>
        <v>3.4482758620689655E-2</v>
      </c>
      <c r="I15" s="96">
        <v>1</v>
      </c>
      <c r="K15" s="38">
        <v>13</v>
      </c>
      <c r="L15" s="101">
        <v>-209.59999999999997</v>
      </c>
      <c r="N15" s="116" t="s">
        <v>187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5">
        <f>IF(B$17=0,0,G16/B$17)</f>
        <v>0</v>
      </c>
      <c r="I16" s="96">
        <v>9</v>
      </c>
      <c r="K16" s="38">
        <v>14</v>
      </c>
      <c r="L16" s="101">
        <v>-178.49999999999997</v>
      </c>
      <c r="N16" s="117" t="s">
        <v>174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5</v>
      </c>
      <c r="K17" s="38">
        <v>15</v>
      </c>
      <c r="L17" s="101">
        <v>-146.19999999999999</v>
      </c>
      <c r="N17" s="117" t="s">
        <v>172</v>
      </c>
      <c r="O17" s="127">
        <f>IF(P17=0,0,Q17/P17)</f>
        <v>12.149999999999999</v>
      </c>
      <c r="P17" s="121">
        <v>2</v>
      </c>
      <c r="Q17" s="109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128</v>
      </c>
      <c r="O18" s="127">
        <f>IF(P18=0,0,Q18/P18)</f>
        <v>0.75000000000000022</v>
      </c>
      <c r="P18" s="121">
        <v>10</v>
      </c>
      <c r="Q18" s="109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129</v>
      </c>
      <c r="O19" s="127">
        <f>IF(P19=0,0,Q19/P19)</f>
        <v>-29.700000000000003</v>
      </c>
      <c r="P19" s="121">
        <v>1</v>
      </c>
      <c r="Q19" s="109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173</v>
      </c>
      <c r="O20" s="127">
        <f>IF(P20=0,0,Q20/P20)</f>
        <v>-34.800000000000004</v>
      </c>
      <c r="P20" s="121">
        <v>2</v>
      </c>
      <c r="Q20" s="109">
        <v>-69.600000000000009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186</v>
      </c>
      <c r="O21" s="127">
        <f>IF(P21=0,0,Q21/P21)</f>
        <v>-45.699999999999996</v>
      </c>
      <c r="P21" s="121">
        <v>3</v>
      </c>
      <c r="Q21" s="109">
        <v>-137.1</v>
      </c>
    </row>
    <row r="22" spans="1:17" x14ac:dyDescent="0.4">
      <c r="A22" s="55" t="s">
        <v>195</v>
      </c>
      <c r="B22" s="47">
        <v>16</v>
      </c>
      <c r="C22" s="137">
        <v>6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N22" s="117" t="s">
        <v>127</v>
      </c>
      <c r="O22" s="127">
        <f>IF(P22=0,0,Q22/P22)</f>
        <v>-48.937500000000007</v>
      </c>
      <c r="P22" s="121">
        <v>8</v>
      </c>
      <c r="Q22" s="109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5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65000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25DBA-3880-482B-ADFF-FCEEC9E132BB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186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</v>
      </c>
      <c r="C2" s="149"/>
      <c r="E2" s="62" t="s">
        <v>65</v>
      </c>
      <c r="F2" s="59" t="s">
        <v>21</v>
      </c>
      <c r="G2" s="46">
        <v>3</v>
      </c>
      <c r="H2" s="134">
        <f>IF(B$17=0,0,G2/B$17)</f>
        <v>0.6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67</v>
      </c>
      <c r="F3" s="60" t="s">
        <v>23</v>
      </c>
      <c r="G3" s="47">
        <v>3</v>
      </c>
      <c r="H3" s="135">
        <f>IF(B$17=0,0,G3/B$17)</f>
        <v>0.6</v>
      </c>
      <c r="I3" s="96">
        <v>10</v>
      </c>
      <c r="K3" s="38">
        <v>1</v>
      </c>
      <c r="L3" s="101">
        <v>-14.6</v>
      </c>
      <c r="N3" s="117" t="s">
        <v>133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73</v>
      </c>
      <c r="F4" s="60" t="s">
        <v>28</v>
      </c>
      <c r="G4" s="47">
        <v>3</v>
      </c>
      <c r="H4" s="135">
        <f>IF(B$17=0,0,G4/B$17)</f>
        <v>0.6</v>
      </c>
      <c r="I4" s="96">
        <v>4</v>
      </c>
      <c r="K4" s="38">
        <v>2</v>
      </c>
      <c r="L4" s="101">
        <v>22.5</v>
      </c>
      <c r="N4" s="117" t="s">
        <v>134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68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135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90</v>
      </c>
      <c r="F6" s="60" t="s">
        <v>45</v>
      </c>
      <c r="G6" s="47">
        <v>2</v>
      </c>
      <c r="H6" s="135">
        <f>IF(B$17=0,0,G6/B$17)</f>
        <v>0.4</v>
      </c>
      <c r="I6" s="96">
        <v>2</v>
      </c>
      <c r="N6" s="117" t="s">
        <v>136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182</v>
      </c>
      <c r="F7" s="60" t="s">
        <v>183</v>
      </c>
      <c r="G7" s="47">
        <v>2</v>
      </c>
      <c r="H7" s="135">
        <f>IF(B$17=0,0,G7/B$17)</f>
        <v>0.4</v>
      </c>
      <c r="I7" s="96">
        <v>4</v>
      </c>
      <c r="N7" s="118" t="s">
        <v>137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5">
        <f>IF(B$17=0,0,G8/B$17)</f>
        <v>0.2</v>
      </c>
      <c r="I8" s="96">
        <v>9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5">
        <f>IF(B$17=0,0,G9/B$17)</f>
        <v>0.2</v>
      </c>
      <c r="I9" s="96">
        <v>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5">
        <f>IF(B$17=0,0,G11/B$17)</f>
        <v>0.2</v>
      </c>
      <c r="I11" s="96">
        <v>1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5">
        <f>IF(B$17=0,0,G14/B$17)</f>
        <v>0</v>
      </c>
      <c r="I14" s="96">
        <v>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187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178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174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5">
        <f>IF(B$17=0,0,G18/B$17)</f>
        <v>0</v>
      </c>
      <c r="I18" s="96">
        <v>4</v>
      </c>
      <c r="N18" s="117" t="s">
        <v>127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12</v>
      </c>
      <c r="C22" s="137">
        <v>12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10</v>
      </c>
    </row>
    <row r="25" spans="1:17" x14ac:dyDescent="0.4">
      <c r="A25" s="92" t="s">
        <v>142</v>
      </c>
      <c r="B25" s="142">
        <v>3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53500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20DAF-3F57-4B0A-B55A-B068C844A9E6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7</v>
      </c>
      <c r="C2" s="149"/>
      <c r="E2" s="62" t="s">
        <v>67</v>
      </c>
      <c r="F2" s="59" t="s">
        <v>23</v>
      </c>
      <c r="G2" s="46">
        <v>10</v>
      </c>
      <c r="H2" s="134">
        <f>IF(B$17=0,0,G2/B$17)</f>
        <v>0.83333333333333337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73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133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65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134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182</v>
      </c>
      <c r="F5" s="60" t="s">
        <v>183</v>
      </c>
      <c r="G5" s="47">
        <v>4</v>
      </c>
      <c r="H5" s="135">
        <f>IF(B$17=0,0,G5/B$17)</f>
        <v>0.33333333333333331</v>
      </c>
      <c r="I5" s="96">
        <v>9</v>
      </c>
      <c r="K5" s="38">
        <v>3</v>
      </c>
      <c r="L5" s="101">
        <v>-78.400000000000006</v>
      </c>
      <c r="N5" s="117" t="s">
        <v>135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90</v>
      </c>
      <c r="F6" s="60" t="s">
        <v>45</v>
      </c>
      <c r="G6" s="47">
        <v>3</v>
      </c>
      <c r="H6" s="135">
        <f>IF(B$17=0,0,G6/B$17)</f>
        <v>0.25</v>
      </c>
      <c r="I6" s="96">
        <v>3</v>
      </c>
      <c r="K6" s="38">
        <v>4</v>
      </c>
      <c r="L6" s="101">
        <v>-49.800000000000004</v>
      </c>
      <c r="N6" s="117" t="s">
        <v>136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5">
        <f>IF(B$17=0,0,G7/B$17)</f>
        <v>0.16666666666666666</v>
      </c>
      <c r="I7" s="96">
        <v>11</v>
      </c>
      <c r="K7" s="38">
        <v>5</v>
      </c>
      <c r="L7" s="101">
        <v>-121</v>
      </c>
      <c r="N7" s="118" t="s">
        <v>137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5">
        <f>IF(B$17=0,0,G8/B$17)</f>
        <v>0.16666666666666666</v>
      </c>
      <c r="I8" s="96">
        <v>9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5">
        <f>IF(B$17=0,0,G9/B$17)</f>
        <v>8.3333333333333329E-2</v>
      </c>
      <c r="I9" s="96">
        <v>7</v>
      </c>
      <c r="K9" s="38">
        <v>7</v>
      </c>
      <c r="L9" s="101">
        <v>-218.2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5">
        <f>IF(B$17=0,0,G10/B$17)</f>
        <v>8.3333333333333329E-2</v>
      </c>
      <c r="I10" s="96">
        <v>1</v>
      </c>
      <c r="N10" s="116" t="s">
        <v>165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5">
        <f>IF(B$17=0,0,G11/B$17)</f>
        <v>8.3333333333333329E-2</v>
      </c>
      <c r="I11" s="96">
        <v>1</v>
      </c>
      <c r="N11" s="117" t="s">
        <v>166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5">
        <f>IF(B$17=0,0,G13/B$17)</f>
        <v>0</v>
      </c>
      <c r="I13" s="96">
        <v>11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5</v>
      </c>
      <c r="N15" s="116" t="s">
        <v>129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172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127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178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  <c r="N19" s="117" t="s">
        <v>128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186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</row>
    <row r="22" spans="1:17" x14ac:dyDescent="0.4">
      <c r="A22" s="55" t="s">
        <v>195</v>
      </c>
      <c r="B22" s="47">
        <v>10</v>
      </c>
      <c r="C22" s="137">
        <v>4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17" x14ac:dyDescent="0.4">
      <c r="A25" s="92" t="s">
        <v>142</v>
      </c>
      <c r="B25" s="142">
        <v>5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43600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51431-25E5-46B3-BC0B-D2ED73BE30AC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203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</v>
      </c>
      <c r="C2" s="149"/>
      <c r="E2" s="62" t="s">
        <v>67</v>
      </c>
      <c r="F2" s="59" t="s">
        <v>23</v>
      </c>
      <c r="G2" s="46">
        <v>3</v>
      </c>
      <c r="H2" s="134">
        <f>IF(B$17=0,0,G2/B$17)</f>
        <v>1.5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-18000</v>
      </c>
      <c r="P2" s="120">
        <v>1</v>
      </c>
      <c r="Q2" s="104">
        <v>-18000</v>
      </c>
    </row>
    <row r="3" spans="1:17" x14ac:dyDescent="0.4">
      <c r="A3" s="55" t="s">
        <v>8</v>
      </c>
      <c r="B3" s="150">
        <v>11</v>
      </c>
      <c r="C3" s="151"/>
      <c r="E3" s="63" t="s">
        <v>68</v>
      </c>
      <c r="F3" s="60" t="s">
        <v>24</v>
      </c>
      <c r="G3" s="47">
        <v>2</v>
      </c>
      <c r="H3" s="135">
        <f>IF(B$17=0,0,G3/B$17)</f>
        <v>1</v>
      </c>
      <c r="I3" s="96">
        <v>1</v>
      </c>
      <c r="K3" s="38">
        <v>1</v>
      </c>
      <c r="L3" s="101">
        <v>-12.5</v>
      </c>
      <c r="N3" s="117" t="s">
        <v>133</v>
      </c>
      <c r="O3" s="124">
        <f t="shared" si="0"/>
        <v>12000</v>
      </c>
      <c r="P3" s="121">
        <v>1</v>
      </c>
      <c r="Q3" s="105">
        <v>12000</v>
      </c>
    </row>
    <row r="4" spans="1:17" x14ac:dyDescent="0.4">
      <c r="A4" s="55" t="s">
        <v>6</v>
      </c>
      <c r="B4" s="152">
        <v>-12.5</v>
      </c>
      <c r="C4" s="153"/>
      <c r="E4" s="63" t="s">
        <v>65</v>
      </c>
      <c r="F4" s="60" t="s">
        <v>21</v>
      </c>
      <c r="G4" s="47">
        <v>1</v>
      </c>
      <c r="H4" s="135">
        <f>IF(B$17=0,0,G4/B$17)</f>
        <v>0.5</v>
      </c>
      <c r="I4" s="96">
        <v>5</v>
      </c>
      <c r="N4" s="117" t="s">
        <v>134</v>
      </c>
      <c r="O4" s="124">
        <f t="shared" si="0"/>
        <v>-10000</v>
      </c>
      <c r="P4" s="121">
        <v>1</v>
      </c>
      <c r="Q4" s="105">
        <v>-10000</v>
      </c>
    </row>
    <row r="5" spans="1:17" x14ac:dyDescent="0.4">
      <c r="A5" s="55" t="s">
        <v>7</v>
      </c>
      <c r="B5" s="154">
        <f>IF(B$2=0,0,B$4/B$2)</f>
        <v>-12.5</v>
      </c>
      <c r="C5" s="155"/>
      <c r="E5" s="63" t="s">
        <v>66</v>
      </c>
      <c r="F5" s="60" t="s">
        <v>22</v>
      </c>
      <c r="G5" s="47">
        <v>1</v>
      </c>
      <c r="H5" s="135">
        <f>IF(B$17=0,0,G5/B$17)</f>
        <v>0.5</v>
      </c>
      <c r="I5" s="96">
        <v>1</v>
      </c>
      <c r="N5" s="117" t="s">
        <v>135</v>
      </c>
      <c r="O5" s="124">
        <f t="shared" si="0"/>
        <v>-1000</v>
      </c>
      <c r="P5" s="121">
        <v>1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</v>
      </c>
      <c r="H6" s="135">
        <f>IF(B$17=0,0,G6/B$17)</f>
        <v>0.5</v>
      </c>
      <c r="I6" s="96">
        <v>1</v>
      </c>
      <c r="N6" s="117" t="s">
        <v>136</v>
      </c>
      <c r="O6" s="124">
        <f t="shared" si="0"/>
        <v>12000</v>
      </c>
      <c r="P6" s="121">
        <v>1</v>
      </c>
      <c r="Q6" s="105">
        <v>12000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5">
        <f>IF(B$17=0,0,G7/B$17)</f>
        <v>0.5</v>
      </c>
      <c r="I7" s="96">
        <v>1</v>
      </c>
      <c r="N7" s="118" t="s">
        <v>137</v>
      </c>
      <c r="O7" s="125">
        <f t="shared" si="0"/>
        <v>-7500</v>
      </c>
      <c r="P7" s="122">
        <v>1</v>
      </c>
      <c r="Q7" s="106">
        <v>-7500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73</v>
      </c>
      <c r="F8" s="60" t="s">
        <v>28</v>
      </c>
      <c r="G8" s="47">
        <v>1</v>
      </c>
      <c r="H8" s="135">
        <f>IF(B$17=0,0,G8/B$17)</f>
        <v>0.5</v>
      </c>
      <c r="I8" s="96">
        <v>8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1</v>
      </c>
      <c r="H9" s="135">
        <f>IF(B$17=0,0,G9/B$17)</f>
        <v>0.5</v>
      </c>
      <c r="I9" s="96">
        <v>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182</v>
      </c>
      <c r="F10" s="60" t="s">
        <v>183</v>
      </c>
      <c r="G10" s="47">
        <v>1</v>
      </c>
      <c r="H10" s="135">
        <f>IF(B$17=0,0,G10/B$17)</f>
        <v>0.5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0</v>
      </c>
      <c r="H11" s="135">
        <f>IF(B$17=0,0,G11/B$17)</f>
        <v>0</v>
      </c>
      <c r="I11" s="96">
        <v>9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72</v>
      </c>
      <c r="F12" s="60" t="s">
        <v>27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-12.5</v>
      </c>
      <c r="P12" s="122">
        <v>1</v>
      </c>
      <c r="Q12" s="110">
        <v>-12.5</v>
      </c>
    </row>
    <row r="13" spans="1:17" x14ac:dyDescent="0.4">
      <c r="A13" s="58" t="s">
        <v>122</v>
      </c>
      <c r="B13" s="50">
        <v>2</v>
      </c>
      <c r="C13" s="44">
        <f>IF(B$3=0,0,B13/B$3)</f>
        <v>0.18181818181818182</v>
      </c>
      <c r="E13" s="63" t="s">
        <v>74</v>
      </c>
      <c r="F13" s="60" t="s">
        <v>29</v>
      </c>
      <c r="G13" s="47">
        <v>0</v>
      </c>
      <c r="H13" s="135">
        <f>IF(B$17=0,0,G13/B$17)</f>
        <v>0</v>
      </c>
      <c r="I13" s="96">
        <v>5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</v>
      </c>
      <c r="C14" s="39">
        <f>IF(B$3=0,0,B14/B$3)</f>
        <v>0.18181818181818182</v>
      </c>
      <c r="E14" s="63" t="s">
        <v>75</v>
      </c>
      <c r="F14" s="60" t="s">
        <v>30</v>
      </c>
      <c r="G14" s="47">
        <v>0</v>
      </c>
      <c r="H14" s="135">
        <f>IF(B$17=0,0,G14/B$17)</f>
        <v>0</v>
      </c>
      <c r="I14" s="96">
        <v>3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76</v>
      </c>
      <c r="F15" s="60" t="s">
        <v>31</v>
      </c>
      <c r="G15" s="47">
        <v>0</v>
      </c>
      <c r="H15" s="135">
        <f>IF(B$17=0,0,G15/B$17)</f>
        <v>0</v>
      </c>
      <c r="I15" s="96">
        <v>6</v>
      </c>
      <c r="N15" s="116" t="s">
        <v>172</v>
      </c>
      <c r="O15" s="126">
        <f>IF(P15=0,0,Q15/P15)</f>
        <v>21.9</v>
      </c>
      <c r="P15" s="120">
        <v>1</v>
      </c>
      <c r="Q15" s="108">
        <v>21.9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77</v>
      </c>
      <c r="F16" s="60" t="s">
        <v>32</v>
      </c>
      <c r="G16" s="47">
        <v>0</v>
      </c>
      <c r="H16" s="135">
        <f>IF(B$17=0,0,G16/B$17)</f>
        <v>0</v>
      </c>
      <c r="I16" s="96">
        <v>1</v>
      </c>
      <c r="N16" s="117" t="s">
        <v>173</v>
      </c>
      <c r="O16" s="127">
        <f>IF(P16=0,0,Q16/P16)</f>
        <v>-59.4</v>
      </c>
      <c r="P16" s="121">
        <v>1</v>
      </c>
      <c r="Q16" s="109">
        <v>-59.4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0.18181818181818182</v>
      </c>
      <c r="E17" s="63" t="s">
        <v>78</v>
      </c>
      <c r="F17" s="60" t="s">
        <v>33</v>
      </c>
      <c r="G17" s="47">
        <v>0</v>
      </c>
      <c r="H17" s="135">
        <f>IF(B$17=0,0,G17/B$17)</f>
        <v>0</v>
      </c>
      <c r="I17" s="96">
        <v>4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5">
        <f>IF(B$17=0,0,G18/B$17)</f>
        <v>0</v>
      </c>
      <c r="I18" s="96">
        <v>7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5">
        <f>IF(B$17=0,0,G19/B$17)</f>
        <v>0</v>
      </c>
      <c r="I19" s="96">
        <v>6</v>
      </c>
    </row>
    <row r="20" spans="1:9" x14ac:dyDescent="0.4">
      <c r="A20" s="55" t="s">
        <v>13</v>
      </c>
      <c r="B20" s="47">
        <v>2</v>
      </c>
      <c r="C20" s="39">
        <f>IF(B$3=0,0,B20/B$3)</f>
        <v>0.18181818181818182</v>
      </c>
      <c r="E20" s="63" t="s">
        <v>81</v>
      </c>
      <c r="F20" s="60" t="s">
        <v>36</v>
      </c>
      <c r="G20" s="47">
        <v>0</v>
      </c>
      <c r="H20" s="135">
        <f>IF(B$17=0,0,G20/B$17)</f>
        <v>0</v>
      </c>
      <c r="I20" s="96">
        <v>1</v>
      </c>
    </row>
    <row r="21" spans="1:9" x14ac:dyDescent="0.4">
      <c r="A21" s="55" t="s">
        <v>194</v>
      </c>
      <c r="B21" s="47">
        <v>1</v>
      </c>
      <c r="C21" s="137">
        <v>0</v>
      </c>
      <c r="E21" s="63" t="s">
        <v>82</v>
      </c>
      <c r="F21" s="60" t="s">
        <v>37</v>
      </c>
      <c r="G21" s="47">
        <v>0</v>
      </c>
      <c r="H21" s="135">
        <f>IF(B$17=0,0,G21/B$17)</f>
        <v>0</v>
      </c>
      <c r="I21" s="96">
        <v>7</v>
      </c>
    </row>
    <row r="22" spans="1:9" x14ac:dyDescent="0.4">
      <c r="A22" s="55" t="s">
        <v>195</v>
      </c>
      <c r="B22" s="47">
        <v>5</v>
      </c>
      <c r="C22" s="137">
        <v>5</v>
      </c>
      <c r="E22" s="63" t="s">
        <v>83</v>
      </c>
      <c r="F22" s="60" t="s">
        <v>38</v>
      </c>
      <c r="G22" s="47">
        <v>0</v>
      </c>
      <c r="H22" s="135">
        <f>IF(B$17=0,0,G22/B$17)</f>
        <v>0</v>
      </c>
      <c r="I22" s="96">
        <v>1</v>
      </c>
    </row>
    <row r="23" spans="1:9" x14ac:dyDescent="0.4">
      <c r="A23" s="55" t="s">
        <v>5</v>
      </c>
      <c r="B23" s="51">
        <f>IF(B$17=0,0,C23/B$17)</f>
        <v>12000</v>
      </c>
      <c r="C23" s="41">
        <v>24000</v>
      </c>
      <c r="E23" s="63" t="s">
        <v>84</v>
      </c>
      <c r="F23" s="60" t="s">
        <v>39</v>
      </c>
      <c r="G23" s="47">
        <v>0</v>
      </c>
      <c r="H23" s="135">
        <f>IF(B$17=0,0,G23/B$17)</f>
        <v>0</v>
      </c>
      <c r="I23" s="96">
        <v>10</v>
      </c>
    </row>
    <row r="24" spans="1:9" x14ac:dyDescent="0.4">
      <c r="A24" s="57" t="s">
        <v>14</v>
      </c>
      <c r="B24" s="52">
        <f>IF(B$20=0,0,C24/B$20)</f>
        <v>-3250</v>
      </c>
      <c r="C24" s="45">
        <v>-6500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9" x14ac:dyDescent="0.4">
      <c r="A25" s="92" t="s">
        <v>142</v>
      </c>
      <c r="B25" s="142">
        <v>3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9" x14ac:dyDescent="0.4">
      <c r="A26" s="58" t="s">
        <v>152</v>
      </c>
      <c r="B26" s="140">
        <v>22500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9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9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9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9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7FC12-2087-48C3-8952-BB6D13BE6ECD}">
  <sheetPr codeName="Sheet26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203</v>
      </c>
      <c r="B1" s="70" t="s">
        <v>203</v>
      </c>
      <c r="C1" s="70" t="s">
        <v>203</v>
      </c>
      <c r="D1" s="71" t="s">
        <v>203</v>
      </c>
      <c r="E1" s="70" t="s">
        <v>203</v>
      </c>
      <c r="F1" s="70" t="s">
        <v>203</v>
      </c>
      <c r="G1" s="70" t="s">
        <v>203</v>
      </c>
      <c r="H1" s="70" t="s">
        <v>203</v>
      </c>
      <c r="I1" s="70" t="s">
        <v>203</v>
      </c>
      <c r="J1" s="70" t="s">
        <v>203</v>
      </c>
      <c r="K1" s="70" t="s">
        <v>203</v>
      </c>
      <c r="L1" s="70" t="s">
        <v>203</v>
      </c>
      <c r="M1" s="70" t="s">
        <v>203</v>
      </c>
      <c r="N1" s="70" t="s">
        <v>203</v>
      </c>
      <c r="O1" s="70" t="s">
        <v>203</v>
      </c>
      <c r="P1" s="70" t="s">
        <v>203</v>
      </c>
      <c r="Q1" s="70" t="s">
        <v>203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BCCFC-BB77-4114-8D06-D3C2F87643C2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187</v>
      </c>
      <c r="B1" s="70" t="s">
        <v>187</v>
      </c>
      <c r="C1" s="70" t="s">
        <v>187</v>
      </c>
      <c r="D1" s="71" t="s">
        <v>187</v>
      </c>
      <c r="E1" s="70" t="s">
        <v>187</v>
      </c>
      <c r="F1" s="70" t="s">
        <v>187</v>
      </c>
      <c r="G1" s="70" t="s">
        <v>187</v>
      </c>
      <c r="H1" s="70" t="s">
        <v>187</v>
      </c>
      <c r="I1" s="70" t="s">
        <v>187</v>
      </c>
      <c r="J1" s="70" t="s">
        <v>187</v>
      </c>
      <c r="K1" s="70" t="s">
        <v>187</v>
      </c>
      <c r="L1" s="70" t="s">
        <v>187</v>
      </c>
      <c r="M1" s="70" t="s">
        <v>187</v>
      </c>
      <c r="N1" s="70" t="s">
        <v>187</v>
      </c>
      <c r="O1" s="70" t="s">
        <v>187</v>
      </c>
      <c r="P1" s="70" t="s">
        <v>187</v>
      </c>
      <c r="Q1" s="70" t="s">
        <v>187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B0EA2-6BE8-4D15-9CA5-D3144222151E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642A8-1CD1-4531-A58A-3F37AC2E2237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55B5C-2691-4F83-AD32-CE56B4C7AB60}">
  <sheetPr codeName="Sheet18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C9DA5-ED08-4FBB-875B-8E50A4481820}">
  <sheetPr codeName="Sheet16"/>
  <dimension ref="A1:Q2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73D3F-2AE6-4FC5-8E88-6003B35F4FA9}">
  <sheetPr codeName="Sheet14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42951-9791-482E-B732-24BA5485412E}">
  <sheetPr codeName="Sheet12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CACF4-7A52-4AAB-9576-D86E8F14778F}">
  <sheetPr codeName="Sheet10"/>
  <dimension ref="A1:Q5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0D6F3-98EF-454B-B407-4100461C799C}">
  <sheetPr codeName="Sheet8"/>
  <dimension ref="A1:Q5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B1AF-CC24-4EEF-B56E-310AFEC8EB0E}">
  <sheetPr codeName="Sheet6"/>
  <dimension ref="A1:Q8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</vt:vector>
  </HeadingPairs>
  <TitlesOfParts>
    <vt:vector size="4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2019-04-20T12:47:01Z</dcterms:modified>
</cp:coreProperties>
</file>