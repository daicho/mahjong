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F9443909-3F2B-44D6-995F-C11F2D772F2E}" xr6:coauthVersionLast="36" xr6:coauthVersionMax="36" xr10:uidLastSave="{00000000-0000-0000-0000-000000000000}"/>
  <bookViews>
    <workbookView xWindow="0" yWindow="0" windowWidth="28800" windowHeight="13050" tabRatio="663" firstSheet="4" activeTab="9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401" r:id="rId6"/>
    <sheet name="だいち" sheetId="5403" r:id="rId7"/>
    <sheet name="りくと" sheetId="5405" r:id="rId8"/>
    <sheet name="ただ" sheetId="5407" r:id="rId9"/>
    <sheet name="れんたろう" sheetId="5409" r:id="rId10"/>
    <sheet name="たかの" sheetId="5411" r:id="rId11"/>
    <sheet name="ぱぱ" sheetId="5413" r:id="rId12"/>
    <sheet name="まっつん" sheetId="5415" r:id="rId13"/>
    <sheet name="あさひ" sheetId="5417" r:id="rId14"/>
    <sheet name="いっしー" sheetId="5419" r:id="rId15"/>
    <sheet name="ほたに" sheetId="5421" r:id="rId16"/>
    <sheet name="かわたつ" sheetId="5423" r:id="rId17"/>
    <sheet name="やがさき" sheetId="5425" r:id="rId18"/>
    <sheet name="やがさき2" sheetId="5426" state="hidden" r:id="rId19"/>
    <sheet name="かわたつ2" sheetId="5424" state="hidden" r:id="rId20"/>
    <sheet name="ほたに2" sheetId="5422" state="hidden" r:id="rId21"/>
    <sheet name="いっしー2" sheetId="5420" state="hidden" r:id="rId22"/>
    <sheet name="あさひ2" sheetId="5418" state="hidden" r:id="rId23"/>
    <sheet name="まっつん2" sheetId="5416" state="hidden" r:id="rId24"/>
    <sheet name="ぱぱ2" sheetId="5414" state="hidden" r:id="rId25"/>
    <sheet name="たかの2" sheetId="5412" state="hidden" r:id="rId26"/>
    <sheet name="れんたろう2" sheetId="5410" state="hidden" r:id="rId27"/>
    <sheet name="ただ2" sheetId="5408" state="hidden" r:id="rId28"/>
    <sheet name="りくと2" sheetId="5406" state="hidden" r:id="rId29"/>
    <sheet name="だいち2" sheetId="5404" state="hidden" r:id="rId30"/>
    <sheet name="全体2" sheetId="5402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409" l="1"/>
  <c r="O25" i="5403" l="1"/>
  <c r="O15" i="5425"/>
  <c r="O15" i="5407" l="1"/>
  <c r="O16" i="5411"/>
  <c r="O16" i="5401"/>
  <c r="O17" i="5425"/>
  <c r="O16" i="5425"/>
  <c r="C27" i="5425"/>
  <c r="B24" i="5425"/>
  <c r="C20" i="5425"/>
  <c r="B17" i="5425"/>
  <c r="H49" i="5425" s="1"/>
  <c r="C16" i="5425"/>
  <c r="C15" i="5425"/>
  <c r="C14" i="5425"/>
  <c r="C13" i="5425"/>
  <c r="O12" i="5425"/>
  <c r="C12" i="5425"/>
  <c r="O11" i="5425"/>
  <c r="C11" i="5425"/>
  <c r="O10" i="5425"/>
  <c r="C10" i="5425"/>
  <c r="C9" i="5425"/>
  <c r="C8" i="5425"/>
  <c r="O7" i="5425"/>
  <c r="C7" i="5425"/>
  <c r="O6" i="5425"/>
  <c r="B6" i="5425"/>
  <c r="O5" i="5425"/>
  <c r="B5" i="5425"/>
  <c r="O4" i="5425"/>
  <c r="O3" i="5425"/>
  <c r="O2" i="5425"/>
  <c r="O15" i="5423"/>
  <c r="O16" i="5423"/>
  <c r="C27" i="5423"/>
  <c r="B24" i="5423"/>
  <c r="C20" i="5423"/>
  <c r="B17" i="5423"/>
  <c r="H48" i="5423" s="1"/>
  <c r="C16" i="5423"/>
  <c r="C15" i="5423"/>
  <c r="C14" i="5423"/>
  <c r="C13" i="5423"/>
  <c r="O12" i="5423"/>
  <c r="C12" i="5423"/>
  <c r="O11" i="5423"/>
  <c r="C11" i="5423"/>
  <c r="O10" i="5423"/>
  <c r="H10" i="5423"/>
  <c r="C10" i="5423"/>
  <c r="C9" i="5423"/>
  <c r="C8" i="5423"/>
  <c r="O7" i="5423"/>
  <c r="C7" i="5423"/>
  <c r="O6" i="5423"/>
  <c r="B6" i="5423"/>
  <c r="O5" i="5423"/>
  <c r="B5" i="5423"/>
  <c r="O4" i="5423"/>
  <c r="O3" i="5423"/>
  <c r="O2" i="5423"/>
  <c r="O23" i="5409"/>
  <c r="O17" i="5403"/>
  <c r="O25" i="5401"/>
  <c r="H3" i="5425" l="1"/>
  <c r="H34" i="5425"/>
  <c r="H16" i="5425"/>
  <c r="H4" i="5425"/>
  <c r="H25" i="5425"/>
  <c r="H9" i="5425"/>
  <c r="H6" i="5425"/>
  <c r="H35" i="5425"/>
  <c r="H43" i="5425"/>
  <c r="H12" i="5425"/>
  <c r="H19" i="5425"/>
  <c r="H44" i="5425"/>
  <c r="H27" i="5425"/>
  <c r="H22" i="5425"/>
  <c r="H7" i="5425"/>
  <c r="H36" i="5425"/>
  <c r="H46" i="5425"/>
  <c r="H29" i="5425"/>
  <c r="H5" i="5425"/>
  <c r="H11" i="5425"/>
  <c r="C18" i="5425"/>
  <c r="H23" i="5425"/>
  <c r="H30" i="5425"/>
  <c r="H39" i="5425"/>
  <c r="H48" i="5425"/>
  <c r="C17" i="5425"/>
  <c r="H28" i="5425"/>
  <c r="H17" i="5425"/>
  <c r="H47" i="5425"/>
  <c r="H8" i="5425"/>
  <c r="H18" i="5425"/>
  <c r="H31" i="5425"/>
  <c r="H40" i="5425"/>
  <c r="H50" i="5425"/>
  <c r="H10" i="5425"/>
  <c r="H21" i="5425"/>
  <c r="H45" i="5425"/>
  <c r="H13" i="5425"/>
  <c r="H37" i="5425"/>
  <c r="B23" i="5425"/>
  <c r="H38" i="5425"/>
  <c r="H14" i="5425"/>
  <c r="H2" i="5425"/>
  <c r="H15" i="5425"/>
  <c r="C19" i="5425"/>
  <c r="H24" i="5425"/>
  <c r="H32" i="5425"/>
  <c r="H42" i="5425"/>
  <c r="H51" i="5425"/>
  <c r="H20" i="5425"/>
  <c r="H26" i="5425"/>
  <c r="H33" i="5425"/>
  <c r="H41" i="5425"/>
  <c r="C17" i="5423"/>
  <c r="H4" i="5423"/>
  <c r="H20" i="5423"/>
  <c r="H26" i="5423"/>
  <c r="H33" i="5423"/>
  <c r="H41" i="5423"/>
  <c r="H49" i="5423"/>
  <c r="H7" i="5423"/>
  <c r="H13" i="5423"/>
  <c r="H21" i="5423"/>
  <c r="H34" i="5423"/>
  <c r="H42" i="5423"/>
  <c r="H50" i="5423"/>
  <c r="H17" i="5423"/>
  <c r="H22" i="5423"/>
  <c r="H27" i="5423"/>
  <c r="H35" i="5423"/>
  <c r="H43" i="5423"/>
  <c r="H51" i="5423"/>
  <c r="H5" i="5423"/>
  <c r="H11" i="5423"/>
  <c r="H14" i="5423"/>
  <c r="C18" i="5423"/>
  <c r="B23" i="5423"/>
  <c r="H28" i="5423"/>
  <c r="H36" i="5423"/>
  <c r="H44" i="5423"/>
  <c r="H2" i="5423"/>
  <c r="H8" i="5423"/>
  <c r="H18" i="5423"/>
  <c r="H23" i="5423"/>
  <c r="H29" i="5423"/>
  <c r="H37" i="5423"/>
  <c r="H45" i="5423"/>
  <c r="H15" i="5423"/>
  <c r="C19" i="5423"/>
  <c r="H30" i="5423"/>
  <c r="H38" i="5423"/>
  <c r="H46" i="5423"/>
  <c r="H3" i="5423"/>
  <c r="H6" i="5423"/>
  <c r="H9" i="5423"/>
  <c r="H12" i="5423"/>
  <c r="H19" i="5423"/>
  <c r="H24" i="5423"/>
  <c r="H31" i="5423"/>
  <c r="H39" i="5423"/>
  <c r="H47" i="5423"/>
  <c r="H16" i="5423"/>
  <c r="H25" i="5423"/>
  <c r="H32" i="5423"/>
  <c r="H40" i="5423"/>
  <c r="O17" i="5411" l="1"/>
  <c r="O16" i="5419"/>
  <c r="O20" i="5421" l="1"/>
  <c r="O18" i="5421"/>
  <c r="O15" i="5415"/>
  <c r="O20" i="5405"/>
  <c r="O24" i="5403" l="1"/>
  <c r="O16" i="5421"/>
  <c r="O21" i="5413"/>
  <c r="O15" i="5421"/>
  <c r="O17" i="5421" l="1"/>
  <c r="O19" i="5421"/>
  <c r="C27" i="5421"/>
  <c r="B24" i="5421"/>
  <c r="C20" i="5421"/>
  <c r="B17" i="5421"/>
  <c r="H49" i="5421" s="1"/>
  <c r="C16" i="5421"/>
  <c r="C15" i="5421"/>
  <c r="C14" i="5421"/>
  <c r="C13" i="5421"/>
  <c r="O12" i="5421"/>
  <c r="C12" i="5421"/>
  <c r="O11" i="5421"/>
  <c r="C11" i="5421"/>
  <c r="O10" i="5421"/>
  <c r="C10" i="5421"/>
  <c r="C9" i="5421"/>
  <c r="C8" i="5421"/>
  <c r="O7" i="5421"/>
  <c r="C7" i="5421"/>
  <c r="O6" i="5421"/>
  <c r="B6" i="5421"/>
  <c r="O5" i="5421"/>
  <c r="B5" i="5421"/>
  <c r="O4" i="5421"/>
  <c r="O3" i="5421"/>
  <c r="O2" i="5421"/>
  <c r="O21" i="5409"/>
  <c r="O18" i="5411"/>
  <c r="O19" i="5401"/>
  <c r="H37" i="5421" l="1"/>
  <c r="C19" i="5421"/>
  <c r="H10" i="5421"/>
  <c r="H42" i="5421"/>
  <c r="H43" i="5421"/>
  <c r="H18" i="5421"/>
  <c r="H11" i="5421"/>
  <c r="H30" i="5421"/>
  <c r="H15" i="5421"/>
  <c r="H46" i="5421"/>
  <c r="H3" i="5421"/>
  <c r="H44" i="5421"/>
  <c r="H5" i="5421"/>
  <c r="H34" i="5421"/>
  <c r="H6" i="5421"/>
  <c r="H17" i="5421"/>
  <c r="H24" i="5421"/>
  <c r="H4" i="5421"/>
  <c r="C18" i="5421"/>
  <c r="H14" i="5421"/>
  <c r="H27" i="5421"/>
  <c r="H45" i="5421"/>
  <c r="H8" i="5421"/>
  <c r="H19" i="5421"/>
  <c r="H31" i="5421"/>
  <c r="H2" i="5421"/>
  <c r="H9" i="5421"/>
  <c r="H12" i="5421"/>
  <c r="H16" i="5421"/>
  <c r="B23" i="5421"/>
  <c r="H36" i="5421"/>
  <c r="H23" i="5421"/>
  <c r="H35" i="5421"/>
  <c r="H47" i="5421"/>
  <c r="H28" i="5421"/>
  <c r="H50" i="5421"/>
  <c r="H21" i="5421"/>
  <c r="H38" i="5421"/>
  <c r="H7" i="5421"/>
  <c r="H13" i="5421"/>
  <c r="C17" i="5421"/>
  <c r="H22" i="5421"/>
  <c r="H29" i="5421"/>
  <c r="H39" i="5421"/>
  <c r="H51" i="5421"/>
  <c r="H25" i="5421"/>
  <c r="H32" i="5421"/>
  <c r="H40" i="5421"/>
  <c r="H48" i="5421"/>
  <c r="H20" i="5421"/>
  <c r="H26" i="5421"/>
  <c r="H33" i="5421"/>
  <c r="H41" i="5421"/>
  <c r="O20" i="5411" l="1"/>
  <c r="O16" i="5407"/>
  <c r="O21" i="5415"/>
  <c r="O20" i="5415"/>
  <c r="O21" i="5403" l="1"/>
  <c r="O17" i="5419"/>
  <c r="O20" i="5419" l="1"/>
  <c r="O15" i="5419"/>
  <c r="O16" i="5409"/>
  <c r="O22" i="5407"/>
  <c r="O17" i="5417" l="1"/>
  <c r="O22" i="5413"/>
  <c r="O15" i="5417"/>
  <c r="O21" i="5419"/>
  <c r="O15" i="5405"/>
  <c r="O17" i="5415"/>
  <c r="O17" i="5401"/>
  <c r="O19" i="5419"/>
  <c r="O18" i="5419"/>
  <c r="C27" i="5419"/>
  <c r="B24" i="5419"/>
  <c r="C20" i="5419"/>
  <c r="B17" i="5419"/>
  <c r="H51" i="5419" s="1"/>
  <c r="C16" i="5419"/>
  <c r="C15" i="5419"/>
  <c r="C14" i="5419"/>
  <c r="C13" i="5419"/>
  <c r="O12" i="5419"/>
  <c r="C12" i="5419"/>
  <c r="O11" i="5419"/>
  <c r="C11" i="5419"/>
  <c r="O10" i="5419"/>
  <c r="C10" i="5419"/>
  <c r="C9" i="5419"/>
  <c r="C8" i="5419"/>
  <c r="O7" i="5419"/>
  <c r="C7" i="5419"/>
  <c r="O6" i="5419"/>
  <c r="B6" i="5419"/>
  <c r="O5" i="5419"/>
  <c r="B5" i="5419"/>
  <c r="O4" i="5419"/>
  <c r="O3" i="5419"/>
  <c r="O2" i="5419"/>
  <c r="O16" i="5417"/>
  <c r="O18" i="5417"/>
  <c r="C27" i="5417"/>
  <c r="B24" i="5417"/>
  <c r="C20" i="5417"/>
  <c r="B17" i="5417"/>
  <c r="H48" i="5417" s="1"/>
  <c r="C16" i="5417"/>
  <c r="C15" i="5417"/>
  <c r="C14" i="5417"/>
  <c r="C13" i="5417"/>
  <c r="O12" i="5417"/>
  <c r="C12" i="5417"/>
  <c r="O11" i="5417"/>
  <c r="C11" i="5417"/>
  <c r="O10" i="5417"/>
  <c r="C10" i="5417"/>
  <c r="C9" i="5417"/>
  <c r="C8" i="5417"/>
  <c r="O7" i="5417"/>
  <c r="C7" i="5417"/>
  <c r="O6" i="5417"/>
  <c r="B6" i="5417"/>
  <c r="O5" i="5417"/>
  <c r="B5" i="5417"/>
  <c r="O4" i="5417"/>
  <c r="O3" i="5417"/>
  <c r="O2" i="5417"/>
  <c r="O22" i="5415"/>
  <c r="O23" i="5415"/>
  <c r="O15" i="5403"/>
  <c r="O16" i="5403"/>
  <c r="O26" i="5401"/>
  <c r="H23" i="5417" l="1"/>
  <c r="H10" i="5417"/>
  <c r="H8" i="5417"/>
  <c r="H2" i="5417"/>
  <c r="H29" i="5417"/>
  <c r="H37" i="5417"/>
  <c r="C17" i="5417"/>
  <c r="H45" i="5417"/>
  <c r="H4" i="5417"/>
  <c r="H18" i="5417"/>
  <c r="H2" i="5419"/>
  <c r="H4" i="5419"/>
  <c r="C17" i="5419"/>
  <c r="H8" i="5419"/>
  <c r="H26" i="5419"/>
  <c r="H41" i="5419"/>
  <c r="H7" i="5419"/>
  <c r="H13" i="5419"/>
  <c r="H42" i="5419"/>
  <c r="H5" i="5419"/>
  <c r="H11" i="5419"/>
  <c r="H14" i="5419"/>
  <c r="C18" i="5419"/>
  <c r="B23" i="5419"/>
  <c r="H28" i="5419"/>
  <c r="H36" i="5419"/>
  <c r="H44" i="5419"/>
  <c r="H18" i="5419"/>
  <c r="H29" i="5419"/>
  <c r="H37" i="5419"/>
  <c r="H15" i="5419"/>
  <c r="H30" i="5419"/>
  <c r="H46" i="5419"/>
  <c r="H3" i="5419"/>
  <c r="H6" i="5419"/>
  <c r="H9" i="5419"/>
  <c r="H12" i="5419"/>
  <c r="H19" i="5419"/>
  <c r="H24" i="5419"/>
  <c r="H31" i="5419"/>
  <c r="H39" i="5419"/>
  <c r="H47" i="5419"/>
  <c r="H23" i="5419"/>
  <c r="H45" i="5419"/>
  <c r="C19" i="5419"/>
  <c r="H38" i="5419"/>
  <c r="H16" i="5419"/>
  <c r="H25" i="5419"/>
  <c r="H32" i="5419"/>
  <c r="H40" i="5419"/>
  <c r="H48" i="5419"/>
  <c r="H10" i="5419"/>
  <c r="H20" i="5419"/>
  <c r="H33" i="5419"/>
  <c r="H49" i="5419"/>
  <c r="H21" i="5419"/>
  <c r="H34" i="5419"/>
  <c r="H50" i="5419"/>
  <c r="H17" i="5419"/>
  <c r="H22" i="5419"/>
  <c r="H27" i="5419"/>
  <c r="H35" i="5419"/>
  <c r="H43" i="5419"/>
  <c r="H20" i="5417"/>
  <c r="H26" i="5417"/>
  <c r="H33" i="5417"/>
  <c r="H41" i="5417"/>
  <c r="H49" i="5417"/>
  <c r="H7" i="5417"/>
  <c r="H13" i="5417"/>
  <c r="H21" i="5417"/>
  <c r="H34" i="5417"/>
  <c r="H42" i="5417"/>
  <c r="H50" i="5417"/>
  <c r="H17" i="5417"/>
  <c r="H22" i="5417"/>
  <c r="H27" i="5417"/>
  <c r="H35" i="5417"/>
  <c r="H43" i="5417"/>
  <c r="H51" i="5417"/>
  <c r="H5" i="5417"/>
  <c r="H11" i="5417"/>
  <c r="H14" i="5417"/>
  <c r="C18" i="5417"/>
  <c r="B23" i="5417"/>
  <c r="H28" i="5417"/>
  <c r="H36" i="5417"/>
  <c r="H44" i="5417"/>
  <c r="H15" i="5417"/>
  <c r="C19" i="5417"/>
  <c r="H30" i="5417"/>
  <c r="H38" i="5417"/>
  <c r="H46" i="5417"/>
  <c r="H3" i="5417"/>
  <c r="H6" i="5417"/>
  <c r="H9" i="5417"/>
  <c r="H12" i="5417"/>
  <c r="H19" i="5417"/>
  <c r="H24" i="5417"/>
  <c r="H31" i="5417"/>
  <c r="H39" i="5417"/>
  <c r="H47" i="5417"/>
  <c r="H16" i="5417"/>
  <c r="H25" i="5417"/>
  <c r="H32" i="5417"/>
  <c r="H40" i="5417"/>
  <c r="O19" i="5415" l="1"/>
  <c r="O18" i="5413"/>
  <c r="O16" i="5413"/>
  <c r="O17" i="5405"/>
  <c r="O19" i="5411" l="1"/>
  <c r="O17" i="5409"/>
  <c r="O17" i="5413"/>
  <c r="O19" i="5413"/>
  <c r="O15" i="5411" l="1"/>
  <c r="O21" i="5407"/>
  <c r="O20" i="5407"/>
  <c r="O16" i="5415"/>
  <c r="O18" i="5415"/>
  <c r="C27" i="5415"/>
  <c r="B24" i="5415"/>
  <c r="C20" i="5415"/>
  <c r="B17" i="5415"/>
  <c r="H48" i="5415" s="1"/>
  <c r="C16" i="5415"/>
  <c r="C15" i="5415"/>
  <c r="C14" i="5415"/>
  <c r="C13" i="5415"/>
  <c r="O12" i="5415"/>
  <c r="C12" i="5415"/>
  <c r="O11" i="5415"/>
  <c r="C11" i="5415"/>
  <c r="O10" i="5415"/>
  <c r="H10" i="5415"/>
  <c r="C10" i="5415"/>
  <c r="C9" i="5415"/>
  <c r="C8" i="5415"/>
  <c r="O7" i="5415"/>
  <c r="C7" i="5415"/>
  <c r="O6" i="5415"/>
  <c r="B6" i="5415"/>
  <c r="O5" i="5415"/>
  <c r="B5" i="5415"/>
  <c r="O4" i="5415"/>
  <c r="O3" i="5415"/>
  <c r="O2" i="5415"/>
  <c r="O22" i="5409"/>
  <c r="O21" i="5405"/>
  <c r="O22" i="5401"/>
  <c r="H2" i="5415" l="1"/>
  <c r="C17" i="5415"/>
  <c r="H4" i="5415"/>
  <c r="H20" i="5415"/>
  <c r="H26" i="5415"/>
  <c r="H33" i="5415"/>
  <c r="H41" i="5415"/>
  <c r="H49" i="5415"/>
  <c r="H7" i="5415"/>
  <c r="H13" i="5415"/>
  <c r="H21" i="5415"/>
  <c r="H34" i="5415"/>
  <c r="H42" i="5415"/>
  <c r="H50" i="5415"/>
  <c r="H17" i="5415"/>
  <c r="H22" i="5415"/>
  <c r="H27" i="5415"/>
  <c r="H35" i="5415"/>
  <c r="H43" i="5415"/>
  <c r="H51" i="5415"/>
  <c r="H5" i="5415"/>
  <c r="H11" i="5415"/>
  <c r="H14" i="5415"/>
  <c r="C18" i="5415"/>
  <c r="B23" i="5415"/>
  <c r="H28" i="5415"/>
  <c r="H36" i="5415"/>
  <c r="H44" i="5415"/>
  <c r="H8" i="5415"/>
  <c r="H18" i="5415"/>
  <c r="H23" i="5415"/>
  <c r="H29" i="5415"/>
  <c r="H37" i="5415"/>
  <c r="H45" i="5415"/>
  <c r="H15" i="5415"/>
  <c r="C19" i="5415"/>
  <c r="H30" i="5415"/>
  <c r="H38" i="5415"/>
  <c r="H46" i="5415"/>
  <c r="H3" i="5415"/>
  <c r="H6" i="5415"/>
  <c r="H9" i="5415"/>
  <c r="H12" i="5415"/>
  <c r="H19" i="5415"/>
  <c r="H24" i="5415"/>
  <c r="H31" i="5415"/>
  <c r="H39" i="5415"/>
  <c r="H47" i="5415"/>
  <c r="H16" i="5415"/>
  <c r="H25" i="5415"/>
  <c r="H32" i="5415"/>
  <c r="H40" i="5415"/>
  <c r="O18" i="5407" l="1"/>
  <c r="O20" i="5413"/>
  <c r="O15" i="5413"/>
  <c r="C27" i="5413"/>
  <c r="B24" i="5413"/>
  <c r="C20" i="5413"/>
  <c r="B17" i="5413"/>
  <c r="H50" i="5413" s="1"/>
  <c r="C16" i="5413"/>
  <c r="C15" i="5413"/>
  <c r="C14" i="5413"/>
  <c r="C13" i="5413"/>
  <c r="O12" i="5413"/>
  <c r="C12" i="5413"/>
  <c r="O11" i="5413"/>
  <c r="C11" i="5413"/>
  <c r="O10" i="5413"/>
  <c r="C10" i="5413"/>
  <c r="C9" i="5413"/>
  <c r="C8" i="5413"/>
  <c r="O7" i="5413"/>
  <c r="C7" i="5413"/>
  <c r="O6" i="5413"/>
  <c r="B6" i="5413"/>
  <c r="O5" i="5413"/>
  <c r="B5" i="5413"/>
  <c r="O4" i="5413"/>
  <c r="O3" i="5413"/>
  <c r="O2" i="5413"/>
  <c r="O20" i="5403"/>
  <c r="O18" i="5401"/>
  <c r="O21" i="5411"/>
  <c r="O19" i="5405"/>
  <c r="O18" i="5405"/>
  <c r="O19" i="5409"/>
  <c r="O22" i="5411"/>
  <c r="O23" i="5411"/>
  <c r="C27" i="5411"/>
  <c r="B24" i="5411"/>
  <c r="C20" i="5411"/>
  <c r="B17" i="5411"/>
  <c r="H51" i="5411" s="1"/>
  <c r="C16" i="5411"/>
  <c r="C15" i="5411"/>
  <c r="C14" i="5411"/>
  <c r="C13" i="5411"/>
  <c r="O12" i="5411"/>
  <c r="C12" i="5411"/>
  <c r="O11" i="5411"/>
  <c r="C11" i="5411"/>
  <c r="O10" i="5411"/>
  <c r="C10" i="5411"/>
  <c r="C9" i="5411"/>
  <c r="C8" i="5411"/>
  <c r="O7" i="5411"/>
  <c r="C7" i="5411"/>
  <c r="O6" i="5411"/>
  <c r="B6" i="5411"/>
  <c r="O5" i="5411"/>
  <c r="B5" i="5411"/>
  <c r="O4" i="5411"/>
  <c r="O3" i="5411"/>
  <c r="O2" i="5411"/>
  <c r="O20" i="5409"/>
  <c r="O18" i="5409"/>
  <c r="C27" i="5409"/>
  <c r="B24" i="5409"/>
  <c r="C20" i="5409"/>
  <c r="B17" i="5409"/>
  <c r="H5" i="5409" s="1"/>
  <c r="C16" i="5409"/>
  <c r="C15" i="5409"/>
  <c r="C14" i="5409"/>
  <c r="C13" i="5409"/>
  <c r="O12" i="5409"/>
  <c r="C12" i="5409"/>
  <c r="O11" i="5409"/>
  <c r="C11" i="5409"/>
  <c r="O10" i="5409"/>
  <c r="C10" i="5409"/>
  <c r="C9" i="5409"/>
  <c r="C8" i="5409"/>
  <c r="O7" i="5409"/>
  <c r="C7" i="5409"/>
  <c r="O6" i="5409"/>
  <c r="B6" i="5409"/>
  <c r="O5" i="5409"/>
  <c r="B5" i="5409"/>
  <c r="O4" i="5409"/>
  <c r="O3" i="5409"/>
  <c r="O2" i="5409"/>
  <c r="O19" i="5403"/>
  <c r="O23" i="5403"/>
  <c r="O21" i="5401"/>
  <c r="O23" i="5401"/>
  <c r="H10" i="5413" l="1"/>
  <c r="H13" i="5409"/>
  <c r="H7" i="5409"/>
  <c r="H38" i="5409"/>
  <c r="H26" i="5409"/>
  <c r="B23" i="5409"/>
  <c r="H4" i="5409"/>
  <c r="H22" i="5409"/>
  <c r="H10" i="5409"/>
  <c r="H15" i="5409"/>
  <c r="H40" i="5409"/>
  <c r="H19" i="5409"/>
  <c r="H2" i="5409"/>
  <c r="H8" i="5409"/>
  <c r="H42" i="5409"/>
  <c r="H24" i="5409"/>
  <c r="H23" i="5409"/>
  <c r="H47" i="5409"/>
  <c r="C17" i="5409"/>
  <c r="C18" i="5409"/>
  <c r="H6" i="5409"/>
  <c r="H27" i="5409"/>
  <c r="H48" i="5409"/>
  <c r="H12" i="5409"/>
  <c r="H46" i="5409"/>
  <c r="H29" i="5409"/>
  <c r="H3" i="5409"/>
  <c r="H11" i="5409"/>
  <c r="C19" i="5409"/>
  <c r="H33" i="5409"/>
  <c r="H28" i="5409"/>
  <c r="H16" i="5409"/>
  <c r="H17" i="5409"/>
  <c r="C17" i="5413"/>
  <c r="H4" i="5413"/>
  <c r="H17" i="5413"/>
  <c r="H22" i="5413"/>
  <c r="H27" i="5413"/>
  <c r="H35" i="5413"/>
  <c r="H43" i="5413"/>
  <c r="H51" i="5413"/>
  <c r="H5" i="5413"/>
  <c r="H11" i="5413"/>
  <c r="H14" i="5413"/>
  <c r="C18" i="5413"/>
  <c r="B23" i="5413"/>
  <c r="H28" i="5413"/>
  <c r="H36" i="5413"/>
  <c r="H44" i="5413"/>
  <c r="H2" i="5413"/>
  <c r="H8" i="5413"/>
  <c r="H18" i="5413"/>
  <c r="H23" i="5413"/>
  <c r="H29" i="5413"/>
  <c r="H37" i="5413"/>
  <c r="H45" i="5413"/>
  <c r="H30" i="5413"/>
  <c r="H38" i="5413"/>
  <c r="H46" i="5413"/>
  <c r="C19" i="5413"/>
  <c r="H3" i="5413"/>
  <c r="H6" i="5413"/>
  <c r="H9" i="5413"/>
  <c r="H12" i="5413"/>
  <c r="H19" i="5413"/>
  <c r="H24" i="5413"/>
  <c r="H31" i="5413"/>
  <c r="H39" i="5413"/>
  <c r="H47" i="5413"/>
  <c r="H15" i="5413"/>
  <c r="H16" i="5413"/>
  <c r="H25" i="5413"/>
  <c r="H32" i="5413"/>
  <c r="H40" i="5413"/>
  <c r="H48" i="5413"/>
  <c r="H20" i="5413"/>
  <c r="H26" i="5413"/>
  <c r="H33" i="5413"/>
  <c r="H41" i="5413"/>
  <c r="H49" i="5413"/>
  <c r="H7" i="5413"/>
  <c r="H13" i="5413"/>
  <c r="H21" i="5413"/>
  <c r="H34" i="5413"/>
  <c r="H42" i="5413"/>
  <c r="H38" i="5411"/>
  <c r="H8" i="5411"/>
  <c r="H5" i="5411"/>
  <c r="H14" i="5411"/>
  <c r="H39" i="5411"/>
  <c r="H19" i="5411"/>
  <c r="H28" i="5411"/>
  <c r="C19" i="5411"/>
  <c r="H42" i="5411"/>
  <c r="H2" i="5411"/>
  <c r="H3" i="5411"/>
  <c r="H11" i="5411"/>
  <c r="H15" i="5411"/>
  <c r="H29" i="5411"/>
  <c r="H39" i="5409"/>
  <c r="H44" i="5411"/>
  <c r="H9" i="5411"/>
  <c r="B23" i="5411"/>
  <c r="C17" i="5411"/>
  <c r="H34" i="5411"/>
  <c r="H46" i="5411"/>
  <c r="H6" i="5411"/>
  <c r="H30" i="5411"/>
  <c r="H31" i="5411"/>
  <c r="H4" i="5411"/>
  <c r="H7" i="5411"/>
  <c r="H13" i="5411"/>
  <c r="C18" i="5411"/>
  <c r="H47" i="5411"/>
  <c r="H12" i="5411"/>
  <c r="H21" i="5411"/>
  <c r="H45" i="5411"/>
  <c r="H10" i="5411"/>
  <c r="H23" i="5411"/>
  <c r="H36" i="5411"/>
  <c r="H18" i="5411"/>
  <c r="H24" i="5411"/>
  <c r="H37" i="5411"/>
  <c r="H50" i="5411"/>
  <c r="H16" i="5411"/>
  <c r="H25" i="5411"/>
  <c r="H32" i="5411"/>
  <c r="H40" i="5411"/>
  <c r="H48" i="5411"/>
  <c r="H20" i="5411"/>
  <c r="H26" i="5411"/>
  <c r="H33" i="5411"/>
  <c r="H41" i="5411"/>
  <c r="H49" i="5411"/>
  <c r="H17" i="5411"/>
  <c r="H22" i="5411"/>
  <c r="H27" i="5411"/>
  <c r="H35" i="5411"/>
  <c r="H43" i="5411"/>
  <c r="H31" i="5409"/>
  <c r="H34" i="5409"/>
  <c r="H50" i="5409"/>
  <c r="H25" i="5409"/>
  <c r="H41" i="5409"/>
  <c r="H49" i="5409"/>
  <c r="H30" i="5409"/>
  <c r="H32" i="5409"/>
  <c r="H35" i="5409"/>
  <c r="H43" i="5409"/>
  <c r="H51" i="5409"/>
  <c r="H14" i="5409"/>
  <c r="H36" i="5409"/>
  <c r="H44" i="5409"/>
  <c r="H18" i="5409"/>
  <c r="H20" i="5409"/>
  <c r="H21" i="5409"/>
  <c r="H9" i="5409"/>
  <c r="H37" i="5409"/>
  <c r="H45" i="5409"/>
  <c r="O17" i="5407" l="1"/>
  <c r="O19" i="5407"/>
  <c r="C27" i="5407"/>
  <c r="B24" i="5407"/>
  <c r="C20" i="5407"/>
  <c r="B17" i="5407"/>
  <c r="H51" i="5407" s="1"/>
  <c r="C16" i="5407"/>
  <c r="C15" i="5407"/>
  <c r="C14" i="5407"/>
  <c r="C13" i="5407"/>
  <c r="O12" i="5407"/>
  <c r="C12" i="5407"/>
  <c r="O11" i="5407"/>
  <c r="C11" i="5407"/>
  <c r="O10" i="5407"/>
  <c r="C10" i="5407"/>
  <c r="C9" i="5407"/>
  <c r="C8" i="5407"/>
  <c r="O7" i="5407"/>
  <c r="C7" i="5407"/>
  <c r="O6" i="5407"/>
  <c r="B6" i="5407"/>
  <c r="O5" i="5407"/>
  <c r="B5" i="5407"/>
  <c r="O4" i="5407"/>
  <c r="O3" i="5407"/>
  <c r="O2" i="5407"/>
  <c r="O22" i="5405"/>
  <c r="O16" i="5405"/>
  <c r="C27" i="5405"/>
  <c r="B24" i="5405"/>
  <c r="C20" i="5405"/>
  <c r="B17" i="5405"/>
  <c r="H49" i="5405" s="1"/>
  <c r="C16" i="5405"/>
  <c r="C15" i="5405"/>
  <c r="C14" i="5405"/>
  <c r="C13" i="5405"/>
  <c r="O12" i="5405"/>
  <c r="C12" i="5405"/>
  <c r="O11" i="5405"/>
  <c r="C11" i="5405"/>
  <c r="O10" i="5405"/>
  <c r="C10" i="5405"/>
  <c r="C9" i="5405"/>
  <c r="C8" i="5405"/>
  <c r="O7" i="5405"/>
  <c r="C7" i="5405"/>
  <c r="O6" i="5405"/>
  <c r="B6" i="5405"/>
  <c r="O5" i="5405"/>
  <c r="B5" i="5405"/>
  <c r="O4" i="5405"/>
  <c r="O3" i="5405"/>
  <c r="O2" i="5405"/>
  <c r="O24" i="5401"/>
  <c r="O18" i="5403"/>
  <c r="O22" i="5403"/>
  <c r="C27" i="5403"/>
  <c r="B24" i="5403"/>
  <c r="C20" i="5403"/>
  <c r="B17" i="5403"/>
  <c r="H51" i="5403" s="1"/>
  <c r="C16" i="5403"/>
  <c r="C15" i="5403"/>
  <c r="C14" i="5403"/>
  <c r="C13" i="5403"/>
  <c r="O12" i="5403"/>
  <c r="C12" i="5403"/>
  <c r="O11" i="5403"/>
  <c r="C11" i="5403"/>
  <c r="O10" i="5403"/>
  <c r="C10" i="5403"/>
  <c r="C9" i="5403"/>
  <c r="C8" i="5403"/>
  <c r="O7" i="5403"/>
  <c r="C7" i="5403"/>
  <c r="O6" i="5403"/>
  <c r="B6" i="5403"/>
  <c r="O5" i="5403"/>
  <c r="B5" i="5403"/>
  <c r="O4" i="5403"/>
  <c r="O3" i="5403"/>
  <c r="O2" i="5403"/>
  <c r="O15" i="5401"/>
  <c r="O20" i="5401"/>
  <c r="C27" i="5401"/>
  <c r="B24" i="5401"/>
  <c r="C20" i="5401"/>
  <c r="B17" i="5401"/>
  <c r="H51" i="5401" s="1"/>
  <c r="C16" i="5401"/>
  <c r="C15" i="5401"/>
  <c r="C14" i="5401"/>
  <c r="C13" i="5401"/>
  <c r="O12" i="5401"/>
  <c r="C12" i="5401"/>
  <c r="O11" i="5401"/>
  <c r="C11" i="5401"/>
  <c r="O10" i="5401"/>
  <c r="C10" i="5401"/>
  <c r="C9" i="5401"/>
  <c r="C8" i="5401"/>
  <c r="O7" i="5401"/>
  <c r="C7" i="5401"/>
  <c r="O6" i="5401"/>
  <c r="B6" i="5401"/>
  <c r="O5" i="5401"/>
  <c r="B5" i="5401"/>
  <c r="O4" i="5401"/>
  <c r="O3" i="5401"/>
  <c r="O2" i="5401"/>
  <c r="H14" i="5407" l="1"/>
  <c r="H36" i="5403"/>
  <c r="H27" i="5403"/>
  <c r="H12" i="5403"/>
  <c r="H7" i="5403"/>
  <c r="H5" i="5407"/>
  <c r="H16" i="5407"/>
  <c r="H19" i="5407"/>
  <c r="H9" i="5407"/>
  <c r="H10" i="5407"/>
  <c r="H3" i="5407"/>
  <c r="H4" i="5407"/>
  <c r="H37" i="5407"/>
  <c r="H33" i="5407"/>
  <c r="H41" i="5407"/>
  <c r="H26" i="5407"/>
  <c r="H24" i="5407"/>
  <c r="H30" i="5407"/>
  <c r="H27" i="5407"/>
  <c r="H11" i="5407"/>
  <c r="C19" i="5407"/>
  <c r="H44" i="5407"/>
  <c r="H20" i="5407"/>
  <c r="H8" i="5407"/>
  <c r="C17" i="5407"/>
  <c r="H2" i="5407"/>
  <c r="H7" i="5407"/>
  <c r="H13" i="5407"/>
  <c r="H45" i="5407"/>
  <c r="H25" i="5407"/>
  <c r="C18" i="5407"/>
  <c r="H32" i="5407"/>
  <c r="H10" i="5403"/>
  <c r="H17" i="5403"/>
  <c r="H2" i="5403"/>
  <c r="H14" i="5403"/>
  <c r="H6" i="5401"/>
  <c r="H17" i="5407"/>
  <c r="H18" i="5407"/>
  <c r="H36" i="5407"/>
  <c r="H46" i="5407"/>
  <c r="H47" i="5407"/>
  <c r="H15" i="5407"/>
  <c r="H12" i="5407"/>
  <c r="H38" i="5407"/>
  <c r="H48" i="5407"/>
  <c r="H29" i="5407"/>
  <c r="H31" i="5407"/>
  <c r="H39" i="5407"/>
  <c r="H49" i="5407"/>
  <c r="H21" i="5407"/>
  <c r="B23" i="5407"/>
  <c r="H23" i="5407"/>
  <c r="H40" i="5407"/>
  <c r="H6" i="5407"/>
  <c r="H28" i="5407"/>
  <c r="H22" i="5407"/>
  <c r="H34" i="5407"/>
  <c r="H42" i="5407"/>
  <c r="H50" i="5407"/>
  <c r="H35" i="5407"/>
  <c r="H43" i="5407"/>
  <c r="H12" i="5401"/>
  <c r="H37" i="5401"/>
  <c r="H38" i="5401"/>
  <c r="H35" i="5405"/>
  <c r="C18" i="5405"/>
  <c r="H36" i="5405"/>
  <c r="H3" i="5405"/>
  <c r="H17" i="5405"/>
  <c r="H4" i="5405"/>
  <c r="H18" i="5405"/>
  <c r="C19" i="5405"/>
  <c r="H8" i="5405"/>
  <c r="H15" i="5405"/>
  <c r="H30" i="5405"/>
  <c r="H44" i="5405"/>
  <c r="H23" i="5405"/>
  <c r="H10" i="5405"/>
  <c r="H37" i="5405"/>
  <c r="H14" i="5405"/>
  <c r="H43" i="5405"/>
  <c r="H2" i="5405"/>
  <c r="H45" i="5405"/>
  <c r="H6" i="5405"/>
  <c r="H24" i="5405"/>
  <c r="H42" i="5405"/>
  <c r="H11" i="5405"/>
  <c r="H27" i="5405"/>
  <c r="H5" i="5405"/>
  <c r="H19" i="5405"/>
  <c r="H31" i="5405"/>
  <c r="H9" i="5405"/>
  <c r="H12" i="5405"/>
  <c r="H16" i="5405"/>
  <c r="B23" i="5405"/>
  <c r="H34" i="5405"/>
  <c r="H46" i="5405"/>
  <c r="H47" i="5405"/>
  <c r="H21" i="5405"/>
  <c r="H28" i="5405"/>
  <c r="H38" i="5405"/>
  <c r="H50" i="5405"/>
  <c r="H7" i="5405"/>
  <c r="H13" i="5405"/>
  <c r="C17" i="5405"/>
  <c r="H22" i="5405"/>
  <c r="H29" i="5405"/>
  <c r="H39" i="5405"/>
  <c r="H51" i="5405"/>
  <c r="H25" i="5405"/>
  <c r="H32" i="5405"/>
  <c r="H40" i="5405"/>
  <c r="H48" i="5405"/>
  <c r="H20" i="5405"/>
  <c r="H26" i="5405"/>
  <c r="H33" i="5405"/>
  <c r="H41" i="5405"/>
  <c r="H10" i="5401"/>
  <c r="H16" i="5401"/>
  <c r="H2" i="5401"/>
  <c r="H23" i="5401"/>
  <c r="H45" i="5403"/>
  <c r="H37" i="5403"/>
  <c r="H30" i="5403"/>
  <c r="H16" i="5403"/>
  <c r="H46" i="5403"/>
  <c r="H3" i="5403"/>
  <c r="H47" i="5403"/>
  <c r="H8" i="5403"/>
  <c r="H26" i="5403"/>
  <c r="H23" i="5403"/>
  <c r="H39" i="5403"/>
  <c r="H48" i="5403"/>
  <c r="H38" i="5403"/>
  <c r="H41" i="5403"/>
  <c r="H9" i="5403"/>
  <c r="H25" i="5403"/>
  <c r="H19" i="5403"/>
  <c r="H18" i="5403"/>
  <c r="H40" i="5403"/>
  <c r="H31" i="5403"/>
  <c r="H22" i="5403"/>
  <c r="H50" i="5403"/>
  <c r="H4" i="5403"/>
  <c r="H11" i="5403"/>
  <c r="H32" i="5403"/>
  <c r="H28" i="5403"/>
  <c r="H42" i="5403"/>
  <c r="H15" i="5403"/>
  <c r="C17" i="5403"/>
  <c r="B23" i="5403"/>
  <c r="H49" i="5403"/>
  <c r="H6" i="5403"/>
  <c r="H20" i="5403"/>
  <c r="C18" i="5403"/>
  <c r="H24" i="5403"/>
  <c r="H21" i="5403"/>
  <c r="C19" i="5403"/>
  <c r="H13" i="5403"/>
  <c r="H35" i="5403"/>
  <c r="H44" i="5403"/>
  <c r="H5" i="5403"/>
  <c r="H33" i="5403"/>
  <c r="H34" i="5403"/>
  <c r="H29" i="5403"/>
  <c r="H43" i="5403"/>
  <c r="H45" i="5401"/>
  <c r="H22" i="5401"/>
  <c r="H15" i="5401"/>
  <c r="H46" i="5401"/>
  <c r="H39" i="5401"/>
  <c r="C17" i="5401"/>
  <c r="H48" i="5401"/>
  <c r="H4" i="5401"/>
  <c r="H41" i="5401"/>
  <c r="H9" i="5401"/>
  <c r="H21" i="5401"/>
  <c r="H40" i="5401"/>
  <c r="H19" i="5401"/>
  <c r="H17" i="5401"/>
  <c r="H7" i="5401"/>
  <c r="H20" i="5401"/>
  <c r="C18" i="5401"/>
  <c r="H28" i="5401"/>
  <c r="H32" i="5401"/>
  <c r="H25" i="5401"/>
  <c r="H42" i="5401"/>
  <c r="H18" i="5401"/>
  <c r="H14" i="5401"/>
  <c r="H47" i="5401"/>
  <c r="H8" i="5401"/>
  <c r="H27" i="5401"/>
  <c r="H29" i="5401"/>
  <c r="B23" i="5401"/>
  <c r="H49" i="5401"/>
  <c r="H33" i="5401"/>
  <c r="H24" i="5401"/>
  <c r="H50" i="5401"/>
  <c r="H3" i="5401"/>
  <c r="H11" i="5401"/>
  <c r="H34" i="5401"/>
  <c r="H26" i="5401"/>
  <c r="C19" i="5401"/>
  <c r="H13" i="5401"/>
  <c r="H36" i="5401"/>
  <c r="H44" i="5401"/>
  <c r="H5" i="5401"/>
  <c r="H35" i="5401"/>
  <c r="H30" i="5401"/>
  <c r="H31" i="5401"/>
  <c r="H43" i="5401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<sst xmlns="http://schemas.openxmlformats.org/spreadsheetml/2006/main" count="3244" uniqueCount="245">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</sst>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全体!$K$2:$K$599</c:f>
              <c:numCache>
                <c:formatCode>General</c:formatCode>
                <c:ptCount val="5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</c:numCache>
            </c:numRef>
          </c:xVal>
          <c:yVal>
            <c:numRef>
              <c:f>全体!$L$2:$L$599</c:f>
              <c:numCache>
                <c:formatCode>\+0.0;\-0.0;\±0</c:formatCode>
                <c:ptCount val="598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6B-4FE4-9336-E859B79F9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-13.40033500837521</c:v>
                </c:pt>
                <c:pt idx="1">
                  <c:v>-6.8728522336769755</c:v>
                </c:pt>
                <c:pt idx="2">
                  <c:v>5.4644808743169397</c:v>
                </c:pt>
                <c:pt idx="3">
                  <c:v>11.976047904191617</c:v>
                </c:pt>
                <c:pt idx="4">
                  <c:v>-15.555555555555555</c:v>
                </c:pt>
                <c:pt idx="5">
                  <c:v>24.875621890547265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C6-4E1F-9B27-78ACAF71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だいち!$K$2:$K$136</c:f>
              <c:numCache>
                <c:formatCode>General</c:formatCode>
                <c:ptCount val="1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</c:numCache>
            </c:numRef>
          </c:xVal>
          <c:yVal>
            <c:numRef>
              <c:f>だいち!$L$2:$L$136</c:f>
              <c:numCache>
                <c:formatCode>\+0.0;\-0.0;\±0</c:formatCode>
                <c:ptCount val="135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70-409D-9ACF-ADC5EE9DA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1689.5522388059701</c:v>
                </c:pt>
                <c:pt idx="1">
                  <c:v>1216.9230769230769</c:v>
                </c:pt>
                <c:pt idx="2">
                  <c:v>1194.3089430894308</c:v>
                </c:pt>
                <c:pt idx="3">
                  <c:v>2585.8407079646017</c:v>
                </c:pt>
                <c:pt idx="4">
                  <c:v>234.34343434343435</c:v>
                </c:pt>
                <c:pt idx="5">
                  <c:v>620.93023255813955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76-4DBC-B978-7F9F67A2E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りくと!$K$2:$K$119</c:f>
              <c:numCache>
                <c:formatCode>General</c:formatCode>
                <c:ptCount val="1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</c:numCache>
            </c:numRef>
          </c:xVal>
          <c:yVal>
            <c:numRef>
              <c:f>りくと!$L$2:$L$119</c:f>
              <c:numCache>
                <c:formatCode>\+0.0;\-0.0;\±0</c:formatCode>
                <c:ptCount val="118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A0-45CA-8D70-BC0ECF224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492.30769230769232</c:v>
                </c:pt>
                <c:pt idx="1">
                  <c:v>-2277.8761061946902</c:v>
                </c:pt>
                <c:pt idx="2">
                  <c:v>94.545454545454547</c:v>
                </c:pt>
                <c:pt idx="3">
                  <c:v>142.85714285714286</c:v>
                </c:pt>
                <c:pt idx="4">
                  <c:v>390.80459770114942</c:v>
                </c:pt>
                <c:pt idx="5">
                  <c:v>555.55555555555554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F4-4AB5-B8E1-2C6D0E5F1D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ただ!$K$2:$K$76</c:f>
              <c:numCache>
                <c:formatCode>General</c:formatCode>
                <c:ptCount val="7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</c:numCache>
            </c:numRef>
          </c:xVal>
          <c:yVal>
            <c:numRef>
              <c:f>ただ!$L$2:$L$76</c:f>
              <c:numCache>
                <c:formatCode>\+0.0;\-0.0;\±0</c:formatCode>
                <c:ptCount val="75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F1-4C7D-B954-48E7F941E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-2313.5135135135133</c:v>
                </c:pt>
                <c:pt idx="1">
                  <c:v>-1302.7777777777778</c:v>
                </c:pt>
                <c:pt idx="2">
                  <c:v>-442.64705882352939</c:v>
                </c:pt>
                <c:pt idx="3">
                  <c:v>-4698.333333333333</c:v>
                </c:pt>
                <c:pt idx="4">
                  <c:v>-1466.6666666666667</c:v>
                </c:pt>
                <c:pt idx="5">
                  <c:v>-2173.4693877551022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01-4AF5-8174-EA7E819D3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れんたろう!$K$2:$K$86</c:f>
              <c:numCache>
                <c:formatCode>General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れんたろう!$L$2:$L$86</c:f>
              <c:numCache>
                <c:formatCode>\+0.0;\-0.0;\±0</c:formatCode>
                <c:ptCount val="85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A-4610-BE3C-BB15F39C7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-532.14285714285711</c:v>
                </c:pt>
                <c:pt idx="1">
                  <c:v>898.78048780487802</c:v>
                </c:pt>
                <c:pt idx="2">
                  <c:v>1672.3684210526317</c:v>
                </c:pt>
                <c:pt idx="3">
                  <c:v>1412.121212121212</c:v>
                </c:pt>
                <c:pt idx="4">
                  <c:v>-375.86206896551727</c:v>
                </c:pt>
                <c:pt idx="5">
                  <c:v>350.94339622641508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8-4A73-A997-CDB312F6A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たかの!$K$2:$K$68</c:f>
              <c:numCache>
                <c:formatCode>General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たかの!$L$2:$L$68</c:f>
              <c:numCache>
                <c:formatCode>\+0.0;\-0.0;\±0</c:formatCode>
                <c:ptCount val="67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F7-4856-96F5-722DB8331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696.969696969697</c:v>
                </c:pt>
                <c:pt idx="1">
                  <c:v>-662.12121212121212</c:v>
                </c:pt>
                <c:pt idx="2">
                  <c:v>-1530.5084745762713</c:v>
                </c:pt>
                <c:pt idx="3">
                  <c:v>641.07142857142856</c:v>
                </c:pt>
                <c:pt idx="4">
                  <c:v>861.11111111111109</c:v>
                </c:pt>
                <c:pt idx="5">
                  <c:v>-258.69565217391306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6D-42CB-9D1C-5E4CA1739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D0-4A09-BE8A-4CD7671A8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-3038.6363636363635</c:v>
                </c:pt>
                <c:pt idx="1">
                  <c:v>2159.090909090909</c:v>
                </c:pt>
                <c:pt idx="2">
                  <c:v>-738.09523809523807</c:v>
                </c:pt>
                <c:pt idx="3">
                  <c:v>-3689.7435897435898</c:v>
                </c:pt>
                <c:pt idx="4">
                  <c:v>-128.57142857142858</c:v>
                </c:pt>
                <c:pt idx="5">
                  <c:v>632.35294117647061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6F-4BC0-90B2-665790308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まっつん!$L$2:$L$53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47-43F1-A748-A8533D45D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327.45098039215685</c:v>
                </c:pt>
                <c:pt idx="1">
                  <c:v>908.33333333333337</c:v>
                </c:pt>
                <c:pt idx="2">
                  <c:v>-1147.7272727272727</c:v>
                </c:pt>
                <c:pt idx="3">
                  <c:v>1418.6046511627908</c:v>
                </c:pt>
                <c:pt idx="4">
                  <c:v>-1741.0256410256411</c:v>
                </c:pt>
                <c:pt idx="5">
                  <c:v>571.875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B8-49CB-88FC-37E86AF4D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4C-45F4-8E88-BD4B51168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87-413C-A675-0ACD9EC67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8F-43C5-A50A-728F714D5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-114.28571428571429</c:v>
                </c:pt>
                <c:pt idx="1">
                  <c:v>-328.57142857142856</c:v>
                </c:pt>
                <c:pt idx="2">
                  <c:v>-850</c:v>
                </c:pt>
                <c:pt idx="3">
                  <c:v>-4700</c:v>
                </c:pt>
                <c:pt idx="4">
                  <c:v>1869.2307692307693</c:v>
                </c:pt>
                <c:pt idx="5">
                  <c:v>-3650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9A-4DED-8F45-D897D9265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56-4F0C-9EF9-2590D2964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-2071.4285714285716</c:v>
                </c:pt>
                <c:pt idx="1">
                  <c:v>2828.5714285714284</c:v>
                </c:pt>
                <c:pt idx="2">
                  <c:v>-6371.4285714285716</c:v>
                </c:pt>
                <c:pt idx="3">
                  <c:v>-2471.4285714285716</c:v>
                </c:pt>
                <c:pt idx="4">
                  <c:v>4240</c:v>
                </c:pt>
                <c:pt idx="5">
                  <c:v>2020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4F-45AE-A418-B021AE083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B7-4327-8A7F-FDBB2E65C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D4-4954-89E2-F76FCB5D65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4E-4A33-AC71-AE2281A24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-7000</c:v>
                </c:pt>
                <c:pt idx="2">
                  <c:v>-3000</c:v>
                </c:pt>
                <c:pt idx="3">
                  <c:v>-1000</c:v>
                </c:pt>
                <c:pt idx="4">
                  <c:v>400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62-42AC-A888-9D2572325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れんたろう2!$B$1:$B$2</c:f>
              <c:strCache>
                <c:ptCount val="2"/>
                <c:pt idx="0">
                  <c:v>れんたろう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れんたろう2!$A$3:$A$87</c:f>
              <c:numCache>
                <c:formatCode>0\ "回"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れんたろう2!$B$3:$B$87</c:f>
              <c:numCache>
                <c:formatCode>\+0.0;\-0.0;\±0</c:formatCode>
                <c:ptCount val="85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れんたろう2!$C$1:$C$2</c:f>
              <c:strCache>
                <c:ptCount val="2"/>
                <c:pt idx="0">
                  <c:v>れんたろう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れんたろう2!$A$3:$A$87</c:f>
              <c:numCache>
                <c:formatCode>0\ "回"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れんたろう2!$C$3:$C$87</c:f>
              <c:numCache>
                <c:formatCode>\+0.0;\-0.0;\±0</c:formatCode>
                <c:ptCount val="85"/>
                <c:pt idx="1">
                  <c:v>-51.2</c:v>
                </c:pt>
                <c:pt idx="2">
                  <c:v>-46.650000000000006</c:v>
                </c:pt>
                <c:pt idx="3">
                  <c:v>-20.033333333333335</c:v>
                </c:pt>
                <c:pt idx="4">
                  <c:v>-2.8250000000000028</c:v>
                </c:pt>
                <c:pt idx="5">
                  <c:v>-7.2200000000000015</c:v>
                </c:pt>
                <c:pt idx="6">
                  <c:v>1.5166666666666657</c:v>
                </c:pt>
                <c:pt idx="7">
                  <c:v>-7.3285714285714292</c:v>
                </c:pt>
                <c:pt idx="8">
                  <c:v>-0.21250000000000036</c:v>
                </c:pt>
                <c:pt idx="9">
                  <c:v>-0.64444444444444471</c:v>
                </c:pt>
                <c:pt idx="10">
                  <c:v>-5.65</c:v>
                </c:pt>
                <c:pt idx="11">
                  <c:v>-2.5090909090909097</c:v>
                </c:pt>
                <c:pt idx="12">
                  <c:v>-3.5750000000000006</c:v>
                </c:pt>
                <c:pt idx="13">
                  <c:v>-4.5153846153846153</c:v>
                </c:pt>
                <c:pt idx="14">
                  <c:v>-2.1</c:v>
                </c:pt>
                <c:pt idx="15">
                  <c:v>-1.7533333333333334</c:v>
                </c:pt>
                <c:pt idx="16">
                  <c:v>-3.1437499999999998</c:v>
                </c:pt>
                <c:pt idx="17">
                  <c:v>-4.3705882352941172</c:v>
                </c:pt>
                <c:pt idx="18">
                  <c:v>-4.2277777777777779</c:v>
                </c:pt>
                <c:pt idx="19">
                  <c:v>3.1578947368421505E-2</c:v>
                </c:pt>
                <c:pt idx="20">
                  <c:v>-0.17999999999999958</c:v>
                </c:pt>
                <c:pt idx="21">
                  <c:v>-0.14761904761904723</c:v>
                </c:pt>
                <c:pt idx="22">
                  <c:v>-0.77727272727272689</c:v>
                </c:pt>
                <c:pt idx="23">
                  <c:v>-2.4217391304347822</c:v>
                </c:pt>
                <c:pt idx="24">
                  <c:v>-2.4791666666666661</c:v>
                </c:pt>
                <c:pt idx="25">
                  <c:v>-1.5999999999999994</c:v>
                </c:pt>
                <c:pt idx="26">
                  <c:v>-2.7346153846153842</c:v>
                </c:pt>
                <c:pt idx="27">
                  <c:v>-2.4518518518518513</c:v>
                </c:pt>
                <c:pt idx="28">
                  <c:v>-4.1607142857142856</c:v>
                </c:pt>
                <c:pt idx="29">
                  <c:v>-4.1999999999999993</c:v>
                </c:pt>
                <c:pt idx="30">
                  <c:v>-5.2066666666666661</c:v>
                </c:pt>
                <c:pt idx="31">
                  <c:v>-2.9645161290322579</c:v>
                </c:pt>
                <c:pt idx="32">
                  <c:v>-3.71875</c:v>
                </c:pt>
                <c:pt idx="33">
                  <c:v>-3.3000000000000003</c:v>
                </c:pt>
                <c:pt idx="34">
                  <c:v>-1.6676470588235295</c:v>
                </c:pt>
                <c:pt idx="35">
                  <c:v>-2.5257142857142858</c:v>
                </c:pt>
                <c:pt idx="36">
                  <c:v>-3.6305555555555551</c:v>
                </c:pt>
                <c:pt idx="37">
                  <c:v>-1.7324324324324323</c:v>
                </c:pt>
                <c:pt idx="38">
                  <c:v>-2.0157894736842104</c:v>
                </c:pt>
                <c:pt idx="39">
                  <c:v>-1.8282051282051281</c:v>
                </c:pt>
                <c:pt idx="40">
                  <c:v>-1.6300000000000001</c:v>
                </c:pt>
                <c:pt idx="41">
                  <c:v>-2.4390243902439024</c:v>
                </c:pt>
                <c:pt idx="42">
                  <c:v>-1.5595238095238095</c:v>
                </c:pt>
                <c:pt idx="43">
                  <c:v>-1.2093023255813953</c:v>
                </c:pt>
                <c:pt idx="44">
                  <c:v>0.19090909090909089</c:v>
                </c:pt>
                <c:pt idx="45">
                  <c:v>-0.72222222222222221</c:v>
                </c:pt>
                <c:pt idx="46">
                  <c:v>-0.13260869565217395</c:v>
                </c:pt>
                <c:pt idx="47">
                  <c:v>-0.70425531914893624</c:v>
                </c:pt>
                <c:pt idx="48">
                  <c:v>-0.70416666666666672</c:v>
                </c:pt>
                <c:pt idx="49">
                  <c:v>-0.47142857142857153</c:v>
                </c:pt>
                <c:pt idx="50">
                  <c:v>-1.5860000000000003</c:v>
                </c:pt>
                <c:pt idx="51">
                  <c:v>-0.32549019607843155</c:v>
                </c:pt>
                <c:pt idx="52">
                  <c:v>0.35576923076923062</c:v>
                </c:pt>
                <c:pt idx="53">
                  <c:v>-7.7358490566037899E-2</c:v>
                </c:pt>
                <c:pt idx="54">
                  <c:v>0.24259259259259242</c:v>
                </c:pt>
                <c:pt idx="55">
                  <c:v>0.4909090909090908</c:v>
                </c:pt>
                <c:pt idx="56">
                  <c:v>-0.83035714285714302</c:v>
                </c:pt>
                <c:pt idx="57">
                  <c:v>-0.61578947368421066</c:v>
                </c:pt>
                <c:pt idx="58">
                  <c:v>-1.1603448275862072</c:v>
                </c:pt>
                <c:pt idx="59">
                  <c:v>-0.89322033898305098</c:v>
                </c:pt>
                <c:pt idx="60">
                  <c:v>0.22666666666666646</c:v>
                </c:pt>
                <c:pt idx="61">
                  <c:v>-0.41147540983606584</c:v>
                </c:pt>
                <c:pt idx="62">
                  <c:v>-0.44516129032258089</c:v>
                </c:pt>
                <c:pt idx="63">
                  <c:v>0.31746031746031722</c:v>
                </c:pt>
                <c:pt idx="64">
                  <c:v>0.9390624999999998</c:v>
                </c:pt>
                <c:pt idx="65">
                  <c:v>2.0246153846153847</c:v>
                </c:pt>
                <c:pt idx="66">
                  <c:v>1.3045454545454545</c:v>
                </c:pt>
                <c:pt idx="67">
                  <c:v>2.2999999999999998</c:v>
                </c:pt>
                <c:pt idx="68">
                  <c:v>2.2397058823529408</c:v>
                </c:pt>
                <c:pt idx="69">
                  <c:v>1.5391304347826085</c:v>
                </c:pt>
                <c:pt idx="70">
                  <c:v>2.097142857142857</c:v>
                </c:pt>
                <c:pt idx="71">
                  <c:v>1.2507042253521123</c:v>
                </c:pt>
                <c:pt idx="72">
                  <c:v>1.3652777777777776</c:v>
                </c:pt>
                <c:pt idx="73">
                  <c:v>2.1410958904109587</c:v>
                </c:pt>
                <c:pt idx="74">
                  <c:v>1.3418918918918916</c:v>
                </c:pt>
                <c:pt idx="75">
                  <c:v>1.9373333333333331</c:v>
                </c:pt>
                <c:pt idx="76">
                  <c:v>2.1486842105263158</c:v>
                </c:pt>
                <c:pt idx="77">
                  <c:v>1.1636363636363634</c:v>
                </c:pt>
                <c:pt idx="78">
                  <c:v>1.2089743589743587</c:v>
                </c:pt>
                <c:pt idx="79">
                  <c:v>1.4999999999999998</c:v>
                </c:pt>
                <c:pt idx="80">
                  <c:v>1.3712499999999999</c:v>
                </c:pt>
                <c:pt idx="81">
                  <c:v>2.1370370370370368</c:v>
                </c:pt>
                <c:pt idx="82">
                  <c:v>2.6109756097560974</c:v>
                </c:pt>
                <c:pt idx="83">
                  <c:v>2.5409638554216869</c:v>
                </c:pt>
                <c:pt idx="84">
                  <c:v>3.2750000000000004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3803776742381916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れんたろう2!$D$1:$D$2</c:f>
              <c:strCache>
                <c:ptCount val="2"/>
                <c:pt idx="0">
                  <c:v>れんたろう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れんたろう2!$A$3:$A$87</c:f>
              <c:numCache>
                <c:formatCode>0\ "回"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れんたろう2!$D$3:$D$87</c:f>
              <c:numCache>
                <c:formatCode>0.00\ "位"</c:formatCode>
                <c:ptCount val="85"/>
                <c:pt idx="1">
                  <c:v>3</c:v>
                </c:pt>
                <c:pt idx="2">
                  <c:v>3</c:v>
                </c:pt>
                <c:pt idx="3">
                  <c:v>2.3333333333333335</c:v>
                </c:pt>
                <c:pt idx="4">
                  <c:v>2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</c:v>
                </c:pt>
                <c:pt idx="9">
                  <c:v>2</c:v>
                </c:pt>
                <c:pt idx="10">
                  <c:v>2.1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1.9285714285714286</c:v>
                </c:pt>
                <c:pt idx="15">
                  <c:v>1.9333333333333333</c:v>
                </c:pt>
                <c:pt idx="16">
                  <c:v>2</c:v>
                </c:pt>
                <c:pt idx="17">
                  <c:v>2.0588235294117645</c:v>
                </c:pt>
                <c:pt idx="18">
                  <c:v>2.0555555555555554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2.0434782608695654</c:v>
                </c:pt>
                <c:pt idx="24">
                  <c:v>2.0416666666666665</c:v>
                </c:pt>
                <c:pt idx="25">
                  <c:v>2.04</c:v>
                </c:pt>
                <c:pt idx="26">
                  <c:v>2.0769230769230771</c:v>
                </c:pt>
                <c:pt idx="27">
                  <c:v>2.074074074074074</c:v>
                </c:pt>
                <c:pt idx="28">
                  <c:v>2.1071428571428572</c:v>
                </c:pt>
                <c:pt idx="29">
                  <c:v>2.103448275862069</c:v>
                </c:pt>
                <c:pt idx="30">
                  <c:v>2.1333333333333333</c:v>
                </c:pt>
                <c:pt idx="31">
                  <c:v>2.096774193548387</c:v>
                </c:pt>
                <c:pt idx="32">
                  <c:v>2.125</c:v>
                </c:pt>
                <c:pt idx="33">
                  <c:v>2.1212121212121211</c:v>
                </c:pt>
                <c:pt idx="34">
                  <c:v>2.0882352941176472</c:v>
                </c:pt>
                <c:pt idx="35">
                  <c:v>2.1142857142857143</c:v>
                </c:pt>
                <c:pt idx="36">
                  <c:v>2.1388888888888888</c:v>
                </c:pt>
                <c:pt idx="37">
                  <c:v>2.1081081081081079</c:v>
                </c:pt>
                <c:pt idx="38">
                  <c:v>2.1052631578947367</c:v>
                </c:pt>
                <c:pt idx="39">
                  <c:v>2.1025641025641026</c:v>
                </c:pt>
                <c:pt idx="40">
                  <c:v>2.1</c:v>
                </c:pt>
                <c:pt idx="41">
                  <c:v>2.1219512195121952</c:v>
                </c:pt>
                <c:pt idx="42">
                  <c:v>2.0952380952380953</c:v>
                </c:pt>
                <c:pt idx="43">
                  <c:v>2.0930232558139537</c:v>
                </c:pt>
                <c:pt idx="44">
                  <c:v>2.0681818181818183</c:v>
                </c:pt>
                <c:pt idx="45">
                  <c:v>2.088888888888889</c:v>
                </c:pt>
                <c:pt idx="46">
                  <c:v>2.0652173913043477</c:v>
                </c:pt>
                <c:pt idx="47">
                  <c:v>2.0851063829787235</c:v>
                </c:pt>
                <c:pt idx="48">
                  <c:v>2.0833333333333335</c:v>
                </c:pt>
                <c:pt idx="49">
                  <c:v>2.0816326530612246</c:v>
                </c:pt>
                <c:pt idx="50">
                  <c:v>2.1</c:v>
                </c:pt>
                <c:pt idx="51">
                  <c:v>2.0784313725490198</c:v>
                </c:pt>
                <c:pt idx="52">
                  <c:v>2.0576923076923075</c:v>
                </c:pt>
                <c:pt idx="53">
                  <c:v>2.0754716981132075</c:v>
                </c:pt>
                <c:pt idx="54">
                  <c:v>2.074074074074074</c:v>
                </c:pt>
                <c:pt idx="55">
                  <c:v>2.0727272727272728</c:v>
                </c:pt>
                <c:pt idx="56">
                  <c:v>2.0892857142857144</c:v>
                </c:pt>
                <c:pt idx="57">
                  <c:v>2.0877192982456139</c:v>
                </c:pt>
                <c:pt idx="58">
                  <c:v>2.103448275862069</c:v>
                </c:pt>
                <c:pt idx="59">
                  <c:v>2.1016949152542375</c:v>
                </c:pt>
                <c:pt idx="60">
                  <c:v>2.0833333333333335</c:v>
                </c:pt>
                <c:pt idx="61">
                  <c:v>2.098360655737705</c:v>
                </c:pt>
                <c:pt idx="62">
                  <c:v>2.096774193548387</c:v>
                </c:pt>
                <c:pt idx="63">
                  <c:v>2.0793650793650795</c:v>
                </c:pt>
                <c:pt idx="64">
                  <c:v>2.0625</c:v>
                </c:pt>
                <c:pt idx="65">
                  <c:v>2.046153846153846</c:v>
                </c:pt>
                <c:pt idx="66">
                  <c:v>2.0606060606060606</c:v>
                </c:pt>
                <c:pt idx="67">
                  <c:v>2.044776119402985</c:v>
                </c:pt>
                <c:pt idx="68">
                  <c:v>2.0441176470588234</c:v>
                </c:pt>
                <c:pt idx="69">
                  <c:v>2.0579710144927534</c:v>
                </c:pt>
                <c:pt idx="70">
                  <c:v>2.0428571428571427</c:v>
                </c:pt>
                <c:pt idx="71">
                  <c:v>2.056338028169014</c:v>
                </c:pt>
                <c:pt idx="72">
                  <c:v>2.0555555555555554</c:v>
                </c:pt>
                <c:pt idx="73">
                  <c:v>2.0410958904109591</c:v>
                </c:pt>
                <c:pt idx="74">
                  <c:v>2.0540540540540539</c:v>
                </c:pt>
                <c:pt idx="75">
                  <c:v>2.04</c:v>
                </c:pt>
                <c:pt idx="76">
                  <c:v>2.0394736842105261</c:v>
                </c:pt>
                <c:pt idx="77">
                  <c:v>2.051948051948052</c:v>
                </c:pt>
                <c:pt idx="78">
                  <c:v>2.0512820512820511</c:v>
                </c:pt>
                <c:pt idx="79">
                  <c:v>2.037974683544304</c:v>
                </c:pt>
                <c:pt idx="80">
                  <c:v>2.0375000000000001</c:v>
                </c:pt>
                <c:pt idx="81">
                  <c:v>2.0246913580246915</c:v>
                </c:pt>
                <c:pt idx="82">
                  <c:v>2.0121951219512195</c:v>
                </c:pt>
                <c:pt idx="83">
                  <c:v>2.0120481927710845</c:v>
                </c:pt>
                <c:pt idx="8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れんたろう2!$E$1:$E$2</c:f>
              <c:strCache>
                <c:ptCount val="2"/>
                <c:pt idx="0">
                  <c:v>れんたろう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れんたろう2!$A$3:$A$87</c:f>
              <c:numCache>
                <c:formatCode>0\ "回"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れんたろう2!$E$3:$E$87</c:f>
              <c:numCache>
                <c:formatCode>0.0%</c:formatCode>
                <c:ptCount val="85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0.36842105263157893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0.25806451612903225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0.26470588235294118</c:v>
                </c:pt>
                <c:pt idx="35">
                  <c:v>0.25714285714285712</c:v>
                </c:pt>
                <c:pt idx="36">
                  <c:v>0.25</c:v>
                </c:pt>
                <c:pt idx="37">
                  <c:v>0.27027027027027029</c:v>
                </c:pt>
                <c:pt idx="38">
                  <c:v>0.26315789473684209</c:v>
                </c:pt>
                <c:pt idx="39">
                  <c:v>0.25641025641025639</c:v>
                </c:pt>
                <c:pt idx="40">
                  <c:v>0.25</c:v>
                </c:pt>
                <c:pt idx="41">
                  <c:v>0.24390243902439024</c:v>
                </c:pt>
                <c:pt idx="42">
                  <c:v>0.26190476190476192</c:v>
                </c:pt>
                <c:pt idx="43">
                  <c:v>0.2558139534883721</c:v>
                </c:pt>
                <c:pt idx="44">
                  <c:v>0.27272727272727271</c:v>
                </c:pt>
                <c:pt idx="45">
                  <c:v>0.26666666666666666</c:v>
                </c:pt>
                <c:pt idx="46">
                  <c:v>0.28260869565217389</c:v>
                </c:pt>
                <c:pt idx="47">
                  <c:v>0.27659574468085107</c:v>
                </c:pt>
                <c:pt idx="48">
                  <c:v>0.27083333333333331</c:v>
                </c:pt>
                <c:pt idx="49">
                  <c:v>0.26530612244897961</c:v>
                </c:pt>
                <c:pt idx="50">
                  <c:v>0.26</c:v>
                </c:pt>
                <c:pt idx="51">
                  <c:v>0.27450980392156865</c:v>
                </c:pt>
                <c:pt idx="52">
                  <c:v>0.28846153846153844</c:v>
                </c:pt>
                <c:pt idx="53">
                  <c:v>0.28301886792452829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0.26785714285714285</c:v>
                </c:pt>
                <c:pt idx="57">
                  <c:v>0.26315789473684209</c:v>
                </c:pt>
                <c:pt idx="58">
                  <c:v>0.25862068965517243</c:v>
                </c:pt>
                <c:pt idx="59">
                  <c:v>0.25423728813559321</c:v>
                </c:pt>
                <c:pt idx="60">
                  <c:v>0.26666666666666666</c:v>
                </c:pt>
                <c:pt idx="61">
                  <c:v>0.26229508196721313</c:v>
                </c:pt>
                <c:pt idx="62">
                  <c:v>0.25806451612903225</c:v>
                </c:pt>
                <c:pt idx="63">
                  <c:v>0.26984126984126983</c:v>
                </c:pt>
                <c:pt idx="64">
                  <c:v>0.28125</c:v>
                </c:pt>
                <c:pt idx="65">
                  <c:v>0.29230769230769232</c:v>
                </c:pt>
                <c:pt idx="66">
                  <c:v>0.2878787878787879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0.28985507246376813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0.30136986301369861</c:v>
                </c:pt>
                <c:pt idx="74">
                  <c:v>0.29729729729729731</c:v>
                </c:pt>
                <c:pt idx="75">
                  <c:v>0.30666666666666664</c:v>
                </c:pt>
                <c:pt idx="76">
                  <c:v>0.30263157894736842</c:v>
                </c:pt>
                <c:pt idx="77">
                  <c:v>0.29870129870129869</c:v>
                </c:pt>
                <c:pt idx="78">
                  <c:v>0.29487179487179488</c:v>
                </c:pt>
                <c:pt idx="79">
                  <c:v>0.30379746835443039</c:v>
                </c:pt>
                <c:pt idx="80">
                  <c:v>0.3</c:v>
                </c:pt>
                <c:pt idx="81">
                  <c:v>0.30864197530864196</c:v>
                </c:pt>
                <c:pt idx="82">
                  <c:v>0.31707317073170732</c:v>
                </c:pt>
                <c:pt idx="83">
                  <c:v>0.31325301204819278</c:v>
                </c:pt>
                <c:pt idx="84">
                  <c:v>0.32142857142857145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れんたろう2!$F$1:$F$2</c:f>
              <c:strCache>
                <c:ptCount val="2"/>
                <c:pt idx="0">
                  <c:v>れんたろう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れんたろう2!$A$3:$A$87</c:f>
              <c:numCache>
                <c:formatCode>0\ "回"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れんたろう2!$F$3:$F$87</c:f>
              <c:numCache>
                <c:formatCode>0.0%</c:formatCode>
                <c:ptCount val="85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0.5714285714285714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0.37142857142857144</c:v>
                </c:pt>
                <c:pt idx="36">
                  <c:v>0.3888888888888889</c:v>
                </c:pt>
                <c:pt idx="37">
                  <c:v>0.3783783783783784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0.35</c:v>
                </c:pt>
                <c:pt idx="41">
                  <c:v>0.36585365853658536</c:v>
                </c:pt>
                <c:pt idx="42">
                  <c:v>0.35714285714285715</c:v>
                </c:pt>
                <c:pt idx="43">
                  <c:v>0.34883720930232559</c:v>
                </c:pt>
                <c:pt idx="44">
                  <c:v>0.34090909090909088</c:v>
                </c:pt>
                <c:pt idx="45">
                  <c:v>0.35555555555555557</c:v>
                </c:pt>
                <c:pt idx="46">
                  <c:v>0.34782608695652173</c:v>
                </c:pt>
                <c:pt idx="47">
                  <c:v>0.36170212765957449</c:v>
                </c:pt>
                <c:pt idx="48">
                  <c:v>0.35416666666666669</c:v>
                </c:pt>
                <c:pt idx="49">
                  <c:v>0.34693877551020408</c:v>
                </c:pt>
                <c:pt idx="50">
                  <c:v>0.36</c:v>
                </c:pt>
                <c:pt idx="51">
                  <c:v>0.35294117647058826</c:v>
                </c:pt>
                <c:pt idx="52">
                  <c:v>0.34615384615384615</c:v>
                </c:pt>
                <c:pt idx="53">
                  <c:v>0.35849056603773582</c:v>
                </c:pt>
                <c:pt idx="54">
                  <c:v>0.35185185185185186</c:v>
                </c:pt>
                <c:pt idx="55">
                  <c:v>0.34545454545454546</c:v>
                </c:pt>
                <c:pt idx="56">
                  <c:v>0.35714285714285715</c:v>
                </c:pt>
                <c:pt idx="57">
                  <c:v>0.35087719298245612</c:v>
                </c:pt>
                <c:pt idx="58">
                  <c:v>0.36206896551724138</c:v>
                </c:pt>
                <c:pt idx="59">
                  <c:v>0.3559322033898305</c:v>
                </c:pt>
                <c:pt idx="60">
                  <c:v>0.35</c:v>
                </c:pt>
                <c:pt idx="61">
                  <c:v>0.36065573770491804</c:v>
                </c:pt>
                <c:pt idx="62">
                  <c:v>0.35483870967741937</c:v>
                </c:pt>
                <c:pt idx="63">
                  <c:v>0.34920634920634919</c:v>
                </c:pt>
                <c:pt idx="64">
                  <c:v>0.34375</c:v>
                </c:pt>
                <c:pt idx="65">
                  <c:v>0.33846153846153848</c:v>
                </c:pt>
                <c:pt idx="66">
                  <c:v>0.34848484848484851</c:v>
                </c:pt>
                <c:pt idx="67">
                  <c:v>0.34328358208955223</c:v>
                </c:pt>
                <c:pt idx="68">
                  <c:v>0.33823529411764708</c:v>
                </c:pt>
                <c:pt idx="69">
                  <c:v>0.34782608695652173</c:v>
                </c:pt>
                <c:pt idx="70">
                  <c:v>0.34285714285714286</c:v>
                </c:pt>
                <c:pt idx="71">
                  <c:v>0.352112676056338</c:v>
                </c:pt>
                <c:pt idx="72">
                  <c:v>0.34722222222222221</c:v>
                </c:pt>
                <c:pt idx="73">
                  <c:v>0.34246575342465752</c:v>
                </c:pt>
                <c:pt idx="74">
                  <c:v>0.35135135135135137</c:v>
                </c:pt>
                <c:pt idx="75">
                  <c:v>0.34666666666666668</c:v>
                </c:pt>
                <c:pt idx="76">
                  <c:v>0.34210526315789475</c:v>
                </c:pt>
                <c:pt idx="77">
                  <c:v>0.35064935064935066</c:v>
                </c:pt>
                <c:pt idx="78">
                  <c:v>0.34615384615384615</c:v>
                </c:pt>
                <c:pt idx="79">
                  <c:v>0.34177215189873417</c:v>
                </c:pt>
                <c:pt idx="80">
                  <c:v>0.33750000000000002</c:v>
                </c:pt>
                <c:pt idx="81">
                  <c:v>0.33333333333333331</c:v>
                </c:pt>
                <c:pt idx="82">
                  <c:v>0.32926829268292684</c:v>
                </c:pt>
                <c:pt idx="83">
                  <c:v>0.3253012048192771</c:v>
                </c:pt>
                <c:pt idx="84">
                  <c:v>0.32142857142857145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れんたろう2!$G$1:$G$2</c:f>
              <c:strCache>
                <c:ptCount val="2"/>
                <c:pt idx="0">
                  <c:v>れんたろう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れんたろう2!$A$3:$A$87</c:f>
              <c:numCache>
                <c:formatCode>0\ "回"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れんたろう2!$G$3:$G$87</c:f>
              <c:numCache>
                <c:formatCode>0.0%</c:formatCode>
                <c:ptCount val="85"/>
                <c:pt idx="1">
                  <c:v>0.14285714285714285</c:v>
                </c:pt>
                <c:pt idx="2">
                  <c:v>0.125</c:v>
                </c:pt>
                <c:pt idx="3">
                  <c:v>0.21739130434782608</c:v>
                </c:pt>
                <c:pt idx="4">
                  <c:v>0.22222222222222221</c:v>
                </c:pt>
                <c:pt idx="5">
                  <c:v>0.24324324324324326</c:v>
                </c:pt>
                <c:pt idx="6">
                  <c:v>0.26530612244897961</c:v>
                </c:pt>
                <c:pt idx="7">
                  <c:v>0.24561403508771928</c:v>
                </c:pt>
                <c:pt idx="8">
                  <c:v>0.27536231884057971</c:v>
                </c:pt>
                <c:pt idx="9">
                  <c:v>0.27272727272727271</c:v>
                </c:pt>
                <c:pt idx="10">
                  <c:v>0.25882352941176473</c:v>
                </c:pt>
                <c:pt idx="11">
                  <c:v>0.25263157894736843</c:v>
                </c:pt>
                <c:pt idx="12">
                  <c:v>0.22857142857142856</c:v>
                </c:pt>
                <c:pt idx="13">
                  <c:v>0.22033898305084745</c:v>
                </c:pt>
                <c:pt idx="14">
                  <c:v>0.23387096774193547</c:v>
                </c:pt>
                <c:pt idx="15">
                  <c:v>0.23255813953488372</c:v>
                </c:pt>
                <c:pt idx="16">
                  <c:v>0.22627737226277372</c:v>
                </c:pt>
                <c:pt idx="17">
                  <c:v>0.22068965517241379</c:v>
                </c:pt>
                <c:pt idx="18">
                  <c:v>0.23717948717948717</c:v>
                </c:pt>
                <c:pt idx="19">
                  <c:v>0.26035502958579881</c:v>
                </c:pt>
                <c:pt idx="20">
                  <c:v>0.25698324022346369</c:v>
                </c:pt>
                <c:pt idx="21">
                  <c:v>0.26063829787234044</c:v>
                </c:pt>
                <c:pt idx="22">
                  <c:v>0.25</c:v>
                </c:pt>
                <c:pt idx="23">
                  <c:v>0.2413793103448276</c:v>
                </c:pt>
                <c:pt idx="24">
                  <c:v>0.24285714285714285</c:v>
                </c:pt>
                <c:pt idx="25">
                  <c:v>0.24311926605504589</c:v>
                </c:pt>
                <c:pt idx="26">
                  <c:v>0.24229074889867841</c:v>
                </c:pt>
                <c:pt idx="27">
                  <c:v>0.24166666666666667</c:v>
                </c:pt>
                <c:pt idx="28">
                  <c:v>0.23577235772357724</c:v>
                </c:pt>
                <c:pt idx="29">
                  <c:v>0.23412698412698413</c:v>
                </c:pt>
                <c:pt idx="30">
                  <c:v>0.23574144486692014</c:v>
                </c:pt>
                <c:pt idx="31">
                  <c:v>0.23985239852398524</c:v>
                </c:pt>
                <c:pt idx="32">
                  <c:v>0.23843416370106763</c:v>
                </c:pt>
                <c:pt idx="33">
                  <c:v>0.24305555555555555</c:v>
                </c:pt>
                <c:pt idx="34">
                  <c:v>0.24914675767918087</c:v>
                </c:pt>
                <c:pt idx="35">
                  <c:v>0.24749163879598662</c:v>
                </c:pt>
                <c:pt idx="36">
                  <c:v>0.24104234527687296</c:v>
                </c:pt>
                <c:pt idx="37">
                  <c:v>0.24281150159744408</c:v>
                </c:pt>
                <c:pt idx="38">
                  <c:v>0.24374999999999999</c:v>
                </c:pt>
                <c:pt idx="39">
                  <c:v>0.24770642201834864</c:v>
                </c:pt>
                <c:pt idx="40">
                  <c:v>0.24850299401197604</c:v>
                </c:pt>
                <c:pt idx="41">
                  <c:v>0.24561403508771928</c:v>
                </c:pt>
                <c:pt idx="42">
                  <c:v>0.24645892351274787</c:v>
                </c:pt>
                <c:pt idx="43">
                  <c:v>0.24929971988795518</c:v>
                </c:pt>
                <c:pt idx="44">
                  <c:v>0.2541436464088398</c:v>
                </c:pt>
                <c:pt idx="45">
                  <c:v>0.25067385444743934</c:v>
                </c:pt>
                <c:pt idx="46">
                  <c:v>0.24934383202099739</c:v>
                </c:pt>
                <c:pt idx="47">
                  <c:v>0.25125628140703515</c:v>
                </c:pt>
                <c:pt idx="48">
                  <c:v>0.25247524752475248</c:v>
                </c:pt>
                <c:pt idx="49">
                  <c:v>0.25423728813559321</c:v>
                </c:pt>
                <c:pt idx="50">
                  <c:v>0.24882629107981222</c:v>
                </c:pt>
                <c:pt idx="51">
                  <c:v>0.25231481481481483</c:v>
                </c:pt>
                <c:pt idx="52">
                  <c:v>0.25623582766439912</c:v>
                </c:pt>
                <c:pt idx="53">
                  <c:v>0.25389755011135856</c:v>
                </c:pt>
                <c:pt idx="54">
                  <c:v>0.25934065934065936</c:v>
                </c:pt>
                <c:pt idx="55">
                  <c:v>0.26236559139784948</c:v>
                </c:pt>
                <c:pt idx="56">
                  <c:v>0.26012793176972282</c:v>
                </c:pt>
                <c:pt idx="57">
                  <c:v>0.26160337552742619</c:v>
                </c:pt>
                <c:pt idx="58">
                  <c:v>0.25933609958506226</c:v>
                </c:pt>
                <c:pt idx="59">
                  <c:v>0.25971370143149286</c:v>
                </c:pt>
                <c:pt idx="60">
                  <c:v>0.26534653465346536</c:v>
                </c:pt>
                <c:pt idx="61">
                  <c:v>0.26848249027237353</c:v>
                </c:pt>
                <c:pt idx="62">
                  <c:v>0.26782273603082851</c:v>
                </c:pt>
                <c:pt idx="63">
                  <c:v>0.27221172022684309</c:v>
                </c:pt>
                <c:pt idx="64">
                  <c:v>0.27339449541284405</c:v>
                </c:pt>
                <c:pt idx="65">
                  <c:v>0.27617328519855594</c:v>
                </c:pt>
                <c:pt idx="66">
                  <c:v>0.27886323268206037</c:v>
                </c:pt>
                <c:pt idx="67">
                  <c:v>0.28021015761821366</c:v>
                </c:pt>
                <c:pt idx="68">
                  <c:v>0.2795138888888889</c:v>
                </c:pt>
                <c:pt idx="69">
                  <c:v>0.27796610169491526</c:v>
                </c:pt>
                <c:pt idx="70">
                  <c:v>0.2797319932998325</c:v>
                </c:pt>
                <c:pt idx="71">
                  <c:v>0.27787021630615638</c:v>
                </c:pt>
                <c:pt idx="72">
                  <c:v>0.27941176470588236</c:v>
                </c:pt>
                <c:pt idx="73">
                  <c:v>0.27993527508090615</c:v>
                </c:pt>
                <c:pt idx="74">
                  <c:v>0.27858293075684382</c:v>
                </c:pt>
                <c:pt idx="75">
                  <c:v>0.28298887122416533</c:v>
                </c:pt>
                <c:pt idx="76">
                  <c:v>0.28322784810126583</c:v>
                </c:pt>
                <c:pt idx="77">
                  <c:v>0.28081123244929795</c:v>
                </c:pt>
                <c:pt idx="78">
                  <c:v>0.28240740740740738</c:v>
                </c:pt>
                <c:pt idx="79">
                  <c:v>0.28376327769347498</c:v>
                </c:pt>
                <c:pt idx="80">
                  <c:v>0.28313253012048195</c:v>
                </c:pt>
                <c:pt idx="81">
                  <c:v>0.28464977645305511</c:v>
                </c:pt>
                <c:pt idx="82">
                  <c:v>0.28592375366568917</c:v>
                </c:pt>
                <c:pt idx="83">
                  <c:v>0.28592162554426703</c:v>
                </c:pt>
                <c:pt idx="84">
                  <c:v>0.28898426323319026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0381756077958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れんたろう2!$H$1:$H$2</c:f>
              <c:strCache>
                <c:ptCount val="2"/>
                <c:pt idx="0">
                  <c:v>れんたろう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れんたろう2!$A$3:$A$87</c:f>
              <c:numCache>
                <c:formatCode>0\ "回"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れんたろう2!$H$3:$H$87</c:f>
              <c:numCache>
                <c:formatCode>0.0%</c:formatCode>
                <c:ptCount val="85"/>
                <c:pt idx="1">
                  <c:v>0.5714285714285714</c:v>
                </c:pt>
                <c:pt idx="2">
                  <c:v>0.4375</c:v>
                </c:pt>
                <c:pt idx="3">
                  <c:v>0.34782608695652173</c:v>
                </c:pt>
                <c:pt idx="4">
                  <c:v>0.33333333333333331</c:v>
                </c:pt>
                <c:pt idx="5">
                  <c:v>0.32432432432432434</c:v>
                </c:pt>
                <c:pt idx="6">
                  <c:v>0.26530612244897961</c:v>
                </c:pt>
                <c:pt idx="7">
                  <c:v>0.26315789473684209</c:v>
                </c:pt>
                <c:pt idx="8">
                  <c:v>0.21739130434782608</c:v>
                </c:pt>
                <c:pt idx="9">
                  <c:v>0.23376623376623376</c:v>
                </c:pt>
                <c:pt idx="10">
                  <c:v>0.24705882352941178</c:v>
                </c:pt>
                <c:pt idx="11">
                  <c:v>0.23157894736842105</c:v>
                </c:pt>
                <c:pt idx="12">
                  <c:v>0.20952380952380953</c:v>
                </c:pt>
                <c:pt idx="13">
                  <c:v>0.20338983050847459</c:v>
                </c:pt>
                <c:pt idx="14">
                  <c:v>0.19354838709677419</c:v>
                </c:pt>
                <c:pt idx="15">
                  <c:v>0.18604651162790697</c:v>
                </c:pt>
                <c:pt idx="16">
                  <c:v>0.18248175182481752</c:v>
                </c:pt>
                <c:pt idx="17">
                  <c:v>0.1793103448275862</c:v>
                </c:pt>
                <c:pt idx="18">
                  <c:v>0.17948717948717949</c:v>
                </c:pt>
                <c:pt idx="19">
                  <c:v>0.17751479289940827</c:v>
                </c:pt>
                <c:pt idx="20">
                  <c:v>0.17318435754189945</c:v>
                </c:pt>
                <c:pt idx="21">
                  <c:v>0.16489361702127658</c:v>
                </c:pt>
                <c:pt idx="22">
                  <c:v>0.15816326530612246</c:v>
                </c:pt>
                <c:pt idx="23">
                  <c:v>0.1625615763546798</c:v>
                </c:pt>
                <c:pt idx="24">
                  <c:v>0.16666666666666666</c:v>
                </c:pt>
                <c:pt idx="25">
                  <c:v>0.16513761467889909</c:v>
                </c:pt>
                <c:pt idx="26">
                  <c:v>0.16299559471365638</c:v>
                </c:pt>
                <c:pt idx="27">
                  <c:v>0.16666666666666666</c:v>
                </c:pt>
                <c:pt idx="28">
                  <c:v>0.17073170731707318</c:v>
                </c:pt>
                <c:pt idx="29">
                  <c:v>0.17460317460317459</c:v>
                </c:pt>
                <c:pt idx="30">
                  <c:v>0.17110266159695817</c:v>
                </c:pt>
                <c:pt idx="31">
                  <c:v>0.16974169741697417</c:v>
                </c:pt>
                <c:pt idx="32">
                  <c:v>0.16725978647686832</c:v>
                </c:pt>
                <c:pt idx="33">
                  <c:v>0.16666666666666666</c:v>
                </c:pt>
                <c:pt idx="34">
                  <c:v>0.16382252559726962</c:v>
                </c:pt>
                <c:pt idx="35">
                  <c:v>0.16053511705685619</c:v>
                </c:pt>
                <c:pt idx="36">
                  <c:v>0.15960912052117263</c:v>
                </c:pt>
                <c:pt idx="37">
                  <c:v>0.15654952076677317</c:v>
                </c:pt>
                <c:pt idx="38">
                  <c:v>0.15937499999999999</c:v>
                </c:pt>
                <c:pt idx="39">
                  <c:v>0.15596330275229359</c:v>
                </c:pt>
                <c:pt idx="40">
                  <c:v>0.15269461077844312</c:v>
                </c:pt>
                <c:pt idx="41">
                  <c:v>0.15497076023391812</c:v>
                </c:pt>
                <c:pt idx="42">
                  <c:v>0.15297450424929179</c:v>
                </c:pt>
                <c:pt idx="43">
                  <c:v>0.15126050420168066</c:v>
                </c:pt>
                <c:pt idx="44">
                  <c:v>0.15193370165745856</c:v>
                </c:pt>
                <c:pt idx="45">
                  <c:v>0.15633423180592992</c:v>
                </c:pt>
                <c:pt idx="46">
                  <c:v>0.15748031496062992</c:v>
                </c:pt>
                <c:pt idx="47">
                  <c:v>0.15577889447236182</c:v>
                </c:pt>
                <c:pt idx="48">
                  <c:v>0.15346534653465346</c:v>
                </c:pt>
                <c:pt idx="49">
                  <c:v>0.15254237288135594</c:v>
                </c:pt>
                <c:pt idx="50">
                  <c:v>0.15258215962441316</c:v>
                </c:pt>
                <c:pt idx="51">
                  <c:v>0.15509259259259259</c:v>
                </c:pt>
                <c:pt idx="52">
                  <c:v>0.15873015873015872</c:v>
                </c:pt>
                <c:pt idx="53">
                  <c:v>0.15812917594654788</c:v>
                </c:pt>
                <c:pt idx="54">
                  <c:v>0.16043956043956045</c:v>
                </c:pt>
                <c:pt idx="55">
                  <c:v>0.15698924731182795</c:v>
                </c:pt>
                <c:pt idx="56">
                  <c:v>0.15991471215351813</c:v>
                </c:pt>
                <c:pt idx="57">
                  <c:v>0.16033755274261605</c:v>
                </c:pt>
                <c:pt idx="58">
                  <c:v>0.15767634854771784</c:v>
                </c:pt>
                <c:pt idx="59">
                  <c:v>0.15746421267893659</c:v>
                </c:pt>
                <c:pt idx="60">
                  <c:v>0.15445544554455445</c:v>
                </c:pt>
                <c:pt idx="61">
                  <c:v>0.15953307392996108</c:v>
                </c:pt>
                <c:pt idx="62">
                  <c:v>0.15799614643545279</c:v>
                </c:pt>
                <c:pt idx="63">
                  <c:v>0.16068052930056712</c:v>
                </c:pt>
                <c:pt idx="64">
                  <c:v>0.16146788990825689</c:v>
                </c:pt>
                <c:pt idx="65">
                  <c:v>0.16064981949458484</c:v>
                </c:pt>
                <c:pt idx="66">
                  <c:v>0.16341030195381884</c:v>
                </c:pt>
                <c:pt idx="67">
                  <c:v>0.16462346760070051</c:v>
                </c:pt>
                <c:pt idx="68">
                  <c:v>0.16493055555555555</c:v>
                </c:pt>
                <c:pt idx="69">
                  <c:v>0.16271186440677965</c:v>
                </c:pt>
                <c:pt idx="70">
                  <c:v>0.1624790619765494</c:v>
                </c:pt>
                <c:pt idx="71">
                  <c:v>0.16638935108153077</c:v>
                </c:pt>
                <c:pt idx="72">
                  <c:v>0.16666666666666666</c:v>
                </c:pt>
                <c:pt idx="73">
                  <c:v>0.16828478964401294</c:v>
                </c:pt>
                <c:pt idx="74">
                  <c:v>0.17230273752012881</c:v>
                </c:pt>
                <c:pt idx="75">
                  <c:v>0.17170111287758347</c:v>
                </c:pt>
                <c:pt idx="76">
                  <c:v>0.17088607594936708</c:v>
                </c:pt>
                <c:pt idx="77">
                  <c:v>0.17628705148205928</c:v>
                </c:pt>
                <c:pt idx="78">
                  <c:v>0.17592592592592593</c:v>
                </c:pt>
                <c:pt idx="79">
                  <c:v>0.17754172989377845</c:v>
                </c:pt>
                <c:pt idx="80">
                  <c:v>0.17771084337349397</c:v>
                </c:pt>
                <c:pt idx="81">
                  <c:v>0.17585692995529062</c:v>
                </c:pt>
                <c:pt idx="82">
                  <c:v>0.1744868035190616</c:v>
                </c:pt>
                <c:pt idx="83">
                  <c:v>0.17271407837445574</c:v>
                </c:pt>
                <c:pt idx="84">
                  <c:v>0.17024320457796852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8374522804902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れんたろう2!$I$1:$I$2</c:f>
              <c:strCache>
                <c:ptCount val="2"/>
                <c:pt idx="0">
                  <c:v>れんたろう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れんたろう2!$A$3:$A$87</c:f>
              <c:numCache>
                <c:formatCode>0\ "回"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れんたろう2!$I$3:$I$87</c:f>
              <c:numCache>
                <c:formatCode>0</c:formatCode>
                <c:ptCount val="85"/>
                <c:pt idx="1">
                  <c:v>2000</c:v>
                </c:pt>
                <c:pt idx="2">
                  <c:v>2950</c:v>
                </c:pt>
                <c:pt idx="3">
                  <c:v>7100</c:v>
                </c:pt>
                <c:pt idx="4">
                  <c:v>11250</c:v>
                </c:pt>
                <c:pt idx="5">
                  <c:v>9266.6666666666661</c:v>
                </c:pt>
                <c:pt idx="6">
                  <c:v>9392.3076923076915</c:v>
                </c:pt>
                <c:pt idx="7">
                  <c:v>8921.4285714285706</c:v>
                </c:pt>
                <c:pt idx="8">
                  <c:v>8084.2105263157891</c:v>
                </c:pt>
                <c:pt idx="9">
                  <c:v>7695.2380952380954</c:v>
                </c:pt>
                <c:pt idx="10">
                  <c:v>7890.909090909091</c:v>
                </c:pt>
                <c:pt idx="11">
                  <c:v>7883.333333333333</c:v>
                </c:pt>
                <c:pt idx="12">
                  <c:v>7883.333333333333</c:v>
                </c:pt>
                <c:pt idx="13">
                  <c:v>7880.7692307692305</c:v>
                </c:pt>
                <c:pt idx="14">
                  <c:v>7686.2068965517237</c:v>
                </c:pt>
                <c:pt idx="15">
                  <c:v>7696.666666666667</c:v>
                </c:pt>
                <c:pt idx="16">
                  <c:v>7706.4516129032254</c:v>
                </c:pt>
                <c:pt idx="17">
                  <c:v>7715.625</c:v>
                </c:pt>
                <c:pt idx="18">
                  <c:v>7875.6756756756758</c:v>
                </c:pt>
                <c:pt idx="19">
                  <c:v>7934.090909090909</c:v>
                </c:pt>
                <c:pt idx="20">
                  <c:v>8008.695652173913</c:v>
                </c:pt>
                <c:pt idx="21">
                  <c:v>7983.6734693877552</c:v>
                </c:pt>
                <c:pt idx="22">
                  <c:v>7983.6734693877552</c:v>
                </c:pt>
                <c:pt idx="23">
                  <c:v>7983.6734693877552</c:v>
                </c:pt>
                <c:pt idx="24">
                  <c:v>7982.3529411764703</c:v>
                </c:pt>
                <c:pt idx="25">
                  <c:v>8284.9056603773588</c:v>
                </c:pt>
                <c:pt idx="26">
                  <c:v>8101.818181818182</c:v>
                </c:pt>
                <c:pt idx="27">
                  <c:v>8372.4137931034475</c:v>
                </c:pt>
                <c:pt idx="28">
                  <c:v>8372.4137931034475</c:v>
                </c:pt>
                <c:pt idx="29">
                  <c:v>8361.016949152543</c:v>
                </c:pt>
                <c:pt idx="30">
                  <c:v>8224.1935483870966</c:v>
                </c:pt>
                <c:pt idx="31">
                  <c:v>8490.7692307692305</c:v>
                </c:pt>
                <c:pt idx="32">
                  <c:v>8447.7611940298502</c:v>
                </c:pt>
                <c:pt idx="33">
                  <c:v>8422.8571428571431</c:v>
                </c:pt>
                <c:pt idx="34">
                  <c:v>8586.301369863013</c:v>
                </c:pt>
                <c:pt idx="35">
                  <c:v>8487.8378378378384</c:v>
                </c:pt>
                <c:pt idx="36">
                  <c:v>8487.8378378378384</c:v>
                </c:pt>
                <c:pt idx="37">
                  <c:v>9001.3157894736851</c:v>
                </c:pt>
                <c:pt idx="38">
                  <c:v>8955.1282051282051</c:v>
                </c:pt>
                <c:pt idx="39">
                  <c:v>8769.1358024691363</c:v>
                </c:pt>
                <c:pt idx="40">
                  <c:v>8744.5783132530123</c:v>
                </c:pt>
                <c:pt idx="41">
                  <c:v>8783.3333333333339</c:v>
                </c:pt>
                <c:pt idx="42">
                  <c:v>9121.8390804597693</c:v>
                </c:pt>
                <c:pt idx="43">
                  <c:v>9119.1011235955048</c:v>
                </c:pt>
                <c:pt idx="44">
                  <c:v>9278.2608695652179</c:v>
                </c:pt>
                <c:pt idx="45">
                  <c:v>9264.5161290322576</c:v>
                </c:pt>
                <c:pt idx="46">
                  <c:v>9300</c:v>
                </c:pt>
                <c:pt idx="47">
                  <c:v>9392</c:v>
                </c:pt>
                <c:pt idx="48">
                  <c:v>9400.9803921568619</c:v>
                </c:pt>
                <c:pt idx="49">
                  <c:v>9396.1904761904771</c:v>
                </c:pt>
                <c:pt idx="50">
                  <c:v>9334.9056603773588</c:v>
                </c:pt>
                <c:pt idx="51">
                  <c:v>9573.3944954128438</c:v>
                </c:pt>
                <c:pt idx="52">
                  <c:v>9616.8141592920347</c:v>
                </c:pt>
                <c:pt idx="53">
                  <c:v>9578.9473684210534</c:v>
                </c:pt>
                <c:pt idx="54">
                  <c:v>9636.4406779661022</c:v>
                </c:pt>
                <c:pt idx="55">
                  <c:v>9560.6557377049176</c:v>
                </c:pt>
                <c:pt idx="56">
                  <c:v>9560.6557377049176</c:v>
                </c:pt>
                <c:pt idx="57">
                  <c:v>9567.7419354838712</c:v>
                </c:pt>
                <c:pt idx="58">
                  <c:v>9512</c:v>
                </c:pt>
                <c:pt idx="59">
                  <c:v>9598.4251968503941</c:v>
                </c:pt>
                <c:pt idx="60">
                  <c:v>9640.2985074626868</c:v>
                </c:pt>
                <c:pt idx="61">
                  <c:v>9544.927536231884</c:v>
                </c:pt>
                <c:pt idx="62">
                  <c:v>9533.8129496402871</c:v>
                </c:pt>
                <c:pt idx="63">
                  <c:v>9534.0277777777774</c:v>
                </c:pt>
                <c:pt idx="64">
                  <c:v>9625.5033557046972</c:v>
                </c:pt>
                <c:pt idx="65">
                  <c:v>9700.6535947712418</c:v>
                </c:pt>
                <c:pt idx="66">
                  <c:v>9550.3184713375795</c:v>
                </c:pt>
                <c:pt idx="67">
                  <c:v>9796.25</c:v>
                </c:pt>
                <c:pt idx="68">
                  <c:v>9809.9378881987577</c:v>
                </c:pt>
                <c:pt idx="69">
                  <c:v>9756.707317073171</c:v>
                </c:pt>
                <c:pt idx="70">
                  <c:v>9797.0059880239514</c:v>
                </c:pt>
                <c:pt idx="71">
                  <c:v>9797.0059880239514</c:v>
                </c:pt>
                <c:pt idx="72">
                  <c:v>9761.9883040935674</c:v>
                </c:pt>
                <c:pt idx="73">
                  <c:v>9926.5895953757226</c:v>
                </c:pt>
                <c:pt idx="74">
                  <c:v>9926.5895953757226</c:v>
                </c:pt>
                <c:pt idx="75">
                  <c:v>9939.8876404494385</c:v>
                </c:pt>
                <c:pt idx="76">
                  <c:v>10018.435754189944</c:v>
                </c:pt>
                <c:pt idx="77">
                  <c:v>10062.777777777777</c:v>
                </c:pt>
                <c:pt idx="78">
                  <c:v>10057.92349726776</c:v>
                </c:pt>
                <c:pt idx="79">
                  <c:v>9977.5401069518721</c:v>
                </c:pt>
                <c:pt idx="80">
                  <c:v>9967.021276595744</c:v>
                </c:pt>
                <c:pt idx="81">
                  <c:v>10089.005235602095</c:v>
                </c:pt>
                <c:pt idx="82">
                  <c:v>10080</c:v>
                </c:pt>
                <c:pt idx="83">
                  <c:v>10031.472081218275</c:v>
                </c:pt>
                <c:pt idx="84">
                  <c:v>10054.455445544554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80.93645484949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れんたろう2!$J$1:$J$2</c:f>
              <c:strCache>
                <c:ptCount val="2"/>
                <c:pt idx="0">
                  <c:v>れんたろう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れんたろう2!$A$3:$A$87</c:f>
              <c:numCache>
                <c:formatCode>0\ "回"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れんたろう2!$J$3:$J$87</c:f>
              <c:numCache>
                <c:formatCode>0</c:formatCode>
                <c:ptCount val="85"/>
                <c:pt idx="1">
                  <c:v>-5800</c:v>
                </c:pt>
                <c:pt idx="2">
                  <c:v>-5014.2857142857147</c:v>
                </c:pt>
                <c:pt idx="3">
                  <c:v>-5887.5</c:v>
                </c:pt>
                <c:pt idx="4">
                  <c:v>-5666.666666666667</c:v>
                </c:pt>
                <c:pt idx="5">
                  <c:v>-5333.333333333333</c:v>
                </c:pt>
                <c:pt idx="6">
                  <c:v>-5323.0769230769229</c:v>
                </c:pt>
                <c:pt idx="7">
                  <c:v>-6586.666666666667</c:v>
                </c:pt>
                <c:pt idx="8">
                  <c:v>-6586.666666666667</c:v>
                </c:pt>
                <c:pt idx="9">
                  <c:v>-6188.8888888888887</c:v>
                </c:pt>
                <c:pt idx="10">
                  <c:v>-6633.333333333333</c:v>
                </c:pt>
                <c:pt idx="11">
                  <c:v>-6450</c:v>
                </c:pt>
                <c:pt idx="12">
                  <c:v>-6450</c:v>
                </c:pt>
                <c:pt idx="13">
                  <c:v>-6895.833333333333</c:v>
                </c:pt>
                <c:pt idx="14">
                  <c:v>-6895.833333333333</c:v>
                </c:pt>
                <c:pt idx="15">
                  <c:v>-6895.833333333333</c:v>
                </c:pt>
                <c:pt idx="16">
                  <c:v>-7100</c:v>
                </c:pt>
                <c:pt idx="17">
                  <c:v>-7288.4615384615381</c:v>
                </c:pt>
                <c:pt idx="18">
                  <c:v>-7839.2857142857147</c:v>
                </c:pt>
                <c:pt idx="19">
                  <c:v>-7616.666666666667</c:v>
                </c:pt>
                <c:pt idx="20">
                  <c:v>-7629.0322580645161</c:v>
                </c:pt>
                <c:pt idx="21">
                  <c:v>-7629.0322580645161</c:v>
                </c:pt>
                <c:pt idx="22">
                  <c:v>-7629.0322580645161</c:v>
                </c:pt>
                <c:pt idx="23">
                  <c:v>-7372.727272727273</c:v>
                </c:pt>
                <c:pt idx="24">
                  <c:v>-7237.1428571428569</c:v>
                </c:pt>
                <c:pt idx="25">
                  <c:v>-7536.1111111111113</c:v>
                </c:pt>
                <c:pt idx="26">
                  <c:v>-7472.9729729729734</c:v>
                </c:pt>
                <c:pt idx="27">
                  <c:v>-7187.5</c:v>
                </c:pt>
                <c:pt idx="28">
                  <c:v>-7321.4285714285716</c:v>
                </c:pt>
                <c:pt idx="29">
                  <c:v>-7193.181818181818</c:v>
                </c:pt>
                <c:pt idx="30">
                  <c:v>-7300</c:v>
                </c:pt>
                <c:pt idx="31">
                  <c:v>-7226.086956521739</c:v>
                </c:pt>
                <c:pt idx="32">
                  <c:v>-7195.744680851064</c:v>
                </c:pt>
                <c:pt idx="33">
                  <c:v>-7206.25</c:v>
                </c:pt>
                <c:pt idx="34">
                  <c:v>-7206.25</c:v>
                </c:pt>
                <c:pt idx="35">
                  <c:v>-7206.25</c:v>
                </c:pt>
                <c:pt idx="36">
                  <c:v>-7222.4489795918371</c:v>
                </c:pt>
                <c:pt idx="37">
                  <c:v>-7222.4489795918371</c:v>
                </c:pt>
                <c:pt idx="38">
                  <c:v>-7225.4901960784309</c:v>
                </c:pt>
                <c:pt idx="39">
                  <c:v>-7225.4901960784309</c:v>
                </c:pt>
                <c:pt idx="40">
                  <c:v>-7225.4901960784309</c:v>
                </c:pt>
                <c:pt idx="41">
                  <c:v>-7277.3584905660373</c:v>
                </c:pt>
                <c:pt idx="42">
                  <c:v>-7290.7407407407409</c:v>
                </c:pt>
                <c:pt idx="43">
                  <c:v>-7290.7407407407409</c:v>
                </c:pt>
                <c:pt idx="44">
                  <c:v>-7205.454545454545</c:v>
                </c:pt>
                <c:pt idx="45">
                  <c:v>-7098.2758620689656</c:v>
                </c:pt>
                <c:pt idx="46">
                  <c:v>-7016.666666666667</c:v>
                </c:pt>
                <c:pt idx="47">
                  <c:v>-7070.9677419354839</c:v>
                </c:pt>
                <c:pt idx="48">
                  <c:v>-7070.9677419354839</c:v>
                </c:pt>
                <c:pt idx="49">
                  <c:v>-7085.7142857142853</c:v>
                </c:pt>
                <c:pt idx="50">
                  <c:v>-7267.6923076923076</c:v>
                </c:pt>
                <c:pt idx="51">
                  <c:v>-7189.5522388059699</c:v>
                </c:pt>
                <c:pt idx="52">
                  <c:v>-7332.8571428571431</c:v>
                </c:pt>
                <c:pt idx="53">
                  <c:v>-7243.6619718309857</c:v>
                </c:pt>
                <c:pt idx="54">
                  <c:v>-7427.3972602739723</c:v>
                </c:pt>
                <c:pt idx="55">
                  <c:v>-7427.3972602739723</c:v>
                </c:pt>
                <c:pt idx="56">
                  <c:v>-7709.333333333333</c:v>
                </c:pt>
                <c:pt idx="57">
                  <c:v>-7760.5263157894733</c:v>
                </c:pt>
                <c:pt idx="58">
                  <c:v>-7760.5263157894733</c:v>
                </c:pt>
                <c:pt idx="59">
                  <c:v>-7815.5844155844152</c:v>
                </c:pt>
                <c:pt idx="60">
                  <c:v>-7814.1025641025644</c:v>
                </c:pt>
                <c:pt idx="61">
                  <c:v>-7900</c:v>
                </c:pt>
                <c:pt idx="62">
                  <c:v>-7900</c:v>
                </c:pt>
                <c:pt idx="63">
                  <c:v>-7834.1176470588234</c:v>
                </c:pt>
                <c:pt idx="64">
                  <c:v>-7707.954545454545</c:v>
                </c:pt>
                <c:pt idx="65">
                  <c:v>-7643.8202247191011</c:v>
                </c:pt>
                <c:pt idx="66">
                  <c:v>-7795.652173913043</c:v>
                </c:pt>
                <c:pt idx="67">
                  <c:v>-7773.4042553191493</c:v>
                </c:pt>
                <c:pt idx="68">
                  <c:v>-7775.7894736842109</c:v>
                </c:pt>
                <c:pt idx="69">
                  <c:v>-7819.791666666667</c:v>
                </c:pt>
                <c:pt idx="70">
                  <c:v>-7779.3814432989693</c:v>
                </c:pt>
                <c:pt idx="71">
                  <c:v>-7806</c:v>
                </c:pt>
                <c:pt idx="72">
                  <c:v>-7748.0392156862745</c:v>
                </c:pt>
                <c:pt idx="73">
                  <c:v>-7724.0384615384619</c:v>
                </c:pt>
                <c:pt idx="74">
                  <c:v>-7843.9252336448599</c:v>
                </c:pt>
                <c:pt idx="75">
                  <c:v>-7845.3703703703704</c:v>
                </c:pt>
                <c:pt idx="76">
                  <c:v>-7845.3703703703704</c:v>
                </c:pt>
                <c:pt idx="77">
                  <c:v>-8037.1681415929206</c:v>
                </c:pt>
                <c:pt idx="78">
                  <c:v>-8107.0175438596489</c:v>
                </c:pt>
                <c:pt idx="79">
                  <c:v>-8087.1794871794873</c:v>
                </c:pt>
                <c:pt idx="80">
                  <c:v>-8059.3220338983047</c:v>
                </c:pt>
                <c:pt idx="81">
                  <c:v>-8059.3220338983047</c:v>
                </c:pt>
                <c:pt idx="82">
                  <c:v>-8092.4369747899163</c:v>
                </c:pt>
                <c:pt idx="83">
                  <c:v>-8092.4369747899163</c:v>
                </c:pt>
                <c:pt idx="84">
                  <c:v>-8092.4369747899163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328.28162291169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れんたろう2!$K$1:$K$2</c:f>
              <c:strCache>
                <c:ptCount val="2"/>
                <c:pt idx="0">
                  <c:v>れんたろう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れんたろう2!$A$3:$A$87</c:f>
              <c:numCache>
                <c:formatCode>0\ "回"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れんたろう2!$K$3:$K$87</c:f>
              <c:numCache>
                <c:formatCode>0.0%</c:formatCode>
                <c:ptCount val="8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3.8461538461538464E-2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3.2258064516129031E-2</c:v>
                </c:pt>
                <c:pt idx="32">
                  <c:v>3.125E-2</c:v>
                </c:pt>
                <c:pt idx="33">
                  <c:v>3.0303030303030304E-2</c:v>
                </c:pt>
                <c:pt idx="34">
                  <c:v>2.9411764705882353E-2</c:v>
                </c:pt>
                <c:pt idx="35">
                  <c:v>2.8571428571428571E-2</c:v>
                </c:pt>
                <c:pt idx="36">
                  <c:v>2.7777777777777776E-2</c:v>
                </c:pt>
                <c:pt idx="37">
                  <c:v>2.7027027027027029E-2</c:v>
                </c:pt>
                <c:pt idx="38">
                  <c:v>2.6315789473684209E-2</c:v>
                </c:pt>
                <c:pt idx="39">
                  <c:v>2.564102564102564E-2</c:v>
                </c:pt>
                <c:pt idx="40">
                  <c:v>2.5000000000000001E-2</c:v>
                </c:pt>
                <c:pt idx="41">
                  <c:v>2.4390243902439025E-2</c:v>
                </c:pt>
                <c:pt idx="42">
                  <c:v>2.3809523809523808E-2</c:v>
                </c:pt>
                <c:pt idx="43">
                  <c:v>2.3255813953488372E-2</c:v>
                </c:pt>
                <c:pt idx="44">
                  <c:v>2.2727272727272728E-2</c:v>
                </c:pt>
                <c:pt idx="45">
                  <c:v>2.2222222222222223E-2</c:v>
                </c:pt>
                <c:pt idx="46">
                  <c:v>2.1739130434782608E-2</c:v>
                </c:pt>
                <c:pt idx="47">
                  <c:v>2.1276595744680851E-2</c:v>
                </c:pt>
                <c:pt idx="48">
                  <c:v>2.0833333333333332E-2</c:v>
                </c:pt>
                <c:pt idx="49">
                  <c:v>2.0408163265306121E-2</c:v>
                </c:pt>
                <c:pt idx="50">
                  <c:v>0.04</c:v>
                </c:pt>
                <c:pt idx="51">
                  <c:v>3.9215686274509803E-2</c:v>
                </c:pt>
                <c:pt idx="52">
                  <c:v>3.8461538461538464E-2</c:v>
                </c:pt>
                <c:pt idx="53">
                  <c:v>3.7735849056603772E-2</c:v>
                </c:pt>
                <c:pt idx="54">
                  <c:v>3.7037037037037035E-2</c:v>
                </c:pt>
                <c:pt idx="55">
                  <c:v>3.6363636363636362E-2</c:v>
                </c:pt>
                <c:pt idx="56">
                  <c:v>5.3571428571428568E-2</c:v>
                </c:pt>
                <c:pt idx="57">
                  <c:v>5.2631578947368418E-2</c:v>
                </c:pt>
                <c:pt idx="58">
                  <c:v>5.1724137931034482E-2</c:v>
                </c:pt>
                <c:pt idx="59">
                  <c:v>5.0847457627118647E-2</c:v>
                </c:pt>
                <c:pt idx="60">
                  <c:v>0.05</c:v>
                </c:pt>
                <c:pt idx="61">
                  <c:v>4.9180327868852458E-2</c:v>
                </c:pt>
                <c:pt idx="62">
                  <c:v>4.8387096774193547E-2</c:v>
                </c:pt>
                <c:pt idx="63">
                  <c:v>4.7619047619047616E-2</c:v>
                </c:pt>
                <c:pt idx="64">
                  <c:v>4.6875E-2</c:v>
                </c:pt>
                <c:pt idx="65">
                  <c:v>4.6153846153846156E-2</c:v>
                </c:pt>
                <c:pt idx="66">
                  <c:v>4.5454545454545456E-2</c:v>
                </c:pt>
                <c:pt idx="67">
                  <c:v>4.4776119402985072E-2</c:v>
                </c:pt>
                <c:pt idx="68">
                  <c:v>4.4117647058823532E-2</c:v>
                </c:pt>
                <c:pt idx="69">
                  <c:v>4.3478260869565216E-2</c:v>
                </c:pt>
                <c:pt idx="70">
                  <c:v>4.2857142857142858E-2</c:v>
                </c:pt>
                <c:pt idx="71">
                  <c:v>5.6338028169014086E-2</c:v>
                </c:pt>
                <c:pt idx="72">
                  <c:v>5.5555555555555552E-2</c:v>
                </c:pt>
                <c:pt idx="73">
                  <c:v>5.4794520547945202E-2</c:v>
                </c:pt>
                <c:pt idx="74">
                  <c:v>6.7567567567567571E-2</c:v>
                </c:pt>
                <c:pt idx="75">
                  <c:v>6.6666666666666666E-2</c:v>
                </c:pt>
                <c:pt idx="76">
                  <c:v>6.5789473684210523E-2</c:v>
                </c:pt>
                <c:pt idx="77">
                  <c:v>7.792207792207792E-2</c:v>
                </c:pt>
                <c:pt idx="78">
                  <c:v>7.6923076923076927E-2</c:v>
                </c:pt>
                <c:pt idx="79">
                  <c:v>7.5949367088607597E-2</c:v>
                </c:pt>
                <c:pt idx="80">
                  <c:v>7.4999999999999997E-2</c:v>
                </c:pt>
                <c:pt idx="81">
                  <c:v>7.407407407407407E-2</c:v>
                </c:pt>
                <c:pt idx="82">
                  <c:v>7.3170731707317069E-2</c:v>
                </c:pt>
                <c:pt idx="83">
                  <c:v>7.2289156626506021E-2</c:v>
                </c:pt>
                <c:pt idx="84">
                  <c:v>7.1428571428571425E-2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577889447236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れんたろう2!$L$1:$L$2</c:f>
              <c:strCache>
                <c:ptCount val="2"/>
                <c:pt idx="0">
                  <c:v>れんたろう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れんたろう2!$A$3:$A$87</c:f>
              <c:numCache>
                <c:formatCode>0\ "回"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れんたろう2!$L$3:$L$87</c:f>
              <c:numCache>
                <c:formatCode>0.0%</c:formatCode>
                <c:ptCount val="8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9.6774193548387094E-2</c:v>
                </c:pt>
                <c:pt idx="32">
                  <c:v>9.375E-2</c:v>
                </c:pt>
                <c:pt idx="33">
                  <c:v>9.0909090909090912E-2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0.12820512820512819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0.13636363636363635</c:v>
                </c:pt>
                <c:pt idx="45">
                  <c:v>0.13333333333333333</c:v>
                </c:pt>
                <c:pt idx="46">
                  <c:v>0.13043478260869565</c:v>
                </c:pt>
                <c:pt idx="47">
                  <c:v>0.1276595744680851</c:v>
                </c:pt>
                <c:pt idx="48">
                  <c:v>0.125</c:v>
                </c:pt>
                <c:pt idx="49">
                  <c:v>0.12244897959183673</c:v>
                </c:pt>
                <c:pt idx="50">
                  <c:v>0.12</c:v>
                </c:pt>
                <c:pt idx="51">
                  <c:v>0.13725490196078433</c:v>
                </c:pt>
                <c:pt idx="52">
                  <c:v>0.13461538461538461</c:v>
                </c:pt>
                <c:pt idx="53">
                  <c:v>0.13207547169811321</c:v>
                </c:pt>
                <c:pt idx="54">
                  <c:v>0.12962962962962962</c:v>
                </c:pt>
                <c:pt idx="55">
                  <c:v>0.12727272727272726</c:v>
                </c:pt>
                <c:pt idx="56">
                  <c:v>0.125</c:v>
                </c:pt>
                <c:pt idx="57">
                  <c:v>0.12280701754385964</c:v>
                </c:pt>
                <c:pt idx="58">
                  <c:v>0.1206896551724138</c:v>
                </c:pt>
                <c:pt idx="59">
                  <c:v>0.11864406779661017</c:v>
                </c:pt>
                <c:pt idx="60">
                  <c:v>0.11666666666666667</c:v>
                </c:pt>
                <c:pt idx="61">
                  <c:v>0.11475409836065574</c:v>
                </c:pt>
                <c:pt idx="62">
                  <c:v>0.11290322580645161</c:v>
                </c:pt>
                <c:pt idx="63">
                  <c:v>0.1111111111111111</c:v>
                </c:pt>
                <c:pt idx="64">
                  <c:v>0.109375</c:v>
                </c:pt>
                <c:pt idx="65">
                  <c:v>0.12307692307692308</c:v>
                </c:pt>
                <c:pt idx="66">
                  <c:v>0.12121212121212122</c:v>
                </c:pt>
                <c:pt idx="67">
                  <c:v>0.13432835820895522</c:v>
                </c:pt>
                <c:pt idx="68">
                  <c:v>0.13235294117647059</c:v>
                </c:pt>
                <c:pt idx="69">
                  <c:v>0.13043478260869565</c:v>
                </c:pt>
                <c:pt idx="70">
                  <c:v>0.12857142857142856</c:v>
                </c:pt>
                <c:pt idx="71">
                  <c:v>0.12676056338028169</c:v>
                </c:pt>
                <c:pt idx="72">
                  <c:v>0.125</c:v>
                </c:pt>
                <c:pt idx="73">
                  <c:v>0.13698630136986301</c:v>
                </c:pt>
                <c:pt idx="74">
                  <c:v>0.13513513513513514</c:v>
                </c:pt>
                <c:pt idx="75">
                  <c:v>0.13333333333333333</c:v>
                </c:pt>
                <c:pt idx="76">
                  <c:v>0.13157894736842105</c:v>
                </c:pt>
                <c:pt idx="77">
                  <c:v>0.12987012987012986</c:v>
                </c:pt>
                <c:pt idx="78">
                  <c:v>0.12820512820512819</c:v>
                </c:pt>
                <c:pt idx="79">
                  <c:v>0.12658227848101267</c:v>
                </c:pt>
                <c:pt idx="80">
                  <c:v>0.125</c:v>
                </c:pt>
                <c:pt idx="81">
                  <c:v>0.13580246913580246</c:v>
                </c:pt>
                <c:pt idx="82">
                  <c:v>0.13414634146341464</c:v>
                </c:pt>
                <c:pt idx="83">
                  <c:v>0.13253012048192772</c:v>
                </c:pt>
                <c:pt idx="84">
                  <c:v>0.14285714285714285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577889447236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れんたろう2!$M$1:$M$2</c:f>
              <c:strCache>
                <c:ptCount val="2"/>
                <c:pt idx="0">
                  <c:v>れんたろう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れんたろう2!$A$3:$A$87</c:f>
              <c:numCache>
                <c:formatCode>0\ "回"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れんたろう2!$M$3:$M$87</c:f>
              <c:numCache>
                <c:formatCode>0.0%</c:formatCode>
                <c:ptCount val="85"/>
                <c:pt idx="1">
                  <c:v>0.2857142857142857</c:v>
                </c:pt>
                <c:pt idx="2">
                  <c:v>0.25</c:v>
                </c:pt>
                <c:pt idx="3">
                  <c:v>0.21739130434782608</c:v>
                </c:pt>
                <c:pt idx="4">
                  <c:v>0.18518518518518517</c:v>
                </c:pt>
                <c:pt idx="5">
                  <c:v>0.1891891891891892</c:v>
                </c:pt>
                <c:pt idx="6">
                  <c:v>0.22448979591836735</c:v>
                </c:pt>
                <c:pt idx="7">
                  <c:v>0.21052631578947367</c:v>
                </c:pt>
                <c:pt idx="8">
                  <c:v>0.24637681159420291</c:v>
                </c:pt>
                <c:pt idx="9">
                  <c:v>0.24675324675324675</c:v>
                </c:pt>
                <c:pt idx="10">
                  <c:v>0.23529411764705882</c:v>
                </c:pt>
                <c:pt idx="11">
                  <c:v>0.23157894736842105</c:v>
                </c:pt>
                <c:pt idx="12">
                  <c:v>0.22857142857142856</c:v>
                </c:pt>
                <c:pt idx="13">
                  <c:v>0.22033898305084745</c:v>
                </c:pt>
                <c:pt idx="14">
                  <c:v>0.22580645161290322</c:v>
                </c:pt>
                <c:pt idx="15">
                  <c:v>0.22480620155038761</c:v>
                </c:pt>
                <c:pt idx="16">
                  <c:v>0.22627737226277372</c:v>
                </c:pt>
                <c:pt idx="17">
                  <c:v>0.22758620689655173</c:v>
                </c:pt>
                <c:pt idx="18">
                  <c:v>0.25641025641025639</c:v>
                </c:pt>
                <c:pt idx="19">
                  <c:v>0.25443786982248523</c:v>
                </c:pt>
                <c:pt idx="20">
                  <c:v>0.24581005586592178</c:v>
                </c:pt>
                <c:pt idx="21">
                  <c:v>0.24468085106382978</c:v>
                </c:pt>
                <c:pt idx="22">
                  <c:v>0.24489795918367346</c:v>
                </c:pt>
                <c:pt idx="23">
                  <c:v>0.24630541871921183</c:v>
                </c:pt>
                <c:pt idx="24">
                  <c:v>0.23809523809523808</c:v>
                </c:pt>
                <c:pt idx="25">
                  <c:v>0.23853211009174313</c:v>
                </c:pt>
                <c:pt idx="26">
                  <c:v>0.23788546255506607</c:v>
                </c:pt>
                <c:pt idx="27">
                  <c:v>0.24583333333333332</c:v>
                </c:pt>
                <c:pt idx="28">
                  <c:v>0.24390243902439024</c:v>
                </c:pt>
                <c:pt idx="29">
                  <c:v>0.23809523809523808</c:v>
                </c:pt>
                <c:pt idx="30">
                  <c:v>0.23574144486692014</c:v>
                </c:pt>
                <c:pt idx="31">
                  <c:v>0.23985239852398524</c:v>
                </c:pt>
                <c:pt idx="32">
                  <c:v>0.23843416370106763</c:v>
                </c:pt>
                <c:pt idx="33">
                  <c:v>0.24305555555555555</c:v>
                </c:pt>
                <c:pt idx="34">
                  <c:v>0.24914675767918087</c:v>
                </c:pt>
                <c:pt idx="35">
                  <c:v>0.25083612040133779</c:v>
                </c:pt>
                <c:pt idx="36">
                  <c:v>0.24429967426710097</c:v>
                </c:pt>
                <c:pt idx="37">
                  <c:v>0.24281150159744408</c:v>
                </c:pt>
                <c:pt idx="38">
                  <c:v>0.24687500000000001</c:v>
                </c:pt>
                <c:pt idx="39">
                  <c:v>0.25076452599388377</c:v>
                </c:pt>
                <c:pt idx="40">
                  <c:v>0.24850299401197604</c:v>
                </c:pt>
                <c:pt idx="41">
                  <c:v>0.24853801169590642</c:v>
                </c:pt>
                <c:pt idx="42">
                  <c:v>0.25495750708215298</c:v>
                </c:pt>
                <c:pt idx="43">
                  <c:v>0.25490196078431371</c:v>
                </c:pt>
                <c:pt idx="44">
                  <c:v>0.25966850828729282</c:v>
                </c:pt>
                <c:pt idx="45">
                  <c:v>0.26145552560646901</c:v>
                </c:pt>
                <c:pt idx="46">
                  <c:v>0.2572178477690289</c:v>
                </c:pt>
                <c:pt idx="47">
                  <c:v>0.25879396984924624</c:v>
                </c:pt>
                <c:pt idx="48">
                  <c:v>0.26237623762376239</c:v>
                </c:pt>
                <c:pt idx="49">
                  <c:v>0.25907990314769974</c:v>
                </c:pt>
                <c:pt idx="50">
                  <c:v>0.25352112676056338</c:v>
                </c:pt>
                <c:pt idx="51">
                  <c:v>0.25925925925925924</c:v>
                </c:pt>
                <c:pt idx="52">
                  <c:v>0.26303854875283444</c:v>
                </c:pt>
                <c:pt idx="53">
                  <c:v>0.26280623608017817</c:v>
                </c:pt>
                <c:pt idx="54">
                  <c:v>0.2725274725274725</c:v>
                </c:pt>
                <c:pt idx="55">
                  <c:v>0.27526881720430108</c:v>
                </c:pt>
                <c:pt idx="56">
                  <c:v>0.27505330490405117</c:v>
                </c:pt>
                <c:pt idx="57">
                  <c:v>0.27637130801687765</c:v>
                </c:pt>
                <c:pt idx="58">
                  <c:v>0.27385892116182575</c:v>
                </c:pt>
                <c:pt idx="59">
                  <c:v>0.27198364008179959</c:v>
                </c:pt>
                <c:pt idx="60">
                  <c:v>0.26732673267326734</c:v>
                </c:pt>
                <c:pt idx="61">
                  <c:v>0.2723735408560311</c:v>
                </c:pt>
                <c:pt idx="62">
                  <c:v>0.26974951830443161</c:v>
                </c:pt>
                <c:pt idx="63">
                  <c:v>0.27221172022684309</c:v>
                </c:pt>
                <c:pt idx="64">
                  <c:v>0.27339449541284405</c:v>
                </c:pt>
                <c:pt idx="65">
                  <c:v>0.27978339350180503</c:v>
                </c:pt>
                <c:pt idx="66">
                  <c:v>0.28063943161634103</c:v>
                </c:pt>
                <c:pt idx="67">
                  <c:v>0.28021015761821366</c:v>
                </c:pt>
                <c:pt idx="68">
                  <c:v>0.2795138888888889</c:v>
                </c:pt>
                <c:pt idx="69">
                  <c:v>0.27796610169491526</c:v>
                </c:pt>
                <c:pt idx="70">
                  <c:v>0.27805695142378561</c:v>
                </c:pt>
                <c:pt idx="71">
                  <c:v>0.28286189683860236</c:v>
                </c:pt>
                <c:pt idx="72">
                  <c:v>0.28431372549019607</c:v>
                </c:pt>
                <c:pt idx="73">
                  <c:v>0.28478964401294499</c:v>
                </c:pt>
                <c:pt idx="74">
                  <c:v>0.28341384863123992</c:v>
                </c:pt>
                <c:pt idx="75">
                  <c:v>0.2861685214626391</c:v>
                </c:pt>
                <c:pt idx="76">
                  <c:v>0.2848101265822785</c:v>
                </c:pt>
                <c:pt idx="77">
                  <c:v>0.28549141965678626</c:v>
                </c:pt>
                <c:pt idx="78">
                  <c:v>0.28858024691358025</c:v>
                </c:pt>
                <c:pt idx="79">
                  <c:v>0.2898330804248862</c:v>
                </c:pt>
                <c:pt idx="80">
                  <c:v>0.29066265060240964</c:v>
                </c:pt>
                <c:pt idx="81">
                  <c:v>0.29210134128166915</c:v>
                </c:pt>
                <c:pt idx="82">
                  <c:v>0.29472140762463345</c:v>
                </c:pt>
                <c:pt idx="83">
                  <c:v>0.2960812772133527</c:v>
                </c:pt>
                <c:pt idx="84">
                  <c:v>0.29327610872675253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81293952180028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れんたろう2!$N$1:$N$2</c:f>
              <c:strCache>
                <c:ptCount val="2"/>
                <c:pt idx="0">
                  <c:v>れんたろう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れんたろう2!$A$3:$A$87</c:f>
              <c:numCache>
                <c:formatCode>0\ "回"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れんたろう2!$N$3:$N$87</c:f>
              <c:numCache>
                <c:formatCode>0.0%</c:formatCode>
                <c:ptCount val="85"/>
                <c:pt idx="1">
                  <c:v>0.14285714285714285</c:v>
                </c:pt>
                <c:pt idx="2">
                  <c:v>6.25E-2</c:v>
                </c:pt>
                <c:pt idx="3">
                  <c:v>0.21739130434782608</c:v>
                </c:pt>
                <c:pt idx="4">
                  <c:v>0.25925925925925924</c:v>
                </c:pt>
                <c:pt idx="5">
                  <c:v>0.21621621621621623</c:v>
                </c:pt>
                <c:pt idx="6">
                  <c:v>0.24489795918367346</c:v>
                </c:pt>
                <c:pt idx="7">
                  <c:v>0.24561403508771928</c:v>
                </c:pt>
                <c:pt idx="8">
                  <c:v>0.2318840579710145</c:v>
                </c:pt>
                <c:pt idx="9">
                  <c:v>0.23376623376623376</c:v>
                </c:pt>
                <c:pt idx="10">
                  <c:v>0.21176470588235294</c:v>
                </c:pt>
                <c:pt idx="11">
                  <c:v>0.21052631578947367</c:v>
                </c:pt>
                <c:pt idx="12">
                  <c:v>0.20952380952380953</c:v>
                </c:pt>
                <c:pt idx="13">
                  <c:v>0.2288135593220339</c:v>
                </c:pt>
                <c:pt idx="14">
                  <c:v>0.23387096774193547</c:v>
                </c:pt>
                <c:pt idx="15">
                  <c:v>0.23255813953488372</c:v>
                </c:pt>
                <c:pt idx="16">
                  <c:v>0.22627737226277372</c:v>
                </c:pt>
                <c:pt idx="17">
                  <c:v>0.22068965517241379</c:v>
                </c:pt>
                <c:pt idx="18">
                  <c:v>0.21794871794871795</c:v>
                </c:pt>
                <c:pt idx="19">
                  <c:v>0.21893491124260356</c:v>
                </c:pt>
                <c:pt idx="20">
                  <c:v>0.21229050279329609</c:v>
                </c:pt>
                <c:pt idx="21">
                  <c:v>0.20744680851063829</c:v>
                </c:pt>
                <c:pt idx="22">
                  <c:v>0.19897959183673469</c:v>
                </c:pt>
                <c:pt idx="23">
                  <c:v>0.19704433497536947</c:v>
                </c:pt>
                <c:pt idx="24">
                  <c:v>0.2</c:v>
                </c:pt>
                <c:pt idx="25">
                  <c:v>0.19724770642201836</c:v>
                </c:pt>
                <c:pt idx="26">
                  <c:v>0.1894273127753304</c:v>
                </c:pt>
                <c:pt idx="27">
                  <c:v>0.18333333333333332</c:v>
                </c:pt>
                <c:pt idx="28">
                  <c:v>0.17886178861788618</c:v>
                </c:pt>
                <c:pt idx="29">
                  <c:v>0.17460317460317459</c:v>
                </c:pt>
                <c:pt idx="30">
                  <c:v>0.17490494296577946</c:v>
                </c:pt>
                <c:pt idx="31">
                  <c:v>0.17712177121771217</c:v>
                </c:pt>
                <c:pt idx="32">
                  <c:v>0.18149466192170818</c:v>
                </c:pt>
                <c:pt idx="33">
                  <c:v>0.17708333333333334</c:v>
                </c:pt>
                <c:pt idx="34">
                  <c:v>0.17406143344709898</c:v>
                </c:pt>
                <c:pt idx="35">
                  <c:v>0.1705685618729097</c:v>
                </c:pt>
                <c:pt idx="36">
                  <c:v>0.16938110749185667</c:v>
                </c:pt>
                <c:pt idx="37">
                  <c:v>0.16932907348242812</c:v>
                </c:pt>
                <c:pt idx="38">
                  <c:v>0.16875000000000001</c:v>
                </c:pt>
                <c:pt idx="39">
                  <c:v>0.16819571865443425</c:v>
                </c:pt>
                <c:pt idx="40">
                  <c:v>0.17065868263473055</c:v>
                </c:pt>
                <c:pt idx="41">
                  <c:v>0.16959064327485379</c:v>
                </c:pt>
                <c:pt idx="42">
                  <c:v>0.1643059490084986</c:v>
                </c:pt>
                <c:pt idx="43">
                  <c:v>0.16806722689075632</c:v>
                </c:pt>
                <c:pt idx="44">
                  <c:v>0.16574585635359115</c:v>
                </c:pt>
                <c:pt idx="45">
                  <c:v>0.16172506738544473</c:v>
                </c:pt>
                <c:pt idx="46">
                  <c:v>0.16535433070866143</c:v>
                </c:pt>
                <c:pt idx="47">
                  <c:v>0.17085427135678391</c:v>
                </c:pt>
                <c:pt idx="48">
                  <c:v>0.16831683168316833</c:v>
                </c:pt>
                <c:pt idx="49">
                  <c:v>0.16949152542372881</c:v>
                </c:pt>
                <c:pt idx="50">
                  <c:v>0.17840375586854459</c:v>
                </c:pt>
                <c:pt idx="51">
                  <c:v>0.17592592592592593</c:v>
                </c:pt>
                <c:pt idx="52">
                  <c:v>0.17460317460317459</c:v>
                </c:pt>
                <c:pt idx="53">
                  <c:v>0.17594654788418709</c:v>
                </c:pt>
                <c:pt idx="54">
                  <c:v>0.17362637362637362</c:v>
                </c:pt>
                <c:pt idx="55">
                  <c:v>0.17204301075268819</c:v>
                </c:pt>
                <c:pt idx="56">
                  <c:v>0.17270788912579957</c:v>
                </c:pt>
                <c:pt idx="57">
                  <c:v>0.17088607594936708</c:v>
                </c:pt>
                <c:pt idx="58">
                  <c:v>0.17012448132780084</c:v>
                </c:pt>
                <c:pt idx="59">
                  <c:v>0.17177914110429449</c:v>
                </c:pt>
                <c:pt idx="60">
                  <c:v>0.17821782178217821</c:v>
                </c:pt>
                <c:pt idx="61">
                  <c:v>0.18093385214007782</c:v>
                </c:pt>
                <c:pt idx="62">
                  <c:v>0.1811175337186898</c:v>
                </c:pt>
                <c:pt idx="63">
                  <c:v>0.18147448015122875</c:v>
                </c:pt>
                <c:pt idx="64">
                  <c:v>0.1853211009174312</c:v>
                </c:pt>
                <c:pt idx="65">
                  <c:v>0.18592057761732853</c:v>
                </c:pt>
                <c:pt idx="66">
                  <c:v>0.18650088809946713</c:v>
                </c:pt>
                <c:pt idx="67">
                  <c:v>0.18563922942206654</c:v>
                </c:pt>
                <c:pt idx="68">
                  <c:v>0.1857638888888889</c:v>
                </c:pt>
                <c:pt idx="69">
                  <c:v>0.1864406779661017</c:v>
                </c:pt>
                <c:pt idx="70">
                  <c:v>0.18592964824120603</c:v>
                </c:pt>
                <c:pt idx="71">
                  <c:v>0.18469217970049917</c:v>
                </c:pt>
                <c:pt idx="72">
                  <c:v>0.184640522875817</c:v>
                </c:pt>
                <c:pt idx="73">
                  <c:v>0.18608414239482202</c:v>
                </c:pt>
                <c:pt idx="74">
                  <c:v>0.18840579710144928</c:v>
                </c:pt>
                <c:pt idx="75">
                  <c:v>0.18759936406995231</c:v>
                </c:pt>
                <c:pt idx="76">
                  <c:v>0.18829113924050633</c:v>
                </c:pt>
                <c:pt idx="77">
                  <c:v>0.19188767550702029</c:v>
                </c:pt>
                <c:pt idx="78">
                  <c:v>0.19135802469135801</c:v>
                </c:pt>
                <c:pt idx="79">
                  <c:v>0.19423368740515934</c:v>
                </c:pt>
                <c:pt idx="80">
                  <c:v>0.19427710843373494</c:v>
                </c:pt>
                <c:pt idx="81">
                  <c:v>0.19374068554396423</c:v>
                </c:pt>
                <c:pt idx="82">
                  <c:v>0.1906158357771261</c:v>
                </c:pt>
                <c:pt idx="83">
                  <c:v>0.19013062409288825</c:v>
                </c:pt>
                <c:pt idx="84">
                  <c:v>0.19170243204577969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9764918625678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れんたろう2!$O$1:$O$2</c:f>
              <c:strCache>
                <c:ptCount val="2"/>
                <c:pt idx="0">
                  <c:v>れんたろう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れんたろう2!$A$3:$A$87</c:f>
              <c:numCache>
                <c:formatCode>0\ "回"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れんたろう2!$O$3:$O$87</c:f>
              <c:numCache>
                <c:formatCode>0.0%</c:formatCode>
                <c:ptCount val="85"/>
                <c:pt idx="1">
                  <c:v>0</c:v>
                </c:pt>
                <c:pt idx="2">
                  <c:v>0.25</c:v>
                </c:pt>
                <c:pt idx="3">
                  <c:v>0.4</c:v>
                </c:pt>
                <c:pt idx="4">
                  <c:v>0.4</c:v>
                </c:pt>
                <c:pt idx="5">
                  <c:v>0.5714285714285714</c:v>
                </c:pt>
                <c:pt idx="6">
                  <c:v>0.54545454545454541</c:v>
                </c:pt>
                <c:pt idx="7">
                  <c:v>0.5</c:v>
                </c:pt>
                <c:pt idx="8">
                  <c:v>0.47058823529411764</c:v>
                </c:pt>
                <c:pt idx="9">
                  <c:v>0.52631578947368418</c:v>
                </c:pt>
                <c:pt idx="10">
                  <c:v>0.5</c:v>
                </c:pt>
                <c:pt idx="11">
                  <c:v>0.5</c:v>
                </c:pt>
                <c:pt idx="12">
                  <c:v>0.45833333333333331</c:v>
                </c:pt>
                <c:pt idx="13">
                  <c:v>0.46153846153846156</c:v>
                </c:pt>
                <c:pt idx="14">
                  <c:v>0.4642857142857143</c:v>
                </c:pt>
                <c:pt idx="15">
                  <c:v>0.48275862068965519</c:v>
                </c:pt>
                <c:pt idx="16">
                  <c:v>0.4838709677419355</c:v>
                </c:pt>
                <c:pt idx="17">
                  <c:v>0.48484848484848486</c:v>
                </c:pt>
                <c:pt idx="18">
                  <c:v>0.5</c:v>
                </c:pt>
                <c:pt idx="19">
                  <c:v>0.51162790697674421</c:v>
                </c:pt>
                <c:pt idx="20">
                  <c:v>0.5</c:v>
                </c:pt>
                <c:pt idx="21">
                  <c:v>0.52173913043478259</c:v>
                </c:pt>
                <c:pt idx="22">
                  <c:v>0.5</c:v>
                </c:pt>
                <c:pt idx="23">
                  <c:v>0.48</c:v>
                </c:pt>
                <c:pt idx="24">
                  <c:v>0.48</c:v>
                </c:pt>
                <c:pt idx="25">
                  <c:v>0.5</c:v>
                </c:pt>
                <c:pt idx="26">
                  <c:v>0.5</c:v>
                </c:pt>
                <c:pt idx="27">
                  <c:v>0.50847457627118642</c:v>
                </c:pt>
                <c:pt idx="28">
                  <c:v>0.5</c:v>
                </c:pt>
                <c:pt idx="29">
                  <c:v>0.5</c:v>
                </c:pt>
                <c:pt idx="30">
                  <c:v>0.5161290322580645</c:v>
                </c:pt>
                <c:pt idx="31">
                  <c:v>0.53846153846153844</c:v>
                </c:pt>
                <c:pt idx="32">
                  <c:v>0.53731343283582089</c:v>
                </c:pt>
                <c:pt idx="33">
                  <c:v>0.55714285714285716</c:v>
                </c:pt>
                <c:pt idx="34">
                  <c:v>0.57534246575342463</c:v>
                </c:pt>
                <c:pt idx="35">
                  <c:v>0.57333333333333336</c:v>
                </c:pt>
                <c:pt idx="36">
                  <c:v>0.57333333333333336</c:v>
                </c:pt>
                <c:pt idx="37">
                  <c:v>0.56578947368421051</c:v>
                </c:pt>
                <c:pt idx="38">
                  <c:v>0.55696202531645567</c:v>
                </c:pt>
                <c:pt idx="39">
                  <c:v>0.57317073170731703</c:v>
                </c:pt>
                <c:pt idx="40">
                  <c:v>0.5662650602409639</c:v>
                </c:pt>
                <c:pt idx="41">
                  <c:v>0.56470588235294117</c:v>
                </c:pt>
                <c:pt idx="42">
                  <c:v>0.56666666666666665</c:v>
                </c:pt>
                <c:pt idx="43">
                  <c:v>0.5714285714285714</c:v>
                </c:pt>
                <c:pt idx="44">
                  <c:v>0.58510638297872342</c:v>
                </c:pt>
                <c:pt idx="45">
                  <c:v>0.57731958762886593</c:v>
                </c:pt>
                <c:pt idx="46">
                  <c:v>0.58163265306122447</c:v>
                </c:pt>
                <c:pt idx="47">
                  <c:v>0.57281553398058249</c:v>
                </c:pt>
                <c:pt idx="48">
                  <c:v>0.57547169811320753</c:v>
                </c:pt>
                <c:pt idx="49">
                  <c:v>0.57943925233644855</c:v>
                </c:pt>
                <c:pt idx="50">
                  <c:v>0.57407407407407407</c:v>
                </c:pt>
                <c:pt idx="51">
                  <c:v>0.5803571428571429</c:v>
                </c:pt>
                <c:pt idx="52">
                  <c:v>0.57758620689655171</c:v>
                </c:pt>
                <c:pt idx="53">
                  <c:v>0.57627118644067798</c:v>
                </c:pt>
                <c:pt idx="54">
                  <c:v>0.58064516129032262</c:v>
                </c:pt>
                <c:pt idx="55">
                  <c:v>0.5859375</c:v>
                </c:pt>
                <c:pt idx="56">
                  <c:v>0.58139534883720934</c:v>
                </c:pt>
                <c:pt idx="57">
                  <c:v>0.58778625954198471</c:v>
                </c:pt>
                <c:pt idx="58">
                  <c:v>0.58333333333333337</c:v>
                </c:pt>
                <c:pt idx="59">
                  <c:v>0.5864661654135338</c:v>
                </c:pt>
                <c:pt idx="60">
                  <c:v>0.58518518518518514</c:v>
                </c:pt>
                <c:pt idx="61">
                  <c:v>0.59285714285714286</c:v>
                </c:pt>
                <c:pt idx="62">
                  <c:v>0.59285714285714286</c:v>
                </c:pt>
                <c:pt idx="63">
                  <c:v>0.59027777777777779</c:v>
                </c:pt>
                <c:pt idx="64">
                  <c:v>0.58389261744966447</c:v>
                </c:pt>
                <c:pt idx="65">
                  <c:v>0.58064516129032262</c:v>
                </c:pt>
                <c:pt idx="66">
                  <c:v>0.58227848101265822</c:v>
                </c:pt>
                <c:pt idx="67">
                  <c:v>0.58750000000000002</c:v>
                </c:pt>
                <c:pt idx="68">
                  <c:v>0.59006211180124224</c:v>
                </c:pt>
                <c:pt idx="69">
                  <c:v>0.58536585365853655</c:v>
                </c:pt>
                <c:pt idx="70">
                  <c:v>0.59036144578313254</c:v>
                </c:pt>
                <c:pt idx="71">
                  <c:v>0.57647058823529407</c:v>
                </c:pt>
                <c:pt idx="72">
                  <c:v>0.58045977011494254</c:v>
                </c:pt>
                <c:pt idx="73">
                  <c:v>0.58522727272727271</c:v>
                </c:pt>
                <c:pt idx="74">
                  <c:v>0.58522727272727271</c:v>
                </c:pt>
                <c:pt idx="75">
                  <c:v>0.58888888888888891</c:v>
                </c:pt>
                <c:pt idx="76">
                  <c:v>0.58888888888888891</c:v>
                </c:pt>
                <c:pt idx="77">
                  <c:v>0.57923497267759561</c:v>
                </c:pt>
                <c:pt idx="78">
                  <c:v>0.58288770053475936</c:v>
                </c:pt>
                <c:pt idx="79">
                  <c:v>0.5759162303664922</c:v>
                </c:pt>
                <c:pt idx="80">
                  <c:v>0.57512953367875652</c:v>
                </c:pt>
                <c:pt idx="81">
                  <c:v>0.57653061224489799</c:v>
                </c:pt>
                <c:pt idx="82">
                  <c:v>0.57213930348258701</c:v>
                </c:pt>
                <c:pt idx="83">
                  <c:v>0.57352941176470584</c:v>
                </c:pt>
                <c:pt idx="84">
                  <c:v>0.57560975609756093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8571428571428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れんたろう2!$P$1:$P$2</c:f>
              <c:strCache>
                <c:ptCount val="2"/>
                <c:pt idx="0">
                  <c:v>れんたろう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れんたろう2!$A$3:$A$87</c:f>
              <c:numCache>
                <c:formatCode>0\ "回"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れんたろう2!$P$3:$P$87</c:f>
              <c:numCache>
                <c:formatCode>0.0%</c:formatCode>
                <c:ptCount val="85"/>
                <c:pt idx="1">
                  <c:v>0</c:v>
                </c:pt>
                <c:pt idx="2">
                  <c:v>0</c:v>
                </c:pt>
                <c:pt idx="3">
                  <c:v>0.4</c:v>
                </c:pt>
                <c:pt idx="4">
                  <c:v>0.2857142857142857</c:v>
                </c:pt>
                <c:pt idx="5">
                  <c:v>0.375</c:v>
                </c:pt>
                <c:pt idx="6">
                  <c:v>0.41666666666666669</c:v>
                </c:pt>
                <c:pt idx="7">
                  <c:v>0.35714285714285715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0.35</c:v>
                </c:pt>
                <c:pt idx="12">
                  <c:v>0.31818181818181818</c:v>
                </c:pt>
                <c:pt idx="13">
                  <c:v>0.29629629629629628</c:v>
                </c:pt>
                <c:pt idx="14">
                  <c:v>0.34482758620689657</c:v>
                </c:pt>
                <c:pt idx="15">
                  <c:v>0.33333333333333331</c:v>
                </c:pt>
                <c:pt idx="16">
                  <c:v>0.32258064516129031</c:v>
                </c:pt>
                <c:pt idx="17">
                  <c:v>0.3125</c:v>
                </c:pt>
                <c:pt idx="18">
                  <c:v>0.3235294117647059</c:v>
                </c:pt>
                <c:pt idx="19">
                  <c:v>0.35135135135135137</c:v>
                </c:pt>
                <c:pt idx="20">
                  <c:v>0.36842105263157893</c:v>
                </c:pt>
                <c:pt idx="21">
                  <c:v>0.35897435897435898</c:v>
                </c:pt>
                <c:pt idx="22">
                  <c:v>0.35897435897435898</c:v>
                </c:pt>
                <c:pt idx="23">
                  <c:v>0.35</c:v>
                </c:pt>
                <c:pt idx="24">
                  <c:v>0.35714285714285715</c:v>
                </c:pt>
                <c:pt idx="25">
                  <c:v>0.34883720930232559</c:v>
                </c:pt>
                <c:pt idx="26">
                  <c:v>0.34883720930232559</c:v>
                </c:pt>
                <c:pt idx="27">
                  <c:v>0.34090909090909088</c:v>
                </c:pt>
                <c:pt idx="28">
                  <c:v>0.34090909090909088</c:v>
                </c:pt>
                <c:pt idx="29">
                  <c:v>0.34090909090909088</c:v>
                </c:pt>
                <c:pt idx="30">
                  <c:v>0.34782608695652173</c:v>
                </c:pt>
                <c:pt idx="31">
                  <c:v>0.33333333333333331</c:v>
                </c:pt>
                <c:pt idx="32">
                  <c:v>0.31372549019607843</c:v>
                </c:pt>
                <c:pt idx="33">
                  <c:v>0.31372549019607843</c:v>
                </c:pt>
                <c:pt idx="34">
                  <c:v>0.31372549019607843</c:v>
                </c:pt>
                <c:pt idx="35">
                  <c:v>0.31372549019607843</c:v>
                </c:pt>
                <c:pt idx="36">
                  <c:v>0.30769230769230771</c:v>
                </c:pt>
                <c:pt idx="37">
                  <c:v>0.32075471698113206</c:v>
                </c:pt>
                <c:pt idx="38">
                  <c:v>0.31481481481481483</c:v>
                </c:pt>
                <c:pt idx="39">
                  <c:v>0.30909090909090908</c:v>
                </c:pt>
                <c:pt idx="40">
                  <c:v>0.33333333333333331</c:v>
                </c:pt>
                <c:pt idx="41">
                  <c:v>0.32758620689655171</c:v>
                </c:pt>
                <c:pt idx="42">
                  <c:v>0.32758620689655171</c:v>
                </c:pt>
                <c:pt idx="43">
                  <c:v>0.33333333333333331</c:v>
                </c:pt>
                <c:pt idx="44">
                  <c:v>0.33333333333333331</c:v>
                </c:pt>
                <c:pt idx="45">
                  <c:v>0.33333333333333331</c:v>
                </c:pt>
                <c:pt idx="46">
                  <c:v>0.33333333333333331</c:v>
                </c:pt>
                <c:pt idx="47">
                  <c:v>0.35294117647058826</c:v>
                </c:pt>
                <c:pt idx="48">
                  <c:v>0.35294117647058826</c:v>
                </c:pt>
                <c:pt idx="49">
                  <c:v>0.35714285714285715</c:v>
                </c:pt>
                <c:pt idx="50">
                  <c:v>0.34210526315789475</c:v>
                </c:pt>
                <c:pt idx="51">
                  <c:v>0.34210526315789475</c:v>
                </c:pt>
                <c:pt idx="52">
                  <c:v>0.35064935064935066</c:v>
                </c:pt>
                <c:pt idx="53">
                  <c:v>0.34177215189873417</c:v>
                </c:pt>
                <c:pt idx="54">
                  <c:v>0.34177215189873417</c:v>
                </c:pt>
                <c:pt idx="55">
                  <c:v>0.33750000000000002</c:v>
                </c:pt>
                <c:pt idx="56">
                  <c:v>0.33333333333333331</c:v>
                </c:pt>
                <c:pt idx="57">
                  <c:v>0.33333333333333331</c:v>
                </c:pt>
                <c:pt idx="58">
                  <c:v>0.34146341463414637</c:v>
                </c:pt>
                <c:pt idx="59">
                  <c:v>0.34523809523809523</c:v>
                </c:pt>
                <c:pt idx="60">
                  <c:v>0.36666666666666664</c:v>
                </c:pt>
                <c:pt idx="61">
                  <c:v>0.35483870967741937</c:v>
                </c:pt>
                <c:pt idx="62">
                  <c:v>0.36170212765957449</c:v>
                </c:pt>
                <c:pt idx="63">
                  <c:v>0.375</c:v>
                </c:pt>
                <c:pt idx="64">
                  <c:v>0.38613861386138615</c:v>
                </c:pt>
                <c:pt idx="65">
                  <c:v>0.38834951456310679</c:v>
                </c:pt>
                <c:pt idx="66">
                  <c:v>0.39047619047619048</c:v>
                </c:pt>
                <c:pt idx="67">
                  <c:v>0.39622641509433965</c:v>
                </c:pt>
                <c:pt idx="68">
                  <c:v>0.3925233644859813</c:v>
                </c:pt>
                <c:pt idx="69">
                  <c:v>0.4</c:v>
                </c:pt>
                <c:pt idx="70">
                  <c:v>0.40540540540540543</c:v>
                </c:pt>
                <c:pt idx="71">
                  <c:v>0.40540540540540543</c:v>
                </c:pt>
                <c:pt idx="72">
                  <c:v>0.40707964601769914</c:v>
                </c:pt>
                <c:pt idx="73">
                  <c:v>0.4</c:v>
                </c:pt>
                <c:pt idx="74">
                  <c:v>0.39316239316239315</c:v>
                </c:pt>
                <c:pt idx="75">
                  <c:v>0.39830508474576271</c:v>
                </c:pt>
                <c:pt idx="76">
                  <c:v>0.40336134453781514</c:v>
                </c:pt>
                <c:pt idx="77">
                  <c:v>0.3983739837398374</c:v>
                </c:pt>
                <c:pt idx="78">
                  <c:v>0.39516129032258063</c:v>
                </c:pt>
                <c:pt idx="79">
                  <c:v>0.40625</c:v>
                </c:pt>
                <c:pt idx="80">
                  <c:v>0.40310077519379844</c:v>
                </c:pt>
                <c:pt idx="81">
                  <c:v>0.40769230769230769</c:v>
                </c:pt>
                <c:pt idx="82">
                  <c:v>0.40769230769230769</c:v>
                </c:pt>
                <c:pt idx="83">
                  <c:v>0.40458015267175573</c:v>
                </c:pt>
                <c:pt idx="84">
                  <c:v>0.41791044776119401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2720306513409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れんたろう2!$Q$1:$Q$2</c:f>
              <c:strCache>
                <c:ptCount val="2"/>
                <c:pt idx="0">
                  <c:v>れんたろう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れんたろう2!$A$3:$A$87</c:f>
              <c:numCache>
                <c:formatCode>0\ "回"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れんたろう2!$Q$3:$Q$87</c:f>
              <c:numCache>
                <c:formatCode>0.0%</c:formatCode>
                <c:ptCount val="85"/>
                <c:pt idx="1">
                  <c:v>0</c:v>
                </c:pt>
                <c:pt idx="2">
                  <c:v>0</c:v>
                </c:pt>
                <c:pt idx="3">
                  <c:v>0.2</c:v>
                </c:pt>
                <c:pt idx="4">
                  <c:v>0.16666666666666666</c:v>
                </c:pt>
                <c:pt idx="5">
                  <c:v>0.22222222222222221</c:v>
                </c:pt>
                <c:pt idx="6">
                  <c:v>0.23076923076923078</c:v>
                </c:pt>
                <c:pt idx="7">
                  <c:v>0.2857142857142857</c:v>
                </c:pt>
                <c:pt idx="8">
                  <c:v>0.36842105263157893</c:v>
                </c:pt>
                <c:pt idx="9">
                  <c:v>0.38095238095238093</c:v>
                </c:pt>
                <c:pt idx="10">
                  <c:v>0.36363636363636365</c:v>
                </c:pt>
                <c:pt idx="11">
                  <c:v>0.375</c:v>
                </c:pt>
                <c:pt idx="12">
                  <c:v>0.375</c:v>
                </c:pt>
                <c:pt idx="13">
                  <c:v>0.34615384615384615</c:v>
                </c:pt>
                <c:pt idx="14">
                  <c:v>0.31034482758620691</c:v>
                </c:pt>
                <c:pt idx="15">
                  <c:v>0.3</c:v>
                </c:pt>
                <c:pt idx="16">
                  <c:v>0.32258064516129031</c:v>
                </c:pt>
                <c:pt idx="17">
                  <c:v>0.34375</c:v>
                </c:pt>
                <c:pt idx="18">
                  <c:v>0.29729729729729731</c:v>
                </c:pt>
                <c:pt idx="19">
                  <c:v>0.31818181818181818</c:v>
                </c:pt>
                <c:pt idx="20">
                  <c:v>0.32608695652173914</c:v>
                </c:pt>
                <c:pt idx="21">
                  <c:v>0.32653061224489793</c:v>
                </c:pt>
                <c:pt idx="22">
                  <c:v>0.32653061224489793</c:v>
                </c:pt>
                <c:pt idx="23">
                  <c:v>0.32653061224489793</c:v>
                </c:pt>
                <c:pt idx="24">
                  <c:v>0.33333333333333331</c:v>
                </c:pt>
                <c:pt idx="25">
                  <c:v>0.32075471698113206</c:v>
                </c:pt>
                <c:pt idx="26">
                  <c:v>0.30909090909090908</c:v>
                </c:pt>
                <c:pt idx="27">
                  <c:v>0.31034482758620691</c:v>
                </c:pt>
                <c:pt idx="28">
                  <c:v>0.31034482758620691</c:v>
                </c:pt>
                <c:pt idx="29">
                  <c:v>0.32203389830508472</c:v>
                </c:pt>
                <c:pt idx="30">
                  <c:v>0.32258064516129031</c:v>
                </c:pt>
                <c:pt idx="31">
                  <c:v>0.33846153846153848</c:v>
                </c:pt>
                <c:pt idx="32">
                  <c:v>0.34328358208955223</c:v>
                </c:pt>
                <c:pt idx="33">
                  <c:v>0.35714285714285715</c:v>
                </c:pt>
                <c:pt idx="34">
                  <c:v>0.35616438356164382</c:v>
                </c:pt>
                <c:pt idx="35">
                  <c:v>0.35135135135135137</c:v>
                </c:pt>
                <c:pt idx="36">
                  <c:v>0.35135135135135137</c:v>
                </c:pt>
                <c:pt idx="37">
                  <c:v>0.34210526315789475</c:v>
                </c:pt>
                <c:pt idx="38">
                  <c:v>0.34615384615384615</c:v>
                </c:pt>
                <c:pt idx="39">
                  <c:v>0.34567901234567899</c:v>
                </c:pt>
                <c:pt idx="40">
                  <c:v>0.33734939759036142</c:v>
                </c:pt>
                <c:pt idx="41">
                  <c:v>0.34523809523809523</c:v>
                </c:pt>
                <c:pt idx="42">
                  <c:v>0.35632183908045978</c:v>
                </c:pt>
                <c:pt idx="43">
                  <c:v>0.3595505617977528</c:v>
                </c:pt>
                <c:pt idx="44">
                  <c:v>0.34782608695652173</c:v>
                </c:pt>
                <c:pt idx="45">
                  <c:v>0.35483870967741937</c:v>
                </c:pt>
                <c:pt idx="46">
                  <c:v>0.35789473684210527</c:v>
                </c:pt>
                <c:pt idx="47">
                  <c:v>0.37</c:v>
                </c:pt>
                <c:pt idx="48">
                  <c:v>0.37254901960784315</c:v>
                </c:pt>
                <c:pt idx="49">
                  <c:v>0.39047619047619048</c:v>
                </c:pt>
                <c:pt idx="50">
                  <c:v>0.3867924528301887</c:v>
                </c:pt>
                <c:pt idx="51">
                  <c:v>0.39449541284403672</c:v>
                </c:pt>
                <c:pt idx="52">
                  <c:v>0.39823008849557523</c:v>
                </c:pt>
                <c:pt idx="53">
                  <c:v>0.40350877192982454</c:v>
                </c:pt>
                <c:pt idx="54">
                  <c:v>0.4152542372881356</c:v>
                </c:pt>
                <c:pt idx="55">
                  <c:v>0.40163934426229508</c:v>
                </c:pt>
                <c:pt idx="56">
                  <c:v>0.40163934426229508</c:v>
                </c:pt>
                <c:pt idx="57">
                  <c:v>0.41129032258064518</c:v>
                </c:pt>
                <c:pt idx="58">
                  <c:v>0.40799999999999997</c:v>
                </c:pt>
                <c:pt idx="59">
                  <c:v>0.40157480314960631</c:v>
                </c:pt>
                <c:pt idx="60">
                  <c:v>0.41791044776119401</c:v>
                </c:pt>
                <c:pt idx="61">
                  <c:v>0.40579710144927539</c:v>
                </c:pt>
                <c:pt idx="62">
                  <c:v>0.40287769784172661</c:v>
                </c:pt>
                <c:pt idx="63">
                  <c:v>0.40972222222222221</c:v>
                </c:pt>
                <c:pt idx="64">
                  <c:v>0.41610738255033558</c:v>
                </c:pt>
                <c:pt idx="65">
                  <c:v>0.42483660130718953</c:v>
                </c:pt>
                <c:pt idx="66">
                  <c:v>0.42675159235668791</c:v>
                </c:pt>
                <c:pt idx="67">
                  <c:v>0.43125000000000002</c:v>
                </c:pt>
                <c:pt idx="68">
                  <c:v>0.43478260869565216</c:v>
                </c:pt>
                <c:pt idx="69">
                  <c:v>0.43292682926829268</c:v>
                </c:pt>
                <c:pt idx="70">
                  <c:v>0.43712574850299402</c:v>
                </c:pt>
                <c:pt idx="71">
                  <c:v>0.43712574850299402</c:v>
                </c:pt>
                <c:pt idx="72">
                  <c:v>0.43274853801169588</c:v>
                </c:pt>
                <c:pt idx="73">
                  <c:v>0.43352601156069365</c:v>
                </c:pt>
                <c:pt idx="74">
                  <c:v>0.43352601156069365</c:v>
                </c:pt>
                <c:pt idx="75">
                  <c:v>0.42696629213483145</c:v>
                </c:pt>
                <c:pt idx="76">
                  <c:v>0.42458100558659218</c:v>
                </c:pt>
                <c:pt idx="77">
                  <c:v>0.42222222222222222</c:v>
                </c:pt>
                <c:pt idx="78">
                  <c:v>0.42076502732240439</c:v>
                </c:pt>
                <c:pt idx="79">
                  <c:v>0.42245989304812837</c:v>
                </c:pt>
                <c:pt idx="80">
                  <c:v>0.42021276595744683</c:v>
                </c:pt>
                <c:pt idx="81">
                  <c:v>0.42408376963350786</c:v>
                </c:pt>
                <c:pt idx="82">
                  <c:v>0.41538461538461541</c:v>
                </c:pt>
                <c:pt idx="83">
                  <c:v>0.41116751269035534</c:v>
                </c:pt>
                <c:pt idx="84">
                  <c:v>0.40594059405940597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2775919732441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56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43595.036134259259</v>
      </c>
      <c r="C32" s="30" t="s">
        <v>130</v>
      </c>
      <c r="D32" s="30" t="s">
        <v>131</v>
      </c>
    </row>
    <row r="33" spans="1:11" x14ac:dyDescent="0.4">
      <c r="A33" s="30" t="s">
        <v>218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219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220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221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222</v>
      </c>
      <c r="B37" s="31">
        <v>43599.98951388889</v>
      </c>
      <c r="C37" s="30" t="s">
        <v>130</v>
      </c>
      <c r="D37" s="30" t="s">
        <v>131</v>
      </c>
    </row>
    <row r="38" spans="1:11" x14ac:dyDescent="0.4">
      <c r="A38" s="30" t="s">
        <v>223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226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227</v>
      </c>
      <c r="B40" s="31">
        <v>43605.945185185185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  <c r="J40" s="30" t="s">
        <v>189</v>
      </c>
      <c r="K40" s="30" t="s">
        <v>230</v>
      </c>
    </row>
    <row r="41" spans="1:11" x14ac:dyDescent="0.4">
      <c r="A41" s="30" t="s">
        <v>228</v>
      </c>
      <c r="B41" s="31">
        <v>43605.945185185185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229</v>
      </c>
      <c r="B42" s="31">
        <v>43608.879282407404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231</v>
      </c>
      <c r="B43" s="31">
        <v>43606.718368055554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187</v>
      </c>
    </row>
    <row r="44" spans="1:11" x14ac:dyDescent="0.4">
      <c r="A44" s="30" t="s">
        <v>233</v>
      </c>
      <c r="B44" s="31">
        <v>43607.87667824074</v>
      </c>
      <c r="C44" s="30" t="s">
        <v>130</v>
      </c>
    </row>
    <row r="45" spans="1:11" x14ac:dyDescent="0.4">
      <c r="A45" s="30" t="s">
        <v>232</v>
      </c>
      <c r="B45" s="31">
        <v>43606.874745370369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234</v>
      </c>
      <c r="B46" s="31">
        <v>43608.430162037039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235</v>
      </c>
      <c r="B47" s="31">
        <v>43607.920266203706</v>
      </c>
      <c r="C47" s="30" t="s">
        <v>130</v>
      </c>
    </row>
    <row r="48" spans="1:11" x14ac:dyDescent="0.4">
      <c r="A48" s="30" t="s">
        <v>237</v>
      </c>
      <c r="B48" s="31">
        <v>43609.644525462965</v>
      </c>
      <c r="C48" s="30" t="s">
        <v>130</v>
      </c>
    </row>
    <row r="49" spans="1:7" x14ac:dyDescent="0.4">
      <c r="A49" s="30" t="s">
        <v>236</v>
      </c>
      <c r="B49" s="31">
        <v>43609.644525462965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238</v>
      </c>
      <c r="B50" s="31">
        <v>43609.871759259258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240</v>
      </c>
      <c r="B51" s="31">
        <v>43612.745358796295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239</v>
      </c>
      <c r="B52" s="31">
        <v>43613.63894675926</v>
      </c>
      <c r="C52" s="30" t="s">
        <v>130</v>
      </c>
    </row>
    <row r="53" spans="1:7" x14ac:dyDescent="0.4">
      <c r="A53" s="30" t="s">
        <v>241</v>
      </c>
      <c r="B53" s="31">
        <v>43613.763310185182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242</v>
      </c>
      <c r="B54" s="31">
        <v>43618.007013888891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243</v>
      </c>
      <c r="B55" s="31">
        <v>43618.036354166667</v>
      </c>
      <c r="C55" s="30" t="s">
        <v>130</v>
      </c>
    </row>
    <row r="56" spans="1:7" x14ac:dyDescent="0.4">
      <c r="A56" s="30" t="s">
        <v>244</v>
      </c>
      <c r="B56" s="31">
        <v>43618.8359375</v>
      </c>
      <c r="C56" s="30" t="s">
        <v>130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597</v>
      </c>
    </row>
    <row r="2" spans="1:2" x14ac:dyDescent="0.4">
      <c r="A2" t="s">
        <v>127</v>
      </c>
      <c r="B2">
        <v>134</v>
      </c>
    </row>
    <row r="3" spans="1:2" x14ac:dyDescent="0.4">
      <c r="A3" t="s">
        <v>128</v>
      </c>
      <c r="B3">
        <v>117</v>
      </c>
    </row>
    <row r="4" spans="1:2" x14ac:dyDescent="0.4">
      <c r="A4" t="s">
        <v>129</v>
      </c>
      <c r="B4">
        <v>74</v>
      </c>
    </row>
    <row r="5" spans="1:2" x14ac:dyDescent="0.4">
      <c r="A5" t="s">
        <v>171</v>
      </c>
      <c r="B5">
        <v>84</v>
      </c>
    </row>
    <row r="6" spans="1:2" x14ac:dyDescent="0.4">
      <c r="A6" t="s">
        <v>172</v>
      </c>
      <c r="B6">
        <v>66</v>
      </c>
    </row>
    <row r="7" spans="1:2" x14ac:dyDescent="0.4">
      <c r="A7" t="s">
        <v>173</v>
      </c>
      <c r="B7">
        <v>44</v>
      </c>
    </row>
    <row r="8" spans="1:2" x14ac:dyDescent="0.4">
      <c r="A8" t="s">
        <v>177</v>
      </c>
      <c r="B8">
        <v>51</v>
      </c>
    </row>
    <row r="9" spans="1:2" x14ac:dyDescent="0.4">
      <c r="A9" t="s">
        <v>185</v>
      </c>
      <c r="B9">
        <v>3</v>
      </c>
    </row>
    <row r="10" spans="1:2" x14ac:dyDescent="0.4">
      <c r="A10" t="s">
        <v>186</v>
      </c>
      <c r="B10">
        <v>14</v>
      </c>
    </row>
    <row r="11" spans="1:2" x14ac:dyDescent="0.4">
      <c r="A11" t="s">
        <v>202</v>
      </c>
      <c r="B11">
        <v>7</v>
      </c>
    </row>
    <row r="12" spans="1:2" x14ac:dyDescent="0.4">
      <c r="A12" t="s">
        <v>224</v>
      </c>
      <c r="B12">
        <v>1</v>
      </c>
    </row>
    <row r="13" spans="1:2" x14ac:dyDescent="0.4">
      <c r="A13" t="s">
        <v>225</v>
      </c>
      <c r="B13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162</v>
      </c>
      <c r="K1" s="155"/>
      <c r="L1" s="154" t="s">
        <v>149</v>
      </c>
      <c r="M1" s="155"/>
      <c r="N1" s="154" t="s">
        <v>150</v>
      </c>
      <c r="O1" s="155"/>
      <c r="P1" s="154" t="s">
        <v>5</v>
      </c>
      <c r="Q1" s="155"/>
      <c r="R1" s="154" t="s">
        <v>17</v>
      </c>
      <c r="S1" s="155"/>
      <c r="T1" s="154" t="s">
        <v>18</v>
      </c>
      <c r="U1" s="155"/>
      <c r="V1" s="154" t="s">
        <v>141</v>
      </c>
      <c r="W1" s="155"/>
      <c r="X1" s="154" t="s">
        <v>123</v>
      </c>
      <c r="Y1" s="155"/>
      <c r="Z1" s="154" t="s">
        <v>120</v>
      </c>
      <c r="AA1" s="155"/>
      <c r="AB1" s="154" t="s">
        <v>126</v>
      </c>
      <c r="AC1" s="155"/>
      <c r="AD1" s="154" t="s">
        <v>151</v>
      </c>
      <c r="AE1" s="155"/>
      <c r="AF1" s="154" t="s">
        <v>144</v>
      </c>
      <c r="AG1" s="155"/>
      <c r="AH1" s="154" t="s">
        <v>153</v>
      </c>
      <c r="AI1" s="155"/>
    </row>
    <row r="2" spans="1:35" x14ac:dyDescent="0.4">
      <c r="A2" s="72" t="s">
        <v>161</v>
      </c>
      <c r="B2" s="156"/>
      <c r="C2" s="157"/>
      <c r="D2" s="156"/>
      <c r="E2" s="157"/>
      <c r="F2" s="158">
        <v>0.96690788706508324</v>
      </c>
      <c r="G2" s="159"/>
      <c r="H2" s="158">
        <v>0.7003402777789518</v>
      </c>
      <c r="I2" s="159"/>
      <c r="J2" s="158">
        <v>0.93055527606180588</v>
      </c>
      <c r="K2" s="159"/>
      <c r="L2" s="158">
        <v>0.74208910301442643</v>
      </c>
      <c r="M2" s="159"/>
      <c r="N2" s="158">
        <v>0.63384128993698208</v>
      </c>
      <c r="O2" s="159"/>
      <c r="P2" s="158">
        <v>0.31946254541718738</v>
      </c>
      <c r="Q2" s="159"/>
      <c r="R2" s="158">
        <v>0.31765993870450882</v>
      </c>
      <c r="S2" s="159"/>
      <c r="T2" s="158">
        <v>0.51800981582556793</v>
      </c>
      <c r="U2" s="159"/>
      <c r="V2" s="158">
        <v>0.68088402501367284</v>
      </c>
      <c r="W2" s="159"/>
      <c r="X2" s="158">
        <v>0.4439127779780217</v>
      </c>
      <c r="Y2" s="159"/>
      <c r="Z2" s="158">
        <v>0.26738021896176445</v>
      </c>
      <c r="AA2" s="159"/>
      <c r="AB2" s="158">
        <v>-1.321324330536818E-2</v>
      </c>
      <c r="AC2" s="159"/>
      <c r="AD2" s="158">
        <v>0.74090722530314623</v>
      </c>
      <c r="AE2" s="159"/>
      <c r="AF2" s="158">
        <v>-0.71887601705765247</v>
      </c>
      <c r="AG2" s="159"/>
      <c r="AH2" s="158">
        <v>0.61994679272143349</v>
      </c>
      <c r="AI2" s="159"/>
    </row>
    <row r="3" spans="1:35" x14ac:dyDescent="0.4">
      <c r="A3" s="74">
        <v>1</v>
      </c>
      <c r="B3" s="75" t="s">
        <v>127</v>
      </c>
      <c r="C3" s="76">
        <v>1549.3000000000009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172</v>
      </c>
      <c r="M3" s="80">
        <v>0.35602094240837695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0.17164179104477612</v>
      </c>
      <c r="X3" s="77" t="s">
        <v>127</v>
      </c>
      <c r="Y3" s="80">
        <v>0.3220183486238532</v>
      </c>
      <c r="Z3" s="77" t="s">
        <v>172</v>
      </c>
      <c r="AA3" s="80">
        <v>0.29319371727748689</v>
      </c>
      <c r="AB3" s="77" t="s">
        <v>225</v>
      </c>
      <c r="AC3" s="80">
        <v>1</v>
      </c>
      <c r="AD3" s="77" t="s">
        <v>127</v>
      </c>
      <c r="AE3" s="80">
        <v>0.51037344398340245</v>
      </c>
      <c r="AF3" s="77" t="s">
        <v>225</v>
      </c>
      <c r="AG3" s="80">
        <v>0.6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275.10000000000002</v>
      </c>
      <c r="D4" s="85" t="s">
        <v>224</v>
      </c>
      <c r="E4" s="97">
        <v>13.3</v>
      </c>
      <c r="F4" s="85" t="s">
        <v>127</v>
      </c>
      <c r="G4" s="86">
        <v>1.7611940298507462</v>
      </c>
      <c r="H4" s="85" t="s">
        <v>127</v>
      </c>
      <c r="I4" s="87">
        <v>0.48507462686567165</v>
      </c>
      <c r="J4" s="85" t="s">
        <v>224</v>
      </c>
      <c r="K4" s="87">
        <v>0</v>
      </c>
      <c r="L4" s="85" t="s">
        <v>127</v>
      </c>
      <c r="M4" s="88">
        <v>0.34587155963302751</v>
      </c>
      <c r="N4" s="85" t="s">
        <v>185</v>
      </c>
      <c r="O4" s="88">
        <v>0.10526315789473684</v>
      </c>
      <c r="P4" s="85" t="s">
        <v>225</v>
      </c>
      <c r="Q4" s="89">
        <v>10600</v>
      </c>
      <c r="R4" s="85" t="s">
        <v>202</v>
      </c>
      <c r="S4" s="89">
        <v>-6683.333333333333</v>
      </c>
      <c r="T4" s="85" t="s">
        <v>202</v>
      </c>
      <c r="U4" s="87">
        <v>0</v>
      </c>
      <c r="V4" s="85" t="s">
        <v>171</v>
      </c>
      <c r="W4" s="87">
        <v>0.14285714285714285</v>
      </c>
      <c r="X4" s="85" t="s">
        <v>128</v>
      </c>
      <c r="Y4" s="88">
        <v>0.30051813471502592</v>
      </c>
      <c r="Z4" s="85" t="s">
        <v>202</v>
      </c>
      <c r="AA4" s="88">
        <v>0.27536231884057971</v>
      </c>
      <c r="AB4" s="85" t="s">
        <v>202</v>
      </c>
      <c r="AC4" s="88">
        <v>0.70588235294117652</v>
      </c>
      <c r="AD4" s="85" t="s">
        <v>185</v>
      </c>
      <c r="AE4" s="88">
        <v>0.5</v>
      </c>
      <c r="AF4" s="85" t="s">
        <v>202</v>
      </c>
      <c r="AG4" s="88">
        <v>0.5714285714285714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185</v>
      </c>
      <c r="C5" s="84">
        <v>61</v>
      </c>
      <c r="D5" s="85" t="s">
        <v>127</v>
      </c>
      <c r="E5" s="97">
        <v>11.561940298507469</v>
      </c>
      <c r="F5" s="85" t="s">
        <v>177</v>
      </c>
      <c r="G5" s="86">
        <v>1.9607843137254901</v>
      </c>
      <c r="H5" s="85" t="s">
        <v>177</v>
      </c>
      <c r="I5" s="87">
        <v>0.37254901960784315</v>
      </c>
      <c r="J5" s="85" t="s">
        <v>202</v>
      </c>
      <c r="K5" s="87">
        <v>0.14285714285714285</v>
      </c>
      <c r="L5" s="85" t="s">
        <v>202</v>
      </c>
      <c r="M5" s="88">
        <v>0.30434782608695654</v>
      </c>
      <c r="N5" s="85" t="s">
        <v>172</v>
      </c>
      <c r="O5" s="88">
        <v>0.13263525305410123</v>
      </c>
      <c r="P5" s="85" t="s">
        <v>171</v>
      </c>
      <c r="Q5" s="89">
        <v>10054.455445544554</v>
      </c>
      <c r="R5" s="85" t="s">
        <v>128</v>
      </c>
      <c r="S5" s="89">
        <v>-7742.6829268292686</v>
      </c>
      <c r="T5" s="85" t="s">
        <v>224</v>
      </c>
      <c r="U5" s="87">
        <v>0</v>
      </c>
      <c r="V5" s="85" t="s">
        <v>145</v>
      </c>
      <c r="W5" s="87">
        <v>0.11557788944723618</v>
      </c>
      <c r="X5" s="85" t="s">
        <v>171</v>
      </c>
      <c r="Y5" s="88">
        <v>0.29327610872675253</v>
      </c>
      <c r="Z5" s="85" t="s">
        <v>173</v>
      </c>
      <c r="AA5" s="88">
        <v>0.25654450261780104</v>
      </c>
      <c r="AB5" s="85" t="s">
        <v>186</v>
      </c>
      <c r="AC5" s="88">
        <v>0.6785714285714286</v>
      </c>
      <c r="AD5" s="85" t="s">
        <v>186</v>
      </c>
      <c r="AE5" s="88">
        <v>0.44</v>
      </c>
      <c r="AF5" s="85" t="s">
        <v>186</v>
      </c>
      <c r="AG5" s="88">
        <v>0.52941176470588236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177</v>
      </c>
      <c r="C6" s="84">
        <v>20.999999999999993</v>
      </c>
      <c r="D6" s="85" t="s">
        <v>171</v>
      </c>
      <c r="E6" s="97">
        <v>3.2750000000000004</v>
      </c>
      <c r="F6" s="85" t="s">
        <v>171</v>
      </c>
      <c r="G6" s="86">
        <v>2</v>
      </c>
      <c r="H6" s="85" t="s">
        <v>186</v>
      </c>
      <c r="I6" s="87">
        <v>0.35714285714285715</v>
      </c>
      <c r="J6" s="85" t="s">
        <v>127</v>
      </c>
      <c r="K6" s="87">
        <v>0.2462686567164179</v>
      </c>
      <c r="L6" s="85" t="s">
        <v>145</v>
      </c>
      <c r="M6" s="88">
        <v>0.30038175607795858</v>
      </c>
      <c r="N6" s="85" t="s">
        <v>177</v>
      </c>
      <c r="O6" s="88">
        <v>0.16144578313253011</v>
      </c>
      <c r="P6" s="85" t="s">
        <v>128</v>
      </c>
      <c r="Q6" s="89">
        <v>9302.6615969581744</v>
      </c>
      <c r="R6" s="85" t="s">
        <v>173</v>
      </c>
      <c r="S6" s="89">
        <v>-7866.1971830985913</v>
      </c>
      <c r="T6" s="85" t="s">
        <v>225</v>
      </c>
      <c r="U6" s="87">
        <v>0</v>
      </c>
      <c r="V6" s="85" t="s">
        <v>129</v>
      </c>
      <c r="W6" s="87">
        <v>0.10810810810810811</v>
      </c>
      <c r="X6" s="85" t="s">
        <v>129</v>
      </c>
      <c r="Y6" s="88">
        <v>0.28200972447325767</v>
      </c>
      <c r="Z6" s="85" t="s">
        <v>225</v>
      </c>
      <c r="AA6" s="88">
        <v>0.23529411764705882</v>
      </c>
      <c r="AB6" s="85" t="s">
        <v>177</v>
      </c>
      <c r="AC6" s="88">
        <v>0.66363636363636369</v>
      </c>
      <c r="AD6" s="85" t="s">
        <v>172</v>
      </c>
      <c r="AE6" s="88">
        <v>0.43452380952380953</v>
      </c>
      <c r="AF6" s="85" t="s">
        <v>173</v>
      </c>
      <c r="AG6" s="88">
        <v>0.50877192982456143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224</v>
      </c>
      <c r="C7" s="84">
        <v>13.3</v>
      </c>
      <c r="D7" s="85" t="s">
        <v>177</v>
      </c>
      <c r="E7" s="97">
        <v>0.41176470588235281</v>
      </c>
      <c r="F7" s="85" t="s">
        <v>145</v>
      </c>
      <c r="G7" s="86">
        <v>2</v>
      </c>
      <c r="H7" s="85" t="s">
        <v>145</v>
      </c>
      <c r="I7" s="87">
        <v>0.33333333333333331</v>
      </c>
      <c r="J7" s="85" t="s">
        <v>172</v>
      </c>
      <c r="K7" s="87">
        <v>0.30303030303030304</v>
      </c>
      <c r="L7" s="85" t="s">
        <v>177</v>
      </c>
      <c r="M7" s="88">
        <v>0.29879518072289157</v>
      </c>
      <c r="N7" s="85" t="s">
        <v>127</v>
      </c>
      <c r="O7" s="88">
        <v>0.16238532110091744</v>
      </c>
      <c r="P7" s="85" t="s">
        <v>127</v>
      </c>
      <c r="Q7" s="89">
        <v>9218.8328912466841</v>
      </c>
      <c r="R7" s="85" t="s">
        <v>177</v>
      </c>
      <c r="S7" s="89">
        <v>-7931.3432835820895</v>
      </c>
      <c r="T7" s="85" t="s">
        <v>172</v>
      </c>
      <c r="U7" s="87">
        <v>4.5454545454545456E-2</v>
      </c>
      <c r="V7" s="85" t="s">
        <v>172</v>
      </c>
      <c r="W7" s="87">
        <v>0.10606060606060606</v>
      </c>
      <c r="X7" s="85" t="s">
        <v>145</v>
      </c>
      <c r="Y7" s="88">
        <v>0.28129395218002812</v>
      </c>
      <c r="Z7" s="85" t="s">
        <v>127</v>
      </c>
      <c r="AA7" s="88">
        <v>0.22110091743119267</v>
      </c>
      <c r="AB7" s="85" t="s">
        <v>185</v>
      </c>
      <c r="AC7" s="88">
        <v>0.6</v>
      </c>
      <c r="AD7" s="85" t="s">
        <v>202</v>
      </c>
      <c r="AE7" s="88">
        <v>0.42105263157894735</v>
      </c>
      <c r="AF7" s="85" t="s">
        <v>224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145</v>
      </c>
      <c r="C8" s="84">
        <v>-1.4210854715202004E-14</v>
      </c>
      <c r="D8" s="85" t="s">
        <v>145</v>
      </c>
      <c r="E8" s="97">
        <v>-2.3803776742381916E-17</v>
      </c>
      <c r="F8" s="85" t="s">
        <v>202</v>
      </c>
      <c r="G8" s="86">
        <v>2</v>
      </c>
      <c r="H8" s="85" t="s">
        <v>171</v>
      </c>
      <c r="I8" s="87">
        <v>0.32142857142857145</v>
      </c>
      <c r="J8" s="85" t="s">
        <v>171</v>
      </c>
      <c r="K8" s="87">
        <v>0.32142857142857145</v>
      </c>
      <c r="L8" s="85" t="s">
        <v>173</v>
      </c>
      <c r="M8" s="88">
        <v>0.29842931937172773</v>
      </c>
      <c r="N8" s="85" t="s">
        <v>145</v>
      </c>
      <c r="O8" s="88">
        <v>0.16837452280490256</v>
      </c>
      <c r="P8" s="85" t="s">
        <v>129</v>
      </c>
      <c r="Q8" s="89">
        <v>8872.9166666666661</v>
      </c>
      <c r="R8" s="85" t="s">
        <v>171</v>
      </c>
      <c r="S8" s="89">
        <v>-8092.4369747899163</v>
      </c>
      <c r="T8" s="85" t="s">
        <v>171</v>
      </c>
      <c r="U8" s="87">
        <v>7.1428571428571425E-2</v>
      </c>
      <c r="V8" s="85" t="s">
        <v>177</v>
      </c>
      <c r="W8" s="87">
        <v>9.8039215686274508E-2</v>
      </c>
      <c r="X8" s="85" t="s">
        <v>177</v>
      </c>
      <c r="Y8" s="88">
        <v>0.26506024096385544</v>
      </c>
      <c r="Z8" s="85" t="s">
        <v>186</v>
      </c>
      <c r="AA8" s="88">
        <v>0.21186440677966101</v>
      </c>
      <c r="AB8" s="85" t="s">
        <v>173</v>
      </c>
      <c r="AC8" s="88">
        <v>0.59090909090909094</v>
      </c>
      <c r="AD8" s="85" t="s">
        <v>171</v>
      </c>
      <c r="AE8" s="88">
        <v>0.41791044776119401</v>
      </c>
      <c r="AF8" s="85" t="s">
        <v>129</v>
      </c>
      <c r="AG8" s="88">
        <v>0.46527777777777779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172</v>
      </c>
      <c r="C9" s="84">
        <v>-5.400000000000027</v>
      </c>
      <c r="D9" s="85" t="s">
        <v>172</v>
      </c>
      <c r="E9" s="97">
        <v>-8.1818181818182234E-2</v>
      </c>
      <c r="F9" s="85" t="s">
        <v>224</v>
      </c>
      <c r="G9" s="86">
        <v>2</v>
      </c>
      <c r="H9" s="85" t="s">
        <v>173</v>
      </c>
      <c r="I9" s="87">
        <v>0.29545454545454547</v>
      </c>
      <c r="J9" s="85" t="s">
        <v>177</v>
      </c>
      <c r="K9" s="87">
        <v>0.33333333333333331</v>
      </c>
      <c r="L9" s="85" t="s">
        <v>225</v>
      </c>
      <c r="M9" s="88">
        <v>0.29411764705882354</v>
      </c>
      <c r="N9" s="85" t="s">
        <v>128</v>
      </c>
      <c r="O9" s="88">
        <v>0.16994818652849741</v>
      </c>
      <c r="P9" s="85" t="s">
        <v>145</v>
      </c>
      <c r="Q9" s="89">
        <v>8680.9364548494977</v>
      </c>
      <c r="R9" s="85" t="s">
        <v>186</v>
      </c>
      <c r="S9" s="89">
        <v>-8107.6923076923076</v>
      </c>
      <c r="T9" s="85" t="s">
        <v>127</v>
      </c>
      <c r="U9" s="87">
        <v>0.11194029850746269</v>
      </c>
      <c r="V9" s="85" t="s">
        <v>128</v>
      </c>
      <c r="W9" s="87">
        <v>9.4017094017094016E-2</v>
      </c>
      <c r="X9" s="85" t="s">
        <v>185</v>
      </c>
      <c r="Y9" s="88">
        <v>0.26315789473684209</v>
      </c>
      <c r="Z9" s="85" t="s">
        <v>185</v>
      </c>
      <c r="AA9" s="88">
        <v>0.21052631578947367</v>
      </c>
      <c r="AB9" s="85" t="s">
        <v>128</v>
      </c>
      <c r="AC9" s="88">
        <v>0.58275862068965523</v>
      </c>
      <c r="AD9" s="85" t="s">
        <v>145</v>
      </c>
      <c r="AE9" s="88">
        <v>0.39272030651340994</v>
      </c>
      <c r="AF9" s="85" t="s">
        <v>177</v>
      </c>
      <c r="AG9" s="88">
        <v>0.43548387096774194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225</v>
      </c>
      <c r="C10" s="84">
        <v>-24.7</v>
      </c>
      <c r="D10" s="85" t="s">
        <v>128</v>
      </c>
      <c r="E10" s="97">
        <v>-2.6786324786324789</v>
      </c>
      <c r="F10" s="85" t="s">
        <v>172</v>
      </c>
      <c r="G10" s="86">
        <v>2.0303030303030303</v>
      </c>
      <c r="H10" s="85" t="s">
        <v>172</v>
      </c>
      <c r="I10" s="87">
        <v>0.27272727272727271</v>
      </c>
      <c r="J10" s="85" t="s">
        <v>145</v>
      </c>
      <c r="K10" s="87">
        <v>0.33333333333333331</v>
      </c>
      <c r="L10" s="85" t="s">
        <v>171</v>
      </c>
      <c r="M10" s="88">
        <v>0.28898426323319026</v>
      </c>
      <c r="N10" s="85" t="s">
        <v>171</v>
      </c>
      <c r="O10" s="88">
        <v>0.17024320457796852</v>
      </c>
      <c r="P10" s="85" t="s">
        <v>177</v>
      </c>
      <c r="Q10" s="89">
        <v>8587.0967741935492</v>
      </c>
      <c r="R10" s="85" t="s">
        <v>145</v>
      </c>
      <c r="S10" s="89">
        <v>-8328.2816229116943</v>
      </c>
      <c r="T10" s="85" t="s">
        <v>173</v>
      </c>
      <c r="U10" s="87">
        <v>0.11363636363636363</v>
      </c>
      <c r="V10" s="85" t="s">
        <v>173</v>
      </c>
      <c r="W10" s="87">
        <v>6.8181818181818177E-2</v>
      </c>
      <c r="X10" s="85" t="s">
        <v>202</v>
      </c>
      <c r="Y10" s="88">
        <v>0.24637681159420291</v>
      </c>
      <c r="Z10" s="85" t="s">
        <v>145</v>
      </c>
      <c r="AA10" s="88">
        <v>0.20976491862567812</v>
      </c>
      <c r="AB10" s="85" t="s">
        <v>145</v>
      </c>
      <c r="AC10" s="88">
        <v>0.57857142857142863</v>
      </c>
      <c r="AD10" s="85" t="s">
        <v>177</v>
      </c>
      <c r="AE10" s="88">
        <v>0.37179487179487181</v>
      </c>
      <c r="AF10" s="85" t="s">
        <v>145</v>
      </c>
      <c r="AG10" s="88">
        <v>0.43277591973244145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202</v>
      </c>
      <c r="C11" s="84">
        <v>-25.300000000000004</v>
      </c>
      <c r="D11" s="85" t="s">
        <v>202</v>
      </c>
      <c r="E11" s="97">
        <v>-3.6142857142857148</v>
      </c>
      <c r="F11" s="85" t="s">
        <v>173</v>
      </c>
      <c r="G11" s="86">
        <v>2.0681818181818183</v>
      </c>
      <c r="H11" s="85" t="s">
        <v>128</v>
      </c>
      <c r="I11" s="87">
        <v>0.26495726495726496</v>
      </c>
      <c r="J11" s="85" t="s">
        <v>128</v>
      </c>
      <c r="K11" s="87">
        <v>0.34188034188034189</v>
      </c>
      <c r="L11" s="85" t="s">
        <v>186</v>
      </c>
      <c r="M11" s="88">
        <v>0.28813559322033899</v>
      </c>
      <c r="N11" s="85" t="s">
        <v>202</v>
      </c>
      <c r="O11" s="88">
        <v>0.17391304347826086</v>
      </c>
      <c r="P11" s="85" t="s">
        <v>185</v>
      </c>
      <c r="Q11" s="89">
        <v>7860</v>
      </c>
      <c r="R11" s="85" t="s">
        <v>127</v>
      </c>
      <c r="S11" s="89">
        <v>-8345.1977401129952</v>
      </c>
      <c r="T11" s="85" t="s">
        <v>145</v>
      </c>
      <c r="U11" s="87">
        <v>0.11557788944723618</v>
      </c>
      <c r="V11" s="85" t="s">
        <v>186</v>
      </c>
      <c r="W11" s="87">
        <v>0</v>
      </c>
      <c r="X11" s="85" t="s">
        <v>186</v>
      </c>
      <c r="Y11" s="88">
        <v>0.23728813559322035</v>
      </c>
      <c r="Z11" s="85" t="s">
        <v>171</v>
      </c>
      <c r="AA11" s="88">
        <v>0.19170243204577969</v>
      </c>
      <c r="AB11" s="85" t="s">
        <v>171</v>
      </c>
      <c r="AC11" s="88">
        <v>0.57560975609756093</v>
      </c>
      <c r="AD11" s="85" t="s">
        <v>173</v>
      </c>
      <c r="AE11" s="88">
        <v>0.33673469387755101</v>
      </c>
      <c r="AF11" s="85" t="s">
        <v>172</v>
      </c>
      <c r="AG11" s="88">
        <v>0.4264705882352941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186</v>
      </c>
      <c r="C12" s="84">
        <v>-138.69999999999999</v>
      </c>
      <c r="D12" s="85" t="s">
        <v>173</v>
      </c>
      <c r="E12" s="97">
        <v>-5.9681818181818178</v>
      </c>
      <c r="F12" s="85" t="s">
        <v>128</v>
      </c>
      <c r="G12" s="86">
        <v>2.0769230769230771</v>
      </c>
      <c r="H12" s="85" t="s">
        <v>129</v>
      </c>
      <c r="I12" s="87">
        <v>0.24324324324324326</v>
      </c>
      <c r="J12" s="85" t="s">
        <v>173</v>
      </c>
      <c r="K12" s="87">
        <v>0.36363636363636365</v>
      </c>
      <c r="L12" s="85" t="s">
        <v>128</v>
      </c>
      <c r="M12" s="88">
        <v>0.27253886010362693</v>
      </c>
      <c r="N12" s="85" t="s">
        <v>173</v>
      </c>
      <c r="O12" s="88">
        <v>0.18586387434554974</v>
      </c>
      <c r="P12" s="85" t="s">
        <v>186</v>
      </c>
      <c r="Q12" s="89">
        <v>7494.1176470588234</v>
      </c>
      <c r="R12" s="85" t="s">
        <v>172</v>
      </c>
      <c r="S12" s="89">
        <v>-9127.6315789473683</v>
      </c>
      <c r="T12" s="85" t="s">
        <v>128</v>
      </c>
      <c r="U12" s="87">
        <v>0.12820512820512819</v>
      </c>
      <c r="V12" s="85" t="s">
        <v>185</v>
      </c>
      <c r="W12" s="87">
        <v>0</v>
      </c>
      <c r="X12" s="85" t="s">
        <v>224</v>
      </c>
      <c r="Y12" s="88">
        <v>0.23076923076923078</v>
      </c>
      <c r="Z12" s="85" t="s">
        <v>177</v>
      </c>
      <c r="AA12" s="88">
        <v>0.18795180722891566</v>
      </c>
      <c r="AB12" s="85" t="s">
        <v>127</v>
      </c>
      <c r="AC12" s="88">
        <v>0.56980056980056981</v>
      </c>
      <c r="AD12" s="85" t="s">
        <v>128</v>
      </c>
      <c r="AE12" s="88">
        <v>0.2988505747126437</v>
      </c>
      <c r="AF12" s="85" t="s">
        <v>128</v>
      </c>
      <c r="AG12" s="88">
        <v>0.4220532319391635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-262.59999999999997</v>
      </c>
      <c r="D13" s="85" t="s">
        <v>186</v>
      </c>
      <c r="E13" s="97">
        <v>-9.9071428571428566</v>
      </c>
      <c r="F13" s="85" t="s">
        <v>186</v>
      </c>
      <c r="G13" s="86">
        <v>2.1428571428571428</v>
      </c>
      <c r="H13" s="85" t="s">
        <v>202</v>
      </c>
      <c r="I13" s="87">
        <v>0.14285714285714285</v>
      </c>
      <c r="J13" s="85" t="s">
        <v>129</v>
      </c>
      <c r="K13" s="87">
        <v>0.5</v>
      </c>
      <c r="L13" s="85" t="s">
        <v>185</v>
      </c>
      <c r="M13" s="88">
        <v>0.26315789473684209</v>
      </c>
      <c r="N13" s="85" t="s">
        <v>129</v>
      </c>
      <c r="O13" s="88">
        <v>0.19286871961102106</v>
      </c>
      <c r="P13" s="85" t="s">
        <v>202</v>
      </c>
      <c r="Q13" s="89">
        <v>7438.0952380952385</v>
      </c>
      <c r="R13" s="85" t="s">
        <v>129</v>
      </c>
      <c r="S13" s="89">
        <v>-9433.6134453781506</v>
      </c>
      <c r="T13" s="85" t="s">
        <v>186</v>
      </c>
      <c r="U13" s="87">
        <v>0.14285714285714285</v>
      </c>
      <c r="V13" s="85" t="s">
        <v>202</v>
      </c>
      <c r="W13" s="87">
        <v>0</v>
      </c>
      <c r="X13" s="85" t="s">
        <v>173</v>
      </c>
      <c r="Y13" s="88">
        <v>0.23036649214659685</v>
      </c>
      <c r="Z13" s="85" t="s">
        <v>128</v>
      </c>
      <c r="AA13" s="88">
        <v>0.18031088082901556</v>
      </c>
      <c r="AB13" s="85" t="s">
        <v>172</v>
      </c>
      <c r="AC13" s="88">
        <v>0.54761904761904767</v>
      </c>
      <c r="AD13" s="85" t="s">
        <v>225</v>
      </c>
      <c r="AE13" s="88">
        <v>0.25</v>
      </c>
      <c r="AF13" s="85" t="s">
        <v>171</v>
      </c>
      <c r="AG13" s="88">
        <v>0.40594059405940597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-313.40000000000003</v>
      </c>
      <c r="D14" s="85" t="s">
        <v>225</v>
      </c>
      <c r="E14" s="97">
        <v>-12.35</v>
      </c>
      <c r="F14" s="85" t="s">
        <v>129</v>
      </c>
      <c r="G14" s="86">
        <v>2.2567567567567566</v>
      </c>
      <c r="H14" s="85" t="s">
        <v>224</v>
      </c>
      <c r="I14" s="87">
        <v>0</v>
      </c>
      <c r="J14" s="85" t="s">
        <v>186</v>
      </c>
      <c r="K14" s="87">
        <v>0.5</v>
      </c>
      <c r="L14" s="85" t="s">
        <v>129</v>
      </c>
      <c r="M14" s="88">
        <v>0.233387358184765</v>
      </c>
      <c r="N14" s="85" t="s">
        <v>186</v>
      </c>
      <c r="O14" s="88">
        <v>0.22033898305084745</v>
      </c>
      <c r="P14" s="85" t="s">
        <v>173</v>
      </c>
      <c r="Q14" s="89">
        <v>6998.2456140350878</v>
      </c>
      <c r="R14" s="85" t="s">
        <v>224</v>
      </c>
      <c r="S14" s="89">
        <v>-12000</v>
      </c>
      <c r="T14" s="85" t="s">
        <v>177</v>
      </c>
      <c r="U14" s="87">
        <v>0.17647058823529413</v>
      </c>
      <c r="V14" s="85" t="s">
        <v>224</v>
      </c>
      <c r="W14" s="87">
        <v>0</v>
      </c>
      <c r="X14" s="85" t="s">
        <v>172</v>
      </c>
      <c r="Y14" s="88">
        <v>0.21989528795811519</v>
      </c>
      <c r="Z14" s="85" t="s">
        <v>129</v>
      </c>
      <c r="AA14" s="88">
        <v>0.15883306320907617</v>
      </c>
      <c r="AB14" s="85" t="s">
        <v>129</v>
      </c>
      <c r="AC14" s="88">
        <v>0.52298850574712641</v>
      </c>
      <c r="AD14" s="85" t="s">
        <v>129</v>
      </c>
      <c r="AE14" s="88">
        <v>0.22448979591836735</v>
      </c>
      <c r="AF14" s="85" t="s">
        <v>127</v>
      </c>
      <c r="AG14" s="88">
        <v>0.40583554376657827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-1149.5999999999999</v>
      </c>
      <c r="D15" s="85" t="s">
        <v>129</v>
      </c>
      <c r="E15" s="97">
        <v>-15.535135135135134</v>
      </c>
      <c r="F15" s="85" t="s">
        <v>225</v>
      </c>
      <c r="G15" s="86">
        <v>2.5</v>
      </c>
      <c r="H15" s="85" t="s">
        <v>225</v>
      </c>
      <c r="I15" s="87">
        <v>0</v>
      </c>
      <c r="J15" s="85" t="s">
        <v>225</v>
      </c>
      <c r="K15" s="87">
        <v>0.5</v>
      </c>
      <c r="L15" s="85" t="s">
        <v>224</v>
      </c>
      <c r="M15" s="88">
        <v>0.15384615384615385</v>
      </c>
      <c r="N15" s="85" t="s">
        <v>225</v>
      </c>
      <c r="O15" s="88">
        <v>0.23529411764705882</v>
      </c>
      <c r="P15" s="85" t="s">
        <v>172</v>
      </c>
      <c r="Q15" s="89">
        <v>6635.7843137254904</v>
      </c>
      <c r="R15" s="85" t="s">
        <v>225</v>
      </c>
      <c r="S15" s="89">
        <v>-12425</v>
      </c>
      <c r="T15" s="85" t="s">
        <v>129</v>
      </c>
      <c r="U15" s="87">
        <v>0.1891891891891892</v>
      </c>
      <c r="V15" s="85" t="s">
        <v>225</v>
      </c>
      <c r="W15" s="87">
        <v>0</v>
      </c>
      <c r="X15" s="85" t="s">
        <v>225</v>
      </c>
      <c r="Y15" s="88">
        <v>0.17647058823529413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224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47300</v>
      </c>
    </row>
  </sheetData>
  <sortState ref="AH3:AI4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39B12-1E75-41C6-86D1-ED6EBFED1F8E}">
  <sheetPr codeName="Sheet4"/>
  <dimension ref="A1:Q59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597</v>
      </c>
      <c r="C2" s="147"/>
      <c r="E2" s="62" t="s">
        <v>67</v>
      </c>
      <c r="F2" s="59" t="s">
        <v>23</v>
      </c>
      <c r="G2" s="46">
        <v>1115</v>
      </c>
      <c r="H2" s="132">
        <f>IF(B$17=0,0,G2/B$17)</f>
        <v>0.74581939799331098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-13.40033500837521</v>
      </c>
      <c r="P2" s="118">
        <v>597</v>
      </c>
      <c r="Q2" s="102">
        <v>-8000</v>
      </c>
    </row>
    <row r="3" spans="1:17" x14ac:dyDescent="0.4">
      <c r="A3" s="55" t="s">
        <v>8</v>
      </c>
      <c r="B3" s="148">
        <v>4977</v>
      </c>
      <c r="C3" s="149"/>
      <c r="E3" s="63" t="s">
        <v>65</v>
      </c>
      <c r="F3" s="60" t="s">
        <v>21</v>
      </c>
      <c r="G3" s="47">
        <v>771</v>
      </c>
      <c r="H3" s="133">
        <f>IF(B$17=0,0,G3/B$17)</f>
        <v>0.51571906354515051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-6.8728522336769755</v>
      </c>
      <c r="P3" s="119">
        <v>582</v>
      </c>
      <c r="Q3" s="103">
        <v>-4000</v>
      </c>
    </row>
    <row r="4" spans="1:17" x14ac:dyDescent="0.4">
      <c r="A4" s="55" t="s">
        <v>6</v>
      </c>
      <c r="B4" s="150">
        <v>-1.4210854715202004E-14</v>
      </c>
      <c r="C4" s="151"/>
      <c r="E4" s="63" t="s">
        <v>73</v>
      </c>
      <c r="F4" s="60" t="s">
        <v>28</v>
      </c>
      <c r="G4" s="47">
        <v>759</v>
      </c>
      <c r="H4" s="133">
        <f>IF(B$17=0,0,G4/B$17)</f>
        <v>0.50769230769230766</v>
      </c>
      <c r="I4" s="94">
        <v>9</v>
      </c>
      <c r="K4" s="38">
        <v>2</v>
      </c>
      <c r="L4" s="99">
        <v>40.4</v>
      </c>
      <c r="N4" s="115" t="s">
        <v>134</v>
      </c>
      <c r="O4" s="122">
        <f t="shared" si="0"/>
        <v>5.4644808743169397</v>
      </c>
      <c r="P4" s="119">
        <v>549</v>
      </c>
      <c r="Q4" s="103">
        <v>3000</v>
      </c>
    </row>
    <row r="5" spans="1:17" x14ac:dyDescent="0.4">
      <c r="A5" s="55" t="s">
        <v>7</v>
      </c>
      <c r="B5" s="152">
        <f>IF(B$2=0,0,B$4/B$2)</f>
        <v>-2.3803776742381916E-17</v>
      </c>
      <c r="C5" s="153"/>
      <c r="E5" s="63" t="s">
        <v>181</v>
      </c>
      <c r="F5" s="60" t="s">
        <v>182</v>
      </c>
      <c r="G5" s="47">
        <v>614</v>
      </c>
      <c r="H5" s="133">
        <f>IF(B$17=0,0,G5/B$17)</f>
        <v>0.41070234113712373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11.976047904191617</v>
      </c>
      <c r="P5" s="119">
        <v>501</v>
      </c>
      <c r="Q5" s="103">
        <v>6000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466</v>
      </c>
      <c r="H6" s="133">
        <f>IF(B$17=0,0,G6/B$17)</f>
        <v>0.31170568561872908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-15.555555555555555</v>
      </c>
      <c r="P6" s="119">
        <v>450</v>
      </c>
      <c r="Q6" s="103">
        <v>-7000</v>
      </c>
    </row>
    <row r="7" spans="1:17" x14ac:dyDescent="0.4">
      <c r="A7" s="55" t="s">
        <v>2</v>
      </c>
      <c r="B7" s="47">
        <v>199</v>
      </c>
      <c r="C7" s="39">
        <f>IF(B$2=0,0,B7/B$2)</f>
        <v>0.33333333333333331</v>
      </c>
      <c r="E7" s="63" t="s">
        <v>68</v>
      </c>
      <c r="F7" s="60" t="s">
        <v>24</v>
      </c>
      <c r="G7" s="47">
        <v>460</v>
      </c>
      <c r="H7" s="133">
        <f>IF(B$17=0,0,G7/B$17)</f>
        <v>0.30769230769230771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24.875621890547265</v>
      </c>
      <c r="P7" s="120">
        <v>402</v>
      </c>
      <c r="Q7" s="104">
        <v>10000</v>
      </c>
    </row>
    <row r="8" spans="1:17" x14ac:dyDescent="0.4">
      <c r="A8" s="55" t="s">
        <v>3</v>
      </c>
      <c r="B8" s="47">
        <v>199</v>
      </c>
      <c r="C8" s="39">
        <f>IF(B$2=0,0,B8/B$2)</f>
        <v>0.33333333333333331</v>
      </c>
      <c r="E8" s="63" t="s">
        <v>70</v>
      </c>
      <c r="F8" s="60" t="s">
        <v>25</v>
      </c>
      <c r="G8" s="47">
        <v>266</v>
      </c>
      <c r="H8" s="133">
        <f>IF(B$17=0,0,G8/B$17)</f>
        <v>0.17792642140468226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199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189</v>
      </c>
      <c r="H9" s="133">
        <f>IF(B$17=0,0,G9/B$17)</f>
        <v>0.12642140468227425</v>
      </c>
      <c r="I9" s="94">
        <v>7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69</v>
      </c>
      <c r="C10" s="40">
        <f>IF(B$2=0,0,B10/B$2)</f>
        <v>0.11557788944723618</v>
      </c>
      <c r="E10" s="63" t="s">
        <v>66</v>
      </c>
      <c r="F10" s="60" t="s">
        <v>22</v>
      </c>
      <c r="G10" s="47">
        <v>184</v>
      </c>
      <c r="H10" s="133">
        <f>IF(B$17=0,0,G10/B$17)</f>
        <v>0.12307692307692308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-2.4261306532663314</v>
      </c>
      <c r="P10" s="118">
        <v>199</v>
      </c>
      <c r="Q10" s="106">
        <v>-482.79999999999995</v>
      </c>
    </row>
    <row r="11" spans="1:17" x14ac:dyDescent="0.4">
      <c r="A11" s="56" t="s">
        <v>140</v>
      </c>
      <c r="B11" s="48">
        <v>69</v>
      </c>
      <c r="C11" s="40">
        <f>IF(B$2=0,0,B11/B$2)</f>
        <v>0.11557788944723618</v>
      </c>
      <c r="E11" s="63" t="s">
        <v>71</v>
      </c>
      <c r="F11" s="60" t="s">
        <v>26</v>
      </c>
      <c r="G11" s="47">
        <v>148</v>
      </c>
      <c r="H11" s="133">
        <f>IF(B$17=0,0,G11/B$17)</f>
        <v>9.8996655518394649E-2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-0.31608040201005033</v>
      </c>
      <c r="P11" s="119">
        <v>199</v>
      </c>
      <c r="Q11" s="107">
        <v>-62.90000000000002</v>
      </c>
    </row>
    <row r="12" spans="1:17" x14ac:dyDescent="0.4">
      <c r="A12" s="57" t="s">
        <v>160</v>
      </c>
      <c r="B12" s="49">
        <v>51</v>
      </c>
      <c r="C12" s="42">
        <f>IF(B$2=0,0,B12/B$2)</f>
        <v>8.5427135678391955E-2</v>
      </c>
      <c r="E12" s="63" t="s">
        <v>72</v>
      </c>
      <c r="F12" s="60" t="s">
        <v>27</v>
      </c>
      <c r="G12" s="47">
        <v>101</v>
      </c>
      <c r="H12" s="133">
        <f>IF(B$17=0,0,G12/B$17)</f>
        <v>6.755852842809365E-2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2.7422110552763814</v>
      </c>
      <c r="P12" s="120">
        <v>199</v>
      </c>
      <c r="Q12" s="108">
        <v>545.69999999999993</v>
      </c>
    </row>
    <row r="13" spans="1:17" x14ac:dyDescent="0.4">
      <c r="A13" s="58" t="s">
        <v>122</v>
      </c>
      <c r="B13" s="50">
        <v>1400</v>
      </c>
      <c r="C13" s="44">
        <f>IF(B$3=0,0,B13/B$3)</f>
        <v>0.28129395218002812</v>
      </c>
      <c r="E13" s="63" t="s">
        <v>87</v>
      </c>
      <c r="F13" s="60" t="s">
        <v>42</v>
      </c>
      <c r="G13" s="47">
        <v>83</v>
      </c>
      <c r="H13" s="133">
        <f>IF(B$17=0,0,G13/B$17)</f>
        <v>5.5518394648829433E-2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1044</v>
      </c>
      <c r="C14" s="39">
        <f>IF(B$3=0,0,B14/B$3)</f>
        <v>0.20976491862567812</v>
      </c>
      <c r="E14" s="63" t="s">
        <v>84</v>
      </c>
      <c r="F14" s="60" t="s">
        <v>39</v>
      </c>
      <c r="G14" s="47">
        <v>70</v>
      </c>
      <c r="H14" s="133">
        <f>IF(B$17=0,0,G14/B$17)</f>
        <v>4.6822742474916385E-2</v>
      </c>
      <c r="I14" s="94">
        <v>7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810</v>
      </c>
      <c r="C15" s="37">
        <f>IF(B$13=0,0,B15/B$13)</f>
        <v>0.57857142857142863</v>
      </c>
      <c r="E15" s="63" t="s">
        <v>82</v>
      </c>
      <c r="F15" s="60" t="s">
        <v>37</v>
      </c>
      <c r="G15" s="47">
        <v>41</v>
      </c>
      <c r="H15" s="133">
        <f>IF(B$17=0,0,G15/B$17)</f>
        <v>2.7424749163879599E-2</v>
      </c>
      <c r="I15" s="94">
        <v>7</v>
      </c>
      <c r="K15" s="38">
        <v>13</v>
      </c>
      <c r="L15" s="99">
        <v>-42.100000000000009</v>
      </c>
      <c r="N15" s="114" t="s">
        <v>129</v>
      </c>
      <c r="O15" s="124">
        <f>IF(P15=0,0,Q15/P15)</f>
        <v>23.302702702702728</v>
      </c>
      <c r="P15" s="118">
        <v>148</v>
      </c>
      <c r="Q15" s="106">
        <v>3448.8000000000038</v>
      </c>
    </row>
    <row r="16" spans="1:17" x14ac:dyDescent="0.4">
      <c r="A16" s="54" t="s">
        <v>125</v>
      </c>
      <c r="B16" s="46">
        <v>410</v>
      </c>
      <c r="C16" s="37">
        <f>IF(B$14=0,0,B16/B$14)</f>
        <v>0.39272030651340994</v>
      </c>
      <c r="E16" s="63" t="s">
        <v>79</v>
      </c>
      <c r="F16" s="60" t="s">
        <v>34</v>
      </c>
      <c r="G16" s="47">
        <v>38</v>
      </c>
      <c r="H16" s="133">
        <f>IF(B$17=0,0,G16/B$17)</f>
        <v>2.5418060200668897E-2</v>
      </c>
      <c r="I16" s="94">
        <v>6</v>
      </c>
      <c r="K16" s="38">
        <v>14</v>
      </c>
      <c r="L16" s="99">
        <v>18.79999999999999</v>
      </c>
      <c r="N16" s="115" t="s">
        <v>225</v>
      </c>
      <c r="O16" s="125">
        <f>IF(P16=0,0,Q16/P16)</f>
        <v>18.524999999999995</v>
      </c>
      <c r="P16" s="119">
        <v>4</v>
      </c>
      <c r="Q16" s="107">
        <v>74.09999999999998</v>
      </c>
    </row>
    <row r="17" spans="1:17" x14ac:dyDescent="0.4">
      <c r="A17" s="54" t="s">
        <v>10</v>
      </c>
      <c r="B17" s="46">
        <f>B19+B18</f>
        <v>1495</v>
      </c>
      <c r="C17" s="37">
        <f>IF(B$3=0,0,B17/B$3)</f>
        <v>0.30038175607795858</v>
      </c>
      <c r="E17" s="63" t="s">
        <v>92</v>
      </c>
      <c r="F17" s="60" t="s">
        <v>47</v>
      </c>
      <c r="G17" s="47">
        <v>29</v>
      </c>
      <c r="H17" s="133">
        <f>IF(B$17=0,0,G17/B$17)</f>
        <v>1.9397993311036789E-2</v>
      </c>
      <c r="I17" s="94">
        <v>4</v>
      </c>
      <c r="K17" s="38">
        <v>15</v>
      </c>
      <c r="L17" s="99">
        <v>-1.0658141036401503E-14</v>
      </c>
      <c r="N17" s="115" t="s">
        <v>186</v>
      </c>
      <c r="O17" s="125">
        <f>IF(P17=0,0,Q17/P17)</f>
        <v>14.860714285714284</v>
      </c>
      <c r="P17" s="119">
        <v>28</v>
      </c>
      <c r="Q17" s="107">
        <v>416.09999999999997</v>
      </c>
    </row>
    <row r="18" spans="1:17" x14ac:dyDescent="0.4">
      <c r="A18" s="55" t="s">
        <v>12</v>
      </c>
      <c r="B18" s="47">
        <v>647</v>
      </c>
      <c r="C18" s="39">
        <f>IF(B$17=0,0,B18/B$17)</f>
        <v>0.43277591973244145</v>
      </c>
      <c r="E18" s="63" t="s">
        <v>180</v>
      </c>
      <c r="F18" s="60" t="s">
        <v>183</v>
      </c>
      <c r="G18" s="47">
        <v>24</v>
      </c>
      <c r="H18" s="133">
        <f>IF(B$17=0,0,G18/B$17)</f>
        <v>1.6053511705685617E-2</v>
      </c>
      <c r="I18" s="94">
        <v>5</v>
      </c>
      <c r="K18" s="38">
        <v>16</v>
      </c>
      <c r="L18" s="99">
        <v>90.899999999999991</v>
      </c>
      <c r="N18" s="115" t="s">
        <v>173</v>
      </c>
      <c r="O18" s="125">
        <f>IF(P18=0,0,Q18/P18)</f>
        <v>8.9522727272727263</v>
      </c>
      <c r="P18" s="119">
        <v>88</v>
      </c>
      <c r="Q18" s="107">
        <v>787.79999999999984</v>
      </c>
    </row>
    <row r="19" spans="1:17" x14ac:dyDescent="0.4">
      <c r="A19" s="55" t="s">
        <v>11</v>
      </c>
      <c r="B19" s="47">
        <v>848</v>
      </c>
      <c r="C19" s="39">
        <f>IF(B$17=0,0,B19/B$17)</f>
        <v>0.56722408026755855</v>
      </c>
      <c r="E19" s="63" t="s">
        <v>80</v>
      </c>
      <c r="F19" s="60" t="s">
        <v>35</v>
      </c>
      <c r="G19" s="47">
        <v>23</v>
      </c>
      <c r="H19" s="133">
        <f>IF(B$17=0,0,G19/B$17)</f>
        <v>1.5384615384615385E-2</v>
      </c>
      <c r="I19" s="94">
        <v>5</v>
      </c>
      <c r="K19" s="38">
        <v>17</v>
      </c>
      <c r="L19" s="99">
        <v>8.2999999999999972</v>
      </c>
      <c r="N19" s="115" t="s">
        <v>202</v>
      </c>
      <c r="O19" s="125">
        <f>IF(P19=0,0,Q19/P19)</f>
        <v>5.4214285714285699</v>
      </c>
      <c r="P19" s="119">
        <v>14</v>
      </c>
      <c r="Q19" s="107">
        <v>75.899999999999977</v>
      </c>
    </row>
    <row r="20" spans="1:17" x14ac:dyDescent="0.4">
      <c r="A20" s="55" t="s">
        <v>13</v>
      </c>
      <c r="B20" s="47">
        <v>838</v>
      </c>
      <c r="C20" s="39">
        <f>IF(B$3=0,0,B20/B$3)</f>
        <v>0.16837452280490256</v>
      </c>
      <c r="E20" s="63" t="s">
        <v>74</v>
      </c>
      <c r="F20" s="60" t="s">
        <v>29</v>
      </c>
      <c r="G20" s="47">
        <v>9</v>
      </c>
      <c r="H20" s="133">
        <f>IF(B$17=0,0,G20/B$17)</f>
        <v>6.0200668896321068E-3</v>
      </c>
      <c r="I20" s="94">
        <v>4</v>
      </c>
      <c r="K20" s="38">
        <v>18</v>
      </c>
      <c r="L20" s="99">
        <v>-3.5527136788005009E-15</v>
      </c>
      <c r="N20" s="115" t="s">
        <v>128</v>
      </c>
      <c r="O20" s="125">
        <f>IF(P20=0,0,Q20/P20)</f>
        <v>4.0179487179487188</v>
      </c>
      <c r="P20" s="119">
        <v>234</v>
      </c>
      <c r="Q20" s="107">
        <v>940.20000000000027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76</v>
      </c>
      <c r="F21" s="60" t="s">
        <v>31</v>
      </c>
      <c r="G21" s="47">
        <v>9</v>
      </c>
      <c r="H21" s="133">
        <f>IF(B$17=0,0,G21/B$17)</f>
        <v>6.0200668896321068E-3</v>
      </c>
      <c r="I21" s="94">
        <v>5</v>
      </c>
      <c r="K21" s="38">
        <v>19</v>
      </c>
      <c r="L21" s="99">
        <v>30.999999999999996</v>
      </c>
      <c r="N21" s="115" t="s">
        <v>172</v>
      </c>
      <c r="O21" s="125">
        <f>IF(P21=0,0,Q21/P21)</f>
        <v>0.12272727272727167</v>
      </c>
      <c r="P21" s="119">
        <v>132</v>
      </c>
      <c r="Q21" s="107">
        <v>16.199999999999861</v>
      </c>
    </row>
    <row r="22" spans="1:17" x14ac:dyDescent="0.4">
      <c r="A22" s="55" t="s">
        <v>194</v>
      </c>
      <c r="B22" s="47">
        <v>31</v>
      </c>
      <c r="C22" s="135">
        <v>0</v>
      </c>
      <c r="E22" s="63" t="s">
        <v>75</v>
      </c>
      <c r="F22" s="60" t="s">
        <v>30</v>
      </c>
      <c r="G22" s="47">
        <v>6</v>
      </c>
      <c r="H22" s="133">
        <f>IF(B$17=0,0,G22/B$17)</f>
        <v>4.0133779264214043E-3</v>
      </c>
      <c r="I22" s="94">
        <v>5</v>
      </c>
      <c r="K22" s="38">
        <v>20</v>
      </c>
      <c r="L22" s="99">
        <v>0.79999999999999716</v>
      </c>
      <c r="N22" s="115" t="s">
        <v>177</v>
      </c>
      <c r="O22" s="125">
        <f>IF(P22=0,0,Q22/P22)</f>
        <v>-0.6176470588235311</v>
      </c>
      <c r="P22" s="119">
        <v>102</v>
      </c>
      <c r="Q22" s="107">
        <v>-63.000000000000178</v>
      </c>
    </row>
    <row r="23" spans="1:17" x14ac:dyDescent="0.4">
      <c r="A23" s="55" t="s">
        <v>5</v>
      </c>
      <c r="B23" s="51">
        <f>IF(B$17=0,0,C23/B$17)</f>
        <v>8680.9364548494977</v>
      </c>
      <c r="C23" s="41">
        <v>12978000</v>
      </c>
      <c r="E23" s="63" t="s">
        <v>88</v>
      </c>
      <c r="F23" s="60" t="s">
        <v>43</v>
      </c>
      <c r="G23" s="47">
        <v>6</v>
      </c>
      <c r="H23" s="133">
        <f>IF(B$17=0,0,G23/B$17)</f>
        <v>4.0133779264214043E-3</v>
      </c>
      <c r="I23" s="94">
        <v>5</v>
      </c>
      <c r="K23" s="38">
        <v>21</v>
      </c>
      <c r="L23" s="99">
        <v>-2.886579864025407E-15</v>
      </c>
      <c r="N23" s="115" t="s">
        <v>171</v>
      </c>
      <c r="O23" s="125">
        <f>IF(P23=0,0,Q23/P23)</f>
        <v>-4.9124999999999979</v>
      </c>
      <c r="P23" s="119">
        <v>168</v>
      </c>
      <c r="Q23" s="107">
        <v>-825.29999999999961</v>
      </c>
    </row>
    <row r="24" spans="1:17" x14ac:dyDescent="0.4">
      <c r="A24" s="57" t="s">
        <v>14</v>
      </c>
      <c r="B24" s="52">
        <f>IF(B$20=0,0,C24/B$20)</f>
        <v>-8328.2816229116943</v>
      </c>
      <c r="C24" s="45">
        <v>-6979100</v>
      </c>
      <c r="E24" s="63" t="s">
        <v>93</v>
      </c>
      <c r="F24" s="60" t="s">
        <v>48</v>
      </c>
      <c r="G24" s="47">
        <v>6</v>
      </c>
      <c r="H24" s="133">
        <f>IF(B$17=0,0,G24/B$17)</f>
        <v>4.0133779264214043E-3</v>
      </c>
      <c r="I24" s="94">
        <v>4</v>
      </c>
      <c r="K24" s="38">
        <v>22</v>
      </c>
      <c r="L24" s="99">
        <v>23.699999999999996</v>
      </c>
      <c r="N24" s="115" t="s">
        <v>127</v>
      </c>
      <c r="O24" s="125">
        <f>IF(P24=0,0,Q24/P24)</f>
        <v>-17.342910447761174</v>
      </c>
      <c r="P24" s="119">
        <v>268</v>
      </c>
      <c r="Q24" s="107">
        <v>-4647.8999999999942</v>
      </c>
    </row>
    <row r="25" spans="1:17" x14ac:dyDescent="0.4">
      <c r="A25" s="90" t="s">
        <v>142</v>
      </c>
      <c r="B25" s="140">
        <v>8</v>
      </c>
      <c r="C25" s="141"/>
      <c r="E25" s="63" t="s">
        <v>94</v>
      </c>
      <c r="F25" s="60" t="s">
        <v>49</v>
      </c>
      <c r="G25" s="47">
        <v>5</v>
      </c>
      <c r="H25" s="133">
        <f>IF(B$17=0,0,G25/B$17)</f>
        <v>3.3444816053511705E-3</v>
      </c>
      <c r="I25" s="94">
        <v>4</v>
      </c>
      <c r="K25" s="38">
        <v>23</v>
      </c>
      <c r="L25" s="99">
        <v>26.299999999999997</v>
      </c>
      <c r="N25" s="115" t="s">
        <v>224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38">
        <v>116000</v>
      </c>
      <c r="C26" s="139"/>
      <c r="E26" s="63" t="s">
        <v>78</v>
      </c>
      <c r="F26" s="60" t="s">
        <v>33</v>
      </c>
      <c r="G26" s="47">
        <v>4</v>
      </c>
      <c r="H26" s="133">
        <f>IF(B$17=0,0,G26/B$17)</f>
        <v>2.6755852842809363E-3</v>
      </c>
      <c r="I26" s="94">
        <v>4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2.8129395218002813E-3</v>
      </c>
      <c r="E27" s="63" t="s">
        <v>85</v>
      </c>
      <c r="F27" s="60" t="s">
        <v>40</v>
      </c>
      <c r="G27" s="47">
        <v>4</v>
      </c>
      <c r="H27" s="133">
        <f>IF(B$17=0,0,G27/B$17)</f>
        <v>2.6755852842809363E-3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86</v>
      </c>
      <c r="F28" s="60" t="s">
        <v>41</v>
      </c>
      <c r="G28" s="47">
        <v>4</v>
      </c>
      <c r="H28" s="133">
        <f>IF(B$17=0,0,G28/B$17)</f>
        <v>2.6755852842809363E-3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91</v>
      </c>
      <c r="F29" s="60" t="s">
        <v>46</v>
      </c>
      <c r="G29" s="47">
        <v>4</v>
      </c>
      <c r="H29" s="133">
        <f>IF(B$17=0,0,G29/B$17)</f>
        <v>2.6755852842809363E-3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2</v>
      </c>
      <c r="H30" s="133">
        <f>IF(B$17=0,0,G30/B$17)</f>
        <v>1.3377926421404682E-3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1.3377926421404682E-3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102</v>
      </c>
      <c r="F32" s="60" t="s">
        <v>57</v>
      </c>
      <c r="G32" s="47">
        <v>1</v>
      </c>
      <c r="H32" s="133">
        <f>IF(B$17=0,0,G32/B$17)</f>
        <v>6.6889632107023408E-4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77</v>
      </c>
      <c r="F33" s="60" t="s">
        <v>32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450AE-DA29-4E70-9649-0D746880031C}">
  <sheetPr codeName="Sheet7"/>
  <dimension ref="A1:Q13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134</v>
      </c>
      <c r="C2" s="147"/>
      <c r="E2" s="62" t="s">
        <v>67</v>
      </c>
      <c r="F2" s="59" t="s">
        <v>23</v>
      </c>
      <c r="G2" s="46">
        <v>283</v>
      </c>
      <c r="H2" s="132">
        <f>IF(B$17=0,0,G2/B$17)</f>
        <v>0.75066312997347484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1689.5522388059701</v>
      </c>
      <c r="P2" s="118">
        <v>134</v>
      </c>
      <c r="Q2" s="102">
        <v>226400</v>
      </c>
    </row>
    <row r="3" spans="1:17" x14ac:dyDescent="0.4">
      <c r="A3" s="55" t="s">
        <v>8</v>
      </c>
      <c r="B3" s="148">
        <v>1090</v>
      </c>
      <c r="C3" s="149"/>
      <c r="E3" s="63" t="s">
        <v>73</v>
      </c>
      <c r="F3" s="60" t="s">
        <v>28</v>
      </c>
      <c r="G3" s="47">
        <v>217</v>
      </c>
      <c r="H3" s="133">
        <f>IF(B$17=0,0,G3/B$17)</f>
        <v>0.5755968169761273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1216.9230769230769</v>
      </c>
      <c r="P3" s="119">
        <v>130</v>
      </c>
      <c r="Q3" s="103">
        <v>158200</v>
      </c>
    </row>
    <row r="4" spans="1:17" x14ac:dyDescent="0.4">
      <c r="A4" s="55" t="s">
        <v>6</v>
      </c>
      <c r="B4" s="150">
        <v>1549.3000000000009</v>
      </c>
      <c r="C4" s="151"/>
      <c r="E4" s="63" t="s">
        <v>65</v>
      </c>
      <c r="F4" s="60" t="s">
        <v>21</v>
      </c>
      <c r="G4" s="47">
        <v>183</v>
      </c>
      <c r="H4" s="133">
        <f>IF(B$17=0,0,G4/B$17)</f>
        <v>0.48541114058355439</v>
      </c>
      <c r="I4" s="94">
        <v>11</v>
      </c>
      <c r="K4" s="38">
        <v>2</v>
      </c>
      <c r="L4" s="99">
        <v>-2.8999999999999995</v>
      </c>
      <c r="N4" s="115" t="s">
        <v>134</v>
      </c>
      <c r="O4" s="122">
        <f t="shared" si="0"/>
        <v>1194.3089430894308</v>
      </c>
      <c r="P4" s="119">
        <v>123</v>
      </c>
      <c r="Q4" s="103">
        <v>146900</v>
      </c>
    </row>
    <row r="5" spans="1:17" x14ac:dyDescent="0.4">
      <c r="A5" s="55" t="s">
        <v>7</v>
      </c>
      <c r="B5" s="152">
        <f>IF(B$2=0,0,B$4/B$2)</f>
        <v>11.561940298507469</v>
      </c>
      <c r="C5" s="153"/>
      <c r="E5" s="63" t="s">
        <v>181</v>
      </c>
      <c r="F5" s="60" t="s">
        <v>182</v>
      </c>
      <c r="G5" s="47">
        <v>156</v>
      </c>
      <c r="H5" s="133">
        <f>IF(B$17=0,0,G5/B$17)</f>
        <v>0.41379310344827586</v>
      </c>
      <c r="I5" s="94">
        <v>4</v>
      </c>
      <c r="K5" s="38">
        <v>3</v>
      </c>
      <c r="L5" s="99">
        <v>70.399999999999991</v>
      </c>
      <c r="N5" s="115" t="s">
        <v>135</v>
      </c>
      <c r="O5" s="122">
        <f t="shared" si="0"/>
        <v>2585.8407079646017</v>
      </c>
      <c r="P5" s="119">
        <v>113</v>
      </c>
      <c r="Q5" s="103">
        <v>292200</v>
      </c>
    </row>
    <row r="6" spans="1:17" x14ac:dyDescent="0.4">
      <c r="A6" s="55" t="s">
        <v>1</v>
      </c>
      <c r="B6" s="142">
        <f>IF(B$2=0,0,(B$7*1+B$8*2+B$9*3)/B$2)</f>
        <v>1.7611940298507462</v>
      </c>
      <c r="C6" s="143"/>
      <c r="E6" s="63" t="s">
        <v>68</v>
      </c>
      <c r="F6" s="60" t="s">
        <v>24</v>
      </c>
      <c r="G6" s="47">
        <v>110</v>
      </c>
      <c r="H6" s="133">
        <f>IF(B$17=0,0,G6/B$17)</f>
        <v>0.29177718832891247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234.34343434343435</v>
      </c>
      <c r="P6" s="119">
        <v>99</v>
      </c>
      <c r="Q6" s="103">
        <v>23200</v>
      </c>
    </row>
    <row r="7" spans="1:17" x14ac:dyDescent="0.4">
      <c r="A7" s="55" t="s">
        <v>2</v>
      </c>
      <c r="B7" s="47">
        <v>65</v>
      </c>
      <c r="C7" s="39">
        <f>IF(B$2=0,0,B7/B$2)</f>
        <v>0.48507462686567165</v>
      </c>
      <c r="E7" s="63" t="s">
        <v>69</v>
      </c>
      <c r="F7" s="60" t="s">
        <v>12</v>
      </c>
      <c r="G7" s="47">
        <v>98</v>
      </c>
      <c r="H7" s="133">
        <f>IF(B$17=0,0,G7/B$17)</f>
        <v>0.259946949602122</v>
      </c>
      <c r="I7" s="94">
        <v>12</v>
      </c>
      <c r="K7" s="38">
        <v>5</v>
      </c>
      <c r="L7" s="99">
        <v>201.4</v>
      </c>
      <c r="N7" s="116" t="s">
        <v>137</v>
      </c>
      <c r="O7" s="123">
        <f t="shared" si="0"/>
        <v>620.93023255813955</v>
      </c>
      <c r="P7" s="120">
        <v>86</v>
      </c>
      <c r="Q7" s="104">
        <v>53400</v>
      </c>
    </row>
    <row r="8" spans="1:17" x14ac:dyDescent="0.4">
      <c r="A8" s="55" t="s">
        <v>3</v>
      </c>
      <c r="B8" s="47">
        <v>36</v>
      </c>
      <c r="C8" s="39">
        <f>IF(B$2=0,0,B8/B$2)</f>
        <v>0.26865671641791045</v>
      </c>
      <c r="E8" s="63" t="s">
        <v>70</v>
      </c>
      <c r="F8" s="60" t="s">
        <v>25</v>
      </c>
      <c r="G8" s="47">
        <v>63</v>
      </c>
      <c r="H8" s="133">
        <f>IF(B$17=0,0,G8/B$17)</f>
        <v>0.16710875331564987</v>
      </c>
      <c r="I8" s="94">
        <v>9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33</v>
      </c>
      <c r="C9" s="40">
        <f t="shared" ref="C9" si="1">IF(B$2=0,0,B9/B$2)</f>
        <v>0.2462686567164179</v>
      </c>
      <c r="E9" s="63" t="s">
        <v>90</v>
      </c>
      <c r="F9" s="60" t="s">
        <v>45</v>
      </c>
      <c r="G9" s="47">
        <v>60</v>
      </c>
      <c r="H9" s="133">
        <f>IF(B$17=0,0,G9/B$17)</f>
        <v>0.15915119363395225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0.11194029850746269</v>
      </c>
      <c r="E10" s="63" t="s">
        <v>66</v>
      </c>
      <c r="F10" s="60" t="s">
        <v>22</v>
      </c>
      <c r="G10" s="47">
        <v>51</v>
      </c>
      <c r="H10" s="133">
        <f>IF(B$17=0,0,G10/B$17)</f>
        <v>0.13527851458885942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12.348780487804881</v>
      </c>
      <c r="P10" s="118">
        <v>41</v>
      </c>
      <c r="Q10" s="106">
        <v>506.30000000000007</v>
      </c>
    </row>
    <row r="11" spans="1:17" x14ac:dyDescent="0.4">
      <c r="A11" s="56" t="s">
        <v>140</v>
      </c>
      <c r="B11" s="48">
        <v>23</v>
      </c>
      <c r="C11" s="40">
        <f>IF(B$2=0,0,B11/B$2)</f>
        <v>0.17164179104477612</v>
      </c>
      <c r="E11" s="63" t="s">
        <v>71</v>
      </c>
      <c r="F11" s="60" t="s">
        <v>26</v>
      </c>
      <c r="G11" s="47">
        <v>35</v>
      </c>
      <c r="H11" s="133">
        <f>IF(B$17=0,0,G11/B$17)</f>
        <v>9.2838196286472149E-2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9.0897435897435894</v>
      </c>
      <c r="P11" s="119">
        <v>39</v>
      </c>
      <c r="Q11" s="107">
        <v>354.5</v>
      </c>
    </row>
    <row r="12" spans="1:17" x14ac:dyDescent="0.4">
      <c r="A12" s="57" t="s">
        <v>160</v>
      </c>
      <c r="B12" s="49">
        <v>19</v>
      </c>
      <c r="C12" s="42">
        <f>IF(B$2=0,0,B12/B$2)</f>
        <v>0.1417910447761194</v>
      </c>
      <c r="E12" s="63" t="s">
        <v>72</v>
      </c>
      <c r="F12" s="60" t="s">
        <v>27</v>
      </c>
      <c r="G12" s="47">
        <v>26</v>
      </c>
      <c r="H12" s="133">
        <f>IF(B$17=0,0,G12/B$17)</f>
        <v>6.8965517241379309E-2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12.750000000000002</v>
      </c>
      <c r="P12" s="120">
        <v>54</v>
      </c>
      <c r="Q12" s="108">
        <v>688.50000000000011</v>
      </c>
    </row>
    <row r="13" spans="1:17" x14ac:dyDescent="0.4">
      <c r="A13" s="58" t="s">
        <v>122</v>
      </c>
      <c r="B13" s="50">
        <v>351</v>
      </c>
      <c r="C13" s="44">
        <f>IF(B$3=0,0,B13/B$3)</f>
        <v>0.3220183486238532</v>
      </c>
      <c r="E13" s="63" t="s">
        <v>87</v>
      </c>
      <c r="F13" s="60" t="s">
        <v>42</v>
      </c>
      <c r="G13" s="47">
        <v>26</v>
      </c>
      <c r="H13" s="133">
        <f>IF(B$17=0,0,G13/B$17)</f>
        <v>6.8965517241379309E-2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241</v>
      </c>
      <c r="C14" s="39">
        <f>IF(B$3=0,0,B14/B$3)</f>
        <v>0.22110091743119267</v>
      </c>
      <c r="E14" s="63" t="s">
        <v>84</v>
      </c>
      <c r="F14" s="60" t="s">
        <v>39</v>
      </c>
      <c r="G14" s="47">
        <v>19</v>
      </c>
      <c r="H14" s="133">
        <f>IF(B$17=0,0,G14/B$17)</f>
        <v>5.0397877984084884E-2</v>
      </c>
      <c r="I14" s="94">
        <v>5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200</v>
      </c>
      <c r="C15" s="37">
        <f>IF(B$13=0,0,B15/B$13)</f>
        <v>0.56980056980056981</v>
      </c>
      <c r="E15" s="63" t="s">
        <v>180</v>
      </c>
      <c r="F15" s="60" t="s">
        <v>183</v>
      </c>
      <c r="G15" s="47">
        <v>13</v>
      </c>
      <c r="H15" s="133">
        <f>IF(B$17=0,0,G15/B$17)</f>
        <v>3.4482758620689655E-2</v>
      </c>
      <c r="I15" s="94">
        <v>1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123</v>
      </c>
      <c r="C16" s="37">
        <f>IF(B$14=0,0,B16/B$14)</f>
        <v>0.51037344398340245</v>
      </c>
      <c r="E16" s="63" t="s">
        <v>82</v>
      </c>
      <c r="F16" s="60" t="s">
        <v>37</v>
      </c>
      <c r="G16" s="47">
        <v>11</v>
      </c>
      <c r="H16" s="133">
        <f>IF(B$17=0,0,G16/B$17)</f>
        <v>2.9177718832891247E-2</v>
      </c>
      <c r="I16" s="94">
        <v>6</v>
      </c>
      <c r="K16" s="38">
        <v>14</v>
      </c>
      <c r="L16" s="99">
        <v>473.50000000000006</v>
      </c>
      <c r="N16" s="115" t="s">
        <v>177</v>
      </c>
      <c r="O16" s="125">
        <f>IF(P16=0,0,Q16/P16)</f>
        <v>30.80869565217392</v>
      </c>
      <c r="P16" s="119">
        <v>23</v>
      </c>
      <c r="Q16" s="107">
        <v>708.60000000000014</v>
      </c>
    </row>
    <row r="17" spans="1:17" x14ac:dyDescent="0.4">
      <c r="A17" s="54" t="s">
        <v>10</v>
      </c>
      <c r="B17" s="46">
        <f>B19+B18</f>
        <v>377</v>
      </c>
      <c r="C17" s="37">
        <f>IF(B$3=0,0,B17/B$3)</f>
        <v>0.34587155963302751</v>
      </c>
      <c r="E17" s="63" t="s">
        <v>79</v>
      </c>
      <c r="F17" s="60" t="s">
        <v>34</v>
      </c>
      <c r="G17" s="47">
        <v>8</v>
      </c>
      <c r="H17" s="133">
        <f>IF(B$17=0,0,G17/B$17)</f>
        <v>2.1220159151193633E-2</v>
      </c>
      <c r="I17" s="94">
        <v>7</v>
      </c>
      <c r="K17" s="38">
        <v>15</v>
      </c>
      <c r="L17" s="99">
        <v>481.50000000000006</v>
      </c>
      <c r="N17" s="115" t="s">
        <v>224</v>
      </c>
      <c r="O17" s="125">
        <f>IF(P17=0,0,Q17/P17)</f>
        <v>29.599999999999998</v>
      </c>
      <c r="P17" s="119">
        <v>1</v>
      </c>
      <c r="Q17" s="107">
        <v>29.599999999999998</v>
      </c>
    </row>
    <row r="18" spans="1:17" x14ac:dyDescent="0.4">
      <c r="A18" s="55" t="s">
        <v>12</v>
      </c>
      <c r="B18" s="47">
        <v>153</v>
      </c>
      <c r="C18" s="39">
        <f>IF(B$17=0,0,B18/B$17)</f>
        <v>0.40583554376657827</v>
      </c>
      <c r="E18" s="63" t="s">
        <v>92</v>
      </c>
      <c r="F18" s="60" t="s">
        <v>47</v>
      </c>
      <c r="G18" s="47">
        <v>7</v>
      </c>
      <c r="H18" s="133">
        <f>IF(B$17=0,0,G18/B$17)</f>
        <v>1.8567639257294429E-2</v>
      </c>
      <c r="I18" s="94">
        <v>5</v>
      </c>
      <c r="K18" s="38">
        <v>16</v>
      </c>
      <c r="L18" s="99">
        <v>425.50000000000006</v>
      </c>
      <c r="N18" s="115" t="s">
        <v>129</v>
      </c>
      <c r="O18" s="125">
        <f>IF(P18=0,0,Q18/P18)</f>
        <v>27.804545454545458</v>
      </c>
      <c r="P18" s="119">
        <v>44</v>
      </c>
      <c r="Q18" s="107">
        <v>1223.4000000000001</v>
      </c>
    </row>
    <row r="19" spans="1:17" x14ac:dyDescent="0.4">
      <c r="A19" s="55" t="s">
        <v>11</v>
      </c>
      <c r="B19" s="47">
        <v>224</v>
      </c>
      <c r="C19" s="39">
        <f>IF(B$17=0,0,B19/B$17)</f>
        <v>0.59416445623342173</v>
      </c>
      <c r="E19" s="63" t="s">
        <v>80</v>
      </c>
      <c r="F19" s="60" t="s">
        <v>35</v>
      </c>
      <c r="G19" s="47">
        <v>5</v>
      </c>
      <c r="H19" s="133">
        <f>IF(B$17=0,0,G19/B$17)</f>
        <v>1.3262599469496022E-2</v>
      </c>
      <c r="I19" s="94">
        <v>8</v>
      </c>
      <c r="K19" s="38">
        <v>17</v>
      </c>
      <c r="L19" s="99">
        <v>427.40000000000003</v>
      </c>
      <c r="N19" s="115" t="s">
        <v>172</v>
      </c>
      <c r="O19" s="125">
        <f>IF(P19=0,0,Q19/P19)</f>
        <v>24.126470588235296</v>
      </c>
      <c r="P19" s="119">
        <v>34</v>
      </c>
      <c r="Q19" s="107">
        <v>820.30000000000007</v>
      </c>
    </row>
    <row r="20" spans="1:17" x14ac:dyDescent="0.4">
      <c r="A20" s="55" t="s">
        <v>13</v>
      </c>
      <c r="B20" s="47">
        <v>177</v>
      </c>
      <c r="C20" s="39">
        <f>IF(B$3=0,0,B20/B$3)</f>
        <v>0.16238532110091744</v>
      </c>
      <c r="E20" s="63" t="s">
        <v>74</v>
      </c>
      <c r="F20" s="60" t="s">
        <v>29</v>
      </c>
      <c r="G20" s="47">
        <v>2</v>
      </c>
      <c r="H20" s="133">
        <f>IF(B$17=0,0,G20/B$17)</f>
        <v>5.3050397877984082E-3</v>
      </c>
      <c r="I20" s="94">
        <v>5</v>
      </c>
      <c r="K20" s="38">
        <v>18</v>
      </c>
      <c r="L20" s="99">
        <v>429.3</v>
      </c>
      <c r="N20" s="115" t="s">
        <v>173</v>
      </c>
      <c r="O20" s="125">
        <f>IF(P20=0,0,Q20/P20)</f>
        <v>21.768181818181816</v>
      </c>
      <c r="P20" s="119">
        <v>22</v>
      </c>
      <c r="Q20" s="107">
        <v>478.9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78</v>
      </c>
      <c r="F21" s="60" t="s">
        <v>33</v>
      </c>
      <c r="G21" s="47">
        <v>2</v>
      </c>
      <c r="H21" s="133">
        <f>IF(B$17=0,0,G21/B$17)</f>
        <v>5.3050397877984082E-3</v>
      </c>
      <c r="I21" s="94">
        <v>2</v>
      </c>
      <c r="K21" s="38">
        <v>19</v>
      </c>
      <c r="L21" s="99">
        <v>405.40000000000003</v>
      </c>
      <c r="N21" s="115" t="s">
        <v>186</v>
      </c>
      <c r="O21" s="125">
        <f>IF(P21=0,0,Q21/P21)</f>
        <v>20.222222222222214</v>
      </c>
      <c r="P21" s="119">
        <v>9</v>
      </c>
      <c r="Q21" s="107">
        <v>181.99999999999994</v>
      </c>
    </row>
    <row r="22" spans="1:17" x14ac:dyDescent="0.4">
      <c r="A22" s="55" t="s">
        <v>194</v>
      </c>
      <c r="B22" s="47">
        <v>39</v>
      </c>
      <c r="C22" s="135">
        <v>2</v>
      </c>
      <c r="E22" s="63" t="s">
        <v>86</v>
      </c>
      <c r="F22" s="60" t="s">
        <v>41</v>
      </c>
      <c r="G22" s="47">
        <v>2</v>
      </c>
      <c r="H22" s="133">
        <f>IF(B$17=0,0,G22/B$17)</f>
        <v>5.3050397877984082E-3</v>
      </c>
      <c r="I22" s="94">
        <v>2</v>
      </c>
      <c r="K22" s="38">
        <v>20</v>
      </c>
      <c r="L22" s="99">
        <v>469.6</v>
      </c>
      <c r="N22" s="115" t="s">
        <v>128</v>
      </c>
      <c r="O22" s="125">
        <f>IF(P22=0,0,Q22/P22)</f>
        <v>16.777500000000003</v>
      </c>
      <c r="P22" s="119">
        <v>80</v>
      </c>
      <c r="Q22" s="107">
        <v>1342.2000000000003</v>
      </c>
    </row>
    <row r="23" spans="1:17" x14ac:dyDescent="0.4">
      <c r="A23" s="55" t="s">
        <v>5</v>
      </c>
      <c r="B23" s="51">
        <f>IF(B$17=0,0,C23/B$17)</f>
        <v>9218.8328912466841</v>
      </c>
      <c r="C23" s="41">
        <v>3475500</v>
      </c>
      <c r="E23" s="63" t="s">
        <v>91</v>
      </c>
      <c r="F23" s="60" t="s">
        <v>46</v>
      </c>
      <c r="G23" s="47">
        <v>2</v>
      </c>
      <c r="H23" s="133">
        <f>IF(B$17=0,0,G23/B$17)</f>
        <v>5.3050397877984082E-3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-1.9137254901960812</v>
      </c>
      <c r="P23" s="119">
        <v>51</v>
      </c>
      <c r="Q23" s="107">
        <v>-97.600000000000136</v>
      </c>
    </row>
    <row r="24" spans="1:17" x14ac:dyDescent="0.4">
      <c r="A24" s="57" t="s">
        <v>14</v>
      </c>
      <c r="B24" s="52">
        <f>IF(B$20=0,0,C24/B$20)</f>
        <v>-8345.1977401129952</v>
      </c>
      <c r="C24" s="45">
        <v>-1477100</v>
      </c>
      <c r="E24" s="63" t="s">
        <v>93</v>
      </c>
      <c r="F24" s="60" t="s">
        <v>48</v>
      </c>
      <c r="G24" s="47">
        <v>2</v>
      </c>
      <c r="H24" s="133">
        <f>IF(B$17=0,0,G24/B$17)</f>
        <v>5.3050397877984082E-3</v>
      </c>
      <c r="I24" s="94">
        <v>3</v>
      </c>
      <c r="K24" s="38">
        <v>22</v>
      </c>
      <c r="L24" s="99">
        <v>519.20000000000005</v>
      </c>
      <c r="N24" s="115" t="s">
        <v>202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1</v>
      </c>
      <c r="H25" s="133">
        <f>IF(B$17=0,0,G25/B$17)</f>
        <v>2.6525198938992041E-3</v>
      </c>
      <c r="I25" s="94">
        <v>7</v>
      </c>
      <c r="K25" s="38">
        <v>23</v>
      </c>
      <c r="L25" s="99">
        <v>555.90000000000009</v>
      </c>
      <c r="N25" s="115" t="s">
        <v>225</v>
      </c>
      <c r="O25" s="125">
        <f>IF(P25=0,0,Q25/P25)</f>
        <v>-81.8</v>
      </c>
      <c r="P25" s="119">
        <v>1</v>
      </c>
      <c r="Q25" s="107">
        <v>-81.8</v>
      </c>
    </row>
    <row r="26" spans="1:17" x14ac:dyDescent="0.4">
      <c r="A26" s="58" t="s">
        <v>152</v>
      </c>
      <c r="B26" s="138">
        <v>116000</v>
      </c>
      <c r="C26" s="139"/>
      <c r="E26" s="63" t="s">
        <v>85</v>
      </c>
      <c r="F26" s="60" t="s">
        <v>40</v>
      </c>
      <c r="G26" s="47">
        <v>1</v>
      </c>
      <c r="H26" s="133">
        <f>IF(B$17=0,0,G26/B$17)</f>
        <v>2.6525198938992041E-3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9.1743119266055051E-4</v>
      </c>
      <c r="E27" s="63" t="s">
        <v>88</v>
      </c>
      <c r="F27" s="60" t="s">
        <v>43</v>
      </c>
      <c r="G27" s="47">
        <v>1</v>
      </c>
      <c r="H27" s="133">
        <f>IF(B$17=0,0,G27/B$17)</f>
        <v>2.6525198938992041E-3</v>
      </c>
      <c r="I27" s="94">
        <v>6</v>
      </c>
      <c r="K27" s="38">
        <v>25</v>
      </c>
      <c r="L27" s="99">
        <v>655.20000000000005</v>
      </c>
    </row>
    <row r="28" spans="1:17" x14ac:dyDescent="0.4">
      <c r="E28" s="63" t="s">
        <v>94</v>
      </c>
      <c r="F28" s="60" t="s">
        <v>49</v>
      </c>
      <c r="G28" s="47">
        <v>1</v>
      </c>
      <c r="H28" s="133">
        <f>IF(B$17=0,0,G28/B$17)</f>
        <v>2.6525198938992041E-3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>IF(B$17=0,0,G29/B$17)</f>
        <v>2.6525198938992041E-3</v>
      </c>
      <c r="I29" s="94">
        <v>2</v>
      </c>
      <c r="K29" s="38">
        <v>27</v>
      </c>
      <c r="L29" s="99">
        <v>596.30000000000007</v>
      </c>
    </row>
    <row r="30" spans="1:17" x14ac:dyDescent="0.4">
      <c r="E30" s="63" t="s">
        <v>75</v>
      </c>
      <c r="F30" s="60" t="s">
        <v>30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655.6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E2CBA-37F2-4102-BBDC-57BDC2FCAC6B}">
  <sheetPr codeName="Sheet9"/>
  <dimension ref="A1:Q11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117</v>
      </c>
      <c r="C2" s="147"/>
      <c r="E2" s="62" t="s">
        <v>65</v>
      </c>
      <c r="F2" s="59" t="s">
        <v>21</v>
      </c>
      <c r="G2" s="46">
        <v>160</v>
      </c>
      <c r="H2" s="132">
        <f>IF(B$17=0,0,G2/B$17)</f>
        <v>0.60836501901140683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492.30769230769232</v>
      </c>
      <c r="P2" s="118">
        <v>117</v>
      </c>
      <c r="Q2" s="102">
        <v>57600</v>
      </c>
    </row>
    <row r="3" spans="1:17" x14ac:dyDescent="0.4">
      <c r="A3" s="55" t="s">
        <v>8</v>
      </c>
      <c r="B3" s="148">
        <v>965</v>
      </c>
      <c r="C3" s="149"/>
      <c r="E3" s="63" t="s">
        <v>66</v>
      </c>
      <c r="F3" s="60" t="s">
        <v>22</v>
      </c>
      <c r="G3" s="47">
        <v>43</v>
      </c>
      <c r="H3" s="133">
        <f>IF(B$17=0,0,G3/B$17)</f>
        <v>0.1634980988593156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-2277.8761061946902</v>
      </c>
      <c r="P3" s="119">
        <v>113</v>
      </c>
      <c r="Q3" s="103">
        <v>-257400</v>
      </c>
    </row>
    <row r="4" spans="1:17" x14ac:dyDescent="0.4">
      <c r="A4" s="55" t="s">
        <v>6</v>
      </c>
      <c r="B4" s="150">
        <v>-313.40000000000003</v>
      </c>
      <c r="C4" s="151"/>
      <c r="E4" s="63" t="s">
        <v>67</v>
      </c>
      <c r="F4" s="60" t="s">
        <v>23</v>
      </c>
      <c r="G4" s="47">
        <v>200</v>
      </c>
      <c r="H4" s="133">
        <f>IF(B$17=0,0,G4/B$17)</f>
        <v>0.76045627376425851</v>
      </c>
      <c r="I4" s="94">
        <v>6</v>
      </c>
      <c r="K4" s="38">
        <v>2</v>
      </c>
      <c r="L4" s="99">
        <v>6.2999999999999972</v>
      </c>
      <c r="N4" s="115" t="s">
        <v>134</v>
      </c>
      <c r="O4" s="122">
        <f t="shared" si="0"/>
        <v>94.545454545454547</v>
      </c>
      <c r="P4" s="119">
        <v>110</v>
      </c>
      <c r="Q4" s="103">
        <v>10400</v>
      </c>
    </row>
    <row r="5" spans="1:17" x14ac:dyDescent="0.4">
      <c r="A5" s="55" t="s">
        <v>7</v>
      </c>
      <c r="B5" s="152">
        <f>IF(B$2=0,0,B$4/B$2)</f>
        <v>-2.6786324786324789</v>
      </c>
      <c r="C5" s="153"/>
      <c r="E5" s="63" t="s">
        <v>68</v>
      </c>
      <c r="F5" s="60" t="s">
        <v>24</v>
      </c>
      <c r="G5" s="47">
        <v>99</v>
      </c>
      <c r="H5" s="133">
        <f>IF(B$17=0,0,G5/B$17)</f>
        <v>0.37642585551330798</v>
      </c>
      <c r="I5" s="94">
        <v>5</v>
      </c>
      <c r="K5" s="38">
        <v>3</v>
      </c>
      <c r="L5" s="99">
        <v>-47.300000000000004</v>
      </c>
      <c r="N5" s="115" t="s">
        <v>135</v>
      </c>
      <c r="O5" s="122">
        <f t="shared" si="0"/>
        <v>142.85714285714286</v>
      </c>
      <c r="P5" s="119">
        <v>98</v>
      </c>
      <c r="Q5" s="103">
        <v>14000</v>
      </c>
    </row>
    <row r="6" spans="1:17" x14ac:dyDescent="0.4">
      <c r="A6" s="55" t="s">
        <v>1</v>
      </c>
      <c r="B6" s="142">
        <f>IF(B$2=0,0,(B$7*1+B$8*2+B$9*3)/B$2)</f>
        <v>2.0769230769230771</v>
      </c>
      <c r="C6" s="143"/>
      <c r="E6" s="63" t="s">
        <v>69</v>
      </c>
      <c r="F6" s="60" t="s">
        <v>12</v>
      </c>
      <c r="G6" s="47">
        <v>89</v>
      </c>
      <c r="H6" s="133">
        <f>IF(B$17=0,0,G6/B$17)</f>
        <v>0.33840304182509506</v>
      </c>
      <c r="I6" s="94">
        <v>7</v>
      </c>
      <c r="K6" s="38">
        <v>4</v>
      </c>
      <c r="L6" s="99">
        <v>13.599999999999994</v>
      </c>
      <c r="N6" s="115" t="s">
        <v>136</v>
      </c>
      <c r="O6" s="122">
        <f t="shared" si="0"/>
        <v>390.80459770114942</v>
      </c>
      <c r="P6" s="119">
        <v>87</v>
      </c>
      <c r="Q6" s="103">
        <v>34000</v>
      </c>
    </row>
    <row r="7" spans="1:17" x14ac:dyDescent="0.4">
      <c r="A7" s="55" t="s">
        <v>2</v>
      </c>
      <c r="B7" s="47">
        <v>31</v>
      </c>
      <c r="C7" s="39">
        <f>IF(B$2=0,0,B7/B$2)</f>
        <v>0.26495726495726496</v>
      </c>
      <c r="E7" s="63" t="s">
        <v>70</v>
      </c>
      <c r="F7" s="60" t="s">
        <v>25</v>
      </c>
      <c r="G7" s="47">
        <v>60</v>
      </c>
      <c r="H7" s="133">
        <f>IF(B$17=0,0,G7/B$17)</f>
        <v>0.22813688212927757</v>
      </c>
      <c r="I7" s="94">
        <v>2</v>
      </c>
      <c r="K7" s="38">
        <v>5</v>
      </c>
      <c r="L7" s="99">
        <v>-16.600000000000005</v>
      </c>
      <c r="N7" s="116" t="s">
        <v>137</v>
      </c>
      <c r="O7" s="123">
        <f t="shared" si="0"/>
        <v>555.55555555555554</v>
      </c>
      <c r="P7" s="120">
        <v>81</v>
      </c>
      <c r="Q7" s="104">
        <v>45000</v>
      </c>
    </row>
    <row r="8" spans="1:17" x14ac:dyDescent="0.4">
      <c r="A8" s="55" t="s">
        <v>3</v>
      </c>
      <c r="B8" s="47">
        <v>46</v>
      </c>
      <c r="C8" s="39">
        <f>IF(B$2=0,0,B8/B$2)</f>
        <v>0.39316239316239315</v>
      </c>
      <c r="E8" s="63" t="s">
        <v>71</v>
      </c>
      <c r="F8" s="60" t="s">
        <v>26</v>
      </c>
      <c r="G8" s="47">
        <v>32</v>
      </c>
      <c r="H8" s="133">
        <f>IF(B$17=0,0,G8/B$17)</f>
        <v>0.12167300380228137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40</v>
      </c>
      <c r="C9" s="40">
        <f t="shared" ref="C9" si="1">IF(B$2=0,0,B9/B$2)</f>
        <v>0.34188034188034189</v>
      </c>
      <c r="E9" s="63" t="s">
        <v>72</v>
      </c>
      <c r="F9" s="60" t="s">
        <v>27</v>
      </c>
      <c r="G9" s="47">
        <v>15</v>
      </c>
      <c r="H9" s="133">
        <f>IF(B$17=0,0,G9/B$17)</f>
        <v>5.7034220532319393E-2</v>
      </c>
      <c r="I9" s="94">
        <v>8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0.12820512820512819</v>
      </c>
      <c r="E10" s="63" t="s">
        <v>73</v>
      </c>
      <c r="F10" s="60" t="s">
        <v>28</v>
      </c>
      <c r="G10" s="47">
        <v>121</v>
      </c>
      <c r="H10" s="133">
        <f>IF(B$17=0,0,G10/B$17)</f>
        <v>0.46007604562737642</v>
      </c>
      <c r="I10" s="94">
        <v>10</v>
      </c>
      <c r="K10" s="38">
        <v>8</v>
      </c>
      <c r="L10" s="99">
        <v>-49.6</v>
      </c>
      <c r="N10" s="114" t="s">
        <v>164</v>
      </c>
      <c r="O10" s="124">
        <f>IF(P10=0,0,Q10/P10)</f>
        <v>-6.8819672131147556</v>
      </c>
      <c r="P10" s="118">
        <v>61</v>
      </c>
      <c r="Q10" s="106">
        <v>-419.80000000000007</v>
      </c>
    </row>
    <row r="11" spans="1:17" x14ac:dyDescent="0.4">
      <c r="A11" s="56" t="s">
        <v>140</v>
      </c>
      <c r="B11" s="48">
        <v>11</v>
      </c>
      <c r="C11" s="40">
        <f>IF(B$2=0,0,B11/B$2)</f>
        <v>9.4017094017094016E-2</v>
      </c>
      <c r="E11" s="63" t="s">
        <v>74</v>
      </c>
      <c r="F11" s="60" t="s">
        <v>29</v>
      </c>
      <c r="G11" s="47">
        <v>2</v>
      </c>
      <c r="H11" s="133">
        <f>IF(B$17=0,0,G11/B$17)</f>
        <v>7.6045627376425855E-3</v>
      </c>
      <c r="I11" s="94">
        <v>3</v>
      </c>
      <c r="K11" s="38">
        <v>9</v>
      </c>
      <c r="L11" s="99">
        <v>-79.5</v>
      </c>
      <c r="N11" s="115" t="s">
        <v>165</v>
      </c>
      <c r="O11" s="125">
        <f>IF(P11=0,0,Q11/P11)</f>
        <v>-2.199999999999998</v>
      </c>
      <c r="P11" s="119">
        <v>27</v>
      </c>
      <c r="Q11" s="107">
        <v>-59.399999999999949</v>
      </c>
    </row>
    <row r="12" spans="1:17" x14ac:dyDescent="0.4">
      <c r="A12" s="57" t="s">
        <v>160</v>
      </c>
      <c r="B12" s="49">
        <v>8</v>
      </c>
      <c r="C12" s="42">
        <f>IF(B$2=0,0,B12/B$2)</f>
        <v>6.8376068376068383E-2</v>
      </c>
      <c r="E12" s="63" t="s">
        <v>75</v>
      </c>
      <c r="F12" s="60" t="s">
        <v>30</v>
      </c>
      <c r="G12" s="47">
        <v>2</v>
      </c>
      <c r="H12" s="133">
        <f>IF(B$17=0,0,G12/B$17)</f>
        <v>7.6045627376425855E-3</v>
      </c>
      <c r="I12" s="94">
        <v>3</v>
      </c>
      <c r="K12" s="38">
        <v>10</v>
      </c>
      <c r="L12" s="99">
        <v>-80.900000000000006</v>
      </c>
      <c r="N12" s="116" t="s">
        <v>166</v>
      </c>
      <c r="O12" s="126">
        <f>IF(P12=0,0,Q12/P12)</f>
        <v>5.7172413793103445</v>
      </c>
      <c r="P12" s="120">
        <v>29</v>
      </c>
      <c r="Q12" s="108">
        <v>165.79999999999998</v>
      </c>
    </row>
    <row r="13" spans="1:17" x14ac:dyDescent="0.4">
      <c r="A13" s="58" t="s">
        <v>122</v>
      </c>
      <c r="B13" s="50">
        <v>290</v>
      </c>
      <c r="C13" s="44">
        <f>IF(B$3=0,0,B13/B$3)</f>
        <v>0.30051813471502592</v>
      </c>
      <c r="E13" s="63" t="s">
        <v>76</v>
      </c>
      <c r="F13" s="60" t="s">
        <v>31</v>
      </c>
      <c r="G13" s="47">
        <v>2</v>
      </c>
      <c r="H13" s="133">
        <f>IF(B$17=0,0,G13/B$17)</f>
        <v>7.6045627376425855E-3</v>
      </c>
      <c r="I13" s="94">
        <v>4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174</v>
      </c>
      <c r="C14" s="39">
        <f>IF(B$3=0,0,B14/B$3)</f>
        <v>0.18031088082901556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169</v>
      </c>
      <c r="C15" s="37">
        <f>IF(B$13=0,0,B15/B$13)</f>
        <v>0.58275862068965523</v>
      </c>
      <c r="E15" s="63" t="s">
        <v>78</v>
      </c>
      <c r="F15" s="60" t="s">
        <v>33</v>
      </c>
      <c r="G15" s="47">
        <v>1</v>
      </c>
      <c r="H15" s="133">
        <f>IF(B$17=0,0,G15/B$17)</f>
        <v>3.8022813688212928E-3</v>
      </c>
      <c r="I15" s="94">
        <v>3</v>
      </c>
      <c r="K15" s="38">
        <v>13</v>
      </c>
      <c r="L15" s="99">
        <v>-81.900000000000006</v>
      </c>
      <c r="N15" s="114" t="s">
        <v>186</v>
      </c>
      <c r="O15" s="124">
        <f t="shared" ref="O15:O22" si="2"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52</v>
      </c>
      <c r="C16" s="37">
        <f>IF(B$14=0,0,B16/B$14)</f>
        <v>0.2988505747126437</v>
      </c>
      <c r="E16" s="63" t="s">
        <v>79</v>
      </c>
      <c r="F16" s="60" t="s">
        <v>34</v>
      </c>
      <c r="G16" s="47">
        <v>4</v>
      </c>
      <c r="H16" s="133">
        <f>IF(B$17=0,0,G16/B$17)</f>
        <v>1.5209125475285171E-2</v>
      </c>
      <c r="I16" s="94">
        <v>9</v>
      </c>
      <c r="K16" s="38">
        <v>14</v>
      </c>
      <c r="L16" s="99">
        <v>-25.600000000000009</v>
      </c>
      <c r="N16" s="115" t="s">
        <v>129</v>
      </c>
      <c r="O16" s="125">
        <f t="shared" si="2"/>
        <v>15.997222222222222</v>
      </c>
      <c r="P16" s="119">
        <v>36</v>
      </c>
      <c r="Q16" s="107">
        <v>575.9</v>
      </c>
    </row>
    <row r="17" spans="1:17" x14ac:dyDescent="0.4">
      <c r="A17" s="54" t="s">
        <v>10</v>
      </c>
      <c r="B17" s="46">
        <f>B19+B18</f>
        <v>263</v>
      </c>
      <c r="C17" s="37">
        <f>IF(B$3=0,0,B17/B$3)</f>
        <v>0.27253886010362693</v>
      </c>
      <c r="E17" s="63" t="s">
        <v>80</v>
      </c>
      <c r="F17" s="60" t="s">
        <v>35</v>
      </c>
      <c r="G17" s="47">
        <v>5</v>
      </c>
      <c r="H17" s="133">
        <f>IF(B$17=0,0,G17/B$17)</f>
        <v>1.9011406844106463E-2</v>
      </c>
      <c r="I17" s="94">
        <v>2</v>
      </c>
      <c r="K17" s="38">
        <v>15</v>
      </c>
      <c r="L17" s="99">
        <v>47.999999999999986</v>
      </c>
      <c r="N17" s="115" t="s">
        <v>173</v>
      </c>
      <c r="O17" s="125">
        <f t="shared" si="2"/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111</v>
      </c>
      <c r="C18" s="39">
        <f>IF(B$17=0,0,B18/B$17)</f>
        <v>0.4220532319391635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172</v>
      </c>
      <c r="O18" s="125">
        <f t="shared" si="2"/>
        <v>0.21290322580645257</v>
      </c>
      <c r="P18" s="119">
        <v>31</v>
      </c>
      <c r="Q18" s="107">
        <v>6.6000000000000298</v>
      </c>
    </row>
    <row r="19" spans="1:17" x14ac:dyDescent="0.4">
      <c r="A19" s="55" t="s">
        <v>11</v>
      </c>
      <c r="B19" s="47">
        <v>152</v>
      </c>
      <c r="C19" s="39">
        <f>IF(B$17=0,0,B19/B$17)</f>
        <v>0.57794676806083645</v>
      </c>
      <c r="E19" s="63" t="s">
        <v>82</v>
      </c>
      <c r="F19" s="60" t="s">
        <v>37</v>
      </c>
      <c r="G19" s="47">
        <v>8</v>
      </c>
      <c r="H19" s="133">
        <f>IF(B$17=0,0,G19/B$17)</f>
        <v>3.0418250950570342E-2</v>
      </c>
      <c r="I19" s="94">
        <v>4</v>
      </c>
      <c r="K19" s="38">
        <v>17</v>
      </c>
      <c r="L19" s="99">
        <v>94.6</v>
      </c>
      <c r="N19" s="115" t="s">
        <v>171</v>
      </c>
      <c r="O19" s="125">
        <f t="shared" si="2"/>
        <v>-2.3171428571428518</v>
      </c>
      <c r="P19" s="119">
        <v>35</v>
      </c>
      <c r="Q19" s="107">
        <v>-81.09999999999981</v>
      </c>
    </row>
    <row r="20" spans="1:17" x14ac:dyDescent="0.4">
      <c r="A20" s="55" t="s">
        <v>13</v>
      </c>
      <c r="B20" s="47">
        <v>164</v>
      </c>
      <c r="C20" s="39">
        <f>IF(B$3=0,0,B20/B$3)</f>
        <v>0.16994818652849741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202</v>
      </c>
      <c r="O20" s="125">
        <f t="shared" si="2"/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193</v>
      </c>
      <c r="B21" s="47">
        <v>6</v>
      </c>
      <c r="C21" s="135">
        <v>1</v>
      </c>
      <c r="E21" s="63" t="s">
        <v>84</v>
      </c>
      <c r="F21" s="60" t="s">
        <v>39</v>
      </c>
      <c r="G21" s="47">
        <v>10</v>
      </c>
      <c r="H21" s="133">
        <f>IF(B$17=0,0,G21/B$17)</f>
        <v>3.8022813688212927E-2</v>
      </c>
      <c r="I21" s="94">
        <v>9</v>
      </c>
      <c r="K21" s="38">
        <v>19</v>
      </c>
      <c r="L21" s="99">
        <v>138.79999999999998</v>
      </c>
      <c r="N21" s="115" t="s">
        <v>177</v>
      </c>
      <c r="O21" s="125">
        <f t="shared" si="2"/>
        <v>-12.139130434782608</v>
      </c>
      <c r="P21" s="119">
        <v>23</v>
      </c>
      <c r="Q21" s="107">
        <v>-279.2</v>
      </c>
    </row>
    <row r="22" spans="1:17" x14ac:dyDescent="0.4">
      <c r="A22" s="55" t="s">
        <v>194</v>
      </c>
      <c r="B22" s="47">
        <v>24</v>
      </c>
      <c r="C22" s="135">
        <v>12</v>
      </c>
      <c r="E22" s="63" t="s">
        <v>85</v>
      </c>
      <c r="F22" s="60" t="s">
        <v>40</v>
      </c>
      <c r="G22" s="47">
        <v>1</v>
      </c>
      <c r="H22" s="133">
        <f>IF(B$17=0,0,G22/B$17)</f>
        <v>3.8022813688212928E-3</v>
      </c>
      <c r="I22" s="94">
        <v>2</v>
      </c>
      <c r="K22" s="38">
        <v>20</v>
      </c>
      <c r="L22" s="99">
        <v>164.49999999999997</v>
      </c>
      <c r="N22" s="115" t="s">
        <v>127</v>
      </c>
      <c r="O22" s="125">
        <f t="shared" si="2"/>
        <v>-16.777500000000003</v>
      </c>
      <c r="P22" s="119">
        <v>80</v>
      </c>
      <c r="Q22" s="107">
        <v>-1342.2000000000003</v>
      </c>
    </row>
    <row r="23" spans="1:17" x14ac:dyDescent="0.4">
      <c r="A23" s="55" t="s">
        <v>5</v>
      </c>
      <c r="B23" s="51">
        <f>IF(B$17=0,0,C23/B$17)</f>
        <v>9302.6615969581744</v>
      </c>
      <c r="C23" s="41">
        <v>2446600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-7742.6829268292686</v>
      </c>
      <c r="C24" s="45">
        <v>-1269800</v>
      </c>
      <c r="E24" s="63" t="s">
        <v>87</v>
      </c>
      <c r="F24" s="60" t="s">
        <v>42</v>
      </c>
      <c r="G24" s="47">
        <v>14</v>
      </c>
      <c r="H24" s="133">
        <f>IF(B$17=0,0,G24/B$17)</f>
        <v>5.3231939163498096E-2</v>
      </c>
      <c r="I24" s="94">
        <v>7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89</v>
      </c>
      <c r="F26" s="60" t="s">
        <v>44</v>
      </c>
      <c r="G26" s="47">
        <v>1</v>
      </c>
      <c r="H26" s="133">
        <f>IF(B$17=0,0,G26/B$17)</f>
        <v>3.8022813688212928E-3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5.1813471502590676E-3</v>
      </c>
      <c r="E27" s="63" t="s">
        <v>90</v>
      </c>
      <c r="F27" s="60" t="s">
        <v>45</v>
      </c>
      <c r="G27" s="47">
        <v>26</v>
      </c>
      <c r="H27" s="133">
        <f>IF(B$17=0,0,G27/B$17)</f>
        <v>9.8859315589353611E-2</v>
      </c>
      <c r="I27" s="94">
        <v>10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2.2813688212927757E-2</v>
      </c>
      <c r="I29" s="94">
        <v>2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3.8022813688212928E-3</v>
      </c>
      <c r="I30" s="94">
        <v>5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3.8022813688212928E-3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3.8022813688212928E-3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183</v>
      </c>
      <c r="G50" s="47">
        <v>5</v>
      </c>
      <c r="H50" s="133">
        <f>IF(B$17=0,0,G50/B$17)</f>
        <v>1.9011406844106463E-2</v>
      </c>
      <c r="I50" s="94">
        <v>3</v>
      </c>
      <c r="K50" s="38">
        <v>48</v>
      </c>
      <c r="L50" s="99">
        <v>50.599999999999959</v>
      </c>
    </row>
    <row r="51" spans="5:12" x14ac:dyDescent="0.4">
      <c r="E51" s="64" t="s">
        <v>181</v>
      </c>
      <c r="F51" s="61" t="s">
        <v>182</v>
      </c>
      <c r="G51" s="49">
        <v>117</v>
      </c>
      <c r="H51" s="134">
        <f>IF(B$17=0,0,G51/B$17)</f>
        <v>0.44486692015209123</v>
      </c>
      <c r="I51" s="95">
        <v>2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</sheetData>
  <sortState ref="E2:I119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1F3E6-FF15-4C3B-8BEC-532C8E294859}">
  <sheetPr codeName="Sheet11"/>
  <dimension ref="A1:Q7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74</v>
      </c>
      <c r="C2" s="147"/>
      <c r="E2" s="62" t="s">
        <v>67</v>
      </c>
      <c r="F2" s="59" t="s">
        <v>23</v>
      </c>
      <c r="G2" s="46">
        <v>131</v>
      </c>
      <c r="H2" s="132">
        <f>IF(B$17=0,0,G2/B$17)</f>
        <v>0.90972222222222221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-2313.5135135135133</v>
      </c>
      <c r="P2" s="118">
        <v>74</v>
      </c>
      <c r="Q2" s="102">
        <v>-171200</v>
      </c>
    </row>
    <row r="3" spans="1:17" x14ac:dyDescent="0.4">
      <c r="A3" s="55" t="s">
        <v>8</v>
      </c>
      <c r="B3" s="148">
        <v>617</v>
      </c>
      <c r="C3" s="149"/>
      <c r="E3" s="63" t="s">
        <v>65</v>
      </c>
      <c r="F3" s="60" t="s">
        <v>21</v>
      </c>
      <c r="G3" s="47">
        <v>88</v>
      </c>
      <c r="H3" s="133">
        <f>IF(B$17=0,0,G3/B$17)</f>
        <v>0.61111111111111116</v>
      </c>
      <c r="I3" s="94">
        <v>1</v>
      </c>
      <c r="K3" s="38">
        <v>1</v>
      </c>
      <c r="L3" s="99">
        <v>-40.4</v>
      </c>
      <c r="N3" s="115" t="s">
        <v>133</v>
      </c>
      <c r="O3" s="122">
        <f t="shared" si="0"/>
        <v>-1302.7777777777778</v>
      </c>
      <c r="P3" s="119">
        <v>72</v>
      </c>
      <c r="Q3" s="103">
        <v>-93800</v>
      </c>
    </row>
    <row r="4" spans="1:17" x14ac:dyDescent="0.4">
      <c r="A4" s="55" t="s">
        <v>6</v>
      </c>
      <c r="B4" s="150">
        <v>-1149.5999999999999</v>
      </c>
      <c r="C4" s="151"/>
      <c r="E4" s="63" t="s">
        <v>69</v>
      </c>
      <c r="F4" s="60" t="s">
        <v>12</v>
      </c>
      <c r="G4" s="47">
        <v>59</v>
      </c>
      <c r="H4" s="133">
        <f>IF(B$17=0,0,G4/B$17)</f>
        <v>0.40972222222222221</v>
      </c>
      <c r="I4" s="94">
        <v>3</v>
      </c>
      <c r="K4" s="38">
        <v>2</v>
      </c>
      <c r="L4" s="99">
        <v>-3.3999999999999986</v>
      </c>
      <c r="N4" s="115" t="s">
        <v>134</v>
      </c>
      <c r="O4" s="122">
        <f t="shared" si="0"/>
        <v>-442.64705882352939</v>
      </c>
      <c r="P4" s="119">
        <v>68</v>
      </c>
      <c r="Q4" s="103">
        <v>-30100</v>
      </c>
    </row>
    <row r="5" spans="1:17" x14ac:dyDescent="0.4">
      <c r="A5" s="55" t="s">
        <v>7</v>
      </c>
      <c r="B5" s="152">
        <f>IF(B$2=0,0,B$4/B$2)</f>
        <v>-15.535135135135134</v>
      </c>
      <c r="C5" s="153"/>
      <c r="E5" s="63" t="s">
        <v>68</v>
      </c>
      <c r="F5" s="60" t="s">
        <v>24</v>
      </c>
      <c r="G5" s="47">
        <v>55</v>
      </c>
      <c r="H5" s="133">
        <f>IF(B$17=0,0,G5/B$17)</f>
        <v>0.38194444444444442</v>
      </c>
      <c r="I5" s="94">
        <v>4</v>
      </c>
      <c r="K5" s="38">
        <v>3</v>
      </c>
      <c r="L5" s="99">
        <v>-23.099999999999998</v>
      </c>
      <c r="N5" s="115" t="s">
        <v>135</v>
      </c>
      <c r="O5" s="122">
        <f t="shared" si="0"/>
        <v>-4698.333333333333</v>
      </c>
      <c r="P5" s="119">
        <v>60</v>
      </c>
      <c r="Q5" s="103">
        <v>-281900</v>
      </c>
    </row>
    <row r="6" spans="1:17" x14ac:dyDescent="0.4">
      <c r="A6" s="55" t="s">
        <v>1</v>
      </c>
      <c r="B6" s="142">
        <f>IF(B$2=0,0,(B$7*1+B$8*2+B$9*3)/B$2)</f>
        <v>2.2567567567567566</v>
      </c>
      <c r="C6" s="143"/>
      <c r="E6" s="63" t="s">
        <v>181</v>
      </c>
      <c r="F6" s="60" t="s">
        <v>182</v>
      </c>
      <c r="G6" s="47">
        <v>54</v>
      </c>
      <c r="H6" s="133">
        <f>IF(B$17=0,0,G6/B$17)</f>
        <v>0.375</v>
      </c>
      <c r="I6" s="94">
        <v>10</v>
      </c>
      <c r="K6" s="38">
        <v>4</v>
      </c>
      <c r="L6" s="99">
        <v>-31.4</v>
      </c>
      <c r="N6" s="115" t="s">
        <v>136</v>
      </c>
      <c r="O6" s="122">
        <f t="shared" si="0"/>
        <v>-1466.6666666666667</v>
      </c>
      <c r="P6" s="119">
        <v>54</v>
      </c>
      <c r="Q6" s="103">
        <v>-79200</v>
      </c>
    </row>
    <row r="7" spans="1:17" x14ac:dyDescent="0.4">
      <c r="A7" s="55" t="s">
        <v>2</v>
      </c>
      <c r="B7" s="47">
        <v>18</v>
      </c>
      <c r="C7" s="39">
        <f>IF(B$2=0,0,B7/B$2)</f>
        <v>0.24324324324324326</v>
      </c>
      <c r="E7" s="63" t="s">
        <v>73</v>
      </c>
      <c r="F7" s="60" t="s">
        <v>28</v>
      </c>
      <c r="G7" s="47">
        <v>44</v>
      </c>
      <c r="H7" s="133">
        <f>IF(B$17=0,0,G7/B$17)</f>
        <v>0.30555555555555558</v>
      </c>
      <c r="I7" s="94">
        <v>12</v>
      </c>
      <c r="K7" s="38">
        <v>5</v>
      </c>
      <c r="L7" s="99">
        <v>-32.199999999999996</v>
      </c>
      <c r="N7" s="116" t="s">
        <v>137</v>
      </c>
      <c r="O7" s="123">
        <f t="shared" si="0"/>
        <v>-2173.4693877551022</v>
      </c>
      <c r="P7" s="120">
        <v>49</v>
      </c>
      <c r="Q7" s="104">
        <v>-106500</v>
      </c>
    </row>
    <row r="8" spans="1:17" x14ac:dyDescent="0.4">
      <c r="A8" s="55" t="s">
        <v>3</v>
      </c>
      <c r="B8" s="47">
        <v>19</v>
      </c>
      <c r="C8" s="39">
        <f>IF(B$2=0,0,B8/B$2)</f>
        <v>0.25675675675675674</v>
      </c>
      <c r="E8" s="63" t="s">
        <v>70</v>
      </c>
      <c r="F8" s="60" t="s">
        <v>25</v>
      </c>
      <c r="G8" s="47">
        <v>29</v>
      </c>
      <c r="H8" s="133">
        <f>IF(B$17=0,0,G8/B$17)</f>
        <v>0.2013888888888889</v>
      </c>
      <c r="I8" s="94">
        <v>3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37</v>
      </c>
      <c r="C9" s="40">
        <f t="shared" ref="C9" si="1">IF(B$2=0,0,B9/B$2)</f>
        <v>0.5</v>
      </c>
      <c r="E9" s="63" t="s">
        <v>71</v>
      </c>
      <c r="F9" s="60" t="s">
        <v>26</v>
      </c>
      <c r="G9" s="47">
        <v>21</v>
      </c>
      <c r="H9" s="133">
        <f>IF(B$17=0,0,G9/B$17)</f>
        <v>0.14583333333333334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>IF(B$2=0,0,B10/B$2)</f>
        <v>0.1891891891891892</v>
      </c>
      <c r="E10" s="63" t="s">
        <v>72</v>
      </c>
      <c r="F10" s="60" t="s">
        <v>27</v>
      </c>
      <c r="G10" s="47">
        <v>16</v>
      </c>
      <c r="H10" s="133">
        <f>IF(B$17=0,0,G10/B$17)</f>
        <v>0.1111111111111111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-19.056521739130432</v>
      </c>
      <c r="P10" s="118">
        <v>23</v>
      </c>
      <c r="Q10" s="106">
        <v>-438.2999999999999</v>
      </c>
    </row>
    <row r="11" spans="1:17" x14ac:dyDescent="0.4">
      <c r="A11" s="56" t="s">
        <v>140</v>
      </c>
      <c r="B11" s="48">
        <v>8</v>
      </c>
      <c r="C11" s="40">
        <f>IF(B$2=0,0,B11/B$2)</f>
        <v>0.10810810810810811</v>
      </c>
      <c r="E11" s="63" t="s">
        <v>66</v>
      </c>
      <c r="F11" s="60" t="s">
        <v>22</v>
      </c>
      <c r="G11" s="47">
        <v>12</v>
      </c>
      <c r="H11" s="133">
        <f>IF(B$17=0,0,G11/B$17)</f>
        <v>8.3333333333333329E-2</v>
      </c>
      <c r="I11" s="94">
        <v>7</v>
      </c>
      <c r="K11" s="38">
        <v>9</v>
      </c>
      <c r="L11" s="99">
        <v>-127.6</v>
      </c>
      <c r="N11" s="115" t="s">
        <v>165</v>
      </c>
      <c r="O11" s="125">
        <f>IF(P11=0,0,Q11/P11)</f>
        <v>-11.735483870967746</v>
      </c>
      <c r="P11" s="119">
        <v>31</v>
      </c>
      <c r="Q11" s="107">
        <v>-363.80000000000013</v>
      </c>
    </row>
    <row r="12" spans="1:17" x14ac:dyDescent="0.4">
      <c r="A12" s="57" t="s">
        <v>160</v>
      </c>
      <c r="B12" s="49">
        <v>5</v>
      </c>
      <c r="C12" s="42">
        <f>IF(B$2=0,0,B12/B$2)</f>
        <v>6.7567567567567571E-2</v>
      </c>
      <c r="E12" s="63" t="s">
        <v>90</v>
      </c>
      <c r="F12" s="60" t="s">
        <v>45</v>
      </c>
      <c r="G12" s="47">
        <v>12</v>
      </c>
      <c r="H12" s="133">
        <f>IF(B$17=0,0,G12/B$17)</f>
        <v>8.3333333333333329E-2</v>
      </c>
      <c r="I12" s="94">
        <v>11</v>
      </c>
      <c r="K12" s="38">
        <v>10</v>
      </c>
      <c r="L12" s="99">
        <v>-231.39999999999998</v>
      </c>
      <c r="N12" s="116" t="s">
        <v>166</v>
      </c>
      <c r="O12" s="126">
        <f>IF(P12=0,0,Q12/P12)</f>
        <v>-17.374999999999996</v>
      </c>
      <c r="P12" s="120">
        <v>20</v>
      </c>
      <c r="Q12" s="108">
        <v>-347.49999999999994</v>
      </c>
    </row>
    <row r="13" spans="1:17" x14ac:dyDescent="0.4">
      <c r="A13" s="58" t="s">
        <v>122</v>
      </c>
      <c r="B13" s="50">
        <v>174</v>
      </c>
      <c r="C13" s="44">
        <f>IF(B$3=0,0,B13/B$3)</f>
        <v>0.28200972447325767</v>
      </c>
      <c r="E13" s="63" t="s">
        <v>87</v>
      </c>
      <c r="F13" s="60" t="s">
        <v>42</v>
      </c>
      <c r="G13" s="47">
        <v>10</v>
      </c>
      <c r="H13" s="133">
        <f>IF(B$17=0,0,G13/B$17)</f>
        <v>6.9444444444444448E-2</v>
      </c>
      <c r="I13" s="94">
        <v>4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98</v>
      </c>
      <c r="C14" s="39">
        <f>IF(B$3=0,0,B14/B$3)</f>
        <v>0.15883306320907617</v>
      </c>
      <c r="E14" s="63" t="s">
        <v>79</v>
      </c>
      <c r="F14" s="60" t="s">
        <v>34</v>
      </c>
      <c r="G14" s="47">
        <v>5</v>
      </c>
      <c r="H14" s="133">
        <f>IF(B$17=0,0,G14/B$17)</f>
        <v>3.4722222222222224E-2</v>
      </c>
      <c r="I14" s="94">
        <v>5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91</v>
      </c>
      <c r="C15" s="37">
        <f>IF(B$13=0,0,B15/B$13)</f>
        <v>0.52298850574712641</v>
      </c>
      <c r="E15" s="63" t="s">
        <v>84</v>
      </c>
      <c r="F15" s="60" t="s">
        <v>39</v>
      </c>
      <c r="G15" s="47">
        <v>5</v>
      </c>
      <c r="H15" s="133">
        <f>IF(B$17=0,0,G15/B$17)</f>
        <v>3.4722222222222224E-2</v>
      </c>
      <c r="I15" s="94">
        <v>10</v>
      </c>
      <c r="K15" s="38">
        <v>13</v>
      </c>
      <c r="L15" s="99">
        <v>-369.1</v>
      </c>
      <c r="N15" s="114" t="s">
        <v>225</v>
      </c>
      <c r="O15" s="124">
        <f>IF(P15=0,0,Q15/P15)</f>
        <v>62.800000000000004</v>
      </c>
      <c r="P15" s="118">
        <v>2</v>
      </c>
      <c r="Q15" s="106">
        <v>125.60000000000001</v>
      </c>
    </row>
    <row r="16" spans="1:17" x14ac:dyDescent="0.4">
      <c r="A16" s="54" t="s">
        <v>125</v>
      </c>
      <c r="B16" s="46">
        <v>22</v>
      </c>
      <c r="C16" s="37">
        <f>IF(B$14=0,0,B16/B$14)</f>
        <v>0.22448979591836735</v>
      </c>
      <c r="E16" s="63" t="s">
        <v>75</v>
      </c>
      <c r="F16" s="60" t="s">
        <v>30</v>
      </c>
      <c r="G16" s="47">
        <v>2</v>
      </c>
      <c r="H16" s="133">
        <f>IF(B$17=0,0,G16/B$17)</f>
        <v>1.3888888888888888E-2</v>
      </c>
      <c r="I16" s="94">
        <v>1</v>
      </c>
      <c r="K16" s="38">
        <v>14</v>
      </c>
      <c r="L16" s="99">
        <v>-394.6</v>
      </c>
      <c r="N16" s="115" t="s">
        <v>177</v>
      </c>
      <c r="O16" s="125">
        <f>IF(P16=0,0,Q16/P16)</f>
        <v>-1.4142857142857135</v>
      </c>
      <c r="P16" s="119">
        <v>14</v>
      </c>
      <c r="Q16" s="107">
        <v>-19.79999999999999</v>
      </c>
    </row>
    <row r="17" spans="1:17" x14ac:dyDescent="0.4">
      <c r="A17" s="54" t="s">
        <v>10</v>
      </c>
      <c r="B17" s="46">
        <f>B19+B18</f>
        <v>144</v>
      </c>
      <c r="C17" s="37">
        <f>IF(B$3=0,0,B17/B$3)</f>
        <v>0.233387358184765</v>
      </c>
      <c r="E17" s="63" t="s">
        <v>82</v>
      </c>
      <c r="F17" s="60" t="s">
        <v>37</v>
      </c>
      <c r="G17" s="47">
        <v>2</v>
      </c>
      <c r="H17" s="133">
        <f>IF(B$17=0,0,G17/B$17)</f>
        <v>1.3888888888888888E-2</v>
      </c>
      <c r="I17" s="94">
        <v>9</v>
      </c>
      <c r="K17" s="38">
        <v>15</v>
      </c>
      <c r="L17" s="99">
        <v>-424.5</v>
      </c>
      <c r="N17" s="115" t="s">
        <v>128</v>
      </c>
      <c r="O17" s="125">
        <f>IF(P17=0,0,Q17/P17)</f>
        <v>-15.997222222222218</v>
      </c>
      <c r="P17" s="119">
        <v>36</v>
      </c>
      <c r="Q17" s="107">
        <v>-575.89999999999986</v>
      </c>
    </row>
    <row r="18" spans="1:17" x14ac:dyDescent="0.4">
      <c r="A18" s="55" t="s">
        <v>12</v>
      </c>
      <c r="B18" s="47">
        <v>67</v>
      </c>
      <c r="C18" s="39">
        <f>IF(B$17=0,0,B18/B$17)</f>
        <v>0.46527777777777779</v>
      </c>
      <c r="E18" s="63" t="s">
        <v>88</v>
      </c>
      <c r="F18" s="60" t="s">
        <v>43</v>
      </c>
      <c r="G18" s="47">
        <v>2</v>
      </c>
      <c r="H18" s="133">
        <f>IF(B$17=0,0,G18/B$17)</f>
        <v>1.3888888888888888E-2</v>
      </c>
      <c r="I18" s="94">
        <v>1</v>
      </c>
      <c r="K18" s="38">
        <v>16</v>
      </c>
      <c r="L18" s="99">
        <v>-472</v>
      </c>
      <c r="N18" s="115" t="s">
        <v>173</v>
      </c>
      <c r="O18" s="125">
        <f>IF(P18=0,0,Q18/P18)</f>
        <v>-21.862499999999997</v>
      </c>
      <c r="P18" s="119">
        <v>8</v>
      </c>
      <c r="Q18" s="107">
        <v>-174.89999999999998</v>
      </c>
    </row>
    <row r="19" spans="1:17" x14ac:dyDescent="0.4">
      <c r="A19" s="55" t="s">
        <v>11</v>
      </c>
      <c r="B19" s="47">
        <v>77</v>
      </c>
      <c r="C19" s="39">
        <f>IF(B$17=0,0,B19/B$17)</f>
        <v>0.53472222222222221</v>
      </c>
      <c r="E19" s="63" t="s">
        <v>94</v>
      </c>
      <c r="F19" s="60" t="s">
        <v>49</v>
      </c>
      <c r="G19" s="47">
        <v>2</v>
      </c>
      <c r="H19" s="133">
        <f>IF(B$17=0,0,G19/B$17)</f>
        <v>1.3888888888888888E-2</v>
      </c>
      <c r="I19" s="94">
        <v>1</v>
      </c>
      <c r="K19" s="38">
        <v>17</v>
      </c>
      <c r="L19" s="99">
        <v>-538.29999999999995</v>
      </c>
      <c r="N19" s="115" t="s">
        <v>127</v>
      </c>
      <c r="O19" s="125">
        <f>IF(P19=0,0,Q19/P19)</f>
        <v>-27.804545454545462</v>
      </c>
      <c r="P19" s="119">
        <v>44</v>
      </c>
      <c r="Q19" s="107">
        <v>-1223.4000000000003</v>
      </c>
    </row>
    <row r="20" spans="1:17" x14ac:dyDescent="0.4">
      <c r="A20" s="55" t="s">
        <v>13</v>
      </c>
      <c r="B20" s="47">
        <v>119</v>
      </c>
      <c r="C20" s="39">
        <f>IF(B$3=0,0,B20/B$3)</f>
        <v>0.19286871961102106</v>
      </c>
      <c r="E20" s="63" t="s">
        <v>78</v>
      </c>
      <c r="F20" s="60" t="s">
        <v>33</v>
      </c>
      <c r="G20" s="47">
        <v>1</v>
      </c>
      <c r="H20" s="133">
        <f>IF(B$17=0,0,G20/B$17)</f>
        <v>6.9444444444444441E-3</v>
      </c>
      <c r="I20" s="94">
        <v>1</v>
      </c>
      <c r="K20" s="38">
        <v>18</v>
      </c>
      <c r="L20" s="99">
        <v>-537.19999999999993</v>
      </c>
      <c r="N20" s="115" t="s">
        <v>171</v>
      </c>
      <c r="O20" s="125">
        <f>IF(P20=0,0,Q20/P20)</f>
        <v>-31.727999999999998</v>
      </c>
      <c r="P20" s="119">
        <v>25</v>
      </c>
      <c r="Q20" s="107">
        <v>-793.19999999999993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80</v>
      </c>
      <c r="F21" s="60" t="s">
        <v>35</v>
      </c>
      <c r="G21" s="47">
        <v>1</v>
      </c>
      <c r="H21" s="133">
        <f>IF(B$17=0,0,G21/B$17)</f>
        <v>6.9444444444444441E-3</v>
      </c>
      <c r="I21" s="94">
        <v>9</v>
      </c>
      <c r="K21" s="38">
        <v>19</v>
      </c>
      <c r="L21" s="99">
        <v>-569.49999999999989</v>
      </c>
      <c r="N21" s="115" t="s">
        <v>172</v>
      </c>
      <c r="O21" s="125">
        <f>IF(P21=0,0,Q21/P21)</f>
        <v>-39.468749999999993</v>
      </c>
      <c r="P21" s="119">
        <v>16</v>
      </c>
      <c r="Q21" s="107">
        <v>-631.49999999999989</v>
      </c>
    </row>
    <row r="22" spans="1:17" x14ac:dyDescent="0.4">
      <c r="A22" s="55" t="s">
        <v>194</v>
      </c>
      <c r="B22" s="47">
        <v>31</v>
      </c>
      <c r="C22" s="135">
        <v>0</v>
      </c>
      <c r="E22" s="63" t="s">
        <v>89</v>
      </c>
      <c r="F22" s="60" t="s">
        <v>44</v>
      </c>
      <c r="G22" s="47">
        <v>1</v>
      </c>
      <c r="H22" s="133">
        <f>IF(B$17=0,0,G22/B$17)</f>
        <v>6.9444444444444441E-3</v>
      </c>
      <c r="I22" s="94">
        <v>1</v>
      </c>
      <c r="K22" s="38">
        <v>20</v>
      </c>
      <c r="L22" s="99">
        <v>-632.99999999999989</v>
      </c>
      <c r="N22" s="115" t="s">
        <v>186</v>
      </c>
      <c r="O22" s="125">
        <f>IF(P22=0,0,Q22/P22)</f>
        <v>-51.9</v>
      </c>
      <c r="P22" s="119">
        <v>3</v>
      </c>
      <c r="Q22" s="107">
        <v>-155.69999999999999</v>
      </c>
    </row>
    <row r="23" spans="1:17" x14ac:dyDescent="0.4">
      <c r="A23" s="55" t="s">
        <v>5</v>
      </c>
      <c r="B23" s="51">
        <f>IF(B$17=0,0,C23/B$17)</f>
        <v>8872.9166666666661</v>
      </c>
      <c r="C23" s="41">
        <v>1277700</v>
      </c>
      <c r="E23" s="63" t="s">
        <v>92</v>
      </c>
      <c r="F23" s="60" t="s">
        <v>47</v>
      </c>
      <c r="G23" s="47">
        <v>1</v>
      </c>
      <c r="H23" s="133">
        <f>IF(B$17=0,0,G23/B$17)</f>
        <v>6.9444444444444441E-3</v>
      </c>
      <c r="I23" s="94">
        <v>8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-9433.6134453781506</v>
      </c>
      <c r="C24" s="45">
        <v>-1122600</v>
      </c>
      <c r="E24" s="63" t="s">
        <v>74</v>
      </c>
      <c r="F24" s="60" t="s">
        <v>29</v>
      </c>
      <c r="G24" s="47">
        <v>0</v>
      </c>
      <c r="H24" s="133">
        <f>IF(B$17=0,0,G24/B$17)</f>
        <v>0</v>
      </c>
      <c r="I24" s="94">
        <v>8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1.6207455429497568E-3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5</v>
      </c>
      <c r="K29" s="38">
        <v>27</v>
      </c>
      <c r="L29" s="99">
        <v>-876.19999999999993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-931.09999999999991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CE30F-E13F-4FFB-96FA-76FE87A50D23}">
  <sheetPr codeName="Sheet13"/>
  <dimension ref="A1:Q86"/>
  <sheetViews>
    <sheetView showGridLines="0" tabSelected="1" zoomScaleNormal="100" workbookViewId="0">
      <selection activeCell="S27" sqref="S27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84</v>
      </c>
      <c r="C2" s="147"/>
      <c r="E2" s="62" t="s">
        <v>67</v>
      </c>
      <c r="F2" s="59" t="s">
        <v>23</v>
      </c>
      <c r="G2" s="46">
        <v>172</v>
      </c>
      <c r="H2" s="132">
        <f>IF(B$17=0,0,G2/B$17)</f>
        <v>0.85148514851485146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-532.14285714285711</v>
      </c>
      <c r="P2" s="118">
        <v>84</v>
      </c>
      <c r="Q2" s="102">
        <v>-44700</v>
      </c>
    </row>
    <row r="3" spans="1:17" x14ac:dyDescent="0.4">
      <c r="A3" s="55" t="s">
        <v>8</v>
      </c>
      <c r="B3" s="148">
        <v>699</v>
      </c>
      <c r="C3" s="149"/>
      <c r="E3" s="63" t="s">
        <v>65</v>
      </c>
      <c r="F3" s="60" t="s">
        <v>21</v>
      </c>
      <c r="G3" s="47">
        <v>110</v>
      </c>
      <c r="H3" s="133">
        <f>IF(B$17=0,0,G3/B$17)</f>
        <v>0.54455445544554459</v>
      </c>
      <c r="I3" s="94">
        <v>8</v>
      </c>
      <c r="K3" s="38">
        <v>1</v>
      </c>
      <c r="L3" s="99">
        <v>-51.2</v>
      </c>
      <c r="N3" s="115" t="s">
        <v>133</v>
      </c>
      <c r="O3" s="122">
        <f t="shared" si="0"/>
        <v>898.78048780487802</v>
      </c>
      <c r="P3" s="119">
        <v>82</v>
      </c>
      <c r="Q3" s="103">
        <v>73700</v>
      </c>
    </row>
    <row r="4" spans="1:17" x14ac:dyDescent="0.4">
      <c r="A4" s="55" t="s">
        <v>6</v>
      </c>
      <c r="B4" s="150">
        <v>275.10000000000002</v>
      </c>
      <c r="C4" s="151"/>
      <c r="E4" s="63" t="s">
        <v>73</v>
      </c>
      <c r="F4" s="60" t="s">
        <v>28</v>
      </c>
      <c r="G4" s="47">
        <v>104</v>
      </c>
      <c r="H4" s="133">
        <f>IF(B$17=0,0,G4/B$17)</f>
        <v>0.51485148514851486</v>
      </c>
      <c r="I4" s="94">
        <v>8</v>
      </c>
      <c r="K4" s="38">
        <v>2</v>
      </c>
      <c r="L4" s="99">
        <v>-93.300000000000011</v>
      </c>
      <c r="N4" s="115" t="s">
        <v>134</v>
      </c>
      <c r="O4" s="122">
        <f t="shared" si="0"/>
        <v>1672.3684210526317</v>
      </c>
      <c r="P4" s="119">
        <v>76</v>
      </c>
      <c r="Q4" s="103">
        <v>127100</v>
      </c>
    </row>
    <row r="5" spans="1:17" x14ac:dyDescent="0.4">
      <c r="A5" s="55" t="s">
        <v>7</v>
      </c>
      <c r="B5" s="152">
        <f>IF(B$2=0,0,B$4/B$2)</f>
        <v>3.2750000000000004</v>
      </c>
      <c r="C5" s="153"/>
      <c r="E5" s="63" t="s">
        <v>181</v>
      </c>
      <c r="F5" s="60" t="s">
        <v>182</v>
      </c>
      <c r="G5" s="47">
        <v>78</v>
      </c>
      <c r="H5" s="133">
        <f>IF(B$17=0,0,G5/B$17)</f>
        <v>0.38613861386138615</v>
      </c>
      <c r="I5" s="94">
        <v>9</v>
      </c>
      <c r="K5" s="38">
        <v>3</v>
      </c>
      <c r="L5" s="99">
        <v>-60.100000000000009</v>
      </c>
      <c r="N5" s="115" t="s">
        <v>135</v>
      </c>
      <c r="O5" s="122">
        <f t="shared" si="0"/>
        <v>1412.121212121212</v>
      </c>
      <c r="P5" s="119">
        <v>66</v>
      </c>
      <c r="Q5" s="103">
        <v>93200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68</v>
      </c>
      <c r="F6" s="60" t="s">
        <v>24</v>
      </c>
      <c r="G6" s="47">
        <v>70</v>
      </c>
      <c r="H6" s="133">
        <f>IF(B$17=0,0,G6/B$17)</f>
        <v>0.34653465346534651</v>
      </c>
      <c r="I6" s="94">
        <v>8</v>
      </c>
      <c r="K6" s="38">
        <v>4</v>
      </c>
      <c r="L6" s="99">
        <v>-11.300000000000011</v>
      </c>
      <c r="N6" s="115" t="s">
        <v>136</v>
      </c>
      <c r="O6" s="122">
        <f t="shared" si="0"/>
        <v>-375.86206896551727</v>
      </c>
      <c r="P6" s="119">
        <v>58</v>
      </c>
      <c r="Q6" s="103">
        <v>-21800</v>
      </c>
    </row>
    <row r="7" spans="1:17" x14ac:dyDescent="0.4">
      <c r="A7" s="55" t="s">
        <v>2</v>
      </c>
      <c r="B7" s="47">
        <v>27</v>
      </c>
      <c r="C7" s="39">
        <f>IF(B$2=0,0,B7/B$2)</f>
        <v>0.32142857142857145</v>
      </c>
      <c r="E7" s="63" t="s">
        <v>69</v>
      </c>
      <c r="F7" s="60" t="s">
        <v>12</v>
      </c>
      <c r="G7" s="47">
        <v>59</v>
      </c>
      <c r="H7" s="133">
        <f>IF(B$17=0,0,G7/B$17)</f>
        <v>0.29207920792079206</v>
      </c>
      <c r="I7" s="94">
        <v>10</v>
      </c>
      <c r="K7" s="38">
        <v>5</v>
      </c>
      <c r="L7" s="99">
        <v>-36.100000000000009</v>
      </c>
      <c r="N7" s="116" t="s">
        <v>137</v>
      </c>
      <c r="O7" s="123">
        <f t="shared" si="0"/>
        <v>350.94339622641508</v>
      </c>
      <c r="P7" s="120">
        <v>53</v>
      </c>
      <c r="Q7" s="104">
        <v>18600</v>
      </c>
    </row>
    <row r="8" spans="1:17" x14ac:dyDescent="0.4">
      <c r="A8" s="55" t="s">
        <v>3</v>
      </c>
      <c r="B8" s="47">
        <v>30</v>
      </c>
      <c r="C8" s="39">
        <f>IF(B$2=0,0,B8/B$2)</f>
        <v>0.35714285714285715</v>
      </c>
      <c r="E8" s="63" t="s">
        <v>70</v>
      </c>
      <c r="F8" s="60" t="s">
        <v>25</v>
      </c>
      <c r="G8" s="47">
        <v>38</v>
      </c>
      <c r="H8" s="133">
        <f>IF(B$17=0,0,G8/B$17)</f>
        <v>0.18811881188118812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27</v>
      </c>
      <c r="C9" s="40">
        <f t="shared" ref="C9" si="1">IF(B$2=0,0,B9/B$2)</f>
        <v>0.32142857142857145</v>
      </c>
      <c r="E9" s="63" t="s">
        <v>90</v>
      </c>
      <c r="F9" s="60" t="s">
        <v>45</v>
      </c>
      <c r="G9" s="47">
        <v>34</v>
      </c>
      <c r="H9" s="133">
        <f>IF(B$17=0,0,G9/B$17)</f>
        <v>0.16831683168316833</v>
      </c>
      <c r="I9" s="94">
        <v>4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</v>
      </c>
      <c r="C10" s="40">
        <f>IF(B$2=0,0,B10/B$2)</f>
        <v>7.1428571428571425E-2</v>
      </c>
      <c r="E10" s="63" t="s">
        <v>66</v>
      </c>
      <c r="F10" s="60" t="s">
        <v>22</v>
      </c>
      <c r="G10" s="47">
        <v>28</v>
      </c>
      <c r="H10" s="133">
        <f>IF(B$17=0,0,G10/B$17)</f>
        <v>0.13861386138613863</v>
      </c>
      <c r="I10" s="94">
        <v>2</v>
      </c>
      <c r="K10" s="38">
        <v>8</v>
      </c>
      <c r="L10" s="99">
        <v>-1.7000000000000028</v>
      </c>
      <c r="N10" s="114" t="s">
        <v>164</v>
      </c>
      <c r="O10" s="124">
        <f>IF(P10=0,0,Q10/P10)</f>
        <v>9</v>
      </c>
      <c r="P10" s="118">
        <v>22</v>
      </c>
      <c r="Q10" s="106">
        <v>198</v>
      </c>
    </row>
    <row r="11" spans="1:17" x14ac:dyDescent="0.4">
      <c r="A11" s="56" t="s">
        <v>140</v>
      </c>
      <c r="B11" s="48">
        <v>12</v>
      </c>
      <c r="C11" s="40">
        <f>IF(B$2=0,0,B11/B$2)</f>
        <v>0.14285714285714285</v>
      </c>
      <c r="E11" s="63" t="s">
        <v>71</v>
      </c>
      <c r="F11" s="60" t="s">
        <v>26</v>
      </c>
      <c r="G11" s="47">
        <v>21</v>
      </c>
      <c r="H11" s="133">
        <f>IF(B$17=0,0,G11/B$17)</f>
        <v>0.10396039603960396</v>
      </c>
      <c r="I11" s="94">
        <v>5</v>
      </c>
      <c r="K11" s="38">
        <v>9</v>
      </c>
      <c r="L11" s="99">
        <v>-5.8000000000000025</v>
      </c>
      <c r="N11" s="115" t="s">
        <v>165</v>
      </c>
      <c r="O11" s="125">
        <f>IF(P11=0,0,Q11/P11)</f>
        <v>-2.2176470588235273</v>
      </c>
      <c r="P11" s="119">
        <v>34</v>
      </c>
      <c r="Q11" s="107">
        <v>-75.399999999999935</v>
      </c>
    </row>
    <row r="12" spans="1:17" x14ac:dyDescent="0.4">
      <c r="A12" s="57" t="s">
        <v>160</v>
      </c>
      <c r="B12" s="49">
        <v>6</v>
      </c>
      <c r="C12" s="42">
        <f>IF(B$2=0,0,B12/B$2)</f>
        <v>7.1428571428571425E-2</v>
      </c>
      <c r="E12" s="63" t="s">
        <v>87</v>
      </c>
      <c r="F12" s="60" t="s">
        <v>42</v>
      </c>
      <c r="G12" s="47">
        <v>15</v>
      </c>
      <c r="H12" s="133">
        <f>IF(B$17=0,0,G12/B$17)</f>
        <v>7.4257425742574254E-2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5.4464285714285712</v>
      </c>
      <c r="P12" s="120">
        <v>28</v>
      </c>
      <c r="Q12" s="108">
        <v>152.5</v>
      </c>
    </row>
    <row r="13" spans="1:17" x14ac:dyDescent="0.4">
      <c r="A13" s="58" t="s">
        <v>122</v>
      </c>
      <c r="B13" s="50">
        <v>205</v>
      </c>
      <c r="C13" s="44">
        <f>IF(B$3=0,0,B13/B$3)</f>
        <v>0.29327610872675253</v>
      </c>
      <c r="E13" s="63" t="s">
        <v>72</v>
      </c>
      <c r="F13" s="60" t="s">
        <v>27</v>
      </c>
      <c r="G13" s="47">
        <v>13</v>
      </c>
      <c r="H13" s="133">
        <f>IF(B$17=0,0,G13/B$17)</f>
        <v>6.4356435643564358E-2</v>
      </c>
      <c r="I13" s="94">
        <v>6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134</v>
      </c>
      <c r="C14" s="39">
        <f>IF(B$3=0,0,B14/B$3)</f>
        <v>0.19170243204577969</v>
      </c>
      <c r="E14" s="63" t="s">
        <v>84</v>
      </c>
      <c r="F14" s="60" t="s">
        <v>39</v>
      </c>
      <c r="G14" s="47">
        <v>11</v>
      </c>
      <c r="H14" s="133">
        <f>IF(B$17=0,0,G14/B$17)</f>
        <v>5.4455445544554455E-2</v>
      </c>
      <c r="I14" s="94">
        <v>4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118</v>
      </c>
      <c r="C15" s="37">
        <f>IF(B$13=0,0,B15/B$13)</f>
        <v>0.57560975609756093</v>
      </c>
      <c r="E15" s="63" t="s">
        <v>79</v>
      </c>
      <c r="F15" s="60" t="s">
        <v>34</v>
      </c>
      <c r="G15" s="47">
        <v>9</v>
      </c>
      <c r="H15" s="133">
        <f>IF(B$17=0,0,G15/B$17)</f>
        <v>4.4554455445544552E-2</v>
      </c>
      <c r="I15" s="94">
        <v>3</v>
      </c>
      <c r="K15" s="38">
        <v>13</v>
      </c>
      <c r="L15" s="99">
        <v>-58.7</v>
      </c>
      <c r="N15" s="114" t="s">
        <v>129</v>
      </c>
      <c r="O15" s="124">
        <f>IF(P15=0,0,Q15/P15)</f>
        <v>31.727999999999994</v>
      </c>
      <c r="P15" s="118">
        <v>25</v>
      </c>
      <c r="Q15" s="106">
        <v>793.19999999999982</v>
      </c>
    </row>
    <row r="16" spans="1:17" x14ac:dyDescent="0.4">
      <c r="A16" s="54" t="s">
        <v>125</v>
      </c>
      <c r="B16" s="46">
        <v>56</v>
      </c>
      <c r="C16" s="37">
        <f>IF(B$14=0,0,B16/B$14)</f>
        <v>0.41791044776119401</v>
      </c>
      <c r="E16" s="63" t="s">
        <v>82</v>
      </c>
      <c r="F16" s="60" t="s">
        <v>37</v>
      </c>
      <c r="G16" s="47">
        <v>8</v>
      </c>
      <c r="H16" s="133">
        <f>IF(B$17=0,0,G16/B$17)</f>
        <v>3.9603960396039604E-2</v>
      </c>
      <c r="I16" s="94">
        <v>2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202</v>
      </c>
      <c r="C17" s="37">
        <f>IF(B$3=0,0,B17/B$3)</f>
        <v>0.28898426323319026</v>
      </c>
      <c r="E17" s="63" t="s">
        <v>92</v>
      </c>
      <c r="F17" s="60" t="s">
        <v>47</v>
      </c>
      <c r="G17" s="47">
        <v>6</v>
      </c>
      <c r="H17" s="133">
        <f>IF(B$17=0,0,G17/B$17)</f>
        <v>2.9702970297029702E-2</v>
      </c>
      <c r="I17" s="94">
        <v>2</v>
      </c>
      <c r="K17" s="38">
        <v>15</v>
      </c>
      <c r="L17" s="99">
        <v>-26.3</v>
      </c>
      <c r="N17" s="115" t="s">
        <v>173</v>
      </c>
      <c r="O17" s="125">
        <f>IF(P17=0,0,Q17/P17)</f>
        <v>11.647058823529409</v>
      </c>
      <c r="P17" s="119">
        <v>17</v>
      </c>
      <c r="Q17" s="107">
        <v>197.99999999999997</v>
      </c>
    </row>
    <row r="18" spans="1:17" x14ac:dyDescent="0.4">
      <c r="A18" s="55" t="s">
        <v>12</v>
      </c>
      <c r="B18" s="47">
        <v>82</v>
      </c>
      <c r="C18" s="39">
        <f>IF(B$17=0,0,B18/B$17)</f>
        <v>0.40594059405940597</v>
      </c>
      <c r="E18" s="63" t="s">
        <v>180</v>
      </c>
      <c r="F18" s="60" t="s">
        <v>183</v>
      </c>
      <c r="G18" s="47">
        <v>4</v>
      </c>
      <c r="H18" s="133">
        <f>IF(B$17=0,0,G18/B$17)</f>
        <v>1.9801980198019802E-2</v>
      </c>
      <c r="I18" s="94">
        <v>2</v>
      </c>
      <c r="K18" s="38">
        <v>16</v>
      </c>
      <c r="L18" s="99">
        <v>-50.3</v>
      </c>
      <c r="N18" s="115" t="s">
        <v>172</v>
      </c>
      <c r="O18" s="125">
        <f>IF(P18=0,0,Q18/P18)</f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120</v>
      </c>
      <c r="C19" s="39">
        <f>IF(B$17=0,0,B19/B$17)</f>
        <v>0.59405940594059403</v>
      </c>
      <c r="E19" s="63" t="s">
        <v>76</v>
      </c>
      <c r="F19" s="60" t="s">
        <v>31</v>
      </c>
      <c r="G19" s="47">
        <v>3</v>
      </c>
      <c r="H19" s="133">
        <f>IF(B$17=0,0,G19/B$17)</f>
        <v>1.4851485148514851E-2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>IF(P19=0,0,Q19/P19)</f>
        <v>2.3171428571428523</v>
      </c>
      <c r="P19" s="119">
        <v>35</v>
      </c>
      <c r="Q19" s="107">
        <v>81.099999999999824</v>
      </c>
    </row>
    <row r="20" spans="1:17" x14ac:dyDescent="0.4">
      <c r="A20" s="55" t="s">
        <v>13</v>
      </c>
      <c r="B20" s="47">
        <v>119</v>
      </c>
      <c r="C20" s="39">
        <f>IF(B$3=0,0,B20/B$3)</f>
        <v>0.17024320457796852</v>
      </c>
      <c r="E20" s="63" t="s">
        <v>80</v>
      </c>
      <c r="F20" s="60" t="s">
        <v>35</v>
      </c>
      <c r="G20" s="47">
        <v>3</v>
      </c>
      <c r="H20" s="133">
        <f>IF(B$17=0,0,G20/B$17)</f>
        <v>1.4851485148514851E-2</v>
      </c>
      <c r="I20" s="94">
        <v>6</v>
      </c>
      <c r="K20" s="38">
        <v>18</v>
      </c>
      <c r="L20" s="99">
        <v>-76.099999999999994</v>
      </c>
      <c r="N20" s="115" t="s">
        <v>127</v>
      </c>
      <c r="O20" s="125">
        <f>IF(P20=0,0,Q20/P20)</f>
        <v>1.9137254901960827</v>
      </c>
      <c r="P20" s="119">
        <v>51</v>
      </c>
      <c r="Q20" s="107">
        <v>97.600000000000222</v>
      </c>
    </row>
    <row r="21" spans="1:17" x14ac:dyDescent="0.4">
      <c r="A21" s="55" t="s">
        <v>193</v>
      </c>
      <c r="B21" s="47">
        <v>6</v>
      </c>
      <c r="C21" s="135">
        <v>1</v>
      </c>
      <c r="E21" s="63" t="s">
        <v>85</v>
      </c>
      <c r="F21" s="60" t="s">
        <v>40</v>
      </c>
      <c r="G21" s="47">
        <v>2</v>
      </c>
      <c r="H21" s="133">
        <f>IF(B$17=0,0,G21/B$17)</f>
        <v>9.9009900990099011E-3</v>
      </c>
      <c r="I21" s="94">
        <v>1</v>
      </c>
      <c r="K21" s="38">
        <v>19</v>
      </c>
      <c r="L21" s="99">
        <v>0.60000000000000853</v>
      </c>
      <c r="N21" s="115" t="s">
        <v>202</v>
      </c>
      <c r="O21" s="125">
        <f>IF(P21=0,0,Q21/P21)</f>
        <v>-8.9999999999999947</v>
      </c>
      <c r="P21" s="119">
        <v>3</v>
      </c>
      <c r="Q21" s="107">
        <v>-26.999999999999986</v>
      </c>
    </row>
    <row r="22" spans="1:17" x14ac:dyDescent="0.4">
      <c r="A22" s="55" t="s">
        <v>194</v>
      </c>
      <c r="B22" s="47">
        <v>24</v>
      </c>
      <c r="C22" s="135">
        <v>24</v>
      </c>
      <c r="E22" s="63" t="s">
        <v>93</v>
      </c>
      <c r="F22" s="60" t="s">
        <v>48</v>
      </c>
      <c r="G22" s="47">
        <v>2</v>
      </c>
      <c r="H22" s="133">
        <f>IF(B$17=0,0,G22/B$17)</f>
        <v>9.9009900990099011E-3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>IF(P22=0,0,Q22/P22)</f>
        <v>-27.985714285714288</v>
      </c>
      <c r="P22" s="119">
        <v>14</v>
      </c>
      <c r="Q22" s="107">
        <v>-391.8</v>
      </c>
    </row>
    <row r="23" spans="1:17" x14ac:dyDescent="0.4">
      <c r="A23" s="55" t="s">
        <v>5</v>
      </c>
      <c r="B23" s="51">
        <f>IF(B$17=0,0,C23/B$17)</f>
        <v>10054.455445544554</v>
      </c>
      <c r="C23" s="41">
        <v>2031000</v>
      </c>
      <c r="E23" s="63" t="s">
        <v>74</v>
      </c>
      <c r="F23" s="60" t="s">
        <v>29</v>
      </c>
      <c r="G23" s="47">
        <v>1</v>
      </c>
      <c r="H23" s="133">
        <f>IF(B$17=0,0,G23/B$17)</f>
        <v>4.9504950495049506E-3</v>
      </c>
      <c r="I23" s="94">
        <v>6</v>
      </c>
      <c r="K23" s="38">
        <v>21</v>
      </c>
      <c r="L23" s="99">
        <v>-3.0999999999999917</v>
      </c>
      <c r="N23" s="115" t="s">
        <v>224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-8092.4369747899163</v>
      </c>
      <c r="C24" s="45">
        <v>-963000</v>
      </c>
      <c r="E24" s="63" t="s">
        <v>88</v>
      </c>
      <c r="F24" s="60" t="s">
        <v>43</v>
      </c>
      <c r="G24" s="47">
        <v>1</v>
      </c>
      <c r="H24" s="133">
        <f>IF(B$17=0,0,G24/B$17)</f>
        <v>4.9504950495049506E-3</v>
      </c>
      <c r="I24" s="94">
        <v>3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94</v>
      </c>
      <c r="F25" s="60" t="s">
        <v>49</v>
      </c>
      <c r="G25" s="47">
        <v>1</v>
      </c>
      <c r="H25" s="133">
        <f>IF(B$17=0,0,G25/B$17)</f>
        <v>4.9504950495049506E-3</v>
      </c>
      <c r="I25" s="94">
        <v>2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75</v>
      </c>
      <c r="F26" s="60" t="s">
        <v>30</v>
      </c>
      <c r="G26" s="47">
        <v>0</v>
      </c>
      <c r="H26" s="133">
        <f>IF(B$17=0,0,G26/B$17)</f>
        <v>0</v>
      </c>
      <c r="I26" s="94">
        <v>6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1.4306151645207439E-3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-39.999999999999986</v>
      </c>
    </row>
    <row r="28" spans="1:17" x14ac:dyDescent="0.4">
      <c r="E28" s="63" t="s">
        <v>78</v>
      </c>
      <c r="F28" s="60" t="s">
        <v>33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BD0BA-E07C-42E4-9AFB-CB7ED8CD5116}">
  <sheetPr codeName="Sheet15"/>
  <dimension ref="A1:Q6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66</v>
      </c>
      <c r="C2" s="147"/>
      <c r="E2" s="62" t="s">
        <v>65</v>
      </c>
      <c r="F2" s="59" t="s">
        <v>21</v>
      </c>
      <c r="G2" s="46">
        <v>69</v>
      </c>
      <c r="H2" s="132">
        <f>IF(B$17=0,0,G2/B$17)</f>
        <v>0.33823529411764708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696.969696969697</v>
      </c>
      <c r="P2" s="118">
        <v>66</v>
      </c>
      <c r="Q2" s="102">
        <v>46000</v>
      </c>
    </row>
    <row r="3" spans="1:17" x14ac:dyDescent="0.4">
      <c r="A3" s="55" t="s">
        <v>8</v>
      </c>
      <c r="B3" s="148">
        <v>573</v>
      </c>
      <c r="C3" s="149"/>
      <c r="E3" s="63" t="s">
        <v>66</v>
      </c>
      <c r="F3" s="60" t="s">
        <v>22</v>
      </c>
      <c r="G3" s="47">
        <v>24</v>
      </c>
      <c r="H3" s="133">
        <f>IF(B$17=0,0,G3/B$17)</f>
        <v>0.11764705882352941</v>
      </c>
      <c r="I3" s="94">
        <v>5</v>
      </c>
      <c r="K3" s="38">
        <v>1</v>
      </c>
      <c r="L3" s="99">
        <v>11.1</v>
      </c>
      <c r="N3" s="115" t="s">
        <v>133</v>
      </c>
      <c r="O3" s="122">
        <f t="shared" si="0"/>
        <v>-662.12121212121212</v>
      </c>
      <c r="P3" s="119">
        <v>66</v>
      </c>
      <c r="Q3" s="103">
        <v>-43700</v>
      </c>
    </row>
    <row r="4" spans="1:17" x14ac:dyDescent="0.4">
      <c r="A4" s="55" t="s">
        <v>6</v>
      </c>
      <c r="B4" s="150">
        <v>-5.400000000000027</v>
      </c>
      <c r="C4" s="151"/>
      <c r="E4" s="63" t="s">
        <v>67</v>
      </c>
      <c r="F4" s="60" t="s">
        <v>23</v>
      </c>
      <c r="G4" s="47">
        <v>132</v>
      </c>
      <c r="H4" s="133">
        <f>IF(B$17=0,0,G4/B$17)</f>
        <v>0.6470588235294118</v>
      </c>
      <c r="I4" s="94">
        <v>10</v>
      </c>
      <c r="K4" s="38">
        <v>2</v>
      </c>
      <c r="L4" s="99">
        <v>-7.7000000000000011</v>
      </c>
      <c r="N4" s="115" t="s">
        <v>134</v>
      </c>
      <c r="O4" s="122">
        <f t="shared" si="0"/>
        <v>-1530.5084745762713</v>
      </c>
      <c r="P4" s="119">
        <v>59</v>
      </c>
      <c r="Q4" s="103">
        <v>-90300</v>
      </c>
    </row>
    <row r="5" spans="1:17" x14ac:dyDescent="0.4">
      <c r="A5" s="55" t="s">
        <v>7</v>
      </c>
      <c r="B5" s="152">
        <f>IF(B$2=0,0,B$4/B$2)</f>
        <v>-8.1818181818182234E-2</v>
      </c>
      <c r="C5" s="153"/>
      <c r="E5" s="63" t="s">
        <v>68</v>
      </c>
      <c r="F5" s="60" t="s">
        <v>24</v>
      </c>
      <c r="G5" s="47">
        <v>33</v>
      </c>
      <c r="H5" s="133">
        <f>IF(B$17=0,0,G5/B$17)</f>
        <v>0.16176470588235295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641.07142857142856</v>
      </c>
      <c r="P5" s="119">
        <v>56</v>
      </c>
      <c r="Q5" s="103">
        <v>35900</v>
      </c>
    </row>
    <row r="6" spans="1:17" x14ac:dyDescent="0.4">
      <c r="A6" s="55" t="s">
        <v>1</v>
      </c>
      <c r="B6" s="142">
        <f>IF(B$2=0,0,(B$7*1+B$8*2+B$9*3)/B$2)</f>
        <v>2.0303030303030303</v>
      </c>
      <c r="C6" s="143"/>
      <c r="E6" s="63" t="s">
        <v>69</v>
      </c>
      <c r="F6" s="60" t="s">
        <v>12</v>
      </c>
      <c r="G6" s="47">
        <v>54</v>
      </c>
      <c r="H6" s="133">
        <f>IF(B$17=0,0,G6/B$17)</f>
        <v>0.26470588235294118</v>
      </c>
      <c r="I6" s="94">
        <v>11</v>
      </c>
      <c r="K6" s="38">
        <v>4</v>
      </c>
      <c r="L6" s="99">
        <v>34.9</v>
      </c>
      <c r="N6" s="115" t="s">
        <v>136</v>
      </c>
      <c r="O6" s="122">
        <f t="shared" si="0"/>
        <v>861.11111111111109</v>
      </c>
      <c r="P6" s="119">
        <v>54</v>
      </c>
      <c r="Q6" s="103">
        <v>46500</v>
      </c>
    </row>
    <row r="7" spans="1:17" x14ac:dyDescent="0.4">
      <c r="A7" s="55" t="s">
        <v>2</v>
      </c>
      <c r="B7" s="47">
        <v>18</v>
      </c>
      <c r="C7" s="39">
        <f>IF(B$2=0,0,B7/B$2)</f>
        <v>0.27272727272727271</v>
      </c>
      <c r="E7" s="63" t="s">
        <v>70</v>
      </c>
      <c r="F7" s="60" t="s">
        <v>25</v>
      </c>
      <c r="G7" s="47">
        <v>30</v>
      </c>
      <c r="H7" s="133">
        <f>IF(B$17=0,0,G7/B$17)</f>
        <v>0.14705882352941177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-258.69565217391306</v>
      </c>
      <c r="P7" s="120">
        <v>46</v>
      </c>
      <c r="Q7" s="104">
        <v>-11900</v>
      </c>
    </row>
    <row r="8" spans="1:17" x14ac:dyDescent="0.4">
      <c r="A8" s="55" t="s">
        <v>3</v>
      </c>
      <c r="B8" s="47">
        <v>28</v>
      </c>
      <c r="C8" s="39">
        <f>IF(B$2=0,0,B8/B$2)</f>
        <v>0.42424242424242425</v>
      </c>
      <c r="E8" s="63" t="s">
        <v>71</v>
      </c>
      <c r="F8" s="60" t="s">
        <v>26</v>
      </c>
      <c r="G8" s="47">
        <v>13</v>
      </c>
      <c r="H8" s="133">
        <f>IF(B$17=0,0,G8/B$17)</f>
        <v>6.3725490196078427E-2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20</v>
      </c>
      <c r="C9" s="40">
        <f t="shared" ref="C9" si="1">IF(B$2=0,0,B9/B$2)</f>
        <v>0.30303030303030304</v>
      </c>
      <c r="E9" s="63" t="s">
        <v>72</v>
      </c>
      <c r="F9" s="60" t="s">
        <v>27</v>
      </c>
      <c r="G9" s="47">
        <v>16</v>
      </c>
      <c r="H9" s="133">
        <f>IF(B$17=0,0,G9/B$17)</f>
        <v>7.8431372549019607E-2</v>
      </c>
      <c r="I9" s="94">
        <v>3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4.5454545454545456E-2</v>
      </c>
      <c r="E10" s="63" t="s">
        <v>73</v>
      </c>
      <c r="F10" s="60" t="s">
        <v>28</v>
      </c>
      <c r="G10" s="47">
        <v>116</v>
      </c>
      <c r="H10" s="133">
        <f>IF(B$17=0,0,G10/B$17)</f>
        <v>0.56862745098039214</v>
      </c>
      <c r="I10" s="94">
        <v>6</v>
      </c>
      <c r="K10" s="38">
        <v>8</v>
      </c>
      <c r="L10" s="99">
        <v>-29.5</v>
      </c>
      <c r="N10" s="114" t="s">
        <v>164</v>
      </c>
      <c r="O10" s="124">
        <f>IF(P10=0,0,Q10/P10)</f>
        <v>-7.6722222222222252</v>
      </c>
      <c r="P10" s="118">
        <v>18</v>
      </c>
      <c r="Q10" s="106">
        <v>-138.10000000000005</v>
      </c>
    </row>
    <row r="11" spans="1:17" x14ac:dyDescent="0.4">
      <c r="A11" s="56" t="s">
        <v>140</v>
      </c>
      <c r="B11" s="48">
        <v>7</v>
      </c>
      <c r="C11" s="40">
        <f>IF(B$2=0,0,B11/B$2)</f>
        <v>0.10606060606060606</v>
      </c>
      <c r="E11" s="63" t="s">
        <v>74</v>
      </c>
      <c r="F11" s="60" t="s">
        <v>29</v>
      </c>
      <c r="G11" s="47">
        <v>1</v>
      </c>
      <c r="H11" s="133">
        <f>IF(B$17=0,0,G11/B$17)</f>
        <v>4.9019607843137254E-3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5.8090909090909086</v>
      </c>
      <c r="P11" s="119">
        <v>22</v>
      </c>
      <c r="Q11" s="107">
        <v>127.8</v>
      </c>
    </row>
    <row r="12" spans="1:17" x14ac:dyDescent="0.4">
      <c r="A12" s="57" t="s">
        <v>160</v>
      </c>
      <c r="B12" s="49">
        <v>5</v>
      </c>
      <c r="C12" s="42">
        <f>IF(B$2=0,0,B12/B$2)</f>
        <v>7.575757575757576E-2</v>
      </c>
      <c r="E12" s="63" t="s">
        <v>75</v>
      </c>
      <c r="F12" s="60" t="s">
        <v>30</v>
      </c>
      <c r="G12" s="47">
        <v>1</v>
      </c>
      <c r="H12" s="133">
        <f>IF(B$17=0,0,G12/B$17)</f>
        <v>4.9019607843137254E-3</v>
      </c>
      <c r="I12" s="94">
        <v>4</v>
      </c>
      <c r="K12" s="38">
        <v>10</v>
      </c>
      <c r="L12" s="99">
        <v>24.200000000000003</v>
      </c>
      <c r="N12" s="116" t="s">
        <v>166</v>
      </c>
      <c r="O12" s="126">
        <f>IF(P12=0,0,Q12/P12)</f>
        <v>0.1884615384615384</v>
      </c>
      <c r="P12" s="120">
        <v>26</v>
      </c>
      <c r="Q12" s="108">
        <v>4.8999999999999986</v>
      </c>
    </row>
    <row r="13" spans="1:17" x14ac:dyDescent="0.4">
      <c r="A13" s="58" t="s">
        <v>122</v>
      </c>
      <c r="B13" s="50">
        <v>126</v>
      </c>
      <c r="C13" s="44">
        <f>IF(B$3=0,0,B13/B$3)</f>
        <v>0.21989528795811519</v>
      </c>
      <c r="E13" s="63" t="s">
        <v>76</v>
      </c>
      <c r="F13" s="60" t="s">
        <v>31</v>
      </c>
      <c r="G13" s="47">
        <v>1</v>
      </c>
      <c r="H13" s="133">
        <f>IF(B$17=0,0,G13/B$17)</f>
        <v>4.9019607843137254E-3</v>
      </c>
      <c r="I13" s="94">
        <v>6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168</v>
      </c>
      <c r="C14" s="39">
        <f>IF(B$3=0,0,B14/B$3)</f>
        <v>0.29319371727748689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69</v>
      </c>
      <c r="C15" s="37">
        <f>IF(B$13=0,0,B15/B$13)</f>
        <v>0.54761904761904767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</v>
      </c>
      <c r="N15" s="114" t="s">
        <v>129</v>
      </c>
      <c r="O15" s="124">
        <f t="shared" ref="O15:O23" si="2">IF(P15=0,0,Q15/P15)</f>
        <v>39.468749999999986</v>
      </c>
      <c r="P15" s="118">
        <v>16</v>
      </c>
      <c r="Q15" s="106">
        <v>631.49999999999977</v>
      </c>
    </row>
    <row r="16" spans="1:17" x14ac:dyDescent="0.4">
      <c r="A16" s="54" t="s">
        <v>125</v>
      </c>
      <c r="B16" s="46">
        <v>73</v>
      </c>
      <c r="C16" s="37">
        <f>IF(B$14=0,0,B16/B$14)</f>
        <v>0.43452380952380953</v>
      </c>
      <c r="E16" s="63" t="s">
        <v>79</v>
      </c>
      <c r="F16" s="60" t="s">
        <v>34</v>
      </c>
      <c r="G16" s="47">
        <v>2</v>
      </c>
      <c r="H16" s="133">
        <f>IF(B$17=0,0,G16/B$17)</f>
        <v>9.8039215686274508E-3</v>
      </c>
      <c r="I16" s="94">
        <v>10</v>
      </c>
      <c r="K16" s="38">
        <v>14</v>
      </c>
      <c r="L16" s="99">
        <v>-12.3</v>
      </c>
      <c r="N16" s="115" t="s">
        <v>225</v>
      </c>
      <c r="O16" s="125">
        <f t="shared" si="2"/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204</v>
      </c>
      <c r="C17" s="37">
        <f>IF(B$3=0,0,B17/B$3)</f>
        <v>0.35602094240837695</v>
      </c>
      <c r="E17" s="63" t="s">
        <v>80</v>
      </c>
      <c r="F17" s="60" t="s">
        <v>35</v>
      </c>
      <c r="G17" s="47">
        <v>3</v>
      </c>
      <c r="H17" s="133">
        <f>IF(B$17=0,0,G17/B$17)</f>
        <v>1.4705882352941176E-2</v>
      </c>
      <c r="I17" s="94">
        <v>7</v>
      </c>
      <c r="K17" s="38">
        <v>15</v>
      </c>
      <c r="L17" s="99">
        <v>-80.3</v>
      </c>
      <c r="N17" s="115" t="s">
        <v>186</v>
      </c>
      <c r="O17" s="125">
        <f t="shared" si="2"/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87</v>
      </c>
      <c r="C18" s="39">
        <f>IF(B$17=0,0,B18/B$17)</f>
        <v>0.4264705882352941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202</v>
      </c>
      <c r="O18" s="125">
        <f t="shared" si="2"/>
        <v>16.449999999999996</v>
      </c>
      <c r="P18" s="119">
        <v>4</v>
      </c>
      <c r="Q18" s="107">
        <v>65.799999999999983</v>
      </c>
    </row>
    <row r="19" spans="1:17" x14ac:dyDescent="0.4">
      <c r="A19" s="55" t="s">
        <v>11</v>
      </c>
      <c r="B19" s="47">
        <v>117</v>
      </c>
      <c r="C19" s="39">
        <f>IF(B$17=0,0,B19/B$17)</f>
        <v>0.57352941176470584</v>
      </c>
      <c r="E19" s="63" t="s">
        <v>82</v>
      </c>
      <c r="F19" s="60" t="s">
        <v>37</v>
      </c>
      <c r="G19" s="47">
        <v>7</v>
      </c>
      <c r="H19" s="133">
        <f>IF(B$17=0,0,G19/B$17)</f>
        <v>3.4313725490196081E-2</v>
      </c>
      <c r="I19" s="94">
        <v>3</v>
      </c>
      <c r="K19" s="38">
        <v>17</v>
      </c>
      <c r="L19" s="99">
        <v>-55.099999999999994</v>
      </c>
      <c r="N19" s="115" t="s">
        <v>173</v>
      </c>
      <c r="O19" s="125">
        <f t="shared" si="2"/>
        <v>6.6333333333333302</v>
      </c>
      <c r="P19" s="119">
        <v>12</v>
      </c>
      <c r="Q19" s="107">
        <v>79.599999999999966</v>
      </c>
    </row>
    <row r="20" spans="1:17" x14ac:dyDescent="0.4">
      <c r="A20" s="55" t="s">
        <v>13</v>
      </c>
      <c r="B20" s="47">
        <v>76</v>
      </c>
      <c r="C20" s="39">
        <f>IF(B$3=0,0,B20/B$3)</f>
        <v>0.13263525305410123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177</v>
      </c>
      <c r="O20" s="125">
        <f t="shared" si="2"/>
        <v>5.1416666666666657</v>
      </c>
      <c r="P20" s="119">
        <v>12</v>
      </c>
      <c r="Q20" s="107">
        <v>61.699999999999989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84</v>
      </c>
      <c r="F21" s="60" t="s">
        <v>39</v>
      </c>
      <c r="G21" s="47">
        <v>12</v>
      </c>
      <c r="H21" s="133">
        <f>IF(B$17=0,0,G21/B$17)</f>
        <v>5.8823529411764705E-2</v>
      </c>
      <c r="I21" s="94">
        <v>3</v>
      </c>
      <c r="K21" s="38">
        <v>19</v>
      </c>
      <c r="L21" s="99">
        <v>29.200000000000003</v>
      </c>
      <c r="N21" s="115" t="s">
        <v>128</v>
      </c>
      <c r="O21" s="125">
        <f t="shared" si="2"/>
        <v>-0.21290322580645182</v>
      </c>
      <c r="P21" s="119">
        <v>31</v>
      </c>
      <c r="Q21" s="107">
        <v>-6.6000000000000068</v>
      </c>
    </row>
    <row r="22" spans="1:17" x14ac:dyDescent="0.4">
      <c r="A22" s="55" t="s">
        <v>194</v>
      </c>
      <c r="B22" s="47">
        <v>23</v>
      </c>
      <c r="C22" s="135">
        <v>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43</v>
      </c>
      <c r="N22" s="115" t="s">
        <v>171</v>
      </c>
      <c r="O22" s="125">
        <f t="shared" si="2"/>
        <v>-4.6450000000000005</v>
      </c>
      <c r="P22" s="119">
        <v>20</v>
      </c>
      <c r="Q22" s="107">
        <v>-92.9</v>
      </c>
    </row>
    <row r="23" spans="1:17" x14ac:dyDescent="0.4">
      <c r="A23" s="55" t="s">
        <v>5</v>
      </c>
      <c r="B23" s="51">
        <f>IF(B$17=0,0,C23/B$17)</f>
        <v>6635.7843137254904</v>
      </c>
      <c r="C23" s="41">
        <v>1353700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  <c r="N23" s="115" t="s">
        <v>127</v>
      </c>
      <c r="O23" s="125">
        <f t="shared" si="2"/>
        <v>-24.126470588235296</v>
      </c>
      <c r="P23" s="119">
        <v>34</v>
      </c>
      <c r="Q23" s="107">
        <v>-820.30000000000007</v>
      </c>
    </row>
    <row r="24" spans="1:17" x14ac:dyDescent="0.4">
      <c r="A24" s="57" t="s">
        <v>14</v>
      </c>
      <c r="B24" s="52">
        <f>IF(B$20=0,0,C24/B$20)</f>
        <v>-9127.6315789473683</v>
      </c>
      <c r="C24" s="45">
        <v>-693700</v>
      </c>
      <c r="E24" s="63" t="s">
        <v>87</v>
      </c>
      <c r="F24" s="60" t="s">
        <v>42</v>
      </c>
      <c r="G24" s="47">
        <v>8</v>
      </c>
      <c r="H24" s="133">
        <f>IF(B$17=0,0,G24/B$17)</f>
        <v>3.9215686274509803E-2</v>
      </c>
      <c r="I24" s="94">
        <v>8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4.9019607843137254E-3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1.7452006980802793E-3</v>
      </c>
      <c r="E27" s="63" t="s">
        <v>90</v>
      </c>
      <c r="F27" s="60" t="s">
        <v>45</v>
      </c>
      <c r="G27" s="47">
        <v>17</v>
      </c>
      <c r="H27" s="133">
        <f>IF(B$17=0,0,G27/B$17)</f>
        <v>8.3333333333333329E-2</v>
      </c>
      <c r="I27" s="94">
        <v>11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4.9019607843137254E-3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9.8039215686274508E-3</v>
      </c>
      <c r="I29" s="94">
        <v>7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111.4</v>
      </c>
    </row>
    <row r="51" spans="5:12" x14ac:dyDescent="0.4">
      <c r="E51" s="64" t="s">
        <v>181</v>
      </c>
      <c r="F51" s="61" t="s">
        <v>182</v>
      </c>
      <c r="G51" s="49">
        <v>90</v>
      </c>
      <c r="H51" s="134">
        <f>IF(B$17=0,0,G51/B$17)</f>
        <v>0.44117647058823528</v>
      </c>
      <c r="I51" s="95">
        <v>2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</sheetData>
  <sortState ref="E2:I68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B1133-79AB-45FE-8D71-29DF8E5C13DA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44</v>
      </c>
      <c r="C2" s="147"/>
      <c r="E2" s="62" t="s">
        <v>65</v>
      </c>
      <c r="F2" s="59" t="s">
        <v>21</v>
      </c>
      <c r="G2" s="46">
        <v>50</v>
      </c>
      <c r="H2" s="132">
        <f>IF(B$17=0,0,G2/B$17)</f>
        <v>0.43859649122807015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-3038.6363636363635</v>
      </c>
      <c r="P2" s="118">
        <v>44</v>
      </c>
      <c r="Q2" s="102">
        <v>-133700</v>
      </c>
    </row>
    <row r="3" spans="1:17" x14ac:dyDescent="0.4">
      <c r="A3" s="55" t="s">
        <v>8</v>
      </c>
      <c r="B3" s="148">
        <v>382</v>
      </c>
      <c r="C3" s="149"/>
      <c r="E3" s="63" t="s">
        <v>66</v>
      </c>
      <c r="F3" s="60" t="s">
        <v>22</v>
      </c>
      <c r="G3" s="47">
        <v>9</v>
      </c>
      <c r="H3" s="133">
        <f>IF(B$17=0,0,G3/B$17)</f>
        <v>7.8947368421052627E-2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0"/>
        <v>2159.090909090909</v>
      </c>
      <c r="P3" s="119">
        <v>44</v>
      </c>
      <c r="Q3" s="103">
        <v>95000</v>
      </c>
    </row>
    <row r="4" spans="1:17" x14ac:dyDescent="0.4">
      <c r="A4" s="55" t="s">
        <v>6</v>
      </c>
      <c r="B4" s="150">
        <v>-262.59999999999997</v>
      </c>
      <c r="C4" s="151"/>
      <c r="E4" s="63" t="s">
        <v>67</v>
      </c>
      <c r="F4" s="60" t="s">
        <v>23</v>
      </c>
      <c r="G4" s="47">
        <v>77</v>
      </c>
      <c r="H4" s="133">
        <f>IF(B$17=0,0,G4/B$17)</f>
        <v>0.67543859649122806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-738.09523809523807</v>
      </c>
      <c r="P4" s="119">
        <v>42</v>
      </c>
      <c r="Q4" s="103">
        <v>-31000</v>
      </c>
    </row>
    <row r="5" spans="1:17" x14ac:dyDescent="0.4">
      <c r="A5" s="55" t="s">
        <v>7</v>
      </c>
      <c r="B5" s="152">
        <f>IF(B$2=0,0,B$4/B$2)</f>
        <v>-5.9681818181818178</v>
      </c>
      <c r="C5" s="153"/>
      <c r="E5" s="63" t="s">
        <v>68</v>
      </c>
      <c r="F5" s="60" t="s">
        <v>24</v>
      </c>
      <c r="G5" s="47">
        <v>28</v>
      </c>
      <c r="H5" s="133">
        <f>IF(B$17=0,0,G5/B$17)</f>
        <v>0.24561403508771928</v>
      </c>
      <c r="I5" s="94">
        <v>11</v>
      </c>
      <c r="K5" s="38">
        <v>3</v>
      </c>
      <c r="L5" s="99">
        <v>-149</v>
      </c>
      <c r="N5" s="115" t="s">
        <v>135</v>
      </c>
      <c r="O5" s="122">
        <f t="shared" si="0"/>
        <v>-3689.7435897435898</v>
      </c>
      <c r="P5" s="119">
        <v>39</v>
      </c>
      <c r="Q5" s="103">
        <v>-143900</v>
      </c>
    </row>
    <row r="6" spans="1:17" x14ac:dyDescent="0.4">
      <c r="A6" s="55" t="s">
        <v>1</v>
      </c>
      <c r="B6" s="142">
        <f>IF(B$2=0,0,(B$7*1+B$8*2+B$9*3)/B$2)</f>
        <v>2.0681818181818183</v>
      </c>
      <c r="C6" s="143"/>
      <c r="E6" s="63" t="s">
        <v>69</v>
      </c>
      <c r="F6" s="60" t="s">
        <v>12</v>
      </c>
      <c r="G6" s="47">
        <v>44</v>
      </c>
      <c r="H6" s="133">
        <f>IF(B$17=0,0,G6/B$17)</f>
        <v>0.38596491228070173</v>
      </c>
      <c r="I6" s="94">
        <v>4</v>
      </c>
      <c r="K6" s="38">
        <v>4</v>
      </c>
      <c r="L6" s="99">
        <v>-150.6</v>
      </c>
      <c r="N6" s="115" t="s">
        <v>136</v>
      </c>
      <c r="O6" s="122">
        <f t="shared" si="0"/>
        <v>-128.57142857142858</v>
      </c>
      <c r="P6" s="119">
        <v>35</v>
      </c>
      <c r="Q6" s="103">
        <v>-4500</v>
      </c>
    </row>
    <row r="7" spans="1:17" x14ac:dyDescent="0.4">
      <c r="A7" s="55" t="s">
        <v>2</v>
      </c>
      <c r="B7" s="47">
        <v>13</v>
      </c>
      <c r="C7" s="39">
        <f>IF(B$2=0,0,B7/B$2)</f>
        <v>0.29545454545454547</v>
      </c>
      <c r="E7" s="63" t="s">
        <v>70</v>
      </c>
      <c r="F7" s="60" t="s">
        <v>25</v>
      </c>
      <c r="G7" s="47">
        <v>13</v>
      </c>
      <c r="H7" s="133">
        <f>IF(B$17=0,0,G7/B$17)</f>
        <v>0.11403508771929824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632.35294117647061</v>
      </c>
      <c r="P7" s="120">
        <v>34</v>
      </c>
      <c r="Q7" s="104">
        <v>21500</v>
      </c>
    </row>
    <row r="8" spans="1:17" x14ac:dyDescent="0.4">
      <c r="A8" s="55" t="s">
        <v>3</v>
      </c>
      <c r="B8" s="47">
        <v>15</v>
      </c>
      <c r="C8" s="39">
        <f>IF(B$2=0,0,B8/B$2)</f>
        <v>0.34090909090909088</v>
      </c>
      <c r="E8" s="63" t="s">
        <v>71</v>
      </c>
      <c r="F8" s="60" t="s">
        <v>26</v>
      </c>
      <c r="G8" s="47">
        <v>14</v>
      </c>
      <c r="H8" s="133">
        <f>IF(B$17=0,0,G8/B$17)</f>
        <v>0.12280701754385964</v>
      </c>
      <c r="I8" s="94">
        <v>2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0.36363636363636365</v>
      </c>
      <c r="E9" s="63" t="s">
        <v>72</v>
      </c>
      <c r="F9" s="60" t="s">
        <v>27</v>
      </c>
      <c r="G9" s="47">
        <v>6</v>
      </c>
      <c r="H9" s="133">
        <f>IF(B$17=0,0,G9/B$17)</f>
        <v>5.2631578947368418E-2</v>
      </c>
      <c r="I9" s="94">
        <v>9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0.11363636363636363</v>
      </c>
      <c r="E10" s="63" t="s">
        <v>73</v>
      </c>
      <c r="F10" s="60" t="s">
        <v>28</v>
      </c>
      <c r="G10" s="47">
        <v>59</v>
      </c>
      <c r="H10" s="133">
        <f>IF(B$17=0,0,G10/B$17)</f>
        <v>0.51754385964912286</v>
      </c>
      <c r="I10" s="94">
        <v>7</v>
      </c>
      <c r="K10" s="38">
        <v>8</v>
      </c>
      <c r="L10" s="99">
        <v>-219.59999999999997</v>
      </c>
      <c r="N10" s="114" t="s">
        <v>164</v>
      </c>
      <c r="O10" s="124">
        <f>IF(P10=0,0,Q10/P10)</f>
        <v>-3.9</v>
      </c>
      <c r="P10" s="118">
        <v>11</v>
      </c>
      <c r="Q10" s="106">
        <v>-42.9</v>
      </c>
    </row>
    <row r="11" spans="1:17" x14ac:dyDescent="0.4">
      <c r="A11" s="56" t="s">
        <v>140</v>
      </c>
      <c r="B11" s="48">
        <v>3</v>
      </c>
      <c r="C11" s="40">
        <f>IF(B$2=0,0,B11/B$2)</f>
        <v>6.8181818181818177E-2</v>
      </c>
      <c r="E11" s="63" t="s">
        <v>74</v>
      </c>
      <c r="F11" s="60" t="s">
        <v>29</v>
      </c>
      <c r="G11" s="47">
        <v>2</v>
      </c>
      <c r="H11" s="133">
        <f>IF(B$17=0,0,G11/B$17)</f>
        <v>1.7543859649122806E-2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4.5454545454545456E-2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88</v>
      </c>
      <c r="C13" s="44">
        <f>IF(B$3=0,0,B13/B$3)</f>
        <v>0.23036649214659685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98</v>
      </c>
      <c r="C14" s="39">
        <f>IF(B$3=0,0,B14/B$3)</f>
        <v>0.25654450261780104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52</v>
      </c>
      <c r="C15" s="37">
        <f>IF(B$13=0,0,B15/B$13)</f>
        <v>0.59090909090909094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2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33</v>
      </c>
      <c r="C16" s="37">
        <f>IF(B$14=0,0,B16/B$14)</f>
        <v>0.33673469387755101</v>
      </c>
      <c r="E16" s="63" t="s">
        <v>79</v>
      </c>
      <c r="F16" s="60" t="s">
        <v>34</v>
      </c>
      <c r="G16" s="47">
        <v>2</v>
      </c>
      <c r="H16" s="133">
        <f>IF(B$17=0,0,G16/B$17)</f>
        <v>1.7543859649122806E-2</v>
      </c>
      <c r="I16" s="94">
        <v>8</v>
      </c>
      <c r="K16" s="38">
        <v>14</v>
      </c>
      <c r="L16" s="99">
        <v>-269.99999999999994</v>
      </c>
      <c r="N16" s="115" t="s">
        <v>128</v>
      </c>
      <c r="O16" s="125">
        <f t="shared" si="2"/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114</v>
      </c>
      <c r="C17" s="37">
        <f>IF(B$3=0,0,B17/B$3)</f>
        <v>0.29842931937172773</v>
      </c>
      <c r="E17" s="63" t="s">
        <v>80</v>
      </c>
      <c r="F17" s="60" t="s">
        <v>35</v>
      </c>
      <c r="G17" s="47">
        <v>2</v>
      </c>
      <c r="H17" s="133">
        <f>IF(B$17=0,0,G17/B$17)</f>
        <v>1.7543859649122806E-2</v>
      </c>
      <c r="I17" s="94">
        <v>4</v>
      </c>
      <c r="K17" s="38">
        <v>15</v>
      </c>
      <c r="L17" s="99">
        <v>-264.59999999999997</v>
      </c>
      <c r="N17" s="115" t="s">
        <v>172</v>
      </c>
      <c r="O17" s="125">
        <f t="shared" si="2"/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58</v>
      </c>
      <c r="C18" s="39">
        <f>IF(B$17=0,0,B18/B$17)</f>
        <v>0.50877192982456143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177</v>
      </c>
      <c r="O18" s="125">
        <f t="shared" si="2"/>
        <v>-10.050000000000001</v>
      </c>
      <c r="P18" s="119">
        <v>6</v>
      </c>
      <c r="Q18" s="107">
        <v>-60.300000000000004</v>
      </c>
    </row>
    <row r="19" spans="1:17" x14ac:dyDescent="0.4">
      <c r="A19" s="55" t="s">
        <v>11</v>
      </c>
      <c r="B19" s="47">
        <v>56</v>
      </c>
      <c r="C19" s="39">
        <f>IF(B$17=0,0,B19/B$17)</f>
        <v>0.49122807017543857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171</v>
      </c>
      <c r="O19" s="125">
        <f t="shared" si="2"/>
        <v>-11.647058823529409</v>
      </c>
      <c r="P19" s="119">
        <v>17</v>
      </c>
      <c r="Q19" s="107">
        <v>-197.99999999999997</v>
      </c>
    </row>
    <row r="20" spans="1:17" x14ac:dyDescent="0.4">
      <c r="A20" s="55" t="s">
        <v>13</v>
      </c>
      <c r="B20" s="47">
        <v>71</v>
      </c>
      <c r="C20" s="39">
        <f>IF(B$3=0,0,B20/B$3)</f>
        <v>0.18586387434554974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127</v>
      </c>
      <c r="O20" s="125">
        <f t="shared" si="2"/>
        <v>-21.768181818181816</v>
      </c>
      <c r="P20" s="119">
        <v>22</v>
      </c>
      <c r="Q20" s="107">
        <v>-478.9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84</v>
      </c>
      <c r="F21" s="60" t="s">
        <v>39</v>
      </c>
      <c r="G21" s="47">
        <v>2</v>
      </c>
      <c r="H21" s="133">
        <f>IF(B$17=0,0,G21/B$17)</f>
        <v>1.7543859649122806E-2</v>
      </c>
      <c r="I21" s="94">
        <v>10</v>
      </c>
      <c r="K21" s="38">
        <v>19</v>
      </c>
      <c r="L21" s="99">
        <v>-188.59999999999994</v>
      </c>
      <c r="N21" s="115" t="s">
        <v>202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-182.79999999999993</v>
      </c>
      <c r="N22" s="115" t="s">
        <v>185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6998.2456140350878</v>
      </c>
      <c r="C23" s="41">
        <v>797800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-7866.1971830985913</v>
      </c>
      <c r="C24" s="45">
        <v>-558500</v>
      </c>
      <c r="E24" s="63" t="s">
        <v>87</v>
      </c>
      <c r="F24" s="60" t="s">
        <v>42</v>
      </c>
      <c r="G24" s="47">
        <v>4</v>
      </c>
      <c r="H24" s="133">
        <f>IF(B$17=0,0,G24/B$17)</f>
        <v>3.5087719298245612E-2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8.771929824561403E-3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5.235602094240838E-3</v>
      </c>
      <c r="E27" s="63" t="s">
        <v>90</v>
      </c>
      <c r="F27" s="60" t="s">
        <v>45</v>
      </c>
      <c r="G27" s="47">
        <v>14</v>
      </c>
      <c r="H27" s="133">
        <f>IF(B$17=0,0,G27/B$17)</f>
        <v>0.12280701754385964</v>
      </c>
      <c r="I27" s="94">
        <v>8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1.7543859649122806E-2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2</v>
      </c>
      <c r="H50" s="133">
        <f>IF(B$17=0,0,G50/B$17)</f>
        <v>1.7543859649122806E-2</v>
      </c>
      <c r="I50" s="94">
        <v>4</v>
      </c>
    </row>
    <row r="51" spans="5:9" x14ac:dyDescent="0.4">
      <c r="E51" s="64" t="s">
        <v>181</v>
      </c>
      <c r="F51" s="61" t="s">
        <v>182</v>
      </c>
      <c r="G51" s="49">
        <v>45</v>
      </c>
      <c r="H51" s="134">
        <f>IF(B$17=0,0,G51/B$17)</f>
        <v>0.39473684210526316</v>
      </c>
      <c r="I51" s="95">
        <v>9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2FBDC-342F-4138-BB74-3BE4FEDC9D1A}">
  <sheetPr codeName="Sheet19"/>
  <dimension ref="A1:Q5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51</v>
      </c>
      <c r="C2" s="147"/>
      <c r="E2" s="62" t="s">
        <v>65</v>
      </c>
      <c r="F2" s="59" t="s">
        <v>21</v>
      </c>
      <c r="G2" s="46">
        <v>73</v>
      </c>
      <c r="H2" s="132">
        <f>IF(B$17=0,0,G2/B$17)</f>
        <v>0.58870967741935487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327.45098039215685</v>
      </c>
      <c r="P2" s="118">
        <v>51</v>
      </c>
      <c r="Q2" s="102">
        <v>16700</v>
      </c>
    </row>
    <row r="3" spans="1:17" x14ac:dyDescent="0.4">
      <c r="A3" s="55" t="s">
        <v>8</v>
      </c>
      <c r="B3" s="148">
        <v>415</v>
      </c>
      <c r="C3" s="149"/>
      <c r="E3" s="63" t="s">
        <v>66</v>
      </c>
      <c r="F3" s="60" t="s">
        <v>22</v>
      </c>
      <c r="G3" s="47">
        <v>15</v>
      </c>
      <c r="H3" s="133">
        <f>IF(B$17=0,0,G3/B$17)</f>
        <v>0.12096774193548387</v>
      </c>
      <c r="I3" s="94">
        <v>5</v>
      </c>
      <c r="K3" s="38">
        <v>1</v>
      </c>
      <c r="L3" s="99">
        <v>-1.9</v>
      </c>
      <c r="N3" s="115" t="s">
        <v>133</v>
      </c>
      <c r="O3" s="122">
        <f t="shared" si="0"/>
        <v>908.33333333333337</v>
      </c>
      <c r="P3" s="119">
        <v>48</v>
      </c>
      <c r="Q3" s="103">
        <v>43600</v>
      </c>
    </row>
    <row r="4" spans="1:17" x14ac:dyDescent="0.4">
      <c r="A4" s="55" t="s">
        <v>6</v>
      </c>
      <c r="B4" s="150">
        <v>20.999999999999993</v>
      </c>
      <c r="C4" s="151"/>
      <c r="E4" s="63" t="s">
        <v>67</v>
      </c>
      <c r="F4" s="60" t="s">
        <v>23</v>
      </c>
      <c r="G4" s="47">
        <v>71</v>
      </c>
      <c r="H4" s="133">
        <f>IF(B$17=0,0,G4/B$17)</f>
        <v>0.57258064516129037</v>
      </c>
      <c r="I4" s="94">
        <v>12</v>
      </c>
      <c r="K4" s="38">
        <v>2</v>
      </c>
      <c r="L4" s="99">
        <v>30</v>
      </c>
      <c r="N4" s="115" t="s">
        <v>134</v>
      </c>
      <c r="O4" s="122">
        <f t="shared" si="0"/>
        <v>-1147.7272727272727</v>
      </c>
      <c r="P4" s="119">
        <v>44</v>
      </c>
      <c r="Q4" s="103">
        <v>-50500</v>
      </c>
    </row>
    <row r="5" spans="1:17" x14ac:dyDescent="0.4">
      <c r="A5" s="55" t="s">
        <v>7</v>
      </c>
      <c r="B5" s="152">
        <f>IF(B$2=0,0,B$4/B$2)</f>
        <v>0.41176470588235281</v>
      </c>
      <c r="C5" s="153"/>
      <c r="E5" s="63" t="s">
        <v>68</v>
      </c>
      <c r="F5" s="60" t="s">
        <v>24</v>
      </c>
      <c r="G5" s="47">
        <v>44</v>
      </c>
      <c r="H5" s="133">
        <f>IF(B$17=0,0,G5/B$17)</f>
        <v>0.35483870967741937</v>
      </c>
      <c r="I5" s="94">
        <v>7</v>
      </c>
      <c r="K5" s="38">
        <v>3</v>
      </c>
      <c r="L5" s="99">
        <v>-10</v>
      </c>
      <c r="N5" s="115" t="s">
        <v>135</v>
      </c>
      <c r="O5" s="122">
        <f t="shared" si="0"/>
        <v>1418.6046511627908</v>
      </c>
      <c r="P5" s="119">
        <v>43</v>
      </c>
      <c r="Q5" s="103">
        <v>61000</v>
      </c>
    </row>
    <row r="6" spans="1:17" x14ac:dyDescent="0.4">
      <c r="A6" s="55" t="s">
        <v>1</v>
      </c>
      <c r="B6" s="142">
        <f>IF(B$2=0,0,(B$7*1+B$8*2+B$9*3)/B$2)</f>
        <v>1.9607843137254901</v>
      </c>
      <c r="C6" s="143"/>
      <c r="E6" s="63" t="s">
        <v>69</v>
      </c>
      <c r="F6" s="60" t="s">
        <v>12</v>
      </c>
      <c r="G6" s="47">
        <v>38</v>
      </c>
      <c r="H6" s="133">
        <f>IF(B$17=0,0,G6/B$17)</f>
        <v>0.30645161290322581</v>
      </c>
      <c r="I6" s="94">
        <v>10</v>
      </c>
      <c r="K6" s="38">
        <v>4</v>
      </c>
      <c r="L6" s="99">
        <v>40</v>
      </c>
      <c r="N6" s="115" t="s">
        <v>136</v>
      </c>
      <c r="O6" s="122">
        <f t="shared" si="0"/>
        <v>-1741.0256410256411</v>
      </c>
      <c r="P6" s="119">
        <v>39</v>
      </c>
      <c r="Q6" s="103">
        <v>-67900</v>
      </c>
    </row>
    <row r="7" spans="1:17" x14ac:dyDescent="0.4">
      <c r="A7" s="55" t="s">
        <v>2</v>
      </c>
      <c r="B7" s="47">
        <v>19</v>
      </c>
      <c r="C7" s="39">
        <f>IF(B$2=0,0,B7/B$2)</f>
        <v>0.37254901960784315</v>
      </c>
      <c r="E7" s="63" t="s">
        <v>70</v>
      </c>
      <c r="F7" s="60" t="s">
        <v>25</v>
      </c>
      <c r="G7" s="47">
        <v>21</v>
      </c>
      <c r="H7" s="133">
        <f>IF(B$17=0,0,G7/B$17)</f>
        <v>0.16935483870967741</v>
      </c>
      <c r="I7" s="94">
        <v>9</v>
      </c>
      <c r="K7" s="38">
        <v>5</v>
      </c>
      <c r="L7" s="99">
        <v>35.4</v>
      </c>
      <c r="N7" s="116" t="s">
        <v>137</v>
      </c>
      <c r="O7" s="123">
        <f t="shared" si="0"/>
        <v>571.875</v>
      </c>
      <c r="P7" s="120">
        <v>32</v>
      </c>
      <c r="Q7" s="104">
        <v>18300</v>
      </c>
    </row>
    <row r="8" spans="1:17" x14ac:dyDescent="0.4">
      <c r="A8" s="55" t="s">
        <v>3</v>
      </c>
      <c r="B8" s="47">
        <v>15</v>
      </c>
      <c r="C8" s="39">
        <f>IF(B$2=0,0,B8/B$2)</f>
        <v>0.29411764705882354</v>
      </c>
      <c r="E8" s="63" t="s">
        <v>71</v>
      </c>
      <c r="F8" s="60" t="s">
        <v>26</v>
      </c>
      <c r="G8" s="47">
        <v>8</v>
      </c>
      <c r="H8" s="133">
        <f>IF(B$17=0,0,G8/B$17)</f>
        <v>6.4516129032258063E-2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6</v>
      </c>
      <c r="H9" s="133">
        <f>IF(B$17=0,0,G9/B$17)</f>
        <v>4.8387096774193547E-2</v>
      </c>
      <c r="I9" s="94">
        <v>10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0.17647058823529413</v>
      </c>
      <c r="E10" s="63" t="s">
        <v>73</v>
      </c>
      <c r="F10" s="60" t="s">
        <v>28</v>
      </c>
      <c r="G10" s="47">
        <v>56</v>
      </c>
      <c r="H10" s="133">
        <f>IF(B$17=0,0,G10/B$17)</f>
        <v>0.45161290322580644</v>
      </c>
      <c r="I10" s="94">
        <v>11</v>
      </c>
      <c r="K10" s="38">
        <v>8</v>
      </c>
      <c r="L10" s="99">
        <v>-87.1</v>
      </c>
      <c r="N10" s="114" t="s">
        <v>164</v>
      </c>
      <c r="O10" s="124">
        <f>IF(P10=0,0,Q10/P10)</f>
        <v>-0.67142857142857204</v>
      </c>
      <c r="P10" s="118">
        <v>14</v>
      </c>
      <c r="Q10" s="106">
        <v>-9.4000000000000092</v>
      </c>
    </row>
    <row r="11" spans="1:17" x14ac:dyDescent="0.4">
      <c r="A11" s="56" t="s">
        <v>140</v>
      </c>
      <c r="B11" s="48">
        <v>5</v>
      </c>
      <c r="C11" s="40">
        <f>IF(B$2=0,0,B11/B$2)</f>
        <v>9.8039215686274508E-2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5.5473684210526315</v>
      </c>
      <c r="P11" s="119">
        <v>19</v>
      </c>
      <c r="Q11" s="107">
        <v>105.39999999999999</v>
      </c>
    </row>
    <row r="12" spans="1:17" x14ac:dyDescent="0.4">
      <c r="A12" s="57" t="s">
        <v>160</v>
      </c>
      <c r="B12" s="49">
        <v>5</v>
      </c>
      <c r="C12" s="42">
        <f>IF(B$2=0,0,B12/B$2)</f>
        <v>9.8039215686274508E-2</v>
      </c>
      <c r="E12" s="63" t="s">
        <v>75</v>
      </c>
      <c r="F12" s="60" t="s">
        <v>30</v>
      </c>
      <c r="G12" s="47">
        <v>1</v>
      </c>
      <c r="H12" s="133">
        <f>IF(B$17=0,0,G12/B$17)</f>
        <v>8.0645161290322578E-3</v>
      </c>
      <c r="I12" s="94">
        <v>2</v>
      </c>
      <c r="K12" s="38">
        <v>10</v>
      </c>
      <c r="L12" s="99">
        <v>-183.7</v>
      </c>
      <c r="N12" s="116" t="s">
        <v>166</v>
      </c>
      <c r="O12" s="126">
        <f>IF(P12=0,0,Q12/P12)</f>
        <v>-4.166666666666667</v>
      </c>
      <c r="P12" s="120">
        <v>18</v>
      </c>
      <c r="Q12" s="108">
        <v>-75</v>
      </c>
    </row>
    <row r="13" spans="1:17" x14ac:dyDescent="0.4">
      <c r="A13" s="58" t="s">
        <v>122</v>
      </c>
      <c r="B13" s="50">
        <v>110</v>
      </c>
      <c r="C13" s="44">
        <f>IF(B$3=0,0,B13/B$3)</f>
        <v>0.26506024096385544</v>
      </c>
      <c r="E13" s="63" t="s">
        <v>76</v>
      </c>
      <c r="F13" s="60" t="s">
        <v>31</v>
      </c>
      <c r="G13" s="47">
        <v>1</v>
      </c>
      <c r="H13" s="133">
        <f>IF(B$17=0,0,G13/B$17)</f>
        <v>8.0645161290322578E-3</v>
      </c>
      <c r="I13" s="94">
        <v>3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78</v>
      </c>
      <c r="C14" s="39">
        <f>IF(B$3=0,0,B14/B$3)</f>
        <v>0.18795180722891566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73</v>
      </c>
      <c r="C15" s="37">
        <f>IF(B$13=0,0,B15/B$13)</f>
        <v>0.66363636363636369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-209.59999999999997</v>
      </c>
      <c r="N15" s="114" t="s">
        <v>202</v>
      </c>
      <c r="O15" s="124">
        <f t="shared" ref="O15:O23" si="2">IF(P15=0,0,Q15/P15)</f>
        <v>59.050000000000004</v>
      </c>
      <c r="P15" s="118">
        <v>2</v>
      </c>
      <c r="Q15" s="106">
        <v>118.10000000000001</v>
      </c>
    </row>
    <row r="16" spans="1:17" x14ac:dyDescent="0.4">
      <c r="A16" s="54" t="s">
        <v>125</v>
      </c>
      <c r="B16" s="46">
        <v>29</v>
      </c>
      <c r="C16" s="37">
        <f>IF(B$14=0,0,B16/B$14)</f>
        <v>0.37179487179487181</v>
      </c>
      <c r="E16" s="63" t="s">
        <v>79</v>
      </c>
      <c r="F16" s="60" t="s">
        <v>34</v>
      </c>
      <c r="G16" s="47">
        <v>5</v>
      </c>
      <c r="H16" s="133">
        <f>IF(B$17=0,0,G16/B$17)</f>
        <v>4.0322580645161289E-2</v>
      </c>
      <c r="I16" s="94">
        <v>4</v>
      </c>
      <c r="K16" s="38">
        <v>14</v>
      </c>
      <c r="L16" s="99">
        <v>-178.49999999999997</v>
      </c>
      <c r="N16" s="115" t="s">
        <v>171</v>
      </c>
      <c r="O16" s="125">
        <f t="shared" si="2"/>
        <v>27.985714285714291</v>
      </c>
      <c r="P16" s="119">
        <v>14</v>
      </c>
      <c r="Q16" s="107">
        <v>391.80000000000007</v>
      </c>
    </row>
    <row r="17" spans="1:17" x14ac:dyDescent="0.4">
      <c r="A17" s="54" t="s">
        <v>10</v>
      </c>
      <c r="B17" s="46">
        <f>B19+B18</f>
        <v>124</v>
      </c>
      <c r="C17" s="37">
        <f>IF(B$3=0,0,B17/B$3)</f>
        <v>0.29879518072289157</v>
      </c>
      <c r="E17" s="63" t="s">
        <v>80</v>
      </c>
      <c r="F17" s="60" t="s">
        <v>35</v>
      </c>
      <c r="G17" s="47">
        <v>2</v>
      </c>
      <c r="H17" s="133">
        <f>IF(B$17=0,0,G17/B$17)</f>
        <v>1.6129032258064516E-2</v>
      </c>
      <c r="I17" s="94">
        <v>4</v>
      </c>
      <c r="K17" s="38">
        <v>15</v>
      </c>
      <c r="L17" s="99">
        <v>-146.19999999999999</v>
      </c>
      <c r="N17" s="115" t="s">
        <v>186</v>
      </c>
      <c r="O17" s="125">
        <f t="shared" si="2"/>
        <v>20.240000000000002</v>
      </c>
      <c r="P17" s="119">
        <v>5</v>
      </c>
      <c r="Q17" s="107">
        <v>101.20000000000002</v>
      </c>
    </row>
    <row r="18" spans="1:17" x14ac:dyDescent="0.4">
      <c r="A18" s="55" t="s">
        <v>12</v>
      </c>
      <c r="B18" s="47">
        <v>54</v>
      </c>
      <c r="C18" s="39">
        <f>IF(B$17=0,0,B18/B$17)</f>
        <v>0.43548387096774194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-153.29999999999998</v>
      </c>
      <c r="N18" s="115" t="s">
        <v>128</v>
      </c>
      <c r="O18" s="125">
        <f t="shared" si="2"/>
        <v>12.139130434782608</v>
      </c>
      <c r="P18" s="119">
        <v>23</v>
      </c>
      <c r="Q18" s="107">
        <v>279.2</v>
      </c>
    </row>
    <row r="19" spans="1:17" x14ac:dyDescent="0.4">
      <c r="A19" s="55" t="s">
        <v>11</v>
      </c>
      <c r="B19" s="47">
        <v>70</v>
      </c>
      <c r="C19" s="39">
        <f>IF(B$17=0,0,B19/B$17)</f>
        <v>0.56451612903225812</v>
      </c>
      <c r="E19" s="63" t="s">
        <v>82</v>
      </c>
      <c r="F19" s="60" t="s">
        <v>37</v>
      </c>
      <c r="G19" s="47">
        <v>3</v>
      </c>
      <c r="H19" s="133">
        <f>IF(B$17=0,0,G19/B$17)</f>
        <v>2.4193548387096774E-2</v>
      </c>
      <c r="I19" s="94">
        <v>8</v>
      </c>
      <c r="K19" s="38">
        <v>17</v>
      </c>
      <c r="L19" s="99">
        <v>-161.19999999999999</v>
      </c>
      <c r="N19" s="115" t="s">
        <v>173</v>
      </c>
      <c r="O19" s="125">
        <f t="shared" si="2"/>
        <v>10.050000000000002</v>
      </c>
      <c r="P19" s="119">
        <v>6</v>
      </c>
      <c r="Q19" s="107">
        <v>60.300000000000011</v>
      </c>
    </row>
    <row r="20" spans="1:17" x14ac:dyDescent="0.4">
      <c r="A20" s="55" t="s">
        <v>13</v>
      </c>
      <c r="B20" s="47">
        <v>67</v>
      </c>
      <c r="C20" s="39">
        <f>IF(B$3=0,0,B20/B$3)</f>
        <v>0.16144578313253011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129</v>
      </c>
      <c r="O20" s="125">
        <f t="shared" si="2"/>
        <v>1.4142857142857115</v>
      </c>
      <c r="P20" s="119">
        <v>14</v>
      </c>
      <c r="Q20" s="107">
        <v>19.799999999999962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5</v>
      </c>
      <c r="H21" s="133">
        <f>IF(B$17=0,0,G21/B$17)</f>
        <v>4.0322580645161289E-2</v>
      </c>
      <c r="I21" s="94">
        <v>8</v>
      </c>
      <c r="K21" s="38">
        <v>19</v>
      </c>
      <c r="L21" s="99">
        <v>-235.6</v>
      </c>
      <c r="N21" s="115" t="s">
        <v>172</v>
      </c>
      <c r="O21" s="125">
        <f t="shared" si="2"/>
        <v>-5.1416666666666702</v>
      </c>
      <c r="P21" s="119">
        <v>12</v>
      </c>
      <c r="Q21" s="107">
        <v>-61.700000000000038</v>
      </c>
    </row>
    <row r="22" spans="1:17" x14ac:dyDescent="0.4">
      <c r="A22" s="55" t="s">
        <v>194</v>
      </c>
      <c r="B22" s="47">
        <v>22</v>
      </c>
      <c r="C22" s="135">
        <v>13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-200.8</v>
      </c>
      <c r="N22" s="115" t="s">
        <v>127</v>
      </c>
      <c r="O22" s="125">
        <f t="shared" si="2"/>
        <v>-30.80869565217392</v>
      </c>
      <c r="P22" s="119">
        <v>23</v>
      </c>
      <c r="Q22" s="107">
        <v>-708.60000000000014</v>
      </c>
    </row>
    <row r="23" spans="1:17" x14ac:dyDescent="0.4">
      <c r="A23" s="55" t="s">
        <v>5</v>
      </c>
      <c r="B23" s="51">
        <f>IF(B$17=0,0,C23/B$17)</f>
        <v>8587.0967741935492</v>
      </c>
      <c r="C23" s="41">
        <v>1064800</v>
      </c>
      <c r="E23" s="63" t="s">
        <v>86</v>
      </c>
      <c r="F23" s="60" t="s">
        <v>41</v>
      </c>
      <c r="G23" s="47">
        <v>2</v>
      </c>
      <c r="H23" s="133">
        <f>IF(B$17=0,0,G23/B$17)</f>
        <v>1.6129032258064516E-2</v>
      </c>
      <c r="I23" s="94">
        <v>1</v>
      </c>
      <c r="K23" s="38">
        <v>21</v>
      </c>
      <c r="L23" s="99">
        <v>-188.60000000000002</v>
      </c>
      <c r="N23" s="115" t="s">
        <v>185</v>
      </c>
      <c r="O23" s="125">
        <f t="shared" si="2"/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-7931.3432835820895</v>
      </c>
      <c r="C24" s="45">
        <v>-531400</v>
      </c>
      <c r="E24" s="63" t="s">
        <v>87</v>
      </c>
      <c r="F24" s="60" t="s">
        <v>42</v>
      </c>
      <c r="G24" s="47">
        <v>3</v>
      </c>
      <c r="H24" s="133">
        <f>IF(B$17=0,0,G24/B$17)</f>
        <v>2.4193548387096774E-2</v>
      </c>
      <c r="I24" s="94">
        <v>10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103000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7.2289156626506026E-3</v>
      </c>
      <c r="E27" s="63" t="s">
        <v>90</v>
      </c>
      <c r="F27" s="60" t="s">
        <v>45</v>
      </c>
      <c r="G27" s="47">
        <v>13</v>
      </c>
      <c r="H27" s="133">
        <f>IF(B$17=0,0,G27/B$17)</f>
        <v>0.10483870967741936</v>
      </c>
      <c r="I27" s="94">
        <v>9</v>
      </c>
      <c r="K27" s="38">
        <v>25</v>
      </c>
      <c r="L27" s="99">
        <v>-151.5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8.0645161290322578E-3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92</v>
      </c>
      <c r="F29" s="60" t="s">
        <v>47</v>
      </c>
      <c r="G29" s="47">
        <v>5</v>
      </c>
      <c r="H29" s="133">
        <f>IF(B$17=0,0,G29/B$17)</f>
        <v>4.0322580645161289E-2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8.0645161290322578E-3</v>
      </c>
      <c r="I30" s="94">
        <v>2</v>
      </c>
      <c r="K30" s="38">
        <v>28</v>
      </c>
      <c r="L30" s="99">
        <v>7.2000000000000028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-99.6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-107.4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8.0645161290322578E-3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40.899999999999991</v>
      </c>
    </row>
    <row r="51" spans="5:12" x14ac:dyDescent="0.4">
      <c r="E51" s="64" t="s">
        <v>181</v>
      </c>
      <c r="F51" s="61" t="s">
        <v>182</v>
      </c>
      <c r="G51" s="49">
        <v>51</v>
      </c>
      <c r="H51" s="134">
        <f>IF(B$17=0,0,G51/B$17)</f>
        <v>0.41129032258064518</v>
      </c>
      <c r="I51" s="95">
        <v>5</v>
      </c>
      <c r="K51" s="38">
        <v>49</v>
      </c>
      <c r="L51" s="99">
        <v>-29.900000000000006</v>
      </c>
    </row>
    <row r="52" spans="5:12" x14ac:dyDescent="0.4"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</sheetData>
  <sortState ref="E2:I53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0C7C3-9624-41CA-8645-C823EEAEDF0F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10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53500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2</v>
      </c>
      <c r="H51" s="134">
        <f>IF(B$17=0,0,G51/B$17)</f>
        <v>0.4</v>
      </c>
      <c r="I51" s="95">
        <v>8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77EE8-AF3A-480B-A62F-DA784E761B62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14</v>
      </c>
      <c r="C2" s="147"/>
      <c r="E2" s="62" t="s">
        <v>65</v>
      </c>
      <c r="F2" s="59" t="s">
        <v>21</v>
      </c>
      <c r="G2" s="46">
        <v>19</v>
      </c>
      <c r="H2" s="132">
        <f>IF(B$17=0,0,G2/B$17)</f>
        <v>0.55882352941176472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-114.28571428571429</v>
      </c>
      <c r="P2" s="118">
        <v>14</v>
      </c>
      <c r="Q2" s="102">
        <v>-1600</v>
      </c>
    </row>
    <row r="3" spans="1:17" x14ac:dyDescent="0.4">
      <c r="A3" s="55" t="s">
        <v>8</v>
      </c>
      <c r="B3" s="148">
        <v>118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2.9411764705882353E-2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-328.57142857142856</v>
      </c>
      <c r="P3" s="119">
        <v>14</v>
      </c>
      <c r="Q3" s="103">
        <v>-4600</v>
      </c>
    </row>
    <row r="4" spans="1:17" x14ac:dyDescent="0.4">
      <c r="A4" s="55" t="s">
        <v>6</v>
      </c>
      <c r="B4" s="150">
        <v>-138.69999999999999</v>
      </c>
      <c r="C4" s="151"/>
      <c r="E4" s="63" t="s">
        <v>67</v>
      </c>
      <c r="F4" s="60" t="s">
        <v>23</v>
      </c>
      <c r="G4" s="47">
        <v>28</v>
      </c>
      <c r="H4" s="133">
        <f>IF(B$17=0,0,G4/B$17)</f>
        <v>0.82352941176470584</v>
      </c>
      <c r="I4" s="94">
        <v>4</v>
      </c>
      <c r="K4" s="38">
        <v>2</v>
      </c>
      <c r="L4" s="99">
        <v>-76.2</v>
      </c>
      <c r="N4" s="115" t="s">
        <v>134</v>
      </c>
      <c r="O4" s="122">
        <f t="shared" si="0"/>
        <v>-850</v>
      </c>
      <c r="P4" s="119">
        <v>14</v>
      </c>
      <c r="Q4" s="103">
        <v>-11900</v>
      </c>
    </row>
    <row r="5" spans="1:17" x14ac:dyDescent="0.4">
      <c r="A5" s="55" t="s">
        <v>7</v>
      </c>
      <c r="B5" s="152">
        <f>IF(B$2=0,0,B$4/B$2)</f>
        <v>-9.9071428571428566</v>
      </c>
      <c r="C5" s="153"/>
      <c r="E5" s="63" t="s">
        <v>68</v>
      </c>
      <c r="F5" s="60" t="s">
        <v>24</v>
      </c>
      <c r="G5" s="47">
        <v>7</v>
      </c>
      <c r="H5" s="133">
        <f>IF(B$17=0,0,G5/B$17)</f>
        <v>0.20588235294117646</v>
      </c>
      <c r="I5" s="94">
        <v>12</v>
      </c>
      <c r="K5" s="38">
        <v>3</v>
      </c>
      <c r="L5" s="99">
        <v>-78.400000000000006</v>
      </c>
      <c r="N5" s="115" t="s">
        <v>135</v>
      </c>
      <c r="O5" s="122">
        <f t="shared" si="0"/>
        <v>-4700</v>
      </c>
      <c r="P5" s="119">
        <v>13</v>
      </c>
      <c r="Q5" s="103">
        <v>-61100</v>
      </c>
    </row>
    <row r="6" spans="1:17" x14ac:dyDescent="0.4">
      <c r="A6" s="55" t="s">
        <v>1</v>
      </c>
      <c r="B6" s="142">
        <f>IF(B$2=0,0,(B$7*1+B$8*2+B$9*3)/B$2)</f>
        <v>2.1428571428571428</v>
      </c>
      <c r="C6" s="143"/>
      <c r="E6" s="63" t="s">
        <v>69</v>
      </c>
      <c r="F6" s="60" t="s">
        <v>12</v>
      </c>
      <c r="G6" s="47">
        <v>12</v>
      </c>
      <c r="H6" s="133">
        <f>IF(B$17=0,0,G6/B$17)</f>
        <v>0.35294117647058826</v>
      </c>
      <c r="I6" s="94">
        <v>6</v>
      </c>
      <c r="K6" s="38">
        <v>4</v>
      </c>
      <c r="L6" s="99">
        <v>-49.800000000000004</v>
      </c>
      <c r="N6" s="115" t="s">
        <v>136</v>
      </c>
      <c r="O6" s="122">
        <f t="shared" si="0"/>
        <v>1869.2307692307693</v>
      </c>
      <c r="P6" s="119">
        <v>13</v>
      </c>
      <c r="Q6" s="103">
        <v>24300</v>
      </c>
    </row>
    <row r="7" spans="1:17" x14ac:dyDescent="0.4">
      <c r="A7" s="55" t="s">
        <v>2</v>
      </c>
      <c r="B7" s="47">
        <v>5</v>
      </c>
      <c r="C7" s="39">
        <f>IF(B$2=0,0,B7/B$2)</f>
        <v>0.35714285714285715</v>
      </c>
      <c r="E7" s="63" t="s">
        <v>70</v>
      </c>
      <c r="F7" s="60" t="s">
        <v>25</v>
      </c>
      <c r="G7" s="47">
        <v>6</v>
      </c>
      <c r="H7" s="133">
        <f>IF(B$17=0,0,G7/B$17)</f>
        <v>0.17647058823529413</v>
      </c>
      <c r="I7" s="94">
        <v>7</v>
      </c>
      <c r="K7" s="38">
        <v>5</v>
      </c>
      <c r="L7" s="99">
        <v>-121</v>
      </c>
      <c r="N7" s="116" t="s">
        <v>137</v>
      </c>
      <c r="O7" s="123">
        <f t="shared" si="0"/>
        <v>-3650</v>
      </c>
      <c r="P7" s="120">
        <v>12</v>
      </c>
      <c r="Q7" s="104">
        <v>-43800</v>
      </c>
    </row>
    <row r="8" spans="1:17" x14ac:dyDescent="0.4">
      <c r="A8" s="55" t="s">
        <v>3</v>
      </c>
      <c r="B8" s="47">
        <v>2</v>
      </c>
      <c r="C8" s="39">
        <f>IF(B$2=0,0,B8/B$2)</f>
        <v>0.14285714285714285</v>
      </c>
      <c r="E8" s="63" t="s">
        <v>71</v>
      </c>
      <c r="F8" s="60" t="s">
        <v>26</v>
      </c>
      <c r="G8" s="47">
        <v>4</v>
      </c>
      <c r="H8" s="133">
        <f>IF(B$17=0,0,G8/B$17)</f>
        <v>0.11764705882352941</v>
      </c>
      <c r="I8" s="94">
        <v>4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2</v>
      </c>
      <c r="H9" s="133">
        <f>IF(B$17=0,0,G9/B$17)</f>
        <v>5.8823529411764705E-2</v>
      </c>
      <c r="I9" s="94">
        <v>7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0.14285714285714285</v>
      </c>
      <c r="E10" s="63" t="s">
        <v>73</v>
      </c>
      <c r="F10" s="60" t="s">
        <v>28</v>
      </c>
      <c r="G10" s="47">
        <v>21</v>
      </c>
      <c r="H10" s="133">
        <f>IF(B$17=0,0,G10/B$17)</f>
        <v>0.61764705882352944</v>
      </c>
      <c r="I10" s="94">
        <v>2</v>
      </c>
      <c r="K10" s="38">
        <v>8</v>
      </c>
      <c r="L10" s="99">
        <v>-170.5</v>
      </c>
      <c r="N10" s="114" t="s">
        <v>164</v>
      </c>
      <c r="O10" s="124">
        <f>IF(P10=0,0,Q10/P10)</f>
        <v>-12.83333333333333</v>
      </c>
      <c r="P10" s="118">
        <v>6</v>
      </c>
      <c r="Q10" s="106">
        <v>-76.999999999999986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1</v>
      </c>
      <c r="H11" s="133">
        <f>IF(B$17=0,0,G11/B$17)</f>
        <v>2.9411764705882353E-2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7.1428571428571425E-2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-197.5</v>
      </c>
      <c r="N12" s="116" t="s">
        <v>166</v>
      </c>
      <c r="O12" s="126">
        <f>IF(P12=0,0,Q12/P12)</f>
        <v>1.9250000000000003</v>
      </c>
      <c r="P12" s="120">
        <v>4</v>
      </c>
      <c r="Q12" s="108">
        <v>7.7000000000000011</v>
      </c>
    </row>
    <row r="13" spans="1:17" x14ac:dyDescent="0.4">
      <c r="A13" s="58" t="s">
        <v>122</v>
      </c>
      <c r="B13" s="50">
        <v>28</v>
      </c>
      <c r="C13" s="44">
        <f>IF(B$3=0,0,B13/B$3)</f>
        <v>0.23728813559322035</v>
      </c>
      <c r="E13" s="63" t="s">
        <v>76</v>
      </c>
      <c r="F13" s="60" t="s">
        <v>31</v>
      </c>
      <c r="G13" s="47">
        <v>1</v>
      </c>
      <c r="H13" s="133">
        <f>IF(B$17=0,0,G13/B$17)</f>
        <v>2.9411764705882353E-2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0.21186440677966101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</v>
      </c>
      <c r="C15" s="37">
        <f>IF(B$13=0,0,B15/B$13)</f>
        <v>0.6785714285714286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-144.79999999999998</v>
      </c>
      <c r="N15" s="114" t="s">
        <v>129</v>
      </c>
      <c r="O15" s="124">
        <f t="shared" ref="O15:O21" si="2">IF(P15=0,0,Q15/P15)</f>
        <v>51.9</v>
      </c>
      <c r="P15" s="118">
        <v>3</v>
      </c>
      <c r="Q15" s="106">
        <v>155.69999999999999</v>
      </c>
    </row>
    <row r="16" spans="1:17" x14ac:dyDescent="0.4">
      <c r="A16" s="54" t="s">
        <v>125</v>
      </c>
      <c r="B16" s="46">
        <v>11</v>
      </c>
      <c r="C16" s="37">
        <f>IF(B$14=0,0,B16/B$14)</f>
        <v>0.44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K16" s="38">
        <v>14</v>
      </c>
      <c r="L16" s="99">
        <v>-138.69999999999999</v>
      </c>
      <c r="N16" s="115" t="s">
        <v>172</v>
      </c>
      <c r="O16" s="125">
        <f t="shared" si="2"/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0.28813559322033899</v>
      </c>
      <c r="E17" s="63" t="s">
        <v>80</v>
      </c>
      <c r="F17" s="60" t="s">
        <v>35</v>
      </c>
      <c r="G17" s="47">
        <v>2</v>
      </c>
      <c r="H17" s="133">
        <f>IF(B$17=0,0,G17/B$17)</f>
        <v>5.8823529411764705E-2</v>
      </c>
      <c r="I17" s="94">
        <v>1</v>
      </c>
      <c r="N17" s="115" t="s">
        <v>127</v>
      </c>
      <c r="O17" s="125">
        <f t="shared" si="2"/>
        <v>-20.222222222222225</v>
      </c>
      <c r="P17" s="119">
        <v>9</v>
      </c>
      <c r="Q17" s="107">
        <v>-182.00000000000003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177</v>
      </c>
      <c r="O18" s="125">
        <f t="shared" si="2"/>
        <v>-20.240000000000002</v>
      </c>
      <c r="P18" s="119">
        <v>5</v>
      </c>
      <c r="Q18" s="107">
        <v>-101.20000000000002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82</v>
      </c>
      <c r="F19" s="60" t="s">
        <v>37</v>
      </c>
      <c r="G19" s="47">
        <v>1</v>
      </c>
      <c r="H19" s="133">
        <f>IF(B$17=0,0,G19/B$17)</f>
        <v>2.9411764705882353E-2</v>
      </c>
      <c r="I19" s="94">
        <v>6</v>
      </c>
      <c r="N19" s="115" t="s">
        <v>128</v>
      </c>
      <c r="O19" s="125">
        <f t="shared" si="2"/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26</v>
      </c>
      <c r="C20" s="39">
        <f>IF(B$3=0,0,B20/B$3)</f>
        <v>0.22033898305084745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4</v>
      </c>
      <c r="H21" s="133">
        <f>IF(B$17=0,0,G21/B$17)</f>
        <v>0.11764705882352941</v>
      </c>
      <c r="I21" s="94">
        <v>1</v>
      </c>
      <c r="N21" s="115" t="s">
        <v>185</v>
      </c>
      <c r="O21" s="125">
        <f t="shared" si="2"/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17</v>
      </c>
      <c r="C22" s="135">
        <v>7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7494.1176470588234</v>
      </c>
      <c r="C23" s="41">
        <v>254800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-8107.6923076923076</v>
      </c>
      <c r="C24" s="45">
        <v>-210800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62700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0.14705882352941177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12</v>
      </c>
      <c r="H51" s="134">
        <f>IF(B$17=0,0,G51/B$17)</f>
        <v>0.35294117647058826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FA9AF-16F8-4BBF-89F8-E69A75F604F1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65</v>
      </c>
      <c r="F2" s="59" t="s">
        <v>21</v>
      </c>
      <c r="G2" s="46">
        <v>12</v>
      </c>
      <c r="H2" s="132">
        <f>IF(B$17=0,0,G2/B$17)</f>
        <v>0.5714285714285714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-2071.4285714285716</v>
      </c>
      <c r="P2" s="118">
        <v>7</v>
      </c>
      <c r="Q2" s="102">
        <v>-14500</v>
      </c>
    </row>
    <row r="3" spans="1:17" x14ac:dyDescent="0.4">
      <c r="A3" s="55" t="s">
        <v>8</v>
      </c>
      <c r="B3" s="148">
        <v>69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4.7619047619047616E-2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2828.5714285714284</v>
      </c>
      <c r="P3" s="119">
        <v>7</v>
      </c>
      <c r="Q3" s="103">
        <v>19800</v>
      </c>
    </row>
    <row r="4" spans="1:17" x14ac:dyDescent="0.4">
      <c r="A4" s="55" t="s">
        <v>6</v>
      </c>
      <c r="B4" s="150">
        <v>-25.300000000000004</v>
      </c>
      <c r="C4" s="151"/>
      <c r="E4" s="63" t="s">
        <v>67</v>
      </c>
      <c r="F4" s="60" t="s">
        <v>23</v>
      </c>
      <c r="G4" s="47">
        <v>11</v>
      </c>
      <c r="H4" s="133">
        <f>IF(B$17=0,0,G4/B$17)</f>
        <v>0.52380952380952384</v>
      </c>
      <c r="I4" s="94">
        <v>12</v>
      </c>
      <c r="K4" s="38">
        <v>2</v>
      </c>
      <c r="L4" s="99">
        <v>-28.1</v>
      </c>
      <c r="N4" s="115" t="s">
        <v>134</v>
      </c>
      <c r="O4" s="122">
        <f t="shared" si="0"/>
        <v>-6371.4285714285716</v>
      </c>
      <c r="P4" s="119">
        <v>7</v>
      </c>
      <c r="Q4" s="103">
        <v>-44600</v>
      </c>
    </row>
    <row r="5" spans="1:17" x14ac:dyDescent="0.4">
      <c r="A5" s="55" t="s">
        <v>7</v>
      </c>
      <c r="B5" s="152">
        <f>IF(B$2=0,0,B$4/B$2)</f>
        <v>-3.6142857142857148</v>
      </c>
      <c r="C5" s="153"/>
      <c r="E5" s="63" t="s">
        <v>68</v>
      </c>
      <c r="F5" s="60" t="s">
        <v>24</v>
      </c>
      <c r="G5" s="47">
        <v>8</v>
      </c>
      <c r="H5" s="133">
        <f>IF(B$17=0,0,G5/B$17)</f>
        <v>0.38095238095238093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-2471.4285714285716</v>
      </c>
      <c r="P5" s="119">
        <v>7</v>
      </c>
      <c r="Q5" s="103">
        <v>-17300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8</v>
      </c>
      <c r="H6" s="133">
        <f>IF(B$17=0,0,G6/B$17)</f>
        <v>0.38095238095238093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4240</v>
      </c>
      <c r="P6" s="119">
        <v>5</v>
      </c>
      <c r="Q6" s="103">
        <v>21200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25</v>
      </c>
      <c r="G7" s="47">
        <v>5</v>
      </c>
      <c r="H7" s="133">
        <f>IF(B$17=0,0,G7/B$17)</f>
        <v>0.23809523809523808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2020</v>
      </c>
      <c r="P7" s="120">
        <v>5</v>
      </c>
      <c r="Q7" s="104">
        <v>10100</v>
      </c>
    </row>
    <row r="8" spans="1:17" x14ac:dyDescent="0.4">
      <c r="A8" s="55" t="s">
        <v>3</v>
      </c>
      <c r="B8" s="47">
        <v>5</v>
      </c>
      <c r="C8" s="39">
        <f>IF(B$2=0,0,B8/B$2)</f>
        <v>0.7142857142857143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0.14285714285714285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13</v>
      </c>
      <c r="H10" s="133">
        <f>IF(B$17=0,0,G10/B$17)</f>
        <v>0.61904761904761907</v>
      </c>
      <c r="I10" s="94">
        <v>1</v>
      </c>
      <c r="N10" s="114" t="s">
        <v>164</v>
      </c>
      <c r="O10" s="124">
        <f>IF(P10=0,0,Q10/P10)</f>
        <v>-12.3</v>
      </c>
      <c r="P10" s="118">
        <v>2</v>
      </c>
      <c r="Q10" s="106">
        <v>-24.6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17</v>
      </c>
      <c r="C13" s="44">
        <f>IF(B$3=0,0,B13/B$3)</f>
        <v>0.24637681159420291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0.27536231884057971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0.70588235294117652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79</v>
      </c>
      <c r="F16" s="60" t="s">
        <v>34</v>
      </c>
      <c r="G16" s="47">
        <v>2</v>
      </c>
      <c r="H16" s="133">
        <f>IF(B$17=0,0,G16/B$17)</f>
        <v>9.5238095238095233E-2</v>
      </c>
      <c r="I16" s="94">
        <v>2</v>
      </c>
      <c r="N16" s="115" t="s">
        <v>127</v>
      </c>
      <c r="O16" s="125">
        <f t="shared" si="2"/>
        <v>13.45</v>
      </c>
      <c r="P16" s="119">
        <v>2</v>
      </c>
      <c r="Q16" s="107">
        <v>26.9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0.30434782608695654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171</v>
      </c>
      <c r="O17" s="125">
        <f t="shared" si="2"/>
        <v>9</v>
      </c>
      <c r="P17" s="119">
        <v>3</v>
      </c>
      <c r="Q17" s="107">
        <v>27</v>
      </c>
    </row>
    <row r="18" spans="1:17" x14ac:dyDescent="0.4">
      <c r="A18" s="55" t="s">
        <v>12</v>
      </c>
      <c r="B18" s="47">
        <v>12</v>
      </c>
      <c r="C18" s="39">
        <f>IF(B$17=0,0,B18/B$17)</f>
        <v>0.5714285714285714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0.42857142857142855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-16.450000000000006</v>
      </c>
      <c r="P19" s="119">
        <v>4</v>
      </c>
      <c r="Q19" s="107">
        <v>-65.800000000000026</v>
      </c>
    </row>
    <row r="20" spans="1:17" x14ac:dyDescent="0.4">
      <c r="A20" s="55" t="s">
        <v>13</v>
      </c>
      <c r="B20" s="47">
        <v>12</v>
      </c>
      <c r="C20" s="39">
        <f>IF(B$3=0,0,B20/B$3)</f>
        <v>0.17391304347826086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-59.05</v>
      </c>
      <c r="P20" s="119">
        <v>2</v>
      </c>
      <c r="Q20" s="107">
        <v>-118.1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4.7619047619047616E-2</v>
      </c>
      <c r="I21" s="94">
        <v>4</v>
      </c>
    </row>
    <row r="22" spans="1:17" x14ac:dyDescent="0.4">
      <c r="A22" s="55" t="s">
        <v>194</v>
      </c>
      <c r="B22" s="47">
        <v>12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7438.0952380952385</v>
      </c>
      <c r="C23" s="41">
        <v>156200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-6683.333333333333</v>
      </c>
      <c r="C24" s="45">
        <v>-80200</v>
      </c>
      <c r="E24" s="63" t="s">
        <v>87</v>
      </c>
      <c r="F24" s="60" t="s">
        <v>42</v>
      </c>
      <c r="G24" s="47">
        <v>2</v>
      </c>
      <c r="H24" s="133">
        <f>IF(B$17=0,0,G24/B$17)</f>
        <v>9.5238095238095233E-2</v>
      </c>
      <c r="I24" s="94">
        <v>2</v>
      </c>
    </row>
    <row r="25" spans="1:17" x14ac:dyDescent="0.4">
      <c r="A25" s="90" t="s">
        <v>142</v>
      </c>
      <c r="B25" s="140">
        <v>4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54800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0.19047619047619047</v>
      </c>
      <c r="I27" s="94">
        <v>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7</v>
      </c>
      <c r="H51" s="134">
        <f>IF(B$17=0,0,G51/B$17)</f>
        <v>0.33333333333333331</v>
      </c>
      <c r="I51" s="95">
        <v>12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5B973-011A-4428-B1F2-AC68ABE15893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5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38">
        <v>48300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0.5</v>
      </c>
      <c r="I51" s="95">
        <v>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E32C9-A4A1-46D8-BCFE-4929E709E70D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250</v>
      </c>
      <c r="P2" s="118">
        <v>2</v>
      </c>
      <c r="Q2" s="102">
        <v>500</v>
      </c>
    </row>
    <row r="3" spans="1:17" x14ac:dyDescent="0.4">
      <c r="A3" s="55" t="s">
        <v>8</v>
      </c>
      <c r="B3" s="148">
        <v>17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-7000</v>
      </c>
      <c r="P3" s="119">
        <v>2</v>
      </c>
      <c r="Q3" s="103">
        <v>-14000</v>
      </c>
    </row>
    <row r="4" spans="1:17" x14ac:dyDescent="0.4">
      <c r="A4" s="55" t="s">
        <v>6</v>
      </c>
      <c r="B4" s="150">
        <v>-24.7</v>
      </c>
      <c r="C4" s="151"/>
      <c r="E4" s="63" t="s">
        <v>67</v>
      </c>
      <c r="F4" s="60" t="s">
        <v>23</v>
      </c>
      <c r="G4" s="47">
        <v>4</v>
      </c>
      <c r="H4" s="133">
        <f>IF(B$17=0,0,G4/B$17)</f>
        <v>0.8</v>
      </c>
      <c r="I4" s="94">
        <v>5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2</v>
      </c>
      <c r="Q4" s="103">
        <v>-6000</v>
      </c>
    </row>
    <row r="5" spans="1:17" x14ac:dyDescent="0.4">
      <c r="A5" s="55" t="s">
        <v>7</v>
      </c>
      <c r="B5" s="152">
        <f>IF(B$2=0,0,B$4/B$2)</f>
        <v>-12.35</v>
      </c>
      <c r="C5" s="153"/>
      <c r="E5" s="63" t="s">
        <v>68</v>
      </c>
      <c r="F5" s="60" t="s">
        <v>24</v>
      </c>
      <c r="G5" s="47">
        <v>3</v>
      </c>
      <c r="H5" s="133">
        <f>IF(B$17=0,0,G5/B$17)</f>
        <v>0.6</v>
      </c>
      <c r="I5" s="94">
        <v>1</v>
      </c>
      <c r="N5" s="115" t="s">
        <v>135</v>
      </c>
      <c r="O5" s="122">
        <f t="shared" si="0"/>
        <v>-1000</v>
      </c>
      <c r="P5" s="119">
        <v>2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2.5</v>
      </c>
      <c r="C6" s="143"/>
      <c r="E6" s="63" t="s">
        <v>69</v>
      </c>
      <c r="F6" s="60" t="s">
        <v>12</v>
      </c>
      <c r="G6" s="47">
        <v>3</v>
      </c>
      <c r="H6" s="133">
        <f>IF(B$17=0,0,G6/B$17)</f>
        <v>0.6</v>
      </c>
      <c r="I6" s="94">
        <v>1</v>
      </c>
      <c r="N6" s="115" t="s">
        <v>136</v>
      </c>
      <c r="O6" s="122">
        <f t="shared" si="0"/>
        <v>400</v>
      </c>
      <c r="P6" s="119">
        <v>2</v>
      </c>
      <c r="Q6" s="103">
        <v>800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1</v>
      </c>
      <c r="C8" s="39">
        <f>IF(B$2=0,0,B8/B$2)</f>
        <v>0.5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5</v>
      </c>
      <c r="H10" s="133">
        <f>IF(B$17=0,0,G10/B$17)</f>
        <v>1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12.3</v>
      </c>
      <c r="P12" s="120">
        <v>1</v>
      </c>
      <c r="Q12" s="108">
        <v>12.3</v>
      </c>
    </row>
    <row r="13" spans="1:17" x14ac:dyDescent="0.4">
      <c r="A13" s="58" t="s">
        <v>122</v>
      </c>
      <c r="B13" s="50">
        <v>3</v>
      </c>
      <c r="C13" s="44">
        <f>IF(B$3=0,0,B13/B$3)</f>
        <v>0.17647058823529413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0.23529411764705882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127</v>
      </c>
      <c r="O15" s="124">
        <f>IF(P15=0,0,Q15/P15)</f>
        <v>81.8</v>
      </c>
      <c r="P15" s="118">
        <v>1</v>
      </c>
      <c r="Q15" s="106">
        <v>81.8</v>
      </c>
    </row>
    <row r="16" spans="1:17" x14ac:dyDescent="0.4">
      <c r="A16" s="54" t="s">
        <v>125</v>
      </c>
      <c r="B16" s="46">
        <v>1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>IF(B$17=0,0,G16/B$17)</f>
        <v>0.2</v>
      </c>
      <c r="I16" s="94">
        <v>1</v>
      </c>
      <c r="N16" s="115" t="s">
        <v>172</v>
      </c>
      <c r="O16" s="125">
        <f>IF(P16=0,0,Q16/P16)</f>
        <v>-30.3</v>
      </c>
      <c r="P16" s="119">
        <v>1</v>
      </c>
      <c r="Q16" s="107">
        <v>-30.3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0.29411764705882354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129</v>
      </c>
      <c r="O17" s="125">
        <f>IF(P17=0,0,Q17/P17)</f>
        <v>-62.800000000000004</v>
      </c>
      <c r="P17" s="119">
        <v>2</v>
      </c>
      <c r="Q17" s="107">
        <v>-125.60000000000001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17" x14ac:dyDescent="0.4">
      <c r="A19" s="55" t="s">
        <v>11</v>
      </c>
      <c r="B19" s="47">
        <v>2</v>
      </c>
      <c r="C19" s="39">
        <f>IF(B$17=0,0,B19/B$17)</f>
        <v>0.4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4</v>
      </c>
      <c r="C20" s="39">
        <f>IF(B$3=0,0,B20/B$3)</f>
        <v>0.23529411764705882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1</v>
      </c>
      <c r="H21" s="133">
        <f>IF(B$17=0,0,G21/B$17)</f>
        <v>0.2</v>
      </c>
      <c r="I21" s="94">
        <v>1</v>
      </c>
    </row>
    <row r="22" spans="1:17" x14ac:dyDescent="0.4">
      <c r="A22" s="55" t="s">
        <v>194</v>
      </c>
      <c r="B22" s="47">
        <v>7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10600</v>
      </c>
      <c r="C23" s="41">
        <v>53000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-12425</v>
      </c>
      <c r="C24" s="45">
        <v>-49700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47300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0.2</v>
      </c>
      <c r="I51" s="95">
        <v>13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90463-E9D4-4F54-B586-E4B426072385}">
  <sheetPr codeName="Sheet3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BC944-47BA-4346-B964-30BC2BE8F181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447DE-E6BE-41F4-B1A4-C48C4100B371}">
  <sheetPr codeName="Sheet2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66B0C-D27F-4F50-A79C-9D446360AC94}">
  <sheetPr codeName="Sheet24"/>
  <dimension ref="A1:Q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30BF0-A030-447F-8EB7-62E22A795A03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D5A80-C2DB-4B73-89C9-6D1ED061EA8C}">
  <sheetPr codeName="Sheet20"/>
  <dimension ref="A1:Q5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0D0BA-9D02-4A98-9B14-A28D91D9D786}">
  <sheetPr codeName="Sheet18"/>
  <dimension ref="A1:Q4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91A8D-3CA3-4084-A762-9E13F4878089}">
  <sheetPr codeName="Sheet16"/>
  <dimension ref="A1:Q6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B78AC-2ABB-42B1-ACE0-8D066F7B562A}">
  <sheetPr codeName="Sheet14"/>
  <dimension ref="A1:Q8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01373-4BCA-45A0-9AE6-F03DDA15F41B}">
  <sheetPr codeName="Sheet12"/>
  <dimension ref="A1:Q7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522FB-3CE2-49D5-88E2-5076225D124B}">
  <sheetPr codeName="Sheet10"/>
  <dimension ref="A1:Q12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FA857-042E-4367-8664-591F8300E266}">
  <sheetPr codeName="Sheet8"/>
  <dimension ref="A1:Q13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82B1D-4505-4407-B9E5-483651E2F222}">
  <sheetPr codeName="Sheet6"/>
  <dimension ref="A1:Q20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2019-06-02T11:07:16Z</dcterms:modified>
</cp:coreProperties>
</file>