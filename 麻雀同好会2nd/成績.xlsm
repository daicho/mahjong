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6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8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9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1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2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3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4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96E9C63-F3BA-4648-8E99-DEF319843B1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91" r:id="rId6"/>
    <sheet name="だいち" sheetId="5293" r:id="rId7"/>
    <sheet name="りくと" sheetId="5295" r:id="rId8"/>
    <sheet name="ただ" sheetId="5297" r:id="rId9"/>
    <sheet name="れんたろう" sheetId="5299" r:id="rId10"/>
    <sheet name="たかの" sheetId="5301" r:id="rId11"/>
    <sheet name="ぱぱ" sheetId="5303" r:id="rId12"/>
    <sheet name="まっつん" sheetId="5305" r:id="rId13"/>
    <sheet name="あさひ" sheetId="5307" r:id="rId14"/>
    <sheet name="いっしー" sheetId="5309" r:id="rId15"/>
    <sheet name="ほたに" sheetId="5311" r:id="rId16"/>
    <sheet name="かわたつ" sheetId="5313" r:id="rId17"/>
    <sheet name="やがさき" sheetId="5315" r:id="rId18"/>
    <sheet name="Player1" sheetId="5317" r:id="rId19"/>
    <sheet name="Player2" sheetId="5319" r:id="rId20"/>
    <sheet name="Player3" sheetId="5321" r:id="rId21"/>
    <sheet name="Player32" sheetId="5322" state="hidden" r:id="rId22"/>
    <sheet name="Player22" sheetId="5320" state="hidden" r:id="rId23"/>
    <sheet name="Player12" sheetId="5318" state="hidden" r:id="rId24"/>
    <sheet name="やがさき2" sheetId="5316" state="hidden" r:id="rId25"/>
    <sheet name="かわたつ2" sheetId="5314" state="hidden" r:id="rId26"/>
    <sheet name="ほたに2" sheetId="5312" state="hidden" r:id="rId27"/>
    <sheet name="いっしー2" sheetId="5310" state="hidden" r:id="rId28"/>
    <sheet name="あさひ2" sheetId="5308" state="hidden" r:id="rId29"/>
    <sheet name="まっつん2" sheetId="5306" state="hidden" r:id="rId30"/>
    <sheet name="ぱぱ2" sheetId="5304" state="hidden" r:id="rId31"/>
    <sheet name="たかの2" sheetId="5302" state="hidden" r:id="rId32"/>
    <sheet name="れんたろう2" sheetId="5300" state="hidden" r:id="rId33"/>
    <sheet name="ただ2" sheetId="5298" state="hidden" r:id="rId34"/>
    <sheet name="りくと2" sheetId="5296" state="hidden" r:id="rId35"/>
    <sheet name="だいち2" sheetId="5294" state="hidden" r:id="rId36"/>
    <sheet name="全体2" sheetId="5292" state="hidden" r:id="rId37"/>
    <sheet name="通算スコア" sheetId="3331" state="hidden" r:id="rId38"/>
    <sheet name="平均スコア" sheetId="3493" state="hidden" r:id="rId39"/>
    <sheet name="平均順位" sheetId="3183" state="hidden" r:id="rId40"/>
    <sheet name="トップ率" sheetId="3185" state="hidden" r:id="rId41"/>
    <sheet name="ラス率" sheetId="4886" state="hidden" r:id="rId42"/>
    <sheet name="アガリ率" sheetId="3189" state="hidden" r:id="rId43"/>
    <sheet name="放銃率" sheetId="3190" state="hidden" r:id="rId44"/>
    <sheet name="平均アガリ点" sheetId="3520" state="hidden" r:id="rId45"/>
    <sheet name="平均放銃点" sheetId="3521" state="hidden" r:id="rId46"/>
    <sheet name="ふっとび率" sheetId="3522" state="hidden" r:id="rId47"/>
    <sheet name="ふっとばし率" sheetId="3523" state="hidden" r:id="rId48"/>
    <sheet name="リーチ率" sheetId="3524" state="hidden" r:id="rId49"/>
    <sheet name="副露率" sheetId="3525" state="hidden" r:id="rId50"/>
    <sheet name="リーチ成功率" sheetId="4841" state="hidden" r:id="rId51"/>
    <sheet name="副露成功率" sheetId="3527" state="hidden" r:id="rId52"/>
    <sheet name="ツモ率" sheetId="3528" state="hidden" r:id="rId53"/>
  </sheets>
  <definedNames>
    <definedName name="アガリ数" localSheetId="18">Player1!$B$17</definedName>
    <definedName name="アガリ数" localSheetId="19">Player2!$B$17</definedName>
    <definedName name="アガリ数" localSheetId="20">Player3!$B$17</definedName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8">Player1!$C$17</definedName>
    <definedName name="アガリ率" localSheetId="19">Player2!$C$17</definedName>
    <definedName name="アガリ率" localSheetId="20">Player3!$C$17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8">Player1!$B$27</definedName>
    <definedName name="チョンボ数" localSheetId="19">Player2!$B$27</definedName>
    <definedName name="チョンボ数" localSheetId="20">Player3!$B$27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8">Player1!$C$27</definedName>
    <definedName name="チョンボ率" localSheetId="19">Player2!$C$27</definedName>
    <definedName name="チョンボ率" localSheetId="20">Player3!$C$27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8">Player1!$B$18</definedName>
    <definedName name="ツモ数" localSheetId="19">Player2!$B$18</definedName>
    <definedName name="ツモ数" localSheetId="20">Player3!$B$18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8">Player1!$C$18</definedName>
    <definedName name="ツモ率" localSheetId="19">Player2!$C$18</definedName>
    <definedName name="ツモ率" localSheetId="20">Player3!$C$18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8">Player1!$B$7</definedName>
    <definedName name="トップ数" localSheetId="19">Player2!$B$7</definedName>
    <definedName name="トップ数" localSheetId="20">Player3!$B$7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8">Player1!$C$7</definedName>
    <definedName name="トップ率" localSheetId="19">Player2!$C$7</definedName>
    <definedName name="トップ率" localSheetId="20">Player3!$C$7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8">Player1!$B$11</definedName>
    <definedName name="ふっとばし数" localSheetId="19">Player2!$B$11</definedName>
    <definedName name="ふっとばし数" localSheetId="20">Player3!$B$11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8">Player1!$C$11</definedName>
    <definedName name="ふっとばし率" localSheetId="19">Player2!$C$11</definedName>
    <definedName name="ふっとばし率" localSheetId="20">Player3!$C$11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8">Player1!$B$10</definedName>
    <definedName name="ふっとび数" localSheetId="19">Player2!$B$10</definedName>
    <definedName name="ふっとび数" localSheetId="20">Player3!$B$10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8">Player1!$C$10</definedName>
    <definedName name="ふっとび率" localSheetId="19">Player2!$C$10</definedName>
    <definedName name="ふっとび率" localSheetId="20">Player3!$C$10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8">Player1!$B$9</definedName>
    <definedName name="ラス数" localSheetId="19">Player2!$B$9</definedName>
    <definedName name="ラス数" localSheetId="20">Player3!$B$9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8">Player1!$C$9</definedName>
    <definedName name="ラス率" localSheetId="19">Player2!$C$9</definedName>
    <definedName name="ラス率" localSheetId="20">Player3!$C$9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8">Player1!$B$13</definedName>
    <definedName name="リーチ数" localSheetId="19">Player2!$B$13</definedName>
    <definedName name="リーチ数" localSheetId="20">Player3!$B$13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8">Player1!$B$15</definedName>
    <definedName name="リーチ成功数" localSheetId="19">Player2!$B$15</definedName>
    <definedName name="リーチ成功数" localSheetId="20">Player3!$B$15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8">Player1!$C$15</definedName>
    <definedName name="リーチ成功率" localSheetId="19">Player2!$C$15</definedName>
    <definedName name="リーチ成功率" localSheetId="20">Player3!$C$15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8">Player1!$C$13</definedName>
    <definedName name="リーチ率" localSheetId="19">Player2!$C$13</definedName>
    <definedName name="リーチ率" localSheetId="20">Player3!$C$13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8">Player1!$B$19</definedName>
    <definedName name="ロン数" localSheetId="19">Player2!$B$19</definedName>
    <definedName name="ロン数" localSheetId="20">Player3!$B$19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8">Player1!$C$19</definedName>
    <definedName name="ロン率" localSheetId="19">Player2!$C$19</definedName>
    <definedName name="ロン率" localSheetId="20">Player3!$C$19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8">Player1!$B$12</definedName>
    <definedName name="逆転数" localSheetId="19">Player2!$B$12</definedName>
    <definedName name="逆転数" localSheetId="20">Player3!$B$12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8">Player1!$C$12</definedName>
    <definedName name="逆転率" localSheetId="19">Player2!$C$12</definedName>
    <definedName name="逆転率" localSheetId="20">Player3!$C$12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8">Player1!$B$25</definedName>
    <definedName name="最大ドラ数" localSheetId="19">Player2!$B$25</definedName>
    <definedName name="最大ドラ数" localSheetId="20">Player3!$B$25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8">Player1!$B$26</definedName>
    <definedName name="最大点数" localSheetId="19">Player2!$B$26</definedName>
    <definedName name="最大点数" localSheetId="20">Player3!$B$26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8">Player1!$B$3</definedName>
    <definedName name="総局数" localSheetId="19">Player2!$B$3</definedName>
    <definedName name="総局数" localSheetId="20">Player3!$B$3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8">Player1!$B$2</definedName>
    <definedName name="対戦数" localSheetId="19">Player2!$B$2</definedName>
    <definedName name="対戦数" localSheetId="20">Player3!$B$2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8">Player1!$B$4</definedName>
    <definedName name="通算スコア" localSheetId="19">Player2!$B$4</definedName>
    <definedName name="通算スコア" localSheetId="20">Player3!$B$4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8">Player1!$B$14</definedName>
    <definedName name="副露数" localSheetId="19">Player2!$B$14</definedName>
    <definedName name="副露数" localSheetId="20">Player3!$B$14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8">Player1!$B$16</definedName>
    <definedName name="副露成功数" localSheetId="19">Player2!$B$16</definedName>
    <definedName name="副露成功数" localSheetId="20">Player3!$B$16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8">Player1!$C$16</definedName>
    <definedName name="副露成功率" localSheetId="19">Player2!$C$16</definedName>
    <definedName name="副露成功率" localSheetId="20">Player3!$C$16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8">Player1!$C$14</definedName>
    <definedName name="副露率" localSheetId="19">Player2!$C$14</definedName>
    <definedName name="副露率" localSheetId="20">Player3!$C$14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8">Player1!$B$23</definedName>
    <definedName name="平均アガリ点" localSheetId="19">Player2!$B$23</definedName>
    <definedName name="平均アガリ点" localSheetId="20">Player3!$B$23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8">Player1!$B$5</definedName>
    <definedName name="平均スコア" localSheetId="19">Player2!$B$5</definedName>
    <definedName name="平均スコア" localSheetId="20">Player3!$B$5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8">Player1!$B$6</definedName>
    <definedName name="平均順位" localSheetId="19">Player2!$B$6</definedName>
    <definedName name="平均順位" localSheetId="20">Player3!$B$6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8">Player1!$B$24</definedName>
    <definedName name="平均放銃点" localSheetId="19">Player2!$B$24</definedName>
    <definedName name="平均放銃点" localSheetId="20">Player3!$B$24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8">Player1!$B$20</definedName>
    <definedName name="放銃数" localSheetId="19">Player2!$B$20</definedName>
    <definedName name="放銃数" localSheetId="20">Player3!$B$20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8">Player1!$C$20</definedName>
    <definedName name="放銃率" localSheetId="19">Player2!$C$20</definedName>
    <definedName name="放銃率" localSheetId="20">Player3!$C$20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8">Player1!$B$21</definedName>
    <definedName name="連続アガリ" localSheetId="19">Player2!$B$21</definedName>
    <definedName name="連続アガリ" localSheetId="20">Player3!$B$21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8">Player1!$B$22</definedName>
    <definedName name="連続無放銃" localSheetId="19">Player2!$B$22</definedName>
    <definedName name="連続無放銃" localSheetId="20">Player3!$B$22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6" i="5321" l="1"/>
  <c r="O15" i="5321"/>
  <c r="H48" i="5321"/>
  <c r="H47" i="5321"/>
  <c r="H46" i="5321"/>
  <c r="H45" i="5321"/>
  <c r="H44" i="5321"/>
  <c r="H40" i="5321"/>
  <c r="H39" i="5321"/>
  <c r="H38" i="5321"/>
  <c r="H37" i="5321"/>
  <c r="H36" i="5321"/>
  <c r="H32" i="5321"/>
  <c r="H31" i="5321"/>
  <c r="H30" i="5321"/>
  <c r="H29" i="5321"/>
  <c r="H28" i="5321"/>
  <c r="C27" i="5321"/>
  <c r="H25" i="5321"/>
  <c r="H24" i="5321"/>
  <c r="B24" i="5321"/>
  <c r="H23" i="5321"/>
  <c r="B23" i="5321"/>
  <c r="H21" i="5321"/>
  <c r="C20" i="5321"/>
  <c r="H19" i="5321"/>
  <c r="C19" i="5321"/>
  <c r="H18" i="5321"/>
  <c r="C18" i="5321"/>
  <c r="C17" i="5321"/>
  <c r="B17" i="5321"/>
  <c r="H51" i="5321" s="1"/>
  <c r="H16" i="5321"/>
  <c r="C16" i="5321"/>
  <c r="H15" i="5321"/>
  <c r="C15" i="5321"/>
  <c r="H14" i="5321"/>
  <c r="C14" i="5321"/>
  <c r="H13" i="5321"/>
  <c r="C13" i="5321"/>
  <c r="O12" i="5321"/>
  <c r="H12" i="5321"/>
  <c r="C12" i="5321"/>
  <c r="O11" i="5321"/>
  <c r="H11" i="5321"/>
  <c r="C11" i="5321"/>
  <c r="O10" i="5321"/>
  <c r="H10" i="5321"/>
  <c r="C10" i="5321"/>
  <c r="H9" i="5321"/>
  <c r="C9" i="5321"/>
  <c r="H8" i="5321"/>
  <c r="C8" i="5321"/>
  <c r="O7" i="5321"/>
  <c r="H7" i="5321"/>
  <c r="C7" i="5321"/>
  <c r="O6" i="5321"/>
  <c r="H6" i="5321"/>
  <c r="B6" i="5321"/>
  <c r="O5" i="5321"/>
  <c r="H5" i="5321"/>
  <c r="B5" i="5321"/>
  <c r="O4" i="5321"/>
  <c r="H4" i="5321"/>
  <c r="O3" i="5321"/>
  <c r="H3" i="5321"/>
  <c r="O2" i="5321"/>
  <c r="H2" i="5321"/>
  <c r="O16" i="5319"/>
  <c r="O15" i="5319"/>
  <c r="H48" i="5319"/>
  <c r="H40" i="5319"/>
  <c r="H32" i="5319"/>
  <c r="C27" i="5319"/>
  <c r="H25" i="5319"/>
  <c r="B24" i="5319"/>
  <c r="C20" i="5319"/>
  <c r="C17" i="5319"/>
  <c r="B17" i="5319"/>
  <c r="H47" i="5319" s="1"/>
  <c r="H16" i="5319"/>
  <c r="C16" i="5319"/>
  <c r="C15" i="5319"/>
  <c r="C14" i="5319"/>
  <c r="C13" i="5319"/>
  <c r="O12" i="5319"/>
  <c r="C12" i="5319"/>
  <c r="O11" i="5319"/>
  <c r="C11" i="5319"/>
  <c r="O10" i="5319"/>
  <c r="C10" i="5319"/>
  <c r="C9" i="5319"/>
  <c r="C8" i="5319"/>
  <c r="O7" i="5319"/>
  <c r="C7" i="5319"/>
  <c r="O6" i="5319"/>
  <c r="B6" i="5319"/>
  <c r="O5" i="5319"/>
  <c r="B5" i="5319"/>
  <c r="O4" i="5319"/>
  <c r="H4" i="5319"/>
  <c r="O3" i="5319"/>
  <c r="O2" i="5319"/>
  <c r="O24" i="5291"/>
  <c r="O16" i="5317"/>
  <c r="O15" i="5317"/>
  <c r="H40" i="5317"/>
  <c r="H32" i="5317"/>
  <c r="C27" i="5317"/>
  <c r="H25" i="5317"/>
  <c r="B24" i="5317"/>
  <c r="C20" i="5317"/>
  <c r="C17" i="5317"/>
  <c r="B17" i="5317"/>
  <c r="H47" i="5317" s="1"/>
  <c r="H16" i="5317"/>
  <c r="C16" i="5317"/>
  <c r="C15" i="5317"/>
  <c r="C14" i="5317"/>
  <c r="C13" i="5317"/>
  <c r="O12" i="5317"/>
  <c r="C12" i="5317"/>
  <c r="O11" i="5317"/>
  <c r="C11" i="5317"/>
  <c r="O10" i="5317"/>
  <c r="C10" i="5317"/>
  <c r="C9" i="5317"/>
  <c r="C8" i="5317"/>
  <c r="O7" i="5317"/>
  <c r="C7" i="5317"/>
  <c r="O6" i="5317"/>
  <c r="B6" i="5317"/>
  <c r="O5" i="5317"/>
  <c r="B5" i="5317"/>
  <c r="O4" i="5317"/>
  <c r="O3" i="5317"/>
  <c r="O2" i="5317"/>
  <c r="O23" i="5291"/>
  <c r="O22" i="5291"/>
  <c r="H20" i="5321" l="1"/>
  <c r="H26" i="5321"/>
  <c r="H33" i="5321"/>
  <c r="H41" i="5321"/>
  <c r="H49" i="5321"/>
  <c r="H34" i="5321"/>
  <c r="H42" i="5321"/>
  <c r="H50" i="5321"/>
  <c r="H17" i="5321"/>
  <c r="H22" i="5321"/>
  <c r="H27" i="5321"/>
  <c r="H35" i="5321"/>
  <c r="H43" i="5321"/>
  <c r="H10" i="5319"/>
  <c r="H20" i="5319"/>
  <c r="H33" i="5319"/>
  <c r="H49" i="5319"/>
  <c r="H7" i="5319"/>
  <c r="H13" i="5319"/>
  <c r="H21" i="5319"/>
  <c r="H34" i="5319"/>
  <c r="H42" i="5319"/>
  <c r="H50" i="5319"/>
  <c r="H17" i="5319"/>
  <c r="H22" i="5319"/>
  <c r="H27" i="5319"/>
  <c r="H35" i="5319"/>
  <c r="H43" i="5319"/>
  <c r="H51" i="5319"/>
  <c r="H5" i="5319"/>
  <c r="H11" i="5319"/>
  <c r="H14" i="5319"/>
  <c r="C18" i="5319"/>
  <c r="B23" i="5319"/>
  <c r="H28" i="5319"/>
  <c r="H36" i="5319"/>
  <c r="H44" i="5319"/>
  <c r="H26" i="5319"/>
  <c r="H41" i="5319"/>
  <c r="H2" i="5319"/>
  <c r="H8" i="5319"/>
  <c r="H18" i="5319"/>
  <c r="H23" i="5319"/>
  <c r="H29" i="5319"/>
  <c r="H37" i="5319"/>
  <c r="H45" i="5319"/>
  <c r="H15" i="5319"/>
  <c r="C19" i="5319"/>
  <c r="H30" i="5319"/>
  <c r="H38" i="5319"/>
  <c r="H46" i="5319"/>
  <c r="H3" i="5319"/>
  <c r="H6" i="5319"/>
  <c r="H9" i="5319"/>
  <c r="H12" i="5319"/>
  <c r="H19" i="5319"/>
  <c r="H24" i="5319"/>
  <c r="H31" i="5319"/>
  <c r="H39" i="5319"/>
  <c r="H48" i="5317"/>
  <c r="H4" i="5317"/>
  <c r="H10" i="5317"/>
  <c r="H20" i="5317"/>
  <c r="H26" i="5317"/>
  <c r="H13" i="5317"/>
  <c r="H50" i="5317"/>
  <c r="H17" i="5317"/>
  <c r="H27" i="5317"/>
  <c r="H51" i="5317"/>
  <c r="H5" i="5317"/>
  <c r="H11" i="5317"/>
  <c r="H14" i="5317"/>
  <c r="C18" i="5317"/>
  <c r="B23" i="5317"/>
  <c r="H28" i="5317"/>
  <c r="H36" i="5317"/>
  <c r="H44" i="5317"/>
  <c r="H49" i="5317"/>
  <c r="H7" i="5317"/>
  <c r="H21" i="5317"/>
  <c r="H42" i="5317"/>
  <c r="H22" i="5317"/>
  <c r="H2" i="5317"/>
  <c r="H18" i="5317"/>
  <c r="H23" i="5317"/>
  <c r="H29" i="5317"/>
  <c r="H37" i="5317"/>
  <c r="H45" i="5317"/>
  <c r="H41" i="5317"/>
  <c r="H34" i="5317"/>
  <c r="H43" i="5317"/>
  <c r="H15" i="5317"/>
  <c r="C19" i="5317"/>
  <c r="H30" i="5317"/>
  <c r="H38" i="5317"/>
  <c r="H46" i="5317"/>
  <c r="H33" i="5317"/>
  <c r="H35" i="5317"/>
  <c r="H8" i="5317"/>
  <c r="H3" i="5317"/>
  <c r="H6" i="5317"/>
  <c r="H9" i="5317"/>
  <c r="H12" i="5317"/>
  <c r="H19" i="5317"/>
  <c r="H24" i="5317"/>
  <c r="H31" i="5317"/>
  <c r="H39" i="5317"/>
  <c r="O15" i="5297" l="1"/>
  <c r="O16" i="5301"/>
  <c r="O15" i="5291"/>
  <c r="O16" i="5315"/>
  <c r="O15" i="5315"/>
  <c r="C27" i="5315"/>
  <c r="B24" i="5315"/>
  <c r="C20" i="5315"/>
  <c r="B17" i="5315"/>
  <c r="H47" i="5315" s="1"/>
  <c r="C16" i="5315"/>
  <c r="C15" i="5315"/>
  <c r="C14" i="5315"/>
  <c r="C13" i="5315"/>
  <c r="O12" i="5315"/>
  <c r="C12" i="5315"/>
  <c r="O11" i="5315"/>
  <c r="C11" i="5315"/>
  <c r="O10" i="5315"/>
  <c r="C10" i="5315"/>
  <c r="C9" i="5315"/>
  <c r="C8" i="5315"/>
  <c r="O7" i="5315"/>
  <c r="C7" i="5315"/>
  <c r="O6" i="5315"/>
  <c r="B6" i="5315"/>
  <c r="O5" i="5315"/>
  <c r="B5" i="5315"/>
  <c r="O4" i="5315"/>
  <c r="O3" i="5315"/>
  <c r="O2" i="5315"/>
  <c r="O15" i="5313"/>
  <c r="O16" i="5313"/>
  <c r="C27" i="5313"/>
  <c r="B24" i="5313"/>
  <c r="C20" i="5313"/>
  <c r="B17" i="5313"/>
  <c r="H48" i="5313" s="1"/>
  <c r="C16" i="5313"/>
  <c r="C15" i="5313"/>
  <c r="C14" i="5313"/>
  <c r="C13" i="5313"/>
  <c r="O12" i="5313"/>
  <c r="C12" i="5313"/>
  <c r="O11" i="5313"/>
  <c r="C11" i="5313"/>
  <c r="O10" i="5313"/>
  <c r="C10" i="5313"/>
  <c r="C9" i="5313"/>
  <c r="C8" i="5313"/>
  <c r="O7" i="5313"/>
  <c r="C7" i="5313"/>
  <c r="O6" i="5313"/>
  <c r="B6" i="5313"/>
  <c r="O5" i="5313"/>
  <c r="B5" i="5313"/>
  <c r="O4" i="5313"/>
  <c r="O3" i="5313"/>
  <c r="O2" i="5313"/>
  <c r="O23" i="5299"/>
  <c r="O18" i="5293"/>
  <c r="O28" i="5291"/>
  <c r="C17" i="5315" l="1"/>
  <c r="H32" i="5315"/>
  <c r="H4" i="5315"/>
  <c r="H25" i="5315"/>
  <c r="H16" i="5315"/>
  <c r="H40" i="5315"/>
  <c r="H48" i="5315"/>
  <c r="H10" i="5315"/>
  <c r="H20" i="5315"/>
  <c r="H26" i="5315"/>
  <c r="H41" i="5315"/>
  <c r="H49" i="5315"/>
  <c r="H7" i="5315"/>
  <c r="H13" i="5315"/>
  <c r="H21" i="5315"/>
  <c r="H34" i="5315"/>
  <c r="H42" i="5315"/>
  <c r="H50" i="5315"/>
  <c r="H17" i="5315"/>
  <c r="H22" i="5315"/>
  <c r="H27" i="5315"/>
  <c r="H35" i="5315"/>
  <c r="H43" i="5315"/>
  <c r="H51" i="5315"/>
  <c r="H5" i="5315"/>
  <c r="H11" i="5315"/>
  <c r="H14" i="5315"/>
  <c r="C18" i="5315"/>
  <c r="B23" i="5315"/>
  <c r="H28" i="5315"/>
  <c r="H36" i="5315"/>
  <c r="H44" i="5315"/>
  <c r="H33" i="5315"/>
  <c r="H2" i="5315"/>
  <c r="H8" i="5315"/>
  <c r="H18" i="5315"/>
  <c r="H23" i="5315"/>
  <c r="H29" i="5315"/>
  <c r="H37" i="5315"/>
  <c r="H45" i="5315"/>
  <c r="H15" i="5315"/>
  <c r="C19" i="5315"/>
  <c r="H30" i="5315"/>
  <c r="H38" i="5315"/>
  <c r="H46" i="5315"/>
  <c r="H3" i="5315"/>
  <c r="H6" i="5315"/>
  <c r="H9" i="5315"/>
  <c r="H12" i="5315"/>
  <c r="H19" i="5315"/>
  <c r="H24" i="5315"/>
  <c r="H31" i="5315"/>
  <c r="H39" i="5315"/>
  <c r="C17" i="5313"/>
  <c r="H4" i="5313"/>
  <c r="H10" i="5313"/>
  <c r="H26" i="5313"/>
  <c r="H21" i="5313"/>
  <c r="H22" i="5313"/>
  <c r="H35" i="5313"/>
  <c r="H51" i="5313"/>
  <c r="H11" i="5313"/>
  <c r="C18" i="5313"/>
  <c r="B23" i="5313"/>
  <c r="H28" i="5313"/>
  <c r="H36" i="5313"/>
  <c r="H44" i="5313"/>
  <c r="H41" i="5313"/>
  <c r="H13" i="5313"/>
  <c r="H17" i="5313"/>
  <c r="H27" i="5313"/>
  <c r="H43" i="5313"/>
  <c r="H5" i="5313"/>
  <c r="H14" i="5313"/>
  <c r="H2" i="5313"/>
  <c r="H8" i="5313"/>
  <c r="H18" i="5313"/>
  <c r="H23" i="5313"/>
  <c r="H29" i="5313"/>
  <c r="H37" i="5313"/>
  <c r="H45" i="5313"/>
  <c r="H49" i="5313"/>
  <c r="C19" i="5313"/>
  <c r="H38" i="5313"/>
  <c r="H3" i="5313"/>
  <c r="H6" i="5313"/>
  <c r="H9" i="5313"/>
  <c r="H12" i="5313"/>
  <c r="H19" i="5313"/>
  <c r="H24" i="5313"/>
  <c r="H31" i="5313"/>
  <c r="H39" i="5313"/>
  <c r="H47" i="5313"/>
  <c r="H20" i="5313"/>
  <c r="H33" i="5313"/>
  <c r="H7" i="5313"/>
  <c r="H34" i="5313"/>
  <c r="H42" i="5313"/>
  <c r="H50" i="5313"/>
  <c r="H15" i="5313"/>
  <c r="H30" i="5313"/>
  <c r="H46" i="5313"/>
  <c r="H16" i="5313"/>
  <c r="H25" i="5313"/>
  <c r="H32" i="5313"/>
  <c r="H40" i="5313"/>
  <c r="O17" i="5301" l="1"/>
  <c r="O18" i="5309"/>
  <c r="O20" i="5311" l="1"/>
  <c r="O18" i="5311"/>
  <c r="O15" i="5305"/>
  <c r="O20" i="5295"/>
  <c r="O24" i="5293" l="1"/>
  <c r="O16" i="5311"/>
  <c r="O21" i="5303"/>
  <c r="O15" i="5311"/>
  <c r="O17" i="5311" l="1"/>
  <c r="O19" i="5311"/>
  <c r="C27" i="5311"/>
  <c r="B24" i="5311"/>
  <c r="C20" i="5311"/>
  <c r="B17" i="5311"/>
  <c r="H47" i="5311" s="1"/>
  <c r="C16" i="5311"/>
  <c r="C15" i="5311"/>
  <c r="C14" i="5311"/>
  <c r="C13" i="5311"/>
  <c r="O12" i="5311"/>
  <c r="C12" i="5311"/>
  <c r="O11" i="5311"/>
  <c r="C11" i="5311"/>
  <c r="O10" i="5311"/>
  <c r="C10" i="5311"/>
  <c r="C9" i="5311"/>
  <c r="C8" i="5311"/>
  <c r="O7" i="5311"/>
  <c r="C7" i="5311"/>
  <c r="O6" i="5311"/>
  <c r="B6" i="5311"/>
  <c r="O5" i="5311"/>
  <c r="B5" i="5311"/>
  <c r="O4" i="5311"/>
  <c r="O3" i="5311"/>
  <c r="O2" i="5311"/>
  <c r="O21" i="5299"/>
  <c r="O18" i="5301"/>
  <c r="O19" i="5291"/>
  <c r="C17" i="5311" l="1"/>
  <c r="H32" i="5311"/>
  <c r="H4" i="5311"/>
  <c r="H25" i="5311"/>
  <c r="H10" i="5311"/>
  <c r="H16" i="5311"/>
  <c r="H40" i="5311"/>
  <c r="H48" i="5311"/>
  <c r="H20" i="5311"/>
  <c r="H26" i="5311"/>
  <c r="H41" i="5311"/>
  <c r="H7" i="5311"/>
  <c r="H13" i="5311"/>
  <c r="H21" i="5311"/>
  <c r="H34" i="5311"/>
  <c r="H42" i="5311"/>
  <c r="H50" i="5311"/>
  <c r="H17" i="5311"/>
  <c r="H22" i="5311"/>
  <c r="H27" i="5311"/>
  <c r="H35" i="5311"/>
  <c r="H43" i="5311"/>
  <c r="H51" i="5311"/>
  <c r="H5" i="5311"/>
  <c r="H11" i="5311"/>
  <c r="H14" i="5311"/>
  <c r="C18" i="5311"/>
  <c r="B23" i="5311"/>
  <c r="H28" i="5311"/>
  <c r="H36" i="5311"/>
  <c r="H44" i="5311"/>
  <c r="H33" i="5311"/>
  <c r="H49" i="5311"/>
  <c r="H2" i="5311"/>
  <c r="H8" i="5311"/>
  <c r="H18" i="5311"/>
  <c r="H23" i="5311"/>
  <c r="H29" i="5311"/>
  <c r="H37" i="5311"/>
  <c r="H45" i="5311"/>
  <c r="H15" i="5311"/>
  <c r="C19" i="5311"/>
  <c r="H30" i="5311"/>
  <c r="H38" i="5311"/>
  <c r="H46" i="5311"/>
  <c r="H3" i="5311"/>
  <c r="H6" i="5311"/>
  <c r="H9" i="5311"/>
  <c r="H12" i="5311"/>
  <c r="H19" i="5311"/>
  <c r="H24" i="5311"/>
  <c r="H31" i="5311"/>
  <c r="H39" i="5311"/>
  <c r="O20" i="5301" l="1"/>
  <c r="O16" i="5297"/>
  <c r="O21" i="5305"/>
  <c r="O20" i="5305"/>
  <c r="O22" i="5293" l="1"/>
  <c r="O16" i="5309"/>
  <c r="O20" i="5309" l="1"/>
  <c r="O15" i="5309"/>
  <c r="O15" i="5299"/>
  <c r="O22" i="5297"/>
  <c r="O17" i="5307" l="1"/>
  <c r="O22" i="5303"/>
  <c r="O15" i="5307"/>
  <c r="O21" i="5309"/>
  <c r="O15" i="5295"/>
  <c r="O18" i="5305"/>
  <c r="O17" i="5291"/>
  <c r="O19" i="5309"/>
  <c r="O17" i="5309"/>
  <c r="C27" i="5309"/>
  <c r="B24" i="5309"/>
  <c r="C20" i="5309"/>
  <c r="B17" i="5309"/>
  <c r="H47" i="5309" s="1"/>
  <c r="C16" i="5309"/>
  <c r="C15" i="5309"/>
  <c r="C14" i="5309"/>
  <c r="C13" i="5309"/>
  <c r="O12" i="5309"/>
  <c r="C12" i="5309"/>
  <c r="O11" i="5309"/>
  <c r="C11" i="5309"/>
  <c r="O10" i="5309"/>
  <c r="C10" i="5309"/>
  <c r="C9" i="5309"/>
  <c r="C8" i="5309"/>
  <c r="O7" i="5309"/>
  <c r="C7" i="5309"/>
  <c r="O6" i="5309"/>
  <c r="B6" i="5309"/>
  <c r="O5" i="5309"/>
  <c r="B5" i="5309"/>
  <c r="O4" i="5309"/>
  <c r="O3" i="5309"/>
  <c r="O2" i="5309"/>
  <c r="O16" i="5307"/>
  <c r="O18" i="5307"/>
  <c r="C27" i="5307"/>
  <c r="B24" i="5307"/>
  <c r="C20" i="5307"/>
  <c r="B17" i="5307"/>
  <c r="H49" i="5307" s="1"/>
  <c r="C16" i="5307"/>
  <c r="C15" i="5307"/>
  <c r="C14" i="5307"/>
  <c r="C13" i="5307"/>
  <c r="O12" i="5307"/>
  <c r="C12" i="5307"/>
  <c r="O11" i="5307"/>
  <c r="C11" i="5307"/>
  <c r="O10" i="5307"/>
  <c r="C10" i="5307"/>
  <c r="C9" i="5307"/>
  <c r="C8" i="5307"/>
  <c r="O7" i="5307"/>
  <c r="C7" i="5307"/>
  <c r="O6" i="5307"/>
  <c r="B6" i="5307"/>
  <c r="O5" i="5307"/>
  <c r="B5" i="5307"/>
  <c r="O4" i="5307"/>
  <c r="O3" i="5307"/>
  <c r="O2" i="5307"/>
  <c r="O22" i="5305"/>
  <c r="O23" i="5305"/>
  <c r="O15" i="5293"/>
  <c r="O17" i="5293"/>
  <c r="O29" i="5291"/>
  <c r="H2" i="5307" l="1"/>
  <c r="H7" i="5307"/>
  <c r="H10" i="5307"/>
  <c r="H23" i="5307"/>
  <c r="H13" i="5307"/>
  <c r="H34" i="5307"/>
  <c r="H21" i="5307"/>
  <c r="H35" i="5307"/>
  <c r="H4" i="5307"/>
  <c r="H37" i="5307"/>
  <c r="H42" i="5307"/>
  <c r="H22" i="5307"/>
  <c r="H43" i="5307"/>
  <c r="H50" i="5307"/>
  <c r="C17" i="5307"/>
  <c r="H45" i="5307"/>
  <c r="H8" i="5307"/>
  <c r="H17" i="5307"/>
  <c r="H27" i="5307"/>
  <c r="H18" i="5307"/>
  <c r="H29" i="5307"/>
  <c r="H4" i="5309"/>
  <c r="H32" i="5309"/>
  <c r="C17" i="5309"/>
  <c r="H25" i="5309"/>
  <c r="H10" i="5309"/>
  <c r="H16" i="5309"/>
  <c r="H40" i="5309"/>
  <c r="H48" i="5309"/>
  <c r="H20" i="5309"/>
  <c r="H33" i="5309"/>
  <c r="H49" i="5309"/>
  <c r="H7" i="5309"/>
  <c r="H13" i="5309"/>
  <c r="H21" i="5309"/>
  <c r="H34" i="5309"/>
  <c r="H42" i="5309"/>
  <c r="H50" i="5309"/>
  <c r="H17" i="5309"/>
  <c r="H22" i="5309"/>
  <c r="H27" i="5309"/>
  <c r="H35" i="5309"/>
  <c r="H43" i="5309"/>
  <c r="H51" i="5309"/>
  <c r="H5" i="5309"/>
  <c r="H11" i="5309"/>
  <c r="H14" i="5309"/>
  <c r="C18" i="5309"/>
  <c r="B23" i="5309"/>
  <c r="H28" i="5309"/>
  <c r="H36" i="5309"/>
  <c r="H44" i="5309"/>
  <c r="H26" i="5309"/>
  <c r="H41" i="5309"/>
  <c r="H2" i="5309"/>
  <c r="H8" i="5309"/>
  <c r="H18" i="5309"/>
  <c r="H23" i="5309"/>
  <c r="H29" i="5309"/>
  <c r="H37" i="5309"/>
  <c r="H45" i="5309"/>
  <c r="H15" i="5309"/>
  <c r="C19" i="5309"/>
  <c r="H30" i="5309"/>
  <c r="H38" i="5309"/>
  <c r="H46" i="5309"/>
  <c r="H3" i="5309"/>
  <c r="H6" i="5309"/>
  <c r="H9" i="5309"/>
  <c r="H12" i="5309"/>
  <c r="H19" i="5309"/>
  <c r="H24" i="5309"/>
  <c r="H31" i="5309"/>
  <c r="H39" i="5309"/>
  <c r="H51" i="5307"/>
  <c r="H5" i="5307"/>
  <c r="H11" i="5307"/>
  <c r="H14" i="5307"/>
  <c r="C18" i="5307"/>
  <c r="B23" i="5307"/>
  <c r="H28" i="5307"/>
  <c r="H36" i="5307"/>
  <c r="H44" i="5307"/>
  <c r="H15" i="5307"/>
  <c r="H30" i="5307"/>
  <c r="H46" i="5307"/>
  <c r="H3" i="5307"/>
  <c r="H6" i="5307"/>
  <c r="H9" i="5307"/>
  <c r="H12" i="5307"/>
  <c r="H19" i="5307"/>
  <c r="H24" i="5307"/>
  <c r="H31" i="5307"/>
  <c r="H39" i="5307"/>
  <c r="H47" i="5307"/>
  <c r="C19" i="5307"/>
  <c r="H38" i="5307"/>
  <c r="H16" i="5307"/>
  <c r="H25" i="5307"/>
  <c r="H32" i="5307"/>
  <c r="H40" i="5307"/>
  <c r="H48" i="5307"/>
  <c r="H20" i="5307"/>
  <c r="H26" i="5307"/>
  <c r="H33" i="5307"/>
  <c r="H41" i="5307"/>
  <c r="O16" i="5305" l="1"/>
  <c r="O20" i="5303"/>
  <c r="O16" i="5303"/>
  <c r="O17" i="5295"/>
  <c r="O19" i="5301" l="1"/>
  <c r="O17" i="5299"/>
  <c r="O17" i="5303"/>
  <c r="O18" i="5303"/>
  <c r="O15" i="5301" l="1"/>
  <c r="O16" i="5299"/>
  <c r="O21" i="5297"/>
  <c r="O19" i="5297"/>
  <c r="O17" i="5305"/>
  <c r="O19" i="5305"/>
  <c r="H27" i="5305"/>
  <c r="C27" i="5305"/>
  <c r="B24" i="5305"/>
  <c r="C20" i="5305"/>
  <c r="B17" i="5305"/>
  <c r="H49" i="5305" s="1"/>
  <c r="C16" i="5305"/>
  <c r="C15" i="5305"/>
  <c r="C14" i="5305"/>
  <c r="C13" i="5305"/>
  <c r="O12" i="5305"/>
  <c r="C12" i="5305"/>
  <c r="O11" i="5305"/>
  <c r="C11" i="5305"/>
  <c r="O10" i="5305"/>
  <c r="C10" i="5305"/>
  <c r="C9" i="5305"/>
  <c r="C8" i="5305"/>
  <c r="O7" i="5305"/>
  <c r="C7" i="5305"/>
  <c r="O6" i="5305"/>
  <c r="B6" i="5305"/>
  <c r="O5" i="5305"/>
  <c r="B5" i="5305"/>
  <c r="O4" i="5305"/>
  <c r="O3" i="5305"/>
  <c r="O2" i="5305"/>
  <c r="O22" i="5299"/>
  <c r="O21" i="5295"/>
  <c r="O25" i="5291"/>
  <c r="H28" i="5305" l="1"/>
  <c r="H15" i="5305"/>
  <c r="H16" i="5305"/>
  <c r="H3" i="5305"/>
  <c r="H12" i="5305"/>
  <c r="H4" i="5305"/>
  <c r="H42" i="5305"/>
  <c r="H29" i="5305"/>
  <c r="H9" i="5305"/>
  <c r="C19" i="5305"/>
  <c r="H38" i="5305"/>
  <c r="H6" i="5305"/>
  <c r="H10" i="5305"/>
  <c r="H21" i="5305"/>
  <c r="H43" i="5305"/>
  <c r="H46" i="5305"/>
  <c r="H22" i="5305"/>
  <c r="H30" i="5305"/>
  <c r="H44" i="5305"/>
  <c r="H7" i="5305"/>
  <c r="H13" i="5305"/>
  <c r="H45" i="5305"/>
  <c r="C18" i="5305"/>
  <c r="H50" i="5305"/>
  <c r="C17" i="5305"/>
  <c r="B23" i="5305"/>
  <c r="H34" i="5305"/>
  <c r="H17" i="5305"/>
  <c r="H23" i="5305"/>
  <c r="H35" i="5305"/>
  <c r="H5" i="5305"/>
  <c r="H11" i="5305"/>
  <c r="H14" i="5305"/>
  <c r="H36" i="5305"/>
  <c r="H2" i="5305"/>
  <c r="H8" i="5305"/>
  <c r="H18" i="5305"/>
  <c r="H37" i="5305"/>
  <c r="H51" i="5305"/>
  <c r="H19" i="5305"/>
  <c r="H24" i="5305"/>
  <c r="H31" i="5305"/>
  <c r="H39" i="5305"/>
  <c r="H47" i="5305"/>
  <c r="H25" i="5305"/>
  <c r="H32" i="5305"/>
  <c r="H40" i="5305"/>
  <c r="H48" i="5305"/>
  <c r="H20" i="5305"/>
  <c r="H26" i="5305"/>
  <c r="H33" i="5305"/>
  <c r="H41" i="5305"/>
  <c r="O18" i="5297" l="1"/>
  <c r="O19" i="5303"/>
  <c r="O15" i="5303"/>
  <c r="C27" i="5303"/>
  <c r="B24" i="5303"/>
  <c r="C20" i="5303"/>
  <c r="B17" i="5303"/>
  <c r="H50" i="5303" s="1"/>
  <c r="C16" i="5303"/>
  <c r="C15" i="5303"/>
  <c r="C14" i="5303"/>
  <c r="C13" i="5303"/>
  <c r="O12" i="5303"/>
  <c r="C12" i="5303"/>
  <c r="O11" i="5303"/>
  <c r="C11" i="5303"/>
  <c r="O10" i="5303"/>
  <c r="C10" i="5303"/>
  <c r="C9" i="5303"/>
  <c r="C8" i="5303"/>
  <c r="O7" i="5303"/>
  <c r="C7" i="5303"/>
  <c r="O6" i="5303"/>
  <c r="B6" i="5303"/>
  <c r="O5" i="5303"/>
  <c r="B5" i="5303"/>
  <c r="O4" i="5303"/>
  <c r="O3" i="5303"/>
  <c r="O2" i="5303"/>
  <c r="O20" i="5293"/>
  <c r="O18" i="5291"/>
  <c r="O21" i="5301"/>
  <c r="O18" i="5295"/>
  <c r="O19" i="5295"/>
  <c r="O20" i="5299"/>
  <c r="O22" i="5301"/>
  <c r="O23" i="5301"/>
  <c r="C27" i="5301"/>
  <c r="B24" i="5301"/>
  <c r="C20" i="5301"/>
  <c r="B17" i="5301"/>
  <c r="H51" i="5301" s="1"/>
  <c r="C16" i="5301"/>
  <c r="C15" i="5301"/>
  <c r="C14" i="5301"/>
  <c r="C13" i="5301"/>
  <c r="O12" i="5301"/>
  <c r="C12" i="5301"/>
  <c r="O11" i="5301"/>
  <c r="C11" i="5301"/>
  <c r="O10" i="5301"/>
  <c r="C10" i="5301"/>
  <c r="C9" i="5301"/>
  <c r="C8" i="5301"/>
  <c r="O7" i="5301"/>
  <c r="C7" i="5301"/>
  <c r="O6" i="5301"/>
  <c r="B6" i="5301"/>
  <c r="O5" i="5301"/>
  <c r="B5" i="5301"/>
  <c r="O4" i="5301"/>
  <c r="O3" i="5301"/>
  <c r="O2" i="5301"/>
  <c r="O19" i="5299"/>
  <c r="O18" i="5299"/>
  <c r="C27" i="5299"/>
  <c r="B24" i="5299"/>
  <c r="C20" i="5299"/>
  <c r="B17" i="5299"/>
  <c r="H49" i="5299" s="1"/>
  <c r="C16" i="5299"/>
  <c r="C15" i="5299"/>
  <c r="C14" i="5299"/>
  <c r="C13" i="5299"/>
  <c r="O12" i="5299"/>
  <c r="C12" i="5299"/>
  <c r="O11" i="5299"/>
  <c r="C11" i="5299"/>
  <c r="O10" i="5299"/>
  <c r="C10" i="5299"/>
  <c r="C9" i="5299"/>
  <c r="C8" i="5299"/>
  <c r="O7" i="5299"/>
  <c r="C7" i="5299"/>
  <c r="O6" i="5299"/>
  <c r="B6" i="5299"/>
  <c r="O5" i="5299"/>
  <c r="B5" i="5299"/>
  <c r="O4" i="5299"/>
  <c r="O3" i="5299"/>
  <c r="O2" i="5299"/>
  <c r="O19" i="5293"/>
  <c r="O23" i="5293"/>
  <c r="O21" i="5291"/>
  <c r="O26" i="5291"/>
  <c r="H16" i="5299" l="1"/>
  <c r="H17" i="5303"/>
  <c r="H36" i="5303"/>
  <c r="H4" i="5303"/>
  <c r="H27" i="5303"/>
  <c r="H2" i="5303"/>
  <c r="C17" i="5303"/>
  <c r="H28" i="5303"/>
  <c r="C18" i="5303"/>
  <c r="H10" i="5303"/>
  <c r="H22" i="5303"/>
  <c r="H44" i="5303"/>
  <c r="H5" i="5303"/>
  <c r="H35" i="5303"/>
  <c r="H14" i="5303"/>
  <c r="H43" i="5303"/>
  <c r="B23" i="5303"/>
  <c r="H11" i="5303"/>
  <c r="H51" i="5303"/>
  <c r="H8" i="5303"/>
  <c r="H23" i="5303"/>
  <c r="H45" i="5303"/>
  <c r="H15" i="5303"/>
  <c r="C19" i="5303"/>
  <c r="H30" i="5303"/>
  <c r="H38" i="5303"/>
  <c r="H46" i="5303"/>
  <c r="H18" i="5303"/>
  <c r="H29" i="5303"/>
  <c r="H3" i="5303"/>
  <c r="H6" i="5303"/>
  <c r="H9" i="5303"/>
  <c r="H12" i="5303"/>
  <c r="H19" i="5303"/>
  <c r="H24" i="5303"/>
  <c r="H31" i="5303"/>
  <c r="H39" i="5303"/>
  <c r="H47" i="5303"/>
  <c r="H37" i="5303"/>
  <c r="H16" i="5303"/>
  <c r="H25" i="5303"/>
  <c r="H32" i="5303"/>
  <c r="H40" i="5303"/>
  <c r="H48" i="5303"/>
  <c r="H20" i="5303"/>
  <c r="H26" i="5303"/>
  <c r="H33" i="5303"/>
  <c r="H41" i="5303"/>
  <c r="H49" i="5303"/>
  <c r="H7" i="5303"/>
  <c r="H13" i="5303"/>
  <c r="H21" i="5303"/>
  <c r="H34" i="5303"/>
  <c r="H42" i="5303"/>
  <c r="H3" i="5301"/>
  <c r="H11" i="5301"/>
  <c r="H17" i="5301"/>
  <c r="H2" i="5301"/>
  <c r="H27" i="5301"/>
  <c r="H36" i="5301"/>
  <c r="C17" i="5301"/>
  <c r="H44" i="5301"/>
  <c r="B23" i="5301"/>
  <c r="H30" i="5301"/>
  <c r="H5" i="5301"/>
  <c r="H12" i="5301"/>
  <c r="H25" i="5301"/>
  <c r="H28" i="5301"/>
  <c r="H18" i="5301"/>
  <c r="H38" i="5301"/>
  <c r="H46" i="5301"/>
  <c r="C18" i="5301"/>
  <c r="H45" i="5301"/>
  <c r="H24" i="5301"/>
  <c r="C19" i="5301"/>
  <c r="H31" i="5301"/>
  <c r="H39" i="5301"/>
  <c r="H47" i="5301"/>
  <c r="H4" i="5301"/>
  <c r="H7" i="5301"/>
  <c r="H23" i="5301"/>
  <c r="H37" i="5301"/>
  <c r="H9" i="5301"/>
  <c r="H6" i="5301"/>
  <c r="H10" i="5301"/>
  <c r="H22" i="5301"/>
  <c r="H15" i="5301"/>
  <c r="H14" i="5301"/>
  <c r="H32" i="5301"/>
  <c r="H40" i="5301"/>
  <c r="H48" i="5301"/>
  <c r="H21" i="5301"/>
  <c r="H16" i="5301"/>
  <c r="H20" i="5301"/>
  <c r="H33" i="5301"/>
  <c r="H41" i="5301"/>
  <c r="H49" i="5301"/>
  <c r="H26" i="5301"/>
  <c r="H29" i="5301"/>
  <c r="H34" i="5301"/>
  <c r="H42" i="5301"/>
  <c r="H50" i="5301"/>
  <c r="H8" i="5301"/>
  <c r="H19" i="5301"/>
  <c r="H13" i="5301"/>
  <c r="H35" i="5301"/>
  <c r="H43" i="5301"/>
  <c r="H4" i="5299"/>
  <c r="H42" i="5299"/>
  <c r="H43" i="5299"/>
  <c r="H17" i="5299"/>
  <c r="H14" i="5299"/>
  <c r="H45" i="5299"/>
  <c r="H38" i="5299"/>
  <c r="C17" i="5299"/>
  <c r="H44" i="5299"/>
  <c r="H34" i="5299"/>
  <c r="H8" i="5299"/>
  <c r="H35" i="5299"/>
  <c r="H46" i="5299"/>
  <c r="H28" i="5299"/>
  <c r="H13" i="5299"/>
  <c r="H29" i="5299"/>
  <c r="B23" i="5299"/>
  <c r="H5" i="5299"/>
  <c r="H23" i="5299"/>
  <c r="H2" i="5299"/>
  <c r="H24" i="5299"/>
  <c r="H50" i="5299"/>
  <c r="H27" i="5299"/>
  <c r="H10" i="5299"/>
  <c r="H21" i="5299"/>
  <c r="H7" i="5299"/>
  <c r="H22" i="5299"/>
  <c r="H30" i="5299"/>
  <c r="H11" i="5299"/>
  <c r="C18" i="5299"/>
  <c r="H18" i="5299"/>
  <c r="H15" i="5299"/>
  <c r="C19" i="5299"/>
  <c r="H36" i="5299"/>
  <c r="H3" i="5299"/>
  <c r="H6" i="5299"/>
  <c r="H9" i="5299"/>
  <c r="H12" i="5299"/>
  <c r="H19" i="5299"/>
  <c r="H37" i="5299"/>
  <c r="H51" i="5299"/>
  <c r="H31" i="5299"/>
  <c r="H39" i="5299"/>
  <c r="H47" i="5299"/>
  <c r="H25" i="5299"/>
  <c r="H32" i="5299"/>
  <c r="H40" i="5299"/>
  <c r="H48" i="5299"/>
  <c r="H20" i="5299"/>
  <c r="H26" i="5299"/>
  <c r="H33" i="5299"/>
  <c r="H41" i="5299"/>
  <c r="O17" i="5297" l="1"/>
  <c r="O20" i="5297"/>
  <c r="C27" i="5297"/>
  <c r="B24" i="5297"/>
  <c r="C20" i="5297"/>
  <c r="B17" i="5297"/>
  <c r="H5" i="5297" s="1"/>
  <c r="C16" i="5297"/>
  <c r="C15" i="5297"/>
  <c r="C14" i="5297"/>
  <c r="C13" i="5297"/>
  <c r="O12" i="5297"/>
  <c r="C12" i="5297"/>
  <c r="O11" i="5297"/>
  <c r="C11" i="5297"/>
  <c r="O10" i="5297"/>
  <c r="C10" i="5297"/>
  <c r="C9" i="5297"/>
  <c r="C8" i="5297"/>
  <c r="O7" i="5297"/>
  <c r="C7" i="5297"/>
  <c r="O6" i="5297"/>
  <c r="B6" i="5297"/>
  <c r="O5" i="5297"/>
  <c r="B5" i="5297"/>
  <c r="O4" i="5297"/>
  <c r="O3" i="5297"/>
  <c r="O2" i="5297"/>
  <c r="O22" i="5295"/>
  <c r="O16" i="5295"/>
  <c r="C27" i="5295"/>
  <c r="B24" i="5295"/>
  <c r="C20" i="5295"/>
  <c r="B17" i="5295"/>
  <c r="H50" i="5295" s="1"/>
  <c r="C16" i="5295"/>
  <c r="C15" i="5295"/>
  <c r="C14" i="5295"/>
  <c r="C13" i="5295"/>
  <c r="O12" i="5295"/>
  <c r="C12" i="5295"/>
  <c r="O11" i="5295"/>
  <c r="C11" i="5295"/>
  <c r="O10" i="5295"/>
  <c r="C10" i="5295"/>
  <c r="C9" i="5295"/>
  <c r="C8" i="5295"/>
  <c r="O7" i="5295"/>
  <c r="C7" i="5295"/>
  <c r="O6" i="5295"/>
  <c r="B6" i="5295"/>
  <c r="O5" i="5295"/>
  <c r="B5" i="5295"/>
  <c r="O4" i="5295"/>
  <c r="O3" i="5295"/>
  <c r="O2" i="5295"/>
  <c r="O27" i="5291"/>
  <c r="O16" i="5293"/>
  <c r="O21" i="5293"/>
  <c r="C27" i="5293"/>
  <c r="B24" i="5293"/>
  <c r="C20" i="5293"/>
  <c r="B17" i="5293"/>
  <c r="H5" i="5293" s="1"/>
  <c r="C16" i="5293"/>
  <c r="C15" i="5293"/>
  <c r="C14" i="5293"/>
  <c r="C13" i="5293"/>
  <c r="O12" i="5293"/>
  <c r="C12" i="5293"/>
  <c r="O11" i="5293"/>
  <c r="C11" i="5293"/>
  <c r="O10" i="5293"/>
  <c r="C10" i="5293"/>
  <c r="C9" i="5293"/>
  <c r="C8" i="5293"/>
  <c r="O7" i="5293"/>
  <c r="C7" i="5293"/>
  <c r="O6" i="5293"/>
  <c r="B6" i="5293"/>
  <c r="O5" i="5293"/>
  <c r="B5" i="5293"/>
  <c r="O4" i="5293"/>
  <c r="O3" i="5293"/>
  <c r="O2" i="5293"/>
  <c r="O16" i="5291"/>
  <c r="O20" i="5291"/>
  <c r="C27" i="5291"/>
  <c r="B24" i="5291"/>
  <c r="C20" i="5291"/>
  <c r="B17" i="5291"/>
  <c r="H5" i="5291" s="1"/>
  <c r="C16" i="5291"/>
  <c r="C15" i="5291"/>
  <c r="C14" i="5291"/>
  <c r="C13" i="5291"/>
  <c r="O12" i="5291"/>
  <c r="C12" i="5291"/>
  <c r="O11" i="5291"/>
  <c r="C11" i="5291"/>
  <c r="O10" i="5291"/>
  <c r="C10" i="5291"/>
  <c r="C9" i="5291"/>
  <c r="C8" i="5291"/>
  <c r="O7" i="5291"/>
  <c r="C7" i="5291"/>
  <c r="O6" i="5291"/>
  <c r="B6" i="5291"/>
  <c r="O5" i="5291"/>
  <c r="B5" i="5291"/>
  <c r="O4" i="5291"/>
  <c r="O3" i="5291"/>
  <c r="O2" i="5291"/>
  <c r="H31" i="5297" l="1"/>
  <c r="H16" i="5297"/>
  <c r="H2" i="5297"/>
  <c r="H19" i="5297"/>
  <c r="H23" i="5297"/>
  <c r="H10" i="5297"/>
  <c r="H40" i="5297"/>
  <c r="H15" i="5297"/>
  <c r="H39" i="5297"/>
  <c r="H17" i="5297"/>
  <c r="H41" i="5297"/>
  <c r="H4" i="5297"/>
  <c r="H7" i="5297"/>
  <c r="H14" i="5297"/>
  <c r="H13" i="5297"/>
  <c r="H45" i="5297"/>
  <c r="C17" i="5297"/>
  <c r="H46" i="5297"/>
  <c r="C18" i="5297"/>
  <c r="H33" i="5297"/>
  <c r="H47" i="5297"/>
  <c r="B23" i="5297"/>
  <c r="H8" i="5297"/>
  <c r="H25" i="5297"/>
  <c r="H18" i="5297"/>
  <c r="H6" i="5297"/>
  <c r="H27" i="5297"/>
  <c r="H48" i="5297"/>
  <c r="H32" i="5297"/>
  <c r="H30" i="5297"/>
  <c r="H24" i="5297"/>
  <c r="H26" i="5297"/>
  <c r="H12" i="5297"/>
  <c r="H37" i="5297"/>
  <c r="H3" i="5297"/>
  <c r="H9" i="5297"/>
  <c r="C19" i="5297"/>
  <c r="H21" i="5297"/>
  <c r="H38" i="5297"/>
  <c r="H49" i="5297"/>
  <c r="H28" i="5297"/>
  <c r="H22" i="5297"/>
  <c r="H34" i="5297"/>
  <c r="H42" i="5297"/>
  <c r="H50" i="5297"/>
  <c r="H35" i="5297"/>
  <c r="H43" i="5297"/>
  <c r="H51" i="5297"/>
  <c r="H20" i="5297"/>
  <c r="H29" i="5297"/>
  <c r="H11" i="5297"/>
  <c r="H36" i="5297"/>
  <c r="H44" i="5297"/>
  <c r="H2" i="5295"/>
  <c r="C18" i="5295"/>
  <c r="H18" i="5295"/>
  <c r="H36" i="5295"/>
  <c r="H11" i="5295"/>
  <c r="H27" i="5295"/>
  <c r="H4" i="5295"/>
  <c r="H22" i="5295"/>
  <c r="H43" i="5295"/>
  <c r="H28" i="5295"/>
  <c r="H35" i="5295"/>
  <c r="H10" i="5295"/>
  <c r="H14" i="5295"/>
  <c r="B23" i="5295"/>
  <c r="H44" i="5295"/>
  <c r="C17" i="5295"/>
  <c r="H45" i="5295"/>
  <c r="H23" i="5295"/>
  <c r="H8" i="5295"/>
  <c r="H5" i="5295"/>
  <c r="H17" i="5295"/>
  <c r="H51" i="5295"/>
  <c r="H15" i="5295"/>
  <c r="C19" i="5295"/>
  <c r="H30" i="5295"/>
  <c r="H38" i="5295"/>
  <c r="H46" i="5295"/>
  <c r="H3" i="5295"/>
  <c r="H6" i="5295"/>
  <c r="H9" i="5295"/>
  <c r="H12" i="5295"/>
  <c r="H19" i="5295"/>
  <c r="H24" i="5295"/>
  <c r="H31" i="5295"/>
  <c r="H39" i="5295"/>
  <c r="H47" i="5295"/>
  <c r="H29" i="5295"/>
  <c r="H37" i="5295"/>
  <c r="H16" i="5295"/>
  <c r="H25" i="5295"/>
  <c r="H32" i="5295"/>
  <c r="H40" i="5295"/>
  <c r="H48" i="5295"/>
  <c r="H20" i="5295"/>
  <c r="H26" i="5295"/>
  <c r="H33" i="5295"/>
  <c r="H41" i="5295"/>
  <c r="H49" i="5295"/>
  <c r="H7" i="5295"/>
  <c r="H13" i="5295"/>
  <c r="H21" i="5295"/>
  <c r="H34" i="5295"/>
  <c r="H42" i="5295"/>
  <c r="C17" i="5293"/>
  <c r="H2" i="5293"/>
  <c r="H8" i="5293"/>
  <c r="H16" i="5293"/>
  <c r="H20" i="5293"/>
  <c r="H30" i="5293"/>
  <c r="C18" i="5293"/>
  <c r="B23" i="5293"/>
  <c r="H26" i="5293"/>
  <c r="H38" i="5293"/>
  <c r="H46" i="5293"/>
  <c r="H3" i="5293"/>
  <c r="H43" i="5293"/>
  <c r="H6" i="5293"/>
  <c r="H4" i="5293"/>
  <c r="H11" i="5293"/>
  <c r="H31" i="5293"/>
  <c r="H24" i="5293"/>
  <c r="H18" i="5293"/>
  <c r="H39" i="5293"/>
  <c r="H47" i="5293"/>
  <c r="H34" i="5293"/>
  <c r="C19" i="5293"/>
  <c r="H21" i="5293"/>
  <c r="H48" i="5293"/>
  <c r="H51" i="5293"/>
  <c r="H36" i="5293"/>
  <c r="H23" i="5293"/>
  <c r="H40" i="5293"/>
  <c r="H10" i="5293"/>
  <c r="H7" i="5293"/>
  <c r="H12" i="5293"/>
  <c r="H29" i="5293"/>
  <c r="H15" i="5293"/>
  <c r="H13" i="5293"/>
  <c r="H27" i="5293"/>
  <c r="H41" i="5293"/>
  <c r="H49" i="5293"/>
  <c r="H32" i="5293"/>
  <c r="H22" i="5293"/>
  <c r="H44" i="5293"/>
  <c r="H17" i="5293"/>
  <c r="H25" i="5293"/>
  <c r="H35" i="5293"/>
  <c r="H42" i="5293"/>
  <c r="H50" i="5293"/>
  <c r="H28" i="5293"/>
  <c r="H14" i="5293"/>
  <c r="H19" i="5293"/>
  <c r="H33" i="5293"/>
  <c r="H9" i="5293"/>
  <c r="H37" i="5293"/>
  <c r="H45" i="5293"/>
  <c r="H6" i="5291"/>
  <c r="H10" i="5291"/>
  <c r="H16" i="5291"/>
  <c r="H23" i="5291"/>
  <c r="H12" i="5291"/>
  <c r="H2" i="5291"/>
  <c r="H4" i="5291"/>
  <c r="H20" i="5291"/>
  <c r="H8" i="5291"/>
  <c r="H26" i="5291"/>
  <c r="C17" i="5291"/>
  <c r="C19" i="5291"/>
  <c r="H14" i="5291"/>
  <c r="H7" i="5291"/>
  <c r="H3" i="5291"/>
  <c r="H11" i="5291"/>
  <c r="H21" i="5291"/>
  <c r="H32" i="5291"/>
  <c r="C18" i="5291"/>
  <c r="B23" i="5291"/>
  <c r="H30" i="5291"/>
  <c r="H39" i="5291"/>
  <c r="H46" i="5291"/>
  <c r="H34" i="5291"/>
  <c r="H28" i="5291"/>
  <c r="H17" i="5291"/>
  <c r="H40" i="5291"/>
  <c r="H47" i="5291"/>
  <c r="H22" i="5291"/>
  <c r="H41" i="5291"/>
  <c r="H48" i="5291"/>
  <c r="H15" i="5291"/>
  <c r="H13" i="5291"/>
  <c r="H24" i="5291"/>
  <c r="H33" i="5291"/>
  <c r="H49" i="5291"/>
  <c r="H25" i="5291"/>
  <c r="H36" i="5291"/>
  <c r="H42" i="5291"/>
  <c r="H50" i="5291"/>
  <c r="H35" i="5291"/>
  <c r="H29" i="5291"/>
  <c r="H31" i="5291"/>
  <c r="H43" i="5291"/>
  <c r="H51" i="5291"/>
  <c r="H37" i="5291"/>
  <c r="H44" i="5291"/>
  <c r="H19" i="5291"/>
  <c r="H18" i="5291"/>
  <c r="H27" i="5291"/>
  <c r="H9" i="5291"/>
  <c r="H38" i="5291"/>
  <c r="H45" i="529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<sst xmlns="http://schemas.openxmlformats.org/spreadsheetml/2006/main" count="3844" uniqueCount="240">
  <si>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</si>
  <si>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</si>
  <si>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</si>
  <si>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</si>
  <si>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</si>
  <si>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</si>
  <si>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</si>
  <si>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</si>
  <si>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</si>
  <si>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</si>
  <si>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</si>
  <si>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</si>
  <si>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</si>
  <si>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</si>
  <si>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</si>
  <si>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</si>
  <si>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</si>
  <si>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</si>
  <si>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</si>
  <si>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</si>
  <si>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</si>
  <si>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</si>
  <si>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</si>
  <si>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</si>
  <si>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</si>
  <si>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</si>
  <si>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</si>
  <si>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</si>
  <si>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</si>
  <si>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</si>
  <si>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</si>
  <si>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</si>
  <si>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</si>
  <si>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</si>
  <si>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</si>
  <si>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</si>
  <si>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</si>
  <si>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</si>
  <si>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</si>
  <si>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</si>
  <si>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</si>
  <si>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</si>
  <si>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</si>
  <si>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</si>
  <si>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</si>
  <si>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</si>
  <si>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</si>
  <si>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</si>
  <si>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</si>
  <si>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</si>
  <si>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</si>
  <si>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</si>
  <si>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</si>
  <si>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</si>
  <si>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</si>
  <si>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</si>
  <si>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</si>
  <si>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</si>
  <si>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</si>
  <si>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</si>
  <si>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</si>
  <si>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</si>
  <si>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</si>
  <si>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</si>
  <si>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</si>
  <si>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</si>
  <si>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</si>
  <si>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</si>
  <si>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</si>
  <si>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</si>
  <si>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</si>
  <si>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</si>
  <si>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</si>
  <si>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</si>
  <si>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</si>
  <si>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</si>
  <si>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</si>
  <si>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</si>
  <si>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</si>
  <si>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</si>
  <si>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</si>
  <si>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</si>
  <si>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</si>
  <si>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</si>
  <si>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</si>
  <si>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</si>
  <si>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</si>
  <si>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</si>
  <si>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</si>
  <si>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</si>
  <si>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</si>
  <si>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</si>
  <si>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</si>
  <si>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</si>
  <si>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</si>
  <si>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</si>
  <si>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</si>
  <si>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</si>
  <si>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</si>
  <si>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</si>
  <si>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</si>
  <si>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</si>
  <si>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</si>
  <si>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</si>
  <si>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</si>
  <si>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</si>
  <si>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</si>
  <si>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</si>
  <si>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</si>
  <si>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</si>
  <si>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</si>
  <si>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</si>
  <si>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</si>
  <si>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</si>
  <si>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</si>
  <si>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</si>
  <si>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</si>
  <si>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</si>
  <si>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</si>
  <si>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</si>
  <si>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</si>
  <si>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</si>
  <si>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</si>
  <si>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</si>
  <si>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</si>
  <si>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</si>
  <si>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</si>
  <si>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</si>
  <si>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</si>
  <si>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</si>
  <si>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</si>
  <si>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</si>
  <si>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</si>
  <si>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</si>
  <si>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</si>
  <si>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</si>
  <si>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</si>
  <si>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</si>
  <si>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</si>
  <si>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</si>
  <si>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</si>
  <si>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</si>
  <si>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</si>
  <si>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</si>
  <si>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</si>
  <si>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</si>
  <si>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</si>
  <si>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</si>
  <si>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</si>
  <si>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</si>
  <si>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</si>
  <si>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</si>
  <si>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</si>
  <si>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</si>
  <si>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</si>
  <si>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</si>
  <si>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</si>
  <si>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</si>
  <si>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</si>
  <si>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</si>
  <si>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</si>
  <si>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</si>
  <si>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</si>
  <si>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</si>
  <si>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</si>
  <si>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</si>
  <si>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</si>
  <si>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</si>
  <si>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</si>
  <si>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</si>
  <si>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</si>
  <si>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</si>
  <si>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</si>
  <si>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</si>
  <si>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</si>
  <si>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</si>
  <si>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</si>
  <si>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</si>
  <si>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</si>
  <si>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</si>
  <si>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</si>
  <si>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</si>
  <si>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</si>
  <si>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</si>
  <si>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</si>
  <si>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</si>
  <si>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</si>
  <si>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</si>
  <si>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</si>
  <si>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</si>
  <si>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</si>
  <si>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</si>
  <si>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</si>
  <si>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</si>
  <si>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</si>
  <si>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</si>
  <si>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</si>
  <si>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</si>
  <si>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</si>
  <si>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</si>
  <si>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</si>
  <si>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</si>
  <si>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</si>
  <si>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</si>
  <si>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</si>
  <si>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</si>
  <si>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</si>
  <si>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</si>
  <si>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</si>
  <si>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</si>
  <si>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</si>
  <si>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</si>
  <si>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</si>
  <si>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</si>
  <si>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</si>
  <si>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</si>
  <si>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</si>
  <si>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</si>
  <si>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</si>
  <si>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</si>
  <si>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</si>
  <si>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</si>
  <si>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</si>
  <si>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</si>
  <si>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</si>
  <si>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</si>
  <si>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</si>
  <si>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</si>
  <si>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</si>
  <si>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</si>
  <si>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</si>
  <si>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</si>
  <si>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</si>
  <si>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</si>
  <si>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</si>
  <si>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</si>
  <si>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</si>
  <si>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Player2</t>
  </si>
  <si>
    <t>Player3</t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</si>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</sst>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5.xml"/><Relationship Id="rId47" Type="http://schemas.openxmlformats.org/officeDocument/2006/relationships/chartsheet" Target="chartsheets/sheet10.xml"/><Relationship Id="rId50" Type="http://schemas.openxmlformats.org/officeDocument/2006/relationships/chartsheet" Target="chartsheets/sheet13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1.xml"/><Relationship Id="rId46" Type="http://schemas.openxmlformats.org/officeDocument/2006/relationships/chartsheet" Target="chartsheets/sheet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4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hartsheet" Target="chartsheets/sheet3.xml"/><Relationship Id="rId45" Type="http://schemas.openxmlformats.org/officeDocument/2006/relationships/chartsheet" Target="chartsheets/sheet8.xml"/><Relationship Id="rId53" Type="http://schemas.openxmlformats.org/officeDocument/2006/relationships/chartsheet" Target="chartsheets/sheet16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hartsheet" Target="chartsheets/sheet12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7.xml"/><Relationship Id="rId52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6.xml"/><Relationship Id="rId48" Type="http://schemas.openxmlformats.org/officeDocument/2006/relationships/chartsheet" Target="chartsheets/sheet1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4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全体!$K$2:$K$533</c:f>
              <c:numCache>
                <c:formatCode>General</c:formatCode>
                <c:ptCount val="5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</c:numCache>
            </c:numRef>
          </c:xVal>
          <c:yVal>
            <c:numRef>
              <c:f>全体!$L$2:$L$533</c:f>
              <c:numCache>
                <c:formatCode>\+0.0;\-0.0;\±0</c:formatCode>
                <c:ptCount val="53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7.1054273576010019E-15</c:v>
                </c:pt>
                <c:pt idx="527">
                  <c:v>7.1054273576010019E-15</c:v>
                </c:pt>
                <c:pt idx="528">
                  <c:v>7.1054273576010019E-15</c:v>
                </c:pt>
                <c:pt idx="529">
                  <c:v>36.400000000000006</c:v>
                </c:pt>
                <c:pt idx="530">
                  <c:v>-6.5999999999999943</c:v>
                </c:pt>
                <c:pt idx="531">
                  <c:v>-0.99999999999999467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13-4F42-954D-C61C389BF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-15.151515151515152</c:v>
                </c:pt>
                <c:pt idx="1">
                  <c:v>-7.7519379844961236</c:v>
                </c:pt>
                <c:pt idx="2">
                  <c:v>12.269938650306749</c:v>
                </c:pt>
                <c:pt idx="3">
                  <c:v>6.8027210884353737</c:v>
                </c:pt>
                <c:pt idx="4">
                  <c:v>-15.151515151515152</c:v>
                </c:pt>
                <c:pt idx="5">
                  <c:v>22.222222222222221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91-43B9-8904-6BD428EED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だいち!$L$2:$L$119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1508.3000000000011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4-46E3-85D3-CC936E0CD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1703.4188034188035</c:v>
                </c:pt>
                <c:pt idx="1">
                  <c:v>1350</c:v>
                </c:pt>
                <c:pt idx="2">
                  <c:v>1535.7798165137615</c:v>
                </c:pt>
                <c:pt idx="3">
                  <c:v>2415.151515151515</c:v>
                </c:pt>
                <c:pt idx="4">
                  <c:v>871.26436781609198</c:v>
                </c:pt>
                <c:pt idx="5">
                  <c:v>361.03896103896102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6-418A-9633-3D1C61A29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AC-4DCF-A3F4-76CF2F16A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B-42E4-966B-A58DA17C1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ただ!$L$2:$L$65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D4-4136-BC87-15E02372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-2131.7460317460318</c:v>
                </c:pt>
                <c:pt idx="1">
                  <c:v>-1208.1967213114754</c:v>
                </c:pt>
                <c:pt idx="2">
                  <c:v>-1036.8421052631579</c:v>
                </c:pt>
                <c:pt idx="3">
                  <c:v>-5836.7346938775509</c:v>
                </c:pt>
                <c:pt idx="4">
                  <c:v>-1493.0232558139535</c:v>
                </c:pt>
                <c:pt idx="5">
                  <c:v>-1722.5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3-46D3-A43E-95CEF0166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7-4494-8392-68E0F43DF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-922.22222222222217</c:v>
                </c:pt>
                <c:pt idx="1">
                  <c:v>638.02816901408448</c:v>
                </c:pt>
                <c:pt idx="2">
                  <c:v>1588.0597014925372</c:v>
                </c:pt>
                <c:pt idx="3">
                  <c:v>2305.2631578947367</c:v>
                </c:pt>
                <c:pt idx="4">
                  <c:v>-1188.2352941176471</c:v>
                </c:pt>
                <c:pt idx="5">
                  <c:v>642.55319148936167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C-45A5-AFAB-CCFCA73CC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1-4E9A-ADB7-0DA28EF56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403.44827586206895</c:v>
                </c:pt>
                <c:pt idx="1">
                  <c:v>498.27586206896552</c:v>
                </c:pt>
                <c:pt idx="2">
                  <c:v>-1013.4615384615385</c:v>
                </c:pt>
                <c:pt idx="3">
                  <c:v>216.32653061224491</c:v>
                </c:pt>
                <c:pt idx="4">
                  <c:v>487.5</c:v>
                </c:pt>
                <c:pt idx="5">
                  <c:v>-669.04761904761904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6-42D5-8294-7FC831CC5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E4-40EA-989F-3A5F87F72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93-4CF5-8C63-992EC3F39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E-4167-936E-96E4BEC24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962.5</c:v>
                </c:pt>
                <c:pt idx="1">
                  <c:v>618.42105263157896</c:v>
                </c:pt>
                <c:pt idx="2">
                  <c:v>-1642.8571428571429</c:v>
                </c:pt>
                <c:pt idx="3">
                  <c:v>1826.4705882352941</c:v>
                </c:pt>
                <c:pt idx="4">
                  <c:v>-1270</c:v>
                </c:pt>
                <c:pt idx="5">
                  <c:v>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3-42C3-B1D0-07F224ADF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E-4AF3-8F7C-B93D0C949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6-4A65-A54A-287437EF6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CC-4F3B-9125-EA990021E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48-4DDE-9223-4184F7BE0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6-432F-A98B-8C6302AE7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3-40AF-A5F3-D78CE763F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F-4FA5-8BEE-47C551E40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7-4199-9561-5B87002C7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F-4522-B4D1-7E70D68B3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9-4E19-B7F6-7F897680B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Player1!$K$2:$K$3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Player1!$L$2:$L$3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32-4337-9B61-ED969B6F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Player1!$O$2:$O$7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2-46FF-B9F8-D97D56FCC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Player2!$K$2:$K$3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Player2!$L$2:$L$3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6-43D4-AB47-30FE8928E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Player2!$N$2:$N$7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Player2!$O$2:$O$7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6-4F49-A514-11CADB00A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Player3!$L$1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Player3!$K$2:$K$3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Player3!$L$2:$L$3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6-453E-88C9-09BCF65E0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Player3!$O$1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Player3!$N$2:$N$7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Player3!$O$2:$O$7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2-4BA0-A0F8-1873DDE3C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たかの2!$B$3:$B$61</c:f>
              <c:numCache>
                <c:formatCode>\+0.0;\-0.0;\±0</c:formatCode>
                <c:ptCount val="5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94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たかの2!$C$3:$C$61</c:f>
              <c:numCache>
                <c:formatCode>\+0.0;\-0.0;\±0</c:formatCode>
                <c:ptCount val="59"/>
                <c:pt idx="1">
                  <c:v>11.1</c:v>
                </c:pt>
                <c:pt idx="2">
                  <c:v>-3.8500000000000005</c:v>
                </c:pt>
                <c:pt idx="3">
                  <c:v>0.59999999999999964</c:v>
                </c:pt>
                <c:pt idx="4">
                  <c:v>8.7249999999999996</c:v>
                </c:pt>
                <c:pt idx="5">
                  <c:v>5.88</c:v>
                </c:pt>
                <c:pt idx="6">
                  <c:v>0.71666666666666623</c:v>
                </c:pt>
                <c:pt idx="7">
                  <c:v>1.1142857142857139</c:v>
                </c:pt>
                <c:pt idx="8">
                  <c:v>-3.6875</c:v>
                </c:pt>
                <c:pt idx="9">
                  <c:v>-6.2777777777777777</c:v>
                </c:pt>
                <c:pt idx="10">
                  <c:v>2.4200000000000004</c:v>
                </c:pt>
                <c:pt idx="11">
                  <c:v>6.745454545454546</c:v>
                </c:pt>
                <c:pt idx="12">
                  <c:v>3.8416666666666668</c:v>
                </c:pt>
                <c:pt idx="13">
                  <c:v>-0.23076923076923078</c:v>
                </c:pt>
                <c:pt idx="14">
                  <c:v>-0.87857142857142867</c:v>
                </c:pt>
                <c:pt idx="15">
                  <c:v>-5.3533333333333335</c:v>
                </c:pt>
                <c:pt idx="16">
                  <c:v>-5.4749999999999996</c:v>
                </c:pt>
                <c:pt idx="17">
                  <c:v>-3.2411764705882349</c:v>
                </c:pt>
                <c:pt idx="18">
                  <c:v>-1.5666666666666664</c:v>
                </c:pt>
                <c:pt idx="19">
                  <c:v>1.536842105263158</c:v>
                </c:pt>
                <c:pt idx="20">
                  <c:v>2.15</c:v>
                </c:pt>
                <c:pt idx="21">
                  <c:v>4.2809523809523808</c:v>
                </c:pt>
                <c:pt idx="22">
                  <c:v>2.4863636363636363</c:v>
                </c:pt>
                <c:pt idx="23">
                  <c:v>-0.23478260869565212</c:v>
                </c:pt>
                <c:pt idx="24">
                  <c:v>2.8708333333333336</c:v>
                </c:pt>
                <c:pt idx="25">
                  <c:v>1.2160000000000002</c:v>
                </c:pt>
                <c:pt idx="26">
                  <c:v>1.2653846153846156</c:v>
                </c:pt>
                <c:pt idx="27">
                  <c:v>1.4962962962962965</c:v>
                </c:pt>
                <c:pt idx="28">
                  <c:v>0.2964285714285716</c:v>
                </c:pt>
                <c:pt idx="29">
                  <c:v>3.1310344827586212</c:v>
                </c:pt>
                <c:pt idx="30">
                  <c:v>2.1100000000000003</c:v>
                </c:pt>
                <c:pt idx="31">
                  <c:v>3.6903225806451614</c:v>
                </c:pt>
                <c:pt idx="32">
                  <c:v>2.4031250000000002</c:v>
                </c:pt>
                <c:pt idx="33">
                  <c:v>1.2878787878787881</c:v>
                </c:pt>
                <c:pt idx="34">
                  <c:v>0.2882352941176472</c:v>
                </c:pt>
                <c:pt idx="35">
                  <c:v>-0.23714285714285707</c:v>
                </c:pt>
                <c:pt idx="36">
                  <c:v>-0.26944444444444438</c:v>
                </c:pt>
                <c:pt idx="37">
                  <c:v>0.81081081081081097</c:v>
                </c:pt>
                <c:pt idx="38">
                  <c:v>0.84473684210526334</c:v>
                </c:pt>
                <c:pt idx="39">
                  <c:v>1.6102564102564105</c:v>
                </c:pt>
                <c:pt idx="40">
                  <c:v>0.94250000000000023</c:v>
                </c:pt>
                <c:pt idx="41">
                  <c:v>1.1439024390243904</c:v>
                </c:pt>
                <c:pt idx="42">
                  <c:v>1.0071428571428573</c:v>
                </c:pt>
                <c:pt idx="43">
                  <c:v>-0.76744186046511609</c:v>
                </c:pt>
                <c:pt idx="44">
                  <c:v>-0.63636363636363624</c:v>
                </c:pt>
                <c:pt idx="45">
                  <c:v>-0.56222222222222207</c:v>
                </c:pt>
                <c:pt idx="46">
                  <c:v>0.28043478260869587</c:v>
                </c:pt>
                <c:pt idx="47">
                  <c:v>0.9765957446808512</c:v>
                </c:pt>
                <c:pt idx="48">
                  <c:v>2.3208333333333333</c:v>
                </c:pt>
                <c:pt idx="49">
                  <c:v>2.306122448979592</c:v>
                </c:pt>
                <c:pt idx="50">
                  <c:v>2.1259999999999999</c:v>
                </c:pt>
                <c:pt idx="51">
                  <c:v>2.2235294117647055</c:v>
                </c:pt>
                <c:pt idx="52">
                  <c:v>1.9</c:v>
                </c:pt>
                <c:pt idx="53">
                  <c:v>1.2301886792452827</c:v>
                </c:pt>
                <c:pt idx="54">
                  <c:v>1.0296296296296295</c:v>
                </c:pt>
                <c:pt idx="55">
                  <c:v>0.63090909090909075</c:v>
                </c:pt>
                <c:pt idx="56">
                  <c:v>-0.1428571428571431</c:v>
                </c:pt>
                <c:pt idx="57">
                  <c:v>-0.10526315789473709</c:v>
                </c:pt>
                <c:pt idx="58">
                  <c:v>-6.8965517241381825E-3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832391713747545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たかの2!$D$3:$D$61</c:f>
              <c:numCache>
                <c:formatCode>0.00\ "位"</c:formatCode>
                <c:ptCount val="59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2.1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2.1176470588235294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1.9523809523809523</c:v>
                </c:pt>
                <c:pt idx="22">
                  <c:v>2</c:v>
                </c:pt>
                <c:pt idx="23">
                  <c:v>2.0434782608695654</c:v>
                </c:pt>
                <c:pt idx="24">
                  <c:v>2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2.0344827586206895</c:v>
                </c:pt>
                <c:pt idx="30">
                  <c:v>2.0666666666666669</c:v>
                </c:pt>
                <c:pt idx="31">
                  <c:v>2.032258064516129</c:v>
                </c:pt>
                <c:pt idx="32">
                  <c:v>2.0625</c:v>
                </c:pt>
                <c:pt idx="33">
                  <c:v>2.0909090909090908</c:v>
                </c:pt>
                <c:pt idx="34">
                  <c:v>2.1176470588235294</c:v>
                </c:pt>
                <c:pt idx="35">
                  <c:v>2.1142857142857143</c:v>
                </c:pt>
                <c:pt idx="36">
                  <c:v>2.1111111111111112</c:v>
                </c:pt>
                <c:pt idx="37">
                  <c:v>2.0810810810810811</c:v>
                </c:pt>
                <c:pt idx="38">
                  <c:v>2.0789473684210527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2.0731707317073171</c:v>
                </c:pt>
                <c:pt idx="42">
                  <c:v>2.0714285714285716</c:v>
                </c:pt>
                <c:pt idx="43">
                  <c:v>2.0930232558139537</c:v>
                </c:pt>
                <c:pt idx="44">
                  <c:v>2.0909090909090908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2.0425531914893615</c:v>
                </c:pt>
                <c:pt idx="48">
                  <c:v>2.0208333333333335</c:v>
                </c:pt>
                <c:pt idx="49">
                  <c:v>2.0204081632653059</c:v>
                </c:pt>
                <c:pt idx="50">
                  <c:v>2.02</c:v>
                </c:pt>
                <c:pt idx="51">
                  <c:v>2.0196078431372548</c:v>
                </c:pt>
                <c:pt idx="52">
                  <c:v>2.0192307692307692</c:v>
                </c:pt>
                <c:pt idx="53">
                  <c:v>2.0377358490566038</c:v>
                </c:pt>
                <c:pt idx="54">
                  <c:v>2.0370370370370372</c:v>
                </c:pt>
                <c:pt idx="55">
                  <c:v>2.0363636363636362</c:v>
                </c:pt>
                <c:pt idx="56">
                  <c:v>2.0535714285714284</c:v>
                </c:pt>
                <c:pt idx="57">
                  <c:v>2.0526315789473686</c:v>
                </c:pt>
                <c:pt idx="58">
                  <c:v>2.0517241379310347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43502824858756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たかの2!$E$3:$E$61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0.27777777777777779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</c:v>
                </c:pt>
                <c:pt idx="41">
                  <c:v>0.29268292682926828</c:v>
                </c:pt>
                <c:pt idx="42">
                  <c:v>0.2857142857142857</c:v>
                </c:pt>
                <c:pt idx="43">
                  <c:v>0.27906976744186046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0.2978723404255319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0.29411764705882354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099811676082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たかの2!$F$3:$F$61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0.39393939393939392</c:v>
                </c:pt>
                <c:pt idx="34">
                  <c:v>0.41176470588235292</c:v>
                </c:pt>
                <c:pt idx="35">
                  <c:v>0.4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0.37209302325581395</c:v>
                </c:pt>
                <c:pt idx="44">
                  <c:v>0.36363636363636365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0.34042553191489361</c:v>
                </c:pt>
                <c:pt idx="48">
                  <c:v>0.33333333333333331</c:v>
                </c:pt>
                <c:pt idx="49">
                  <c:v>0.32653061224489793</c:v>
                </c:pt>
                <c:pt idx="50">
                  <c:v>0.32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450094161958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たかの2!$G$3:$G$61</c:f>
              <c:numCache>
                <c:formatCode>0.0%</c:formatCode>
                <c:ptCount val="59"/>
                <c:pt idx="1">
                  <c:v>0.14285714285714285</c:v>
                </c:pt>
                <c:pt idx="2">
                  <c:v>0.125</c:v>
                </c:pt>
                <c:pt idx="3">
                  <c:v>0.25</c:v>
                </c:pt>
                <c:pt idx="4">
                  <c:v>0.2857142857142857</c:v>
                </c:pt>
                <c:pt idx="5">
                  <c:v>0.27500000000000002</c:v>
                </c:pt>
                <c:pt idx="6">
                  <c:v>0.2978723404255319</c:v>
                </c:pt>
                <c:pt idx="7">
                  <c:v>0.30909090909090908</c:v>
                </c:pt>
                <c:pt idx="8">
                  <c:v>0.27868852459016391</c:v>
                </c:pt>
                <c:pt idx="9">
                  <c:v>0.29577464788732394</c:v>
                </c:pt>
                <c:pt idx="10">
                  <c:v>0.35064935064935066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0.3619047619047619</c:v>
                </c:pt>
                <c:pt idx="14">
                  <c:v>0.35135135135135137</c:v>
                </c:pt>
                <c:pt idx="15">
                  <c:v>0.32773109243697479</c:v>
                </c:pt>
                <c:pt idx="16">
                  <c:v>0.32258064516129031</c:v>
                </c:pt>
                <c:pt idx="17">
                  <c:v>0.32575757575757575</c:v>
                </c:pt>
                <c:pt idx="18">
                  <c:v>0.33571428571428569</c:v>
                </c:pt>
                <c:pt idx="19">
                  <c:v>0.34693877551020408</c:v>
                </c:pt>
                <c:pt idx="20">
                  <c:v>0.35802469135802467</c:v>
                </c:pt>
                <c:pt idx="21">
                  <c:v>0.35260115606936415</c:v>
                </c:pt>
                <c:pt idx="22">
                  <c:v>0.34615384615384615</c:v>
                </c:pt>
                <c:pt idx="23">
                  <c:v>0.33333333333333331</c:v>
                </c:pt>
                <c:pt idx="24">
                  <c:v>0.34358974358974359</c:v>
                </c:pt>
                <c:pt idx="25">
                  <c:v>0.3446601941747573</c:v>
                </c:pt>
                <c:pt idx="26">
                  <c:v>0.34579439252336447</c:v>
                </c:pt>
                <c:pt idx="27">
                  <c:v>0.34080717488789236</c:v>
                </c:pt>
                <c:pt idx="28">
                  <c:v>0.34334763948497854</c:v>
                </c:pt>
                <c:pt idx="29">
                  <c:v>0.35390946502057613</c:v>
                </c:pt>
                <c:pt idx="30">
                  <c:v>0.34901960784313724</c:v>
                </c:pt>
                <c:pt idx="31">
                  <c:v>0.35114503816793891</c:v>
                </c:pt>
                <c:pt idx="32">
                  <c:v>0.35164835164835168</c:v>
                </c:pt>
                <c:pt idx="33">
                  <c:v>0.3475177304964539</c:v>
                </c:pt>
                <c:pt idx="34">
                  <c:v>0.34602076124567471</c:v>
                </c:pt>
                <c:pt idx="35">
                  <c:v>0.35016835016835018</c:v>
                </c:pt>
                <c:pt idx="36">
                  <c:v>0.35197368421052633</c:v>
                </c:pt>
                <c:pt idx="37">
                  <c:v>0.35576923076923078</c:v>
                </c:pt>
                <c:pt idx="38">
                  <c:v>0.3611111111111111</c:v>
                </c:pt>
                <c:pt idx="39">
                  <c:v>0.36445783132530118</c:v>
                </c:pt>
                <c:pt idx="40">
                  <c:v>0.36549707602339182</c:v>
                </c:pt>
                <c:pt idx="41">
                  <c:v>0.36752136752136755</c:v>
                </c:pt>
                <c:pt idx="42">
                  <c:v>0.36684782608695654</c:v>
                </c:pt>
                <c:pt idx="43">
                  <c:v>0.36533333333333334</c:v>
                </c:pt>
                <c:pt idx="44">
                  <c:v>0.36363636363636365</c:v>
                </c:pt>
                <c:pt idx="45">
                  <c:v>0.36479591836734693</c:v>
                </c:pt>
                <c:pt idx="46">
                  <c:v>0.36724565756823824</c:v>
                </c:pt>
                <c:pt idx="47">
                  <c:v>0.36407766990291263</c:v>
                </c:pt>
                <c:pt idx="48">
                  <c:v>0.36966824644549762</c:v>
                </c:pt>
                <c:pt idx="49">
                  <c:v>0.37296037296037299</c:v>
                </c:pt>
                <c:pt idx="50">
                  <c:v>0.36842105263157893</c:v>
                </c:pt>
                <c:pt idx="51">
                  <c:v>0.3724604966139955</c:v>
                </c:pt>
                <c:pt idx="52">
                  <c:v>0.37333333333333335</c:v>
                </c:pt>
                <c:pt idx="53">
                  <c:v>0.36899563318777295</c:v>
                </c:pt>
                <c:pt idx="54">
                  <c:v>0.37130801687763715</c:v>
                </c:pt>
                <c:pt idx="55">
                  <c:v>0.36776859504132231</c:v>
                </c:pt>
                <c:pt idx="56">
                  <c:v>0.36456211812627293</c:v>
                </c:pt>
                <c:pt idx="57">
                  <c:v>0.36363636363636365</c:v>
                </c:pt>
                <c:pt idx="58">
                  <c:v>0.36220472440944884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90966576332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たかの2!$H$3:$H$61</c:f>
              <c:numCache>
                <c:formatCode>0.0%</c:formatCode>
                <c:ptCount val="59"/>
                <c:pt idx="1">
                  <c:v>0.14285714285714285</c:v>
                </c:pt>
                <c:pt idx="2">
                  <c:v>0.125</c:v>
                </c:pt>
                <c:pt idx="3">
                  <c:v>0.1</c:v>
                </c:pt>
                <c:pt idx="4">
                  <c:v>0.10714285714285714</c:v>
                </c:pt>
                <c:pt idx="5">
                  <c:v>0.125</c:v>
                </c:pt>
                <c:pt idx="6">
                  <c:v>0.1702127659574468</c:v>
                </c:pt>
                <c:pt idx="7">
                  <c:v>0.16363636363636364</c:v>
                </c:pt>
                <c:pt idx="8">
                  <c:v>0.16393442622950818</c:v>
                </c:pt>
                <c:pt idx="9">
                  <c:v>0.18309859154929578</c:v>
                </c:pt>
                <c:pt idx="10">
                  <c:v>0.16883116883116883</c:v>
                </c:pt>
                <c:pt idx="11">
                  <c:v>0.14606741573033707</c:v>
                </c:pt>
                <c:pt idx="12">
                  <c:v>0.15625</c:v>
                </c:pt>
                <c:pt idx="13">
                  <c:v>0.16190476190476191</c:v>
                </c:pt>
                <c:pt idx="14">
                  <c:v>0.15315315315315314</c:v>
                </c:pt>
                <c:pt idx="15">
                  <c:v>0.15966386554621848</c:v>
                </c:pt>
                <c:pt idx="16">
                  <c:v>0.15322580645161291</c:v>
                </c:pt>
                <c:pt idx="17">
                  <c:v>0.14393939393939395</c:v>
                </c:pt>
                <c:pt idx="18">
                  <c:v>0.1357142857142857</c:v>
                </c:pt>
                <c:pt idx="19">
                  <c:v>0.1360544217687075</c:v>
                </c:pt>
                <c:pt idx="20">
                  <c:v>0.13580246913580246</c:v>
                </c:pt>
                <c:pt idx="21">
                  <c:v>0.13294797687861271</c:v>
                </c:pt>
                <c:pt idx="22">
                  <c:v>0.13736263736263737</c:v>
                </c:pt>
                <c:pt idx="23">
                  <c:v>0.14285714285714285</c:v>
                </c:pt>
                <c:pt idx="24">
                  <c:v>0.13846153846153847</c:v>
                </c:pt>
                <c:pt idx="25">
                  <c:v>0.14563106796116504</c:v>
                </c:pt>
                <c:pt idx="26">
                  <c:v>0.14018691588785046</c:v>
                </c:pt>
                <c:pt idx="27">
                  <c:v>0.13452914798206278</c:v>
                </c:pt>
                <c:pt idx="28">
                  <c:v>0.14592274678111589</c:v>
                </c:pt>
                <c:pt idx="29">
                  <c:v>0.1440329218106996</c:v>
                </c:pt>
                <c:pt idx="30">
                  <c:v>0.14509803921568629</c:v>
                </c:pt>
                <c:pt idx="31">
                  <c:v>0.14503816793893129</c:v>
                </c:pt>
                <c:pt idx="32">
                  <c:v>0.14285714285714285</c:v>
                </c:pt>
                <c:pt idx="33">
                  <c:v>0.14184397163120568</c:v>
                </c:pt>
                <c:pt idx="34">
                  <c:v>0.14878892733564014</c:v>
                </c:pt>
                <c:pt idx="35">
                  <c:v>0.14814814814814814</c:v>
                </c:pt>
                <c:pt idx="36">
                  <c:v>0.14473684210526316</c:v>
                </c:pt>
                <c:pt idx="37">
                  <c:v>0.14102564102564102</c:v>
                </c:pt>
                <c:pt idx="38">
                  <c:v>0.14506172839506173</c:v>
                </c:pt>
                <c:pt idx="39">
                  <c:v>0.14156626506024098</c:v>
                </c:pt>
                <c:pt idx="40">
                  <c:v>0.14035087719298245</c:v>
                </c:pt>
                <c:pt idx="41">
                  <c:v>0.1396011396011396</c:v>
                </c:pt>
                <c:pt idx="42">
                  <c:v>0.1358695652173913</c:v>
                </c:pt>
                <c:pt idx="43">
                  <c:v>0.14133333333333334</c:v>
                </c:pt>
                <c:pt idx="44">
                  <c:v>0.13766233766233765</c:v>
                </c:pt>
                <c:pt idx="45">
                  <c:v>0.13520408163265307</c:v>
                </c:pt>
                <c:pt idx="46">
                  <c:v>0.13399503722084366</c:v>
                </c:pt>
                <c:pt idx="47">
                  <c:v>0.13349514563106796</c:v>
                </c:pt>
                <c:pt idx="48">
                  <c:v>0.13033175355450238</c:v>
                </c:pt>
                <c:pt idx="49">
                  <c:v>0.13053613053613053</c:v>
                </c:pt>
                <c:pt idx="50">
                  <c:v>0.13043478260869565</c:v>
                </c:pt>
                <c:pt idx="51">
                  <c:v>0.12866817155756208</c:v>
                </c:pt>
                <c:pt idx="52">
                  <c:v>0.13333333333333333</c:v>
                </c:pt>
                <c:pt idx="53">
                  <c:v>0.1331877729257642</c:v>
                </c:pt>
                <c:pt idx="54">
                  <c:v>0.13291139240506328</c:v>
                </c:pt>
                <c:pt idx="55">
                  <c:v>0.13016528925619836</c:v>
                </c:pt>
                <c:pt idx="56">
                  <c:v>0.13238289205702647</c:v>
                </c:pt>
                <c:pt idx="57">
                  <c:v>0.13131313131313133</c:v>
                </c:pt>
                <c:pt idx="58">
                  <c:v>0.12992125984251968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214995483288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たかの2!$I$3:$I$61</c:f>
              <c:numCache>
                <c:formatCode>0</c:formatCode>
                <c:ptCount val="59"/>
                <c:pt idx="1">
                  <c:v>8000</c:v>
                </c:pt>
                <c:pt idx="2">
                  <c:v>5050</c:v>
                </c:pt>
                <c:pt idx="3">
                  <c:v>3520</c:v>
                </c:pt>
                <c:pt idx="4">
                  <c:v>4662.5</c:v>
                </c:pt>
                <c:pt idx="5">
                  <c:v>5318.181818181818</c:v>
                </c:pt>
                <c:pt idx="6">
                  <c:v>5121.4285714285716</c:v>
                </c:pt>
                <c:pt idx="7">
                  <c:v>5858.8235294117649</c:v>
                </c:pt>
                <c:pt idx="8">
                  <c:v>5858.8235294117649</c:v>
                </c:pt>
                <c:pt idx="9">
                  <c:v>6409.5238095238092</c:v>
                </c:pt>
                <c:pt idx="10">
                  <c:v>6788.8888888888887</c:v>
                </c:pt>
                <c:pt idx="11">
                  <c:v>6690.909090909091</c:v>
                </c:pt>
                <c:pt idx="12">
                  <c:v>6500</c:v>
                </c:pt>
                <c:pt idx="13">
                  <c:v>6339.4736842105267</c:v>
                </c:pt>
                <c:pt idx="14">
                  <c:v>6382.0512820512822</c:v>
                </c:pt>
                <c:pt idx="15">
                  <c:v>6382.0512820512822</c:v>
                </c:pt>
                <c:pt idx="16">
                  <c:v>6422.5</c:v>
                </c:pt>
                <c:pt idx="17">
                  <c:v>6330.2325581395353</c:v>
                </c:pt>
                <c:pt idx="18">
                  <c:v>6131.9148936170213</c:v>
                </c:pt>
                <c:pt idx="19">
                  <c:v>6884.3137254901958</c:v>
                </c:pt>
                <c:pt idx="20">
                  <c:v>6710.3448275862065</c:v>
                </c:pt>
                <c:pt idx="21">
                  <c:v>6804.9180327868853</c:v>
                </c:pt>
                <c:pt idx="22">
                  <c:v>6749.2063492063489</c:v>
                </c:pt>
                <c:pt idx="23">
                  <c:v>6749.2063492063489</c:v>
                </c:pt>
                <c:pt idx="24">
                  <c:v>7256.7164179104475</c:v>
                </c:pt>
                <c:pt idx="25">
                  <c:v>7145.070422535211</c:v>
                </c:pt>
                <c:pt idx="26">
                  <c:v>6987.8378378378375</c:v>
                </c:pt>
                <c:pt idx="27">
                  <c:v>7038.1578947368425</c:v>
                </c:pt>
                <c:pt idx="28">
                  <c:v>6993.75</c:v>
                </c:pt>
                <c:pt idx="29">
                  <c:v>7065.1162790697672</c:v>
                </c:pt>
                <c:pt idx="30">
                  <c:v>7180.8988764044943</c:v>
                </c:pt>
                <c:pt idx="31">
                  <c:v>7370.652173913043</c:v>
                </c:pt>
                <c:pt idx="32">
                  <c:v>7340.625</c:v>
                </c:pt>
                <c:pt idx="33">
                  <c:v>7260.2040816326535</c:v>
                </c:pt>
                <c:pt idx="34">
                  <c:v>7256</c:v>
                </c:pt>
                <c:pt idx="35">
                  <c:v>7118.2692307692305</c:v>
                </c:pt>
                <c:pt idx="36">
                  <c:v>7055.1401869158881</c:v>
                </c:pt>
                <c:pt idx="37">
                  <c:v>7009.9099099099103</c:v>
                </c:pt>
                <c:pt idx="38">
                  <c:v>6950.4273504273506</c:v>
                </c:pt>
                <c:pt idx="39">
                  <c:v>6833.0578512396696</c:v>
                </c:pt>
                <c:pt idx="40">
                  <c:v>6813.6</c:v>
                </c:pt>
                <c:pt idx="41">
                  <c:v>6808.5271317829456</c:v>
                </c:pt>
                <c:pt idx="42">
                  <c:v>6739.2592592592591</c:v>
                </c:pt>
                <c:pt idx="43">
                  <c:v>6741.6058394160582</c:v>
                </c:pt>
                <c:pt idx="44">
                  <c:v>6724.2857142857147</c:v>
                </c:pt>
                <c:pt idx="45">
                  <c:v>6638.4615384615381</c:v>
                </c:pt>
                <c:pt idx="46">
                  <c:v>6645.27027027027</c:v>
                </c:pt>
                <c:pt idx="47">
                  <c:v>6696</c:v>
                </c:pt>
                <c:pt idx="48">
                  <c:v>6666.0256410256407</c:v>
                </c:pt>
                <c:pt idx="49">
                  <c:v>6588.75</c:v>
                </c:pt>
                <c:pt idx="50">
                  <c:v>6597.5155279503106</c:v>
                </c:pt>
                <c:pt idx="51">
                  <c:v>6523.030303030303</c:v>
                </c:pt>
                <c:pt idx="52">
                  <c:v>6516.0714285714284</c:v>
                </c:pt>
                <c:pt idx="53">
                  <c:v>6523.0769230769229</c:v>
                </c:pt>
                <c:pt idx="54">
                  <c:v>6500.568181818182</c:v>
                </c:pt>
                <c:pt idx="55">
                  <c:v>6504.4943820224717</c:v>
                </c:pt>
                <c:pt idx="56">
                  <c:v>6535.1955307262569</c:v>
                </c:pt>
                <c:pt idx="57">
                  <c:v>6510</c:v>
                </c:pt>
                <c:pt idx="58">
                  <c:v>6528.260869565217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05.64759036144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たかの2!$J$3:$J$61</c:f>
              <c:numCache>
                <c:formatCode>0</c:formatCode>
                <c:ptCount val="59"/>
                <c:pt idx="1">
                  <c:v>-3900</c:v>
                </c:pt>
                <c:pt idx="2">
                  <c:v>-6750</c:v>
                </c:pt>
                <c:pt idx="3">
                  <c:v>-6750</c:v>
                </c:pt>
                <c:pt idx="4">
                  <c:v>-8366.6666666666661</c:v>
                </c:pt>
                <c:pt idx="5">
                  <c:v>-7400</c:v>
                </c:pt>
                <c:pt idx="6">
                  <c:v>-6487.5</c:v>
                </c:pt>
                <c:pt idx="7">
                  <c:v>-7100</c:v>
                </c:pt>
                <c:pt idx="8">
                  <c:v>-7190</c:v>
                </c:pt>
                <c:pt idx="9">
                  <c:v>-7530.7692307692305</c:v>
                </c:pt>
                <c:pt idx="10">
                  <c:v>-7530.7692307692305</c:v>
                </c:pt>
                <c:pt idx="11">
                  <c:v>-7530.7692307692305</c:v>
                </c:pt>
                <c:pt idx="12">
                  <c:v>-7213.333333333333</c:v>
                </c:pt>
                <c:pt idx="13">
                  <c:v>-7376.4705882352937</c:v>
                </c:pt>
                <c:pt idx="14">
                  <c:v>-7376.4705882352937</c:v>
                </c:pt>
                <c:pt idx="15">
                  <c:v>-8494.7368421052633</c:v>
                </c:pt>
                <c:pt idx="16">
                  <c:v>-8494.7368421052633</c:v>
                </c:pt>
                <c:pt idx="17">
                  <c:v>-8494.7368421052633</c:v>
                </c:pt>
                <c:pt idx="18">
                  <c:v>-8494.7368421052633</c:v>
                </c:pt>
                <c:pt idx="19">
                  <c:v>-8670</c:v>
                </c:pt>
                <c:pt idx="20">
                  <c:v>-8440.9090909090901</c:v>
                </c:pt>
                <c:pt idx="21">
                  <c:v>-8160.869565217391</c:v>
                </c:pt>
                <c:pt idx="22">
                  <c:v>-8384</c:v>
                </c:pt>
                <c:pt idx="23">
                  <c:v>-8785.1851851851843</c:v>
                </c:pt>
                <c:pt idx="24">
                  <c:v>-8785.1851851851843</c:v>
                </c:pt>
                <c:pt idx="25">
                  <c:v>-8900</c:v>
                </c:pt>
                <c:pt idx="26">
                  <c:v>-8900</c:v>
                </c:pt>
                <c:pt idx="27">
                  <c:v>-8900</c:v>
                </c:pt>
                <c:pt idx="28">
                  <c:v>-8932.3529411764703</c:v>
                </c:pt>
                <c:pt idx="29">
                  <c:v>-8751.4285714285706</c:v>
                </c:pt>
                <c:pt idx="30">
                  <c:v>-8851.3513513513517</c:v>
                </c:pt>
                <c:pt idx="31">
                  <c:v>-8686.8421052631584</c:v>
                </c:pt>
                <c:pt idx="32">
                  <c:v>-8612.8205128205136</c:v>
                </c:pt>
                <c:pt idx="33">
                  <c:v>-8495</c:v>
                </c:pt>
                <c:pt idx="34">
                  <c:v>-8306.9767441860458</c:v>
                </c:pt>
                <c:pt idx="35">
                  <c:v>-8481.818181818182</c:v>
                </c:pt>
                <c:pt idx="36">
                  <c:v>-8481.818181818182</c:v>
                </c:pt>
                <c:pt idx="37">
                  <c:v>-8481.818181818182</c:v>
                </c:pt>
                <c:pt idx="38">
                  <c:v>-8706.3829787234044</c:v>
                </c:pt>
                <c:pt idx="39">
                  <c:v>-8706.3829787234044</c:v>
                </c:pt>
                <c:pt idx="40">
                  <c:v>-8858.3333333333339</c:v>
                </c:pt>
                <c:pt idx="41">
                  <c:v>-8834.6938775510207</c:v>
                </c:pt>
                <c:pt idx="42">
                  <c:v>-8898</c:v>
                </c:pt>
                <c:pt idx="43">
                  <c:v>-9500</c:v>
                </c:pt>
                <c:pt idx="44">
                  <c:v>-9500</c:v>
                </c:pt>
                <c:pt idx="45">
                  <c:v>-9500</c:v>
                </c:pt>
                <c:pt idx="46">
                  <c:v>-9546.2962962962956</c:v>
                </c:pt>
                <c:pt idx="47">
                  <c:v>-9443.636363636364</c:v>
                </c:pt>
                <c:pt idx="48">
                  <c:v>-9443.636363636364</c:v>
                </c:pt>
                <c:pt idx="49">
                  <c:v>-9412.5</c:v>
                </c:pt>
                <c:pt idx="50">
                  <c:v>-9282.4561403508778</c:v>
                </c:pt>
                <c:pt idx="51">
                  <c:v>-9282.4561403508778</c:v>
                </c:pt>
                <c:pt idx="52">
                  <c:v>-9285</c:v>
                </c:pt>
                <c:pt idx="53">
                  <c:v>-9157.377049180328</c:v>
                </c:pt>
                <c:pt idx="54">
                  <c:v>-9374.6031746031749</c:v>
                </c:pt>
                <c:pt idx="55">
                  <c:v>-9374.6031746031749</c:v>
                </c:pt>
                <c:pt idx="56">
                  <c:v>-9289.2307692307695</c:v>
                </c:pt>
                <c:pt idx="57">
                  <c:v>-9289.2307692307695</c:v>
                </c:pt>
                <c:pt idx="58">
                  <c:v>-9269.69696969697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01.9021739130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たかの2!$K$3:$K$61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  <c:pt idx="45">
                  <c:v>6.6666666666666666E-2</c:v>
                </c:pt>
                <c:pt idx="46">
                  <c:v>6.5217391304347824E-2</c:v>
                </c:pt>
                <c:pt idx="47">
                  <c:v>6.3829787234042548E-2</c:v>
                </c:pt>
                <c:pt idx="48">
                  <c:v>6.25E-2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5.5555555555555552E-2</c:v>
                </c:pt>
                <c:pt idx="55">
                  <c:v>5.4545454545454543E-2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99435028248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たかの2!$L$3:$L$61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0.10909090909090909</c:v>
                </c:pt>
                <c:pt idx="56">
                  <c:v>0.10714285714285714</c:v>
                </c:pt>
                <c:pt idx="57">
                  <c:v>0.10526315789473684</c:v>
                </c:pt>
                <c:pt idx="58">
                  <c:v>0.10344827586206896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99435028248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たかの2!$M$3:$M$61</c:f>
              <c:numCache>
                <c:formatCode>0.0%</c:formatCode>
                <c:ptCount val="59"/>
                <c:pt idx="1">
                  <c:v>0</c:v>
                </c:pt>
                <c:pt idx="2">
                  <c:v>0.125</c:v>
                </c:pt>
                <c:pt idx="3">
                  <c:v>0.15</c:v>
                </c:pt>
                <c:pt idx="4">
                  <c:v>0.14285714285714285</c:v>
                </c:pt>
                <c:pt idx="5">
                  <c:v>0.15</c:v>
                </c:pt>
                <c:pt idx="6">
                  <c:v>0.14893617021276595</c:v>
                </c:pt>
                <c:pt idx="7">
                  <c:v>0.18181818181818182</c:v>
                </c:pt>
                <c:pt idx="8">
                  <c:v>0.18032786885245902</c:v>
                </c:pt>
                <c:pt idx="9">
                  <c:v>0.18309859154929578</c:v>
                </c:pt>
                <c:pt idx="10">
                  <c:v>0.23376623376623376</c:v>
                </c:pt>
                <c:pt idx="11">
                  <c:v>0.2247191011235955</c:v>
                </c:pt>
                <c:pt idx="12">
                  <c:v>0.20833333333333334</c:v>
                </c:pt>
                <c:pt idx="13">
                  <c:v>0.2</c:v>
                </c:pt>
                <c:pt idx="14">
                  <c:v>0.2072072072072072</c:v>
                </c:pt>
                <c:pt idx="15">
                  <c:v>0.20168067226890757</c:v>
                </c:pt>
                <c:pt idx="16">
                  <c:v>0.20161290322580644</c:v>
                </c:pt>
                <c:pt idx="17">
                  <c:v>0.20454545454545456</c:v>
                </c:pt>
                <c:pt idx="18">
                  <c:v>0.2</c:v>
                </c:pt>
                <c:pt idx="19">
                  <c:v>0.21088435374149661</c:v>
                </c:pt>
                <c:pt idx="20">
                  <c:v>0.20987654320987653</c:v>
                </c:pt>
                <c:pt idx="21">
                  <c:v>0.2138728323699422</c:v>
                </c:pt>
                <c:pt idx="22">
                  <c:v>0.21978021978021978</c:v>
                </c:pt>
                <c:pt idx="23">
                  <c:v>0.2275132275132275</c:v>
                </c:pt>
                <c:pt idx="24">
                  <c:v>0.23589743589743589</c:v>
                </c:pt>
                <c:pt idx="25">
                  <c:v>0.23300970873786409</c:v>
                </c:pt>
                <c:pt idx="26">
                  <c:v>0.23364485981308411</c:v>
                </c:pt>
                <c:pt idx="27">
                  <c:v>0.22421524663677131</c:v>
                </c:pt>
                <c:pt idx="28">
                  <c:v>0.22317596566523606</c:v>
                </c:pt>
                <c:pt idx="29">
                  <c:v>0.22633744855967078</c:v>
                </c:pt>
                <c:pt idx="30">
                  <c:v>0.21568627450980393</c:v>
                </c:pt>
                <c:pt idx="31">
                  <c:v>0.22137404580152673</c:v>
                </c:pt>
                <c:pt idx="32">
                  <c:v>0.21978021978021978</c:v>
                </c:pt>
                <c:pt idx="33">
                  <c:v>0.22695035460992907</c:v>
                </c:pt>
                <c:pt idx="34">
                  <c:v>0.23183391003460208</c:v>
                </c:pt>
                <c:pt idx="35">
                  <c:v>0.22895622895622897</c:v>
                </c:pt>
                <c:pt idx="36">
                  <c:v>0.23026315789473684</c:v>
                </c:pt>
                <c:pt idx="37">
                  <c:v>0.23076923076923078</c:v>
                </c:pt>
                <c:pt idx="38">
                  <c:v>0.23148148148148148</c:v>
                </c:pt>
                <c:pt idx="39">
                  <c:v>0.2289156626506024</c:v>
                </c:pt>
                <c:pt idx="40">
                  <c:v>0.23391812865497075</c:v>
                </c:pt>
                <c:pt idx="41">
                  <c:v>0.23646723646723647</c:v>
                </c:pt>
                <c:pt idx="42">
                  <c:v>0.23369565217391305</c:v>
                </c:pt>
                <c:pt idx="43">
                  <c:v>0.23200000000000001</c:v>
                </c:pt>
                <c:pt idx="44">
                  <c:v>0.23376623376623376</c:v>
                </c:pt>
                <c:pt idx="45">
                  <c:v>0.22959183673469388</c:v>
                </c:pt>
                <c:pt idx="46">
                  <c:v>0.22580645161290322</c:v>
                </c:pt>
                <c:pt idx="47">
                  <c:v>0.22330097087378642</c:v>
                </c:pt>
                <c:pt idx="48">
                  <c:v>0.22274881516587677</c:v>
                </c:pt>
                <c:pt idx="49">
                  <c:v>0.21911421911421911</c:v>
                </c:pt>
                <c:pt idx="50">
                  <c:v>0.2219679633867277</c:v>
                </c:pt>
                <c:pt idx="51">
                  <c:v>0.21896162528216703</c:v>
                </c:pt>
                <c:pt idx="52">
                  <c:v>0.22222222222222221</c:v>
                </c:pt>
                <c:pt idx="53">
                  <c:v>0.2205240174672489</c:v>
                </c:pt>
                <c:pt idx="54">
                  <c:v>0.22151898734177214</c:v>
                </c:pt>
                <c:pt idx="55">
                  <c:v>0.21694214876033058</c:v>
                </c:pt>
                <c:pt idx="56">
                  <c:v>0.21588594704684319</c:v>
                </c:pt>
                <c:pt idx="57">
                  <c:v>0.21414141414141413</c:v>
                </c:pt>
                <c:pt idx="58">
                  <c:v>0.22244094488188976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777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たかの2!$N$3:$N$61</c:f>
              <c:numCache>
                <c:formatCode>0.0%</c:formatCode>
                <c:ptCount val="59"/>
                <c:pt idx="1">
                  <c:v>0.42857142857142855</c:v>
                </c:pt>
                <c:pt idx="2">
                  <c:v>0.375</c:v>
                </c:pt>
                <c:pt idx="3">
                  <c:v>0.4</c:v>
                </c:pt>
                <c:pt idx="4">
                  <c:v>0.39285714285714285</c:v>
                </c:pt>
                <c:pt idx="5">
                  <c:v>0.35</c:v>
                </c:pt>
                <c:pt idx="6">
                  <c:v>0.36170212765957449</c:v>
                </c:pt>
                <c:pt idx="7">
                  <c:v>0.34545454545454546</c:v>
                </c:pt>
                <c:pt idx="8">
                  <c:v>0.34426229508196721</c:v>
                </c:pt>
                <c:pt idx="9">
                  <c:v>0.38028169014084506</c:v>
                </c:pt>
                <c:pt idx="10">
                  <c:v>0.36363636363636365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0.38095238095238093</c:v>
                </c:pt>
                <c:pt idx="14">
                  <c:v>0.3783783783783784</c:v>
                </c:pt>
                <c:pt idx="15">
                  <c:v>0.36974789915966388</c:v>
                </c:pt>
                <c:pt idx="16">
                  <c:v>0.35483870967741937</c:v>
                </c:pt>
                <c:pt idx="17">
                  <c:v>0.34090909090909088</c:v>
                </c:pt>
                <c:pt idx="18">
                  <c:v>0.35714285714285715</c:v>
                </c:pt>
                <c:pt idx="19">
                  <c:v>0.35374149659863946</c:v>
                </c:pt>
                <c:pt idx="20">
                  <c:v>0.36419753086419754</c:v>
                </c:pt>
                <c:pt idx="21">
                  <c:v>0.36416184971098264</c:v>
                </c:pt>
                <c:pt idx="22">
                  <c:v>0.35164835164835168</c:v>
                </c:pt>
                <c:pt idx="23">
                  <c:v>0.3439153439153439</c:v>
                </c:pt>
                <c:pt idx="24">
                  <c:v>0.33846153846153848</c:v>
                </c:pt>
                <c:pt idx="25">
                  <c:v>0.3300970873786408</c:v>
                </c:pt>
                <c:pt idx="26">
                  <c:v>0.32710280373831774</c:v>
                </c:pt>
                <c:pt idx="27">
                  <c:v>0.3452914798206278</c:v>
                </c:pt>
                <c:pt idx="28">
                  <c:v>0.33476394849785407</c:v>
                </c:pt>
                <c:pt idx="29">
                  <c:v>0.34156378600823045</c:v>
                </c:pt>
                <c:pt idx="30">
                  <c:v>0.34509803921568627</c:v>
                </c:pt>
                <c:pt idx="31">
                  <c:v>0.33969465648854963</c:v>
                </c:pt>
                <c:pt idx="32">
                  <c:v>0.32600732600732601</c:v>
                </c:pt>
                <c:pt idx="33">
                  <c:v>0.31914893617021278</c:v>
                </c:pt>
                <c:pt idx="34">
                  <c:v>0.31833910034602075</c:v>
                </c:pt>
                <c:pt idx="35">
                  <c:v>0.3164983164983165</c:v>
                </c:pt>
                <c:pt idx="36">
                  <c:v>0.3125</c:v>
                </c:pt>
                <c:pt idx="37">
                  <c:v>0.30448717948717946</c:v>
                </c:pt>
                <c:pt idx="38">
                  <c:v>0.30246913580246915</c:v>
                </c:pt>
                <c:pt idx="39">
                  <c:v>0.30120481927710846</c:v>
                </c:pt>
                <c:pt idx="40">
                  <c:v>0.30116959064327486</c:v>
                </c:pt>
                <c:pt idx="41">
                  <c:v>0.29629629629629628</c:v>
                </c:pt>
                <c:pt idx="42">
                  <c:v>0.29891304347826086</c:v>
                </c:pt>
                <c:pt idx="43">
                  <c:v>0.29866666666666669</c:v>
                </c:pt>
                <c:pt idx="44">
                  <c:v>0.29350649350649349</c:v>
                </c:pt>
                <c:pt idx="45">
                  <c:v>0.29336734693877553</c:v>
                </c:pt>
                <c:pt idx="46">
                  <c:v>0.29776674937965258</c:v>
                </c:pt>
                <c:pt idx="47">
                  <c:v>0.30339805825242716</c:v>
                </c:pt>
                <c:pt idx="48">
                  <c:v>0.30331753554502372</c:v>
                </c:pt>
                <c:pt idx="49">
                  <c:v>0.30769230769230771</c:v>
                </c:pt>
                <c:pt idx="50">
                  <c:v>0.30205949656750575</c:v>
                </c:pt>
                <c:pt idx="51">
                  <c:v>0.30474040632054178</c:v>
                </c:pt>
                <c:pt idx="52">
                  <c:v>0.30444444444444446</c:v>
                </c:pt>
                <c:pt idx="53">
                  <c:v>0.29912663755458513</c:v>
                </c:pt>
                <c:pt idx="54">
                  <c:v>0.29535864978902954</c:v>
                </c:pt>
                <c:pt idx="55">
                  <c:v>0.29545454545454547</c:v>
                </c:pt>
                <c:pt idx="56">
                  <c:v>0.29124236252545826</c:v>
                </c:pt>
                <c:pt idx="57">
                  <c:v>0.29090909090909089</c:v>
                </c:pt>
                <c:pt idx="58">
                  <c:v>0.2874015748031496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801264679313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たかの2!$O$3:$O$61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0.5714285714285714</c:v>
                </c:pt>
                <c:pt idx="7">
                  <c:v>0.7</c:v>
                </c:pt>
                <c:pt idx="8">
                  <c:v>0.63636363636363635</c:v>
                </c:pt>
                <c:pt idx="9">
                  <c:v>0.61538461538461542</c:v>
                </c:pt>
                <c:pt idx="10">
                  <c:v>0.72222222222222221</c:v>
                </c:pt>
                <c:pt idx="11">
                  <c:v>0.7</c:v>
                </c:pt>
                <c:pt idx="12">
                  <c:v>0.7</c:v>
                </c:pt>
                <c:pt idx="13">
                  <c:v>0.66666666666666663</c:v>
                </c:pt>
                <c:pt idx="14">
                  <c:v>0.65217391304347827</c:v>
                </c:pt>
                <c:pt idx="15">
                  <c:v>0.625</c:v>
                </c:pt>
                <c:pt idx="16">
                  <c:v>0.64</c:v>
                </c:pt>
                <c:pt idx="17">
                  <c:v>0.62962962962962965</c:v>
                </c:pt>
                <c:pt idx="18">
                  <c:v>0.6071428571428571</c:v>
                </c:pt>
                <c:pt idx="19">
                  <c:v>0.64516129032258063</c:v>
                </c:pt>
                <c:pt idx="20">
                  <c:v>0.6470588235294118</c:v>
                </c:pt>
                <c:pt idx="21">
                  <c:v>0.64864864864864868</c:v>
                </c:pt>
                <c:pt idx="22">
                  <c:v>0.625</c:v>
                </c:pt>
                <c:pt idx="23">
                  <c:v>0.58139534883720934</c:v>
                </c:pt>
                <c:pt idx="24">
                  <c:v>0.58695652173913049</c:v>
                </c:pt>
                <c:pt idx="25">
                  <c:v>0.58333333333333337</c:v>
                </c:pt>
                <c:pt idx="26">
                  <c:v>0.57999999999999996</c:v>
                </c:pt>
                <c:pt idx="27">
                  <c:v>0.57999999999999996</c:v>
                </c:pt>
                <c:pt idx="28">
                  <c:v>0.57692307692307687</c:v>
                </c:pt>
                <c:pt idx="29">
                  <c:v>0.58181818181818179</c:v>
                </c:pt>
                <c:pt idx="30">
                  <c:v>0.58181818181818179</c:v>
                </c:pt>
                <c:pt idx="31">
                  <c:v>0.58620689655172409</c:v>
                </c:pt>
                <c:pt idx="32">
                  <c:v>0.58333333333333337</c:v>
                </c:pt>
                <c:pt idx="33">
                  <c:v>0.578125</c:v>
                </c:pt>
                <c:pt idx="34">
                  <c:v>0.56716417910447758</c:v>
                </c:pt>
                <c:pt idx="35">
                  <c:v>0.55882352941176472</c:v>
                </c:pt>
                <c:pt idx="36">
                  <c:v>0.5714285714285714</c:v>
                </c:pt>
                <c:pt idx="37">
                  <c:v>0.58333333333333337</c:v>
                </c:pt>
                <c:pt idx="38">
                  <c:v>0.58666666666666667</c:v>
                </c:pt>
                <c:pt idx="39">
                  <c:v>0.59210526315789469</c:v>
                </c:pt>
                <c:pt idx="40">
                  <c:v>0.58750000000000002</c:v>
                </c:pt>
                <c:pt idx="41">
                  <c:v>0.60240963855421692</c:v>
                </c:pt>
                <c:pt idx="42">
                  <c:v>0.59302325581395354</c:v>
                </c:pt>
                <c:pt idx="43">
                  <c:v>0.5977011494252874</c:v>
                </c:pt>
                <c:pt idx="44">
                  <c:v>0.6</c:v>
                </c:pt>
                <c:pt idx="45">
                  <c:v>0.6</c:v>
                </c:pt>
                <c:pt idx="46">
                  <c:v>0.60439560439560436</c:v>
                </c:pt>
                <c:pt idx="47">
                  <c:v>0.59782608695652173</c:v>
                </c:pt>
                <c:pt idx="48">
                  <c:v>0.6063829787234043</c:v>
                </c:pt>
                <c:pt idx="49">
                  <c:v>0.6063829787234043</c:v>
                </c:pt>
                <c:pt idx="50">
                  <c:v>0.58762886597938147</c:v>
                </c:pt>
                <c:pt idx="51">
                  <c:v>0.58762886597938147</c:v>
                </c:pt>
                <c:pt idx="52">
                  <c:v>0.6</c:v>
                </c:pt>
                <c:pt idx="53">
                  <c:v>0.59405940594059403</c:v>
                </c:pt>
                <c:pt idx="54">
                  <c:v>0.59047619047619049</c:v>
                </c:pt>
                <c:pt idx="55">
                  <c:v>0.59047619047619049</c:v>
                </c:pt>
                <c:pt idx="56">
                  <c:v>0.59433962264150941</c:v>
                </c:pt>
                <c:pt idx="57">
                  <c:v>0.59433962264150941</c:v>
                </c:pt>
                <c:pt idx="58">
                  <c:v>0.5752212389380531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3983739837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たかの2!$P$3:$P$61</c:f>
              <c:numCache>
                <c:formatCode>0.0%</c:formatCode>
                <c:ptCount val="59"/>
                <c:pt idx="1">
                  <c:v>0</c:v>
                </c:pt>
                <c:pt idx="2">
                  <c:v>0.16666666666666666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0.42857142857142855</c:v>
                </c:pt>
                <c:pt idx="6">
                  <c:v>0.41176470588235292</c:v>
                </c:pt>
                <c:pt idx="7">
                  <c:v>0.36842105263157893</c:v>
                </c:pt>
                <c:pt idx="8">
                  <c:v>0.33333333333333331</c:v>
                </c:pt>
                <c:pt idx="9">
                  <c:v>0.37037037037037035</c:v>
                </c:pt>
                <c:pt idx="10">
                  <c:v>0.39285714285714285</c:v>
                </c:pt>
                <c:pt idx="11">
                  <c:v>0.42424242424242425</c:v>
                </c:pt>
                <c:pt idx="12">
                  <c:v>0.44444444444444442</c:v>
                </c:pt>
                <c:pt idx="13">
                  <c:v>0.45</c:v>
                </c:pt>
                <c:pt idx="14">
                  <c:v>0.42857142857142855</c:v>
                </c:pt>
                <c:pt idx="15">
                  <c:v>0.40909090909090912</c:v>
                </c:pt>
                <c:pt idx="16">
                  <c:v>0.40909090909090912</c:v>
                </c:pt>
                <c:pt idx="17">
                  <c:v>0.42222222222222222</c:v>
                </c:pt>
                <c:pt idx="18">
                  <c:v>0.44</c:v>
                </c:pt>
                <c:pt idx="19">
                  <c:v>0.44230769230769229</c:v>
                </c:pt>
                <c:pt idx="20">
                  <c:v>0.44067796610169491</c:v>
                </c:pt>
                <c:pt idx="21">
                  <c:v>0.41269841269841268</c:v>
                </c:pt>
                <c:pt idx="22">
                  <c:v>0.421875</c:v>
                </c:pt>
                <c:pt idx="23">
                  <c:v>0.41538461538461541</c:v>
                </c:pt>
                <c:pt idx="24">
                  <c:v>0.42424242424242425</c:v>
                </c:pt>
                <c:pt idx="25">
                  <c:v>0.41176470588235292</c:v>
                </c:pt>
                <c:pt idx="26">
                  <c:v>0.41428571428571431</c:v>
                </c:pt>
                <c:pt idx="27">
                  <c:v>0.40259740259740262</c:v>
                </c:pt>
                <c:pt idx="28">
                  <c:v>0.39743589743589741</c:v>
                </c:pt>
                <c:pt idx="29">
                  <c:v>0.40963855421686746</c:v>
                </c:pt>
                <c:pt idx="30">
                  <c:v>0.42045454545454547</c:v>
                </c:pt>
                <c:pt idx="31">
                  <c:v>0.4157303370786517</c:v>
                </c:pt>
                <c:pt idx="32">
                  <c:v>0.4157303370786517</c:v>
                </c:pt>
                <c:pt idx="33">
                  <c:v>0.41111111111111109</c:v>
                </c:pt>
                <c:pt idx="34">
                  <c:v>0.41304347826086957</c:v>
                </c:pt>
                <c:pt idx="35">
                  <c:v>0.42553191489361702</c:v>
                </c:pt>
                <c:pt idx="36">
                  <c:v>0.42105263157894735</c:v>
                </c:pt>
                <c:pt idx="37">
                  <c:v>0.42105263157894735</c:v>
                </c:pt>
                <c:pt idx="38">
                  <c:v>0.41836734693877553</c:v>
                </c:pt>
                <c:pt idx="39">
                  <c:v>0.42</c:v>
                </c:pt>
                <c:pt idx="40">
                  <c:v>0.41747572815533979</c:v>
                </c:pt>
                <c:pt idx="41">
                  <c:v>0.41346153846153844</c:v>
                </c:pt>
                <c:pt idx="42">
                  <c:v>0.41818181818181815</c:v>
                </c:pt>
                <c:pt idx="43">
                  <c:v>0.4107142857142857</c:v>
                </c:pt>
                <c:pt idx="44">
                  <c:v>0.41592920353982299</c:v>
                </c:pt>
                <c:pt idx="45">
                  <c:v>0.42608695652173911</c:v>
                </c:pt>
                <c:pt idx="46">
                  <c:v>0.42499999999999999</c:v>
                </c:pt>
                <c:pt idx="47">
                  <c:v>0.42399999999999999</c:v>
                </c:pt>
                <c:pt idx="48">
                  <c:v>0.4296875</c:v>
                </c:pt>
                <c:pt idx="49">
                  <c:v>0.43181818181818182</c:v>
                </c:pt>
                <c:pt idx="50">
                  <c:v>0.43181818181818182</c:v>
                </c:pt>
                <c:pt idx="51">
                  <c:v>0.43703703703703706</c:v>
                </c:pt>
                <c:pt idx="52">
                  <c:v>0.43065693430656932</c:v>
                </c:pt>
                <c:pt idx="53">
                  <c:v>0.43065693430656932</c:v>
                </c:pt>
                <c:pt idx="54">
                  <c:v>0.43571428571428572</c:v>
                </c:pt>
                <c:pt idx="55">
                  <c:v>0.44055944055944057</c:v>
                </c:pt>
                <c:pt idx="56">
                  <c:v>0.44055944055944057</c:v>
                </c:pt>
                <c:pt idx="57">
                  <c:v>0.44444444444444442</c:v>
                </c:pt>
                <c:pt idx="58">
                  <c:v>0.43835616438356162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7427341227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たかの2!$Q$1:$Q$2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たかの2!$Q$3:$Q$61</c:f>
              <c:numCache>
                <c:formatCode>0.0%</c:formatCode>
                <c:ptCount val="59"/>
                <c:pt idx="1">
                  <c:v>0</c:v>
                </c:pt>
                <c:pt idx="2">
                  <c:v>0.5</c:v>
                </c:pt>
                <c:pt idx="3">
                  <c:v>0.4</c:v>
                </c:pt>
                <c:pt idx="4">
                  <c:v>0.5</c:v>
                </c:pt>
                <c:pt idx="5">
                  <c:v>0.45454545454545453</c:v>
                </c:pt>
                <c:pt idx="6">
                  <c:v>0.42857142857142855</c:v>
                </c:pt>
                <c:pt idx="7">
                  <c:v>0.35294117647058826</c:v>
                </c:pt>
                <c:pt idx="8">
                  <c:v>0.35294117647058826</c:v>
                </c:pt>
                <c:pt idx="9">
                  <c:v>0.38095238095238093</c:v>
                </c:pt>
                <c:pt idx="10">
                  <c:v>0.40740740740740738</c:v>
                </c:pt>
                <c:pt idx="11">
                  <c:v>0.36363636363636365</c:v>
                </c:pt>
                <c:pt idx="12">
                  <c:v>0.3611111111111111</c:v>
                </c:pt>
                <c:pt idx="13">
                  <c:v>0.36842105263157893</c:v>
                </c:pt>
                <c:pt idx="14">
                  <c:v>0.35897435897435898</c:v>
                </c:pt>
                <c:pt idx="15">
                  <c:v>0.35897435897435898</c:v>
                </c:pt>
                <c:pt idx="16">
                  <c:v>0.35</c:v>
                </c:pt>
                <c:pt idx="17">
                  <c:v>0.34883720930232559</c:v>
                </c:pt>
                <c:pt idx="18">
                  <c:v>0.34042553191489361</c:v>
                </c:pt>
                <c:pt idx="19">
                  <c:v>0.37254901960784315</c:v>
                </c:pt>
                <c:pt idx="20">
                  <c:v>0.37931034482758619</c:v>
                </c:pt>
                <c:pt idx="21">
                  <c:v>0.39344262295081966</c:v>
                </c:pt>
                <c:pt idx="22">
                  <c:v>0.41269841269841268</c:v>
                </c:pt>
                <c:pt idx="23">
                  <c:v>0.41269841269841268</c:v>
                </c:pt>
                <c:pt idx="24">
                  <c:v>0.40298507462686567</c:v>
                </c:pt>
                <c:pt idx="25">
                  <c:v>0.40845070422535212</c:v>
                </c:pt>
                <c:pt idx="26">
                  <c:v>0.41891891891891891</c:v>
                </c:pt>
                <c:pt idx="27">
                  <c:v>0.42105263157894735</c:v>
                </c:pt>
                <c:pt idx="28">
                  <c:v>0.41249999999999998</c:v>
                </c:pt>
                <c:pt idx="29">
                  <c:v>0.40697674418604651</c:v>
                </c:pt>
                <c:pt idx="30">
                  <c:v>0.4044943820224719</c:v>
                </c:pt>
                <c:pt idx="31">
                  <c:v>0.41304347826086957</c:v>
                </c:pt>
                <c:pt idx="32">
                  <c:v>0.40625</c:v>
                </c:pt>
                <c:pt idx="33">
                  <c:v>0.41836734693877553</c:v>
                </c:pt>
                <c:pt idx="34">
                  <c:v>0.43</c:v>
                </c:pt>
                <c:pt idx="35">
                  <c:v>0.44230769230769229</c:v>
                </c:pt>
                <c:pt idx="36">
                  <c:v>0.43925233644859812</c:v>
                </c:pt>
                <c:pt idx="37">
                  <c:v>0.42342342342342343</c:v>
                </c:pt>
                <c:pt idx="38">
                  <c:v>0.42735042735042733</c:v>
                </c:pt>
                <c:pt idx="39">
                  <c:v>0.42148760330578511</c:v>
                </c:pt>
                <c:pt idx="40">
                  <c:v>0.41599999999999998</c:v>
                </c:pt>
                <c:pt idx="41">
                  <c:v>0.41860465116279072</c:v>
                </c:pt>
                <c:pt idx="42">
                  <c:v>0.42962962962962964</c:v>
                </c:pt>
                <c:pt idx="43">
                  <c:v>0.43795620437956206</c:v>
                </c:pt>
                <c:pt idx="44">
                  <c:v>0.43571428571428572</c:v>
                </c:pt>
                <c:pt idx="45">
                  <c:v>0.43356643356643354</c:v>
                </c:pt>
                <c:pt idx="46">
                  <c:v>0.43243243243243246</c:v>
                </c:pt>
                <c:pt idx="47">
                  <c:v>0.42666666666666669</c:v>
                </c:pt>
                <c:pt idx="48">
                  <c:v>0.42307692307692307</c:v>
                </c:pt>
                <c:pt idx="49">
                  <c:v>0.43125000000000002</c:v>
                </c:pt>
                <c:pt idx="50">
                  <c:v>0.42857142857142855</c:v>
                </c:pt>
                <c:pt idx="51">
                  <c:v>0.42424242424242425</c:v>
                </c:pt>
                <c:pt idx="52">
                  <c:v>0.42261904761904762</c:v>
                </c:pt>
                <c:pt idx="53">
                  <c:v>0.42011834319526625</c:v>
                </c:pt>
                <c:pt idx="54">
                  <c:v>0.42045454545454547</c:v>
                </c:pt>
                <c:pt idx="55">
                  <c:v>0.42134831460674155</c:v>
                </c:pt>
                <c:pt idx="56">
                  <c:v>0.42458100558659218</c:v>
                </c:pt>
                <c:pt idx="57">
                  <c:v>0.42222222222222222</c:v>
                </c:pt>
                <c:pt idx="58">
                  <c:v>0.41847826086956524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759036144578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43605.945185185185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236</v>
      </c>
      <c r="B48" s="31">
        <v>43608.858287037037</v>
      </c>
      <c r="C48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6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531</v>
      </c>
    </row>
    <row r="2" spans="1:2" x14ac:dyDescent="0.4">
      <c r="A2" t="s">
        <v>127</v>
      </c>
      <c r="B2">
        <v>117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63</v>
      </c>
    </row>
    <row r="5" spans="1:2" x14ac:dyDescent="0.4">
      <c r="A5" t="s">
        <v>171</v>
      </c>
      <c r="B5">
        <v>72</v>
      </c>
    </row>
    <row r="6" spans="1:2" x14ac:dyDescent="0.4">
      <c r="A6" t="s">
        <v>172</v>
      </c>
      <c r="B6">
        <v>58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40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  <row r="14" spans="1:2" x14ac:dyDescent="0.4">
      <c r="A14" t="s">
        <v>239</v>
      </c>
      <c r="B14">
        <v>1</v>
      </c>
    </row>
    <row r="15" spans="1:2" x14ac:dyDescent="0.4">
      <c r="A15" t="s">
        <v>237</v>
      </c>
      <c r="B15">
        <v>1</v>
      </c>
    </row>
    <row r="16" spans="1:2" x14ac:dyDescent="0.4">
      <c r="A16" t="s">
        <v>238</v>
      </c>
      <c r="B16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8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0.53143102714851997</v>
      </c>
      <c r="G2" s="155"/>
      <c r="H2" s="154">
        <v>0.34047741979572088</v>
      </c>
      <c r="I2" s="155"/>
      <c r="J2" s="154">
        <v>0.52003829366460996</v>
      </c>
      <c r="K2" s="155"/>
      <c r="L2" s="154">
        <v>0.20600983402044803</v>
      </c>
      <c r="M2" s="155"/>
      <c r="N2" s="154">
        <v>0.28607495348274092</v>
      </c>
      <c r="O2" s="155"/>
      <c r="P2" s="154">
        <v>0.4680780334739239</v>
      </c>
      <c r="Q2" s="155"/>
      <c r="R2" s="154">
        <v>0.13663216695415781</v>
      </c>
      <c r="S2" s="155"/>
      <c r="T2" s="154">
        <v>8.6651364399172801E-2</v>
      </c>
      <c r="U2" s="155"/>
      <c r="V2" s="154">
        <v>0.53943621450142087</v>
      </c>
      <c r="W2" s="155"/>
      <c r="X2" s="154">
        <v>0.85501528260394111</v>
      </c>
      <c r="Y2" s="155"/>
      <c r="Z2" s="154">
        <v>-0.2105100775206909</v>
      </c>
      <c r="AA2" s="155"/>
      <c r="AB2" s="154">
        <v>-0.14108020721888836</v>
      </c>
      <c r="AC2" s="155"/>
      <c r="AD2" s="154">
        <v>0.13586773070583757</v>
      </c>
      <c r="AE2" s="155"/>
      <c r="AF2" s="154">
        <v>-0.43151146569864041</v>
      </c>
      <c r="AG2" s="155"/>
      <c r="AH2" s="154">
        <v>0.53715588419884475</v>
      </c>
      <c r="AI2" s="155"/>
    </row>
    <row r="3" spans="1:35" x14ac:dyDescent="0.4">
      <c r="A3" s="74">
        <v>1</v>
      </c>
      <c r="B3" s="75" t="s">
        <v>127</v>
      </c>
      <c r="C3" s="76">
        <v>1508.3000000000011</v>
      </c>
      <c r="D3" s="77" t="s">
        <v>185</v>
      </c>
      <c r="E3" s="96">
        <v>20.333333333333332</v>
      </c>
      <c r="F3" s="77" t="s">
        <v>239</v>
      </c>
      <c r="G3" s="78">
        <v>1</v>
      </c>
      <c r="H3" s="77" t="s">
        <v>239</v>
      </c>
      <c r="I3" s="79">
        <v>1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239</v>
      </c>
      <c r="O3" s="80">
        <v>0</v>
      </c>
      <c r="P3" s="77" t="s">
        <v>224</v>
      </c>
      <c r="Q3" s="81">
        <v>13800</v>
      </c>
      <c r="R3" s="77" t="s">
        <v>239</v>
      </c>
      <c r="S3" s="81">
        <v>0</v>
      </c>
      <c r="T3" s="77" t="s">
        <v>185</v>
      </c>
      <c r="U3" s="79">
        <v>0</v>
      </c>
      <c r="V3" s="77" t="s">
        <v>127</v>
      </c>
      <c r="W3" s="79">
        <v>0.17948717948717949</v>
      </c>
      <c r="X3" s="77" t="s">
        <v>225</v>
      </c>
      <c r="Y3" s="80">
        <v>0.375</v>
      </c>
      <c r="Z3" s="77" t="s">
        <v>172</v>
      </c>
      <c r="AA3" s="80">
        <v>0.2874015748031496</v>
      </c>
      <c r="AB3" s="77" t="s">
        <v>225</v>
      </c>
      <c r="AC3" s="80">
        <v>1</v>
      </c>
      <c r="AD3" s="77" t="s">
        <v>127</v>
      </c>
      <c r="AE3" s="80">
        <v>0.51184834123222744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98.299999999999983</v>
      </c>
      <c r="D4" s="85" t="s">
        <v>224</v>
      </c>
      <c r="E4" s="97">
        <v>13.3</v>
      </c>
      <c r="F4" s="85" t="s">
        <v>237</v>
      </c>
      <c r="G4" s="86">
        <v>1</v>
      </c>
      <c r="H4" s="85" t="s">
        <v>237</v>
      </c>
      <c r="I4" s="87">
        <v>1</v>
      </c>
      <c r="J4" s="85" t="s">
        <v>224</v>
      </c>
      <c r="K4" s="87">
        <v>0</v>
      </c>
      <c r="L4" s="85" t="s">
        <v>172</v>
      </c>
      <c r="M4" s="88">
        <v>0.36220472440944884</v>
      </c>
      <c r="N4" s="85" t="s">
        <v>237</v>
      </c>
      <c r="O4" s="88">
        <v>0</v>
      </c>
      <c r="P4" s="85" t="s">
        <v>171</v>
      </c>
      <c r="Q4" s="89">
        <v>9761.9883040935674</v>
      </c>
      <c r="R4" s="85" t="s">
        <v>237</v>
      </c>
      <c r="S4" s="89">
        <v>0</v>
      </c>
      <c r="T4" s="85" t="s">
        <v>202</v>
      </c>
      <c r="U4" s="87">
        <v>0</v>
      </c>
      <c r="V4" s="85" t="s">
        <v>171</v>
      </c>
      <c r="W4" s="87">
        <v>0.125</v>
      </c>
      <c r="X4" s="85" t="s">
        <v>127</v>
      </c>
      <c r="Y4" s="88">
        <v>0.32774869109947646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12.891452991453001</v>
      </c>
      <c r="F5" s="85" t="s">
        <v>238</v>
      </c>
      <c r="G5" s="86">
        <v>1</v>
      </c>
      <c r="H5" s="85" t="s">
        <v>238</v>
      </c>
      <c r="I5" s="87">
        <v>1</v>
      </c>
      <c r="J5" s="85" t="s">
        <v>239</v>
      </c>
      <c r="K5" s="87">
        <v>0</v>
      </c>
      <c r="L5" s="85" t="s">
        <v>127</v>
      </c>
      <c r="M5" s="88">
        <v>0.3518324607329843</v>
      </c>
      <c r="N5" s="85" t="s">
        <v>238</v>
      </c>
      <c r="O5" s="88">
        <v>0</v>
      </c>
      <c r="P5" s="85" t="s">
        <v>128</v>
      </c>
      <c r="Q5" s="89">
        <v>9304.2635658914733</v>
      </c>
      <c r="R5" s="85" t="s">
        <v>238</v>
      </c>
      <c r="S5" s="89">
        <v>0</v>
      </c>
      <c r="T5" s="85" t="s">
        <v>224</v>
      </c>
      <c r="U5" s="87">
        <v>0</v>
      </c>
      <c r="V5" s="85" t="s">
        <v>145</v>
      </c>
      <c r="W5" s="87">
        <v>0.11299435028248588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0.67948717948717952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39.300000000000011</v>
      </c>
      <c r="D6" s="85" t="s">
        <v>171</v>
      </c>
      <c r="E6" s="97">
        <v>1.3652777777777776</v>
      </c>
      <c r="F6" s="85" t="s">
        <v>185</v>
      </c>
      <c r="G6" s="86">
        <v>1.3333333333333333</v>
      </c>
      <c r="H6" s="85" t="s">
        <v>185</v>
      </c>
      <c r="I6" s="87">
        <v>0.66666666666666663</v>
      </c>
      <c r="J6" s="85" t="s">
        <v>237</v>
      </c>
      <c r="K6" s="87">
        <v>0</v>
      </c>
      <c r="L6" s="85" t="s">
        <v>202</v>
      </c>
      <c r="M6" s="88">
        <v>0.30434782608695654</v>
      </c>
      <c r="N6" s="85" t="s">
        <v>224</v>
      </c>
      <c r="O6" s="88">
        <v>7.6923076923076927E-2</v>
      </c>
      <c r="P6" s="85" t="s">
        <v>129</v>
      </c>
      <c r="Q6" s="89">
        <v>9178.8135593220341</v>
      </c>
      <c r="R6" s="85" t="s">
        <v>185</v>
      </c>
      <c r="S6" s="89">
        <v>-5150</v>
      </c>
      <c r="T6" s="85" t="s">
        <v>225</v>
      </c>
      <c r="U6" s="87">
        <v>0</v>
      </c>
      <c r="V6" s="85" t="s">
        <v>129</v>
      </c>
      <c r="W6" s="87">
        <v>0.1111111111111111</v>
      </c>
      <c r="X6" s="85" t="s">
        <v>171</v>
      </c>
      <c r="Y6" s="88">
        <v>0.28431372549019607</v>
      </c>
      <c r="Z6" s="85" t="s">
        <v>127</v>
      </c>
      <c r="AA6" s="88">
        <v>0.22094240837696336</v>
      </c>
      <c r="AB6" s="85" t="s">
        <v>186</v>
      </c>
      <c r="AC6" s="88">
        <v>0.625</v>
      </c>
      <c r="AD6" s="85" t="s">
        <v>172</v>
      </c>
      <c r="AE6" s="88">
        <v>0.43835616438356162</v>
      </c>
      <c r="AF6" s="85" t="s">
        <v>129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0.98250000000000026</v>
      </c>
      <c r="F7" s="85" t="s">
        <v>127</v>
      </c>
      <c r="G7" s="86">
        <v>1.7264957264957266</v>
      </c>
      <c r="H7" s="85" t="s">
        <v>127</v>
      </c>
      <c r="I7" s="87">
        <v>0.50427350427350426</v>
      </c>
      <c r="J7" s="85" t="s">
        <v>238</v>
      </c>
      <c r="K7" s="87">
        <v>0</v>
      </c>
      <c r="L7" s="85" t="s">
        <v>177</v>
      </c>
      <c r="M7" s="88">
        <v>0.3</v>
      </c>
      <c r="N7" s="85" t="s">
        <v>185</v>
      </c>
      <c r="O7" s="88">
        <v>0.10526315789473684</v>
      </c>
      <c r="P7" s="85" t="s">
        <v>127</v>
      </c>
      <c r="Q7" s="89">
        <v>9063.6904761904771</v>
      </c>
      <c r="R7" s="85" t="s">
        <v>202</v>
      </c>
      <c r="S7" s="89">
        <v>-6683.333333333333</v>
      </c>
      <c r="T7" s="85" t="s">
        <v>239</v>
      </c>
      <c r="U7" s="87">
        <v>0</v>
      </c>
      <c r="V7" s="85" t="s">
        <v>172</v>
      </c>
      <c r="W7" s="87">
        <v>0.10344827586206896</v>
      </c>
      <c r="X7" s="85" t="s">
        <v>145</v>
      </c>
      <c r="Y7" s="88">
        <v>0.27777777777777779</v>
      </c>
      <c r="Z7" s="85" t="s">
        <v>185</v>
      </c>
      <c r="AA7" s="88">
        <v>0.21052631578947367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186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239</v>
      </c>
      <c r="C8" s="84">
        <v>0</v>
      </c>
      <c r="D8" s="85" t="s">
        <v>239</v>
      </c>
      <c r="E8" s="97">
        <v>0</v>
      </c>
      <c r="F8" s="85" t="s">
        <v>177</v>
      </c>
      <c r="G8" s="86">
        <v>1.95</v>
      </c>
      <c r="H8" s="85" t="s">
        <v>186</v>
      </c>
      <c r="I8" s="87">
        <v>0.41666666666666669</v>
      </c>
      <c r="J8" s="85" t="s">
        <v>202</v>
      </c>
      <c r="K8" s="87">
        <v>0.14285714285714285</v>
      </c>
      <c r="L8" s="85" t="s">
        <v>145</v>
      </c>
      <c r="M8" s="88">
        <v>0.29990966576332428</v>
      </c>
      <c r="N8" s="85" t="s">
        <v>172</v>
      </c>
      <c r="O8" s="88">
        <v>0.12992125984251968</v>
      </c>
      <c r="P8" s="85" t="s">
        <v>177</v>
      </c>
      <c r="Q8" s="89">
        <v>8683.8383838383834</v>
      </c>
      <c r="R8" s="85" t="s">
        <v>128</v>
      </c>
      <c r="S8" s="89">
        <v>-7563.125</v>
      </c>
      <c r="T8" s="85" t="s">
        <v>237</v>
      </c>
      <c r="U8" s="87">
        <v>0</v>
      </c>
      <c r="V8" s="85" t="s">
        <v>177</v>
      </c>
      <c r="W8" s="87">
        <v>0.1</v>
      </c>
      <c r="X8" s="85" t="s">
        <v>129</v>
      </c>
      <c r="Y8" s="88">
        <v>0.26819923371647508</v>
      </c>
      <c r="Z8" s="85" t="s">
        <v>145</v>
      </c>
      <c r="AA8" s="88">
        <v>0.20980126467931345</v>
      </c>
      <c r="AB8" s="85" t="s">
        <v>185</v>
      </c>
      <c r="AC8" s="88">
        <v>0.6</v>
      </c>
      <c r="AD8" s="85" t="s">
        <v>171</v>
      </c>
      <c r="AE8" s="88">
        <v>0.40707964601769914</v>
      </c>
      <c r="AF8" s="85" t="s">
        <v>224</v>
      </c>
      <c r="AG8" s="88">
        <v>0.5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237</v>
      </c>
      <c r="C9" s="84">
        <v>0</v>
      </c>
      <c r="D9" s="85" t="s">
        <v>237</v>
      </c>
      <c r="E9" s="97">
        <v>0</v>
      </c>
      <c r="F9" s="85" t="s">
        <v>145</v>
      </c>
      <c r="G9" s="86">
        <v>1.9943502824858756</v>
      </c>
      <c r="H9" s="85" t="s">
        <v>177</v>
      </c>
      <c r="I9" s="87">
        <v>0.4</v>
      </c>
      <c r="J9" s="85" t="s">
        <v>127</v>
      </c>
      <c r="K9" s="87">
        <v>0.23076923076923078</v>
      </c>
      <c r="L9" s="85" t="s">
        <v>173</v>
      </c>
      <c r="M9" s="88">
        <v>0.29682997118155618</v>
      </c>
      <c r="N9" s="85" t="s">
        <v>127</v>
      </c>
      <c r="O9" s="88">
        <v>0.14973821989528796</v>
      </c>
      <c r="P9" s="85" t="s">
        <v>225</v>
      </c>
      <c r="Q9" s="89">
        <v>8666.6666666666661</v>
      </c>
      <c r="R9" s="85" t="s">
        <v>173</v>
      </c>
      <c r="S9" s="89">
        <v>-7625.373134328358</v>
      </c>
      <c r="T9" s="85" t="s">
        <v>238</v>
      </c>
      <c r="U9" s="87">
        <v>0</v>
      </c>
      <c r="V9" s="85" t="s">
        <v>128</v>
      </c>
      <c r="W9" s="87">
        <v>9.6491228070175433E-2</v>
      </c>
      <c r="X9" s="85" t="s">
        <v>185</v>
      </c>
      <c r="Y9" s="88">
        <v>0.26315789473684209</v>
      </c>
      <c r="Z9" s="85" t="s">
        <v>177</v>
      </c>
      <c r="AA9" s="88">
        <v>0.20909090909090908</v>
      </c>
      <c r="AB9" s="85" t="s">
        <v>128</v>
      </c>
      <c r="AC9" s="88">
        <v>0.5892857142857143</v>
      </c>
      <c r="AD9" s="85" t="s">
        <v>145</v>
      </c>
      <c r="AE9" s="88">
        <v>0.3907427341227126</v>
      </c>
      <c r="AF9" s="85" t="s">
        <v>145</v>
      </c>
      <c r="AG9" s="88">
        <v>0.43975903614457829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238</v>
      </c>
      <c r="C10" s="84">
        <v>0</v>
      </c>
      <c r="D10" s="85" t="s">
        <v>238</v>
      </c>
      <c r="E10" s="97">
        <v>0</v>
      </c>
      <c r="F10" s="85" t="s">
        <v>202</v>
      </c>
      <c r="G10" s="86">
        <v>2</v>
      </c>
      <c r="H10" s="85" t="s">
        <v>145</v>
      </c>
      <c r="I10" s="87">
        <v>0.33709981167608288</v>
      </c>
      <c r="J10" s="85" t="s">
        <v>172</v>
      </c>
      <c r="K10" s="87">
        <v>0.31034482758620691</v>
      </c>
      <c r="L10" s="85" t="s">
        <v>171</v>
      </c>
      <c r="M10" s="88">
        <v>0.27941176470588236</v>
      </c>
      <c r="N10" s="85" t="s">
        <v>177</v>
      </c>
      <c r="O10" s="88">
        <v>0.16060606060606061</v>
      </c>
      <c r="P10" s="85" t="s">
        <v>145</v>
      </c>
      <c r="Q10" s="89">
        <v>8605.6475903614464</v>
      </c>
      <c r="R10" s="85" t="s">
        <v>177</v>
      </c>
      <c r="S10" s="89">
        <v>-7664.1509433962265</v>
      </c>
      <c r="T10" s="85" t="s">
        <v>172</v>
      </c>
      <c r="U10" s="87">
        <v>5.1724137931034482E-2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145</v>
      </c>
      <c r="AC10" s="88">
        <v>0.58373983739837398</v>
      </c>
      <c r="AD10" s="85" t="s">
        <v>177</v>
      </c>
      <c r="AE10" s="88">
        <v>0.37681159420289856</v>
      </c>
      <c r="AF10" s="85" t="s">
        <v>171</v>
      </c>
      <c r="AG10" s="88">
        <v>0.43274853801169588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-0.40000000000001457</v>
      </c>
      <c r="D11" s="85" t="s">
        <v>145</v>
      </c>
      <c r="E11" s="97">
        <v>-1.8832391713747545E-3</v>
      </c>
      <c r="F11" s="85" t="s">
        <v>224</v>
      </c>
      <c r="G11" s="86">
        <v>2</v>
      </c>
      <c r="H11" s="85" t="s">
        <v>171</v>
      </c>
      <c r="I11" s="87">
        <v>0.29166666666666669</v>
      </c>
      <c r="J11" s="85" t="s">
        <v>145</v>
      </c>
      <c r="K11" s="87">
        <v>0.33145009416195859</v>
      </c>
      <c r="L11" s="85" t="s">
        <v>128</v>
      </c>
      <c r="M11" s="88">
        <v>0.27417640807651433</v>
      </c>
      <c r="N11" s="85" t="s">
        <v>145</v>
      </c>
      <c r="O11" s="88">
        <v>0.16621499548328816</v>
      </c>
      <c r="P11" s="85" t="s">
        <v>185</v>
      </c>
      <c r="Q11" s="89">
        <v>7860</v>
      </c>
      <c r="R11" s="85" t="s">
        <v>186</v>
      </c>
      <c r="S11" s="89">
        <v>-7700</v>
      </c>
      <c r="T11" s="85" t="s">
        <v>171</v>
      </c>
      <c r="U11" s="87">
        <v>5.5555555555555552E-2</v>
      </c>
      <c r="V11" s="85" t="s">
        <v>186</v>
      </c>
      <c r="W11" s="87">
        <v>0</v>
      </c>
      <c r="X11" s="85" t="s">
        <v>177</v>
      </c>
      <c r="Y11" s="88">
        <v>0.23636363636363636</v>
      </c>
      <c r="Z11" s="85" t="s">
        <v>171</v>
      </c>
      <c r="AA11" s="88">
        <v>0.184640522875817</v>
      </c>
      <c r="AB11" s="85" t="s">
        <v>127</v>
      </c>
      <c r="AC11" s="88">
        <v>0.58146964856230032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145</v>
      </c>
      <c r="C12" s="84">
        <v>-0.99999999999999467</v>
      </c>
      <c r="D12" s="85" t="s">
        <v>172</v>
      </c>
      <c r="E12" s="97">
        <v>-6.8965517241381825E-3</v>
      </c>
      <c r="F12" s="85" t="s">
        <v>172</v>
      </c>
      <c r="G12" s="86">
        <v>2.0517241379310347</v>
      </c>
      <c r="H12" s="85" t="s">
        <v>173</v>
      </c>
      <c r="I12" s="87">
        <v>0.27500000000000002</v>
      </c>
      <c r="J12" s="85" t="s">
        <v>128</v>
      </c>
      <c r="K12" s="87">
        <v>0.34210526315789475</v>
      </c>
      <c r="L12" s="85" t="s">
        <v>186</v>
      </c>
      <c r="M12" s="88">
        <v>0.26923076923076922</v>
      </c>
      <c r="N12" s="85" t="s">
        <v>171</v>
      </c>
      <c r="O12" s="88">
        <v>0.16666666666666666</v>
      </c>
      <c r="P12" s="85" t="s">
        <v>186</v>
      </c>
      <c r="Q12" s="89">
        <v>7700</v>
      </c>
      <c r="R12" s="85" t="s">
        <v>171</v>
      </c>
      <c r="S12" s="89">
        <v>-7748.0392156862745</v>
      </c>
      <c r="T12" s="85" t="s">
        <v>127</v>
      </c>
      <c r="U12" s="87">
        <v>0.1111111111111111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0.18172157279489903</v>
      </c>
      <c r="AB12" s="85" t="s">
        <v>171</v>
      </c>
      <c r="AC12" s="88">
        <v>0.58045977011494254</v>
      </c>
      <c r="AD12" s="85" t="s">
        <v>128</v>
      </c>
      <c r="AE12" s="88">
        <v>0.2982456140350877</v>
      </c>
      <c r="AF12" s="85" t="s">
        <v>172</v>
      </c>
      <c r="AG12" s="88">
        <v>0.41847826086956524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202</v>
      </c>
      <c r="C13" s="84">
        <v>-25.300000000000004</v>
      </c>
      <c r="D13" s="85" t="s">
        <v>128</v>
      </c>
      <c r="E13" s="97">
        <v>-2.183333333333334</v>
      </c>
      <c r="F13" s="85" t="s">
        <v>171</v>
      </c>
      <c r="G13" s="86">
        <v>2.0555555555555554</v>
      </c>
      <c r="H13" s="85" t="s">
        <v>128</v>
      </c>
      <c r="I13" s="87">
        <v>0.27192982456140352</v>
      </c>
      <c r="J13" s="85" t="s">
        <v>171</v>
      </c>
      <c r="K13" s="87">
        <v>0.34722222222222221</v>
      </c>
      <c r="L13" s="85" t="s">
        <v>185</v>
      </c>
      <c r="M13" s="88">
        <v>0.26315789473684209</v>
      </c>
      <c r="N13" s="85" t="s">
        <v>128</v>
      </c>
      <c r="O13" s="88">
        <v>0.17003188097768332</v>
      </c>
      <c r="P13" s="85" t="s">
        <v>202</v>
      </c>
      <c r="Q13" s="89">
        <v>7438.0952380952385</v>
      </c>
      <c r="R13" s="85" t="s">
        <v>145</v>
      </c>
      <c r="S13" s="89">
        <v>-8201.902173913044</v>
      </c>
      <c r="T13" s="85" t="s">
        <v>145</v>
      </c>
      <c r="U13" s="87">
        <v>0.11299435028248588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0.16475095785440613</v>
      </c>
      <c r="AB13" s="85" t="s">
        <v>172</v>
      </c>
      <c r="AC13" s="88">
        <v>0.5752212389380531</v>
      </c>
      <c r="AD13" s="85" t="s">
        <v>129</v>
      </c>
      <c r="AE13" s="88">
        <v>0.23255813953488372</v>
      </c>
      <c r="AF13" s="85" t="s">
        <v>127</v>
      </c>
      <c r="AG13" s="88">
        <v>0.41666666666666669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225</v>
      </c>
      <c r="C14" s="84">
        <v>-37</v>
      </c>
      <c r="D14" s="85" t="s">
        <v>202</v>
      </c>
      <c r="E14" s="97">
        <v>-3.6142857142857148</v>
      </c>
      <c r="F14" s="85" t="s">
        <v>128</v>
      </c>
      <c r="G14" s="86">
        <v>2.0701754385964914</v>
      </c>
      <c r="H14" s="85" t="s">
        <v>172</v>
      </c>
      <c r="I14" s="87">
        <v>0.25862068965517243</v>
      </c>
      <c r="J14" s="85" t="s">
        <v>173</v>
      </c>
      <c r="K14" s="87">
        <v>0.35</v>
      </c>
      <c r="L14" s="85" t="s">
        <v>129</v>
      </c>
      <c r="M14" s="88">
        <v>0.22605363984674329</v>
      </c>
      <c r="N14" s="85" t="s">
        <v>202</v>
      </c>
      <c r="O14" s="88">
        <v>0.17391304347826086</v>
      </c>
      <c r="P14" s="85" t="s">
        <v>173</v>
      </c>
      <c r="Q14" s="89">
        <v>6838.8349514563106</v>
      </c>
      <c r="R14" s="85" t="s">
        <v>127</v>
      </c>
      <c r="S14" s="89">
        <v>-8335.6643356643362</v>
      </c>
      <c r="T14" s="85" t="s">
        <v>128</v>
      </c>
      <c r="U14" s="87">
        <v>0.12280701754385964</v>
      </c>
      <c r="V14" s="85" t="s">
        <v>224</v>
      </c>
      <c r="W14" s="87">
        <v>0</v>
      </c>
      <c r="X14" s="85" t="s">
        <v>173</v>
      </c>
      <c r="Y14" s="88">
        <v>0.23054755043227665</v>
      </c>
      <c r="Z14" s="85" t="s">
        <v>225</v>
      </c>
      <c r="AA14" s="88">
        <v>0.125</v>
      </c>
      <c r="AB14" s="85" t="s">
        <v>129</v>
      </c>
      <c r="AC14" s="88">
        <v>0.5</v>
      </c>
      <c r="AD14" s="85" t="s">
        <v>224</v>
      </c>
      <c r="AE14" s="88">
        <v>0</v>
      </c>
      <c r="AF14" s="85" t="s">
        <v>177</v>
      </c>
      <c r="AG14" s="88">
        <v>0.41414141414141414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186</v>
      </c>
      <c r="C15" s="84">
        <v>-116.6</v>
      </c>
      <c r="D15" s="85" t="s">
        <v>173</v>
      </c>
      <c r="E15" s="97">
        <v>-6.9974999999999996</v>
      </c>
      <c r="F15" s="85" t="s">
        <v>173</v>
      </c>
      <c r="G15" s="86">
        <v>2.0750000000000002</v>
      </c>
      <c r="H15" s="85" t="s">
        <v>129</v>
      </c>
      <c r="I15" s="87">
        <v>0.23809523809523808</v>
      </c>
      <c r="J15" s="85" t="s">
        <v>177</v>
      </c>
      <c r="K15" s="87">
        <v>0.35</v>
      </c>
      <c r="L15" s="85" t="s">
        <v>224</v>
      </c>
      <c r="M15" s="88">
        <v>0.15384615384615385</v>
      </c>
      <c r="N15" s="85" t="s">
        <v>173</v>
      </c>
      <c r="O15" s="88">
        <v>0.1930835734870317</v>
      </c>
      <c r="P15" s="85" t="s">
        <v>172</v>
      </c>
      <c r="Q15" s="89">
        <v>6528.260869565217</v>
      </c>
      <c r="R15" s="85" t="s">
        <v>172</v>
      </c>
      <c r="S15" s="89">
        <v>-9269.69696969697</v>
      </c>
      <c r="T15" s="85" t="s">
        <v>173</v>
      </c>
      <c r="U15" s="87">
        <v>0.125</v>
      </c>
      <c r="V15" s="85" t="s">
        <v>225</v>
      </c>
      <c r="W15" s="87">
        <v>0</v>
      </c>
      <c r="X15" s="85" t="s">
        <v>172</v>
      </c>
      <c r="Y15" s="88">
        <v>0.22244094488188976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239</v>
      </c>
      <c r="AI15" s="92">
        <v>35000</v>
      </c>
    </row>
    <row r="16" spans="1:35" x14ac:dyDescent="0.4">
      <c r="A16" s="82">
        <v>14</v>
      </c>
      <c r="B16" s="83" t="s">
        <v>128</v>
      </c>
      <c r="C16" s="84">
        <v>-248.90000000000009</v>
      </c>
      <c r="D16" s="85" t="s">
        <v>186</v>
      </c>
      <c r="E16" s="97">
        <v>-9.7166666666666668</v>
      </c>
      <c r="F16" s="85" t="s">
        <v>186</v>
      </c>
      <c r="G16" s="86">
        <v>2.0833333333333335</v>
      </c>
      <c r="H16" s="85" t="s">
        <v>202</v>
      </c>
      <c r="I16" s="87">
        <v>0.14285714285714285</v>
      </c>
      <c r="J16" s="85" t="s">
        <v>129</v>
      </c>
      <c r="K16" s="87">
        <v>0.49206349206349204</v>
      </c>
      <c r="L16" s="85" t="s">
        <v>239</v>
      </c>
      <c r="M16" s="88">
        <v>0</v>
      </c>
      <c r="N16" s="85" t="s">
        <v>129</v>
      </c>
      <c r="O16" s="88">
        <v>0.19731800766283525</v>
      </c>
      <c r="P16" s="85" t="s">
        <v>239</v>
      </c>
      <c r="Q16" s="89">
        <v>0</v>
      </c>
      <c r="R16" s="85" t="s">
        <v>129</v>
      </c>
      <c r="S16" s="89">
        <v>-9572.8155339805817</v>
      </c>
      <c r="T16" s="85" t="s">
        <v>186</v>
      </c>
      <c r="U16" s="87">
        <v>0.16666666666666666</v>
      </c>
      <c r="V16" s="85" t="s">
        <v>239</v>
      </c>
      <c r="W16" s="87">
        <v>0</v>
      </c>
      <c r="X16" s="85" t="s">
        <v>239</v>
      </c>
      <c r="Y16" s="88">
        <v>0</v>
      </c>
      <c r="Z16" s="85" t="s">
        <v>239</v>
      </c>
      <c r="AA16" s="88">
        <v>0</v>
      </c>
      <c r="AB16" s="85" t="s">
        <v>239</v>
      </c>
      <c r="AC16" s="88">
        <v>0</v>
      </c>
      <c r="AD16" s="85" t="s">
        <v>239</v>
      </c>
      <c r="AE16" s="88">
        <v>0</v>
      </c>
      <c r="AF16" s="85" t="s">
        <v>239</v>
      </c>
      <c r="AG16" s="88">
        <v>0</v>
      </c>
      <c r="AH16" s="85" t="s">
        <v>237</v>
      </c>
      <c r="AI16" s="92">
        <v>35000</v>
      </c>
    </row>
    <row r="17" spans="1:35" x14ac:dyDescent="0.4">
      <c r="A17" s="82">
        <v>15</v>
      </c>
      <c r="B17" s="83" t="s">
        <v>173</v>
      </c>
      <c r="C17" s="84">
        <v>-279.89999999999998</v>
      </c>
      <c r="D17" s="85" t="s">
        <v>129</v>
      </c>
      <c r="E17" s="97">
        <v>-16.080952380952375</v>
      </c>
      <c r="F17" s="85" t="s">
        <v>129</v>
      </c>
      <c r="G17" s="86">
        <v>2.253968253968254</v>
      </c>
      <c r="H17" s="85" t="s">
        <v>224</v>
      </c>
      <c r="I17" s="87">
        <v>0</v>
      </c>
      <c r="J17" s="85" t="s">
        <v>186</v>
      </c>
      <c r="K17" s="87">
        <v>0.5</v>
      </c>
      <c r="L17" s="85" t="s">
        <v>237</v>
      </c>
      <c r="M17" s="88">
        <v>0</v>
      </c>
      <c r="N17" s="85" t="s">
        <v>186</v>
      </c>
      <c r="O17" s="88">
        <v>0.23076923076923078</v>
      </c>
      <c r="P17" s="85" t="s">
        <v>237</v>
      </c>
      <c r="Q17" s="89">
        <v>0</v>
      </c>
      <c r="R17" s="85" t="s">
        <v>224</v>
      </c>
      <c r="S17" s="89">
        <v>-12000</v>
      </c>
      <c r="T17" s="85" t="s">
        <v>177</v>
      </c>
      <c r="U17" s="87">
        <v>0.17499999999999999</v>
      </c>
      <c r="V17" s="85" t="s">
        <v>237</v>
      </c>
      <c r="W17" s="87">
        <v>0</v>
      </c>
      <c r="X17" s="85" t="s">
        <v>237</v>
      </c>
      <c r="Y17" s="88">
        <v>0</v>
      </c>
      <c r="Z17" s="85" t="s">
        <v>237</v>
      </c>
      <c r="AA17" s="88">
        <v>0</v>
      </c>
      <c r="AB17" s="85" t="s">
        <v>237</v>
      </c>
      <c r="AC17" s="88">
        <v>0</v>
      </c>
      <c r="AD17" s="85" t="s">
        <v>237</v>
      </c>
      <c r="AE17" s="88">
        <v>0</v>
      </c>
      <c r="AF17" s="85" t="s">
        <v>237</v>
      </c>
      <c r="AG17" s="88">
        <v>0</v>
      </c>
      <c r="AH17" s="85" t="s">
        <v>238</v>
      </c>
      <c r="AI17" s="92">
        <v>35000</v>
      </c>
    </row>
    <row r="18" spans="1:35" x14ac:dyDescent="0.4">
      <c r="A18" s="82">
        <v>16</v>
      </c>
      <c r="B18" s="83" t="s">
        <v>129</v>
      </c>
      <c r="C18" s="84">
        <v>-1013.0999999999997</v>
      </c>
      <c r="D18" s="85" t="s">
        <v>225</v>
      </c>
      <c r="E18" s="97">
        <v>-37</v>
      </c>
      <c r="F18" s="85" t="s">
        <v>225</v>
      </c>
      <c r="G18" s="86">
        <v>3</v>
      </c>
      <c r="H18" s="85" t="s">
        <v>225</v>
      </c>
      <c r="I18" s="87">
        <v>0</v>
      </c>
      <c r="J18" s="85" t="s">
        <v>225</v>
      </c>
      <c r="K18" s="87">
        <v>1</v>
      </c>
      <c r="L18" s="85" t="s">
        <v>238</v>
      </c>
      <c r="M18" s="88">
        <v>0</v>
      </c>
      <c r="N18" s="85" t="s">
        <v>225</v>
      </c>
      <c r="O18" s="88">
        <v>0.375</v>
      </c>
      <c r="P18" s="85" t="s">
        <v>238</v>
      </c>
      <c r="Q18" s="89">
        <v>0</v>
      </c>
      <c r="R18" s="85" t="s">
        <v>225</v>
      </c>
      <c r="S18" s="89">
        <v>-14000</v>
      </c>
      <c r="T18" s="85" t="s">
        <v>129</v>
      </c>
      <c r="U18" s="87">
        <v>0.19047619047619047</v>
      </c>
      <c r="V18" s="85" t="s">
        <v>238</v>
      </c>
      <c r="W18" s="87">
        <v>0</v>
      </c>
      <c r="X18" s="85" t="s">
        <v>238</v>
      </c>
      <c r="Y18" s="88">
        <v>0</v>
      </c>
      <c r="Z18" s="85" t="s">
        <v>238</v>
      </c>
      <c r="AA18" s="88">
        <v>0</v>
      </c>
      <c r="AB18" s="85" t="s">
        <v>238</v>
      </c>
      <c r="AC18" s="88">
        <v>0</v>
      </c>
      <c r="AD18" s="85" t="s">
        <v>238</v>
      </c>
      <c r="AE18" s="88">
        <v>0</v>
      </c>
      <c r="AF18" s="85" t="s">
        <v>238</v>
      </c>
      <c r="AG18" s="88">
        <v>0</v>
      </c>
      <c r="AH18" s="85" t="s">
        <v>225</v>
      </c>
      <c r="AI18" s="92">
        <v>18000</v>
      </c>
    </row>
  </sheetData>
  <sortState ref="AH3:AI5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39FB-98C6-40F4-B3EF-DFC157EC49BB}">
  <sheetPr codeName="Sheet4"/>
  <dimension ref="A1:Q53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531</v>
      </c>
      <c r="C2" s="147"/>
      <c r="E2" s="62" t="s">
        <v>67</v>
      </c>
      <c r="F2" s="59" t="s">
        <v>23</v>
      </c>
      <c r="G2" s="46">
        <v>973</v>
      </c>
      <c r="H2" s="132">
        <f>IF(B$17=0,0,G2/B$17)</f>
        <v>0.73268072289156627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-15.151515151515152</v>
      </c>
      <c r="P2" s="118">
        <v>528</v>
      </c>
      <c r="Q2" s="102">
        <v>-8000</v>
      </c>
    </row>
    <row r="3" spans="1:17" x14ac:dyDescent="0.4">
      <c r="A3" s="55" t="s">
        <v>8</v>
      </c>
      <c r="B3" s="148">
        <v>4428</v>
      </c>
      <c r="C3" s="149"/>
      <c r="E3" s="63" t="s">
        <v>65</v>
      </c>
      <c r="F3" s="60" t="s">
        <v>21</v>
      </c>
      <c r="G3" s="47">
        <v>687</v>
      </c>
      <c r="H3" s="133">
        <f>IF(B$17=0,0,G3/B$17)</f>
        <v>0.51731927710843373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-7.7519379844961236</v>
      </c>
      <c r="P3" s="119">
        <v>516</v>
      </c>
      <c r="Q3" s="103">
        <v>-4000</v>
      </c>
    </row>
    <row r="4" spans="1:17" x14ac:dyDescent="0.4">
      <c r="A4" s="55" t="s">
        <v>6</v>
      </c>
      <c r="B4" s="150">
        <v>-0.99999999999999467</v>
      </c>
      <c r="C4" s="151"/>
      <c r="E4" s="63" t="s">
        <v>73</v>
      </c>
      <c r="F4" s="60" t="s">
        <v>28</v>
      </c>
      <c r="G4" s="47">
        <v>679</v>
      </c>
      <c r="H4" s="133">
        <f>IF(B$17=0,0,G4/B$17)</f>
        <v>0.5112951807228916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12.269938650306749</v>
      </c>
      <c r="P4" s="119">
        <v>489</v>
      </c>
      <c r="Q4" s="103">
        <v>6000</v>
      </c>
    </row>
    <row r="5" spans="1:17" x14ac:dyDescent="0.4">
      <c r="A5" s="55" t="s">
        <v>7</v>
      </c>
      <c r="B5" s="152">
        <f>IF(B$2=0,0,B$4/B$2)</f>
        <v>-1.8832391713747545E-3</v>
      </c>
      <c r="C5" s="153"/>
      <c r="E5" s="63" t="s">
        <v>181</v>
      </c>
      <c r="F5" s="60" t="s">
        <v>182</v>
      </c>
      <c r="G5" s="47">
        <v>541</v>
      </c>
      <c r="H5" s="133">
        <f>IF(B$17=0,0,G5/B$17)</f>
        <v>0.40737951807228917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6.8027210884353737</v>
      </c>
      <c r="P5" s="119">
        <v>441</v>
      </c>
      <c r="Q5" s="103">
        <v>3000</v>
      </c>
    </row>
    <row r="6" spans="1:17" x14ac:dyDescent="0.4">
      <c r="A6" s="55" t="s">
        <v>1</v>
      </c>
      <c r="B6" s="142">
        <f>IF(B$2=0,0,(B$7*1+B$8*2+B$9*3)/B$2)</f>
        <v>1.9943502824858756</v>
      </c>
      <c r="C6" s="143"/>
      <c r="E6" s="63" t="s">
        <v>69</v>
      </c>
      <c r="F6" s="60" t="s">
        <v>12</v>
      </c>
      <c r="G6" s="47">
        <v>419</v>
      </c>
      <c r="H6" s="133">
        <f>IF(B$17=0,0,G6/B$17)</f>
        <v>0.31551204819277107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-15.151515151515152</v>
      </c>
      <c r="P6" s="119">
        <v>396</v>
      </c>
      <c r="Q6" s="103">
        <v>-6000</v>
      </c>
    </row>
    <row r="7" spans="1:17" x14ac:dyDescent="0.4">
      <c r="A7" s="55" t="s">
        <v>2</v>
      </c>
      <c r="B7" s="47">
        <v>179</v>
      </c>
      <c r="C7" s="39">
        <f>IF(B$2=0,0,B7/B$2)</f>
        <v>0.33709981167608288</v>
      </c>
      <c r="E7" s="63" t="s">
        <v>68</v>
      </c>
      <c r="F7" s="60" t="s">
        <v>24</v>
      </c>
      <c r="G7" s="47">
        <v>398</v>
      </c>
      <c r="H7" s="133">
        <f>IF(B$17=0,0,G7/B$17)</f>
        <v>0.2996987951807229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22.222222222222221</v>
      </c>
      <c r="P7" s="120">
        <v>360</v>
      </c>
      <c r="Q7" s="104">
        <v>8000</v>
      </c>
    </row>
    <row r="8" spans="1:17" x14ac:dyDescent="0.4">
      <c r="A8" s="55" t="s">
        <v>3</v>
      </c>
      <c r="B8" s="47">
        <v>176</v>
      </c>
      <c r="C8" s="39">
        <f>IF(B$2=0,0,B8/B$2)</f>
        <v>0.33145009416195859</v>
      </c>
      <c r="E8" s="63" t="s">
        <v>70</v>
      </c>
      <c r="F8" s="60" t="s">
        <v>25</v>
      </c>
      <c r="G8" s="47">
        <v>239</v>
      </c>
      <c r="H8" s="133">
        <f>IF(B$17=0,0,G8/B$17)</f>
        <v>0.17996987951807228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176</v>
      </c>
      <c r="C9" s="40">
        <f t="shared" ref="C9" si="1">IF(B$2=0,0,B9/B$2)</f>
        <v>0.33145009416195859</v>
      </c>
      <c r="E9" s="63" t="s">
        <v>90</v>
      </c>
      <c r="F9" s="60" t="s">
        <v>45</v>
      </c>
      <c r="G9" s="47">
        <v>162</v>
      </c>
      <c r="H9" s="133">
        <f>IF(B$17=0,0,G9/B$17)</f>
        <v>0.12198795180722892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60</v>
      </c>
      <c r="C10" s="40">
        <f>IF(B$2=0,0,B10/B$2)</f>
        <v>0.11299435028248588</v>
      </c>
      <c r="E10" s="63" t="s">
        <v>66</v>
      </c>
      <c r="F10" s="60" t="s">
        <v>22</v>
      </c>
      <c r="G10" s="47">
        <v>160</v>
      </c>
      <c r="H10" s="133">
        <f>IF(B$17=0,0,G10/B$17)</f>
        <v>0.12048192771084337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-1.8553672316384182</v>
      </c>
      <c r="P10" s="118">
        <v>177</v>
      </c>
      <c r="Q10" s="106">
        <v>-328.40000000000003</v>
      </c>
    </row>
    <row r="11" spans="1:17" x14ac:dyDescent="0.4">
      <c r="A11" s="56" t="s">
        <v>140</v>
      </c>
      <c r="B11" s="48">
        <v>60</v>
      </c>
      <c r="C11" s="40">
        <f>IF(B$2=0,0,B11/B$2)</f>
        <v>0.11299435028248588</v>
      </c>
      <c r="E11" s="63" t="s">
        <v>71</v>
      </c>
      <c r="F11" s="60" t="s">
        <v>26</v>
      </c>
      <c r="G11" s="47">
        <v>139</v>
      </c>
      <c r="H11" s="133">
        <f>IF(B$17=0,0,G11/B$17)</f>
        <v>0.10466867469879518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-0.96384180790960461</v>
      </c>
      <c r="P11" s="119">
        <v>177</v>
      </c>
      <c r="Q11" s="107">
        <v>-170.60000000000002</v>
      </c>
    </row>
    <row r="12" spans="1:17" x14ac:dyDescent="0.4">
      <c r="A12" s="57" t="s">
        <v>160</v>
      </c>
      <c r="B12" s="49">
        <v>44</v>
      </c>
      <c r="C12" s="42">
        <f>IF(B$2=0,0,B12/B$2)</f>
        <v>8.2862523540489647E-2</v>
      </c>
      <c r="E12" s="63" t="s">
        <v>72</v>
      </c>
      <c r="F12" s="60" t="s">
        <v>27</v>
      </c>
      <c r="G12" s="47">
        <v>88</v>
      </c>
      <c r="H12" s="133">
        <f>IF(B$17=0,0,G12/B$17)</f>
        <v>6.6265060240963861E-2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2.8135593220338988</v>
      </c>
      <c r="P12" s="120">
        <v>177</v>
      </c>
      <c r="Q12" s="108">
        <v>498.00000000000006</v>
      </c>
    </row>
    <row r="13" spans="1:17" x14ac:dyDescent="0.4">
      <c r="A13" s="58" t="s">
        <v>122</v>
      </c>
      <c r="B13" s="50">
        <v>1230</v>
      </c>
      <c r="C13" s="44">
        <f>IF(B$3=0,0,B13/B$3)</f>
        <v>0.27777777777777779</v>
      </c>
      <c r="E13" s="63" t="s">
        <v>87</v>
      </c>
      <c r="F13" s="60" t="s">
        <v>42</v>
      </c>
      <c r="G13" s="47">
        <v>76</v>
      </c>
      <c r="H13" s="133">
        <f>IF(B$17=0,0,G13/B$17)</f>
        <v>5.7228915662650599E-2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929</v>
      </c>
      <c r="C14" s="39">
        <f>IF(B$3=0,0,B14/B$3)</f>
        <v>0.20980126467931345</v>
      </c>
      <c r="E14" s="63" t="s">
        <v>84</v>
      </c>
      <c r="F14" s="60" t="s">
        <v>39</v>
      </c>
      <c r="G14" s="47">
        <v>59</v>
      </c>
      <c r="H14" s="133">
        <f>IF(B$17=0,0,G14/B$17)</f>
        <v>4.4427710843373491E-2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718</v>
      </c>
      <c r="C15" s="37">
        <f>IF(B$13=0,0,B15/B$13)</f>
        <v>0.58373983739837398</v>
      </c>
      <c r="E15" s="63" t="s">
        <v>82</v>
      </c>
      <c r="F15" s="60" t="s">
        <v>37</v>
      </c>
      <c r="G15" s="47">
        <v>39</v>
      </c>
      <c r="H15" s="133">
        <f>IF(B$17=0,0,G15/B$17)</f>
        <v>2.9367469879518073E-2</v>
      </c>
      <c r="I15" s="94">
        <v>8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363</v>
      </c>
      <c r="C16" s="37">
        <f>IF(B$14=0,0,B16/B$14)</f>
        <v>0.3907427341227126</v>
      </c>
      <c r="E16" s="63" t="s">
        <v>79</v>
      </c>
      <c r="F16" s="60" t="s">
        <v>34</v>
      </c>
      <c r="G16" s="47">
        <v>32</v>
      </c>
      <c r="H16" s="133">
        <f>IF(B$17=0,0,G16/B$17)</f>
        <v>2.4096385542168676E-2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24.113492063492082</v>
      </c>
      <c r="P16" s="119">
        <v>126</v>
      </c>
      <c r="Q16" s="107">
        <v>3038.3000000000025</v>
      </c>
    </row>
    <row r="17" spans="1:17" x14ac:dyDescent="0.4">
      <c r="A17" s="54" t="s">
        <v>10</v>
      </c>
      <c r="B17" s="46">
        <f>B19+B18</f>
        <v>1328</v>
      </c>
      <c r="C17" s="37">
        <f>IF(B$3=0,0,B17/B$3)</f>
        <v>0.29990966576332428</v>
      </c>
      <c r="E17" s="63" t="s">
        <v>92</v>
      </c>
      <c r="F17" s="60" t="s">
        <v>47</v>
      </c>
      <c r="G17" s="47">
        <v>23</v>
      </c>
      <c r="H17" s="133">
        <f>IF(B$17=0,0,G17/B$17)</f>
        <v>1.7319277108433735E-2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584</v>
      </c>
      <c r="C18" s="39">
        <f>IF(B$17=0,0,B18/B$17)</f>
        <v>0.43975903614457829</v>
      </c>
      <c r="E18" s="63" t="s">
        <v>80</v>
      </c>
      <c r="F18" s="60" t="s">
        <v>35</v>
      </c>
      <c r="G18" s="47">
        <v>21</v>
      </c>
      <c r="H18" s="133">
        <f>IF(B$17=0,0,G18/B$17)</f>
        <v>1.5813253012048192E-2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744</v>
      </c>
      <c r="C19" s="39">
        <f>IF(B$17=0,0,B19/B$17)</f>
        <v>0.56024096385542166</v>
      </c>
      <c r="E19" s="63" t="s">
        <v>180</v>
      </c>
      <c r="F19" s="60" t="s">
        <v>183</v>
      </c>
      <c r="G19" s="47">
        <v>18</v>
      </c>
      <c r="H19" s="133">
        <f>IF(B$17=0,0,G19/B$17)</f>
        <v>1.355421686746988E-2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736</v>
      </c>
      <c r="C20" s="39">
        <f>IF(B$3=0,0,B20/B$3)</f>
        <v>0.16621499548328816</v>
      </c>
      <c r="E20" s="63" t="s">
        <v>76</v>
      </c>
      <c r="F20" s="60" t="s">
        <v>31</v>
      </c>
      <c r="G20" s="47">
        <v>9</v>
      </c>
      <c r="H20" s="133">
        <f>IF(B$17=0,0,G20/B$17)</f>
        <v>6.7771084337349399E-3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6.024096385542169E-3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1.7241379310328688E-3</v>
      </c>
      <c r="P21" s="119">
        <v>116</v>
      </c>
      <c r="Q21" s="107">
        <v>0.19999999999981277</v>
      </c>
    </row>
    <row r="22" spans="1:17" x14ac:dyDescent="0.4">
      <c r="A22" s="55" t="s">
        <v>194</v>
      </c>
      <c r="B22" s="47">
        <v>31</v>
      </c>
      <c r="C22" s="135">
        <v>7</v>
      </c>
      <c r="E22" s="63" t="s">
        <v>93</v>
      </c>
      <c r="F22" s="60" t="s">
        <v>48</v>
      </c>
      <c r="G22" s="47">
        <v>6</v>
      </c>
      <c r="H22" s="133">
        <f>IF(B$17=0,0,G22/B$17)</f>
        <v>4.5180722891566263E-3</v>
      </c>
      <c r="I22" s="94">
        <v>4</v>
      </c>
      <c r="K22" s="38">
        <v>20</v>
      </c>
      <c r="L22" s="99">
        <v>0.79999999999999716</v>
      </c>
      <c r="N22" s="115" t="s">
        <v>237</v>
      </c>
      <c r="O22" s="125">
        <f>IF(P22=0,0,Q22/P22)</f>
        <v>0</v>
      </c>
      <c r="P22" s="119">
        <v>2</v>
      </c>
      <c r="Q22" s="107">
        <v>0</v>
      </c>
    </row>
    <row r="23" spans="1:17" x14ac:dyDescent="0.4">
      <c r="A23" s="55" t="s">
        <v>5</v>
      </c>
      <c r="B23" s="51">
        <f>IF(B$17=0,0,C23/B$17)</f>
        <v>8605.6475903614464</v>
      </c>
      <c r="C23" s="41">
        <v>11428300</v>
      </c>
      <c r="E23" s="63" t="s">
        <v>75</v>
      </c>
      <c r="F23" s="60" t="s">
        <v>30</v>
      </c>
      <c r="G23" s="47">
        <v>5</v>
      </c>
      <c r="H23" s="133">
        <f>IF(B$17=0,0,G23/B$17)</f>
        <v>3.7650602409638554E-3</v>
      </c>
      <c r="I23" s="94">
        <v>4</v>
      </c>
      <c r="K23" s="38">
        <v>21</v>
      </c>
      <c r="L23" s="99">
        <v>-2.886579864025407E-15</v>
      </c>
      <c r="N23" s="115" t="s">
        <v>238</v>
      </c>
      <c r="O23" s="125">
        <f>IF(P23=0,0,Q23/P23)</f>
        <v>0</v>
      </c>
      <c r="P23" s="119">
        <v>2</v>
      </c>
      <c r="Q23" s="107">
        <v>0</v>
      </c>
    </row>
    <row r="24" spans="1:17" x14ac:dyDescent="0.4">
      <c r="A24" s="57" t="s">
        <v>14</v>
      </c>
      <c r="B24" s="52">
        <f>IF(B$20=0,0,C24/B$20)</f>
        <v>-8201.902173913044</v>
      </c>
      <c r="C24" s="45">
        <v>-6036600</v>
      </c>
      <c r="E24" s="63" t="s">
        <v>94</v>
      </c>
      <c r="F24" s="60" t="s">
        <v>49</v>
      </c>
      <c r="G24" s="47">
        <v>5</v>
      </c>
      <c r="H24" s="133">
        <f>IF(B$17=0,0,G24/B$17)</f>
        <v>3.7650602409638554E-3</v>
      </c>
      <c r="I24" s="94">
        <v>4</v>
      </c>
      <c r="K24" s="38">
        <v>22</v>
      </c>
      <c r="L24" s="99">
        <v>23.699999999999996</v>
      </c>
      <c r="N24" s="115" t="s">
        <v>239</v>
      </c>
      <c r="O24" s="125">
        <f>IF(P24=0,0,Q24/P24)</f>
        <v>0</v>
      </c>
      <c r="P24" s="119">
        <v>2</v>
      </c>
      <c r="Q24" s="107">
        <v>0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3.0120481927710845E-3</v>
      </c>
      <c r="I25" s="94">
        <v>4</v>
      </c>
      <c r="K25" s="38">
        <v>23</v>
      </c>
      <c r="L25" s="99">
        <v>26.299999999999997</v>
      </c>
      <c r="N25" s="115" t="s">
        <v>177</v>
      </c>
      <c r="O25" s="125">
        <f>IF(P25=0,0,Q25/P25)</f>
        <v>-1.4737500000000019</v>
      </c>
      <c r="P25" s="119">
        <v>80</v>
      </c>
      <c r="Q25" s="107">
        <v>-117.90000000000015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2.2590361445783132E-3</v>
      </c>
      <c r="I26" s="94">
        <v>4</v>
      </c>
      <c r="K26" s="38">
        <v>24</v>
      </c>
      <c r="L26" s="99">
        <v>-3.5527136788005009E-15</v>
      </c>
      <c r="N26" s="115" t="s">
        <v>171</v>
      </c>
      <c r="O26" s="125">
        <f>IF(P26=0,0,Q26/P26)</f>
        <v>-2.0479166666666644</v>
      </c>
      <c r="P26" s="119">
        <v>144</v>
      </c>
      <c r="Q26" s="107">
        <v>-294.89999999999969</v>
      </c>
    </row>
    <row r="27" spans="1:17" x14ac:dyDescent="0.4">
      <c r="A27" s="57" t="s">
        <v>143</v>
      </c>
      <c r="B27" s="65">
        <v>13</v>
      </c>
      <c r="C27" s="42">
        <f>IF(B$3=0,0,B27/B$3)</f>
        <v>2.935862691960253E-3</v>
      </c>
      <c r="E27" s="63" t="s">
        <v>85</v>
      </c>
      <c r="F27" s="60" t="s">
        <v>40</v>
      </c>
      <c r="G27" s="47">
        <v>3</v>
      </c>
      <c r="H27" s="133">
        <f>IF(B$17=0,0,G27/B$17)</f>
        <v>2.2590361445783132E-3</v>
      </c>
      <c r="I27" s="94">
        <v>3</v>
      </c>
      <c r="K27" s="38">
        <v>25</v>
      </c>
      <c r="L27" s="99">
        <v>-31.300000000000004</v>
      </c>
      <c r="N27" s="115" t="s">
        <v>127</v>
      </c>
      <c r="O27" s="125">
        <f>IF(P27=0,0,Q27/P27)</f>
        <v>-19.341452991452957</v>
      </c>
      <c r="P27" s="119">
        <v>234</v>
      </c>
      <c r="Q27" s="107">
        <v>-4525.8999999999924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2.2590361445783132E-3</v>
      </c>
      <c r="I28" s="94">
        <v>3</v>
      </c>
      <c r="K28" s="38">
        <v>26</v>
      </c>
      <c r="L28" s="99">
        <v>1.8999999999999986</v>
      </c>
      <c r="N28" s="115" t="s">
        <v>224</v>
      </c>
      <c r="O28" s="125">
        <f>IF(P28=0,0,Q28/P28)</f>
        <v>-19.950000000000003</v>
      </c>
      <c r="P28" s="119">
        <v>2</v>
      </c>
      <c r="Q28" s="107">
        <v>-39.900000000000006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1.5060240963855422E-3</v>
      </c>
      <c r="I29" s="94">
        <v>3</v>
      </c>
      <c r="K29" s="38">
        <v>27</v>
      </c>
      <c r="L29" s="99">
        <v>-1.3322676295501878E-15</v>
      </c>
      <c r="N29" s="115" t="s">
        <v>185</v>
      </c>
      <c r="O29" s="125">
        <f>IF(P29=0,0,Q29/P29)</f>
        <v>-30.5</v>
      </c>
      <c r="P29" s="119">
        <v>6</v>
      </c>
      <c r="Q29" s="107">
        <v>-183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1.5060240963855422E-3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1.5060240963855422E-3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1</v>
      </c>
      <c r="H32" s="133">
        <f>IF(B$17=0,0,G32/B$17)</f>
        <v>7.5301204819277112E-4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7.5301204819277112E-4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7.1054273576010019E-15</v>
      </c>
    </row>
    <row r="529" spans="11:12" x14ac:dyDescent="0.4">
      <c r="K529" s="38">
        <v>527</v>
      </c>
      <c r="L529" s="99">
        <v>7.1054273576010019E-15</v>
      </c>
    </row>
    <row r="530" spans="11:12" x14ac:dyDescent="0.4">
      <c r="K530" s="38">
        <v>528</v>
      </c>
      <c r="L530" s="99">
        <v>7.1054273576010019E-15</v>
      </c>
    </row>
    <row r="531" spans="11:12" x14ac:dyDescent="0.4">
      <c r="K531" s="38">
        <v>529</v>
      </c>
      <c r="L531" s="99">
        <v>36.400000000000006</v>
      </c>
    </row>
    <row r="532" spans="11:12" x14ac:dyDescent="0.4">
      <c r="K532" s="38">
        <v>530</v>
      </c>
      <c r="L532" s="99">
        <v>-6.5999999999999943</v>
      </c>
    </row>
    <row r="533" spans="11:12" x14ac:dyDescent="0.4">
      <c r="K533" s="38">
        <v>531</v>
      </c>
      <c r="L533" s="99">
        <v>-0.99999999999999467</v>
      </c>
    </row>
  </sheetData>
  <sortState ref="N15:Q2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F1E0D-A5B0-4E89-A69D-4462286755B7}">
  <sheetPr codeName="Sheet7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67</v>
      </c>
      <c r="F2" s="59" t="s">
        <v>23</v>
      </c>
      <c r="G2" s="46">
        <v>245</v>
      </c>
      <c r="H2" s="132">
        <f>IF(B$17=0,0,G2/B$17)</f>
        <v>0.72916666666666663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1703.4188034188035</v>
      </c>
      <c r="P2" s="118">
        <v>117</v>
      </c>
      <c r="Q2" s="102">
        <v>199300</v>
      </c>
    </row>
    <row r="3" spans="1:17" x14ac:dyDescent="0.4">
      <c r="A3" s="55" t="s">
        <v>8</v>
      </c>
      <c r="B3" s="148">
        <v>955</v>
      </c>
      <c r="C3" s="149"/>
      <c r="E3" s="63" t="s">
        <v>73</v>
      </c>
      <c r="F3" s="60" t="s">
        <v>28</v>
      </c>
      <c r="G3" s="47">
        <v>186</v>
      </c>
      <c r="H3" s="133">
        <f>IF(B$17=0,0,G3/B$17)</f>
        <v>0.5535714285714286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1350</v>
      </c>
      <c r="P3" s="119">
        <v>114</v>
      </c>
      <c r="Q3" s="103">
        <v>153900</v>
      </c>
    </row>
    <row r="4" spans="1:17" x14ac:dyDescent="0.4">
      <c r="A4" s="55" t="s">
        <v>6</v>
      </c>
      <c r="B4" s="150">
        <v>1508.3000000000011</v>
      </c>
      <c r="C4" s="151"/>
      <c r="E4" s="63" t="s">
        <v>65</v>
      </c>
      <c r="F4" s="60" t="s">
        <v>21</v>
      </c>
      <c r="G4" s="47">
        <v>169</v>
      </c>
      <c r="H4" s="133">
        <f>IF(B$17=0,0,G4/B$17)</f>
        <v>0.50297619047619047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1535.7798165137615</v>
      </c>
      <c r="P4" s="119">
        <v>109</v>
      </c>
      <c r="Q4" s="103">
        <v>167400</v>
      </c>
    </row>
    <row r="5" spans="1:17" x14ac:dyDescent="0.4">
      <c r="A5" s="55" t="s">
        <v>7</v>
      </c>
      <c r="B5" s="152">
        <f>IF(B$2=0,0,B$4/B$2)</f>
        <v>12.891452991453001</v>
      </c>
      <c r="C5" s="153"/>
      <c r="E5" s="63" t="s">
        <v>181</v>
      </c>
      <c r="F5" s="60" t="s">
        <v>182</v>
      </c>
      <c r="G5" s="47">
        <v>139</v>
      </c>
      <c r="H5" s="133">
        <f>IF(B$17=0,0,G5/B$17)</f>
        <v>0.41369047619047616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2415.151515151515</v>
      </c>
      <c r="P5" s="119">
        <v>99</v>
      </c>
      <c r="Q5" s="103">
        <v>239100</v>
      </c>
    </row>
    <row r="6" spans="1:17" x14ac:dyDescent="0.4">
      <c r="A6" s="55" t="s">
        <v>1</v>
      </c>
      <c r="B6" s="142">
        <f>IF(B$2=0,0,(B$7*1+B$8*2+B$9*3)/B$2)</f>
        <v>1.7264957264957266</v>
      </c>
      <c r="C6" s="143"/>
      <c r="E6" s="63" t="s">
        <v>68</v>
      </c>
      <c r="F6" s="60" t="s">
        <v>24</v>
      </c>
      <c r="G6" s="47">
        <v>99</v>
      </c>
      <c r="H6" s="133">
        <f>IF(B$17=0,0,G6/B$17)</f>
        <v>0.29464285714285715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871.26436781609198</v>
      </c>
      <c r="P6" s="119">
        <v>87</v>
      </c>
      <c r="Q6" s="103">
        <v>75800</v>
      </c>
    </row>
    <row r="7" spans="1:17" x14ac:dyDescent="0.4">
      <c r="A7" s="55" t="s">
        <v>2</v>
      </c>
      <c r="B7" s="47">
        <v>59</v>
      </c>
      <c r="C7" s="39">
        <f>IF(B$2=0,0,B7/B$2)</f>
        <v>0.50427350427350426</v>
      </c>
      <c r="E7" s="63" t="s">
        <v>69</v>
      </c>
      <c r="F7" s="60" t="s">
        <v>12</v>
      </c>
      <c r="G7" s="47">
        <v>88</v>
      </c>
      <c r="H7" s="133">
        <f>IF(B$17=0,0,G7/B$17)</f>
        <v>0.26190476190476192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361.03896103896102</v>
      </c>
      <c r="P7" s="120">
        <v>77</v>
      </c>
      <c r="Q7" s="104">
        <v>27800</v>
      </c>
    </row>
    <row r="8" spans="1:17" x14ac:dyDescent="0.4">
      <c r="A8" s="55" t="s">
        <v>3</v>
      </c>
      <c r="B8" s="47">
        <v>31</v>
      </c>
      <c r="C8" s="39">
        <f>IF(B$2=0,0,B8/B$2)</f>
        <v>0.26495726495726496</v>
      </c>
      <c r="E8" s="63" t="s">
        <v>70</v>
      </c>
      <c r="F8" s="60" t="s">
        <v>25</v>
      </c>
      <c r="G8" s="47">
        <v>59</v>
      </c>
      <c r="H8" s="133">
        <f>IF(B$17=0,0,G8/B$17)</f>
        <v>0.17559523809523808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0.23076923076923078</v>
      </c>
      <c r="E9" s="63" t="s">
        <v>90</v>
      </c>
      <c r="F9" s="60" t="s">
        <v>45</v>
      </c>
      <c r="G9" s="47">
        <v>51</v>
      </c>
      <c r="H9" s="133">
        <f>IF(B$17=0,0,G9/B$17)</f>
        <v>0.15178571428571427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0.1111111111111111</v>
      </c>
      <c r="E10" s="63" t="s">
        <v>66</v>
      </c>
      <c r="F10" s="60" t="s">
        <v>22</v>
      </c>
      <c r="G10" s="47">
        <v>49</v>
      </c>
      <c r="H10" s="133">
        <f>IF(B$17=0,0,G10/B$17)</f>
        <v>0.14583333333333334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0.17948717948717949</v>
      </c>
      <c r="E11" s="63" t="s">
        <v>71</v>
      </c>
      <c r="F11" s="60" t="s">
        <v>26</v>
      </c>
      <c r="G11" s="47">
        <v>33</v>
      </c>
      <c r="H11" s="133">
        <f>IF(B$17=0,0,G11/B$17)</f>
        <v>9.8214285714285712E-2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18</v>
      </c>
      <c r="C12" s="42">
        <f>IF(B$2=0,0,B12/B$2)</f>
        <v>0.15384615384615385</v>
      </c>
      <c r="E12" s="63" t="s">
        <v>72</v>
      </c>
      <c r="F12" s="60" t="s">
        <v>27</v>
      </c>
      <c r="G12" s="47">
        <v>23</v>
      </c>
      <c r="H12" s="133">
        <f>IF(B$17=0,0,G12/B$17)</f>
        <v>6.8452380952380959E-2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13.713333333333336</v>
      </c>
      <c r="P12" s="120">
        <v>45</v>
      </c>
      <c r="Q12" s="108">
        <v>617.10000000000014</v>
      </c>
    </row>
    <row r="13" spans="1:17" x14ac:dyDescent="0.4">
      <c r="A13" s="58" t="s">
        <v>122</v>
      </c>
      <c r="B13" s="50">
        <v>313</v>
      </c>
      <c r="C13" s="44">
        <f>IF(B$3=0,0,B13/B$3)</f>
        <v>0.32774869109947646</v>
      </c>
      <c r="E13" s="63" t="s">
        <v>87</v>
      </c>
      <c r="F13" s="60" t="s">
        <v>42</v>
      </c>
      <c r="G13" s="47">
        <v>23</v>
      </c>
      <c r="H13" s="133">
        <f>IF(B$17=0,0,G13/B$17)</f>
        <v>6.8452380952380959E-2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211</v>
      </c>
      <c r="C14" s="39">
        <f>IF(B$3=0,0,B14/B$3)</f>
        <v>0.22094240837696336</v>
      </c>
      <c r="E14" s="63" t="s">
        <v>84</v>
      </c>
      <c r="F14" s="60" t="s">
        <v>39</v>
      </c>
      <c r="G14" s="47">
        <v>17</v>
      </c>
      <c r="H14" s="133">
        <f>IF(B$17=0,0,G14/B$17)</f>
        <v>5.0595238095238096E-2</v>
      </c>
      <c r="I14" s="94">
        <v>2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182</v>
      </c>
      <c r="C15" s="37">
        <f>IF(B$13=0,0,B15/B$13)</f>
        <v>0.58146964856230032</v>
      </c>
      <c r="E15" s="63" t="s">
        <v>82</v>
      </c>
      <c r="F15" s="60" t="s">
        <v>37</v>
      </c>
      <c r="G15" s="47">
        <v>11</v>
      </c>
      <c r="H15" s="133">
        <f>IF(B$17=0,0,G15/B$17)</f>
        <v>3.273809523809524E-2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108</v>
      </c>
      <c r="C16" s="37">
        <f>IF(B$14=0,0,B16/B$14)</f>
        <v>0.51184834123222744</v>
      </c>
      <c r="E16" s="63" t="s">
        <v>180</v>
      </c>
      <c r="F16" s="60" t="s">
        <v>183</v>
      </c>
      <c r="G16" s="47">
        <v>10</v>
      </c>
      <c r="H16" s="133">
        <f>IF(B$17=0,0,G16/B$17)</f>
        <v>2.976190476190476E-2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36.07567567567569</v>
      </c>
      <c r="P16" s="119">
        <v>37</v>
      </c>
      <c r="Q16" s="107">
        <v>1334.8000000000004</v>
      </c>
    </row>
    <row r="17" spans="1:17" x14ac:dyDescent="0.4">
      <c r="A17" s="54" t="s">
        <v>10</v>
      </c>
      <c r="B17" s="46">
        <f>B19+B18</f>
        <v>336</v>
      </c>
      <c r="C17" s="37">
        <f>IF(B$3=0,0,B17/B$3)</f>
        <v>0.3518324607329843</v>
      </c>
      <c r="E17" s="63" t="s">
        <v>79</v>
      </c>
      <c r="F17" s="60" t="s">
        <v>34</v>
      </c>
      <c r="G17" s="47">
        <v>7</v>
      </c>
      <c r="H17" s="133">
        <f>IF(B$17=0,0,G17/B$17)</f>
        <v>2.0833333333333332E-2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32.806666666666665</v>
      </c>
      <c r="P17" s="119">
        <v>15</v>
      </c>
      <c r="Q17" s="107">
        <v>492.1</v>
      </c>
    </row>
    <row r="18" spans="1:17" x14ac:dyDescent="0.4">
      <c r="A18" s="55" t="s">
        <v>12</v>
      </c>
      <c r="B18" s="47">
        <v>140</v>
      </c>
      <c r="C18" s="39">
        <f>IF(B$17=0,0,B18/B$17)</f>
        <v>0.41666666666666669</v>
      </c>
      <c r="E18" s="63" t="s">
        <v>92</v>
      </c>
      <c r="F18" s="60" t="s">
        <v>47</v>
      </c>
      <c r="G18" s="47">
        <v>5</v>
      </c>
      <c r="H18" s="133">
        <f>IF(B$17=0,0,G18/B$17)</f>
        <v>1.488095238095238E-2</v>
      </c>
      <c r="I18" s="94">
        <v>5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196</v>
      </c>
      <c r="C19" s="39">
        <f>IF(B$17=0,0,B19/B$17)</f>
        <v>0.58333333333333337</v>
      </c>
      <c r="E19" s="63" t="s">
        <v>80</v>
      </c>
      <c r="F19" s="60" t="s">
        <v>35</v>
      </c>
      <c r="G19" s="47">
        <v>4</v>
      </c>
      <c r="H19" s="133">
        <f>IF(B$17=0,0,G19/B$17)</f>
        <v>1.1904761904761904E-2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24.858064516129033</v>
      </c>
      <c r="P19" s="119">
        <v>31</v>
      </c>
      <c r="Q19" s="107">
        <v>770.6</v>
      </c>
    </row>
    <row r="20" spans="1:17" x14ac:dyDescent="0.4">
      <c r="A20" s="55" t="s">
        <v>13</v>
      </c>
      <c r="B20" s="47">
        <v>143</v>
      </c>
      <c r="C20" s="39">
        <f>IF(B$3=0,0,B20/B$3)</f>
        <v>0.14973821989528796</v>
      </c>
      <c r="E20" s="63" t="s">
        <v>74</v>
      </c>
      <c r="F20" s="60" t="s">
        <v>29</v>
      </c>
      <c r="G20" s="47">
        <v>2</v>
      </c>
      <c r="H20" s="133">
        <f>IF(B$17=0,0,G20/B$17)</f>
        <v>5.9523809523809521E-3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5.9523809523809521E-3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3</v>
      </c>
      <c r="E22" s="63" t="s">
        <v>76</v>
      </c>
      <c r="F22" s="60" t="s">
        <v>31</v>
      </c>
      <c r="G22" s="47">
        <v>1</v>
      </c>
      <c r="H22" s="133">
        <f>IF(B$17=0,0,G22/B$17)</f>
        <v>2.976190476190476E-3</v>
      </c>
      <c r="I22" s="94">
        <v>7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9063.6904761904771</v>
      </c>
      <c r="C23" s="41">
        <v>3045400</v>
      </c>
      <c r="E23" s="63" t="s">
        <v>78</v>
      </c>
      <c r="F23" s="60" t="s">
        <v>33</v>
      </c>
      <c r="G23" s="47">
        <v>1</v>
      </c>
      <c r="H23" s="133">
        <f>IF(B$17=0,0,G23/B$17)</f>
        <v>2.976190476190476E-3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-0.43658536585366164</v>
      </c>
      <c r="P23" s="119">
        <v>41</v>
      </c>
      <c r="Q23" s="107">
        <v>-17.900000000000126</v>
      </c>
    </row>
    <row r="24" spans="1:17" x14ac:dyDescent="0.4">
      <c r="A24" s="57" t="s">
        <v>14</v>
      </c>
      <c r="B24" s="52">
        <f>IF(B$20=0,0,C24/B$20)</f>
        <v>-8335.6643356643362</v>
      </c>
      <c r="C24" s="45">
        <v>-1192000</v>
      </c>
      <c r="E24" s="63" t="s">
        <v>86</v>
      </c>
      <c r="F24" s="60" t="s">
        <v>41</v>
      </c>
      <c r="G24" s="47">
        <v>1</v>
      </c>
      <c r="H24" s="133">
        <f>IF(B$17=0,0,G24/B$17)</f>
        <v>2.976190476190476E-3</v>
      </c>
      <c r="I24" s="94">
        <v>2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2.976190476190476E-3</v>
      </c>
      <c r="I25" s="94">
        <v>5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91</v>
      </c>
      <c r="F26" s="60" t="s">
        <v>46</v>
      </c>
      <c r="G26" s="47">
        <v>1</v>
      </c>
      <c r="H26" s="133">
        <f>IF(B$17=0,0,G26/B$17)</f>
        <v>2.976190476190476E-3</v>
      </c>
      <c r="I26" s="94">
        <v>2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1.0471204188481676E-3</v>
      </c>
      <c r="E27" s="63" t="s">
        <v>94</v>
      </c>
      <c r="F27" s="60" t="s">
        <v>49</v>
      </c>
      <c r="G27" s="47">
        <v>1</v>
      </c>
      <c r="H27" s="133">
        <f>IF(B$17=0,0,G27/B$17)</f>
        <v>2.976190476190476E-3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2.976190476190476E-3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1508.3000000000011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0DEB6-BB6E-4687-A465-9BA97B0D9539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 t="shared" si="2"/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E2:I11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3CB5-BC95-4755-9F94-EC3B588F1789}">
  <sheetPr codeName="Sheet11"/>
  <dimension ref="A1:Q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63</v>
      </c>
      <c r="C2" s="147"/>
      <c r="E2" s="62" t="s">
        <v>67</v>
      </c>
      <c r="F2" s="59" t="s">
        <v>23</v>
      </c>
      <c r="G2" s="46">
        <v>105</v>
      </c>
      <c r="H2" s="132">
        <f>IF(B$17=0,0,G2/B$17)</f>
        <v>0.88983050847457623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-2131.7460317460318</v>
      </c>
      <c r="P2" s="118">
        <v>63</v>
      </c>
      <c r="Q2" s="102">
        <v>-134300</v>
      </c>
    </row>
    <row r="3" spans="1:17" x14ac:dyDescent="0.4">
      <c r="A3" s="55" t="s">
        <v>8</v>
      </c>
      <c r="B3" s="148">
        <v>522</v>
      </c>
      <c r="C3" s="149"/>
      <c r="E3" s="63" t="s">
        <v>65</v>
      </c>
      <c r="F3" s="60" t="s">
        <v>21</v>
      </c>
      <c r="G3" s="47">
        <v>67</v>
      </c>
      <c r="H3" s="133">
        <f>IF(B$17=0,0,G3/B$17)</f>
        <v>0.56779661016949157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-1208.1967213114754</v>
      </c>
      <c r="P3" s="119">
        <v>61</v>
      </c>
      <c r="Q3" s="103">
        <v>-73700</v>
      </c>
    </row>
    <row r="4" spans="1:17" x14ac:dyDescent="0.4">
      <c r="A4" s="55" t="s">
        <v>6</v>
      </c>
      <c r="B4" s="150">
        <v>-1013.0999999999997</v>
      </c>
      <c r="C4" s="151"/>
      <c r="E4" s="63" t="s">
        <v>69</v>
      </c>
      <c r="F4" s="60" t="s">
        <v>12</v>
      </c>
      <c r="G4" s="47">
        <v>51</v>
      </c>
      <c r="H4" s="133">
        <f>IF(B$17=0,0,G4/B$17)</f>
        <v>0.43220338983050849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-1036.8421052631579</v>
      </c>
      <c r="P4" s="119">
        <v>57</v>
      </c>
      <c r="Q4" s="103">
        <v>-59100</v>
      </c>
    </row>
    <row r="5" spans="1:17" x14ac:dyDescent="0.4">
      <c r="A5" s="55" t="s">
        <v>7</v>
      </c>
      <c r="B5" s="152">
        <f>IF(B$2=0,0,B$4/B$2)</f>
        <v>-16.080952380952375</v>
      </c>
      <c r="C5" s="153"/>
      <c r="E5" s="63" t="s">
        <v>181</v>
      </c>
      <c r="F5" s="60" t="s">
        <v>182</v>
      </c>
      <c r="G5" s="47">
        <v>46</v>
      </c>
      <c r="H5" s="133">
        <f>IF(B$17=0,0,G5/B$17)</f>
        <v>0.38983050847457629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-5836.7346938775509</v>
      </c>
      <c r="P5" s="119">
        <v>49</v>
      </c>
      <c r="Q5" s="103">
        <v>-286000</v>
      </c>
    </row>
    <row r="6" spans="1:17" x14ac:dyDescent="0.4">
      <c r="A6" s="55" t="s">
        <v>1</v>
      </c>
      <c r="B6" s="142">
        <f>IF(B$2=0,0,(B$7*1+B$8*2+B$9*3)/B$2)</f>
        <v>2.253968253968254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0.34745762711864409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-1493.0232558139535</v>
      </c>
      <c r="P6" s="119">
        <v>43</v>
      </c>
      <c r="Q6" s="103">
        <v>-64200</v>
      </c>
    </row>
    <row r="7" spans="1:17" x14ac:dyDescent="0.4">
      <c r="A7" s="55" t="s">
        <v>2</v>
      </c>
      <c r="B7" s="47">
        <v>15</v>
      </c>
      <c r="C7" s="39">
        <f>IF(B$2=0,0,B7/B$2)</f>
        <v>0.23809523809523808</v>
      </c>
      <c r="E7" s="63" t="s">
        <v>73</v>
      </c>
      <c r="F7" s="60" t="s">
        <v>28</v>
      </c>
      <c r="G7" s="47">
        <v>41</v>
      </c>
      <c r="H7" s="133">
        <f>IF(B$17=0,0,G7/B$17)</f>
        <v>0.34745762711864409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-1722.5</v>
      </c>
      <c r="P7" s="120">
        <v>40</v>
      </c>
      <c r="Q7" s="104">
        <v>-68900</v>
      </c>
    </row>
    <row r="8" spans="1:17" x14ac:dyDescent="0.4">
      <c r="A8" s="55" t="s">
        <v>3</v>
      </c>
      <c r="B8" s="47">
        <v>17</v>
      </c>
      <c r="C8" s="39">
        <f>IF(B$2=0,0,B8/B$2)</f>
        <v>0.26984126984126983</v>
      </c>
      <c r="E8" s="63" t="s">
        <v>70</v>
      </c>
      <c r="F8" s="60" t="s">
        <v>25</v>
      </c>
      <c r="G8" s="47">
        <v>27</v>
      </c>
      <c r="H8" s="133">
        <f>IF(B$17=0,0,G8/B$17)</f>
        <v>0.2288135593220339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0.49206349206349204</v>
      </c>
      <c r="E9" s="63" t="s">
        <v>71</v>
      </c>
      <c r="F9" s="60" t="s">
        <v>26</v>
      </c>
      <c r="G9" s="47">
        <v>20</v>
      </c>
      <c r="H9" s="133">
        <f>IF(B$17=0,0,G9/B$17)</f>
        <v>0.16949152542372881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0.19047619047619047</v>
      </c>
      <c r="E10" s="63" t="s">
        <v>72</v>
      </c>
      <c r="F10" s="60" t="s">
        <v>27</v>
      </c>
      <c r="G10" s="47">
        <v>13</v>
      </c>
      <c r="H10" s="133">
        <f>IF(B$17=0,0,G10/B$17)</f>
        <v>0.11016949152542373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-19.049999999999997</v>
      </c>
      <c r="P10" s="118">
        <v>20</v>
      </c>
      <c r="Q10" s="106">
        <v>-380.99999999999994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0.1111111111111111</v>
      </c>
      <c r="E11" s="63" t="s">
        <v>90</v>
      </c>
      <c r="F11" s="60" t="s">
        <v>45</v>
      </c>
      <c r="G11" s="47">
        <v>11</v>
      </c>
      <c r="H11" s="133">
        <f>IF(B$17=0,0,G11/B$17)</f>
        <v>9.3220338983050849E-2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7.9365079365079361E-2</v>
      </c>
      <c r="E12" s="63" t="s">
        <v>87</v>
      </c>
      <c r="F12" s="60" t="s">
        <v>42</v>
      </c>
      <c r="G12" s="47">
        <v>9</v>
      </c>
      <c r="H12" s="133">
        <f>IF(B$17=0,0,G12/B$17)</f>
        <v>7.6271186440677971E-2</v>
      </c>
      <c r="I12" s="94">
        <v>3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140</v>
      </c>
      <c r="C13" s="44">
        <f>IF(B$3=0,0,B13/B$3)</f>
        <v>0.26819923371647508</v>
      </c>
      <c r="E13" s="63" t="s">
        <v>66</v>
      </c>
      <c r="F13" s="60" t="s">
        <v>22</v>
      </c>
      <c r="G13" s="47">
        <v>8</v>
      </c>
      <c r="H13" s="133">
        <f>IF(B$17=0,0,G13/B$17)</f>
        <v>6.7796610169491525E-2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0.16475095785440613</v>
      </c>
      <c r="E14" s="63" t="s">
        <v>84</v>
      </c>
      <c r="F14" s="60" t="s">
        <v>39</v>
      </c>
      <c r="G14" s="47">
        <v>5</v>
      </c>
      <c r="H14" s="133">
        <f>IF(B$17=0,0,G14/B$17)</f>
        <v>4.2372881355932202E-2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70</v>
      </c>
      <c r="C15" s="37">
        <f>IF(B$13=0,0,B15/B$13)</f>
        <v>0.5</v>
      </c>
      <c r="E15" s="63" t="s">
        <v>79</v>
      </c>
      <c r="F15" s="60" t="s">
        <v>34</v>
      </c>
      <c r="G15" s="47">
        <v>4</v>
      </c>
      <c r="H15" s="133">
        <f>IF(B$17=0,0,G15/B$17)</f>
        <v>3.3898305084745763E-2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20</v>
      </c>
      <c r="C16" s="37">
        <f>IF(B$14=0,0,B16/B$14)</f>
        <v>0.23255813953488372</v>
      </c>
      <c r="E16" s="63" t="s">
        <v>75</v>
      </c>
      <c r="F16" s="60" t="s">
        <v>30</v>
      </c>
      <c r="G16" s="47">
        <v>2</v>
      </c>
      <c r="H16" s="133">
        <f>IF(B$17=0,0,G16/B$17)</f>
        <v>1.6949152542372881E-2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118</v>
      </c>
      <c r="C17" s="37">
        <f>IF(B$3=0,0,B17/B$3)</f>
        <v>0.22605363984674329</v>
      </c>
      <c r="E17" s="63" t="s">
        <v>82</v>
      </c>
      <c r="F17" s="60" t="s">
        <v>37</v>
      </c>
      <c r="G17" s="47">
        <v>2</v>
      </c>
      <c r="H17" s="133">
        <f>IF(B$17=0,0,G17/B$17)</f>
        <v>1.6949152542372881E-2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</v>
      </c>
      <c r="E18" s="63" t="s">
        <v>94</v>
      </c>
      <c r="F18" s="60" t="s">
        <v>49</v>
      </c>
      <c r="G18" s="47">
        <v>2</v>
      </c>
      <c r="H18" s="133">
        <f>IF(B$17=0,0,G18/B$17)</f>
        <v>1.6949152542372881E-2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59</v>
      </c>
      <c r="C19" s="39">
        <f>IF(B$17=0,0,B19/B$17)</f>
        <v>0.5</v>
      </c>
      <c r="E19" s="63" t="s">
        <v>78</v>
      </c>
      <c r="F19" s="60" t="s">
        <v>33</v>
      </c>
      <c r="G19" s="47">
        <v>1</v>
      </c>
      <c r="H19" s="133">
        <f>IF(B$17=0,0,G19/B$17)</f>
        <v>8.4745762711864406E-3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-23.099999999999998</v>
      </c>
      <c r="P19" s="119">
        <v>19</v>
      </c>
      <c r="Q19" s="107">
        <v>-438.9</v>
      </c>
    </row>
    <row r="20" spans="1:17" x14ac:dyDescent="0.4">
      <c r="A20" s="55" t="s">
        <v>13</v>
      </c>
      <c r="B20" s="47">
        <v>103</v>
      </c>
      <c r="C20" s="39">
        <f>IF(B$3=0,0,B20/B$3)</f>
        <v>0.19731800766283525</v>
      </c>
      <c r="E20" s="63" t="s">
        <v>80</v>
      </c>
      <c r="F20" s="60" t="s">
        <v>35</v>
      </c>
      <c r="G20" s="47">
        <v>1</v>
      </c>
      <c r="H20" s="133">
        <f>IF(B$17=0,0,G20/B$17)</f>
        <v>8.4745762711864406E-3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-36.07567567567569</v>
      </c>
      <c r="P20" s="119">
        <v>37</v>
      </c>
      <c r="Q20" s="107">
        <v>-1334.8000000000006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8.4745762711864406E-3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89</v>
      </c>
      <c r="F22" s="60" t="s">
        <v>44</v>
      </c>
      <c r="G22" s="47">
        <v>1</v>
      </c>
      <c r="H22" s="133">
        <f>IF(B$17=0,0,G22/B$17)</f>
        <v>8.4745762711864406E-3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9178.8135593220341</v>
      </c>
      <c r="C23" s="41">
        <v>1083100</v>
      </c>
      <c r="E23" s="63" t="s">
        <v>92</v>
      </c>
      <c r="F23" s="60" t="s">
        <v>47</v>
      </c>
      <c r="G23" s="47">
        <v>1</v>
      </c>
      <c r="H23" s="133">
        <f>IF(B$17=0,0,G23/B$17)</f>
        <v>8.4745762711864406E-3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-9572.8155339805817</v>
      </c>
      <c r="C24" s="45">
        <v>-986000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1.9157088122605363E-3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EF71-EBBE-4D2B-806F-0CBD12D8E2C5}">
  <sheetPr codeName="Sheet13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72</v>
      </c>
      <c r="C2" s="147"/>
      <c r="E2" s="62" t="s">
        <v>65</v>
      </c>
      <c r="F2" s="59" t="s">
        <v>21</v>
      </c>
      <c r="G2" s="46">
        <v>96</v>
      </c>
      <c r="H2" s="132">
        <f>IF(B$17=0,0,G2/B$17)</f>
        <v>0.56140350877192979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-922.22222222222217</v>
      </c>
      <c r="P2" s="118">
        <v>72</v>
      </c>
      <c r="Q2" s="102">
        <v>-66400</v>
      </c>
    </row>
    <row r="3" spans="1:17" x14ac:dyDescent="0.4">
      <c r="A3" s="55" t="s">
        <v>8</v>
      </c>
      <c r="B3" s="148">
        <v>612</v>
      </c>
      <c r="C3" s="149"/>
      <c r="E3" s="63" t="s">
        <v>66</v>
      </c>
      <c r="F3" s="60" t="s">
        <v>22</v>
      </c>
      <c r="G3" s="47">
        <v>24</v>
      </c>
      <c r="H3" s="133">
        <f>IF(B$17=0,0,G3/B$17)</f>
        <v>0.14035087719298245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638.02816901408448</v>
      </c>
      <c r="P3" s="119">
        <v>71</v>
      </c>
      <c r="Q3" s="103">
        <v>45300</v>
      </c>
    </row>
    <row r="4" spans="1:17" x14ac:dyDescent="0.4">
      <c r="A4" s="55" t="s">
        <v>6</v>
      </c>
      <c r="B4" s="150">
        <v>98.299999999999983</v>
      </c>
      <c r="C4" s="151"/>
      <c r="E4" s="63" t="s">
        <v>67</v>
      </c>
      <c r="F4" s="60" t="s">
        <v>23</v>
      </c>
      <c r="G4" s="47">
        <v>142</v>
      </c>
      <c r="H4" s="133">
        <f>IF(B$17=0,0,G4/B$17)</f>
        <v>0.83040935672514615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1588.0597014925372</v>
      </c>
      <c r="P4" s="119">
        <v>67</v>
      </c>
      <c r="Q4" s="103">
        <v>106400</v>
      </c>
    </row>
    <row r="5" spans="1:17" x14ac:dyDescent="0.4">
      <c r="A5" s="55" t="s">
        <v>7</v>
      </c>
      <c r="B5" s="152">
        <f>IF(B$2=0,0,B$4/B$2)</f>
        <v>1.3652777777777776</v>
      </c>
      <c r="C5" s="153"/>
      <c r="E5" s="63" t="s">
        <v>68</v>
      </c>
      <c r="F5" s="60" t="s">
        <v>24</v>
      </c>
      <c r="G5" s="47">
        <v>54</v>
      </c>
      <c r="H5" s="133">
        <f>IF(B$17=0,0,G5/B$17)</f>
        <v>0.31578947368421051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2305.2631578947367</v>
      </c>
      <c r="P5" s="119">
        <v>57</v>
      </c>
      <c r="Q5" s="103">
        <v>131400</v>
      </c>
    </row>
    <row r="6" spans="1:17" x14ac:dyDescent="0.4">
      <c r="A6" s="55" t="s">
        <v>1</v>
      </c>
      <c r="B6" s="142">
        <f>IF(B$2=0,0,(B$7*1+B$8*2+B$9*3)/B$2)</f>
        <v>2.0555555555555554</v>
      </c>
      <c r="C6" s="143"/>
      <c r="E6" s="63" t="s">
        <v>69</v>
      </c>
      <c r="F6" s="60" t="s">
        <v>12</v>
      </c>
      <c r="G6" s="47">
        <v>54</v>
      </c>
      <c r="H6" s="133">
        <f>IF(B$17=0,0,G6/B$17)</f>
        <v>0.31578947368421051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-1188.2352941176471</v>
      </c>
      <c r="P6" s="119">
        <v>51</v>
      </c>
      <c r="Q6" s="103">
        <v>-60600</v>
      </c>
    </row>
    <row r="7" spans="1:17" x14ac:dyDescent="0.4">
      <c r="A7" s="55" t="s">
        <v>2</v>
      </c>
      <c r="B7" s="47">
        <v>21</v>
      </c>
      <c r="C7" s="39">
        <f>IF(B$2=0,0,B7/B$2)</f>
        <v>0.29166666666666669</v>
      </c>
      <c r="E7" s="63" t="s">
        <v>70</v>
      </c>
      <c r="F7" s="60" t="s">
        <v>25</v>
      </c>
      <c r="G7" s="47">
        <v>35</v>
      </c>
      <c r="H7" s="133">
        <f>IF(B$17=0,0,G7/B$17)</f>
        <v>0.2046783625730994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642.55319148936167</v>
      </c>
      <c r="P7" s="120">
        <v>47</v>
      </c>
      <c r="Q7" s="104">
        <v>30200</v>
      </c>
    </row>
    <row r="8" spans="1:17" x14ac:dyDescent="0.4">
      <c r="A8" s="55" t="s">
        <v>3</v>
      </c>
      <c r="B8" s="47">
        <v>26</v>
      </c>
      <c r="C8" s="39">
        <f>IF(B$2=0,0,B8/B$2)</f>
        <v>0.3611111111111111</v>
      </c>
      <c r="E8" s="63" t="s">
        <v>71</v>
      </c>
      <c r="F8" s="60" t="s">
        <v>26</v>
      </c>
      <c r="G8" s="47">
        <v>20</v>
      </c>
      <c r="H8" s="133">
        <f>IF(B$17=0,0,G8/B$17)</f>
        <v>0.11695906432748537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0.34722222222222221</v>
      </c>
      <c r="E9" s="63" t="s">
        <v>72</v>
      </c>
      <c r="F9" s="60" t="s">
        <v>27</v>
      </c>
      <c r="G9" s="47">
        <v>12</v>
      </c>
      <c r="H9" s="133">
        <f>IF(B$17=0,0,G9/B$17)</f>
        <v>7.0175438596491224E-2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5.5555555555555552E-2</v>
      </c>
      <c r="E10" s="63" t="s">
        <v>73</v>
      </c>
      <c r="F10" s="60" t="s">
        <v>28</v>
      </c>
      <c r="G10" s="47">
        <v>87</v>
      </c>
      <c r="H10" s="133">
        <f>IF(B$17=0,0,G10/B$17)</f>
        <v>0.50877192982456143</v>
      </c>
      <c r="I10" s="94">
        <v>9</v>
      </c>
      <c r="K10" s="38">
        <v>8</v>
      </c>
      <c r="L10" s="99">
        <v>-1.7000000000000028</v>
      </c>
      <c r="N10" s="114" t="s">
        <v>164</v>
      </c>
      <c r="O10" s="124">
        <f>IF(P10=0,0,Q10/P10)</f>
        <v>5.8111111111111109</v>
      </c>
      <c r="P10" s="118">
        <v>18</v>
      </c>
      <c r="Q10" s="106">
        <v>104.6</v>
      </c>
    </row>
    <row r="11" spans="1:17" x14ac:dyDescent="0.4">
      <c r="A11" s="56" t="s">
        <v>140</v>
      </c>
      <c r="B11" s="48">
        <v>9</v>
      </c>
      <c r="C11" s="40">
        <f>IF(B$2=0,0,B11/B$2)</f>
        <v>0.125</v>
      </c>
      <c r="E11" s="63" t="s">
        <v>74</v>
      </c>
      <c r="F11" s="60" t="s">
        <v>29</v>
      </c>
      <c r="G11" s="47">
        <v>1</v>
      </c>
      <c r="H11" s="133">
        <f>IF(B$17=0,0,G11/B$17)</f>
        <v>5.8479532163742687E-3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174</v>
      </c>
      <c r="C13" s="44">
        <f>IF(B$3=0,0,B13/B$3)</f>
        <v>0.28431372549019607</v>
      </c>
      <c r="E13" s="63" t="s">
        <v>76</v>
      </c>
      <c r="F13" s="60" t="s">
        <v>31</v>
      </c>
      <c r="G13" s="47">
        <v>3</v>
      </c>
      <c r="H13" s="133">
        <f>IF(B$17=0,0,G13/B$17)</f>
        <v>1.7543859649122806E-2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0.184640522875817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101</v>
      </c>
      <c r="C15" s="37">
        <f>IF(B$13=0,0,B15/B$13)</f>
        <v>0.58045977011494254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46</v>
      </c>
      <c r="C16" s="37">
        <f>IF(B$14=0,0,B16/B$14)</f>
        <v>0.40707964601769914</v>
      </c>
      <c r="E16" s="63" t="s">
        <v>79</v>
      </c>
      <c r="F16" s="60" t="s">
        <v>34</v>
      </c>
      <c r="G16" s="47">
        <v>7</v>
      </c>
      <c r="H16" s="133">
        <f>IF(B$17=0,0,G16/B$17)</f>
        <v>4.0935672514619881E-2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23.099999999999994</v>
      </c>
      <c r="P16" s="119">
        <v>19</v>
      </c>
      <c r="Q16" s="107">
        <v>438.89999999999992</v>
      </c>
    </row>
    <row r="17" spans="1:17" x14ac:dyDescent="0.4">
      <c r="A17" s="54" t="s">
        <v>10</v>
      </c>
      <c r="B17" s="46">
        <f>B19+B18</f>
        <v>171</v>
      </c>
      <c r="C17" s="37">
        <f>IF(B$3=0,0,B17/B$3)</f>
        <v>0.27941176470588236</v>
      </c>
      <c r="E17" s="63" t="s">
        <v>80</v>
      </c>
      <c r="F17" s="60" t="s">
        <v>35</v>
      </c>
      <c r="G17" s="47">
        <v>3</v>
      </c>
      <c r="H17" s="133">
        <f>IF(B$17=0,0,G17/B$17)</f>
        <v>1.7543859649122806E-2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74</v>
      </c>
      <c r="C18" s="39">
        <f>IF(B$17=0,0,B18/B$17)</f>
        <v>0.43274853801169588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97</v>
      </c>
      <c r="C19" s="39">
        <f>IF(B$17=0,0,B19/B$17)</f>
        <v>0.56725146198830412</v>
      </c>
      <c r="E19" s="63" t="s">
        <v>82</v>
      </c>
      <c r="F19" s="60" t="s">
        <v>37</v>
      </c>
      <c r="G19" s="47">
        <v>7</v>
      </c>
      <c r="H19" s="133">
        <f>IF(B$17=0,0,G19/B$17)</f>
        <v>4.0935672514619881E-2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 t="shared" si="2"/>
        <v>0.4365853658536637</v>
      </c>
      <c r="P19" s="119">
        <v>41</v>
      </c>
      <c r="Q19" s="107">
        <v>17.900000000000212</v>
      </c>
    </row>
    <row r="20" spans="1:17" x14ac:dyDescent="0.4">
      <c r="A20" s="55" t="s">
        <v>13</v>
      </c>
      <c r="B20" s="47">
        <v>102</v>
      </c>
      <c r="C20" s="39">
        <f>IF(B$3=0,0,B20/B$3)</f>
        <v>0.16666666666666666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2"/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4.0935672514619881E-2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1.1695906432748537E-2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-28.316666666666666</v>
      </c>
      <c r="P22" s="119">
        <v>12</v>
      </c>
      <c r="Q22" s="107">
        <v>-339.8</v>
      </c>
    </row>
    <row r="23" spans="1:17" x14ac:dyDescent="0.4">
      <c r="A23" s="55" t="s">
        <v>5</v>
      </c>
      <c r="B23" s="51">
        <f>IF(B$17=0,0,C23/B$17)</f>
        <v>9761.9883040935674</v>
      </c>
      <c r="C23" s="41">
        <v>1669300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-7748.0392156862745</v>
      </c>
      <c r="C24" s="45">
        <v>-790300</v>
      </c>
      <c r="E24" s="63" t="s">
        <v>87</v>
      </c>
      <c r="F24" s="60" t="s">
        <v>42</v>
      </c>
      <c r="G24" s="47">
        <v>13</v>
      </c>
      <c r="H24" s="133">
        <f>IF(B$17=0,0,G24/B$17)</f>
        <v>7.6023391812865493E-2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5.8479532163742687E-3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1.6339869281045752E-3</v>
      </c>
      <c r="E27" s="63" t="s">
        <v>90</v>
      </c>
      <c r="F27" s="60" t="s">
        <v>45</v>
      </c>
      <c r="G27" s="47">
        <v>26</v>
      </c>
      <c r="H27" s="133">
        <f>IF(B$17=0,0,G27/B$17)</f>
        <v>0.15204678362573099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1.7543859649122806E-2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1.1695906432748537E-2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5.8479532163742687E-3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1.1695906432748537E-2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65</v>
      </c>
      <c r="H51" s="134">
        <f>IF(B$17=0,0,G51/B$17)</f>
        <v>0.38011695906432746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F817A-A077-4B71-BEFD-7AA304691F20}">
  <sheetPr codeName="Sheet15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58</v>
      </c>
      <c r="C2" s="147"/>
      <c r="E2" s="62" t="s">
        <v>67</v>
      </c>
      <c r="F2" s="59" t="s">
        <v>23</v>
      </c>
      <c r="G2" s="46">
        <v>119</v>
      </c>
      <c r="H2" s="132">
        <f>IF(B$17=0,0,G2/B$17)</f>
        <v>0.64673913043478259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403.44827586206895</v>
      </c>
      <c r="P2" s="118">
        <v>58</v>
      </c>
      <c r="Q2" s="102">
        <v>23400</v>
      </c>
    </row>
    <row r="3" spans="1:17" x14ac:dyDescent="0.4">
      <c r="A3" s="55" t="s">
        <v>8</v>
      </c>
      <c r="B3" s="148">
        <v>508</v>
      </c>
      <c r="C3" s="149"/>
      <c r="E3" s="63" t="s">
        <v>73</v>
      </c>
      <c r="F3" s="60" t="s">
        <v>28</v>
      </c>
      <c r="G3" s="47">
        <v>105</v>
      </c>
      <c r="H3" s="133">
        <f>IF(B$17=0,0,G3/B$17)</f>
        <v>0.57065217391304346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498.27586206896552</v>
      </c>
      <c r="P3" s="119">
        <v>58</v>
      </c>
      <c r="Q3" s="103">
        <v>28900</v>
      </c>
    </row>
    <row r="4" spans="1:17" x14ac:dyDescent="0.4">
      <c r="A4" s="55" t="s">
        <v>6</v>
      </c>
      <c r="B4" s="150">
        <v>-0.40000000000001457</v>
      </c>
      <c r="C4" s="151"/>
      <c r="E4" s="63" t="s">
        <v>181</v>
      </c>
      <c r="F4" s="60" t="s">
        <v>182</v>
      </c>
      <c r="G4" s="47">
        <v>82</v>
      </c>
      <c r="H4" s="133">
        <f>IF(B$17=0,0,G4/B$17)</f>
        <v>0.44565217391304346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-1013.4615384615385</v>
      </c>
      <c r="P4" s="119">
        <v>52</v>
      </c>
      <c r="Q4" s="103">
        <v>-52700</v>
      </c>
    </row>
    <row r="5" spans="1:17" x14ac:dyDescent="0.4">
      <c r="A5" s="55" t="s">
        <v>7</v>
      </c>
      <c r="B5" s="152">
        <f>IF(B$2=0,0,B$4/B$2)</f>
        <v>-6.8965517241381825E-3</v>
      </c>
      <c r="C5" s="153"/>
      <c r="E5" s="63" t="s">
        <v>65</v>
      </c>
      <c r="F5" s="60" t="s">
        <v>21</v>
      </c>
      <c r="G5" s="47">
        <v>65</v>
      </c>
      <c r="H5" s="133">
        <f>IF(B$17=0,0,G5/B$17)</f>
        <v>0.35326086956521741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216.32653061224491</v>
      </c>
      <c r="P5" s="119">
        <v>49</v>
      </c>
      <c r="Q5" s="103">
        <v>10600</v>
      </c>
    </row>
    <row r="6" spans="1:17" x14ac:dyDescent="0.4">
      <c r="A6" s="55" t="s">
        <v>1</v>
      </c>
      <c r="B6" s="142">
        <f>IF(B$2=0,0,(B$7*1+B$8*2+B$9*3)/B$2)</f>
        <v>2.0517241379310347</v>
      </c>
      <c r="C6" s="143"/>
      <c r="E6" s="63" t="s">
        <v>69</v>
      </c>
      <c r="F6" s="60" t="s">
        <v>12</v>
      </c>
      <c r="G6" s="47">
        <v>50</v>
      </c>
      <c r="H6" s="133">
        <f>IF(B$17=0,0,G6/B$17)</f>
        <v>0.27173913043478259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487.5</v>
      </c>
      <c r="P6" s="119">
        <v>48</v>
      </c>
      <c r="Q6" s="103">
        <v>23400</v>
      </c>
    </row>
    <row r="7" spans="1:17" x14ac:dyDescent="0.4">
      <c r="A7" s="55" t="s">
        <v>2</v>
      </c>
      <c r="B7" s="47">
        <v>15</v>
      </c>
      <c r="C7" s="39">
        <f>IF(B$2=0,0,B7/B$2)</f>
        <v>0.25862068965517243</v>
      </c>
      <c r="E7" s="63" t="s">
        <v>68</v>
      </c>
      <c r="F7" s="60" t="s">
        <v>24</v>
      </c>
      <c r="G7" s="47">
        <v>32</v>
      </c>
      <c r="H7" s="133">
        <f>IF(B$17=0,0,G7/B$17)</f>
        <v>0.17391304347826086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-669.04761904761904</v>
      </c>
      <c r="P7" s="120">
        <v>42</v>
      </c>
      <c r="Q7" s="104">
        <v>-28100</v>
      </c>
    </row>
    <row r="8" spans="1:17" x14ac:dyDescent="0.4">
      <c r="A8" s="55" t="s">
        <v>3</v>
      </c>
      <c r="B8" s="47">
        <v>25</v>
      </c>
      <c r="C8" s="39">
        <f>IF(B$2=0,0,B8/B$2)</f>
        <v>0.43103448275862066</v>
      </c>
      <c r="E8" s="63" t="s">
        <v>70</v>
      </c>
      <c r="F8" s="60" t="s">
        <v>25</v>
      </c>
      <c r="G8" s="47">
        <v>27</v>
      </c>
      <c r="H8" s="133">
        <f>IF(B$17=0,0,G8/B$17)</f>
        <v>0.14673913043478262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0.31034482758620691</v>
      </c>
      <c r="E9" s="63" t="s">
        <v>66</v>
      </c>
      <c r="F9" s="60" t="s">
        <v>22</v>
      </c>
      <c r="G9" s="47">
        <v>21</v>
      </c>
      <c r="H9" s="133">
        <f>IF(B$17=0,0,G9/B$17)</f>
        <v>0.11413043478260869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5.1724137931034482E-2</v>
      </c>
      <c r="E10" s="63" t="s">
        <v>72</v>
      </c>
      <c r="F10" s="60" t="s">
        <v>27</v>
      </c>
      <c r="G10" s="47">
        <v>14</v>
      </c>
      <c r="H10" s="133">
        <f>IF(B$17=0,0,G10/B$17)</f>
        <v>7.6086956521739135E-2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0.10344827586206896</v>
      </c>
      <c r="E11" s="63" t="s">
        <v>90</v>
      </c>
      <c r="F11" s="60" t="s">
        <v>45</v>
      </c>
      <c r="G11" s="47">
        <v>12</v>
      </c>
      <c r="H11" s="133">
        <f>IF(B$17=0,0,G11/B$17)</f>
        <v>6.5217391304347824E-2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2</v>
      </c>
      <c r="C12" s="42">
        <f>IF(B$2=0,0,B12/B$2)</f>
        <v>3.4482758620689655E-2</v>
      </c>
      <c r="E12" s="63" t="s">
        <v>71</v>
      </c>
      <c r="F12" s="60" t="s">
        <v>26</v>
      </c>
      <c r="G12" s="47">
        <v>10</v>
      </c>
      <c r="H12" s="133">
        <f>IF(B$17=0,0,G12/B$17)</f>
        <v>5.434782608695652E-2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1.9095238095238098</v>
      </c>
      <c r="P12" s="120">
        <v>21</v>
      </c>
      <c r="Q12" s="108">
        <v>40.100000000000009</v>
      </c>
    </row>
    <row r="13" spans="1:17" x14ac:dyDescent="0.4">
      <c r="A13" s="58" t="s">
        <v>122</v>
      </c>
      <c r="B13" s="50">
        <v>113</v>
      </c>
      <c r="C13" s="44">
        <f>IF(B$3=0,0,B13/B$3)</f>
        <v>0.22244094488188976</v>
      </c>
      <c r="E13" s="63" t="s">
        <v>84</v>
      </c>
      <c r="F13" s="60" t="s">
        <v>39</v>
      </c>
      <c r="G13" s="47">
        <v>9</v>
      </c>
      <c r="H13" s="133">
        <f>IF(B$17=0,0,G13/B$17)</f>
        <v>4.8913043478260872E-2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146</v>
      </c>
      <c r="C14" s="39">
        <f>IF(B$3=0,0,B14/B$3)</f>
        <v>0.2874015748031496</v>
      </c>
      <c r="E14" s="63" t="s">
        <v>87</v>
      </c>
      <c r="F14" s="60" t="s">
        <v>42</v>
      </c>
      <c r="G14" s="47">
        <v>8</v>
      </c>
      <c r="H14" s="133">
        <f>IF(B$17=0,0,G14/B$17)</f>
        <v>4.3478260869565216E-2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65</v>
      </c>
      <c r="C15" s="37">
        <f>IF(B$13=0,0,B15/B$13)</f>
        <v>0.5752212389380531</v>
      </c>
      <c r="E15" s="63" t="s">
        <v>82</v>
      </c>
      <c r="F15" s="60" t="s">
        <v>37</v>
      </c>
      <c r="G15" s="47">
        <v>6</v>
      </c>
      <c r="H15" s="133">
        <f>IF(B$17=0,0,G15/B$17)</f>
        <v>3.2608695652173912E-2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64</v>
      </c>
      <c r="C16" s="37">
        <f>IF(B$14=0,0,B16/B$14)</f>
        <v>0.43835616438356162</v>
      </c>
      <c r="E16" s="63" t="s">
        <v>79</v>
      </c>
      <c r="F16" s="60" t="s">
        <v>34</v>
      </c>
      <c r="G16" s="47">
        <v>2</v>
      </c>
      <c r="H16" s="133">
        <f>IF(B$17=0,0,G16/B$17)</f>
        <v>1.0869565217391304E-2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184</v>
      </c>
      <c r="C17" s="37">
        <f>IF(B$3=0,0,B17/B$3)</f>
        <v>0.36220472440944884</v>
      </c>
      <c r="E17" s="63" t="s">
        <v>80</v>
      </c>
      <c r="F17" s="60" t="s">
        <v>35</v>
      </c>
      <c r="G17" s="47">
        <v>2</v>
      </c>
      <c r="H17" s="133">
        <f>IF(B$17=0,0,G17/B$17)</f>
        <v>1.0869565217391304E-2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77</v>
      </c>
      <c r="C18" s="39">
        <f>IF(B$17=0,0,B18/B$17)</f>
        <v>0.41847826086956524</v>
      </c>
      <c r="E18" s="63" t="s">
        <v>92</v>
      </c>
      <c r="F18" s="60" t="s">
        <v>47</v>
      </c>
      <c r="G18" s="47">
        <v>2</v>
      </c>
      <c r="H18" s="133">
        <f>IF(B$17=0,0,G18/B$17)</f>
        <v>1.0869565217391304E-2</v>
      </c>
      <c r="I18" s="94">
        <v>6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107</v>
      </c>
      <c r="C19" s="39">
        <f>IF(B$17=0,0,B19/B$17)</f>
        <v>0.58152173913043481</v>
      </c>
      <c r="E19" s="63" t="s">
        <v>76</v>
      </c>
      <c r="F19" s="60" t="s">
        <v>31</v>
      </c>
      <c r="G19" s="47">
        <v>1</v>
      </c>
      <c r="H19" s="133">
        <f>IF(B$17=0,0,G19/B$17)</f>
        <v>5.434782608695652E-3</v>
      </c>
      <c r="I19" s="94">
        <v>6</v>
      </c>
      <c r="K19" s="38">
        <v>17</v>
      </c>
      <c r="L19" s="99">
        <v>-55.099999999999994</v>
      </c>
      <c r="N19" s="115" t="s">
        <v>173</v>
      </c>
      <c r="O19" s="125">
        <f>IF(P19=0,0,Q19/P19)</f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66</v>
      </c>
      <c r="C20" s="39">
        <f>IF(B$3=0,0,B20/B$3)</f>
        <v>0.12992125984251968</v>
      </c>
      <c r="E20" s="63" t="s">
        <v>88</v>
      </c>
      <c r="F20" s="60" t="s">
        <v>43</v>
      </c>
      <c r="G20" s="47">
        <v>1</v>
      </c>
      <c r="H20" s="133">
        <f>IF(B$17=0,0,G20/B$17)</f>
        <v>5.434782608695652E-3</v>
      </c>
      <c r="I20" s="94">
        <v>3</v>
      </c>
      <c r="K20" s="38">
        <v>18</v>
      </c>
      <c r="L20" s="99">
        <v>-28.199999999999996</v>
      </c>
      <c r="N20" s="115" t="s">
        <v>177</v>
      </c>
      <c r="O20" s="125">
        <f>IF(P20=0,0,Q20/P20)</f>
        <v>6.2444444444444445</v>
      </c>
      <c r="P20" s="119">
        <v>9</v>
      </c>
      <c r="Q20" s="107">
        <v>56.2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7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6528.260869565217</v>
      </c>
      <c r="C23" s="41">
        <v>1201200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-24.858064516129033</v>
      </c>
      <c r="P23" s="119">
        <v>31</v>
      </c>
      <c r="Q23" s="107">
        <v>-770.6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1.968503937007874E-3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1E7EF-3CE2-4429-B52B-820BA697AE2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C0F5-B1CD-4319-8E3A-7AEA58E8031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53</v>
      </c>
      <c r="H2" s="132">
        <f>IF(B$17=0,0,G2/B$17)</f>
        <v>0.53535353535353536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962.5</v>
      </c>
      <c r="P2" s="118">
        <v>40</v>
      </c>
      <c r="Q2" s="102">
        <v>38500</v>
      </c>
    </row>
    <row r="3" spans="1:17" x14ac:dyDescent="0.4">
      <c r="A3" s="55" t="s">
        <v>8</v>
      </c>
      <c r="B3" s="148">
        <v>330</v>
      </c>
      <c r="C3" s="149"/>
      <c r="E3" s="63" t="s">
        <v>66</v>
      </c>
      <c r="F3" s="60" t="s">
        <v>22</v>
      </c>
      <c r="G3" s="47">
        <v>7</v>
      </c>
      <c r="H3" s="133">
        <f>IF(B$17=0,0,G3/B$17)</f>
        <v>7.0707070707070704E-2</v>
      </c>
      <c r="I3" s="94">
        <v>7</v>
      </c>
      <c r="K3" s="38">
        <v>1</v>
      </c>
      <c r="L3" s="99">
        <v>-1.9</v>
      </c>
      <c r="N3" s="115" t="s">
        <v>133</v>
      </c>
      <c r="O3" s="122">
        <f t="shared" si="0"/>
        <v>618.42105263157896</v>
      </c>
      <c r="P3" s="119">
        <v>38</v>
      </c>
      <c r="Q3" s="103">
        <v>23500</v>
      </c>
    </row>
    <row r="4" spans="1:17" x14ac:dyDescent="0.4">
      <c r="A4" s="55" t="s">
        <v>6</v>
      </c>
      <c r="B4" s="150">
        <v>39.300000000000011</v>
      </c>
      <c r="C4" s="151"/>
      <c r="E4" s="63" t="s">
        <v>67</v>
      </c>
      <c r="F4" s="60" t="s">
        <v>23</v>
      </c>
      <c r="G4" s="47">
        <v>53</v>
      </c>
      <c r="H4" s="133">
        <f>IF(B$17=0,0,G4/B$17)</f>
        <v>0.53535353535353536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-1642.8571428571429</v>
      </c>
      <c r="P4" s="119">
        <v>35</v>
      </c>
      <c r="Q4" s="103">
        <v>-57500</v>
      </c>
    </row>
    <row r="5" spans="1:17" x14ac:dyDescent="0.4">
      <c r="A5" s="55" t="s">
        <v>7</v>
      </c>
      <c r="B5" s="152">
        <f>IF(B$2=0,0,B$4/B$2)</f>
        <v>0.98250000000000026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0.32323232323232326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1826.4705882352941</v>
      </c>
      <c r="P5" s="119">
        <v>34</v>
      </c>
      <c r="Q5" s="103">
        <v>62100</v>
      </c>
    </row>
    <row r="6" spans="1:17" x14ac:dyDescent="0.4">
      <c r="A6" s="55" t="s">
        <v>1</v>
      </c>
      <c r="B6" s="142">
        <f>IF(B$2=0,0,(B$7*1+B$8*2+B$9*3)/B$2)</f>
        <v>1.95</v>
      </c>
      <c r="C6" s="143"/>
      <c r="E6" s="63" t="s">
        <v>69</v>
      </c>
      <c r="F6" s="60" t="s">
        <v>12</v>
      </c>
      <c r="G6" s="47">
        <v>27</v>
      </c>
      <c r="H6" s="133">
        <f>IF(B$17=0,0,G6/B$17)</f>
        <v>0.27272727272727271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-1270</v>
      </c>
      <c r="P6" s="119">
        <v>30</v>
      </c>
      <c r="Q6" s="103">
        <v>-38100</v>
      </c>
    </row>
    <row r="7" spans="1:17" x14ac:dyDescent="0.4">
      <c r="A7" s="55" t="s">
        <v>2</v>
      </c>
      <c r="B7" s="47">
        <v>16</v>
      </c>
      <c r="C7" s="39">
        <f>IF(B$2=0,0,B7/B$2)</f>
        <v>0.4</v>
      </c>
      <c r="E7" s="63" t="s">
        <v>70</v>
      </c>
      <c r="F7" s="60" t="s">
        <v>25</v>
      </c>
      <c r="G7" s="47">
        <v>12</v>
      </c>
      <c r="H7" s="133">
        <f>IF(B$17=0,0,G7/B$17)</f>
        <v>0.12121212121212122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360</v>
      </c>
      <c r="P7" s="120">
        <v>25</v>
      </c>
      <c r="Q7" s="104">
        <v>9000</v>
      </c>
    </row>
    <row r="8" spans="1:17" x14ac:dyDescent="0.4">
      <c r="A8" s="55" t="s">
        <v>3</v>
      </c>
      <c r="B8" s="47">
        <v>10</v>
      </c>
      <c r="C8" s="39">
        <f>IF(B$2=0,0,B8/B$2)</f>
        <v>0.25</v>
      </c>
      <c r="E8" s="63" t="s">
        <v>71</v>
      </c>
      <c r="F8" s="60" t="s">
        <v>26</v>
      </c>
      <c r="G8" s="47">
        <v>8</v>
      </c>
      <c r="H8" s="133">
        <f>IF(B$17=0,0,G8/B$17)</f>
        <v>8.0808080808080815E-2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4</v>
      </c>
      <c r="H9" s="133">
        <f>IF(B$17=0,0,G9/B$17)</f>
        <v>4.0404040404040407E-2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0.17499999999999999</v>
      </c>
      <c r="E10" s="63" t="s">
        <v>73</v>
      </c>
      <c r="F10" s="60" t="s">
        <v>28</v>
      </c>
      <c r="G10" s="47">
        <v>51</v>
      </c>
      <c r="H10" s="133">
        <f>IF(B$17=0,0,G10/B$17)</f>
        <v>0.51515151515151514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4</v>
      </c>
      <c r="C11" s="40">
        <f>IF(B$2=0,0,B11/B$2)</f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0.72500000000000009</v>
      </c>
      <c r="P11" s="119">
        <v>16</v>
      </c>
      <c r="Q11" s="107">
        <v>11.600000000000001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75</v>
      </c>
      <c r="F12" s="60" t="s">
        <v>30</v>
      </c>
      <c r="G12" s="47">
        <v>1</v>
      </c>
      <c r="H12" s="133">
        <f>IF(B$17=0,0,G12/B$17)</f>
        <v>1.0101010101010102E-2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78</v>
      </c>
      <c r="C13" s="44">
        <f>IF(B$3=0,0,B13/B$3)</f>
        <v>0.23636363636363636</v>
      </c>
      <c r="E13" s="63" t="s">
        <v>76</v>
      </c>
      <c r="F13" s="60" t="s">
        <v>31</v>
      </c>
      <c r="G13" s="47">
        <v>1</v>
      </c>
      <c r="H13" s="133">
        <f>IF(B$17=0,0,G13/B$17)</f>
        <v>1.0101010101010102E-2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0.20909090909090908</v>
      </c>
      <c r="E14" s="63" t="s">
        <v>77</v>
      </c>
      <c r="F14" s="60" t="s">
        <v>32</v>
      </c>
      <c r="G14" s="47">
        <v>1</v>
      </c>
      <c r="H14" s="133">
        <f>IF(B$17=0,0,G14/B$17)</f>
        <v>1.0101010101010102E-2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53</v>
      </c>
      <c r="C15" s="37">
        <f>IF(B$13=0,0,B15/B$13)</f>
        <v>0.67948717948717952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0.37681159420289856</v>
      </c>
      <c r="E16" s="63" t="s">
        <v>79</v>
      </c>
      <c r="F16" s="60" t="s">
        <v>34</v>
      </c>
      <c r="G16" s="47">
        <v>3</v>
      </c>
      <c r="H16" s="133">
        <f>IF(B$17=0,0,G16/B$17)</f>
        <v>3.0303030303030304E-2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 t="shared" si="2"/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</v>
      </c>
      <c r="E17" s="63" t="s">
        <v>80</v>
      </c>
      <c r="F17" s="60" t="s">
        <v>35</v>
      </c>
      <c r="G17" s="47">
        <v>2</v>
      </c>
      <c r="H17" s="133">
        <f>IF(B$17=0,0,G17/B$17)</f>
        <v>2.0202020202020204E-2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 t="shared" si="2"/>
        <v>28.316666666666674</v>
      </c>
      <c r="P17" s="119">
        <v>12</v>
      </c>
      <c r="Q17" s="107">
        <v>339.80000000000007</v>
      </c>
    </row>
    <row r="18" spans="1:17" x14ac:dyDescent="0.4">
      <c r="A18" s="55" t="s">
        <v>12</v>
      </c>
      <c r="B18" s="47">
        <v>41</v>
      </c>
      <c r="C18" s="39">
        <f>IF(B$17=0,0,B18/B$17)</f>
        <v>0.41414141414141414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 t="shared" si="2"/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58</v>
      </c>
      <c r="C19" s="39">
        <f>IF(B$17=0,0,B19/B$17)</f>
        <v>0.58585858585858586</v>
      </c>
      <c r="E19" s="63" t="s">
        <v>82</v>
      </c>
      <c r="F19" s="60" t="s">
        <v>37</v>
      </c>
      <c r="G19" s="47">
        <v>3</v>
      </c>
      <c r="H19" s="133">
        <f>IF(B$17=0,0,G19/B$17)</f>
        <v>3.0303030303030304E-2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 t="shared" si="2"/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53</v>
      </c>
      <c r="C20" s="39">
        <f>IF(B$3=0,0,B20/B$3)</f>
        <v>0.16060606060606061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5.0505050505050504E-2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 t="shared" si="2"/>
        <v>-6.244444444444448</v>
      </c>
      <c r="P21" s="119">
        <v>9</v>
      </c>
      <c r="Q21" s="107">
        <v>-56.200000000000031</v>
      </c>
    </row>
    <row r="22" spans="1:17" x14ac:dyDescent="0.4">
      <c r="A22" s="55" t="s">
        <v>194</v>
      </c>
      <c r="B22" s="47">
        <v>21</v>
      </c>
      <c r="C22" s="135">
        <v>14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 t="shared" si="2"/>
        <v>-32.806666666666665</v>
      </c>
      <c r="P22" s="119">
        <v>15</v>
      </c>
      <c r="Q22" s="107">
        <v>-492.1</v>
      </c>
    </row>
    <row r="23" spans="1:17" x14ac:dyDescent="0.4">
      <c r="A23" s="55" t="s">
        <v>5</v>
      </c>
      <c r="B23" s="51">
        <f>IF(B$17=0,0,C23/B$17)</f>
        <v>8683.8383838383834</v>
      </c>
      <c r="C23" s="41">
        <v>859700</v>
      </c>
      <c r="E23" s="63" t="s">
        <v>86</v>
      </c>
      <c r="F23" s="60" t="s">
        <v>41</v>
      </c>
      <c r="G23" s="47">
        <v>2</v>
      </c>
      <c r="H23" s="133">
        <f>IF(B$17=0,0,G23/B$17)</f>
        <v>2.0202020202020204E-2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-7664.1509433962265</v>
      </c>
      <c r="C24" s="45">
        <v>-406200</v>
      </c>
      <c r="E24" s="63" t="s">
        <v>87</v>
      </c>
      <c r="F24" s="60" t="s">
        <v>42</v>
      </c>
      <c r="G24" s="47">
        <v>2</v>
      </c>
      <c r="H24" s="133">
        <f>IF(B$17=0,0,G24/B$17)</f>
        <v>2.0202020202020204E-2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6.0606060606060606E-3</v>
      </c>
      <c r="E27" s="63" t="s">
        <v>90</v>
      </c>
      <c r="F27" s="60" t="s">
        <v>45</v>
      </c>
      <c r="G27" s="47">
        <v>13</v>
      </c>
      <c r="H27" s="133">
        <f>IF(B$17=0,0,G27/B$17)</f>
        <v>0.13131313131313133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1.0101010101010102E-2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5.0505050505050504E-2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1.0101010101010102E-2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1.0101010101010102E-2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0.38383838383838381</v>
      </c>
      <c r="I51" s="95">
        <v>7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1B99-D9B5-406D-9AF2-1ED283DDEEF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D3643-DDAF-4C6A-8525-6569CDFC9E5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36B6C-8058-499B-BE1D-1F3ECFD95DD8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F370-34E1-421C-B308-B729A9660A7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58515-34E6-4475-83D9-6D5ED418EEAA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2ACF-FA29-4250-A4B1-9C8F2AC78FE0}">
  <sheetPr codeName="Sheet32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239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0</v>
      </c>
      <c r="H2" s="132">
        <f>IF(B$17=0,0,G2/B$17)</f>
        <v>0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55" t="s">
        <v>8</v>
      </c>
      <c r="B3" s="148">
        <v>0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0</v>
      </c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55" t="s">
        <v>6</v>
      </c>
      <c r="B4" s="150">
        <v>0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55" t="s">
        <v>1</v>
      </c>
      <c r="B6" s="142">
        <f>IF(B$2=0,0,(B$7*1+B$8*2+B$9*3)/B$2)</f>
        <v>1</v>
      </c>
      <c r="C6" s="143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14</v>
      </c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1</v>
      </c>
      <c r="C7" s="39">
        <f>IF(B$2=0,0,B7/B$2)</f>
        <v>1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1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0</v>
      </c>
      <c r="C13" s="44">
        <f>IF(B$3=0,0,B13/B$3)</f>
        <v>0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0</v>
      </c>
      <c r="C15" s="37">
        <f>IF(B$13=0,0,B15/B$13)</f>
        <v>0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237</v>
      </c>
      <c r="O15" s="124">
        <f>IF(P15=0,0,Q15/P15)</f>
        <v>0</v>
      </c>
      <c r="P15" s="118">
        <v>1</v>
      </c>
      <c r="Q15" s="106">
        <v>0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238</v>
      </c>
      <c r="O16" s="125">
        <f>IF(P16=0,0,Q16/P16)</f>
        <v>0</v>
      </c>
      <c r="P16" s="119">
        <v>1</v>
      </c>
      <c r="Q16" s="107">
        <v>0</v>
      </c>
    </row>
    <row r="17" spans="1:9" x14ac:dyDescent="0.4">
      <c r="A17" s="54" t="s">
        <v>10</v>
      </c>
      <c r="B17" s="46">
        <f>B19+B18</f>
        <v>0</v>
      </c>
      <c r="C17" s="37">
        <f>IF(B$3=0,0,B17/B$3)</f>
        <v>0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0</v>
      </c>
      <c r="C18" s="39">
        <f>IF(B$17=0,0,B18/B$17)</f>
        <v>0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0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0</v>
      </c>
      <c r="C23" s="41">
        <v>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0</v>
      </c>
      <c r="C24" s="45">
        <v>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35000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0</v>
      </c>
      <c r="H51" s="134">
        <f>IF(B$17=0,0,G51/B$17)</f>
        <v>0</v>
      </c>
      <c r="I51" s="95">
        <v>14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51BC6-D540-44A6-9162-C397B8762C47}">
  <sheetPr codeName="Sheet34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237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0</v>
      </c>
      <c r="H2" s="132">
        <f>IF(B$17=0,0,G2/B$17)</f>
        <v>0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55" t="s">
        <v>8</v>
      </c>
      <c r="B3" s="148">
        <v>0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0</v>
      </c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55" t="s">
        <v>6</v>
      </c>
      <c r="B4" s="150">
        <v>0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55" t="s">
        <v>1</v>
      </c>
      <c r="B6" s="142">
        <f>IF(B$2=0,0,(B$7*1+B$8*2+B$9*3)/B$2)</f>
        <v>1</v>
      </c>
      <c r="C6" s="143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14</v>
      </c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1</v>
      </c>
      <c r="C7" s="39">
        <f>IF(B$2=0,0,B7/B$2)</f>
        <v>1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1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0</v>
      </c>
      <c r="C13" s="44">
        <f>IF(B$3=0,0,B13/B$3)</f>
        <v>0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0</v>
      </c>
      <c r="C15" s="37">
        <f>IF(B$13=0,0,B15/B$13)</f>
        <v>0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238</v>
      </c>
      <c r="O15" s="124">
        <f>IF(P15=0,0,Q15/P15)</f>
        <v>0</v>
      </c>
      <c r="P15" s="118">
        <v>1</v>
      </c>
      <c r="Q15" s="106">
        <v>0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239</v>
      </c>
      <c r="O16" s="125">
        <f>IF(P16=0,0,Q16/P16)</f>
        <v>0</v>
      </c>
      <c r="P16" s="119">
        <v>1</v>
      </c>
      <c r="Q16" s="107">
        <v>0</v>
      </c>
    </row>
    <row r="17" spans="1:9" x14ac:dyDescent="0.4">
      <c r="A17" s="54" t="s">
        <v>10</v>
      </c>
      <c r="B17" s="46">
        <f>B19+B18</f>
        <v>0</v>
      </c>
      <c r="C17" s="37">
        <f>IF(B$3=0,0,B17/B$3)</f>
        <v>0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0</v>
      </c>
      <c r="C18" s="39">
        <f>IF(B$17=0,0,B18/B$17)</f>
        <v>0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0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0</v>
      </c>
      <c r="C23" s="41">
        <v>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0</v>
      </c>
      <c r="C24" s="45">
        <v>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35000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0</v>
      </c>
      <c r="H51" s="134">
        <f>IF(B$17=0,0,G51/B$17)</f>
        <v>0</v>
      </c>
      <c r="I51" s="95">
        <v>14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A41D6-1744-44B3-8A8A-C0BC8DEF7E2B}">
  <sheetPr codeName="Sheet36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238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0</v>
      </c>
      <c r="H2" s="132">
        <f>IF(B$17=0,0,G2/B$17)</f>
        <v>0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55" t="s">
        <v>8</v>
      </c>
      <c r="B3" s="148">
        <v>0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0</v>
      </c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55" t="s">
        <v>6</v>
      </c>
      <c r="B4" s="150">
        <v>0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55" t="s">
        <v>1</v>
      </c>
      <c r="B6" s="142">
        <f>IF(B$2=0,0,(B$7*1+B$8*2+B$9*3)/B$2)</f>
        <v>1</v>
      </c>
      <c r="C6" s="143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14</v>
      </c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1</v>
      </c>
      <c r="C7" s="39">
        <f>IF(B$2=0,0,B7/B$2)</f>
        <v>1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1</v>
      </c>
      <c r="Q12" s="108">
        <v>0</v>
      </c>
    </row>
    <row r="13" spans="1:17" x14ac:dyDescent="0.4">
      <c r="A13" s="58" t="s">
        <v>122</v>
      </c>
      <c r="B13" s="50">
        <v>0</v>
      </c>
      <c r="C13" s="44">
        <f>IF(B$3=0,0,B13/B$3)</f>
        <v>0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0</v>
      </c>
      <c r="C15" s="37">
        <f>IF(B$13=0,0,B15/B$13)</f>
        <v>0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239</v>
      </c>
      <c r="O15" s="124">
        <f>IF(P15=0,0,Q15/P15)</f>
        <v>0</v>
      </c>
      <c r="P15" s="118">
        <v>1</v>
      </c>
      <c r="Q15" s="106">
        <v>0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237</v>
      </c>
      <c r="O16" s="125">
        <f>IF(P16=0,0,Q16/P16)</f>
        <v>0</v>
      </c>
      <c r="P16" s="119">
        <v>1</v>
      </c>
      <c r="Q16" s="107">
        <v>0</v>
      </c>
    </row>
    <row r="17" spans="1:9" x14ac:dyDescent="0.4">
      <c r="A17" s="54" t="s">
        <v>10</v>
      </c>
      <c r="B17" s="46">
        <f>B19+B18</f>
        <v>0</v>
      </c>
      <c r="C17" s="37">
        <f>IF(B$3=0,0,B17/B$3)</f>
        <v>0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0</v>
      </c>
      <c r="C18" s="39">
        <f>IF(B$17=0,0,B18/B$17)</f>
        <v>0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0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0</v>
      </c>
      <c r="C23" s="41">
        <v>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0</v>
      </c>
      <c r="C24" s="45">
        <v>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35000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0</v>
      </c>
      <c r="H51" s="134">
        <f>IF(B$17=0,0,G51/B$17)</f>
        <v>0</v>
      </c>
      <c r="I51" s="95">
        <v>14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E00A9-CBCD-4618-BF86-4629FEBD17C1}">
  <sheetPr codeName="Sheet37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238</v>
      </c>
      <c r="B1" s="70" t="s">
        <v>238</v>
      </c>
      <c r="C1" s="70" t="s">
        <v>238</v>
      </c>
      <c r="D1" s="71" t="s">
        <v>238</v>
      </c>
      <c r="E1" s="70" t="s">
        <v>238</v>
      </c>
      <c r="F1" s="70" t="s">
        <v>238</v>
      </c>
      <c r="G1" s="70" t="s">
        <v>238</v>
      </c>
      <c r="H1" s="70" t="s">
        <v>238</v>
      </c>
      <c r="I1" s="70" t="s">
        <v>238</v>
      </c>
      <c r="J1" s="70" t="s">
        <v>238</v>
      </c>
      <c r="K1" s="70" t="s">
        <v>238</v>
      </c>
      <c r="L1" s="70" t="s">
        <v>238</v>
      </c>
      <c r="M1" s="70" t="s">
        <v>238</v>
      </c>
      <c r="N1" s="70" t="s">
        <v>238</v>
      </c>
      <c r="O1" s="70" t="s">
        <v>238</v>
      </c>
      <c r="P1" s="70" t="s">
        <v>238</v>
      </c>
      <c r="Q1" s="70" t="s">
        <v>238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1</v>
      </c>
      <c r="E4" s="67">
        <v>1</v>
      </c>
      <c r="F4" s="67">
        <v>0</v>
      </c>
      <c r="G4" s="67">
        <v>0</v>
      </c>
      <c r="H4" s="67">
        <v>0</v>
      </c>
      <c r="I4" s="68">
        <v>0</v>
      </c>
      <c r="J4" s="68">
        <v>0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216A4-D60C-49D8-B55E-E2AFD52A985A}">
  <sheetPr codeName="Sheet35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237</v>
      </c>
      <c r="B1" s="70" t="s">
        <v>237</v>
      </c>
      <c r="C1" s="70" t="s">
        <v>237</v>
      </c>
      <c r="D1" s="71" t="s">
        <v>237</v>
      </c>
      <c r="E1" s="70" t="s">
        <v>237</v>
      </c>
      <c r="F1" s="70" t="s">
        <v>237</v>
      </c>
      <c r="G1" s="70" t="s">
        <v>237</v>
      </c>
      <c r="H1" s="70" t="s">
        <v>237</v>
      </c>
      <c r="I1" s="70" t="s">
        <v>237</v>
      </c>
      <c r="J1" s="70" t="s">
        <v>237</v>
      </c>
      <c r="K1" s="70" t="s">
        <v>237</v>
      </c>
      <c r="L1" s="70" t="s">
        <v>237</v>
      </c>
      <c r="M1" s="70" t="s">
        <v>237</v>
      </c>
      <c r="N1" s="70" t="s">
        <v>237</v>
      </c>
      <c r="O1" s="70" t="s">
        <v>237</v>
      </c>
      <c r="P1" s="70" t="s">
        <v>237</v>
      </c>
      <c r="Q1" s="70" t="s">
        <v>237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1</v>
      </c>
      <c r="E4" s="67">
        <v>1</v>
      </c>
      <c r="F4" s="67">
        <v>0</v>
      </c>
      <c r="G4" s="67">
        <v>0</v>
      </c>
      <c r="H4" s="67">
        <v>0</v>
      </c>
      <c r="I4" s="68">
        <v>0</v>
      </c>
      <c r="J4" s="68">
        <v>0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5890-CA95-45A0-A83C-EAD5826A8C3D}">
  <sheetPr codeName="Sheet33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239</v>
      </c>
      <c r="B1" s="70" t="s">
        <v>239</v>
      </c>
      <c r="C1" s="70" t="s">
        <v>239</v>
      </c>
      <c r="D1" s="71" t="s">
        <v>239</v>
      </c>
      <c r="E1" s="70" t="s">
        <v>239</v>
      </c>
      <c r="F1" s="70" t="s">
        <v>239</v>
      </c>
      <c r="G1" s="70" t="s">
        <v>239</v>
      </c>
      <c r="H1" s="70" t="s">
        <v>239</v>
      </c>
      <c r="I1" s="70" t="s">
        <v>239</v>
      </c>
      <c r="J1" s="70" t="s">
        <v>239</v>
      </c>
      <c r="K1" s="70" t="s">
        <v>239</v>
      </c>
      <c r="L1" s="70" t="s">
        <v>239</v>
      </c>
      <c r="M1" s="70" t="s">
        <v>239</v>
      </c>
      <c r="N1" s="70" t="s">
        <v>239</v>
      </c>
      <c r="O1" s="70" t="s">
        <v>239</v>
      </c>
      <c r="P1" s="70" t="s">
        <v>239</v>
      </c>
      <c r="Q1" s="70" t="s">
        <v>239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1</v>
      </c>
      <c r="E4" s="67">
        <v>1</v>
      </c>
      <c r="F4" s="67">
        <v>0</v>
      </c>
      <c r="G4" s="67">
        <v>0</v>
      </c>
      <c r="H4" s="67">
        <v>0</v>
      </c>
      <c r="I4" s="68">
        <v>0</v>
      </c>
      <c r="J4" s="68">
        <v>0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E122-AA9B-4E1D-A64E-F89E4CD17CC3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7B4B9-C391-494D-B1AC-E31DCC7124DF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60EA0-253B-4E0E-B2BC-3D214FEB5B48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83B5D-CEF8-40D0-BC75-1E916C5E2C63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21AA8-21F4-472A-B80F-A74B9E06E1BA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8E858-9BA5-458D-A25C-B0D8AFD2E8A2}">
  <sheetPr codeName="Sheet20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2F4B0-13B4-464B-8B42-11FDE29CCC10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99A4A-FC4C-4EF5-A5E7-9F9E987EAADD}">
  <sheetPr codeName="Sheet16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E7B01-18A7-4DE3-912C-44FBD9E9862A}">
  <sheetPr codeName="Sheet14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AA489-98F9-4E9D-ADC0-EB803FCC85E8}">
  <sheetPr codeName="Sheet12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EC64B-474D-4E5F-A879-E66D23ABE685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8F08B-121E-4BC2-AA39-3ABDCB97C5B0}">
  <sheetPr codeName="Sheet8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1508.3000000000011</v>
      </c>
      <c r="C120" s="66">
        <v>12.891452991453001</v>
      </c>
      <c r="D120" s="71">
        <v>1.7264957264957266</v>
      </c>
      <c r="E120" s="67">
        <v>0.50427350427350426</v>
      </c>
      <c r="F120" s="67">
        <v>0.23076923076923078</v>
      </c>
      <c r="G120" s="67">
        <v>0.3518324607329843</v>
      </c>
      <c r="H120" s="67">
        <v>0.14973821989528796</v>
      </c>
      <c r="I120" s="68">
        <v>9063.6904761904771</v>
      </c>
      <c r="J120" s="68">
        <v>-8335.6643356643362</v>
      </c>
      <c r="K120" s="67">
        <v>0.1111111111111111</v>
      </c>
      <c r="L120" s="67">
        <v>0.17948717948717949</v>
      </c>
      <c r="M120" s="67">
        <v>0.32774869109947646</v>
      </c>
      <c r="N120" s="67">
        <v>0.22094240837696336</v>
      </c>
      <c r="O120" s="67">
        <v>0.58146964856230032</v>
      </c>
      <c r="P120" s="67">
        <v>0.51184834123222744</v>
      </c>
      <c r="Q120" s="67">
        <v>0.41666666666666669</v>
      </c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62825-DB39-4A9E-BE14-08B1469358E9}">
  <sheetPr codeName="Sheet6"/>
  <dimension ref="A1:Q18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7.1054273576010019E-15</v>
      </c>
      <c r="C179" s="66">
        <v>1.3457248783335231E-17</v>
      </c>
      <c r="D179" s="71">
        <v>1.9943181818181819</v>
      </c>
      <c r="E179" s="67">
        <v>0.3371212121212121</v>
      </c>
      <c r="F179" s="67">
        <v>0.33143939393939392</v>
      </c>
      <c r="G179" s="67">
        <v>0.30052403736614264</v>
      </c>
      <c r="H179" s="67">
        <v>0.16632490316700843</v>
      </c>
      <c r="I179" s="68">
        <v>8594.5413191811986</v>
      </c>
      <c r="J179" s="68">
        <v>-8187.1232876712329</v>
      </c>
      <c r="K179" s="67">
        <v>0.11363636363636363</v>
      </c>
      <c r="L179" s="67">
        <v>0.11363636363636363</v>
      </c>
      <c r="M179" s="67">
        <v>0.27705627705627706</v>
      </c>
      <c r="N179" s="67">
        <v>0.21007063112326271</v>
      </c>
      <c r="O179" s="67">
        <v>0.58717105263157898</v>
      </c>
      <c r="P179" s="67">
        <v>0.3926247288503254</v>
      </c>
      <c r="Q179" s="67">
        <v>0.4404852160727824</v>
      </c>
    </row>
    <row r="180" spans="1:17" x14ac:dyDescent="0.4">
      <c r="A180" s="69">
        <v>177</v>
      </c>
      <c r="B180" s="66">
        <v>-0.99999999999999467</v>
      </c>
      <c r="C180" s="66">
        <v>-1.8832391713747545E-3</v>
      </c>
      <c r="D180" s="71">
        <v>1.9943502824858756</v>
      </c>
      <c r="E180" s="67">
        <v>0.33709981167608288</v>
      </c>
      <c r="F180" s="67">
        <v>0.33145009416195859</v>
      </c>
      <c r="G180" s="67">
        <v>0.29990966576332428</v>
      </c>
      <c r="H180" s="67">
        <v>0.16621499548328816</v>
      </c>
      <c r="I180" s="68">
        <v>8605.6475903614464</v>
      </c>
      <c r="J180" s="68">
        <v>-8201.902173913044</v>
      </c>
      <c r="K180" s="67">
        <v>0.11299435028248588</v>
      </c>
      <c r="L180" s="67">
        <v>0.11299435028248588</v>
      </c>
      <c r="M180" s="67">
        <v>0.27777777777777779</v>
      </c>
      <c r="N180" s="67">
        <v>0.20980126467931345</v>
      </c>
      <c r="O180" s="67">
        <v>0.58373983739837398</v>
      </c>
      <c r="P180" s="67">
        <v>0.3907427341227126</v>
      </c>
      <c r="Q180" s="67">
        <v>0.43975903614457829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663</vt:i4>
      </vt:variant>
    </vt:vector>
  </HeadingPairs>
  <TitlesOfParts>
    <vt:vector size="716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Player1</vt:lpstr>
      <vt:lpstr>Player2</vt:lpstr>
      <vt:lpstr>Player3</vt:lpstr>
      <vt:lpstr>Player32</vt:lpstr>
      <vt:lpstr>Player22</vt:lpstr>
      <vt:lpstr>Player12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Player1!アガリ数</vt:lpstr>
      <vt:lpstr>Player2!アガリ数</vt:lpstr>
      <vt:lpstr>Player3!アガリ数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Player1!アガリ率</vt:lpstr>
      <vt:lpstr>Player2!アガリ率</vt:lpstr>
      <vt:lpstr>Player3!アガリ率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Player1!チョンボ数</vt:lpstr>
      <vt:lpstr>Player2!チョンボ数</vt:lpstr>
      <vt:lpstr>Player3!チョンボ数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Player1!チョンボ率</vt:lpstr>
      <vt:lpstr>Player2!チョンボ率</vt:lpstr>
      <vt:lpstr>Player3!チョンボ率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Player1!ツモ数</vt:lpstr>
      <vt:lpstr>Player2!ツモ数</vt:lpstr>
      <vt:lpstr>Player3!ツモ数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Player1!ツモ率</vt:lpstr>
      <vt:lpstr>Player2!ツモ率</vt:lpstr>
      <vt:lpstr>Player3!ツモ率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Player1!トップ数</vt:lpstr>
      <vt:lpstr>Player2!トップ数</vt:lpstr>
      <vt:lpstr>Player3!トップ数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Player1!トップ率</vt:lpstr>
      <vt:lpstr>Player2!トップ率</vt:lpstr>
      <vt:lpstr>Player3!トップ率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Player1!ふっとばし数</vt:lpstr>
      <vt:lpstr>Player2!ふっとばし数</vt:lpstr>
      <vt:lpstr>Player3!ふっとばし数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Player1!ふっとばし率</vt:lpstr>
      <vt:lpstr>Player2!ふっとばし率</vt:lpstr>
      <vt:lpstr>Player3!ふっとばし率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Player1!ふっとび数</vt:lpstr>
      <vt:lpstr>Player2!ふっとび数</vt:lpstr>
      <vt:lpstr>Player3!ふっとび数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Player1!ふっとび率</vt:lpstr>
      <vt:lpstr>Player2!ふっとび率</vt:lpstr>
      <vt:lpstr>Player3!ふっとび率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Player1!ラス数</vt:lpstr>
      <vt:lpstr>Player2!ラス数</vt:lpstr>
      <vt:lpstr>Player3!ラス数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Player1!ラス率</vt:lpstr>
      <vt:lpstr>Player2!ラス率</vt:lpstr>
      <vt:lpstr>Player3!ラス率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Player1!リーチ数</vt:lpstr>
      <vt:lpstr>Player2!リーチ数</vt:lpstr>
      <vt:lpstr>Player3!リーチ数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Player1!リーチ成功数</vt:lpstr>
      <vt:lpstr>Player2!リーチ成功数</vt:lpstr>
      <vt:lpstr>Player3!リーチ成功数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Player1!リーチ成功率</vt:lpstr>
      <vt:lpstr>Player2!リーチ成功率</vt:lpstr>
      <vt:lpstr>Player3!リーチ成功率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Player1!リーチ率</vt:lpstr>
      <vt:lpstr>Player2!リーチ率</vt:lpstr>
      <vt:lpstr>Player3!リーチ率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Player1!ロン数</vt:lpstr>
      <vt:lpstr>Player2!ロン数</vt:lpstr>
      <vt:lpstr>Player3!ロン数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Player1!ロン率</vt:lpstr>
      <vt:lpstr>Player2!ロン率</vt:lpstr>
      <vt:lpstr>Player3!ロン率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Player1!逆転数</vt:lpstr>
      <vt:lpstr>Player2!逆転数</vt:lpstr>
      <vt:lpstr>Player3!逆転数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Player1!逆転率</vt:lpstr>
      <vt:lpstr>Player2!逆転率</vt:lpstr>
      <vt:lpstr>Player3!逆転率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Player1!最大ドラ数</vt:lpstr>
      <vt:lpstr>Player2!最大ドラ数</vt:lpstr>
      <vt:lpstr>Player3!最大ドラ数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Player1!最大点数</vt:lpstr>
      <vt:lpstr>Player2!最大点数</vt:lpstr>
      <vt:lpstr>Player3!最大点数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Player1!総局数</vt:lpstr>
      <vt:lpstr>Player2!総局数</vt:lpstr>
      <vt:lpstr>Player3!総局数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Player1!対戦数</vt:lpstr>
      <vt:lpstr>Player2!対戦数</vt:lpstr>
      <vt:lpstr>Player3!対戦数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Player1!通算スコア</vt:lpstr>
      <vt:lpstr>Player2!通算スコア</vt:lpstr>
      <vt:lpstr>Player3!通算スコア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Player1!副露数</vt:lpstr>
      <vt:lpstr>Player2!副露数</vt:lpstr>
      <vt:lpstr>Player3!副露数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Player1!副露成功数</vt:lpstr>
      <vt:lpstr>Player2!副露成功数</vt:lpstr>
      <vt:lpstr>Player3!副露成功数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Player1!副露成功率</vt:lpstr>
      <vt:lpstr>Player2!副露成功率</vt:lpstr>
      <vt:lpstr>Player3!副露成功率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Player1!副露率</vt:lpstr>
      <vt:lpstr>Player2!副露率</vt:lpstr>
      <vt:lpstr>Player3!副露率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Player1!平均アガリ点</vt:lpstr>
      <vt:lpstr>Player2!平均アガリ点</vt:lpstr>
      <vt:lpstr>Player3!平均アガリ点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Player1!平均スコア</vt:lpstr>
      <vt:lpstr>Player2!平均スコア</vt:lpstr>
      <vt:lpstr>Player3!平均スコア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Player1!平均順位</vt:lpstr>
      <vt:lpstr>Player2!平均順位</vt:lpstr>
      <vt:lpstr>Player3!平均順位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Player1!平均放銃点</vt:lpstr>
      <vt:lpstr>Player2!平均放銃点</vt:lpstr>
      <vt:lpstr>Player3!平均放銃点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Player1!放銃数</vt:lpstr>
      <vt:lpstr>Player2!放銃数</vt:lpstr>
      <vt:lpstr>Player3!放銃数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Player1!放銃率</vt:lpstr>
      <vt:lpstr>Player2!放銃率</vt:lpstr>
      <vt:lpstr>Player3!放銃率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Player1!連続アガリ</vt:lpstr>
      <vt:lpstr>Player2!連続アガリ</vt:lpstr>
      <vt:lpstr>Player3!連続アガリ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Player1!連続無放銃</vt:lpstr>
      <vt:lpstr>Player2!連続無放銃</vt:lpstr>
      <vt:lpstr>Player3!連続無放銃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2019-05-23T11:37:13Z</dcterms:modified>
</cp:coreProperties>
</file>