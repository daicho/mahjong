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7339B9B0-30CF-4705-B003-6781873AA3F8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2" i="5587" l="1"/>
  <c r="H51" i="5587"/>
  <c r="H50" i="5587"/>
  <c r="H49" i="5587"/>
  <c r="H48" i="5587"/>
  <c r="H47" i="5587"/>
  <c r="H46" i="5587"/>
  <c r="H45" i="5587"/>
  <c r="H44" i="5587"/>
  <c r="H43" i="5587"/>
  <c r="H42" i="5587"/>
  <c r="H41" i="5587"/>
  <c r="H40" i="5587"/>
  <c r="H39" i="5587"/>
  <c r="H38" i="5587"/>
  <c r="H37" i="5587"/>
  <c r="H36" i="5587"/>
  <c r="H35" i="5587"/>
  <c r="H34" i="5587"/>
  <c r="H33" i="5587"/>
  <c r="H32" i="5587"/>
  <c r="H31" i="5587"/>
  <c r="H30" i="5587"/>
  <c r="H29" i="5587"/>
  <c r="H28" i="5587"/>
  <c r="H27" i="5587"/>
  <c r="C27" i="5587"/>
  <c r="H26" i="5587"/>
  <c r="H25" i="5587"/>
  <c r="H24" i="5587"/>
  <c r="B24" i="5587"/>
  <c r="H23" i="5587"/>
  <c r="B23" i="5587"/>
  <c r="H22" i="5587"/>
  <c r="H21" i="5587"/>
  <c r="H20" i="5587"/>
  <c r="C20" i="5587"/>
  <c r="H19" i="5587"/>
  <c r="C19" i="5587"/>
  <c r="O18" i="5587"/>
  <c r="H18" i="5587"/>
  <c r="C18" i="5587"/>
  <c r="O17" i="5587"/>
  <c r="H17" i="5587"/>
  <c r="C17" i="5587"/>
  <c r="B17" i="5587"/>
  <c r="O16" i="5587"/>
  <c r="H16" i="5587"/>
  <c r="C16" i="5587"/>
  <c r="O15" i="5587"/>
  <c r="H15" i="5587"/>
  <c r="C15" i="5587"/>
  <c r="H14" i="5587"/>
  <c r="C14" i="5587"/>
  <c r="H13" i="5587"/>
  <c r="C13" i="5587"/>
  <c r="O12" i="5587"/>
  <c r="H12" i="5587"/>
  <c r="C12" i="5587"/>
  <c r="O11" i="5587"/>
  <c r="H11" i="5587"/>
  <c r="C11" i="5587"/>
  <c r="O10" i="5587"/>
  <c r="H10" i="5587"/>
  <c r="C10" i="5587"/>
  <c r="H9" i="5587"/>
  <c r="C9" i="5587"/>
  <c r="H8" i="5587"/>
  <c r="C8" i="5587"/>
  <c r="O7" i="5587"/>
  <c r="H7" i="5587"/>
  <c r="C7" i="5587"/>
  <c r="O6" i="5587"/>
  <c r="H6" i="5587"/>
  <c r="B6" i="5587"/>
  <c r="O5" i="5587"/>
  <c r="H5" i="5587"/>
  <c r="B5" i="5587"/>
  <c r="O4" i="5587"/>
  <c r="H4" i="5587"/>
  <c r="O3" i="5587"/>
  <c r="H3" i="5587"/>
  <c r="O2" i="5587"/>
  <c r="H2" i="5587"/>
  <c r="H52" i="5585"/>
  <c r="H51" i="5585"/>
  <c r="H50" i="5585"/>
  <c r="H49" i="5585"/>
  <c r="H48" i="5585"/>
  <c r="H47" i="5585"/>
  <c r="H46" i="5585"/>
  <c r="H45" i="5585"/>
  <c r="H44" i="5585"/>
  <c r="H43" i="5585"/>
  <c r="H42" i="5585"/>
  <c r="H41" i="5585"/>
  <c r="H40" i="5585"/>
  <c r="H39" i="5585"/>
  <c r="H38" i="5585"/>
  <c r="H37" i="5585"/>
  <c r="H36" i="5585"/>
  <c r="H35" i="5585"/>
  <c r="H34" i="5585"/>
  <c r="H33" i="5585"/>
  <c r="H32" i="5585"/>
  <c r="H31" i="5585"/>
  <c r="H30" i="5585"/>
  <c r="H29" i="5585"/>
  <c r="H28" i="5585"/>
  <c r="H27" i="5585"/>
  <c r="C27" i="5585"/>
  <c r="H26" i="5585"/>
  <c r="H25" i="5585"/>
  <c r="H24" i="5585"/>
  <c r="B24" i="5585"/>
  <c r="H23" i="5585"/>
  <c r="B23" i="5585"/>
  <c r="H22" i="5585"/>
  <c r="H21" i="5585"/>
  <c r="H20" i="5585"/>
  <c r="C20" i="5585"/>
  <c r="H19" i="5585"/>
  <c r="C19" i="5585"/>
  <c r="O18" i="5585"/>
  <c r="H18" i="5585"/>
  <c r="C18" i="5585"/>
  <c r="O17" i="5585"/>
  <c r="H17" i="5585"/>
  <c r="C17" i="5585"/>
  <c r="B17" i="5585"/>
  <c r="O16" i="5585"/>
  <c r="H16" i="5585"/>
  <c r="C16" i="5585"/>
  <c r="O15" i="5585"/>
  <c r="H15" i="5585"/>
  <c r="C15" i="5585"/>
  <c r="H14" i="5585"/>
  <c r="C14" i="5585"/>
  <c r="H13" i="5585"/>
  <c r="C13" i="5585"/>
  <c r="O12" i="5585"/>
  <c r="H12" i="5585"/>
  <c r="C12" i="5585"/>
  <c r="O11" i="5585"/>
  <c r="H11" i="5585"/>
  <c r="C11" i="5585"/>
  <c r="O10" i="5585"/>
  <c r="H10" i="5585"/>
  <c r="C10" i="5585"/>
  <c r="H9" i="5585"/>
  <c r="C9" i="5585"/>
  <c r="H8" i="5585"/>
  <c r="C8" i="5585"/>
  <c r="O7" i="5585"/>
  <c r="H7" i="5585"/>
  <c r="C7" i="5585"/>
  <c r="O6" i="5585"/>
  <c r="H6" i="5585"/>
  <c r="B6" i="5585"/>
  <c r="O5" i="5585"/>
  <c r="H5" i="5585"/>
  <c r="B5" i="5585"/>
  <c r="O4" i="5585"/>
  <c r="H4" i="5585"/>
  <c r="O3" i="5585"/>
  <c r="H3" i="5585"/>
  <c r="O2" i="5585"/>
  <c r="H2" i="5585"/>
  <c r="H52" i="5583"/>
  <c r="H51" i="5583"/>
  <c r="H50" i="5583"/>
  <c r="H49" i="5583"/>
  <c r="H48" i="5583"/>
  <c r="H47" i="5583"/>
  <c r="H46" i="5583"/>
  <c r="H45" i="5583"/>
  <c r="H44" i="5583"/>
  <c r="H43" i="5583"/>
  <c r="H42" i="5583"/>
  <c r="H41" i="5583"/>
  <c r="H40" i="5583"/>
  <c r="H39" i="5583"/>
  <c r="H38" i="5583"/>
  <c r="H37" i="5583"/>
  <c r="H36" i="5583"/>
  <c r="H35" i="5583"/>
  <c r="H34" i="5583"/>
  <c r="H33" i="5583"/>
  <c r="H32" i="5583"/>
  <c r="H31" i="5583"/>
  <c r="H30" i="5583"/>
  <c r="H29" i="5583"/>
  <c r="H28" i="5583"/>
  <c r="H27" i="5583"/>
  <c r="C27" i="5583"/>
  <c r="H26" i="5583"/>
  <c r="H25" i="5583"/>
  <c r="H24" i="5583"/>
  <c r="B24" i="5583"/>
  <c r="H23" i="5583"/>
  <c r="B23" i="5583"/>
  <c r="H22" i="5583"/>
  <c r="H21" i="5583"/>
  <c r="H20" i="5583"/>
  <c r="C20" i="5583"/>
  <c r="H19" i="5583"/>
  <c r="C19" i="5583"/>
  <c r="H18" i="5583"/>
  <c r="C18" i="5583"/>
  <c r="H17" i="5583"/>
  <c r="C17" i="5583"/>
  <c r="B17" i="5583"/>
  <c r="O16" i="5583"/>
  <c r="H16" i="5583"/>
  <c r="C16" i="5583"/>
  <c r="O15" i="5583"/>
  <c r="H15" i="5583"/>
  <c r="C15" i="5583"/>
  <c r="H14" i="5583"/>
  <c r="C14" i="5583"/>
  <c r="H13" i="5583"/>
  <c r="C13" i="5583"/>
  <c r="O12" i="5583"/>
  <c r="H12" i="5583"/>
  <c r="C12" i="5583"/>
  <c r="O11" i="5583"/>
  <c r="H11" i="5583"/>
  <c r="C11" i="5583"/>
  <c r="O10" i="5583"/>
  <c r="H10" i="5583"/>
  <c r="C10" i="5583"/>
  <c r="H9" i="5583"/>
  <c r="C9" i="5583"/>
  <c r="H8" i="5583"/>
  <c r="C8" i="5583"/>
  <c r="O7" i="5583"/>
  <c r="H7" i="5583"/>
  <c r="C7" i="5583"/>
  <c r="O6" i="5583"/>
  <c r="H6" i="5583"/>
  <c r="B6" i="5583"/>
  <c r="O5" i="5583"/>
  <c r="H5" i="5583"/>
  <c r="B5" i="5583"/>
  <c r="O4" i="5583"/>
  <c r="H4" i="5583"/>
  <c r="O3" i="5583"/>
  <c r="H3" i="5583"/>
  <c r="O2" i="5583"/>
  <c r="H2" i="5583"/>
  <c r="H52" i="5581"/>
  <c r="H51" i="5581"/>
  <c r="H50" i="5581"/>
  <c r="H49" i="5581"/>
  <c r="H48" i="5581"/>
  <c r="H47" i="5581"/>
  <c r="H46" i="5581"/>
  <c r="H45" i="5581"/>
  <c r="H44" i="5581"/>
  <c r="H43" i="5581"/>
  <c r="H42" i="5581"/>
  <c r="H41" i="5581"/>
  <c r="H40" i="5581"/>
  <c r="H39" i="5581"/>
  <c r="H38" i="5581"/>
  <c r="H37" i="5581"/>
  <c r="H36" i="5581"/>
  <c r="H35" i="5581"/>
  <c r="H34" i="5581"/>
  <c r="H33" i="5581"/>
  <c r="H32" i="5581"/>
  <c r="H31" i="5581"/>
  <c r="H30" i="5581"/>
  <c r="H29" i="5581"/>
  <c r="H28" i="5581"/>
  <c r="H27" i="5581"/>
  <c r="C27" i="5581"/>
  <c r="H26" i="5581"/>
  <c r="H25" i="5581"/>
  <c r="H24" i="5581"/>
  <c r="B24" i="5581"/>
  <c r="H23" i="5581"/>
  <c r="B23" i="5581"/>
  <c r="O22" i="5581"/>
  <c r="H22" i="5581"/>
  <c r="O21" i="5581"/>
  <c r="H21" i="5581"/>
  <c r="O20" i="5581"/>
  <c r="H20" i="5581"/>
  <c r="C20" i="5581"/>
  <c r="O19" i="5581"/>
  <c r="H19" i="5581"/>
  <c r="C19" i="5581"/>
  <c r="O18" i="5581"/>
  <c r="H18" i="5581"/>
  <c r="C18" i="5581"/>
  <c r="O17" i="5581"/>
  <c r="H17" i="5581"/>
  <c r="C17" i="5581"/>
  <c r="B17" i="5581"/>
  <c r="O16" i="5581"/>
  <c r="H16" i="5581"/>
  <c r="C16" i="5581"/>
  <c r="O15" i="5581"/>
  <c r="H15" i="5581"/>
  <c r="C15" i="5581"/>
  <c r="H14" i="5581"/>
  <c r="C14" i="5581"/>
  <c r="H13" i="5581"/>
  <c r="C13" i="5581"/>
  <c r="O12" i="5581"/>
  <c r="H12" i="5581"/>
  <c r="C12" i="5581"/>
  <c r="O11" i="5581"/>
  <c r="H11" i="5581"/>
  <c r="C11" i="5581"/>
  <c r="O10" i="5581"/>
  <c r="H10" i="5581"/>
  <c r="C10" i="5581"/>
  <c r="H9" i="5581"/>
  <c r="C9" i="5581"/>
  <c r="H8" i="5581"/>
  <c r="C8" i="5581"/>
  <c r="O7" i="5581"/>
  <c r="H7" i="5581"/>
  <c r="C7" i="5581"/>
  <c r="O6" i="5581"/>
  <c r="H6" i="5581"/>
  <c r="B6" i="5581"/>
  <c r="O5" i="5581"/>
  <c r="H5" i="5581"/>
  <c r="B5" i="5581"/>
  <c r="O4" i="5581"/>
  <c r="H4" i="5581"/>
  <c r="O3" i="5581"/>
  <c r="H3" i="5581"/>
  <c r="O2" i="5581"/>
  <c r="H2" i="5581"/>
  <c r="H52" i="5579"/>
  <c r="H51" i="5579"/>
  <c r="H50" i="5579"/>
  <c r="H49" i="5579"/>
  <c r="H48" i="5579"/>
  <c r="H47" i="5579"/>
  <c r="H46" i="5579"/>
  <c r="H45" i="5579"/>
  <c r="H44" i="5579"/>
  <c r="H43" i="5579"/>
  <c r="H42" i="5579"/>
  <c r="H41" i="5579"/>
  <c r="H40" i="5579"/>
  <c r="H39" i="5579"/>
  <c r="H38" i="5579"/>
  <c r="H37" i="5579"/>
  <c r="H36" i="5579"/>
  <c r="H35" i="5579"/>
  <c r="H34" i="5579"/>
  <c r="H33" i="5579"/>
  <c r="H32" i="5579"/>
  <c r="H31" i="5579"/>
  <c r="H30" i="5579"/>
  <c r="H29" i="5579"/>
  <c r="H28" i="5579"/>
  <c r="H27" i="5579"/>
  <c r="C27" i="5579"/>
  <c r="H26" i="5579"/>
  <c r="H25" i="5579"/>
  <c r="H24" i="5579"/>
  <c r="B24" i="5579"/>
  <c r="O23" i="5579"/>
  <c r="H23" i="5579"/>
  <c r="B23" i="5579"/>
  <c r="O22" i="5579"/>
  <c r="H22" i="5579"/>
  <c r="O21" i="5579"/>
  <c r="H21" i="5579"/>
  <c r="O20" i="5579"/>
  <c r="H20" i="5579"/>
  <c r="C20" i="5579"/>
  <c r="O19" i="5579"/>
  <c r="H19" i="5579"/>
  <c r="C19" i="5579"/>
  <c r="O18" i="5579"/>
  <c r="H18" i="5579"/>
  <c r="C18" i="5579"/>
  <c r="O17" i="5579"/>
  <c r="H17" i="5579"/>
  <c r="C17" i="5579"/>
  <c r="B17" i="5579"/>
  <c r="O16" i="5579"/>
  <c r="H16" i="5579"/>
  <c r="C16" i="5579"/>
  <c r="O15" i="5579"/>
  <c r="H15" i="5579"/>
  <c r="C15" i="5579"/>
  <c r="H14" i="5579"/>
  <c r="C14" i="5579"/>
  <c r="H13" i="5579"/>
  <c r="C13" i="5579"/>
  <c r="O12" i="5579"/>
  <c r="H12" i="5579"/>
  <c r="C12" i="5579"/>
  <c r="O11" i="5579"/>
  <c r="H11" i="5579"/>
  <c r="C11" i="5579"/>
  <c r="O10" i="5579"/>
  <c r="H10" i="5579"/>
  <c r="C10" i="5579"/>
  <c r="H9" i="5579"/>
  <c r="C9" i="5579"/>
  <c r="H8" i="5579"/>
  <c r="C8" i="5579"/>
  <c r="O7" i="5579"/>
  <c r="H7" i="5579"/>
  <c r="C7" i="5579"/>
  <c r="O6" i="5579"/>
  <c r="H6" i="5579"/>
  <c r="B6" i="5579"/>
  <c r="O5" i="5579"/>
  <c r="H5" i="5579"/>
  <c r="B5" i="5579"/>
  <c r="O4" i="5579"/>
  <c r="H4" i="5579"/>
  <c r="O3" i="5579"/>
  <c r="H3" i="5579"/>
  <c r="O2" i="5579"/>
  <c r="H2" i="5579"/>
  <c r="H52" i="5577"/>
  <c r="H51" i="5577"/>
  <c r="H50" i="5577"/>
  <c r="H49" i="5577"/>
  <c r="H48" i="5577"/>
  <c r="H47" i="5577"/>
  <c r="H46" i="5577"/>
  <c r="H45" i="5577"/>
  <c r="H44" i="5577"/>
  <c r="H43" i="5577"/>
  <c r="H42" i="5577"/>
  <c r="H41" i="5577"/>
  <c r="H40" i="5577"/>
  <c r="H39" i="5577"/>
  <c r="H38" i="5577"/>
  <c r="H37" i="5577"/>
  <c r="H36" i="5577"/>
  <c r="H35" i="5577"/>
  <c r="H34" i="5577"/>
  <c r="H33" i="5577"/>
  <c r="H32" i="5577"/>
  <c r="H31" i="5577"/>
  <c r="H30" i="5577"/>
  <c r="H29" i="5577"/>
  <c r="H28" i="5577"/>
  <c r="H27" i="5577"/>
  <c r="C27" i="5577"/>
  <c r="H26" i="5577"/>
  <c r="H25" i="5577"/>
  <c r="H24" i="5577"/>
  <c r="B24" i="5577"/>
  <c r="H23" i="5577"/>
  <c r="B23" i="5577"/>
  <c r="H22" i="5577"/>
  <c r="H21" i="5577"/>
  <c r="H20" i="5577"/>
  <c r="C20" i="5577"/>
  <c r="H19" i="5577"/>
  <c r="C19" i="5577"/>
  <c r="O18" i="5577"/>
  <c r="H18" i="5577"/>
  <c r="C18" i="5577"/>
  <c r="O17" i="5577"/>
  <c r="H17" i="5577"/>
  <c r="C17" i="5577"/>
  <c r="B17" i="5577"/>
  <c r="O16" i="5577"/>
  <c r="H16" i="5577"/>
  <c r="C16" i="5577"/>
  <c r="O15" i="5577"/>
  <c r="H15" i="5577"/>
  <c r="C15" i="5577"/>
  <c r="H14" i="5577"/>
  <c r="C14" i="5577"/>
  <c r="H13" i="5577"/>
  <c r="C13" i="5577"/>
  <c r="O12" i="5577"/>
  <c r="H12" i="5577"/>
  <c r="C12" i="5577"/>
  <c r="O11" i="5577"/>
  <c r="H11" i="5577"/>
  <c r="C11" i="5577"/>
  <c r="O10" i="5577"/>
  <c r="H10" i="5577"/>
  <c r="C10" i="5577"/>
  <c r="H9" i="5577"/>
  <c r="C9" i="5577"/>
  <c r="H8" i="5577"/>
  <c r="C8" i="5577"/>
  <c r="O7" i="5577"/>
  <c r="H7" i="5577"/>
  <c r="C7" i="5577"/>
  <c r="O6" i="5577"/>
  <c r="H6" i="5577"/>
  <c r="B6" i="5577"/>
  <c r="O5" i="5577"/>
  <c r="H5" i="5577"/>
  <c r="B5" i="5577"/>
  <c r="O4" i="5577"/>
  <c r="H4" i="5577"/>
  <c r="O3" i="5577"/>
  <c r="H3" i="5577"/>
  <c r="O2" i="5577"/>
  <c r="H2" i="5577"/>
  <c r="H52" i="5575"/>
  <c r="C27" i="5575"/>
  <c r="O24" i="5575"/>
  <c r="B24" i="5575"/>
  <c r="O23" i="5575"/>
  <c r="O22" i="5575"/>
  <c r="O21" i="5575"/>
  <c r="O20" i="5575"/>
  <c r="C20" i="5575"/>
  <c r="O19" i="5575"/>
  <c r="O18" i="5575"/>
  <c r="O17" i="5575"/>
  <c r="B17" i="5575"/>
  <c r="H5" i="5575" s="1"/>
  <c r="O16" i="5575"/>
  <c r="C16" i="5575"/>
  <c r="O15" i="5575"/>
  <c r="C15" i="5575"/>
  <c r="C14" i="5575"/>
  <c r="C13" i="5575"/>
  <c r="O12" i="5575"/>
  <c r="H20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H52" i="5573"/>
  <c r="H49" i="5573"/>
  <c r="H48" i="5573"/>
  <c r="H47" i="5573"/>
  <c r="H46" i="5573"/>
  <c r="H45" i="5573"/>
  <c r="H43" i="5573"/>
  <c r="H42" i="5573"/>
  <c r="H41" i="5573"/>
  <c r="H40" i="5573"/>
  <c r="H39" i="5573"/>
  <c r="H38" i="5573"/>
  <c r="H37" i="5573"/>
  <c r="H36" i="5573"/>
  <c r="H35" i="5573"/>
  <c r="H34" i="5573"/>
  <c r="H33" i="5573"/>
  <c r="H32" i="5573"/>
  <c r="H31" i="5573"/>
  <c r="H30" i="5573"/>
  <c r="H28" i="5573"/>
  <c r="H26" i="5573"/>
  <c r="H23" i="5573"/>
  <c r="H22" i="5573"/>
  <c r="H20" i="5573"/>
  <c r="H18" i="5573"/>
  <c r="C27" i="5573"/>
  <c r="H15" i="5573"/>
  <c r="H14" i="5573"/>
  <c r="O24" i="5573"/>
  <c r="H13" i="5573"/>
  <c r="B24" i="5573"/>
  <c r="O23" i="5573"/>
  <c r="H12" i="5573"/>
  <c r="B23" i="5573"/>
  <c r="O22" i="5573"/>
  <c r="H44" i="5573"/>
  <c r="O21" i="5573"/>
  <c r="H25" i="5573"/>
  <c r="O20" i="5573"/>
  <c r="H19" i="5573"/>
  <c r="C20" i="5573"/>
  <c r="O19" i="5573"/>
  <c r="H50" i="5573"/>
  <c r="C19" i="5573"/>
  <c r="O18" i="5573"/>
  <c r="H29" i="5573"/>
  <c r="C18" i="5573"/>
  <c r="O17" i="5573"/>
  <c r="H21" i="5573"/>
  <c r="C17" i="5573"/>
  <c r="B17" i="5573"/>
  <c r="O16" i="5573"/>
  <c r="H17" i="5573"/>
  <c r="C16" i="5573"/>
  <c r="O15" i="5573"/>
  <c r="H16" i="5573"/>
  <c r="C15" i="5573"/>
  <c r="H11" i="5573"/>
  <c r="C14" i="5573"/>
  <c r="H24" i="5573"/>
  <c r="C13" i="5573"/>
  <c r="O12" i="5573"/>
  <c r="H9" i="5573"/>
  <c r="C12" i="5573"/>
  <c r="O11" i="5573"/>
  <c r="H3" i="5573"/>
  <c r="C11" i="5573"/>
  <c r="O10" i="5573"/>
  <c r="H8" i="5573"/>
  <c r="C10" i="5573"/>
  <c r="H27" i="5573"/>
  <c r="C9" i="5573"/>
  <c r="H7" i="5573"/>
  <c r="C8" i="5573"/>
  <c r="O7" i="5573"/>
  <c r="H5" i="5573"/>
  <c r="C7" i="5573"/>
  <c r="O6" i="5573"/>
  <c r="H51" i="5573"/>
  <c r="B6" i="5573"/>
  <c r="O5" i="5573"/>
  <c r="H6" i="5573"/>
  <c r="B5" i="5573"/>
  <c r="O4" i="5573"/>
  <c r="H2" i="5573"/>
  <c r="O3" i="5573"/>
  <c r="H10" i="5573"/>
  <c r="O2" i="5573"/>
  <c r="H4" i="5573"/>
  <c r="H52" i="5571"/>
  <c r="H51" i="5571"/>
  <c r="H50" i="5571"/>
  <c r="H49" i="5571"/>
  <c r="H48" i="5571"/>
  <c r="H47" i="5571"/>
  <c r="H46" i="5571"/>
  <c r="H45" i="5571"/>
  <c r="H44" i="5571"/>
  <c r="H43" i="5571"/>
  <c r="H42" i="5571"/>
  <c r="H41" i="5571"/>
  <c r="H40" i="5571"/>
  <c r="H39" i="5571"/>
  <c r="H38" i="5571"/>
  <c r="H37" i="5571"/>
  <c r="H36" i="5571"/>
  <c r="H35" i="5571"/>
  <c r="H34" i="5571"/>
  <c r="H33" i="5571"/>
  <c r="H32" i="5571"/>
  <c r="H31" i="5571"/>
  <c r="H30" i="5571"/>
  <c r="H29" i="5571"/>
  <c r="H28" i="5571"/>
  <c r="H27" i="5571"/>
  <c r="C27" i="5571"/>
  <c r="H26" i="5571"/>
  <c r="H25" i="5571"/>
  <c r="H24" i="5571"/>
  <c r="B24" i="5571"/>
  <c r="O23" i="5571"/>
  <c r="H23" i="5571"/>
  <c r="B23" i="5571"/>
  <c r="O22" i="5571"/>
  <c r="H22" i="5571"/>
  <c r="O21" i="5571"/>
  <c r="H21" i="5571"/>
  <c r="O20" i="5571"/>
  <c r="H20" i="5571"/>
  <c r="C20" i="5571"/>
  <c r="O19" i="5571"/>
  <c r="H19" i="5571"/>
  <c r="C19" i="5571"/>
  <c r="O18" i="5571"/>
  <c r="H18" i="5571"/>
  <c r="C18" i="5571"/>
  <c r="O17" i="5571"/>
  <c r="H17" i="5571"/>
  <c r="C17" i="5571"/>
  <c r="B17" i="5571"/>
  <c r="O16" i="5571"/>
  <c r="H16" i="5571"/>
  <c r="C16" i="5571"/>
  <c r="O15" i="5571"/>
  <c r="H15" i="5571"/>
  <c r="C15" i="5571"/>
  <c r="H14" i="5571"/>
  <c r="C14" i="5571"/>
  <c r="H13" i="5571"/>
  <c r="C13" i="5571"/>
  <c r="O12" i="5571"/>
  <c r="H12" i="5571"/>
  <c r="C12" i="5571"/>
  <c r="O11" i="5571"/>
  <c r="H11" i="5571"/>
  <c r="C11" i="5571"/>
  <c r="O10" i="5571"/>
  <c r="H10" i="5571"/>
  <c r="C10" i="5571"/>
  <c r="H9" i="5571"/>
  <c r="C9" i="5571"/>
  <c r="H8" i="5571"/>
  <c r="C8" i="5571"/>
  <c r="O7" i="5571"/>
  <c r="H7" i="5571"/>
  <c r="C7" i="5571"/>
  <c r="O6" i="5571"/>
  <c r="H6" i="5571"/>
  <c r="B6" i="5571"/>
  <c r="O5" i="5571"/>
  <c r="H5" i="5571"/>
  <c r="B5" i="5571"/>
  <c r="O4" i="5571"/>
  <c r="H4" i="5571"/>
  <c r="O3" i="5571"/>
  <c r="H3" i="5571"/>
  <c r="O2" i="5571"/>
  <c r="H2" i="5571"/>
  <c r="C27" i="5569"/>
  <c r="B24" i="5569"/>
  <c r="O23" i="5569"/>
  <c r="O22" i="5569"/>
  <c r="O21" i="5569"/>
  <c r="O20" i="5569"/>
  <c r="C20" i="5569"/>
  <c r="O19" i="5569"/>
  <c r="O18" i="5569"/>
  <c r="O17" i="5569"/>
  <c r="B17" i="5569"/>
  <c r="H50" i="5569" s="1"/>
  <c r="O16" i="5569"/>
  <c r="C16" i="5569"/>
  <c r="O15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C27" i="5567"/>
  <c r="O24" i="5567"/>
  <c r="B24" i="5567"/>
  <c r="O23" i="5567"/>
  <c r="O22" i="5567"/>
  <c r="O21" i="5567"/>
  <c r="O20" i="5567"/>
  <c r="C20" i="5567"/>
  <c r="O19" i="5567"/>
  <c r="O18" i="5567"/>
  <c r="O17" i="5567"/>
  <c r="B17" i="5567"/>
  <c r="H52" i="5567" s="1"/>
  <c r="O16" i="5567"/>
  <c r="C16" i="5567"/>
  <c r="O15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C27" i="5565"/>
  <c r="B24" i="5565"/>
  <c r="O22" i="5565"/>
  <c r="O21" i="5565"/>
  <c r="O20" i="5565"/>
  <c r="C20" i="5565"/>
  <c r="O19" i="5565"/>
  <c r="O18" i="5565"/>
  <c r="O17" i="5565"/>
  <c r="B17" i="5565"/>
  <c r="H50" i="5565" s="1"/>
  <c r="O16" i="5565"/>
  <c r="C16" i="5565"/>
  <c r="O15" i="5565"/>
  <c r="C15" i="5565"/>
  <c r="C14" i="5565"/>
  <c r="C13" i="5565"/>
  <c r="O12" i="5565"/>
  <c r="C12" i="5565"/>
  <c r="O11" i="5565"/>
  <c r="H2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C27" i="5563"/>
  <c r="O25" i="5563"/>
  <c r="O24" i="5563"/>
  <c r="B24" i="5563"/>
  <c r="O23" i="5563"/>
  <c r="O22" i="5563"/>
  <c r="O21" i="5563"/>
  <c r="O20" i="5563"/>
  <c r="C20" i="5563"/>
  <c r="O19" i="5563"/>
  <c r="O18" i="5563"/>
  <c r="O17" i="5563"/>
  <c r="B17" i="5563"/>
  <c r="H51" i="5563" s="1"/>
  <c r="O16" i="5563"/>
  <c r="C16" i="5563"/>
  <c r="O15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27" i="5561"/>
  <c r="C27" i="5561"/>
  <c r="O26" i="5561"/>
  <c r="O25" i="5561"/>
  <c r="O24" i="5561"/>
  <c r="B24" i="5561"/>
  <c r="O23" i="5561"/>
  <c r="O22" i="5561"/>
  <c r="O21" i="5561"/>
  <c r="O20" i="5561"/>
  <c r="C20" i="5561"/>
  <c r="O19" i="5561"/>
  <c r="O18" i="5561"/>
  <c r="O17" i="5561"/>
  <c r="B17" i="5561"/>
  <c r="H46" i="5561" s="1"/>
  <c r="O16" i="5561"/>
  <c r="C16" i="5561"/>
  <c r="O15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  <c r="H6" i="5565" l="1"/>
  <c r="H2" i="5565"/>
  <c r="H4" i="5565"/>
  <c r="H16" i="5565"/>
  <c r="H25" i="5565"/>
  <c r="H28" i="5565"/>
  <c r="H43" i="5565"/>
  <c r="H51" i="5565"/>
  <c r="H8" i="5565"/>
  <c r="H20" i="5565"/>
  <c r="C19" i="5565"/>
  <c r="H24" i="5565"/>
  <c r="H36" i="5565"/>
  <c r="H44" i="5565"/>
  <c r="H17" i="5565"/>
  <c r="H15" i="5565"/>
  <c r="H11" i="5565"/>
  <c r="H37" i="5565"/>
  <c r="H45" i="5565"/>
  <c r="H5" i="5565"/>
  <c r="H29" i="5565"/>
  <c r="C17" i="5565"/>
  <c r="B23" i="5565"/>
  <c r="H34" i="5565"/>
  <c r="H38" i="5565"/>
  <c r="H46" i="5565"/>
  <c r="H52" i="5565"/>
  <c r="H3" i="5565"/>
  <c r="H10" i="5565"/>
  <c r="H18" i="5565"/>
  <c r="H32" i="5565"/>
  <c r="H19" i="5565"/>
  <c r="H39" i="5565"/>
  <c r="H47" i="5565"/>
  <c r="H23" i="5565"/>
  <c r="H31" i="5565"/>
  <c r="H26" i="5565"/>
  <c r="H40" i="5565"/>
  <c r="H48" i="5565"/>
  <c r="H9" i="5565"/>
  <c r="H13" i="5565"/>
  <c r="H22" i="5565"/>
  <c r="C18" i="5565"/>
  <c r="H12" i="5565"/>
  <c r="H27" i="5565"/>
  <c r="H41" i="5565"/>
  <c r="H49" i="5565"/>
  <c r="H7" i="5565"/>
  <c r="H30" i="5565"/>
  <c r="H14" i="5565"/>
  <c r="H33" i="5565"/>
  <c r="H35" i="5565"/>
  <c r="H42" i="5565"/>
  <c r="H3" i="5575"/>
  <c r="H14" i="5575"/>
  <c r="H7" i="5575"/>
  <c r="H30" i="5575"/>
  <c r="H16" i="5575"/>
  <c r="H25" i="5575"/>
  <c r="H29" i="5563"/>
  <c r="H30" i="5563"/>
  <c r="C19" i="5563"/>
  <c r="H45" i="5563"/>
  <c r="H18" i="5563"/>
  <c r="H44" i="5563"/>
  <c r="H46" i="5563"/>
  <c r="H39" i="5563"/>
  <c r="H7" i="5563"/>
  <c r="H16" i="5563"/>
  <c r="H22" i="5563"/>
  <c r="H4" i="5563"/>
  <c r="H13" i="5563"/>
  <c r="H38" i="5575"/>
  <c r="H39" i="5575"/>
  <c r="H12" i="5575"/>
  <c r="H40" i="5575"/>
  <c r="H26" i="5575"/>
  <c r="H4" i="5575"/>
  <c r="H13" i="5575"/>
  <c r="H23" i="5575"/>
  <c r="H45" i="5575"/>
  <c r="H9" i="5575"/>
  <c r="C18" i="5575"/>
  <c r="H15" i="5575"/>
  <c r="H46" i="5575"/>
  <c r="H22" i="5575"/>
  <c r="H29" i="5575"/>
  <c r="H24" i="5575"/>
  <c r="H47" i="5575"/>
  <c r="H10" i="5567"/>
  <c r="H39" i="5567"/>
  <c r="H37" i="5567"/>
  <c r="H13" i="5567"/>
  <c r="H40" i="5567"/>
  <c r="H38" i="5567"/>
  <c r="C18" i="5567"/>
  <c r="H19" i="5567"/>
  <c r="H21" i="5567"/>
  <c r="H25" i="5567"/>
  <c r="H45" i="5567"/>
  <c r="H6" i="5567"/>
  <c r="H3" i="5567"/>
  <c r="H30" i="5567"/>
  <c r="H46" i="5567"/>
  <c r="H24" i="5567"/>
  <c r="H4" i="5567"/>
  <c r="H22" i="5567"/>
  <c r="H12" i="5567"/>
  <c r="C19" i="5567"/>
  <c r="H31" i="5567"/>
  <c r="H47" i="5567"/>
  <c r="C17" i="5567"/>
  <c r="H26" i="5567"/>
  <c r="H7" i="5567"/>
  <c r="H16" i="5567"/>
  <c r="H9" i="5567"/>
  <c r="H32" i="5567"/>
  <c r="H48" i="5567"/>
  <c r="H17" i="5567"/>
  <c r="H27" i="5567"/>
  <c r="H33" i="5567"/>
  <c r="H41" i="5567"/>
  <c r="H49" i="5567"/>
  <c r="H5" i="5567"/>
  <c r="H14" i="5567"/>
  <c r="B23" i="5567"/>
  <c r="H34" i="5567"/>
  <c r="H42" i="5567"/>
  <c r="H50" i="5567"/>
  <c r="H11" i="5567"/>
  <c r="H2" i="5567"/>
  <c r="H8" i="5567"/>
  <c r="H18" i="5567"/>
  <c r="H23" i="5567"/>
  <c r="H28" i="5567"/>
  <c r="H35" i="5567"/>
  <c r="H43" i="5567"/>
  <c r="H51" i="5567"/>
  <c r="H15" i="5567"/>
  <c r="H20" i="5567"/>
  <c r="H29" i="5567"/>
  <c r="H36" i="5567"/>
  <c r="H44" i="5567"/>
  <c r="H28" i="5563"/>
  <c r="H9" i="5563"/>
  <c r="H24" i="5563"/>
  <c r="H31" i="5563"/>
  <c r="H47" i="5563"/>
  <c r="H6" i="5563"/>
  <c r="H52" i="5563"/>
  <c r="H3" i="5563"/>
  <c r="H10" i="5563"/>
  <c r="H12" i="5563"/>
  <c r="H21" i="5563"/>
  <c r="H25" i="5563"/>
  <c r="H37" i="5563"/>
  <c r="H36" i="5563"/>
  <c r="C18" i="5563"/>
  <c r="H38" i="5563"/>
  <c r="H48" i="5575"/>
  <c r="H8" i="5575"/>
  <c r="H21" i="5575"/>
  <c r="C19" i="5575"/>
  <c r="H31" i="5575"/>
  <c r="H32" i="5575"/>
  <c r="H34" i="5575"/>
  <c r="H41" i="5575"/>
  <c r="H49" i="5575"/>
  <c r="H17" i="5575"/>
  <c r="H33" i="5575"/>
  <c r="H35" i="5575"/>
  <c r="H42" i="5575"/>
  <c r="H50" i="5575"/>
  <c r="H6" i="5575"/>
  <c r="H27" i="5575"/>
  <c r="H28" i="5575"/>
  <c r="C17" i="5575"/>
  <c r="B23" i="5575"/>
  <c r="H36" i="5575"/>
  <c r="H43" i="5575"/>
  <c r="H51" i="5575"/>
  <c r="H2" i="5575"/>
  <c r="H11" i="5575"/>
  <c r="H19" i="5575"/>
  <c r="H18" i="5575"/>
  <c r="H10" i="5575"/>
  <c r="H37" i="5575"/>
  <c r="H44" i="5575"/>
  <c r="H8" i="5569"/>
  <c r="H21" i="5569"/>
  <c r="C19" i="5569"/>
  <c r="H24" i="5569"/>
  <c r="H32" i="5569"/>
  <c r="H35" i="5569"/>
  <c r="H43" i="5569"/>
  <c r="H51" i="5569"/>
  <c r="H17" i="5569"/>
  <c r="H36" i="5569"/>
  <c r="H44" i="5569"/>
  <c r="H19" i="5569"/>
  <c r="H20" i="5569"/>
  <c r="H28" i="5569"/>
  <c r="H9" i="5569"/>
  <c r="H5" i="5569"/>
  <c r="C17" i="5569"/>
  <c r="H4" i="5569"/>
  <c r="H11" i="5569"/>
  <c r="H18" i="5569"/>
  <c r="H31" i="5569"/>
  <c r="H33" i="5569"/>
  <c r="H38" i="5569"/>
  <c r="H46" i="5569"/>
  <c r="H52" i="5569"/>
  <c r="H45" i="5569"/>
  <c r="H22" i="5569"/>
  <c r="H30" i="5569"/>
  <c r="H16" i="5569"/>
  <c r="H39" i="5569"/>
  <c r="H47" i="5569"/>
  <c r="B23" i="5569"/>
  <c r="H10" i="5569"/>
  <c r="H7" i="5569"/>
  <c r="H13" i="5569"/>
  <c r="C18" i="5569"/>
  <c r="H23" i="5569"/>
  <c r="H40" i="5569"/>
  <c r="H48" i="5569"/>
  <c r="H37" i="5569"/>
  <c r="H27" i="5569"/>
  <c r="H29" i="5569"/>
  <c r="H15" i="5569"/>
  <c r="H12" i="5569"/>
  <c r="H26" i="5569"/>
  <c r="H41" i="5569"/>
  <c r="H49" i="5569"/>
  <c r="H6" i="5569"/>
  <c r="H2" i="5569"/>
  <c r="H3" i="5569"/>
  <c r="H14" i="5569"/>
  <c r="H25" i="5569"/>
  <c r="H34" i="5569"/>
  <c r="H42" i="5569"/>
  <c r="H8" i="5561"/>
  <c r="H20" i="5561"/>
  <c r="H2" i="5561"/>
  <c r="H26" i="5561"/>
  <c r="H6" i="5561"/>
  <c r="H3" i="5561"/>
  <c r="H14" i="5561"/>
  <c r="B23" i="5561"/>
  <c r="H31" i="5561"/>
  <c r="C17" i="5561"/>
  <c r="H17" i="5561"/>
  <c r="H15" i="5561"/>
  <c r="H33" i="5561"/>
  <c r="H7" i="5561"/>
  <c r="H11" i="5561"/>
  <c r="H5" i="5561"/>
  <c r="H39" i="5561"/>
  <c r="H19" i="5563"/>
  <c r="H32" i="5563"/>
  <c r="H40" i="5563"/>
  <c r="H48" i="5563"/>
  <c r="H5" i="5563"/>
  <c r="H14" i="5563"/>
  <c r="B23" i="5563"/>
  <c r="H26" i="5563"/>
  <c r="H49" i="5563"/>
  <c r="H11" i="5563"/>
  <c r="H33" i="5563"/>
  <c r="H8" i="5563"/>
  <c r="H17" i="5563"/>
  <c r="H23" i="5563"/>
  <c r="H34" i="5563"/>
  <c r="H42" i="5563"/>
  <c r="H50" i="5563"/>
  <c r="C17" i="5563"/>
  <c r="H41" i="5563"/>
  <c r="H2" i="5563"/>
  <c r="H15" i="5563"/>
  <c r="H20" i="5563"/>
  <c r="H27" i="5563"/>
  <c r="H35" i="5563"/>
  <c r="H43" i="5563"/>
  <c r="H47" i="5561"/>
  <c r="H23" i="5561"/>
  <c r="H32" i="5561"/>
  <c r="H40" i="5561"/>
  <c r="H48" i="5561"/>
  <c r="H41" i="5561"/>
  <c r="H49" i="5561"/>
  <c r="H9" i="5561"/>
  <c r="H12" i="5561"/>
  <c r="C18" i="5561"/>
  <c r="H27" i="5561"/>
  <c r="H34" i="5561"/>
  <c r="H42" i="5561"/>
  <c r="H50" i="5561"/>
  <c r="H18" i="5561"/>
  <c r="H21" i="5561"/>
  <c r="H24" i="5561"/>
  <c r="H35" i="5561"/>
  <c r="H43" i="5561"/>
  <c r="H51" i="5561"/>
  <c r="H4" i="5561"/>
  <c r="H10" i="5561"/>
  <c r="H16" i="5561"/>
  <c r="H28" i="5561"/>
  <c r="H36" i="5561"/>
  <c r="H44" i="5561"/>
  <c r="H52" i="5561"/>
  <c r="H13" i="5561"/>
  <c r="C19" i="5561"/>
  <c r="H22" i="5561"/>
  <c r="H25" i="5561"/>
  <c r="H29" i="5561"/>
  <c r="H37" i="5561"/>
  <c r="H45" i="5561"/>
  <c r="H19" i="5561"/>
  <c r="H30" i="5561"/>
  <c r="H38" i="5561"/>
</calcChain>
</file>

<file path=xl/sharedStrings.xml><?xml version="1.0" encoding="utf-8"?>
<sst xmlns="http://schemas.openxmlformats.org/spreadsheetml/2006/main" count="3675" uniqueCount="298">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</sst>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全体!$K$2:$K$995</c:f>
              <c:numCache>
                <c:formatCode>General</c:formatCode>
                <c:ptCount val="9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</c:numCache>
            </c:numRef>
          </c:xVal>
          <c:yVal>
            <c:numRef>
              <c:f>全体!$L$2:$L$995</c:f>
              <c:numCache>
                <c:formatCode>\+0.0;\-0.0;\±0</c:formatCode>
                <c:ptCount val="99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-1.0000000000000071</c:v>
                </c:pt>
                <c:pt idx="967">
                  <c:v>-67.5</c:v>
                </c:pt>
                <c:pt idx="968">
                  <c:v>-20.5</c:v>
                </c:pt>
                <c:pt idx="969">
                  <c:v>-1</c:v>
                </c:pt>
                <c:pt idx="970">
                  <c:v>10.1</c:v>
                </c:pt>
                <c:pt idx="971">
                  <c:v>-36.9</c:v>
                </c:pt>
                <c:pt idx="972">
                  <c:v>-1</c:v>
                </c:pt>
                <c:pt idx="973">
                  <c:v>-1.2</c:v>
                </c:pt>
                <c:pt idx="974">
                  <c:v>-27.5</c:v>
                </c:pt>
                <c:pt idx="975">
                  <c:v>-1</c:v>
                </c:pt>
                <c:pt idx="976">
                  <c:v>-8</c:v>
                </c:pt>
                <c:pt idx="977">
                  <c:v>49.5</c:v>
                </c:pt>
                <c:pt idx="978">
                  <c:v>-1</c:v>
                </c:pt>
                <c:pt idx="979">
                  <c:v>-1.4</c:v>
                </c:pt>
                <c:pt idx="980">
                  <c:v>23.400000000000002</c:v>
                </c:pt>
                <c:pt idx="981">
                  <c:v>-0.99999999999999645</c:v>
                </c:pt>
                <c:pt idx="982">
                  <c:v>-48.099999999999994</c:v>
                </c:pt>
                <c:pt idx="983">
                  <c:v>-65.199999999999989</c:v>
                </c:pt>
                <c:pt idx="984">
                  <c:v>-0.99999999999998579</c:v>
                </c:pt>
                <c:pt idx="985">
                  <c:v>-38.699999999999989</c:v>
                </c:pt>
                <c:pt idx="986">
                  <c:v>14.300000000000011</c:v>
                </c:pt>
                <c:pt idx="987">
                  <c:v>-0.99999999999998934</c:v>
                </c:pt>
                <c:pt idx="988">
                  <c:v>39.200000000000017</c:v>
                </c:pt>
                <c:pt idx="989">
                  <c:v>33.800000000000018</c:v>
                </c:pt>
                <c:pt idx="990">
                  <c:v>-0.99999999999997868</c:v>
                </c:pt>
                <c:pt idx="991">
                  <c:v>-9.9999999999978662E-2</c:v>
                </c:pt>
                <c:pt idx="992">
                  <c:v>-48.499999999999979</c:v>
                </c:pt>
                <c:pt idx="993">
                  <c:v>-0.99999999999997868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-17.171717171717173</c:v>
                </c:pt>
                <c:pt idx="1">
                  <c:v>-8.2559339525283804</c:v>
                </c:pt>
                <c:pt idx="2">
                  <c:v>15.401540154015402</c:v>
                </c:pt>
                <c:pt idx="3">
                  <c:v>3.5842293906810037</c:v>
                </c:pt>
                <c:pt idx="4">
                  <c:v>-10.666666666666666</c:v>
                </c:pt>
                <c:pt idx="5">
                  <c:v>23.041474654377879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だいち!$K$2:$K$219</c:f>
              <c:numCache>
                <c:formatCode>General</c:formatCode>
                <c:ptCount val="2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</c:numCache>
            </c:numRef>
          </c:xVal>
          <c:yVal>
            <c:numRef>
              <c:f>だいち!$L$2:$L$219</c:f>
              <c:numCache>
                <c:formatCode>\+0.0;\-0.0;\±0</c:formatCode>
                <c:ptCount val="21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1156.0185185185185</c:v>
                </c:pt>
                <c:pt idx="1">
                  <c:v>1788.1516587677725</c:v>
                </c:pt>
                <c:pt idx="2">
                  <c:v>722.77227722772273</c:v>
                </c:pt>
                <c:pt idx="3">
                  <c:v>2774.1935483870966</c:v>
                </c:pt>
                <c:pt idx="4">
                  <c:v>1190.909090909091</c:v>
                </c:pt>
                <c:pt idx="5">
                  <c:v>1231.4285714285713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ただ!$L$2:$L$171</c:f>
              <c:numCache>
                <c:formatCode>\+0.0;\-0.0;\±0</c:formatCode>
                <c:ptCount val="17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-1858.9285714285713</c:v>
                </c:pt>
                <c:pt idx="1">
                  <c:v>-1559.1463414634147</c:v>
                </c:pt>
                <c:pt idx="2">
                  <c:v>1326.2820512820513</c:v>
                </c:pt>
                <c:pt idx="3">
                  <c:v>-2923.4042553191489</c:v>
                </c:pt>
                <c:pt idx="4">
                  <c:v>100.78740157480316</c:v>
                </c:pt>
                <c:pt idx="5">
                  <c:v>-586.60714285714289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れんたろう!$L$2:$L$110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197.1</c:v>
                </c:pt>
                <c:pt idx="108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950.92592592592598</c:v>
                </c:pt>
                <c:pt idx="1">
                  <c:v>918.09523809523807</c:v>
                </c:pt>
                <c:pt idx="2">
                  <c:v>1303.125</c:v>
                </c:pt>
                <c:pt idx="3">
                  <c:v>-177.64705882352942</c:v>
                </c:pt>
                <c:pt idx="4">
                  <c:v>-1788.1578947368421</c:v>
                </c:pt>
                <c:pt idx="5">
                  <c:v>-402.94117647058823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たかの!$L$2:$L$105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178.64077669902912</c:v>
                </c:pt>
                <c:pt idx="1">
                  <c:v>-1133.009708737864</c:v>
                </c:pt>
                <c:pt idx="2">
                  <c:v>-993.54838709677415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-3356.8965517241381</c:v>
                </c:pt>
                <c:pt idx="1">
                  <c:v>1650</c:v>
                </c:pt>
                <c:pt idx="2">
                  <c:v>-1530.909090909091</c:v>
                </c:pt>
                <c:pt idx="3">
                  <c:v>-4210</c:v>
                </c:pt>
                <c:pt idx="4">
                  <c:v>120.45454545454545</c:v>
                </c:pt>
                <c:pt idx="5">
                  <c:v>-169.04761904761904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686.48648648648646</c:v>
                </c:pt>
                <c:pt idx="1">
                  <c:v>635.51401869158883</c:v>
                </c:pt>
                <c:pt idx="2">
                  <c:v>-552</c:v>
                </c:pt>
                <c:pt idx="3">
                  <c:v>1010.5263157894736</c:v>
                </c:pt>
                <c:pt idx="4">
                  <c:v>-2257.4712643678163</c:v>
                </c:pt>
                <c:pt idx="5">
                  <c:v>842.25352112676057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-5362.5</c:v>
                </c:pt>
                <c:pt idx="1">
                  <c:v>-4025</c:v>
                </c:pt>
                <c:pt idx="2">
                  <c:v>-300</c:v>
                </c:pt>
                <c:pt idx="3">
                  <c:v>3914.2857142857142</c:v>
                </c:pt>
                <c:pt idx="4">
                  <c:v>-6466.666666666667</c:v>
                </c:pt>
                <c:pt idx="5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まっつん2!$B$3:$B$114</c:f>
              <c:numCache>
                <c:formatCode>\+0.0;\-0.0;\±0</c:formatCode>
                <c:ptCount val="11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7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まっつん2!$C$3:$C$114</c:f>
              <c:numCache>
                <c:formatCode>\+0.0;\-0.0;\±0</c:formatCode>
                <c:ptCount val="112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  <c:pt idx="97">
                  <c:v>0.20412371134020543</c:v>
                </c:pt>
                <c:pt idx="98">
                  <c:v>0.88877551020408085</c:v>
                </c:pt>
                <c:pt idx="99">
                  <c:v>1.2050505050505043</c:v>
                </c:pt>
                <c:pt idx="100">
                  <c:v>1.1559999999999993</c:v>
                </c:pt>
                <c:pt idx="101">
                  <c:v>1.1049504950495042</c:v>
                </c:pt>
                <c:pt idx="102">
                  <c:v>1.1029411764705876</c:v>
                </c:pt>
                <c:pt idx="103">
                  <c:v>0.65728155339805761</c:v>
                </c:pt>
                <c:pt idx="104">
                  <c:v>0.547115384615384</c:v>
                </c:pt>
                <c:pt idx="105">
                  <c:v>-9.1428571428572053E-2</c:v>
                </c:pt>
                <c:pt idx="106">
                  <c:v>1.4150943396225794E-2</c:v>
                </c:pt>
                <c:pt idx="107">
                  <c:v>1.214953271027976E-2</c:v>
                </c:pt>
                <c:pt idx="108">
                  <c:v>-5.2777777777778388E-2</c:v>
                </c:pt>
                <c:pt idx="109">
                  <c:v>-5.5963302752294185E-2</c:v>
                </c:pt>
                <c:pt idx="110">
                  <c:v>-0.3981818181818188</c:v>
                </c:pt>
                <c:pt idx="111">
                  <c:v>-3.2432432432433024E-2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7049345417904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まっつん2!$D$3:$D$114</c:f>
              <c:numCache>
                <c:formatCode>0.00\ "位"</c:formatCode>
                <c:ptCount val="112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  <c:pt idx="97">
                  <c:v>1.9896907216494846</c:v>
                </c:pt>
                <c:pt idx="98">
                  <c:v>1.9795918367346939</c:v>
                </c:pt>
                <c:pt idx="99">
                  <c:v>1.9696969696969697</c:v>
                </c:pt>
                <c:pt idx="100">
                  <c:v>1.97</c:v>
                </c:pt>
                <c:pt idx="101">
                  <c:v>1.9702970297029703</c:v>
                </c:pt>
                <c:pt idx="102">
                  <c:v>1.9705882352941178</c:v>
                </c:pt>
                <c:pt idx="103">
                  <c:v>1.9805825242718447</c:v>
                </c:pt>
                <c:pt idx="104">
                  <c:v>1.9807692307692308</c:v>
                </c:pt>
                <c:pt idx="105">
                  <c:v>1.9904761904761905</c:v>
                </c:pt>
                <c:pt idx="106">
                  <c:v>1.9905660377358489</c:v>
                </c:pt>
                <c:pt idx="107">
                  <c:v>1.9906542056074767</c:v>
                </c:pt>
                <c:pt idx="108">
                  <c:v>1.9907407407407407</c:v>
                </c:pt>
                <c:pt idx="109">
                  <c:v>1.9908256880733946</c:v>
                </c:pt>
                <c:pt idx="110">
                  <c:v>2</c:v>
                </c:pt>
                <c:pt idx="111">
                  <c:v>1.9909909909909911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まっつん2!$E$3:$E$114</c:f>
              <c:numCache>
                <c:formatCode>0.0%</c:formatCode>
                <c:ptCount val="1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  <c:pt idx="97">
                  <c:v>0.34020618556701032</c:v>
                </c:pt>
                <c:pt idx="98">
                  <c:v>0.34693877551020408</c:v>
                </c:pt>
                <c:pt idx="99">
                  <c:v>0.35353535353535354</c:v>
                </c:pt>
                <c:pt idx="100">
                  <c:v>0.35</c:v>
                </c:pt>
                <c:pt idx="101">
                  <c:v>0.34653465346534651</c:v>
                </c:pt>
                <c:pt idx="102">
                  <c:v>0.34313725490196079</c:v>
                </c:pt>
                <c:pt idx="103">
                  <c:v>0.33980582524271846</c:v>
                </c:pt>
                <c:pt idx="104">
                  <c:v>0.33653846153846156</c:v>
                </c:pt>
                <c:pt idx="105">
                  <c:v>0.33333333333333331</c:v>
                </c:pt>
                <c:pt idx="106">
                  <c:v>0.330188679245283</c:v>
                </c:pt>
                <c:pt idx="107">
                  <c:v>0.32710280373831774</c:v>
                </c:pt>
                <c:pt idx="108">
                  <c:v>0.32407407407407407</c:v>
                </c:pt>
                <c:pt idx="109">
                  <c:v>0.32110091743119268</c:v>
                </c:pt>
                <c:pt idx="110">
                  <c:v>0.31818181818181818</c:v>
                </c:pt>
                <c:pt idx="111">
                  <c:v>0.32432432432432434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まっつん2!$F$3:$F$114</c:f>
              <c:numCache>
                <c:formatCode>0.0%</c:formatCode>
                <c:ptCount val="1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0.32989690721649484</c:v>
                </c:pt>
                <c:pt idx="98">
                  <c:v>0.32653061224489793</c:v>
                </c:pt>
                <c:pt idx="99">
                  <c:v>0.32323232323232326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0.32038834951456313</c:v>
                </c:pt>
                <c:pt idx="104">
                  <c:v>0.31730769230769229</c:v>
                </c:pt>
                <c:pt idx="105">
                  <c:v>0.32380952380952382</c:v>
                </c:pt>
                <c:pt idx="106">
                  <c:v>0.32075471698113206</c:v>
                </c:pt>
                <c:pt idx="107">
                  <c:v>0.31775700934579437</c:v>
                </c:pt>
                <c:pt idx="108">
                  <c:v>0.31481481481481483</c:v>
                </c:pt>
                <c:pt idx="109">
                  <c:v>0.31192660550458717</c:v>
                </c:pt>
                <c:pt idx="110">
                  <c:v>0.31818181818181818</c:v>
                </c:pt>
                <c:pt idx="111">
                  <c:v>0.31531531531531531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まっつん2!$G$3:$G$114</c:f>
              <c:numCache>
                <c:formatCode>0.0%</c:formatCode>
                <c:ptCount val="112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  <c:pt idx="97">
                  <c:v>0.27490542244640603</c:v>
                </c:pt>
                <c:pt idx="98">
                  <c:v>0.27750000000000002</c:v>
                </c:pt>
                <c:pt idx="99">
                  <c:v>0.27935723114956734</c:v>
                </c:pt>
                <c:pt idx="100">
                  <c:v>0.27892813641900122</c:v>
                </c:pt>
                <c:pt idx="101">
                  <c:v>0.27677496991576411</c:v>
                </c:pt>
                <c:pt idx="102">
                  <c:v>0.27824019024970276</c:v>
                </c:pt>
                <c:pt idx="103">
                  <c:v>0.2752941176470588</c:v>
                </c:pt>
                <c:pt idx="104">
                  <c:v>0.27336448598130841</c:v>
                </c:pt>
                <c:pt idx="105">
                  <c:v>0.27293844367015097</c:v>
                </c:pt>
                <c:pt idx="106">
                  <c:v>0.27304147465437789</c:v>
                </c:pt>
                <c:pt idx="107">
                  <c:v>0.27324263038548752</c:v>
                </c:pt>
                <c:pt idx="108">
                  <c:v>0.27130044843049328</c:v>
                </c:pt>
                <c:pt idx="109">
                  <c:v>0.27081021087680357</c:v>
                </c:pt>
                <c:pt idx="110">
                  <c:v>0.27012127894156562</c:v>
                </c:pt>
                <c:pt idx="111">
                  <c:v>0.2735229759299781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104956268221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まっつん2!$H$3:$H$114</c:f>
              <c:numCache>
                <c:formatCode>0.0%</c:formatCode>
                <c:ptCount val="112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  <c:pt idx="97">
                  <c:v>0.15006305170239598</c:v>
                </c:pt>
                <c:pt idx="98">
                  <c:v>0.15</c:v>
                </c:pt>
                <c:pt idx="99">
                  <c:v>0.14956736711990112</c:v>
                </c:pt>
                <c:pt idx="100">
                  <c:v>0.15103532277710111</c:v>
                </c:pt>
                <c:pt idx="101">
                  <c:v>0.15042117930204574</c:v>
                </c:pt>
                <c:pt idx="102">
                  <c:v>0.14982164090368608</c:v>
                </c:pt>
                <c:pt idx="103">
                  <c:v>0.14941176470588236</c:v>
                </c:pt>
                <c:pt idx="104">
                  <c:v>0.14836448598130841</c:v>
                </c:pt>
                <c:pt idx="105">
                  <c:v>0.15098722415795587</c:v>
                </c:pt>
                <c:pt idx="106">
                  <c:v>0.15092165898617513</c:v>
                </c:pt>
                <c:pt idx="107">
                  <c:v>0.15192743764172337</c:v>
                </c:pt>
                <c:pt idx="108">
                  <c:v>0.15022421524663676</c:v>
                </c:pt>
                <c:pt idx="109">
                  <c:v>0.15094339622641509</c:v>
                </c:pt>
                <c:pt idx="110">
                  <c:v>0.15104740904079383</c:v>
                </c:pt>
                <c:pt idx="111">
                  <c:v>0.14989059080962802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788143828960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まっつん2!$I$3:$I$114</c:f>
              <c:numCache>
                <c:formatCode>0</c:formatCode>
                <c:ptCount val="112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  <c:pt idx="97">
                  <c:v>8802.2935779816507</c:v>
                </c:pt>
                <c:pt idx="98">
                  <c:v>8856.7567567567567</c:v>
                </c:pt>
                <c:pt idx="99">
                  <c:v>8835.3982300884963</c:v>
                </c:pt>
                <c:pt idx="100">
                  <c:v>8838.427947598253</c:v>
                </c:pt>
                <c:pt idx="101">
                  <c:v>8806.95652173913</c:v>
                </c:pt>
                <c:pt idx="102">
                  <c:v>8729.9145299145293</c:v>
                </c:pt>
                <c:pt idx="103">
                  <c:v>8729.9145299145293</c:v>
                </c:pt>
                <c:pt idx="104">
                  <c:v>8729.9145299145293</c:v>
                </c:pt>
                <c:pt idx="105">
                  <c:v>8705.5319148936178</c:v>
                </c:pt>
                <c:pt idx="106">
                  <c:v>8733.3333333333339</c:v>
                </c:pt>
                <c:pt idx="107">
                  <c:v>8734.8547717842321</c:v>
                </c:pt>
                <c:pt idx="108">
                  <c:v>8748.3471074380159</c:v>
                </c:pt>
                <c:pt idx="109">
                  <c:v>8807.7868852459014</c:v>
                </c:pt>
                <c:pt idx="110">
                  <c:v>8793.0612244897966</c:v>
                </c:pt>
                <c:pt idx="111">
                  <c:v>8717.2000000000007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33.70008149959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まっつん2!$J$3:$J$114</c:f>
              <c:numCache>
                <c:formatCode>0</c:formatCode>
                <c:ptCount val="112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  <c:pt idx="97">
                  <c:v>-7187.3949579831933</c:v>
                </c:pt>
                <c:pt idx="98">
                  <c:v>-7135.833333333333</c:v>
                </c:pt>
                <c:pt idx="99">
                  <c:v>-7172.727272727273</c:v>
                </c:pt>
                <c:pt idx="100">
                  <c:v>-7139.5161290322585</c:v>
                </c:pt>
                <c:pt idx="101">
                  <c:v>-7092.8</c:v>
                </c:pt>
                <c:pt idx="102">
                  <c:v>-7128.5714285714284</c:v>
                </c:pt>
                <c:pt idx="103">
                  <c:v>-7113.3858267716532</c:v>
                </c:pt>
                <c:pt idx="104">
                  <c:v>-7113.3858267716532</c:v>
                </c:pt>
                <c:pt idx="105">
                  <c:v>-7287.6923076923076</c:v>
                </c:pt>
                <c:pt idx="106">
                  <c:v>-7251.9083969465646</c:v>
                </c:pt>
                <c:pt idx="107">
                  <c:v>-7208.9552238805973</c:v>
                </c:pt>
                <c:pt idx="108">
                  <c:v>-7208.9552238805973</c:v>
                </c:pt>
                <c:pt idx="109">
                  <c:v>-7219.8529411764703</c:v>
                </c:pt>
                <c:pt idx="110">
                  <c:v>-7205.1094890510949</c:v>
                </c:pt>
                <c:pt idx="111">
                  <c:v>-7205.1094890510949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31.172614712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まっつん2!$K$3:$K$114</c:f>
              <c:numCache>
                <c:formatCode>0.0%</c:formatCode>
                <c:ptCount val="1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  <c:pt idx="97">
                  <c:v>0.13402061855670103</c:v>
                </c:pt>
                <c:pt idx="98">
                  <c:v>0.1326530612244898</c:v>
                </c:pt>
                <c:pt idx="99">
                  <c:v>0.13131313131313133</c:v>
                </c:pt>
                <c:pt idx="100">
                  <c:v>0.13</c:v>
                </c:pt>
                <c:pt idx="101">
                  <c:v>0.12871287128712872</c:v>
                </c:pt>
                <c:pt idx="102">
                  <c:v>0.12745098039215685</c:v>
                </c:pt>
                <c:pt idx="103">
                  <c:v>0.12621359223300971</c:v>
                </c:pt>
                <c:pt idx="104">
                  <c:v>0.125</c:v>
                </c:pt>
                <c:pt idx="105">
                  <c:v>0.13333333333333333</c:v>
                </c:pt>
                <c:pt idx="106">
                  <c:v>0.13207547169811321</c:v>
                </c:pt>
                <c:pt idx="107">
                  <c:v>0.13084112149532709</c:v>
                </c:pt>
                <c:pt idx="108">
                  <c:v>0.12962962962962962</c:v>
                </c:pt>
                <c:pt idx="109">
                  <c:v>0.12844036697247707</c:v>
                </c:pt>
                <c:pt idx="110">
                  <c:v>0.12727272727272726</c:v>
                </c:pt>
                <c:pt idx="111">
                  <c:v>0.12612612612612611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817724068479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まっつん2!$L$3:$L$114</c:f>
              <c:numCache>
                <c:formatCode>0.0%</c:formatCode>
                <c:ptCount val="1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817724068479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まっつん2!$M$3:$M$114</c:f>
              <c:numCache>
                <c:formatCode>0.0%</c:formatCode>
                <c:ptCount val="112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  <c:pt idx="97">
                  <c:v>0.27742749054224464</c:v>
                </c:pt>
                <c:pt idx="98">
                  <c:v>0.28000000000000003</c:v>
                </c:pt>
                <c:pt idx="99">
                  <c:v>0.27812113720642767</c:v>
                </c:pt>
                <c:pt idx="100">
                  <c:v>0.27771010962241172</c:v>
                </c:pt>
                <c:pt idx="101">
                  <c:v>0.27557160048134777</c:v>
                </c:pt>
                <c:pt idx="102">
                  <c:v>0.27586206896551724</c:v>
                </c:pt>
                <c:pt idx="103">
                  <c:v>0.27294117647058824</c:v>
                </c:pt>
                <c:pt idx="104">
                  <c:v>0.27336448598130841</c:v>
                </c:pt>
                <c:pt idx="105">
                  <c:v>0.27177700348432055</c:v>
                </c:pt>
                <c:pt idx="106">
                  <c:v>0.27188940092165897</c:v>
                </c:pt>
                <c:pt idx="107">
                  <c:v>0.27324263038548752</c:v>
                </c:pt>
                <c:pt idx="108">
                  <c:v>0.273542600896861</c:v>
                </c:pt>
                <c:pt idx="109">
                  <c:v>0.27192008879023305</c:v>
                </c:pt>
                <c:pt idx="110">
                  <c:v>0.27012127894156562</c:v>
                </c:pt>
                <c:pt idx="111">
                  <c:v>0.26805251641137856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792031098153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まっつん2!$N$3:$N$114</c:f>
              <c:numCache>
                <c:formatCode>0.0%</c:formatCode>
                <c:ptCount val="112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  <c:pt idx="97">
                  <c:v>0.1828499369482976</c:v>
                </c:pt>
                <c:pt idx="98">
                  <c:v>0.1825</c:v>
                </c:pt>
                <c:pt idx="99">
                  <c:v>0.18665018541409148</c:v>
                </c:pt>
                <c:pt idx="100">
                  <c:v>0.18635809987819732</c:v>
                </c:pt>
                <c:pt idx="101">
                  <c:v>0.18772563176895307</c:v>
                </c:pt>
                <c:pt idx="102">
                  <c:v>0.18549346016646848</c:v>
                </c:pt>
                <c:pt idx="103">
                  <c:v>0.18588235294117647</c:v>
                </c:pt>
                <c:pt idx="104">
                  <c:v>0.18457943925233644</c:v>
                </c:pt>
                <c:pt idx="105">
                  <c:v>0.18466898954703834</c:v>
                </c:pt>
                <c:pt idx="106">
                  <c:v>0.18317972350230416</c:v>
                </c:pt>
                <c:pt idx="107">
                  <c:v>0.18367346938775511</c:v>
                </c:pt>
                <c:pt idx="108">
                  <c:v>0.18273542600896861</c:v>
                </c:pt>
                <c:pt idx="109">
                  <c:v>0.18201997780244172</c:v>
                </c:pt>
                <c:pt idx="110">
                  <c:v>0.18412348401323042</c:v>
                </c:pt>
                <c:pt idx="111">
                  <c:v>0.18927789934354486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257531584062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まっつん2!$O$3:$O$114</c:f>
              <c:numCache>
                <c:formatCode>0.0%</c:formatCode>
                <c:ptCount val="112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  <c:pt idx="97">
                  <c:v>0.60909090909090913</c:v>
                </c:pt>
                <c:pt idx="98">
                  <c:v>0.6116071428571429</c:v>
                </c:pt>
                <c:pt idx="99">
                  <c:v>0.61333333333333329</c:v>
                </c:pt>
                <c:pt idx="100">
                  <c:v>0.61403508771929827</c:v>
                </c:pt>
                <c:pt idx="101">
                  <c:v>0.611353711790393</c:v>
                </c:pt>
                <c:pt idx="102">
                  <c:v>0.61637931034482762</c:v>
                </c:pt>
                <c:pt idx="103">
                  <c:v>0.61637931034482762</c:v>
                </c:pt>
                <c:pt idx="104">
                  <c:v>0.61111111111111116</c:v>
                </c:pt>
                <c:pt idx="105">
                  <c:v>0.61111111111111116</c:v>
                </c:pt>
                <c:pt idx="106">
                  <c:v>0.61016949152542377</c:v>
                </c:pt>
                <c:pt idx="107">
                  <c:v>0.60580912863070535</c:v>
                </c:pt>
                <c:pt idx="108">
                  <c:v>0.60245901639344257</c:v>
                </c:pt>
                <c:pt idx="109">
                  <c:v>0.60408163265306125</c:v>
                </c:pt>
                <c:pt idx="110">
                  <c:v>0.60408163265306125</c:v>
                </c:pt>
                <c:pt idx="111">
                  <c:v>0.60408163265306125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325411334552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まっつん2!$P$3:$P$114</c:f>
              <c:numCache>
                <c:formatCode>0.0%</c:formatCode>
                <c:ptCount val="112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  <c:pt idx="97">
                  <c:v>0.33793103448275863</c:v>
                </c:pt>
                <c:pt idx="98">
                  <c:v>0.34246575342465752</c:v>
                </c:pt>
                <c:pt idx="99">
                  <c:v>0.35099337748344372</c:v>
                </c:pt>
                <c:pt idx="100">
                  <c:v>0.34640522875816993</c:v>
                </c:pt>
                <c:pt idx="101">
                  <c:v>0.34615384615384615</c:v>
                </c:pt>
                <c:pt idx="102">
                  <c:v>0.34615384615384615</c:v>
                </c:pt>
                <c:pt idx="103">
                  <c:v>0.34177215189873417</c:v>
                </c:pt>
                <c:pt idx="104">
                  <c:v>0.34177215189873417</c:v>
                </c:pt>
                <c:pt idx="105">
                  <c:v>0.34591194968553457</c:v>
                </c:pt>
                <c:pt idx="106">
                  <c:v>0.34591194968553457</c:v>
                </c:pt>
                <c:pt idx="107">
                  <c:v>0.35185185185185186</c:v>
                </c:pt>
                <c:pt idx="108">
                  <c:v>0.34969325153374231</c:v>
                </c:pt>
                <c:pt idx="109">
                  <c:v>0.34756097560975607</c:v>
                </c:pt>
                <c:pt idx="110">
                  <c:v>0.3413173652694611</c:v>
                </c:pt>
                <c:pt idx="111">
                  <c:v>0.3583815028901734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677200902934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まっつん2!$Q$3:$Q$114</c:f>
              <c:numCache>
                <c:formatCode>0.0%</c:formatCode>
                <c:ptCount val="112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  <c:pt idx="97">
                  <c:v>0.45871559633027525</c:v>
                </c:pt>
                <c:pt idx="98">
                  <c:v>0.45945945945945948</c:v>
                </c:pt>
                <c:pt idx="99">
                  <c:v>0.45132743362831856</c:v>
                </c:pt>
                <c:pt idx="100">
                  <c:v>0.45851528384279477</c:v>
                </c:pt>
                <c:pt idx="101">
                  <c:v>0.46086956521739131</c:v>
                </c:pt>
                <c:pt idx="102">
                  <c:v>0.45726495726495725</c:v>
                </c:pt>
                <c:pt idx="103">
                  <c:v>0.45726495726495725</c:v>
                </c:pt>
                <c:pt idx="104">
                  <c:v>0.45726495726495725</c:v>
                </c:pt>
                <c:pt idx="105">
                  <c:v>0.45957446808510638</c:v>
                </c:pt>
                <c:pt idx="106">
                  <c:v>0.46413502109704641</c:v>
                </c:pt>
                <c:pt idx="107">
                  <c:v>0.46058091286307051</c:v>
                </c:pt>
                <c:pt idx="108">
                  <c:v>0.45867768595041325</c:v>
                </c:pt>
                <c:pt idx="109">
                  <c:v>0.45901639344262296</c:v>
                </c:pt>
                <c:pt idx="110">
                  <c:v>0.45714285714285713</c:v>
                </c:pt>
                <c:pt idx="111">
                  <c:v>0.45600000000000002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762836185819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2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43662.009675925925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43662.009675925925</v>
      </c>
      <c r="C86" s="30" t="s">
        <v>130</v>
      </c>
    </row>
    <row r="87" spans="1:15" x14ac:dyDescent="0.4">
      <c r="A87" s="30" t="s">
        <v>278</v>
      </c>
      <c r="B87" s="31">
        <v>43662.009675925925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43662.009675925925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43662.009675925925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43662.009675925925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43662.009675925925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43662.008599537039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43663.045115740744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43663.04478009259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43666.700092592589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43672.825671296298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43672.870659722219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43673.893599537034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43680.770092592589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43680.844942129632</v>
      </c>
      <c r="C100" s="30" t="s">
        <v>130</v>
      </c>
      <c r="D100" s="30" t="s">
        <v>131</v>
      </c>
    </row>
    <row r="101" spans="1:6" x14ac:dyDescent="0.4">
      <c r="A101" s="30" t="s">
        <v>296</v>
      </c>
      <c r="B101" s="31">
        <v>43682.514976851853</v>
      </c>
      <c r="C101" s="30" t="s">
        <v>130</v>
      </c>
    </row>
    <row r="102" spans="1:6" x14ac:dyDescent="0.4">
      <c r="A102" s="30" t="s">
        <v>297</v>
      </c>
      <c r="B102" s="31">
        <v>43683.840682870374</v>
      </c>
      <c r="C102" s="30" t="s">
        <v>130</v>
      </c>
      <c r="D102" s="30" t="s">
        <v>131</v>
      </c>
      <c r="E102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993</v>
      </c>
    </row>
    <row r="2" spans="1:2" x14ac:dyDescent="0.4">
      <c r="A2" t="s">
        <v>127</v>
      </c>
      <c r="B2">
        <v>217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169</v>
      </c>
    </row>
    <row r="5" spans="1:2" x14ac:dyDescent="0.4">
      <c r="A5" t="s">
        <v>171</v>
      </c>
      <c r="B5">
        <v>108</v>
      </c>
    </row>
    <row r="6" spans="1:2" x14ac:dyDescent="0.4">
      <c r="A6" t="s">
        <v>172</v>
      </c>
      <c r="B6">
        <v>103</v>
      </c>
    </row>
    <row r="7" spans="1:2" x14ac:dyDescent="0.4">
      <c r="A7" t="s">
        <v>173</v>
      </c>
      <c r="B7">
        <v>59</v>
      </c>
    </row>
    <row r="8" spans="1:2" x14ac:dyDescent="0.4">
      <c r="A8" t="s">
        <v>177</v>
      </c>
      <c r="B8">
        <v>111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0.97286838916316887</v>
      </c>
      <c r="G2" s="159"/>
      <c r="H2" s="158">
        <v>0.69371914943096091</v>
      </c>
      <c r="I2" s="159"/>
      <c r="J2" s="158">
        <v>0.86973147386433169</v>
      </c>
      <c r="K2" s="159"/>
      <c r="L2" s="158">
        <v>0.68725662028022616</v>
      </c>
      <c r="M2" s="159"/>
      <c r="N2" s="158">
        <v>0.7134529164955169</v>
      </c>
      <c r="O2" s="159"/>
      <c r="P2" s="158">
        <v>0.40046986804279078</v>
      </c>
      <c r="Q2" s="159"/>
      <c r="R2" s="158">
        <v>0.39235537167660661</v>
      </c>
      <c r="S2" s="159"/>
      <c r="T2" s="158">
        <v>0.68736819826427786</v>
      </c>
      <c r="U2" s="159"/>
      <c r="V2" s="158">
        <v>0.56543360787317432</v>
      </c>
      <c r="W2" s="159"/>
      <c r="X2" s="158">
        <v>0.66269999460523732</v>
      </c>
      <c r="Y2" s="159"/>
      <c r="Z2" s="158">
        <v>8.3093650937777735E-2</v>
      </c>
      <c r="AA2" s="159"/>
      <c r="AB2" s="158">
        <v>-0.17390120722963837</v>
      </c>
      <c r="AC2" s="159"/>
      <c r="AD2" s="158">
        <v>0.75902450362367935</v>
      </c>
      <c r="AE2" s="159"/>
      <c r="AF2" s="158">
        <v>-0.15792509995452506</v>
      </c>
      <c r="AG2" s="159"/>
      <c r="AH2" s="158">
        <v>0.5154816959317885</v>
      </c>
      <c r="AI2" s="159"/>
    </row>
    <row r="3" spans="1:35" x14ac:dyDescent="0.4">
      <c r="A3" s="74">
        <v>1</v>
      </c>
      <c r="B3" s="75" t="s">
        <v>127</v>
      </c>
      <c r="C3" s="76">
        <v>2672.1000000000004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0.30270574971815106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180</v>
      </c>
      <c r="D4" s="85" t="s">
        <v>223</v>
      </c>
      <c r="E4" s="97">
        <v>16.733333333333331</v>
      </c>
      <c r="F4" s="85" t="s">
        <v>127</v>
      </c>
      <c r="G4" s="86">
        <v>1.76036866359447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-7089.4736842105267</v>
      </c>
      <c r="T4" s="85" t="s">
        <v>222</v>
      </c>
      <c r="U4" s="87">
        <v>0</v>
      </c>
      <c r="V4" s="85" t="s">
        <v>127</v>
      </c>
      <c r="W4" s="87">
        <v>0.17050691244239632</v>
      </c>
      <c r="X4" s="85" t="s">
        <v>128</v>
      </c>
      <c r="Y4" s="88">
        <v>0.29604772557792691</v>
      </c>
      <c r="Z4" s="85" t="s">
        <v>271</v>
      </c>
      <c r="AA4" s="88">
        <v>0.33333333333333331</v>
      </c>
      <c r="AB4" s="85" t="s">
        <v>271</v>
      </c>
      <c r="AC4" s="88">
        <v>0.69230769230769229</v>
      </c>
      <c r="AD4" s="85" t="s">
        <v>127</v>
      </c>
      <c r="AE4" s="88">
        <v>0.50257731958762886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0.4838709677419355</v>
      </c>
      <c r="J5" s="85" t="s">
        <v>200</v>
      </c>
      <c r="K5" s="87">
        <v>0.19047619047619047</v>
      </c>
      <c r="L5" s="85" t="s">
        <v>127</v>
      </c>
      <c r="M5" s="88">
        <v>0.33709131905298761</v>
      </c>
      <c r="N5" s="85" t="s">
        <v>223</v>
      </c>
      <c r="O5" s="88">
        <v>0.13043478260869565</v>
      </c>
      <c r="P5" s="85" t="s">
        <v>171</v>
      </c>
      <c r="Q5" s="89">
        <v>10000</v>
      </c>
      <c r="R5" s="85" t="s">
        <v>177</v>
      </c>
      <c r="S5" s="89">
        <v>-7205.1094890510949</v>
      </c>
      <c r="T5" s="85" t="s">
        <v>223</v>
      </c>
      <c r="U5" s="87">
        <v>0</v>
      </c>
      <c r="V5" s="85" t="s">
        <v>171</v>
      </c>
      <c r="W5" s="87">
        <v>0.14814814814814814</v>
      </c>
      <c r="X5" s="85" t="s">
        <v>171</v>
      </c>
      <c r="Y5" s="88">
        <v>0.28205128205128205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0.50354609929078009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12.313824884792629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0.24423963133640553</v>
      </c>
      <c r="L6" s="85" t="s">
        <v>172</v>
      </c>
      <c r="M6" s="88">
        <v>0.33564814814814814</v>
      </c>
      <c r="N6" s="85" t="s">
        <v>172</v>
      </c>
      <c r="O6" s="88">
        <v>0.14351851851851852</v>
      </c>
      <c r="P6" s="85" t="s">
        <v>127</v>
      </c>
      <c r="Q6" s="89">
        <v>9251.0033444816054</v>
      </c>
      <c r="R6" s="85" t="s">
        <v>128</v>
      </c>
      <c r="S6" s="89">
        <v>-7653.6585365853662</v>
      </c>
      <c r="T6" s="85" t="s">
        <v>172</v>
      </c>
      <c r="U6" s="87">
        <v>5.8252427184466021E-2</v>
      </c>
      <c r="V6" s="85" t="s">
        <v>145</v>
      </c>
      <c r="W6" s="87">
        <v>0.11681772406847936</v>
      </c>
      <c r="X6" s="85" t="s">
        <v>177</v>
      </c>
      <c r="Y6" s="88">
        <v>0.26805251641137856</v>
      </c>
      <c r="Z6" s="85" t="s">
        <v>172</v>
      </c>
      <c r="AA6" s="88">
        <v>0.28703703703703703</v>
      </c>
      <c r="AB6" s="85" t="s">
        <v>200</v>
      </c>
      <c r="AC6" s="88">
        <v>0.60416666666666663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177</v>
      </c>
      <c r="G7" s="86">
        <v>1.9909909909909911</v>
      </c>
      <c r="H7" s="85" t="s">
        <v>200</v>
      </c>
      <c r="I7" s="87">
        <v>0.33333333333333331</v>
      </c>
      <c r="J7" s="85" t="s">
        <v>172</v>
      </c>
      <c r="K7" s="87">
        <v>0.31067961165048541</v>
      </c>
      <c r="L7" s="85" t="s">
        <v>145</v>
      </c>
      <c r="M7" s="88">
        <v>0.29810495626822159</v>
      </c>
      <c r="N7" s="85" t="s">
        <v>177</v>
      </c>
      <c r="O7" s="88">
        <v>0.14989059080962802</v>
      </c>
      <c r="P7" s="85" t="s">
        <v>128</v>
      </c>
      <c r="Q7" s="89">
        <v>8929.380053908355</v>
      </c>
      <c r="R7" s="85" t="s">
        <v>145</v>
      </c>
      <c r="S7" s="89">
        <v>-8131.172614712309</v>
      </c>
      <c r="T7" s="85" t="s">
        <v>127</v>
      </c>
      <c r="U7" s="87">
        <v>8.294930875576037E-2</v>
      </c>
      <c r="V7" s="85" t="s">
        <v>129</v>
      </c>
      <c r="W7" s="87">
        <v>0.10059171597633136</v>
      </c>
      <c r="X7" s="85" t="s">
        <v>145</v>
      </c>
      <c r="Y7" s="88">
        <v>0.26579203109815353</v>
      </c>
      <c r="Z7" s="85" t="s">
        <v>184</v>
      </c>
      <c r="AA7" s="88">
        <v>0.24861878453038674</v>
      </c>
      <c r="AB7" s="85" t="s">
        <v>177</v>
      </c>
      <c r="AC7" s="88">
        <v>0.60408163265306125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1.6666666666666667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0.31531531531531531</v>
      </c>
      <c r="L8" s="85" t="s">
        <v>171</v>
      </c>
      <c r="M8" s="88">
        <v>0.29208472686733555</v>
      </c>
      <c r="N8" s="85" t="s">
        <v>127</v>
      </c>
      <c r="O8" s="88">
        <v>0.15050732807215333</v>
      </c>
      <c r="P8" s="85" t="s">
        <v>177</v>
      </c>
      <c r="Q8" s="89">
        <v>8717.2000000000007</v>
      </c>
      <c r="R8" s="85" t="s">
        <v>127</v>
      </c>
      <c r="S8" s="89">
        <v>-8219.4756554307114</v>
      </c>
      <c r="T8" s="85" t="s">
        <v>171</v>
      </c>
      <c r="U8" s="87">
        <v>0.10185185185185185</v>
      </c>
      <c r="V8" s="85" t="s">
        <v>177</v>
      </c>
      <c r="W8" s="87">
        <v>9.90990990990991E-2</v>
      </c>
      <c r="X8" s="85" t="s">
        <v>183</v>
      </c>
      <c r="Y8" s="88">
        <v>0.26315789473684209</v>
      </c>
      <c r="Z8" s="85" t="s">
        <v>173</v>
      </c>
      <c r="AA8" s="88">
        <v>0.22376237623762377</v>
      </c>
      <c r="AB8" s="85" t="s">
        <v>183</v>
      </c>
      <c r="AC8" s="88">
        <v>0.6</v>
      </c>
      <c r="AD8" s="85" t="s">
        <v>171</v>
      </c>
      <c r="AE8" s="88">
        <v>0.40782122905027934</v>
      </c>
      <c r="AF8" s="85" t="s">
        <v>177</v>
      </c>
      <c r="AG8" s="88">
        <v>0.45600000000000002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-0.99999999999997868</v>
      </c>
      <c r="D9" s="85" t="s">
        <v>145</v>
      </c>
      <c r="E9" s="97">
        <v>-1.007049345417904E-3</v>
      </c>
      <c r="F9" s="85" t="s">
        <v>222</v>
      </c>
      <c r="G9" s="86">
        <v>2</v>
      </c>
      <c r="H9" s="85" t="s">
        <v>177</v>
      </c>
      <c r="I9" s="87">
        <v>0.32432432432432434</v>
      </c>
      <c r="J9" s="85" t="s">
        <v>171</v>
      </c>
      <c r="K9" s="87">
        <v>0.33333333333333331</v>
      </c>
      <c r="L9" s="85" t="s">
        <v>173</v>
      </c>
      <c r="M9" s="88">
        <v>0.27920792079207923</v>
      </c>
      <c r="N9" s="85" t="s">
        <v>200</v>
      </c>
      <c r="O9" s="88">
        <v>0.16230366492146597</v>
      </c>
      <c r="P9" s="85" t="s">
        <v>145</v>
      </c>
      <c r="Q9" s="89">
        <v>8633.7000814995918</v>
      </c>
      <c r="R9" s="85" t="s">
        <v>173</v>
      </c>
      <c r="S9" s="89">
        <v>-8221.649484536083</v>
      </c>
      <c r="T9" s="85" t="s">
        <v>145</v>
      </c>
      <c r="U9" s="87">
        <v>0.11681772406847936</v>
      </c>
      <c r="V9" s="85" t="s">
        <v>128</v>
      </c>
      <c r="W9" s="87">
        <v>9.815950920245399E-2</v>
      </c>
      <c r="X9" s="85" t="s">
        <v>200</v>
      </c>
      <c r="Y9" s="88">
        <v>0.2513089005235602</v>
      </c>
      <c r="Z9" s="85" t="s">
        <v>127</v>
      </c>
      <c r="AA9" s="88">
        <v>0.21871476888387825</v>
      </c>
      <c r="AB9" s="85" t="s">
        <v>128</v>
      </c>
      <c r="AC9" s="88">
        <v>0.58438287153652391</v>
      </c>
      <c r="AD9" s="85" t="s">
        <v>145</v>
      </c>
      <c r="AE9" s="88">
        <v>0.40067720090293452</v>
      </c>
      <c r="AF9" s="85" t="s">
        <v>128</v>
      </c>
      <c r="AG9" s="88">
        <v>0.44474393530997303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177</v>
      </c>
      <c r="C10" s="84">
        <v>-3.6000000000000654</v>
      </c>
      <c r="D10" s="85" t="s">
        <v>177</v>
      </c>
      <c r="E10" s="97">
        <v>-3.2432432432433024E-2</v>
      </c>
      <c r="F10" s="85" t="s">
        <v>171</v>
      </c>
      <c r="G10" s="86">
        <v>2.0092592592592591</v>
      </c>
      <c r="H10" s="85" t="s">
        <v>171</v>
      </c>
      <c r="I10" s="87">
        <v>0.32407407407407407</v>
      </c>
      <c r="J10" s="85" t="s">
        <v>145</v>
      </c>
      <c r="K10" s="87">
        <v>0.33333333333333331</v>
      </c>
      <c r="L10" s="85" t="s">
        <v>128</v>
      </c>
      <c r="M10" s="88">
        <v>0.27665920954511558</v>
      </c>
      <c r="N10" s="85" t="s">
        <v>145</v>
      </c>
      <c r="O10" s="88">
        <v>0.16678814382896015</v>
      </c>
      <c r="P10" s="85" t="s">
        <v>184</v>
      </c>
      <c r="Q10" s="89">
        <v>8434</v>
      </c>
      <c r="R10" s="85" t="s">
        <v>172</v>
      </c>
      <c r="S10" s="89">
        <v>-8308.0645161290322</v>
      </c>
      <c r="T10" s="85" t="s">
        <v>271</v>
      </c>
      <c r="U10" s="87">
        <v>0.125</v>
      </c>
      <c r="V10" s="85" t="s">
        <v>172</v>
      </c>
      <c r="W10" s="87">
        <v>9.7087378640776698E-2</v>
      </c>
      <c r="X10" s="85" t="s">
        <v>129</v>
      </c>
      <c r="Y10" s="88">
        <v>0.24381625441696114</v>
      </c>
      <c r="Z10" s="85" t="s">
        <v>145</v>
      </c>
      <c r="AA10" s="88">
        <v>0.21525753158406219</v>
      </c>
      <c r="AB10" s="85" t="s">
        <v>127</v>
      </c>
      <c r="AC10" s="88">
        <v>0.58286778398510242</v>
      </c>
      <c r="AD10" s="85" t="s">
        <v>184</v>
      </c>
      <c r="AE10" s="88">
        <v>0.37777777777777777</v>
      </c>
      <c r="AF10" s="85" t="s">
        <v>145</v>
      </c>
      <c r="AG10" s="88">
        <v>0.43276283618581907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-259.40000000000003</v>
      </c>
      <c r="D11" s="85" t="s">
        <v>172</v>
      </c>
      <c r="E11" s="97">
        <v>-2.518446601941748</v>
      </c>
      <c r="F11" s="85" t="s">
        <v>172</v>
      </c>
      <c r="G11" s="86">
        <v>2.0679611650485437</v>
      </c>
      <c r="H11" s="85" t="s">
        <v>129</v>
      </c>
      <c r="I11" s="87">
        <v>0.29585798816568049</v>
      </c>
      <c r="J11" s="85" t="s">
        <v>223</v>
      </c>
      <c r="K11" s="87">
        <v>0.33333333333333331</v>
      </c>
      <c r="L11" s="85" t="s">
        <v>184</v>
      </c>
      <c r="M11" s="88">
        <v>0.27624309392265195</v>
      </c>
      <c r="N11" s="85" t="s">
        <v>129</v>
      </c>
      <c r="O11" s="88">
        <v>0.17173144876325089</v>
      </c>
      <c r="P11" s="85" t="s">
        <v>129</v>
      </c>
      <c r="Q11" s="89">
        <v>8264.8578811369516</v>
      </c>
      <c r="R11" s="85" t="s">
        <v>171</v>
      </c>
      <c r="S11" s="89">
        <v>-8353.4591194968561</v>
      </c>
      <c r="T11" s="85" t="s">
        <v>177</v>
      </c>
      <c r="U11" s="87">
        <v>0.12612612612612611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0.57632541133455206</v>
      </c>
      <c r="AD11" s="85" t="s">
        <v>129</v>
      </c>
      <c r="AE11" s="88">
        <v>0.36013986013986016</v>
      </c>
      <c r="AF11" s="85" t="s">
        <v>129</v>
      </c>
      <c r="AG11" s="88">
        <v>0.41860465116279072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-289.8</v>
      </c>
      <c r="D12" s="85" t="s">
        <v>128</v>
      </c>
      <c r="E12" s="97">
        <v>-3.3079754601226998</v>
      </c>
      <c r="F12" s="85" t="s">
        <v>128</v>
      </c>
      <c r="G12" s="86">
        <v>2.0797546012269938</v>
      </c>
      <c r="H12" s="85" t="s">
        <v>173</v>
      </c>
      <c r="I12" s="87">
        <v>0.2711864406779661</v>
      </c>
      <c r="J12" s="85" t="s">
        <v>128</v>
      </c>
      <c r="K12" s="87">
        <v>0.34969325153374231</v>
      </c>
      <c r="L12" s="85" t="s">
        <v>177</v>
      </c>
      <c r="M12" s="88">
        <v>0.2735229759299781</v>
      </c>
      <c r="N12" s="85" t="s">
        <v>171</v>
      </c>
      <c r="O12" s="88">
        <v>0.17725752508361203</v>
      </c>
      <c r="P12" s="85" t="s">
        <v>200</v>
      </c>
      <c r="Q12" s="89">
        <v>8000</v>
      </c>
      <c r="R12" s="85" t="s">
        <v>129</v>
      </c>
      <c r="S12" s="89">
        <v>-8437.0370370370365</v>
      </c>
      <c r="T12" s="85" t="s">
        <v>128</v>
      </c>
      <c r="U12" s="87">
        <v>0.13496932515337423</v>
      </c>
      <c r="V12" s="85" t="s">
        <v>173</v>
      </c>
      <c r="W12" s="87">
        <v>6.7796610169491525E-2</v>
      </c>
      <c r="X12" s="85" t="s">
        <v>222</v>
      </c>
      <c r="Y12" s="88">
        <v>0.23076923076923078</v>
      </c>
      <c r="Z12" s="85" t="s">
        <v>129</v>
      </c>
      <c r="AA12" s="88">
        <v>0.20212014134275619</v>
      </c>
      <c r="AB12" s="85" t="s">
        <v>171</v>
      </c>
      <c r="AC12" s="88">
        <v>0.56916996047430835</v>
      </c>
      <c r="AD12" s="85" t="s">
        <v>177</v>
      </c>
      <c r="AE12" s="88">
        <v>0.3583815028901734</v>
      </c>
      <c r="AF12" s="85" t="s">
        <v>127</v>
      </c>
      <c r="AG12" s="88">
        <v>0.41806020066889632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129</v>
      </c>
      <c r="E13" s="97">
        <v>-7.0834319526627212</v>
      </c>
      <c r="F13" s="85" t="s">
        <v>129</v>
      </c>
      <c r="G13" s="86">
        <v>2.1124260355029585</v>
      </c>
      <c r="H13" s="85" t="s">
        <v>128</v>
      </c>
      <c r="I13" s="87">
        <v>0.26993865030674846</v>
      </c>
      <c r="J13" s="85" t="s">
        <v>173</v>
      </c>
      <c r="K13" s="87">
        <v>0.40677966101694918</v>
      </c>
      <c r="L13" s="85" t="s">
        <v>129</v>
      </c>
      <c r="M13" s="88">
        <v>0.27349823321554773</v>
      </c>
      <c r="N13" s="85" t="s">
        <v>128</v>
      </c>
      <c r="O13" s="88">
        <v>0.18344519015659955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129</v>
      </c>
      <c r="U13" s="87">
        <v>0.14201183431952663</v>
      </c>
      <c r="V13" s="85" t="s">
        <v>200</v>
      </c>
      <c r="W13" s="87">
        <v>4.7619047619047616E-2</v>
      </c>
      <c r="X13" s="85" t="s">
        <v>173</v>
      </c>
      <c r="Y13" s="88">
        <v>0.21782178217821782</v>
      </c>
      <c r="Z13" s="85" t="s">
        <v>171</v>
      </c>
      <c r="AA13" s="88">
        <v>0.1995540691192865</v>
      </c>
      <c r="AB13" s="85" t="s">
        <v>173</v>
      </c>
      <c r="AC13" s="88">
        <v>0.5636363636363636</v>
      </c>
      <c r="AD13" s="85" t="s">
        <v>173</v>
      </c>
      <c r="AE13" s="88">
        <v>0.33628318584070799</v>
      </c>
      <c r="AF13" s="85" t="s">
        <v>271</v>
      </c>
      <c r="AG13" s="88">
        <v>0.41176470588235292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-521</v>
      </c>
      <c r="D14" s="85" t="s">
        <v>173</v>
      </c>
      <c r="E14" s="97">
        <v>-8.8305084745762716</v>
      </c>
      <c r="F14" s="85" t="s">
        <v>173</v>
      </c>
      <c r="G14" s="86">
        <v>2.1355932203389831</v>
      </c>
      <c r="H14" s="85" t="s">
        <v>172</v>
      </c>
      <c r="I14" s="87">
        <v>0.24271844660194175</v>
      </c>
      <c r="J14" s="85" t="s">
        <v>129</v>
      </c>
      <c r="K14" s="87">
        <v>0.40828402366863903</v>
      </c>
      <c r="L14" s="85" t="s">
        <v>183</v>
      </c>
      <c r="M14" s="88">
        <v>0.26315789473684209</v>
      </c>
      <c r="N14" s="85" t="s">
        <v>173</v>
      </c>
      <c r="O14" s="88">
        <v>0.19207920792079208</v>
      </c>
      <c r="P14" s="85" t="s">
        <v>173</v>
      </c>
      <c r="Q14" s="89">
        <v>7531.2056737588655</v>
      </c>
      <c r="R14" s="85" t="s">
        <v>184</v>
      </c>
      <c r="S14" s="89">
        <v>-9878.0487804878048</v>
      </c>
      <c r="T14" s="85" t="s">
        <v>200</v>
      </c>
      <c r="U14" s="87">
        <v>0.14285714285714285</v>
      </c>
      <c r="V14" s="85" t="s">
        <v>183</v>
      </c>
      <c r="W14" s="87">
        <v>0</v>
      </c>
      <c r="X14" s="85" t="s">
        <v>172</v>
      </c>
      <c r="Y14" s="88">
        <v>0.21180555555555555</v>
      </c>
      <c r="Z14" s="85" t="s">
        <v>177</v>
      </c>
      <c r="AA14" s="88">
        <v>0.18927789934354486</v>
      </c>
      <c r="AB14" s="85" t="s">
        <v>172</v>
      </c>
      <c r="AC14" s="88">
        <v>0.55737704918032782</v>
      </c>
      <c r="AD14" s="85" t="s">
        <v>128</v>
      </c>
      <c r="AE14" s="88">
        <v>0.31465517241379309</v>
      </c>
      <c r="AF14" s="85" t="s">
        <v>171</v>
      </c>
      <c r="AG14" s="88">
        <v>0.40458015267175573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-539.20000000000005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0.2361111111111111</v>
      </c>
      <c r="N15" s="85" t="s">
        <v>184</v>
      </c>
      <c r="O15" s="88">
        <v>0.22651933701657459</v>
      </c>
      <c r="P15" s="85" t="s">
        <v>271</v>
      </c>
      <c r="Q15" s="89">
        <v>6776.4705882352937</v>
      </c>
      <c r="R15" s="85" t="s">
        <v>223</v>
      </c>
      <c r="S15" s="89">
        <v>-10583.333333333334</v>
      </c>
      <c r="T15" s="85" t="s">
        <v>173</v>
      </c>
      <c r="U15" s="87">
        <v>0.16949152542372881</v>
      </c>
      <c r="V15" s="85" t="s">
        <v>222</v>
      </c>
      <c r="W15" s="87">
        <v>0</v>
      </c>
      <c r="X15" s="85" t="s">
        <v>271</v>
      </c>
      <c r="Y15" s="88">
        <v>0.18055555555555555</v>
      </c>
      <c r="Z15" s="85" t="s">
        <v>128</v>
      </c>
      <c r="AA15" s="88">
        <v>0.17300521998508575</v>
      </c>
      <c r="AB15" s="85" t="s">
        <v>129</v>
      </c>
      <c r="AC15" s="88">
        <v>0.53623188405797106</v>
      </c>
      <c r="AD15" s="85" t="s">
        <v>271</v>
      </c>
      <c r="AE15" s="88">
        <v>0.25</v>
      </c>
      <c r="AF15" s="85" t="s">
        <v>172</v>
      </c>
      <c r="AG15" s="88">
        <v>0.39655172413793105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-1197.0999999999999</v>
      </c>
      <c r="D16" s="85" t="s">
        <v>271</v>
      </c>
      <c r="E16" s="97">
        <v>-36.225000000000001</v>
      </c>
      <c r="F16" s="85" t="s">
        <v>271</v>
      </c>
      <c r="G16" s="86">
        <v>2.75</v>
      </c>
      <c r="H16" s="85" t="s">
        <v>271</v>
      </c>
      <c r="I16" s="87">
        <v>0</v>
      </c>
      <c r="J16" s="85" t="s">
        <v>271</v>
      </c>
      <c r="K16" s="87">
        <v>0.75</v>
      </c>
      <c r="L16" s="85" t="s">
        <v>222</v>
      </c>
      <c r="M16" s="88">
        <v>0.15384615384615385</v>
      </c>
      <c r="N16" s="85" t="s">
        <v>271</v>
      </c>
      <c r="O16" s="88">
        <v>0.2638888888888889</v>
      </c>
      <c r="P16" s="85" t="s">
        <v>172</v>
      </c>
      <c r="Q16" s="89">
        <v>6773.7931034482763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xmlns:xlrd2="http://schemas.microsoft.com/office/spreadsheetml/2017/richdata2"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993</v>
      </c>
      <c r="C2" s="151"/>
      <c r="E2" s="62" t="s">
        <v>67</v>
      </c>
      <c r="F2" s="59" t="s">
        <v>23</v>
      </c>
      <c r="G2" s="46">
        <v>1779</v>
      </c>
      <c r="H2" s="132">
        <f>IF(B$17=0,0,G2/B$17)</f>
        <v>0.72493887530562351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-17.171717171717173</v>
      </c>
      <c r="P2" s="118">
        <v>990</v>
      </c>
      <c r="Q2" s="102">
        <v>-17000</v>
      </c>
    </row>
    <row r="3" spans="1:17" x14ac:dyDescent="0.4">
      <c r="A3" s="55" t="s">
        <v>8</v>
      </c>
      <c r="B3" s="152">
        <v>8232</v>
      </c>
      <c r="C3" s="153"/>
      <c r="E3" s="63" t="s">
        <v>73</v>
      </c>
      <c r="F3" s="60" t="s">
        <v>28</v>
      </c>
      <c r="G3" s="47">
        <v>1277</v>
      </c>
      <c r="H3" s="133">
        <f>IF(B$17=0,0,G3/B$17)</f>
        <v>0.52037489812550941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-8.2559339525283804</v>
      </c>
      <c r="P3" s="119">
        <v>969</v>
      </c>
      <c r="Q3" s="103">
        <v>-8000</v>
      </c>
    </row>
    <row r="4" spans="1:17" x14ac:dyDescent="0.4">
      <c r="A4" s="55" t="s">
        <v>6</v>
      </c>
      <c r="B4" s="154">
        <v>-0.99999999999997868</v>
      </c>
      <c r="C4" s="155"/>
      <c r="E4" s="63" t="s">
        <v>65</v>
      </c>
      <c r="F4" s="60" t="s">
        <v>21</v>
      </c>
      <c r="G4" s="47">
        <v>1198</v>
      </c>
      <c r="H4" s="133">
        <f>IF(B$17=0,0,G4/B$17)</f>
        <v>0.48818255908720454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15.401540154015402</v>
      </c>
      <c r="P4" s="119">
        <v>909</v>
      </c>
      <c r="Q4" s="103">
        <v>14000</v>
      </c>
    </row>
    <row r="5" spans="1:17" x14ac:dyDescent="0.4">
      <c r="A5" s="55" t="s">
        <v>7</v>
      </c>
      <c r="B5" s="156">
        <f>IF(B$2=0,0,B$4/B$2)</f>
        <v>-1.007049345417904E-3</v>
      </c>
      <c r="C5" s="157"/>
      <c r="E5" s="63" t="s">
        <v>245</v>
      </c>
      <c r="F5" s="60" t="s">
        <v>246</v>
      </c>
      <c r="G5" s="47">
        <v>981</v>
      </c>
      <c r="H5" s="133">
        <f>IF(B$17=0,0,G5/B$17)</f>
        <v>0.39975550122249387</v>
      </c>
      <c r="I5" s="94">
        <v>8</v>
      </c>
      <c r="K5" s="38">
        <v>3</v>
      </c>
      <c r="L5" s="99">
        <v>0</v>
      </c>
      <c r="N5" s="115" t="s">
        <v>135</v>
      </c>
      <c r="O5" s="122">
        <f t="shared" si="0"/>
        <v>3.5842293906810037</v>
      </c>
      <c r="P5" s="119">
        <v>837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763</v>
      </c>
      <c r="H6" s="133">
        <f>IF(B$17=0,0,G6/B$17)</f>
        <v>0.31092094539527304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-10.666666666666666</v>
      </c>
      <c r="P6" s="119">
        <v>750</v>
      </c>
      <c r="Q6" s="103">
        <v>-8000</v>
      </c>
    </row>
    <row r="7" spans="1:17" x14ac:dyDescent="0.4">
      <c r="A7" s="55" t="s">
        <v>2</v>
      </c>
      <c r="B7" s="47">
        <v>331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731</v>
      </c>
      <c r="H7" s="133">
        <f>IF(B$17=0,0,G7/B$17)</f>
        <v>0.29788101059494704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23.041474654377879</v>
      </c>
      <c r="P7" s="120">
        <v>651</v>
      </c>
      <c r="Q7" s="104">
        <v>15000</v>
      </c>
    </row>
    <row r="8" spans="1:17" x14ac:dyDescent="0.4">
      <c r="A8" s="55" t="s">
        <v>3</v>
      </c>
      <c r="B8" s="47">
        <v>331</v>
      </c>
      <c r="C8" s="39">
        <f t="shared" si="1"/>
        <v>0.33333333333333331</v>
      </c>
      <c r="E8" s="63" t="s">
        <v>70</v>
      </c>
      <c r="F8" s="60" t="s">
        <v>25</v>
      </c>
      <c r="G8" s="47">
        <v>407</v>
      </c>
      <c r="H8" s="133">
        <f>IF(B$17=0,0,G8/B$17)</f>
        <v>0.16585167074164628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331</v>
      </c>
      <c r="C9" s="40">
        <f t="shared" si="1"/>
        <v>0.33333333333333331</v>
      </c>
      <c r="E9" s="63" t="s">
        <v>90</v>
      </c>
      <c r="F9" s="60" t="s">
        <v>45</v>
      </c>
      <c r="G9" s="47">
        <v>325</v>
      </c>
      <c r="H9" s="133">
        <f>IF(B$17=0,0,G9/B$17)</f>
        <v>0.13243683781581092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116</v>
      </c>
      <c r="C10" s="40">
        <f t="shared" si="1"/>
        <v>0.11681772406847936</v>
      </c>
      <c r="E10" s="63" t="s">
        <v>66</v>
      </c>
      <c r="F10" s="60" t="s">
        <v>22</v>
      </c>
      <c r="G10" s="47">
        <v>269</v>
      </c>
      <c r="H10" s="133">
        <f>IF(B$17=0,0,G10/B$17)</f>
        <v>0.10961695191524043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-2.0891238670694845</v>
      </c>
      <c r="P10" s="118">
        <v>331</v>
      </c>
      <c r="Q10" s="106">
        <v>-691.49999999999943</v>
      </c>
    </row>
    <row r="11" spans="1:17" x14ac:dyDescent="0.4">
      <c r="A11" s="56" t="s">
        <v>140</v>
      </c>
      <c r="B11" s="48">
        <v>116</v>
      </c>
      <c r="C11" s="40">
        <f t="shared" si="1"/>
        <v>0.11681772406847936</v>
      </c>
      <c r="E11" s="63" t="s">
        <v>71</v>
      </c>
      <c r="F11" s="60" t="s">
        <v>26</v>
      </c>
      <c r="G11" s="47">
        <v>247</v>
      </c>
      <c r="H11" s="133">
        <f>IF(B$17=0,0,G11/B$17)</f>
        <v>0.10065199674001631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0.52719033232628454</v>
      </c>
      <c r="P11" s="119">
        <v>331</v>
      </c>
      <c r="Q11" s="107">
        <v>174.5000000000002</v>
      </c>
    </row>
    <row r="12" spans="1:17" x14ac:dyDescent="0.4">
      <c r="A12" s="57" t="s">
        <v>160</v>
      </c>
      <c r="B12" s="49">
        <v>86</v>
      </c>
      <c r="C12" s="42">
        <f t="shared" si="1"/>
        <v>8.6606243705941596E-2</v>
      </c>
      <c r="E12" s="63" t="s">
        <v>72</v>
      </c>
      <c r="F12" s="60" t="s">
        <v>27</v>
      </c>
      <c r="G12" s="47">
        <v>166</v>
      </c>
      <c r="H12" s="133">
        <f>IF(B$17=0,0,G12/B$17)</f>
        <v>6.7644661776691123E-2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1.5589123867069483</v>
      </c>
      <c r="P12" s="120">
        <v>331</v>
      </c>
      <c r="Q12" s="108">
        <v>515.99999999999989</v>
      </c>
    </row>
    <row r="13" spans="1:17" x14ac:dyDescent="0.4">
      <c r="A13" s="58" t="s">
        <v>122</v>
      </c>
      <c r="B13" s="50">
        <v>2188</v>
      </c>
      <c r="C13" s="44">
        <f>IF(B$3=0,0,B13/B$3)</f>
        <v>0.26579203109815353</v>
      </c>
      <c r="E13" s="63" t="s">
        <v>87</v>
      </c>
      <c r="F13" s="60" t="s">
        <v>42</v>
      </c>
      <c r="G13" s="47">
        <v>140</v>
      </c>
      <c r="H13" s="133">
        <f>IF(B$17=0,0,G13/B$17)</f>
        <v>5.7049714751426242E-2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1772</v>
      </c>
      <c r="C14" s="39">
        <f>IF(B$3=0,0,B14/B$3)</f>
        <v>0.21525753158406219</v>
      </c>
      <c r="E14" s="63" t="s">
        <v>84</v>
      </c>
      <c r="F14" s="60" t="s">
        <v>39</v>
      </c>
      <c r="G14" s="47">
        <v>118</v>
      </c>
      <c r="H14" s="133">
        <f>IF(B$17=0,0,G14/B$17)</f>
        <v>4.8084759576202118E-2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1261</v>
      </c>
      <c r="C15" s="37">
        <f>IF(B$13=0,0,B15/B$13)</f>
        <v>0.57632541133455206</v>
      </c>
      <c r="E15" s="63" t="s">
        <v>79</v>
      </c>
      <c r="F15" s="60" t="s">
        <v>34</v>
      </c>
      <c r="G15" s="47">
        <v>67</v>
      </c>
      <c r="H15" s="133">
        <f>IF(B$17=0,0,G15/B$17)</f>
        <v>2.730236348818256E-2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54.337499999999999</v>
      </c>
      <c r="P15" s="118">
        <v>16</v>
      </c>
      <c r="Q15" s="106">
        <v>869.4</v>
      </c>
    </row>
    <row r="16" spans="1:17" x14ac:dyDescent="0.4">
      <c r="A16" s="54" t="s">
        <v>125</v>
      </c>
      <c r="B16" s="46">
        <v>710</v>
      </c>
      <c r="C16" s="37">
        <f>IF(B$14=0,0,B16/B$14)</f>
        <v>0.40067720090293452</v>
      </c>
      <c r="E16" s="63" t="s">
        <v>82</v>
      </c>
      <c r="F16" s="60" t="s">
        <v>37</v>
      </c>
      <c r="G16" s="47">
        <v>61</v>
      </c>
      <c r="H16" s="133">
        <f>IF(B$17=0,0,G16/B$17)</f>
        <v>2.4857375713121434E-2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2454</v>
      </c>
      <c r="C17" s="37">
        <f>IF(B$3=0,0,B17/B$3)</f>
        <v>0.29810495626822159</v>
      </c>
      <c r="E17" s="63" t="s">
        <v>92</v>
      </c>
      <c r="F17" s="60" t="s">
        <v>47</v>
      </c>
      <c r="G17" s="47">
        <v>52</v>
      </c>
      <c r="H17" s="133">
        <f>IF(B$17=0,0,G17/B$17)</f>
        <v>2.1189894050529748E-2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13.245762711864405</v>
      </c>
      <c r="P17" s="119">
        <v>118</v>
      </c>
      <c r="Q17" s="107">
        <v>1562.9999999999998</v>
      </c>
    </row>
    <row r="18" spans="1:17" x14ac:dyDescent="0.4">
      <c r="A18" s="55" t="s">
        <v>12</v>
      </c>
      <c r="B18" s="47">
        <v>1062</v>
      </c>
      <c r="C18" s="39">
        <f>IF(B$17=0,0,B18/B$17)</f>
        <v>0.43276283618581907</v>
      </c>
      <c r="E18" s="63" t="s">
        <v>180</v>
      </c>
      <c r="F18" s="60" t="s">
        <v>181</v>
      </c>
      <c r="G18" s="47">
        <v>44</v>
      </c>
      <c r="H18" s="133">
        <f>IF(B$17=0,0,G18/B$17)</f>
        <v>1.7929910350448247E-2</v>
      </c>
      <c r="I18" s="94">
        <v>5</v>
      </c>
      <c r="K18" s="38">
        <v>16</v>
      </c>
      <c r="L18" s="99">
        <v>90.899999999999991</v>
      </c>
      <c r="N18" s="115" t="s">
        <v>129</v>
      </c>
      <c r="O18" s="125">
        <f>IF(P18=0,0,Q18/P18)</f>
        <v>10.625147928994112</v>
      </c>
      <c r="P18" s="119">
        <v>338</v>
      </c>
      <c r="Q18" s="107">
        <v>3591.3000000000097</v>
      </c>
    </row>
    <row r="19" spans="1:17" x14ac:dyDescent="0.4">
      <c r="A19" s="55" t="s">
        <v>11</v>
      </c>
      <c r="B19" s="47">
        <v>1392</v>
      </c>
      <c r="C19" s="39">
        <f>IF(B$17=0,0,B19/B$17)</f>
        <v>0.56723716381418088</v>
      </c>
      <c r="E19" s="63" t="s">
        <v>80</v>
      </c>
      <c r="F19" s="60" t="s">
        <v>35</v>
      </c>
      <c r="G19" s="47">
        <v>43</v>
      </c>
      <c r="H19" s="133">
        <f>IF(B$17=0,0,G19/B$17)</f>
        <v>1.7522412387938061E-2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4.9619631901840506</v>
      </c>
      <c r="P19" s="119">
        <v>326</v>
      </c>
      <c r="Q19" s="107">
        <v>1617.6000000000004</v>
      </c>
    </row>
    <row r="20" spans="1:17" x14ac:dyDescent="0.4">
      <c r="A20" s="55" t="s">
        <v>13</v>
      </c>
      <c r="B20" s="47">
        <v>1373</v>
      </c>
      <c r="C20" s="39">
        <f>IF(B$3=0,0,B20/B$3)</f>
        <v>0.16678814382896015</v>
      </c>
      <c r="E20" s="63" t="s">
        <v>78</v>
      </c>
      <c r="F20" s="60" t="s">
        <v>33</v>
      </c>
      <c r="G20" s="47">
        <v>19</v>
      </c>
      <c r="H20" s="133">
        <f>IF(B$17=0,0,G20/B$17)</f>
        <v>7.7424612876935616E-3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3.7776699029126211</v>
      </c>
      <c r="P20" s="119">
        <v>206</v>
      </c>
      <c r="Q20" s="107">
        <v>778.19999999999993</v>
      </c>
    </row>
    <row r="21" spans="1:17" x14ac:dyDescent="0.4">
      <c r="A21" s="55" t="s">
        <v>191</v>
      </c>
      <c r="B21" s="47">
        <v>7</v>
      </c>
      <c r="C21" s="135">
        <v>3</v>
      </c>
      <c r="E21" s="63" t="s">
        <v>74</v>
      </c>
      <c r="F21" s="60" t="s">
        <v>29</v>
      </c>
      <c r="G21" s="47">
        <v>16</v>
      </c>
      <c r="H21" s="133">
        <f>IF(B$17=0,0,G21/B$17)</f>
        <v>6.5199674001629989E-3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4.4144144144142465E-2</v>
      </c>
      <c r="P21" s="119">
        <v>222</v>
      </c>
      <c r="Q21" s="107">
        <v>9.7999999999996277</v>
      </c>
    </row>
    <row r="22" spans="1:17" x14ac:dyDescent="0.4">
      <c r="A22" s="55" t="s">
        <v>192</v>
      </c>
      <c r="B22" s="47">
        <v>31</v>
      </c>
      <c r="C22" s="135">
        <v>3</v>
      </c>
      <c r="E22" s="63" t="s">
        <v>76</v>
      </c>
      <c r="F22" s="60" t="s">
        <v>31</v>
      </c>
      <c r="G22" s="47">
        <v>15</v>
      </c>
      <c r="H22" s="133">
        <f>IF(B$17=0,0,G22/B$17)</f>
        <v>6.1124694376528121E-3</v>
      </c>
      <c r="I22" s="94">
        <v>6</v>
      </c>
      <c r="K22" s="38">
        <v>20</v>
      </c>
      <c r="L22" s="99">
        <v>0.79999999999999716</v>
      </c>
      <c r="N22" s="115" t="s">
        <v>171</v>
      </c>
      <c r="O22" s="125">
        <f>IF(P22=0,0,Q22/P22)</f>
        <v>-2.5046296296296275</v>
      </c>
      <c r="P22" s="119">
        <v>216</v>
      </c>
      <c r="Q22" s="107">
        <v>-540.99999999999955</v>
      </c>
    </row>
    <row r="23" spans="1:17" x14ac:dyDescent="0.4">
      <c r="A23" s="55" t="s">
        <v>5</v>
      </c>
      <c r="B23" s="51">
        <f>IF(B$17=0,0,C23/B$17)</f>
        <v>8633.7000814995918</v>
      </c>
      <c r="C23" s="41">
        <v>21187100</v>
      </c>
      <c r="E23" s="63" t="s">
        <v>86</v>
      </c>
      <c r="F23" s="60" t="s">
        <v>41</v>
      </c>
      <c r="G23" s="47">
        <v>12</v>
      </c>
      <c r="H23" s="133">
        <f>IF(B$17=0,0,G23/B$17)</f>
        <v>4.8899755501222494E-3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-5.9142857142857093</v>
      </c>
      <c r="P23" s="119">
        <v>42</v>
      </c>
      <c r="Q23" s="107">
        <v>-248.39999999999981</v>
      </c>
    </row>
    <row r="24" spans="1:17" x14ac:dyDescent="0.4">
      <c r="A24" s="57" t="s">
        <v>14</v>
      </c>
      <c r="B24" s="52">
        <f>IF(B$20=0,0,C24/B$20)</f>
        <v>-8131.172614712309</v>
      </c>
      <c r="C24" s="45">
        <v>-11164100</v>
      </c>
      <c r="E24" s="63" t="s">
        <v>75</v>
      </c>
      <c r="F24" s="60" t="s">
        <v>30</v>
      </c>
      <c r="G24" s="47">
        <v>10</v>
      </c>
      <c r="H24" s="133">
        <f>IF(B$17=0,0,G24/B$17)</f>
        <v>4.0749796251018742E-3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-18.473041474654369</v>
      </c>
      <c r="P24" s="119">
        <v>434</v>
      </c>
      <c r="Q24" s="107">
        <v>-8017.2999999999956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>IF(B$17=0,0,G25/B$17)</f>
        <v>4.0749796251018742E-3</v>
      </c>
      <c r="I25" s="94">
        <v>3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>IF(B$17=0,0,G26/B$17)</f>
        <v>2.8524857375713123E-3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21</v>
      </c>
      <c r="C27" s="42">
        <f>IF(B$3=0,0,B27/B$3)</f>
        <v>2.5510204081632651E-3</v>
      </c>
      <c r="E27" s="63" t="s">
        <v>94</v>
      </c>
      <c r="F27" s="60" t="s">
        <v>49</v>
      </c>
      <c r="G27" s="47">
        <v>7</v>
      </c>
      <c r="H27" s="133">
        <f>IF(B$17=0,0,G27/B$17)</f>
        <v>2.8524857375713123E-3</v>
      </c>
      <c r="I27" s="94">
        <v>5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>IF(B$17=0,0,G28/B$17)</f>
        <v>2.4449877750611247E-3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2.4449877750611247E-3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1.6299918500407497E-3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8.1499592502037486E-4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4.0749796251018743E-4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4.0749796251018743E-4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4.0749796251018743E-4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-1.0000000000000071</v>
      </c>
    </row>
    <row r="969" spans="11:12" x14ac:dyDescent="0.4">
      <c r="K969" s="38">
        <v>967</v>
      </c>
      <c r="L969" s="99">
        <v>-67.5</v>
      </c>
    </row>
    <row r="970" spans="11:12" x14ac:dyDescent="0.4">
      <c r="K970" s="38">
        <v>968</v>
      </c>
      <c r="L970" s="99">
        <v>-20.5</v>
      </c>
    </row>
    <row r="971" spans="11:12" x14ac:dyDescent="0.4">
      <c r="K971" s="38">
        <v>969</v>
      </c>
      <c r="L971" s="99">
        <v>-1</v>
      </c>
    </row>
    <row r="972" spans="11:12" x14ac:dyDescent="0.4">
      <c r="K972" s="38">
        <v>970</v>
      </c>
      <c r="L972" s="99">
        <v>10.1</v>
      </c>
    </row>
    <row r="973" spans="11:12" x14ac:dyDescent="0.4">
      <c r="K973" s="38">
        <v>971</v>
      </c>
      <c r="L973" s="99">
        <v>-36.9</v>
      </c>
    </row>
    <row r="974" spans="11:12" x14ac:dyDescent="0.4">
      <c r="K974" s="38">
        <v>972</v>
      </c>
      <c r="L974" s="99">
        <v>-1</v>
      </c>
    </row>
    <row r="975" spans="11:12" x14ac:dyDescent="0.4">
      <c r="K975" s="38">
        <v>973</v>
      </c>
      <c r="L975" s="99">
        <v>-1.2</v>
      </c>
    </row>
    <row r="976" spans="11:12" x14ac:dyDescent="0.4">
      <c r="K976" s="38">
        <v>974</v>
      </c>
      <c r="L976" s="99">
        <v>-27.5</v>
      </c>
    </row>
    <row r="977" spans="11:12" x14ac:dyDescent="0.4">
      <c r="K977" s="38">
        <v>975</v>
      </c>
      <c r="L977" s="99">
        <v>-1</v>
      </c>
    </row>
    <row r="978" spans="11:12" x14ac:dyDescent="0.4">
      <c r="K978" s="38">
        <v>976</v>
      </c>
      <c r="L978" s="99">
        <v>-8</v>
      </c>
    </row>
    <row r="979" spans="11:12" x14ac:dyDescent="0.4">
      <c r="K979" s="38">
        <v>977</v>
      </c>
      <c r="L979" s="99">
        <v>49.5</v>
      </c>
    </row>
    <row r="980" spans="11:12" x14ac:dyDescent="0.4">
      <c r="K980" s="38">
        <v>978</v>
      </c>
      <c r="L980" s="99">
        <v>-1</v>
      </c>
    </row>
    <row r="981" spans="11:12" x14ac:dyDescent="0.4">
      <c r="K981" s="38">
        <v>979</v>
      </c>
      <c r="L981" s="99">
        <v>-1.4</v>
      </c>
    </row>
    <row r="982" spans="11:12" x14ac:dyDescent="0.4">
      <c r="K982" s="38">
        <v>980</v>
      </c>
      <c r="L982" s="99">
        <v>23.400000000000002</v>
      </c>
    </row>
    <row r="983" spans="11:12" x14ac:dyDescent="0.4">
      <c r="K983" s="38">
        <v>981</v>
      </c>
      <c r="L983" s="99">
        <v>-0.99999999999999645</v>
      </c>
    </row>
    <row r="984" spans="11:12" x14ac:dyDescent="0.4">
      <c r="K984" s="38">
        <v>982</v>
      </c>
      <c r="L984" s="99">
        <v>-48.099999999999994</v>
      </c>
    </row>
    <row r="985" spans="11:12" x14ac:dyDescent="0.4">
      <c r="K985" s="38">
        <v>983</v>
      </c>
      <c r="L985" s="99">
        <v>-65.199999999999989</v>
      </c>
    </row>
    <row r="986" spans="11:12" x14ac:dyDescent="0.4">
      <c r="K986" s="38">
        <v>984</v>
      </c>
      <c r="L986" s="99">
        <v>-0.99999999999998579</v>
      </c>
    </row>
    <row r="987" spans="11:12" x14ac:dyDescent="0.4">
      <c r="K987" s="38">
        <v>985</v>
      </c>
      <c r="L987" s="99">
        <v>-38.699999999999989</v>
      </c>
    </row>
    <row r="988" spans="11:12" x14ac:dyDescent="0.4">
      <c r="K988" s="38">
        <v>986</v>
      </c>
      <c r="L988" s="99">
        <v>14.300000000000011</v>
      </c>
    </row>
    <row r="989" spans="11:12" x14ac:dyDescent="0.4">
      <c r="K989" s="38">
        <v>987</v>
      </c>
      <c r="L989" s="99">
        <v>-0.99999999999998934</v>
      </c>
    </row>
    <row r="990" spans="11:12" x14ac:dyDescent="0.4">
      <c r="K990" s="38">
        <v>988</v>
      </c>
      <c r="L990" s="99">
        <v>39.200000000000017</v>
      </c>
    </row>
    <row r="991" spans="11:12" x14ac:dyDescent="0.4">
      <c r="K991" s="38">
        <v>989</v>
      </c>
      <c r="L991" s="99">
        <v>33.800000000000018</v>
      </c>
    </row>
    <row r="992" spans="11:12" x14ac:dyDescent="0.4">
      <c r="K992" s="38">
        <v>990</v>
      </c>
      <c r="L992" s="99">
        <v>-0.99999999999997868</v>
      </c>
    </row>
    <row r="993" spans="11:12" x14ac:dyDescent="0.4">
      <c r="K993" s="38">
        <v>991</v>
      </c>
      <c r="L993" s="99">
        <v>-9.9999999999978662E-2</v>
      </c>
    </row>
    <row r="994" spans="11:12" x14ac:dyDescent="0.4">
      <c r="K994" s="38">
        <v>992</v>
      </c>
      <c r="L994" s="99">
        <v>-48.499999999999979</v>
      </c>
    </row>
    <row r="995" spans="11:12" x14ac:dyDescent="0.4">
      <c r="K995" s="38">
        <v>993</v>
      </c>
      <c r="L995" s="99">
        <v>-0.99999999999997868</v>
      </c>
    </row>
  </sheetData>
  <sortState xmlns:xlrd2="http://schemas.microsoft.com/office/spreadsheetml/2017/richdata2"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217</v>
      </c>
      <c r="C2" s="151"/>
      <c r="E2" s="62" t="s">
        <v>67</v>
      </c>
      <c r="F2" s="59" t="s">
        <v>23</v>
      </c>
      <c r="G2" s="46">
        <v>464</v>
      </c>
      <c r="H2" s="132">
        <f>IF(B$17=0,0,G2/B$17)</f>
        <v>0.77591973244147161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1156.0185185185185</v>
      </c>
      <c r="P2" s="118">
        <v>216</v>
      </c>
      <c r="Q2" s="102">
        <v>249700</v>
      </c>
    </row>
    <row r="3" spans="1:17" x14ac:dyDescent="0.4">
      <c r="A3" s="55" t="s">
        <v>8</v>
      </c>
      <c r="B3" s="152">
        <v>1774</v>
      </c>
      <c r="C3" s="153"/>
      <c r="E3" s="63" t="s">
        <v>73</v>
      </c>
      <c r="F3" s="60" t="s">
        <v>28</v>
      </c>
      <c r="G3" s="47">
        <v>333</v>
      </c>
      <c r="H3" s="133">
        <f>IF(B$17=0,0,G3/B$17)</f>
        <v>0.55685618729096986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1788.1516587677725</v>
      </c>
      <c r="P3" s="119">
        <v>211</v>
      </c>
      <c r="Q3" s="103">
        <v>377300</v>
      </c>
    </row>
    <row r="4" spans="1:17" x14ac:dyDescent="0.4">
      <c r="A4" s="55" t="s">
        <v>6</v>
      </c>
      <c r="B4" s="154">
        <v>2672.1000000000004</v>
      </c>
      <c r="C4" s="155"/>
      <c r="E4" s="63" t="s">
        <v>65</v>
      </c>
      <c r="F4" s="60" t="s">
        <v>21</v>
      </c>
      <c r="G4" s="47">
        <v>283</v>
      </c>
      <c r="H4" s="133">
        <f>IF(B$17=0,0,G4/B$17)</f>
        <v>0.47324414715719065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722.77227722772273</v>
      </c>
      <c r="P4" s="119">
        <v>202</v>
      </c>
      <c r="Q4" s="103">
        <v>146000</v>
      </c>
    </row>
    <row r="5" spans="1:17" x14ac:dyDescent="0.4">
      <c r="A5" s="55" t="s">
        <v>7</v>
      </c>
      <c r="B5" s="156">
        <f>IF(B$2=0,0,B$4/B$2)</f>
        <v>12.313824884792629</v>
      </c>
      <c r="C5" s="157"/>
      <c r="E5" s="63" t="s">
        <v>245</v>
      </c>
      <c r="F5" s="60" t="s">
        <v>246</v>
      </c>
      <c r="G5" s="47">
        <v>237</v>
      </c>
      <c r="H5" s="133">
        <f>IF(B$17=0,0,G5/B$17)</f>
        <v>0.39632107023411373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0"/>
        <v>2774.1935483870966</v>
      </c>
      <c r="P5" s="119">
        <v>186</v>
      </c>
      <c r="Q5" s="103">
        <v>516000</v>
      </c>
    </row>
    <row r="6" spans="1:17" x14ac:dyDescent="0.4">
      <c r="A6" s="55" t="s">
        <v>1</v>
      </c>
      <c r="B6" s="146">
        <f>IF(B$2=0,0,(B$7*1+B$8*2+B$9*3)/B$2)</f>
        <v>1.76036866359447</v>
      </c>
      <c r="C6" s="147"/>
      <c r="E6" s="63" t="s">
        <v>68</v>
      </c>
      <c r="F6" s="60" t="s">
        <v>24</v>
      </c>
      <c r="G6" s="47">
        <v>186</v>
      </c>
      <c r="H6" s="133">
        <f>IF(B$17=0,0,G6/B$17)</f>
        <v>0.31103678929765888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1190.909090909091</v>
      </c>
      <c r="P6" s="119">
        <v>165</v>
      </c>
      <c r="Q6" s="103">
        <v>196500</v>
      </c>
    </row>
    <row r="7" spans="1:17" x14ac:dyDescent="0.4">
      <c r="A7" s="55" t="s">
        <v>2</v>
      </c>
      <c r="B7" s="47">
        <v>105</v>
      </c>
      <c r="C7" s="39">
        <f t="shared" ref="C7:C12" si="1">IF(B$2=0,0,B7/B$2)</f>
        <v>0.4838709677419355</v>
      </c>
      <c r="E7" s="63" t="s">
        <v>69</v>
      </c>
      <c r="F7" s="60" t="s">
        <v>12</v>
      </c>
      <c r="G7" s="47">
        <v>167</v>
      </c>
      <c r="H7" s="133">
        <f>IF(B$17=0,0,G7/B$17)</f>
        <v>0.27926421404682272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1231.4285714285713</v>
      </c>
      <c r="P7" s="120">
        <v>140</v>
      </c>
      <c r="Q7" s="104">
        <v>172400</v>
      </c>
    </row>
    <row r="8" spans="1:17" x14ac:dyDescent="0.4">
      <c r="A8" s="55" t="s">
        <v>3</v>
      </c>
      <c r="B8" s="47">
        <v>59</v>
      </c>
      <c r="C8" s="39">
        <f t="shared" si="1"/>
        <v>0.27188940092165897</v>
      </c>
      <c r="E8" s="63" t="s">
        <v>90</v>
      </c>
      <c r="F8" s="60" t="s">
        <v>45</v>
      </c>
      <c r="G8" s="47">
        <v>100</v>
      </c>
      <c r="H8" s="133">
        <f>IF(B$17=0,0,G8/B$17)</f>
        <v>0.16722408026755853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si="1"/>
        <v>0.24423963133640553</v>
      </c>
      <c r="E9" s="63" t="s">
        <v>70</v>
      </c>
      <c r="F9" s="60" t="s">
        <v>25</v>
      </c>
      <c r="G9" s="47">
        <v>94</v>
      </c>
      <c r="H9" s="133">
        <f>IF(B$17=0,0,G9/B$17)</f>
        <v>0.15719063545150502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1"/>
        <v>8.294930875576037E-2</v>
      </c>
      <c r="E10" s="63" t="s">
        <v>66</v>
      </c>
      <c r="F10" s="60" t="s">
        <v>22</v>
      </c>
      <c r="G10" s="47">
        <v>72</v>
      </c>
      <c r="H10" s="133">
        <f>IF(B$17=0,0,G10/B$17)</f>
        <v>0.12040133779264214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17.361428571428576</v>
      </c>
      <c r="P10" s="118">
        <v>70</v>
      </c>
      <c r="Q10" s="106">
        <v>1215.3000000000004</v>
      </c>
    </row>
    <row r="11" spans="1:17" x14ac:dyDescent="0.4">
      <c r="A11" s="56" t="s">
        <v>140</v>
      </c>
      <c r="B11" s="48">
        <v>37</v>
      </c>
      <c r="C11" s="40">
        <f t="shared" si="1"/>
        <v>0.17050691244239632</v>
      </c>
      <c r="E11" s="63" t="s">
        <v>71</v>
      </c>
      <c r="F11" s="60" t="s">
        <v>26</v>
      </c>
      <c r="G11" s="47">
        <v>46</v>
      </c>
      <c r="H11" s="133">
        <f>IF(B$17=0,0,G11/B$17)</f>
        <v>7.6923076923076927E-2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8.2913043478260882</v>
      </c>
      <c r="P11" s="119">
        <v>69</v>
      </c>
      <c r="Q11" s="107">
        <v>572.1</v>
      </c>
    </row>
    <row r="12" spans="1:17" x14ac:dyDescent="0.4">
      <c r="A12" s="57" t="s">
        <v>160</v>
      </c>
      <c r="B12" s="49">
        <v>30</v>
      </c>
      <c r="C12" s="42">
        <f t="shared" si="1"/>
        <v>0.13824884792626729</v>
      </c>
      <c r="E12" s="63" t="s">
        <v>87</v>
      </c>
      <c r="F12" s="60" t="s">
        <v>42</v>
      </c>
      <c r="G12" s="47">
        <v>40</v>
      </c>
      <c r="H12" s="133">
        <f>IF(B$17=0,0,G12/B$17)</f>
        <v>6.6889632107023408E-2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11.342307692307696</v>
      </c>
      <c r="P12" s="120">
        <v>78</v>
      </c>
      <c r="Q12" s="108">
        <v>884.70000000000027</v>
      </c>
    </row>
    <row r="13" spans="1:17" x14ac:dyDescent="0.4">
      <c r="A13" s="58" t="s">
        <v>122</v>
      </c>
      <c r="B13" s="50">
        <v>537</v>
      </c>
      <c r="C13" s="44">
        <f>IF(B$3=0,0,B13/B$3)</f>
        <v>0.30270574971815106</v>
      </c>
      <c r="E13" s="63" t="s">
        <v>72</v>
      </c>
      <c r="F13" s="60" t="s">
        <v>27</v>
      </c>
      <c r="G13" s="47">
        <v>39</v>
      </c>
      <c r="H13" s="133">
        <f>IF(B$17=0,0,G13/B$17)</f>
        <v>6.5217391304347824E-2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388</v>
      </c>
      <c r="C14" s="39">
        <f>IF(B$3=0,0,B14/B$3)</f>
        <v>0.21871476888387825</v>
      </c>
      <c r="E14" s="63" t="s">
        <v>84</v>
      </c>
      <c r="F14" s="60" t="s">
        <v>39</v>
      </c>
      <c r="G14" s="47">
        <v>29</v>
      </c>
      <c r="H14" s="133">
        <f>IF(B$17=0,0,G14/B$17)</f>
        <v>4.8494983277591976E-2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313</v>
      </c>
      <c r="C15" s="37">
        <f>IF(B$13=0,0,B15/B$13)</f>
        <v>0.58286778398510242</v>
      </c>
      <c r="E15" s="63" t="s">
        <v>180</v>
      </c>
      <c r="F15" s="60" t="s">
        <v>181</v>
      </c>
      <c r="G15" s="47">
        <v>25</v>
      </c>
      <c r="H15" s="133">
        <f>IF(B$17=0,0,G15/B$17)</f>
        <v>4.1806020066889632E-2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195</v>
      </c>
      <c r="C16" s="37">
        <f>IF(B$14=0,0,B16/B$14)</f>
        <v>0.50257731958762886</v>
      </c>
      <c r="E16" s="63" t="s">
        <v>79</v>
      </c>
      <c r="F16" s="60" t="s">
        <v>34</v>
      </c>
      <c r="G16" s="47">
        <v>15</v>
      </c>
      <c r="H16" s="133">
        <f>IF(B$17=0,0,G16/B$17)</f>
        <v>2.508361204013378E-2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598</v>
      </c>
      <c r="C17" s="37">
        <f>IF(B$3=0,0,B17/B$3)</f>
        <v>0.33709131905298761</v>
      </c>
      <c r="E17" s="63" t="s">
        <v>92</v>
      </c>
      <c r="F17" s="60" t="s">
        <v>47</v>
      </c>
      <c r="G17" s="47">
        <v>14</v>
      </c>
      <c r="H17" s="133">
        <f>IF(B$17=0,0,G17/B$17)</f>
        <v>2.3411371237458192E-2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250</v>
      </c>
      <c r="C18" s="39">
        <f>IF(B$17=0,0,B18/B$17)</f>
        <v>0.41806020066889632</v>
      </c>
      <c r="E18" s="63" t="s">
        <v>82</v>
      </c>
      <c r="F18" s="60" t="s">
        <v>37</v>
      </c>
      <c r="G18" s="47">
        <v>12</v>
      </c>
      <c r="H18" s="133">
        <f>IF(B$17=0,0,G18/B$17)</f>
        <v>2.0066889632107024E-2</v>
      </c>
      <c r="I18" s="94">
        <v>8</v>
      </c>
      <c r="K18" s="38">
        <v>16</v>
      </c>
      <c r="L18" s="99">
        <v>425.50000000000006</v>
      </c>
      <c r="N18" s="115" t="s">
        <v>172</v>
      </c>
      <c r="O18" s="125">
        <f>IF(P18=0,0,Q18/P18)</f>
        <v>27.732075471698106</v>
      </c>
      <c r="P18" s="119">
        <v>53</v>
      </c>
      <c r="Q18" s="107">
        <v>1469.7999999999997</v>
      </c>
    </row>
    <row r="19" spans="1:17" x14ac:dyDescent="0.4">
      <c r="A19" s="55" t="s">
        <v>11</v>
      </c>
      <c r="B19" s="47">
        <v>348</v>
      </c>
      <c r="C19" s="39">
        <f>IF(B$17=0,0,B19/B$17)</f>
        <v>0.58193979933110362</v>
      </c>
      <c r="E19" s="63" t="s">
        <v>80</v>
      </c>
      <c r="F19" s="60" t="s">
        <v>35</v>
      </c>
      <c r="G19" s="47">
        <v>9</v>
      </c>
      <c r="H19" s="133">
        <f>IF(B$17=0,0,G19/B$17)</f>
        <v>1.5050167224080268E-2</v>
      </c>
      <c r="I19" s="94">
        <v>10</v>
      </c>
      <c r="K19" s="38">
        <v>17</v>
      </c>
      <c r="L19" s="99">
        <v>427.40000000000003</v>
      </c>
      <c r="N19" s="115" t="s">
        <v>173</v>
      </c>
      <c r="O19" s="125">
        <f>IF(P19=0,0,Q19/P19)</f>
        <v>25.017857142857139</v>
      </c>
      <c r="P19" s="119">
        <v>28</v>
      </c>
      <c r="Q19" s="107">
        <v>700.49999999999989</v>
      </c>
    </row>
    <row r="20" spans="1:17" x14ac:dyDescent="0.4">
      <c r="A20" s="55" t="s">
        <v>13</v>
      </c>
      <c r="B20" s="47">
        <v>267</v>
      </c>
      <c r="C20" s="39">
        <f>IF(B$3=0,0,B20/B$3)</f>
        <v>0.15050732807215333</v>
      </c>
      <c r="E20" s="63" t="s">
        <v>86</v>
      </c>
      <c r="F20" s="60" t="s">
        <v>41</v>
      </c>
      <c r="G20" s="47">
        <v>6</v>
      </c>
      <c r="H20" s="133">
        <f>IF(B$17=0,0,G20/B$17)</f>
        <v>1.0033444816053512E-2</v>
      </c>
      <c r="I20" s="94">
        <v>2</v>
      </c>
      <c r="K20" s="38">
        <v>18</v>
      </c>
      <c r="L20" s="99">
        <v>429.3</v>
      </c>
      <c r="N20" s="115" t="s">
        <v>129</v>
      </c>
      <c r="O20" s="125">
        <f>IF(P20=0,0,Q20/P20)</f>
        <v>22.479439252336459</v>
      </c>
      <c r="P20" s="119">
        <v>107</v>
      </c>
      <c r="Q20" s="107">
        <v>2405.3000000000011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6.688963210702341E-3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>IF(P21=0,0,Q21/P21)</f>
        <v>20.190000000000005</v>
      </c>
      <c r="P21" s="119">
        <v>50</v>
      </c>
      <c r="Q21" s="107">
        <v>1009.5000000000002</v>
      </c>
    </row>
    <row r="22" spans="1:17" x14ac:dyDescent="0.4">
      <c r="A22" s="55" t="s">
        <v>192</v>
      </c>
      <c r="B22" s="47">
        <v>39</v>
      </c>
      <c r="C22" s="135">
        <v>0</v>
      </c>
      <c r="E22" s="63" t="s">
        <v>78</v>
      </c>
      <c r="F22" s="60" t="s">
        <v>33</v>
      </c>
      <c r="G22" s="47">
        <v>4</v>
      </c>
      <c r="H22" s="133">
        <f>IF(B$17=0,0,G22/B$17)</f>
        <v>6.688963210702341E-3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>IF(P22=0,0,Q22/P22)</f>
        <v>19.807964601769918</v>
      </c>
      <c r="P22" s="119">
        <v>113</v>
      </c>
      <c r="Q22" s="107">
        <v>2238.3000000000006</v>
      </c>
    </row>
    <row r="23" spans="1:17" x14ac:dyDescent="0.4">
      <c r="A23" s="55" t="s">
        <v>5</v>
      </c>
      <c r="B23" s="51">
        <f>IF(B$17=0,0,C23/B$17)</f>
        <v>9251.0033444816054</v>
      </c>
      <c r="C23" s="41">
        <v>5532100</v>
      </c>
      <c r="E23" s="63" t="s">
        <v>93</v>
      </c>
      <c r="F23" s="60" t="s">
        <v>48</v>
      </c>
      <c r="G23" s="47">
        <v>4</v>
      </c>
      <c r="H23" s="133">
        <f>IF(B$17=0,0,G23/B$17)</f>
        <v>6.688963210702341E-3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-3.1774193548387113</v>
      </c>
      <c r="P23" s="119">
        <v>62</v>
      </c>
      <c r="Q23" s="107">
        <v>-197.00000000000011</v>
      </c>
    </row>
    <row r="24" spans="1:17" x14ac:dyDescent="0.4">
      <c r="A24" s="57" t="s">
        <v>14</v>
      </c>
      <c r="B24" s="52">
        <f>IF(B$20=0,0,C24/B$20)</f>
        <v>-8219.4756554307114</v>
      </c>
      <c r="C24" s="45">
        <v>-2194600</v>
      </c>
      <c r="E24" s="63" t="s">
        <v>91</v>
      </c>
      <c r="F24" s="60" t="s">
        <v>46</v>
      </c>
      <c r="G24" s="47">
        <v>3</v>
      </c>
      <c r="H24" s="133">
        <f>IF(B$17=0,0,G24/B$17)</f>
        <v>5.016722408026756E-3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3.3444816053511705E-3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3.3444816053511705E-3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5.6369785794813977E-4</v>
      </c>
      <c r="E27" s="63" t="s">
        <v>76</v>
      </c>
      <c r="F27" s="60" t="s">
        <v>31</v>
      </c>
      <c r="G27" s="47">
        <v>1</v>
      </c>
      <c r="H27" s="133">
        <f>IF(B$17=0,0,G27/B$17)</f>
        <v>1.6722408026755853E-3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1.6722408026755853E-3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1.6722408026755853E-3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1.6722408026755853E-3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  <row r="216" spans="11:12" x14ac:dyDescent="0.4">
      <c r="K216" s="38">
        <v>214</v>
      </c>
      <c r="L216" s="99">
        <v>2623.6000000000004</v>
      </c>
    </row>
    <row r="217" spans="11:12" x14ac:dyDescent="0.4">
      <c r="K217" s="38">
        <v>215</v>
      </c>
      <c r="L217" s="99">
        <v>2676.6000000000004</v>
      </c>
    </row>
    <row r="218" spans="11:12" x14ac:dyDescent="0.4">
      <c r="K218" s="38">
        <v>216</v>
      </c>
      <c r="L218" s="99">
        <v>2671.2000000000003</v>
      </c>
    </row>
    <row r="219" spans="11:12" x14ac:dyDescent="0.4">
      <c r="K219" s="38">
        <v>217</v>
      </c>
      <c r="L219" s="99">
        <v>2672.1000000000004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67</v>
      </c>
      <c r="F2" s="59" t="s">
        <v>23</v>
      </c>
      <c r="G2" s="46">
        <v>267</v>
      </c>
      <c r="H2" s="132">
        <f>IF(B$17=0,0,G2/B$17)</f>
        <v>0.71967654986522911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703.68098159509202</v>
      </c>
      <c r="P2" s="118">
        <v>163</v>
      </c>
      <c r="Q2" s="102">
        <v>114700</v>
      </c>
    </row>
    <row r="3" spans="1:17" x14ac:dyDescent="0.4">
      <c r="A3" s="55" t="s">
        <v>8</v>
      </c>
      <c r="B3" s="152">
        <v>1341</v>
      </c>
      <c r="C3" s="153"/>
      <c r="E3" s="63" t="s">
        <v>65</v>
      </c>
      <c r="F3" s="60" t="s">
        <v>21</v>
      </c>
      <c r="G3" s="47">
        <v>219</v>
      </c>
      <c r="H3" s="133">
        <f>IF(B$17=0,0,G3/B$17)</f>
        <v>0.59029649595687328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-1634.1772151898733</v>
      </c>
      <c r="P3" s="119">
        <v>158</v>
      </c>
      <c r="Q3" s="103">
        <v>-258200</v>
      </c>
    </row>
    <row r="4" spans="1:17" x14ac:dyDescent="0.4">
      <c r="A4" s="55" t="s">
        <v>6</v>
      </c>
      <c r="B4" s="154">
        <v>-539.20000000000005</v>
      </c>
      <c r="C4" s="155"/>
      <c r="E4" s="63" t="s">
        <v>73</v>
      </c>
      <c r="F4" s="60" t="s">
        <v>28</v>
      </c>
      <c r="G4" s="47">
        <v>165</v>
      </c>
      <c r="H4" s="133">
        <f>IF(B$17=0,0,G4/B$17)</f>
        <v>0.44474393530997303</v>
      </c>
      <c r="I4" s="94">
        <v>12</v>
      </c>
      <c r="K4" s="38">
        <v>2</v>
      </c>
      <c r="L4" s="99">
        <v>6.2999999999999972</v>
      </c>
      <c r="N4" s="115" t="s">
        <v>134</v>
      </c>
      <c r="O4" s="122">
        <f t="shared" si="0"/>
        <v>-456.29139072847681</v>
      </c>
      <c r="P4" s="119">
        <v>151</v>
      </c>
      <c r="Q4" s="103">
        <v>-68900</v>
      </c>
    </row>
    <row r="5" spans="1:17" x14ac:dyDescent="0.4">
      <c r="A5" s="55" t="s">
        <v>7</v>
      </c>
      <c r="B5" s="156">
        <f>IF(B$2=0,0,B$4/B$2)</f>
        <v>-3.3079754601226998</v>
      </c>
      <c r="C5" s="157"/>
      <c r="E5" s="63" t="s">
        <v>245</v>
      </c>
      <c r="F5" s="60" t="s">
        <v>246</v>
      </c>
      <c r="G5" s="47">
        <v>157</v>
      </c>
      <c r="H5" s="133">
        <f>IF(B$17=0,0,G5/B$17)</f>
        <v>0.42318059299191374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-377.20588235294116</v>
      </c>
      <c r="P5" s="119">
        <v>136</v>
      </c>
      <c r="Q5" s="103">
        <v>-51300</v>
      </c>
    </row>
    <row r="6" spans="1:17" x14ac:dyDescent="0.4">
      <c r="A6" s="55" t="s">
        <v>1</v>
      </c>
      <c r="B6" s="146">
        <f>IF(B$2=0,0,(B$7*1+B$8*2+B$9*3)/B$2)</f>
        <v>2.0797546012269938</v>
      </c>
      <c r="C6" s="147"/>
      <c r="E6" s="63" t="s">
        <v>68</v>
      </c>
      <c r="F6" s="60" t="s">
        <v>24</v>
      </c>
      <c r="G6" s="47">
        <v>142</v>
      </c>
      <c r="H6" s="133">
        <f>IF(B$17=0,0,G6/B$17)</f>
        <v>0.38274932614555257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148.33333333333334</v>
      </c>
      <c r="P6" s="119">
        <v>120</v>
      </c>
      <c r="Q6" s="103">
        <v>17800</v>
      </c>
    </row>
    <row r="7" spans="1:17" x14ac:dyDescent="0.4">
      <c r="A7" s="55" t="s">
        <v>2</v>
      </c>
      <c r="B7" s="47">
        <v>44</v>
      </c>
      <c r="C7" s="39">
        <f t="shared" ref="C7:C12" si="1">IF(B$2=0,0,B7/B$2)</f>
        <v>0.26993865030674846</v>
      </c>
      <c r="E7" s="63" t="s">
        <v>69</v>
      </c>
      <c r="F7" s="60" t="s">
        <v>12</v>
      </c>
      <c r="G7" s="47">
        <v>133</v>
      </c>
      <c r="H7" s="133">
        <f>IF(B$17=0,0,G7/B$17)</f>
        <v>0.35849056603773582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1"/>
        <v>0.38036809815950923</v>
      </c>
      <c r="E8" s="63" t="s">
        <v>70</v>
      </c>
      <c r="F8" s="60" t="s">
        <v>25</v>
      </c>
      <c r="G8" s="47">
        <v>81</v>
      </c>
      <c r="H8" s="133">
        <f>IF(B$17=0,0,G8/B$17)</f>
        <v>0.21832884097035041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57</v>
      </c>
      <c r="C9" s="40">
        <f t="shared" si="1"/>
        <v>0.34969325153374231</v>
      </c>
      <c r="E9" s="63" t="s">
        <v>66</v>
      </c>
      <c r="F9" s="60" t="s">
        <v>22</v>
      </c>
      <c r="G9" s="47">
        <v>52</v>
      </c>
      <c r="H9" s="133">
        <f>IF(B$17=0,0,G9/B$17)</f>
        <v>0.14016172506738545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1"/>
        <v>0.13496932515337423</v>
      </c>
      <c r="E10" s="63" t="s">
        <v>71</v>
      </c>
      <c r="F10" s="60" t="s">
        <v>26</v>
      </c>
      <c r="G10" s="47">
        <v>48</v>
      </c>
      <c r="H10" s="133">
        <f>IF(B$17=0,0,G10/B$17)</f>
        <v>0.1293800539083558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1"/>
        <v>9.815950920245399E-2</v>
      </c>
      <c r="E11" s="63" t="s">
        <v>90</v>
      </c>
      <c r="F11" s="60" t="s">
        <v>45</v>
      </c>
      <c r="G11" s="47">
        <v>43</v>
      </c>
      <c r="H11" s="133">
        <f>IF(B$17=0,0,G11/B$17)</f>
        <v>0.11590296495956873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-4.3977777777777769</v>
      </c>
      <c r="P11" s="119">
        <v>45</v>
      </c>
      <c r="Q11" s="107">
        <v>-197.89999999999998</v>
      </c>
    </row>
    <row r="12" spans="1:17" x14ac:dyDescent="0.4">
      <c r="A12" s="57" t="s">
        <v>160</v>
      </c>
      <c r="B12" s="49">
        <v>9</v>
      </c>
      <c r="C12" s="42">
        <f t="shared" si="1"/>
        <v>5.5214723926380369E-2</v>
      </c>
      <c r="E12" s="63" t="s">
        <v>87</v>
      </c>
      <c r="F12" s="60" t="s">
        <v>42</v>
      </c>
      <c r="G12" s="47">
        <v>20</v>
      </c>
      <c r="H12" s="133">
        <f>IF(B$17=0,0,G12/B$17)</f>
        <v>5.3908355795148251E-2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397</v>
      </c>
      <c r="C13" s="44">
        <f>IF(B$3=0,0,B13/B$3)</f>
        <v>0.29604772557792691</v>
      </c>
      <c r="E13" s="63" t="s">
        <v>72</v>
      </c>
      <c r="F13" s="60" t="s">
        <v>27</v>
      </c>
      <c r="G13" s="47">
        <v>18</v>
      </c>
      <c r="H13" s="133">
        <f>IF(B$17=0,0,G13/B$17)</f>
        <v>4.8517520215633422E-2</v>
      </c>
      <c r="I13" s="94">
        <v>11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232</v>
      </c>
      <c r="C14" s="39">
        <f>IF(B$3=0,0,B14/B$3)</f>
        <v>0.17300521998508575</v>
      </c>
      <c r="E14" s="63" t="s">
        <v>84</v>
      </c>
      <c r="F14" s="60" t="s">
        <v>39</v>
      </c>
      <c r="G14" s="47">
        <v>15</v>
      </c>
      <c r="H14" s="133">
        <f>IF(B$17=0,0,G14/B$17)</f>
        <v>4.0431266846361183E-2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0.58438287153652391</v>
      </c>
      <c r="E15" s="63" t="s">
        <v>82</v>
      </c>
      <c r="F15" s="60" t="s">
        <v>37</v>
      </c>
      <c r="G15" s="47">
        <v>11</v>
      </c>
      <c r="H15" s="133">
        <f>IF(B$17=0,0,G15/B$17)</f>
        <v>2.9649595687331536E-2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0.31465517241379309</v>
      </c>
      <c r="E16" s="63" t="s">
        <v>79</v>
      </c>
      <c r="F16" s="60" t="s">
        <v>34</v>
      </c>
      <c r="G16" s="47">
        <v>8</v>
      </c>
      <c r="H16" s="133">
        <f>IF(B$17=0,0,G16/B$17)</f>
        <v>2.15633423180593E-2</v>
      </c>
      <c r="I16" s="94">
        <v>9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371</v>
      </c>
      <c r="C17" s="37">
        <f>IF(B$3=0,0,B17/B$3)</f>
        <v>0.27665920954511558</v>
      </c>
      <c r="E17" s="63" t="s">
        <v>180</v>
      </c>
      <c r="F17" s="60" t="s">
        <v>181</v>
      </c>
      <c r="G17" s="47">
        <v>8</v>
      </c>
      <c r="H17" s="133">
        <f>IF(B$17=0,0,G17/B$17)</f>
        <v>2.15633423180593E-2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>IF(P17=0,0,Q17/P17)</f>
        <v>2.8089552238805955</v>
      </c>
      <c r="P17" s="119">
        <v>67</v>
      </c>
      <c r="Q17" s="107">
        <v>188.1999999999999</v>
      </c>
    </row>
    <row r="18" spans="1:17" x14ac:dyDescent="0.4">
      <c r="A18" s="55" t="s">
        <v>12</v>
      </c>
      <c r="B18" s="47">
        <v>165</v>
      </c>
      <c r="C18" s="39">
        <f>IF(B$17=0,0,B18/B$17)</f>
        <v>0.44474393530997303</v>
      </c>
      <c r="E18" s="63" t="s">
        <v>80</v>
      </c>
      <c r="F18" s="60" t="s">
        <v>35</v>
      </c>
      <c r="G18" s="47">
        <v>7</v>
      </c>
      <c r="H18" s="133">
        <f>IF(B$17=0,0,G18/B$17)</f>
        <v>1.8867924528301886E-2</v>
      </c>
      <c r="I18" s="94">
        <v>5</v>
      </c>
      <c r="K18" s="38">
        <v>16</v>
      </c>
      <c r="L18" s="99">
        <v>41.699999999999989</v>
      </c>
      <c r="N18" s="115" t="s">
        <v>177</v>
      </c>
      <c r="O18" s="125">
        <f>IF(P18=0,0,Q18/P18)</f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0.55525606469002697</v>
      </c>
      <c r="E19" s="63" t="s">
        <v>92</v>
      </c>
      <c r="F19" s="60" t="s">
        <v>47</v>
      </c>
      <c r="G19" s="47">
        <v>7</v>
      </c>
      <c r="H19" s="133">
        <f>IF(B$17=0,0,G19/B$17)</f>
        <v>1.8867924528301886E-2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>IF(P19=0,0,Q19/P19)</f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246</v>
      </c>
      <c r="C20" s="39">
        <f>IF(B$3=0,0,B20/B$3)</f>
        <v>0.18344519015659955</v>
      </c>
      <c r="E20" s="63" t="s">
        <v>76</v>
      </c>
      <c r="F20" s="60" t="s">
        <v>31</v>
      </c>
      <c r="G20" s="47">
        <v>4</v>
      </c>
      <c r="H20" s="133">
        <f>IF(B$17=0,0,G20/B$17)</f>
        <v>1.078167115902965E-2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>IF(P20=0,0,Q20/P20)</f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8.0862533692722376E-3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75</v>
      </c>
      <c r="F22" s="60" t="s">
        <v>30</v>
      </c>
      <c r="G22" s="47">
        <v>2</v>
      </c>
      <c r="H22" s="133">
        <f>IF(B$17=0,0,G22/B$17)</f>
        <v>5.3908355795148251E-3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-19.807964601769918</v>
      </c>
      <c r="P22" s="119">
        <v>113</v>
      </c>
      <c r="Q22" s="107">
        <v>-2238.3000000000006</v>
      </c>
    </row>
    <row r="23" spans="1:17" x14ac:dyDescent="0.4">
      <c r="A23" s="55" t="s">
        <v>5</v>
      </c>
      <c r="B23" s="51">
        <f>IF(B$17=0,0,C23/B$17)</f>
        <v>8929.380053908355</v>
      </c>
      <c r="C23" s="41">
        <v>3312800</v>
      </c>
      <c r="E23" s="63" t="s">
        <v>78</v>
      </c>
      <c r="F23" s="60" t="s">
        <v>33</v>
      </c>
      <c r="G23" s="47">
        <v>1</v>
      </c>
      <c r="H23" s="133">
        <f>IF(B$17=0,0,G23/B$17)</f>
        <v>2.6954177897574125E-3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-7653.6585365853662</v>
      </c>
      <c r="C24" s="45">
        <v>-1882800</v>
      </c>
      <c r="E24" s="63" t="s">
        <v>85</v>
      </c>
      <c r="F24" s="60" t="s">
        <v>40</v>
      </c>
      <c r="G24" s="47">
        <v>1</v>
      </c>
      <c r="H24" s="133">
        <f>IF(B$17=0,0,G24/B$17)</f>
        <v>2.6954177897574125E-3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2.6954177897574125E-3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2.6954177897574125E-3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4.4742729306487695E-3</v>
      </c>
      <c r="E27" s="63" t="s">
        <v>94</v>
      </c>
      <c r="F27" s="60" t="s">
        <v>49</v>
      </c>
      <c r="G27" s="47">
        <v>1</v>
      </c>
      <c r="H27" s="133">
        <f>IF(B$17=0,0,G27/B$17)</f>
        <v>2.6954177897574125E-3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2.6954177897574125E-3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  <row r="165" spans="11:12" x14ac:dyDescent="0.4">
      <c r="K165" s="38">
        <v>163</v>
      </c>
      <c r="L165" s="99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169</v>
      </c>
      <c r="C2" s="151"/>
      <c r="E2" s="62" t="s">
        <v>67</v>
      </c>
      <c r="F2" s="59" t="s">
        <v>23</v>
      </c>
      <c r="G2" s="46">
        <v>321</v>
      </c>
      <c r="H2" s="132">
        <f>IF(B$17=0,0,G2/B$17)</f>
        <v>0.8294573643410853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-1858.9285714285713</v>
      </c>
      <c r="P2" s="118">
        <v>168</v>
      </c>
      <c r="Q2" s="102">
        <v>-312300</v>
      </c>
    </row>
    <row r="3" spans="1:17" x14ac:dyDescent="0.4">
      <c r="A3" s="55" t="s">
        <v>8</v>
      </c>
      <c r="B3" s="152">
        <v>1415</v>
      </c>
      <c r="C3" s="153"/>
      <c r="E3" s="63" t="s">
        <v>73</v>
      </c>
      <c r="F3" s="60" t="s">
        <v>28</v>
      </c>
      <c r="G3" s="47">
        <v>181</v>
      </c>
      <c r="H3" s="133">
        <f>IF(B$17=0,0,G3/B$17)</f>
        <v>0.46770025839793283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0"/>
        <v>-1559.1463414634147</v>
      </c>
      <c r="P3" s="119">
        <v>164</v>
      </c>
      <c r="Q3" s="103">
        <v>-255700</v>
      </c>
    </row>
    <row r="4" spans="1:17" x14ac:dyDescent="0.4">
      <c r="A4" s="55" t="s">
        <v>6</v>
      </c>
      <c r="B4" s="154">
        <v>-1197.0999999999999</v>
      </c>
      <c r="C4" s="155"/>
      <c r="E4" s="63" t="s">
        <v>65</v>
      </c>
      <c r="F4" s="60" t="s">
        <v>21</v>
      </c>
      <c r="G4" s="47">
        <v>177</v>
      </c>
      <c r="H4" s="133">
        <f>IF(B$17=0,0,G4/B$17)</f>
        <v>0.4573643410852713</v>
      </c>
      <c r="I4" s="94">
        <v>10</v>
      </c>
      <c r="K4" s="38">
        <v>2</v>
      </c>
      <c r="L4" s="99">
        <v>-3.3999999999999986</v>
      </c>
      <c r="N4" s="115" t="s">
        <v>134</v>
      </c>
      <c r="O4" s="122">
        <f t="shared" si="0"/>
        <v>1326.2820512820513</v>
      </c>
      <c r="P4" s="119">
        <v>156</v>
      </c>
      <c r="Q4" s="103">
        <v>206900</v>
      </c>
    </row>
    <row r="5" spans="1:17" x14ac:dyDescent="0.4">
      <c r="A5" s="55" t="s">
        <v>7</v>
      </c>
      <c r="B5" s="156">
        <f>IF(B$2=0,0,B$4/B$2)</f>
        <v>-7.0834319526627212</v>
      </c>
      <c r="C5" s="157"/>
      <c r="E5" s="63" t="s">
        <v>245</v>
      </c>
      <c r="F5" s="60" t="s">
        <v>246</v>
      </c>
      <c r="G5" s="47">
        <v>148</v>
      </c>
      <c r="H5" s="133">
        <f>IF(B$17=0,0,G5/B$17)</f>
        <v>0.38242894056847543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-2923.4042553191489</v>
      </c>
      <c r="P5" s="119">
        <v>141</v>
      </c>
      <c r="Q5" s="103">
        <v>-412200</v>
      </c>
    </row>
    <row r="6" spans="1:17" x14ac:dyDescent="0.4">
      <c r="A6" s="55" t="s">
        <v>1</v>
      </c>
      <c r="B6" s="146">
        <f>IF(B$2=0,0,(B$7*1+B$8*2+B$9*3)/B$2)</f>
        <v>2.1124260355029585</v>
      </c>
      <c r="C6" s="147"/>
      <c r="E6" s="63" t="s">
        <v>69</v>
      </c>
      <c r="F6" s="60" t="s">
        <v>12</v>
      </c>
      <c r="G6" s="47">
        <v>126</v>
      </c>
      <c r="H6" s="133">
        <f>IF(B$17=0,0,G6/B$17)</f>
        <v>0.32558139534883723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100.78740157480316</v>
      </c>
      <c r="P6" s="119">
        <v>127</v>
      </c>
      <c r="Q6" s="103">
        <v>12800</v>
      </c>
    </row>
    <row r="7" spans="1:17" x14ac:dyDescent="0.4">
      <c r="A7" s="55" t="s">
        <v>2</v>
      </c>
      <c r="B7" s="47">
        <v>50</v>
      </c>
      <c r="C7" s="39">
        <f t="shared" ref="C7:C12" si="1">IF(B$2=0,0,B7/B$2)</f>
        <v>0.29585798816568049</v>
      </c>
      <c r="E7" s="63" t="s">
        <v>68</v>
      </c>
      <c r="F7" s="60" t="s">
        <v>24</v>
      </c>
      <c r="G7" s="47">
        <v>94</v>
      </c>
      <c r="H7" s="133">
        <f>IF(B$17=0,0,G7/B$17)</f>
        <v>0.24289405684754523</v>
      </c>
      <c r="I7" s="94">
        <v>10</v>
      </c>
      <c r="K7" s="38">
        <v>5</v>
      </c>
      <c r="L7" s="99">
        <v>-32.199999999999996</v>
      </c>
      <c r="N7" s="116" t="s">
        <v>137</v>
      </c>
      <c r="O7" s="123">
        <f t="shared" si="0"/>
        <v>-586.60714285714289</v>
      </c>
      <c r="P7" s="120">
        <v>112</v>
      </c>
      <c r="Q7" s="104">
        <v>-65700</v>
      </c>
    </row>
    <row r="8" spans="1:17" x14ac:dyDescent="0.4">
      <c r="A8" s="55" t="s">
        <v>3</v>
      </c>
      <c r="B8" s="47">
        <v>50</v>
      </c>
      <c r="C8" s="39">
        <f t="shared" si="1"/>
        <v>0.29585798816568049</v>
      </c>
      <c r="E8" s="63" t="s">
        <v>70</v>
      </c>
      <c r="F8" s="60" t="s">
        <v>25</v>
      </c>
      <c r="G8" s="47">
        <v>60</v>
      </c>
      <c r="H8" s="133">
        <f>IF(B$17=0,0,G8/B$17)</f>
        <v>0.15503875968992248</v>
      </c>
      <c r="I8" s="94">
        <v>8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69</v>
      </c>
      <c r="C9" s="40">
        <f t="shared" si="1"/>
        <v>0.40828402366863903</v>
      </c>
      <c r="E9" s="63" t="s">
        <v>71</v>
      </c>
      <c r="F9" s="60" t="s">
        <v>26</v>
      </c>
      <c r="G9" s="47">
        <v>58</v>
      </c>
      <c r="H9" s="133">
        <f>IF(B$17=0,0,G9/B$17)</f>
        <v>0.14987080103359174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 t="shared" si="1"/>
        <v>0.14201183431952663</v>
      </c>
      <c r="E10" s="63" t="s">
        <v>90</v>
      </c>
      <c r="F10" s="60" t="s">
        <v>45</v>
      </c>
      <c r="G10" s="47">
        <v>48</v>
      </c>
      <c r="H10" s="133">
        <f>IF(B$17=0,0,G10/B$17)</f>
        <v>0.12403100775193798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-12.48541666666666</v>
      </c>
      <c r="P10" s="118">
        <v>48</v>
      </c>
      <c r="Q10" s="106">
        <v>-599.29999999999973</v>
      </c>
    </row>
    <row r="11" spans="1:17" x14ac:dyDescent="0.4">
      <c r="A11" s="56" t="s">
        <v>140</v>
      </c>
      <c r="B11" s="48">
        <v>17</v>
      </c>
      <c r="C11" s="40">
        <f t="shared" si="1"/>
        <v>0.10059171597633136</v>
      </c>
      <c r="E11" s="63" t="s">
        <v>72</v>
      </c>
      <c r="F11" s="60" t="s">
        <v>27</v>
      </c>
      <c r="G11" s="47">
        <v>39</v>
      </c>
      <c r="H11" s="133">
        <f>IF(B$17=0,0,G11/B$17)</f>
        <v>0.10077519379844961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-4.8180327868852482</v>
      </c>
      <c r="P11" s="119">
        <v>61</v>
      </c>
      <c r="Q11" s="107">
        <v>-293.90000000000015</v>
      </c>
    </row>
    <row r="12" spans="1:17" x14ac:dyDescent="0.4">
      <c r="A12" s="57" t="s">
        <v>160</v>
      </c>
      <c r="B12" s="49">
        <v>15</v>
      </c>
      <c r="C12" s="42">
        <f t="shared" si="1"/>
        <v>8.8757396449704137E-2</v>
      </c>
      <c r="E12" s="63" t="s">
        <v>66</v>
      </c>
      <c r="F12" s="60" t="s">
        <v>22</v>
      </c>
      <c r="G12" s="47">
        <v>33</v>
      </c>
      <c r="H12" s="133">
        <f>IF(B$17=0,0,G12/B$17)</f>
        <v>8.5271317829457363E-2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-5.0649999999999977</v>
      </c>
      <c r="P12" s="120">
        <v>60</v>
      </c>
      <c r="Q12" s="108">
        <v>-303.89999999999986</v>
      </c>
    </row>
    <row r="13" spans="1:17" x14ac:dyDescent="0.4">
      <c r="A13" s="58" t="s">
        <v>122</v>
      </c>
      <c r="B13" s="50">
        <v>345</v>
      </c>
      <c r="C13" s="44">
        <f>IF(B$3=0,0,B13/B$3)</f>
        <v>0.24381625441696114</v>
      </c>
      <c r="E13" s="63" t="s">
        <v>87</v>
      </c>
      <c r="F13" s="60" t="s">
        <v>42</v>
      </c>
      <c r="G13" s="47">
        <v>21</v>
      </c>
      <c r="H13" s="133">
        <f>IF(B$17=0,0,G13/B$17)</f>
        <v>5.4263565891472867E-2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286</v>
      </c>
      <c r="C14" s="39">
        <f>IF(B$3=0,0,B14/B$3)</f>
        <v>0.20212014134275619</v>
      </c>
      <c r="E14" s="63" t="s">
        <v>84</v>
      </c>
      <c r="F14" s="60" t="s">
        <v>39</v>
      </c>
      <c r="G14" s="47">
        <v>15</v>
      </c>
      <c r="H14" s="133">
        <f>IF(B$17=0,0,G14/B$17)</f>
        <v>3.875968992248062E-2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185</v>
      </c>
      <c r="C15" s="37">
        <f>IF(B$13=0,0,B15/B$13)</f>
        <v>0.53623188405797106</v>
      </c>
      <c r="E15" s="63" t="s">
        <v>79</v>
      </c>
      <c r="F15" s="60" t="s">
        <v>34</v>
      </c>
      <c r="G15" s="47">
        <v>12</v>
      </c>
      <c r="H15" s="133">
        <f>IF(B$17=0,0,G15/B$17)</f>
        <v>3.1007751937984496E-2</v>
      </c>
      <c r="I15" s="94">
        <v>6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103</v>
      </c>
      <c r="C16" s="37">
        <f>IF(B$14=0,0,B16/B$14)</f>
        <v>0.36013986013986016</v>
      </c>
      <c r="E16" s="63" t="s">
        <v>82</v>
      </c>
      <c r="F16" s="60" t="s">
        <v>37</v>
      </c>
      <c r="G16" s="47">
        <v>10</v>
      </c>
      <c r="H16" s="133">
        <f>IF(B$17=0,0,G16/B$17)</f>
        <v>2.5839793281653745E-2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387</v>
      </c>
      <c r="C17" s="37">
        <f>IF(B$3=0,0,B17/B$3)</f>
        <v>0.27349823321554773</v>
      </c>
      <c r="E17" s="63" t="s">
        <v>80</v>
      </c>
      <c r="F17" s="60" t="s">
        <v>35</v>
      </c>
      <c r="G17" s="47">
        <v>6</v>
      </c>
      <c r="H17" s="133">
        <f>IF(B$17=0,0,G17/B$17)</f>
        <v>1.5503875968992248E-2</v>
      </c>
      <c r="I17" s="94">
        <v>8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162</v>
      </c>
      <c r="C18" s="39">
        <f>IF(B$17=0,0,B18/B$17)</f>
        <v>0.41860465116279072</v>
      </c>
      <c r="E18" s="63" t="s">
        <v>78</v>
      </c>
      <c r="F18" s="60" t="s">
        <v>33</v>
      </c>
      <c r="G18" s="47">
        <v>5</v>
      </c>
      <c r="H18" s="133">
        <f>IF(B$17=0,0,G18/B$17)</f>
        <v>1.2919896640826873E-2</v>
      </c>
      <c r="I18" s="94">
        <v>2</v>
      </c>
      <c r="K18" s="38">
        <v>16</v>
      </c>
      <c r="L18" s="99">
        <v>-472</v>
      </c>
      <c r="N18" s="115" t="s">
        <v>177</v>
      </c>
      <c r="O18" s="125">
        <f>IF(P18=0,0,Q18/P18)</f>
        <v>1.6240000000000014</v>
      </c>
      <c r="P18" s="119">
        <v>50</v>
      </c>
      <c r="Q18" s="107">
        <v>81.200000000000074</v>
      </c>
    </row>
    <row r="19" spans="1:17" x14ac:dyDescent="0.4">
      <c r="A19" s="55" t="s">
        <v>11</v>
      </c>
      <c r="B19" s="47">
        <v>225</v>
      </c>
      <c r="C19" s="39">
        <f>IF(B$17=0,0,B19/B$17)</f>
        <v>0.58139534883720934</v>
      </c>
      <c r="E19" s="63" t="s">
        <v>92</v>
      </c>
      <c r="F19" s="60" t="s">
        <v>47</v>
      </c>
      <c r="G19" s="47">
        <v>5</v>
      </c>
      <c r="H19" s="133">
        <f>IF(B$17=0,0,G19/B$17)</f>
        <v>1.2919896640826873E-2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-2.7749999999999932</v>
      </c>
      <c r="P19" s="119">
        <v>16</v>
      </c>
      <c r="Q19" s="107">
        <v>-44.399999999999892</v>
      </c>
    </row>
    <row r="20" spans="1:17" x14ac:dyDescent="0.4">
      <c r="A20" s="55" t="s">
        <v>13</v>
      </c>
      <c r="B20" s="47">
        <v>243</v>
      </c>
      <c r="C20" s="39">
        <f>IF(B$3=0,0,B20/B$3)</f>
        <v>0.17173144876325089</v>
      </c>
      <c r="E20" s="63" t="s">
        <v>75</v>
      </c>
      <c r="F20" s="60" t="s">
        <v>30</v>
      </c>
      <c r="G20" s="47">
        <v>3</v>
      </c>
      <c r="H20" s="133">
        <f>IF(B$17=0,0,G20/B$17)</f>
        <v>7.7519379844961239E-3</v>
      </c>
      <c r="I20" s="94">
        <v>3</v>
      </c>
      <c r="K20" s="38">
        <v>18</v>
      </c>
      <c r="L20" s="99">
        <v>-537.19999999999993</v>
      </c>
      <c r="N20" s="115" t="s">
        <v>128</v>
      </c>
      <c r="O20" s="125">
        <f>IF(P20=0,0,Q20/P20)</f>
        <v>-2.8089552238805964</v>
      </c>
      <c r="P20" s="119">
        <v>67</v>
      </c>
      <c r="Q20" s="107">
        <v>-188.19999999999996</v>
      </c>
    </row>
    <row r="21" spans="1:17" x14ac:dyDescent="0.4">
      <c r="A21" s="55" t="s">
        <v>191</v>
      </c>
      <c r="B21" s="47">
        <v>4</v>
      </c>
      <c r="C21" s="135">
        <v>3</v>
      </c>
      <c r="E21" s="63" t="s">
        <v>76</v>
      </c>
      <c r="F21" s="60" t="s">
        <v>31</v>
      </c>
      <c r="G21" s="47">
        <v>3</v>
      </c>
      <c r="H21" s="133">
        <f>IF(B$17=0,0,G21/B$17)</f>
        <v>7.7519379844961239E-3</v>
      </c>
      <c r="I21" s="94">
        <v>5</v>
      </c>
      <c r="K21" s="38">
        <v>19</v>
      </c>
      <c r="L21" s="99">
        <v>-569.49999999999989</v>
      </c>
      <c r="N21" s="115" t="s">
        <v>171</v>
      </c>
      <c r="O21" s="125">
        <f>IF(P21=0,0,Q21/P21)</f>
        <v>-18.307317073170722</v>
      </c>
      <c r="P21" s="119">
        <v>41</v>
      </c>
      <c r="Q21" s="107">
        <v>-750.59999999999968</v>
      </c>
    </row>
    <row r="22" spans="1:17" x14ac:dyDescent="0.4">
      <c r="A22" s="55" t="s">
        <v>192</v>
      </c>
      <c r="B22" s="47">
        <v>39</v>
      </c>
      <c r="C22" s="135">
        <v>3</v>
      </c>
      <c r="E22" s="63" t="s">
        <v>88</v>
      </c>
      <c r="F22" s="60" t="s">
        <v>43</v>
      </c>
      <c r="G22" s="47">
        <v>3</v>
      </c>
      <c r="H22" s="133">
        <f>IF(B$17=0,0,G22/B$17)</f>
        <v>7.7519379844961239E-3</v>
      </c>
      <c r="I22" s="94">
        <v>1</v>
      </c>
      <c r="K22" s="38">
        <v>20</v>
      </c>
      <c r="L22" s="99">
        <v>-632.99999999999989</v>
      </c>
      <c r="N22" s="115" t="s">
        <v>172</v>
      </c>
      <c r="O22" s="125">
        <f>IF(P22=0,0,Q22/P22)</f>
        <v>-20.858333333333327</v>
      </c>
      <c r="P22" s="119">
        <v>36</v>
      </c>
      <c r="Q22" s="107">
        <v>-750.89999999999975</v>
      </c>
    </row>
    <row r="23" spans="1:17" x14ac:dyDescent="0.4">
      <c r="A23" s="55" t="s">
        <v>5</v>
      </c>
      <c r="B23" s="51">
        <f>IF(B$17=0,0,C23/B$17)</f>
        <v>8264.8578811369516</v>
      </c>
      <c r="C23" s="41">
        <v>3198500</v>
      </c>
      <c r="E23" s="63" t="s">
        <v>85</v>
      </c>
      <c r="F23" s="60" t="s">
        <v>40</v>
      </c>
      <c r="G23" s="47">
        <v>2</v>
      </c>
      <c r="H23" s="133">
        <f>IF(B$17=0,0,G23/B$17)</f>
        <v>5.1679586563307496E-3</v>
      </c>
      <c r="I23" s="94">
        <v>2</v>
      </c>
      <c r="K23" s="38">
        <v>21</v>
      </c>
      <c r="L23" s="99">
        <v>-629.49999999999989</v>
      </c>
      <c r="N23" s="115" t="s">
        <v>127</v>
      </c>
      <c r="O23" s="125">
        <f>IF(P23=0,0,Q23/P23)</f>
        <v>-22.479439252336462</v>
      </c>
      <c r="P23" s="119">
        <v>107</v>
      </c>
      <c r="Q23" s="107">
        <v>-2405.3000000000015</v>
      </c>
    </row>
    <row r="24" spans="1:17" x14ac:dyDescent="0.4">
      <c r="A24" s="57" t="s">
        <v>14</v>
      </c>
      <c r="B24" s="52">
        <f>IF(B$20=0,0,C24/B$20)</f>
        <v>-8437.0370370370365</v>
      </c>
      <c r="C24" s="45">
        <v>-2050200</v>
      </c>
      <c r="E24" s="63" t="s">
        <v>94</v>
      </c>
      <c r="F24" s="60" t="s">
        <v>49</v>
      </c>
      <c r="G24" s="47">
        <v>2</v>
      </c>
      <c r="H24" s="133">
        <f>IF(B$17=0,0,G24/B$17)</f>
        <v>5.1679586563307496E-3</v>
      </c>
      <c r="I24" s="94">
        <v>1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1</v>
      </c>
      <c r="H25" s="133">
        <f>IF(B$17=0,0,G25/B$17)</f>
        <v>2.5839793281653748E-3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86</v>
      </c>
      <c r="F26" s="60" t="s">
        <v>41</v>
      </c>
      <c r="G26" s="47">
        <v>1</v>
      </c>
      <c r="H26" s="133">
        <f>IF(B$17=0,0,G26/B$17)</f>
        <v>2.5839793281653748E-3</v>
      </c>
      <c r="I26" s="94">
        <v>4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2.1201413427561835E-3</v>
      </c>
      <c r="E27" s="63" t="s">
        <v>89</v>
      </c>
      <c r="F27" s="60" t="s">
        <v>44</v>
      </c>
      <c r="G27" s="47">
        <v>1</v>
      </c>
      <c r="H27" s="133">
        <f>IF(B$17=0,0,G27/B$17)</f>
        <v>2.5839793281653748E-3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93</v>
      </c>
      <c r="F28" s="60" t="s">
        <v>48</v>
      </c>
      <c r="G28" s="47">
        <v>1</v>
      </c>
      <c r="H28" s="133">
        <f>IF(B$17=0,0,G28/B$17)</f>
        <v>2.5839793281653748E-3</v>
      </c>
      <c r="I28" s="94">
        <v>6</v>
      </c>
      <c r="K28" s="38">
        <v>26</v>
      </c>
      <c r="L28" s="99">
        <v>-818.49999999999989</v>
      </c>
    </row>
    <row r="29" spans="1:17" x14ac:dyDescent="0.4">
      <c r="E29" s="63" t="s">
        <v>180</v>
      </c>
      <c r="F29" s="60" t="s">
        <v>181</v>
      </c>
      <c r="G29" s="47">
        <v>1</v>
      </c>
      <c r="H29" s="133">
        <f>IF(B$17=0,0,G29/B$17)</f>
        <v>2.5839793281653748E-3</v>
      </c>
      <c r="I29" s="94">
        <v>7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  <row r="168" spans="11:12" x14ac:dyDescent="0.4">
      <c r="K168" s="38">
        <v>166</v>
      </c>
      <c r="L168" s="99">
        <v>-1194.5</v>
      </c>
    </row>
    <row r="169" spans="11:12" x14ac:dyDescent="0.4">
      <c r="K169" s="38">
        <v>167</v>
      </c>
      <c r="L169" s="99">
        <v>-1209.8</v>
      </c>
    </row>
    <row r="170" spans="11:12" x14ac:dyDescent="0.4">
      <c r="K170" s="38">
        <v>168</v>
      </c>
      <c r="L170" s="99">
        <v>-1244.5999999999999</v>
      </c>
    </row>
    <row r="171" spans="11:12" x14ac:dyDescent="0.4">
      <c r="K171" s="38">
        <v>169</v>
      </c>
      <c r="L171" s="99">
        <v>-1197.0999999999999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1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108</v>
      </c>
      <c r="C2" s="151"/>
      <c r="E2" s="62" t="s">
        <v>67</v>
      </c>
      <c r="F2" s="59" t="s">
        <v>23</v>
      </c>
      <c r="G2" s="46">
        <v>203</v>
      </c>
      <c r="H2" s="132">
        <f>IF(B$17=0,0,G2/B$17)</f>
        <v>0.77480916030534353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950.92592592592598</v>
      </c>
      <c r="P2" s="118">
        <v>108</v>
      </c>
      <c r="Q2" s="102">
        <v>102700</v>
      </c>
    </row>
    <row r="3" spans="1:17" x14ac:dyDescent="0.4">
      <c r="A3" s="55" t="s">
        <v>8</v>
      </c>
      <c r="B3" s="152">
        <v>897</v>
      </c>
      <c r="C3" s="153"/>
      <c r="E3" s="63" t="s">
        <v>73</v>
      </c>
      <c r="F3" s="60" t="s">
        <v>28</v>
      </c>
      <c r="G3" s="47">
        <v>147</v>
      </c>
      <c r="H3" s="133">
        <f>IF(B$17=0,0,G3/B$17)</f>
        <v>0.56106870229007633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918.09523809523807</v>
      </c>
      <c r="P3" s="119">
        <v>105</v>
      </c>
      <c r="Q3" s="103">
        <v>96400</v>
      </c>
    </row>
    <row r="4" spans="1:17" x14ac:dyDescent="0.4">
      <c r="A4" s="55" t="s">
        <v>6</v>
      </c>
      <c r="B4" s="154">
        <v>180</v>
      </c>
      <c r="C4" s="155"/>
      <c r="E4" s="63" t="s">
        <v>65</v>
      </c>
      <c r="F4" s="60" t="s">
        <v>21</v>
      </c>
      <c r="G4" s="47">
        <v>135</v>
      </c>
      <c r="H4" s="133">
        <f>IF(B$17=0,0,G4/B$17)</f>
        <v>0.51526717557251911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0"/>
        <v>1303.125</v>
      </c>
      <c r="P4" s="119">
        <v>96</v>
      </c>
      <c r="Q4" s="103">
        <v>125100</v>
      </c>
    </row>
    <row r="5" spans="1:17" x14ac:dyDescent="0.4">
      <c r="A5" s="55" t="s">
        <v>7</v>
      </c>
      <c r="B5" s="156">
        <f>IF(B$2=0,0,B$4/B$2)</f>
        <v>1.6666666666666667</v>
      </c>
      <c r="C5" s="157"/>
      <c r="E5" s="63" t="s">
        <v>245</v>
      </c>
      <c r="F5" s="60" t="s">
        <v>246</v>
      </c>
      <c r="G5" s="47">
        <v>106</v>
      </c>
      <c r="H5" s="133">
        <f>IF(B$17=0,0,G5/B$17)</f>
        <v>0.40458015267175573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0"/>
        <v>-177.64705882352942</v>
      </c>
      <c r="P5" s="119">
        <v>85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2.0092592592592591</v>
      </c>
      <c r="C6" s="147"/>
      <c r="E6" s="63" t="s">
        <v>68</v>
      </c>
      <c r="F6" s="60" t="s">
        <v>24</v>
      </c>
      <c r="G6" s="47">
        <v>87</v>
      </c>
      <c r="H6" s="133">
        <f>IF(B$17=0,0,G6/B$17)</f>
        <v>0.33206106870229007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-1788.1578947368421</v>
      </c>
      <c r="P6" s="119">
        <v>76</v>
      </c>
      <c r="Q6" s="103">
        <v>-135900</v>
      </c>
    </row>
    <row r="7" spans="1:17" x14ac:dyDescent="0.4">
      <c r="A7" s="55" t="s">
        <v>2</v>
      </c>
      <c r="B7" s="47">
        <v>35</v>
      </c>
      <c r="C7" s="39">
        <f t="shared" ref="C7:C12" si="1">IF(B$2=0,0,B7/B$2)</f>
        <v>0.32407407407407407</v>
      </c>
      <c r="E7" s="63" t="s">
        <v>69</v>
      </c>
      <c r="F7" s="60" t="s">
        <v>12</v>
      </c>
      <c r="G7" s="47">
        <v>77</v>
      </c>
      <c r="H7" s="133">
        <f>IF(B$17=0,0,G7/B$17)</f>
        <v>0.29389312977099236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-402.94117647058823</v>
      </c>
      <c r="P7" s="120">
        <v>68</v>
      </c>
      <c r="Q7" s="104">
        <v>-27400</v>
      </c>
    </row>
    <row r="8" spans="1:17" x14ac:dyDescent="0.4">
      <c r="A8" s="55" t="s">
        <v>3</v>
      </c>
      <c r="B8" s="47">
        <v>37</v>
      </c>
      <c r="C8" s="39">
        <f t="shared" si="1"/>
        <v>0.34259259259259262</v>
      </c>
      <c r="E8" s="63" t="s">
        <v>70</v>
      </c>
      <c r="F8" s="60" t="s">
        <v>25</v>
      </c>
      <c r="G8" s="47">
        <v>48</v>
      </c>
      <c r="H8" s="133">
        <f>IF(B$17=0,0,G8/B$17)</f>
        <v>0.18320610687022901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si="1"/>
        <v>0.33333333333333331</v>
      </c>
      <c r="E9" s="63" t="s">
        <v>90</v>
      </c>
      <c r="F9" s="60" t="s">
        <v>45</v>
      </c>
      <c r="G9" s="47">
        <v>44</v>
      </c>
      <c r="H9" s="133">
        <f>IF(B$17=0,0,G9/B$17)</f>
        <v>0.16793893129770993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1"/>
        <v>0.10185185185185185</v>
      </c>
      <c r="E10" s="63" t="s">
        <v>66</v>
      </c>
      <c r="F10" s="60" t="s">
        <v>22</v>
      </c>
      <c r="G10" s="47">
        <v>30</v>
      </c>
      <c r="H10" s="133">
        <f>IF(B$17=0,0,G10/B$17)</f>
        <v>0.11450381679389313</v>
      </c>
      <c r="I10" s="94">
        <v>4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16</v>
      </c>
      <c r="C11" s="40">
        <f t="shared" si="1"/>
        <v>0.14814814814814814</v>
      </c>
      <c r="E11" s="63" t="s">
        <v>71</v>
      </c>
      <c r="F11" s="60" t="s">
        <v>26</v>
      </c>
      <c r="G11" s="47">
        <v>26</v>
      </c>
      <c r="H11" s="133">
        <f>IF(B$17=0,0,G11/B$17)</f>
        <v>9.9236641221374045E-2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-0.40526315789473533</v>
      </c>
      <c r="P11" s="119">
        <v>38</v>
      </c>
      <c r="Q11" s="107">
        <v>-15.399999999999942</v>
      </c>
    </row>
    <row r="12" spans="1:17" x14ac:dyDescent="0.4">
      <c r="A12" s="57" t="s">
        <v>160</v>
      </c>
      <c r="B12" s="49">
        <v>7</v>
      </c>
      <c r="C12" s="42">
        <f t="shared" si="1"/>
        <v>6.4814814814814811E-2</v>
      </c>
      <c r="E12" s="63" t="s">
        <v>87</v>
      </c>
      <c r="F12" s="60" t="s">
        <v>42</v>
      </c>
      <c r="G12" s="47">
        <v>20</v>
      </c>
      <c r="H12" s="133">
        <f>IF(B$17=0,0,G12/B$17)</f>
        <v>7.6335877862595422E-2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1.5585365853658537</v>
      </c>
      <c r="P12" s="120">
        <v>41</v>
      </c>
      <c r="Q12" s="108">
        <v>63.9</v>
      </c>
    </row>
    <row r="13" spans="1:17" x14ac:dyDescent="0.4">
      <c r="A13" s="58" t="s">
        <v>122</v>
      </c>
      <c r="B13" s="50">
        <v>253</v>
      </c>
      <c r="C13" s="44">
        <f>IF(B$3=0,0,B13/B$3)</f>
        <v>0.28205128205128205</v>
      </c>
      <c r="E13" s="63" t="s">
        <v>72</v>
      </c>
      <c r="F13" s="60" t="s">
        <v>27</v>
      </c>
      <c r="G13" s="47">
        <v>15</v>
      </c>
      <c r="H13" s="133">
        <f>IF(B$17=0,0,G13/B$17)</f>
        <v>5.7251908396946563E-2</v>
      </c>
      <c r="I13" s="94">
        <v>9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0.1995540691192865</v>
      </c>
      <c r="E14" s="63" t="s">
        <v>79</v>
      </c>
      <c r="F14" s="60" t="s">
        <v>34</v>
      </c>
      <c r="G14" s="47">
        <v>11</v>
      </c>
      <c r="H14" s="133">
        <f>IF(B$17=0,0,G14/B$17)</f>
        <v>4.1984732824427481E-2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144</v>
      </c>
      <c r="C15" s="37">
        <f>IF(B$13=0,0,B15/B$13)</f>
        <v>0.56916996047430835</v>
      </c>
      <c r="E15" s="63" t="s">
        <v>84</v>
      </c>
      <c r="F15" s="60" t="s">
        <v>39</v>
      </c>
      <c r="G15" s="47">
        <v>11</v>
      </c>
      <c r="H15" s="133">
        <f>IF(B$17=0,0,G15/B$17)</f>
        <v>4.1984732824427481E-2</v>
      </c>
      <c r="I15" s="94">
        <v>8</v>
      </c>
      <c r="K15" s="38">
        <v>13</v>
      </c>
      <c r="L15" s="99">
        <v>-58.7</v>
      </c>
      <c r="N15" s="114" t="s">
        <v>129</v>
      </c>
      <c r="O15" s="124">
        <f>IF(P15=0,0,Q15/P15)</f>
        <v>18.307317073170722</v>
      </c>
      <c r="P15" s="118">
        <v>41</v>
      </c>
      <c r="Q15" s="106">
        <v>750.59999999999957</v>
      </c>
    </row>
    <row r="16" spans="1:17" x14ac:dyDescent="0.4">
      <c r="A16" s="54" t="s">
        <v>125</v>
      </c>
      <c r="B16" s="46">
        <v>73</v>
      </c>
      <c r="C16" s="37">
        <f>IF(B$14=0,0,B16/B$14)</f>
        <v>0.40782122905027934</v>
      </c>
      <c r="E16" s="63" t="s">
        <v>92</v>
      </c>
      <c r="F16" s="60" t="s">
        <v>47</v>
      </c>
      <c r="G16" s="47">
        <v>10</v>
      </c>
      <c r="H16" s="133">
        <f>IF(B$17=0,0,G16/B$17)</f>
        <v>3.8167938931297711E-2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262</v>
      </c>
      <c r="C17" s="37">
        <f>IF(B$3=0,0,B17/B$3)</f>
        <v>0.29208472686733555</v>
      </c>
      <c r="E17" s="63" t="s">
        <v>82</v>
      </c>
      <c r="F17" s="60" t="s">
        <v>37</v>
      </c>
      <c r="G17" s="47">
        <v>8</v>
      </c>
      <c r="H17" s="133">
        <f>IF(B$17=0,0,G17/B$17)</f>
        <v>3.0534351145038167E-2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106</v>
      </c>
      <c r="C18" s="39">
        <f>IF(B$17=0,0,B18/B$17)</f>
        <v>0.40458015267175573</v>
      </c>
      <c r="E18" s="63" t="s">
        <v>80</v>
      </c>
      <c r="F18" s="60" t="s">
        <v>35</v>
      </c>
      <c r="G18" s="47">
        <v>6</v>
      </c>
      <c r="H18" s="133">
        <f>IF(B$17=0,0,G18/B$17)</f>
        <v>2.2900763358778626E-2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>IF(P18=0,0,Q18/P18)</f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156</v>
      </c>
      <c r="C19" s="39">
        <f>IF(B$17=0,0,B19/B$17)</f>
        <v>0.59541984732824427</v>
      </c>
      <c r="E19" s="63" t="s">
        <v>180</v>
      </c>
      <c r="F19" s="60" t="s">
        <v>181</v>
      </c>
      <c r="G19" s="47">
        <v>6</v>
      </c>
      <c r="H19" s="133">
        <f>IF(B$17=0,0,G19/B$17)</f>
        <v>2.2900763358778626E-2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3.1774193548387126</v>
      </c>
      <c r="P19" s="119">
        <v>62</v>
      </c>
      <c r="Q19" s="107">
        <v>197.00000000000017</v>
      </c>
    </row>
    <row r="20" spans="1:17" x14ac:dyDescent="0.4">
      <c r="A20" s="55" t="s">
        <v>13</v>
      </c>
      <c r="B20" s="47">
        <v>159</v>
      </c>
      <c r="C20" s="39">
        <f>IF(B$3=0,0,B20/B$3)</f>
        <v>0.17725752508361203</v>
      </c>
      <c r="E20" s="63" t="s">
        <v>74</v>
      </c>
      <c r="F20" s="60" t="s">
        <v>29</v>
      </c>
      <c r="G20" s="47">
        <v>3</v>
      </c>
      <c r="H20" s="133">
        <f>IF(B$17=0,0,G20/B$17)</f>
        <v>1.1450381679389313E-2</v>
      </c>
      <c r="I20" s="94">
        <v>3</v>
      </c>
      <c r="K20" s="38">
        <v>18</v>
      </c>
      <c r="L20" s="99">
        <v>-76.099999999999994</v>
      </c>
      <c r="N20" s="115" t="s">
        <v>128</v>
      </c>
      <c r="O20" s="125">
        <f>IF(P20=0,0,Q20/P20)</f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76</v>
      </c>
      <c r="F21" s="60" t="s">
        <v>31</v>
      </c>
      <c r="G21" s="47">
        <v>3</v>
      </c>
      <c r="H21" s="133">
        <f>IF(B$17=0,0,G21/B$17)</f>
        <v>1.1450381679389313E-2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78</v>
      </c>
      <c r="F22" s="60" t="s">
        <v>33</v>
      </c>
      <c r="G22" s="47">
        <v>3</v>
      </c>
      <c r="H22" s="133">
        <f>IF(B$17=0,0,G22/B$17)</f>
        <v>1.1450381679389313E-2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-30.295833333333334</v>
      </c>
      <c r="P22" s="119">
        <v>24</v>
      </c>
      <c r="Q22" s="107">
        <v>-727.1</v>
      </c>
    </row>
    <row r="23" spans="1:17" x14ac:dyDescent="0.4">
      <c r="A23" s="55" t="s">
        <v>5</v>
      </c>
      <c r="B23" s="51">
        <f>IF(B$17=0,0,C23/B$17)</f>
        <v>10000</v>
      </c>
      <c r="C23" s="41">
        <v>2620000</v>
      </c>
      <c r="E23" s="63" t="s">
        <v>93</v>
      </c>
      <c r="F23" s="60" t="s">
        <v>48</v>
      </c>
      <c r="G23" s="47">
        <v>3</v>
      </c>
      <c r="H23" s="133">
        <f>IF(B$17=0,0,G23/B$17)</f>
        <v>1.1450381679389313E-2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-8353.4591194968561</v>
      </c>
      <c r="C24" s="45">
        <v>-1328200</v>
      </c>
      <c r="E24" s="63" t="s">
        <v>85</v>
      </c>
      <c r="F24" s="60" t="s">
        <v>40</v>
      </c>
      <c r="G24" s="47">
        <v>2</v>
      </c>
      <c r="H24" s="133">
        <f>IF(B$17=0,0,G24/B$17)</f>
        <v>7.6335877862595417E-3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3.8167938931297708E-3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3.8167938931297708E-3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2.229654403567447E-3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197.1</v>
      </c>
    </row>
    <row r="110" spans="11:12" x14ac:dyDescent="0.4">
      <c r="K110" s="38">
        <v>108</v>
      </c>
      <c r="L110" s="99">
        <v>180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103</v>
      </c>
      <c r="H2" s="132">
        <f>IF(B$17=0,0,G2/B$17)</f>
        <v>0.35517241379310344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178.64077669902912</v>
      </c>
      <c r="P2" s="118">
        <v>103</v>
      </c>
      <c r="Q2" s="102">
        <v>18400</v>
      </c>
    </row>
    <row r="3" spans="1:17" x14ac:dyDescent="0.4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31</v>
      </c>
      <c r="H3" s="133">
        <f>IF(B$17=0,0,G3/B$17)</f>
        <v>0.10689655172413794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-1133.009708737864</v>
      </c>
      <c r="P3" s="119">
        <v>103</v>
      </c>
      <c r="Q3" s="103">
        <v>-116700</v>
      </c>
    </row>
    <row r="4" spans="1:17" x14ac:dyDescent="0.4">
      <c r="A4" s="55" t="s">
        <v>6</v>
      </c>
      <c r="B4" s="154">
        <v>-259.40000000000003</v>
      </c>
      <c r="C4" s="155"/>
      <c r="E4" s="63" t="s">
        <v>67</v>
      </c>
      <c r="F4" s="60" t="s">
        <v>23</v>
      </c>
      <c r="G4" s="47">
        <v>186</v>
      </c>
      <c r="H4" s="133">
        <f>IF(B$17=0,0,G4/B$17)</f>
        <v>0.64137931034482754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-993.54838709677415</v>
      </c>
      <c r="P4" s="119">
        <v>93</v>
      </c>
      <c r="Q4" s="103">
        <v>-92400</v>
      </c>
    </row>
    <row r="5" spans="1:17" x14ac:dyDescent="0.4">
      <c r="A5" s="55" t="s">
        <v>7</v>
      </c>
      <c r="B5" s="156">
        <f>IF(B$2=0,0,B$4/B$2)</f>
        <v>-2.518446601941748</v>
      </c>
      <c r="C5" s="157"/>
      <c r="E5" s="63" t="s">
        <v>68</v>
      </c>
      <c r="F5" s="60" t="s">
        <v>24</v>
      </c>
      <c r="G5" s="47">
        <v>50</v>
      </c>
      <c r="H5" s="133">
        <f>IF(B$17=0,0,G5/B$17)</f>
        <v>0.17241379310344829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978.40909090909088</v>
      </c>
      <c r="P5" s="119">
        <v>88</v>
      </c>
      <c r="Q5" s="103">
        <v>86100</v>
      </c>
    </row>
    <row r="6" spans="1:17" x14ac:dyDescent="0.4">
      <c r="A6" s="55" t="s">
        <v>1</v>
      </c>
      <c r="B6" s="146">
        <f>IF(B$2=0,0,(B$7*1+B$8*2+B$9*3)/B$2)</f>
        <v>2.0679611650485437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0.24827586206896551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-159.7560975609756</v>
      </c>
      <c r="P6" s="119">
        <v>82</v>
      </c>
      <c r="Q6" s="103">
        <v>-13100</v>
      </c>
    </row>
    <row r="7" spans="1:17" x14ac:dyDescent="0.4">
      <c r="A7" s="55" t="s">
        <v>2</v>
      </c>
      <c r="B7" s="47">
        <v>25</v>
      </c>
      <c r="C7" s="39">
        <f t="shared" ref="C7:C12" si="1">IF(B$2=0,0,B7/B$2)</f>
        <v>0.24271844660194175</v>
      </c>
      <c r="E7" s="63" t="s">
        <v>70</v>
      </c>
      <c r="F7" s="60" t="s">
        <v>25</v>
      </c>
      <c r="G7" s="47">
        <v>46</v>
      </c>
      <c r="H7" s="133">
        <f>IF(B$17=0,0,G7/B$17)</f>
        <v>0.15862068965517243</v>
      </c>
      <c r="I7" s="94">
        <v>6</v>
      </c>
      <c r="K7" s="38">
        <v>5</v>
      </c>
      <c r="L7" s="99">
        <v>29.4</v>
      </c>
      <c r="N7" s="116" t="s">
        <v>137</v>
      </c>
      <c r="O7" s="123">
        <f t="shared" si="0"/>
        <v>-671.42857142857144</v>
      </c>
      <c r="P7" s="120">
        <v>70</v>
      </c>
      <c r="Q7" s="104">
        <v>-47000</v>
      </c>
    </row>
    <row r="8" spans="1:17" x14ac:dyDescent="0.4">
      <c r="A8" s="55" t="s">
        <v>3</v>
      </c>
      <c r="B8" s="47">
        <v>46</v>
      </c>
      <c r="C8" s="39">
        <f t="shared" si="1"/>
        <v>0.44660194174757284</v>
      </c>
      <c r="E8" s="63" t="s">
        <v>71</v>
      </c>
      <c r="F8" s="60" t="s">
        <v>26</v>
      </c>
      <c r="G8" s="47">
        <v>21</v>
      </c>
      <c r="H8" s="133">
        <f>IF(B$17=0,0,G8/B$17)</f>
        <v>7.2413793103448282E-2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1"/>
        <v>0.31067961165048541</v>
      </c>
      <c r="E9" s="63" t="s">
        <v>72</v>
      </c>
      <c r="F9" s="60" t="s">
        <v>27</v>
      </c>
      <c r="G9" s="47">
        <v>23</v>
      </c>
      <c r="H9" s="133">
        <f>IF(B$17=0,0,G9/B$17)</f>
        <v>7.9310344827586213E-2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1"/>
        <v>5.8252427184466021E-2</v>
      </c>
      <c r="E10" s="63" t="s">
        <v>73</v>
      </c>
      <c r="F10" s="60" t="s">
        <v>28</v>
      </c>
      <c r="G10" s="47">
        <v>165</v>
      </c>
      <c r="H10" s="133">
        <f>IF(B$17=0,0,G10/B$17)</f>
        <v>0.56896551724137934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-5.0515151515151535</v>
      </c>
      <c r="P10" s="118">
        <v>33</v>
      </c>
      <c r="Q10" s="106">
        <v>-166.70000000000007</v>
      </c>
    </row>
    <row r="11" spans="1:17" x14ac:dyDescent="0.4">
      <c r="A11" s="56" t="s">
        <v>140</v>
      </c>
      <c r="B11" s="48">
        <v>10</v>
      </c>
      <c r="C11" s="40">
        <f t="shared" si="1"/>
        <v>9.7087378640776698E-2</v>
      </c>
      <c r="E11" s="63" t="s">
        <v>74</v>
      </c>
      <c r="F11" s="60" t="s">
        <v>29</v>
      </c>
      <c r="G11" s="47">
        <v>1</v>
      </c>
      <c r="H11" s="133">
        <f>IF(B$17=0,0,G11/B$17)</f>
        <v>3.4482758620689655E-3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 t="shared" si="1"/>
        <v>7.7669902912621352E-2</v>
      </c>
      <c r="E12" s="63" t="s">
        <v>75</v>
      </c>
      <c r="F12" s="60" t="s">
        <v>30</v>
      </c>
      <c r="G12" s="47">
        <v>2</v>
      </c>
      <c r="H12" s="133">
        <f>IF(B$17=0,0,G12/B$17)</f>
        <v>6.8965517241379309E-3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183</v>
      </c>
      <c r="C13" s="44">
        <f>IF(B$3=0,0,B13/B$3)</f>
        <v>0.21180555555555555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0.28703703703703703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</v>
      </c>
      <c r="C15" s="37">
        <f>IF(B$13=0,0,B15/B$13)</f>
        <v>0.55737704918032782</v>
      </c>
      <c r="E15" s="63" t="s">
        <v>78</v>
      </c>
      <c r="F15" s="60" t="s">
        <v>33</v>
      </c>
      <c r="G15" s="47">
        <v>1</v>
      </c>
      <c r="H15" s="133">
        <f>IF(B$17=0,0,G15/B$17)</f>
        <v>3.4482758620689655E-3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>IF(B$17=0,0,G16/B$17)</f>
        <v>1.3793103448275862E-2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20.858333333333324</v>
      </c>
      <c r="P16" s="119">
        <v>36</v>
      </c>
      <c r="Q16" s="107">
        <v>750.89999999999964</v>
      </c>
    </row>
    <row r="17" spans="1:17" x14ac:dyDescent="0.4">
      <c r="A17" s="54" t="s">
        <v>10</v>
      </c>
      <c r="B17" s="46">
        <f>B19+B18</f>
        <v>290</v>
      </c>
      <c r="C17" s="37">
        <f>IF(B$3=0,0,B17/B$3)</f>
        <v>0.33564814814814814</v>
      </c>
      <c r="E17" s="63" t="s">
        <v>80</v>
      </c>
      <c r="F17" s="60" t="s">
        <v>35</v>
      </c>
      <c r="G17" s="47">
        <v>3</v>
      </c>
      <c r="H17" s="133">
        <f>IF(B$17=0,0,G17/B$17)</f>
        <v>1.0344827586206896E-2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2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115</v>
      </c>
      <c r="C18" s="39">
        <f>IF(B$17=0,0,B18/B$17)</f>
        <v>0.39655172413793105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2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175</v>
      </c>
      <c r="C19" s="39">
        <f>IF(B$17=0,0,B19/B$17)</f>
        <v>0.60344827586206895</v>
      </c>
      <c r="E19" s="63" t="s">
        <v>82</v>
      </c>
      <c r="F19" s="60" t="s">
        <v>37</v>
      </c>
      <c r="G19" s="47">
        <v>9</v>
      </c>
      <c r="H19" s="133">
        <f>IF(B$17=0,0,G19/B$17)</f>
        <v>3.1034482758620689E-2</v>
      </c>
      <c r="I19" s="94">
        <v>2</v>
      </c>
      <c r="K19" s="38">
        <v>17</v>
      </c>
      <c r="L19" s="99">
        <v>-55.099999999999994</v>
      </c>
      <c r="N19" s="115" t="s">
        <v>128</v>
      </c>
      <c r="O19" s="125">
        <f t="shared" si="2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124</v>
      </c>
      <c r="C20" s="39">
        <f>IF(B$3=0,0,B20/B$3)</f>
        <v>0.14351851851851852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21</v>
      </c>
      <c r="H21" s="133">
        <f>IF(B$17=0,0,G21/B$17)</f>
        <v>7.2413793103448282E-2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6773.7931034482763</v>
      </c>
      <c r="C23" s="41">
        <v>1964400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-8308.0645161290322</v>
      </c>
      <c r="C24" s="45">
        <v>-1030200</v>
      </c>
      <c r="E24" s="63" t="s">
        <v>87</v>
      </c>
      <c r="F24" s="60" t="s">
        <v>42</v>
      </c>
      <c r="G24" s="47">
        <v>12</v>
      </c>
      <c r="H24" s="133">
        <f>IF(B$17=0,0,G24/B$17)</f>
        <v>4.1379310344827586E-2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3.4482758620689655E-3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1.1574074074074073E-3</v>
      </c>
      <c r="E27" s="63" t="s">
        <v>90</v>
      </c>
      <c r="F27" s="60" t="s">
        <v>45</v>
      </c>
      <c r="G27" s="47">
        <v>23</v>
      </c>
      <c r="H27" s="133">
        <f>IF(B$17=0,0,G27/B$17)</f>
        <v>7.9310344827586213E-2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3.4482758620689655E-3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1.3793103448275862E-2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123</v>
      </c>
      <c r="H51" s="138">
        <f>IF(B$17=0,0,G51/B$17)</f>
        <v>0.42413793103448277</v>
      </c>
      <c r="I51" s="139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59</v>
      </c>
      <c r="C2" s="151"/>
      <c r="E2" s="62" t="s">
        <v>65</v>
      </c>
      <c r="F2" s="59" t="s">
        <v>21</v>
      </c>
      <c r="G2" s="46">
        <v>60</v>
      </c>
      <c r="H2" s="132">
        <f>IF(B$17=0,0,G2/B$17)</f>
        <v>0.42553191489361702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-3356.8965517241381</v>
      </c>
      <c r="P2" s="118">
        <v>58</v>
      </c>
      <c r="Q2" s="102">
        <v>-194700</v>
      </c>
    </row>
    <row r="3" spans="1:17" x14ac:dyDescent="0.4">
      <c r="A3" s="55" t="s">
        <v>8</v>
      </c>
      <c r="B3" s="152">
        <v>505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7.0921985815602842E-2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1650</v>
      </c>
      <c r="P3" s="119">
        <v>58</v>
      </c>
      <c r="Q3" s="103">
        <v>95700</v>
      </c>
    </row>
    <row r="4" spans="1:17" x14ac:dyDescent="0.4">
      <c r="A4" s="55" t="s">
        <v>6</v>
      </c>
      <c r="B4" s="154">
        <v>-521</v>
      </c>
      <c r="C4" s="155"/>
      <c r="E4" s="63" t="s">
        <v>67</v>
      </c>
      <c r="F4" s="60" t="s">
        <v>23</v>
      </c>
      <c r="G4" s="47">
        <v>92</v>
      </c>
      <c r="H4" s="133">
        <f>IF(B$17=0,0,G4/B$17)</f>
        <v>0.65248226950354615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-1530.909090909091</v>
      </c>
      <c r="P4" s="119">
        <v>55</v>
      </c>
      <c r="Q4" s="103">
        <v>-84200</v>
      </c>
    </row>
    <row r="5" spans="1:17" x14ac:dyDescent="0.4">
      <c r="A5" s="55" t="s">
        <v>7</v>
      </c>
      <c r="B5" s="156">
        <f>IF(B$2=0,0,B$4/B$2)</f>
        <v>-8.8305084745762716</v>
      </c>
      <c r="C5" s="157"/>
      <c r="E5" s="63" t="s">
        <v>68</v>
      </c>
      <c r="F5" s="60" t="s">
        <v>24</v>
      </c>
      <c r="G5" s="47">
        <v>30</v>
      </c>
      <c r="H5" s="133">
        <f>IF(B$17=0,0,G5/B$17)</f>
        <v>0.21276595744680851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-4210</v>
      </c>
      <c r="P5" s="119">
        <v>50</v>
      </c>
      <c r="Q5" s="103">
        <v>-210500</v>
      </c>
    </row>
    <row r="6" spans="1:17" x14ac:dyDescent="0.4">
      <c r="A6" s="55" t="s">
        <v>1</v>
      </c>
      <c r="B6" s="146">
        <f>IF(B$2=0,0,(B$7*1+B$8*2+B$9*3)/B$2)</f>
        <v>2.1355932203389831</v>
      </c>
      <c r="C6" s="147"/>
      <c r="E6" s="63" t="s">
        <v>69</v>
      </c>
      <c r="F6" s="60" t="s">
        <v>12</v>
      </c>
      <c r="G6" s="47">
        <v>55</v>
      </c>
      <c r="H6" s="133">
        <f>IF(B$17=0,0,G6/B$17)</f>
        <v>0.39007092198581561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0"/>
        <v>120.45454545454545</v>
      </c>
      <c r="P6" s="119">
        <v>44</v>
      </c>
      <c r="Q6" s="103">
        <v>5300</v>
      </c>
    </row>
    <row r="7" spans="1:17" x14ac:dyDescent="0.4">
      <c r="A7" s="55" t="s">
        <v>2</v>
      </c>
      <c r="B7" s="47">
        <v>16</v>
      </c>
      <c r="C7" s="39">
        <f t="shared" ref="C7:C12" si="1">IF(B$2=0,0,B7/B$2)</f>
        <v>0.2711864406779661</v>
      </c>
      <c r="E7" s="63" t="s">
        <v>70</v>
      </c>
      <c r="F7" s="60" t="s">
        <v>25</v>
      </c>
      <c r="G7" s="47">
        <v>19</v>
      </c>
      <c r="H7" s="133">
        <f>IF(B$17=0,0,G7/B$17)</f>
        <v>0.13475177304964539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-169.04761904761904</v>
      </c>
      <c r="P7" s="120">
        <v>42</v>
      </c>
      <c r="Q7" s="104">
        <v>-7100</v>
      </c>
    </row>
    <row r="8" spans="1:17" x14ac:dyDescent="0.4">
      <c r="A8" s="55" t="s">
        <v>3</v>
      </c>
      <c r="B8" s="47">
        <v>19</v>
      </c>
      <c r="C8" s="39">
        <f t="shared" si="1"/>
        <v>0.32203389830508472</v>
      </c>
      <c r="E8" s="63" t="s">
        <v>71</v>
      </c>
      <c r="F8" s="60" t="s">
        <v>26</v>
      </c>
      <c r="G8" s="47">
        <v>17</v>
      </c>
      <c r="H8" s="133">
        <f>IF(B$17=0,0,G8/B$17)</f>
        <v>0.12056737588652482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si="1"/>
        <v>0.40677966101694918</v>
      </c>
      <c r="E9" s="63" t="s">
        <v>72</v>
      </c>
      <c r="F9" s="60" t="s">
        <v>27</v>
      </c>
      <c r="G9" s="47">
        <v>7</v>
      </c>
      <c r="H9" s="133">
        <f>IF(B$17=0,0,G9/B$17)</f>
        <v>4.9645390070921988E-2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1"/>
        <v>0.16949152542372881</v>
      </c>
      <c r="E10" s="63" t="s">
        <v>73</v>
      </c>
      <c r="F10" s="60" t="s">
        <v>28</v>
      </c>
      <c r="G10" s="47">
        <v>69</v>
      </c>
      <c r="H10" s="133">
        <f>IF(B$17=0,0,G10/B$17)</f>
        <v>0.48936170212765956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1"/>
        <v>6.7796610169491525E-2</v>
      </c>
      <c r="E11" s="63" t="s">
        <v>74</v>
      </c>
      <c r="F11" s="60" t="s">
        <v>29</v>
      </c>
      <c r="G11" s="47">
        <v>3</v>
      </c>
      <c r="H11" s="133">
        <f>IF(B$17=0,0,G11/B$17)</f>
        <v>2.1276595744680851E-2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-7.753333333333333</v>
      </c>
      <c r="P11" s="119">
        <v>30</v>
      </c>
      <c r="Q11" s="107">
        <v>-232.6</v>
      </c>
    </row>
    <row r="12" spans="1:17" x14ac:dyDescent="0.4">
      <c r="A12" s="57" t="s">
        <v>160</v>
      </c>
      <c r="B12" s="49">
        <v>3</v>
      </c>
      <c r="C12" s="42">
        <f t="shared" si="1"/>
        <v>5.0847457627118647E-2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-6.4599999999999982</v>
      </c>
      <c r="P12" s="120">
        <v>15</v>
      </c>
      <c r="Q12" s="108">
        <v>-96.899999999999977</v>
      </c>
    </row>
    <row r="13" spans="1:17" x14ac:dyDescent="0.4">
      <c r="A13" s="58" t="s">
        <v>122</v>
      </c>
      <c r="B13" s="50">
        <v>110</v>
      </c>
      <c r="C13" s="44">
        <f>IF(B$3=0,0,B13/B$3)</f>
        <v>0.21782178217821782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0.22376237623762377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0.5636363636363636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0.33628318584070799</v>
      </c>
      <c r="E16" s="63" t="s">
        <v>79</v>
      </c>
      <c r="F16" s="60" t="s">
        <v>34</v>
      </c>
      <c r="G16" s="47">
        <v>3</v>
      </c>
      <c r="H16" s="133">
        <f>IF(B$17=0,0,G16/B$17)</f>
        <v>2.1276595744680851E-2</v>
      </c>
      <c r="I16" s="94">
        <v>10</v>
      </c>
      <c r="K16" s="38">
        <v>14</v>
      </c>
      <c r="L16" s="99">
        <v>-269.99999999999994</v>
      </c>
      <c r="N16" s="115" t="s">
        <v>129</v>
      </c>
      <c r="O16" s="125">
        <f t="shared" si="2"/>
        <v>2.7750000000000004</v>
      </c>
      <c r="P16" s="119">
        <v>16</v>
      </c>
      <c r="Q16" s="107">
        <v>44.400000000000006</v>
      </c>
    </row>
    <row r="17" spans="1:17" x14ac:dyDescent="0.4">
      <c r="A17" s="54" t="s">
        <v>10</v>
      </c>
      <c r="B17" s="46">
        <f>B19+B18</f>
        <v>141</v>
      </c>
      <c r="C17" s="37">
        <f>IF(B$3=0,0,B17/B$3)</f>
        <v>0.27920792079207923</v>
      </c>
      <c r="E17" s="63" t="s">
        <v>80</v>
      </c>
      <c r="F17" s="60" t="s">
        <v>35</v>
      </c>
      <c r="G17" s="47">
        <v>3</v>
      </c>
      <c r="H17" s="133">
        <f>IF(B$17=0,0,G17/B$17)</f>
        <v>2.1276595744680851E-2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71</v>
      </c>
      <c r="C18" s="39">
        <f>IF(B$17=0,0,B18/B$17)</f>
        <v>0.50354609929078009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70</v>
      </c>
      <c r="C19" s="39">
        <f>IF(B$17=0,0,B19/B$17)</f>
        <v>0.49645390070921985</v>
      </c>
      <c r="E19" s="63" t="s">
        <v>82</v>
      </c>
      <c r="F19" s="60" t="s">
        <v>37</v>
      </c>
      <c r="G19" s="47">
        <v>1</v>
      </c>
      <c r="H19" s="133">
        <f>IF(B$17=0,0,G19/B$17)</f>
        <v>7.0921985815602835E-3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97</v>
      </c>
      <c r="C20" s="39">
        <f>IF(B$3=0,0,B20/B$3)</f>
        <v>0.19207920792079208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-16.7</v>
      </c>
      <c r="P20" s="119">
        <v>10</v>
      </c>
      <c r="Q20" s="107">
        <v>-167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2.1276595744680851E-2</v>
      </c>
      <c r="I21" s="94">
        <v>11</v>
      </c>
      <c r="K21" s="38">
        <v>19</v>
      </c>
      <c r="L21" s="99">
        <v>-188.59999999999994</v>
      </c>
      <c r="N21" s="115" t="s">
        <v>127</v>
      </c>
      <c r="O21" s="125">
        <f t="shared" si="2"/>
        <v>-25.017857142857142</v>
      </c>
      <c r="P21" s="119">
        <v>28</v>
      </c>
      <c r="Q21" s="107">
        <v>-700.5</v>
      </c>
    </row>
    <row r="22" spans="1:17" x14ac:dyDescent="0.4">
      <c r="A22" s="55" t="s">
        <v>192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7531.2056737588655</v>
      </c>
      <c r="C23" s="41">
        <v>1061900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-8221.649484536083</v>
      </c>
      <c r="C24" s="45">
        <v>-797500</v>
      </c>
      <c r="E24" s="63" t="s">
        <v>87</v>
      </c>
      <c r="F24" s="60" t="s">
        <v>42</v>
      </c>
      <c r="G24" s="47">
        <v>6</v>
      </c>
      <c r="H24" s="133">
        <f>IF(B$17=0,0,G24/B$17)</f>
        <v>4.2553191489361701E-2</v>
      </c>
      <c r="I24" s="94">
        <v>10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7.0921985815602835E-3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3.9603960396039604E-3</v>
      </c>
      <c r="E27" s="63" t="s">
        <v>90</v>
      </c>
      <c r="F27" s="60" t="s">
        <v>45</v>
      </c>
      <c r="G27" s="47">
        <v>18</v>
      </c>
      <c r="H27" s="133">
        <f>IF(B$17=0,0,G27/B$17)</f>
        <v>0.1276595744680851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1.4184397163120567E-2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7.0921985815602835E-3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1.4184397163120567E-2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51</v>
      </c>
      <c r="H51" s="138">
        <f>IF(B$17=0,0,G51/B$17)</f>
        <v>0.36170212765957449</v>
      </c>
      <c r="I51" s="139">
        <v>12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</sheetData>
  <sortState xmlns:xlrd2="http://schemas.microsoft.com/office/spreadsheetml/2017/richdata2" ref="E2:I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11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111</v>
      </c>
      <c r="C2" s="151"/>
      <c r="E2" s="62" t="s">
        <v>65</v>
      </c>
      <c r="F2" s="59" t="s">
        <v>21</v>
      </c>
      <c r="G2" s="46">
        <v>148</v>
      </c>
      <c r="H2" s="132">
        <f>IF(B$17=0,0,G2/B$17)</f>
        <v>0.59199999999999997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686.48648648648646</v>
      </c>
      <c r="P2" s="118">
        <v>111</v>
      </c>
      <c r="Q2" s="102">
        <v>76200</v>
      </c>
    </row>
    <row r="3" spans="1:17" x14ac:dyDescent="0.4">
      <c r="A3" s="55" t="s">
        <v>8</v>
      </c>
      <c r="B3" s="152">
        <v>914</v>
      </c>
      <c r="C3" s="153"/>
      <c r="E3" s="63" t="s">
        <v>67</v>
      </c>
      <c r="F3" s="60" t="s">
        <v>23</v>
      </c>
      <c r="G3" s="47">
        <v>138</v>
      </c>
      <c r="H3" s="133">
        <f>IF(B$17=0,0,G3/B$17)</f>
        <v>0.55200000000000005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635.51401869158883</v>
      </c>
      <c r="P3" s="119">
        <v>107</v>
      </c>
      <c r="Q3" s="103">
        <v>68000</v>
      </c>
    </row>
    <row r="4" spans="1:17" x14ac:dyDescent="0.4">
      <c r="A4" s="55" t="s">
        <v>6</v>
      </c>
      <c r="B4" s="154">
        <v>-3.6000000000000654</v>
      </c>
      <c r="C4" s="155"/>
      <c r="E4" s="63" t="s">
        <v>73</v>
      </c>
      <c r="F4" s="60" t="s">
        <v>28</v>
      </c>
      <c r="G4" s="47">
        <v>115</v>
      </c>
      <c r="H4" s="133">
        <f>IF(B$17=0,0,G4/B$17)</f>
        <v>0.46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-552</v>
      </c>
      <c r="P4" s="119">
        <v>100</v>
      </c>
      <c r="Q4" s="103">
        <v>-55200</v>
      </c>
    </row>
    <row r="5" spans="1:17" x14ac:dyDescent="0.4">
      <c r="A5" s="55" t="s">
        <v>7</v>
      </c>
      <c r="B5" s="156">
        <f>IF(B$2=0,0,B$4/B$2)</f>
        <v>-3.2432432432433024E-2</v>
      </c>
      <c r="C5" s="157"/>
      <c r="E5" s="63" t="s">
        <v>245</v>
      </c>
      <c r="F5" s="60" t="s">
        <v>246</v>
      </c>
      <c r="G5" s="47">
        <v>104</v>
      </c>
      <c r="H5" s="133">
        <f>IF(B$17=0,0,G5/B$17)</f>
        <v>0.41599999999999998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0"/>
        <v>1010.5263157894736</v>
      </c>
      <c r="P5" s="119">
        <v>95</v>
      </c>
      <c r="Q5" s="103">
        <v>96000</v>
      </c>
    </row>
    <row r="6" spans="1:17" x14ac:dyDescent="0.4">
      <c r="A6" s="55" t="s">
        <v>1</v>
      </c>
      <c r="B6" s="146">
        <f>IF(B$2=0,0,(B$7*1+B$8*2+B$9*3)/B$2)</f>
        <v>1.9909909909909911</v>
      </c>
      <c r="C6" s="147"/>
      <c r="E6" s="63" t="s">
        <v>68</v>
      </c>
      <c r="F6" s="60" t="s">
        <v>24</v>
      </c>
      <c r="G6" s="47">
        <v>103</v>
      </c>
      <c r="H6" s="133">
        <f>IF(B$17=0,0,G6/B$17)</f>
        <v>0.41199999999999998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-2257.4712643678163</v>
      </c>
      <c r="P6" s="119">
        <v>87</v>
      </c>
      <c r="Q6" s="103">
        <v>-196400</v>
      </c>
    </row>
    <row r="7" spans="1:17" x14ac:dyDescent="0.4">
      <c r="A7" s="55" t="s">
        <v>2</v>
      </c>
      <c r="B7" s="47">
        <v>36</v>
      </c>
      <c r="C7" s="39">
        <f t="shared" ref="C7:C12" si="1">IF(B$2=0,0,B7/B$2)</f>
        <v>0.32432432432432434</v>
      </c>
      <c r="E7" s="63" t="s">
        <v>69</v>
      </c>
      <c r="F7" s="60" t="s">
        <v>12</v>
      </c>
      <c r="G7" s="47">
        <v>84</v>
      </c>
      <c r="H7" s="133">
        <f>IF(B$17=0,0,G7/B$17)</f>
        <v>0.33600000000000002</v>
      </c>
      <c r="I7" s="94">
        <v>5</v>
      </c>
      <c r="K7" s="38">
        <v>5</v>
      </c>
      <c r="L7" s="99">
        <v>35.4</v>
      </c>
      <c r="N7" s="116" t="s">
        <v>137</v>
      </c>
      <c r="O7" s="123">
        <f t="shared" si="0"/>
        <v>842.25352112676057</v>
      </c>
      <c r="P7" s="120">
        <v>71</v>
      </c>
      <c r="Q7" s="104">
        <v>59800</v>
      </c>
    </row>
    <row r="8" spans="1:17" x14ac:dyDescent="0.4">
      <c r="A8" s="55" t="s">
        <v>3</v>
      </c>
      <c r="B8" s="47">
        <v>40</v>
      </c>
      <c r="C8" s="39">
        <f t="shared" si="1"/>
        <v>0.36036036036036034</v>
      </c>
      <c r="E8" s="63" t="s">
        <v>70</v>
      </c>
      <c r="F8" s="60" t="s">
        <v>25</v>
      </c>
      <c r="G8" s="47">
        <v>37</v>
      </c>
      <c r="H8" s="133">
        <f>IF(B$17=0,0,G8/B$17)</f>
        <v>0.14799999999999999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si="1"/>
        <v>0.31531531531531531</v>
      </c>
      <c r="E9" s="63" t="s">
        <v>66</v>
      </c>
      <c r="F9" s="60" t="s">
        <v>22</v>
      </c>
      <c r="G9" s="47">
        <v>30</v>
      </c>
      <c r="H9" s="133">
        <f>IF(B$17=0,0,G9/B$17)</f>
        <v>0.12</v>
      </c>
      <c r="I9" s="94">
        <v>3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 t="shared" si="1"/>
        <v>0.12612612612612611</v>
      </c>
      <c r="E10" s="63" t="s">
        <v>90</v>
      </c>
      <c r="F10" s="60" t="s">
        <v>45</v>
      </c>
      <c r="G10" s="47">
        <v>28</v>
      </c>
      <c r="H10" s="133">
        <f>IF(B$17=0,0,G10/B$17)</f>
        <v>0.112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-6.5026315789473692</v>
      </c>
      <c r="P10" s="118">
        <v>38</v>
      </c>
      <c r="Q10" s="106">
        <v>-247.10000000000002</v>
      </c>
    </row>
    <row r="11" spans="1:17" x14ac:dyDescent="0.4">
      <c r="A11" s="56" t="s">
        <v>140</v>
      </c>
      <c r="B11" s="48">
        <v>11</v>
      </c>
      <c r="C11" s="40">
        <f t="shared" si="1"/>
        <v>9.90990990990991E-2</v>
      </c>
      <c r="E11" s="63" t="s">
        <v>71</v>
      </c>
      <c r="F11" s="60" t="s">
        <v>26</v>
      </c>
      <c r="G11" s="47">
        <v>18</v>
      </c>
      <c r="H11" s="133">
        <f>IF(B$17=0,0,G11/B$17)</f>
        <v>7.1999999999999995E-2</v>
      </c>
      <c r="I11" s="94">
        <v>9</v>
      </c>
      <c r="K11" s="38">
        <v>9</v>
      </c>
      <c r="L11" s="99">
        <v>-128.6</v>
      </c>
      <c r="N11" s="115" t="s">
        <v>165</v>
      </c>
      <c r="O11" s="125">
        <f>IF(P11=0,0,Q11/P11)</f>
        <v>5.0256410256410247</v>
      </c>
      <c r="P11" s="119">
        <v>39</v>
      </c>
      <c r="Q11" s="107">
        <v>195.99999999999997</v>
      </c>
    </row>
    <row r="12" spans="1:17" x14ac:dyDescent="0.4">
      <c r="A12" s="57" t="s">
        <v>160</v>
      </c>
      <c r="B12" s="49">
        <v>8</v>
      </c>
      <c r="C12" s="42">
        <f t="shared" si="1"/>
        <v>7.2072072072072071E-2</v>
      </c>
      <c r="E12" s="63" t="s">
        <v>72</v>
      </c>
      <c r="F12" s="60" t="s">
        <v>27</v>
      </c>
      <c r="G12" s="47">
        <v>18</v>
      </c>
      <c r="H12" s="133">
        <f>IF(B$17=0,0,G12/B$17)</f>
        <v>7.1999999999999995E-2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1.397058823529411</v>
      </c>
      <c r="P12" s="120">
        <v>34</v>
      </c>
      <c r="Q12" s="108">
        <v>47.499999999999972</v>
      </c>
    </row>
    <row r="13" spans="1:17" x14ac:dyDescent="0.4">
      <c r="A13" s="58" t="s">
        <v>122</v>
      </c>
      <c r="B13" s="50">
        <v>245</v>
      </c>
      <c r="C13" s="44">
        <f>IF(B$3=0,0,B13/B$3)</f>
        <v>0.26805251641137856</v>
      </c>
      <c r="E13" s="63" t="s">
        <v>84</v>
      </c>
      <c r="F13" s="60" t="s">
        <v>39</v>
      </c>
      <c r="G13" s="47">
        <v>14</v>
      </c>
      <c r="H13" s="133">
        <f>IF(B$17=0,0,G13/B$17)</f>
        <v>5.6000000000000001E-2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173</v>
      </c>
      <c r="C14" s="39">
        <f>IF(B$3=0,0,B14/B$3)</f>
        <v>0.18927789934354486</v>
      </c>
      <c r="E14" s="63" t="s">
        <v>87</v>
      </c>
      <c r="F14" s="60" t="s">
        <v>42</v>
      </c>
      <c r="G14" s="47">
        <v>11</v>
      </c>
      <c r="H14" s="133">
        <f>IF(B$17=0,0,G14/B$17)</f>
        <v>4.3999999999999997E-2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148</v>
      </c>
      <c r="C15" s="37">
        <f>IF(B$13=0,0,B15/B$13)</f>
        <v>0.60408163265306125</v>
      </c>
      <c r="E15" s="63" t="s">
        <v>92</v>
      </c>
      <c r="F15" s="60" t="s">
        <v>47</v>
      </c>
      <c r="G15" s="47">
        <v>9</v>
      </c>
      <c r="H15" s="133">
        <f>IF(B$17=0,0,G15/B$17)</f>
        <v>3.5999999999999997E-2</v>
      </c>
      <c r="I15" s="94">
        <v>3</v>
      </c>
      <c r="K15" s="38">
        <v>13</v>
      </c>
      <c r="L15" s="99">
        <v>-209.59999999999997</v>
      </c>
      <c r="N15" s="114" t="s">
        <v>271</v>
      </c>
      <c r="O15" s="124">
        <f>IF(P15=0,0,Q15/P15)</f>
        <v>69.774999999999991</v>
      </c>
      <c r="P15" s="118">
        <v>4</v>
      </c>
      <c r="Q15" s="106">
        <v>279.09999999999997</v>
      </c>
    </row>
    <row r="16" spans="1:17" x14ac:dyDescent="0.4">
      <c r="A16" s="54" t="s">
        <v>125</v>
      </c>
      <c r="B16" s="46">
        <v>62</v>
      </c>
      <c r="C16" s="37">
        <f>IF(B$14=0,0,B16/B$14)</f>
        <v>0.3583815028901734</v>
      </c>
      <c r="E16" s="63" t="s">
        <v>79</v>
      </c>
      <c r="F16" s="60" t="s">
        <v>34</v>
      </c>
      <c r="G16" s="47">
        <v>8</v>
      </c>
      <c r="H16" s="133">
        <f>IF(B$17=0,0,G16/B$17)</f>
        <v>3.2000000000000001E-2</v>
      </c>
      <c r="I16" s="94">
        <v>5</v>
      </c>
      <c r="K16" s="38">
        <v>14</v>
      </c>
      <c r="L16" s="99">
        <v>-178.49999999999997</v>
      </c>
      <c r="N16" s="115" t="s">
        <v>171</v>
      </c>
      <c r="O16" s="125">
        <f>IF(P16=0,0,Q16/P16)</f>
        <v>30.295833333333338</v>
      </c>
      <c r="P16" s="119">
        <v>24</v>
      </c>
      <c r="Q16" s="107">
        <v>727.10000000000014</v>
      </c>
    </row>
    <row r="17" spans="1:17" x14ac:dyDescent="0.4">
      <c r="A17" s="54" t="s">
        <v>10</v>
      </c>
      <c r="B17" s="46">
        <f>B19+B18</f>
        <v>250</v>
      </c>
      <c r="C17" s="37">
        <f>IF(B$3=0,0,B17/B$3)</f>
        <v>0.2735229759299781</v>
      </c>
      <c r="E17" s="63" t="s">
        <v>82</v>
      </c>
      <c r="F17" s="60" t="s">
        <v>37</v>
      </c>
      <c r="G17" s="47">
        <v>7</v>
      </c>
      <c r="H17" s="133">
        <f>IF(B$17=0,0,G17/B$17)</f>
        <v>2.8000000000000001E-2</v>
      </c>
      <c r="I17" s="94">
        <v>5</v>
      </c>
      <c r="K17" s="38">
        <v>15</v>
      </c>
      <c r="L17" s="99">
        <v>-146.19999999999999</v>
      </c>
      <c r="N17" s="115" t="s">
        <v>173</v>
      </c>
      <c r="O17" s="125">
        <f>IF(P17=0,0,Q17/P17)</f>
        <v>16.700000000000003</v>
      </c>
      <c r="P17" s="119">
        <v>10</v>
      </c>
      <c r="Q17" s="107">
        <v>167.00000000000003</v>
      </c>
    </row>
    <row r="18" spans="1:17" x14ac:dyDescent="0.4">
      <c r="A18" s="55" t="s">
        <v>12</v>
      </c>
      <c r="B18" s="47">
        <v>114</v>
      </c>
      <c r="C18" s="39">
        <f>IF(B$17=0,0,B18/B$17)</f>
        <v>0.45600000000000002</v>
      </c>
      <c r="E18" s="63" t="s">
        <v>86</v>
      </c>
      <c r="F18" s="60" t="s">
        <v>41</v>
      </c>
      <c r="G18" s="47">
        <v>5</v>
      </c>
      <c r="H18" s="133">
        <f>IF(B$17=0,0,G18/B$17)</f>
        <v>0.02</v>
      </c>
      <c r="I18" s="94">
        <v>1</v>
      </c>
      <c r="K18" s="38">
        <v>16</v>
      </c>
      <c r="L18" s="99">
        <v>-153.29999999999998</v>
      </c>
      <c r="N18" s="115" t="s">
        <v>200</v>
      </c>
      <c r="O18" s="125">
        <f>IF(P18=0,0,Q18/P18)</f>
        <v>9.3545454545454572</v>
      </c>
      <c r="P18" s="119">
        <v>11</v>
      </c>
      <c r="Q18" s="107">
        <v>102.90000000000002</v>
      </c>
    </row>
    <row r="19" spans="1:17" x14ac:dyDescent="0.4">
      <c r="A19" s="55" t="s">
        <v>11</v>
      </c>
      <c r="B19" s="47">
        <v>136</v>
      </c>
      <c r="C19" s="39">
        <f>IF(B$17=0,0,B19/B$17)</f>
        <v>0.54400000000000004</v>
      </c>
      <c r="E19" s="63" t="s">
        <v>80</v>
      </c>
      <c r="F19" s="60" t="s">
        <v>35</v>
      </c>
      <c r="G19" s="47">
        <v>4</v>
      </c>
      <c r="H19" s="133">
        <f>IF(B$17=0,0,G19/B$17)</f>
        <v>1.6E-2</v>
      </c>
      <c r="I19" s="94">
        <v>7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137</v>
      </c>
      <c r="C20" s="39">
        <f>IF(B$3=0,0,B20/B$3)</f>
        <v>0.14989059080962802</v>
      </c>
      <c r="E20" s="63" t="s">
        <v>75</v>
      </c>
      <c r="F20" s="60" t="s">
        <v>30</v>
      </c>
      <c r="G20" s="47">
        <v>2</v>
      </c>
      <c r="H20" s="133">
        <f>IF(B$17=0,0,G20/B$17)</f>
        <v>8.0000000000000002E-3</v>
      </c>
      <c r="I20" s="94">
        <v>2</v>
      </c>
      <c r="K20" s="38">
        <v>18</v>
      </c>
      <c r="L20" s="99">
        <v>-159</v>
      </c>
      <c r="N20" s="115" t="s">
        <v>128</v>
      </c>
      <c r="O20" s="125">
        <f>IF(P20=0,0,Q20/P20)</f>
        <v>-0.50909090909090871</v>
      </c>
      <c r="P20" s="119">
        <v>33</v>
      </c>
      <c r="Q20" s="107">
        <v>-16.799999999999986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76</v>
      </c>
      <c r="F21" s="60" t="s">
        <v>31</v>
      </c>
      <c r="G21" s="47">
        <v>2</v>
      </c>
      <c r="H21" s="133">
        <f>IF(B$17=0,0,G21/B$17)</f>
        <v>8.0000000000000002E-3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>IF(P21=0,0,Q21/P21)</f>
        <v>-1.6239999999999997</v>
      </c>
      <c r="P21" s="119">
        <v>50</v>
      </c>
      <c r="Q21" s="107">
        <v>-81.199999999999989</v>
      </c>
    </row>
    <row r="22" spans="1:17" x14ac:dyDescent="0.4">
      <c r="A22" s="55" t="s">
        <v>192</v>
      </c>
      <c r="B22" s="47">
        <v>45</v>
      </c>
      <c r="C22" s="135">
        <v>8</v>
      </c>
      <c r="E22" s="63" t="s">
        <v>78</v>
      </c>
      <c r="F22" s="60" t="s">
        <v>33</v>
      </c>
      <c r="G22" s="47">
        <v>2</v>
      </c>
      <c r="H22" s="133">
        <f>IF(B$17=0,0,G22/B$17)</f>
        <v>8.0000000000000002E-3</v>
      </c>
      <c r="I22" s="94">
        <v>4</v>
      </c>
      <c r="K22" s="38">
        <v>20</v>
      </c>
      <c r="L22" s="99">
        <v>-200.8</v>
      </c>
      <c r="N22" s="115" t="s">
        <v>172</v>
      </c>
      <c r="O22" s="125">
        <f>IF(P22=0,0,Q22/P22)</f>
        <v>-2.2741935483870979</v>
      </c>
      <c r="P22" s="119">
        <v>31</v>
      </c>
      <c r="Q22" s="107">
        <v>-70.500000000000028</v>
      </c>
    </row>
    <row r="23" spans="1:17" x14ac:dyDescent="0.4">
      <c r="A23" s="55" t="s">
        <v>5</v>
      </c>
      <c r="B23" s="51">
        <f>IF(B$17=0,0,C23/B$17)</f>
        <v>8717.2000000000007</v>
      </c>
      <c r="C23" s="41">
        <v>2179300</v>
      </c>
      <c r="E23" s="63" t="s">
        <v>91</v>
      </c>
      <c r="F23" s="60" t="s">
        <v>46</v>
      </c>
      <c r="G23" s="47">
        <v>2</v>
      </c>
      <c r="H23" s="133">
        <f>IF(B$17=0,0,G23/B$17)</f>
        <v>8.0000000000000002E-3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>IF(P23=0,0,Q23/P23)</f>
        <v>-20.190000000000008</v>
      </c>
      <c r="P23" s="119">
        <v>50</v>
      </c>
      <c r="Q23" s="107">
        <v>-1009.5000000000003</v>
      </c>
    </row>
    <row r="24" spans="1:17" x14ac:dyDescent="0.4">
      <c r="A24" s="57" t="s">
        <v>14</v>
      </c>
      <c r="B24" s="52">
        <f>IF(B$20=0,0,C24/B$20)</f>
        <v>-7205.1094890510949</v>
      </c>
      <c r="C24" s="45">
        <v>-987100</v>
      </c>
      <c r="E24" s="63" t="s">
        <v>93</v>
      </c>
      <c r="F24" s="60" t="s">
        <v>48</v>
      </c>
      <c r="G24" s="47">
        <v>1</v>
      </c>
      <c r="H24" s="133">
        <f>IF(B$17=0,0,G24/B$17)</f>
        <v>4.0000000000000001E-3</v>
      </c>
      <c r="I24" s="94">
        <v>4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4.0000000000000001E-3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4.0000000000000001E-3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3.2822757111597373E-3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  <row r="112" spans="11:12" x14ac:dyDescent="0.4">
      <c r="K112" s="38">
        <v>110</v>
      </c>
      <c r="L112" s="99">
        <v>-43.800000000000068</v>
      </c>
    </row>
    <row r="113" spans="11:12" x14ac:dyDescent="0.4">
      <c r="K113" s="38">
        <v>111</v>
      </c>
      <c r="L113" s="99">
        <v>-3.6000000000000654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1"/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1"/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1"/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1"/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1"/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29</v>
      </c>
      <c r="H2" s="132">
        <f>IF(B$17=0,0,G2/B$17)</f>
        <v>0.44615384615384618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7.6923076923076927E-2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67</v>
      </c>
      <c r="F4" s="60" t="s">
        <v>23</v>
      </c>
      <c r="G4" s="47">
        <v>34</v>
      </c>
      <c r="H4" s="133">
        <f>IF(B$17=0,0,G4/B$17)</f>
        <v>0.52307692307692311</v>
      </c>
      <c r="I4" s="94">
        <v>14</v>
      </c>
      <c r="K4" s="38">
        <v>2</v>
      </c>
      <c r="L4" s="99">
        <v>-28.1</v>
      </c>
      <c r="N4" s="115" t="s">
        <v>134</v>
      </c>
      <c r="O4" s="122">
        <f t="shared" si="0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68</v>
      </c>
      <c r="F5" s="60" t="s">
        <v>24</v>
      </c>
      <c r="G5" s="47">
        <v>20</v>
      </c>
      <c r="H5" s="133">
        <f>IF(B$17=0,0,G5/B$17)</f>
        <v>0.30769230769230771</v>
      </c>
      <c r="I5" s="94">
        <v>7</v>
      </c>
      <c r="K5" s="38">
        <v>3</v>
      </c>
      <c r="L5" s="99">
        <v>-20.400000000000002</v>
      </c>
      <c r="N5" s="115" t="s">
        <v>135</v>
      </c>
      <c r="O5" s="122">
        <f t="shared" si="0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0.35384615384615387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0.15384615384615385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0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1"/>
        <v>0.47619047619047616</v>
      </c>
      <c r="E8" s="63" t="s">
        <v>71</v>
      </c>
      <c r="F8" s="60" t="s">
        <v>26</v>
      </c>
      <c r="G8" s="47">
        <v>3</v>
      </c>
      <c r="H8" s="133">
        <f>IF(B$17=0,0,G8/B$17)</f>
        <v>4.6153846153846156E-2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0.19047619047619047</v>
      </c>
      <c r="E9" s="63" t="s">
        <v>72</v>
      </c>
      <c r="F9" s="60" t="s">
        <v>27</v>
      </c>
      <c r="G9" s="47">
        <v>1</v>
      </c>
      <c r="H9" s="133">
        <f>IF(B$17=0,0,G9/B$17)</f>
        <v>1.5384615384615385E-2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1"/>
        <v>0.14285714285714285</v>
      </c>
      <c r="E10" s="63" t="s">
        <v>73</v>
      </c>
      <c r="F10" s="60" t="s">
        <v>28</v>
      </c>
      <c r="G10" s="47">
        <v>48</v>
      </c>
      <c r="H10" s="133">
        <f>IF(B$17=0,0,G10/B$17)</f>
        <v>0.7384615384615385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1"/>
        <v>4.7619047619047616E-2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1"/>
        <v>9.5238095238095233E-2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78</v>
      </c>
      <c r="F15" s="60" t="s">
        <v>33</v>
      </c>
      <c r="G15" s="47">
        <v>3</v>
      </c>
      <c r="H15" s="133">
        <f>IF(B$17=0,0,G15/B$17)</f>
        <v>4.6153846153846156E-2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79</v>
      </c>
      <c r="F16" s="60" t="s">
        <v>34</v>
      </c>
      <c r="G16" s="47">
        <v>4</v>
      </c>
      <c r="H16" s="133">
        <f>IF(B$17=0,0,G16/B$17)</f>
        <v>6.1538461538461542E-2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>IF(B$17=0,0,G17/B$17)</f>
        <v>1.5384615384615385E-2</v>
      </c>
      <c r="I17" s="94">
        <v>9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82</v>
      </c>
      <c r="F19" s="60" t="s">
        <v>37</v>
      </c>
      <c r="G19" s="47">
        <v>1</v>
      </c>
      <c r="H19" s="133">
        <f>IF(B$17=0,0,G19/B$17)</f>
        <v>1.5384615384615385E-2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4.6153846153846156E-2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 t="shared" si="2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80.999999999999986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87</v>
      </c>
      <c r="F24" s="60" t="s">
        <v>42</v>
      </c>
      <c r="G24" s="47">
        <v>7</v>
      </c>
      <c r="H24" s="133">
        <f>IF(B$17=0,0,G24/B$17)</f>
        <v>0.1076923076923077</v>
      </c>
      <c r="I24" s="94">
        <v>3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90</v>
      </c>
      <c r="F27" s="60" t="s">
        <v>45</v>
      </c>
      <c r="G27" s="47">
        <v>10</v>
      </c>
      <c r="H27" s="133">
        <f>IF(B$17=0,0,G27/B$17)</f>
        <v>0.15384615384615385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21</v>
      </c>
      <c r="H51" s="138">
        <f>IF(B$17=0,0,G51/B$17)</f>
        <v>0.32307692307692309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13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9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1"/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1"/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1"/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0.52941176470588236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-5362.5</v>
      </c>
      <c r="P2" s="118">
        <v>8</v>
      </c>
      <c r="Q2" s="102">
        <v>-42900</v>
      </c>
    </row>
    <row r="3" spans="1:17" x14ac:dyDescent="0.4">
      <c r="A3" s="55" t="s">
        <v>8</v>
      </c>
      <c r="B3" s="152">
        <v>72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5.8823529411764705E-2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-4025</v>
      </c>
      <c r="P3" s="119">
        <v>8</v>
      </c>
      <c r="Q3" s="103">
        <v>-32200</v>
      </c>
    </row>
    <row r="4" spans="1:17" x14ac:dyDescent="0.4">
      <c r="A4" s="55" t="s">
        <v>6</v>
      </c>
      <c r="B4" s="154">
        <v>-289.8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0.52941176470588236</v>
      </c>
      <c r="I4" s="94">
        <v>13</v>
      </c>
      <c r="K4" s="38">
        <v>2</v>
      </c>
      <c r="L4" s="99">
        <v>-96.5</v>
      </c>
      <c r="N4" s="115" t="s">
        <v>134</v>
      </c>
      <c r="O4" s="122">
        <f t="shared" si="0"/>
        <v>-300</v>
      </c>
      <c r="P4" s="119">
        <v>7</v>
      </c>
      <c r="Q4" s="103">
        <v>-2100</v>
      </c>
    </row>
    <row r="5" spans="1:17" x14ac:dyDescent="0.4">
      <c r="A5" s="55" t="s">
        <v>7</v>
      </c>
      <c r="B5" s="156">
        <f>IF(B$2=0,0,B$4/B$2)</f>
        <v>-36.225000000000001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3914.2857142857142</v>
      </c>
      <c r="P5" s="119">
        <v>7</v>
      </c>
      <c r="Q5" s="103">
        <v>27400</v>
      </c>
    </row>
    <row r="6" spans="1:17" x14ac:dyDescent="0.4">
      <c r="A6" s="55" t="s">
        <v>1</v>
      </c>
      <c r="B6" s="146">
        <f>IF(B$2=0,0,(B$7*1+B$8*2+B$9*3)/B$2)</f>
        <v>2.75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0.23529411764705882</v>
      </c>
      <c r="I6" s="94">
        <v>13</v>
      </c>
      <c r="K6" s="38">
        <v>4</v>
      </c>
      <c r="L6" s="99">
        <v>-134.1</v>
      </c>
      <c r="N6" s="115" t="s">
        <v>136</v>
      </c>
      <c r="O6" s="122">
        <f t="shared" si="0"/>
        <v>-6466.666666666667</v>
      </c>
      <c r="P6" s="119">
        <v>6</v>
      </c>
      <c r="Q6" s="103">
        <v>-38800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2</v>
      </c>
      <c r="H7" s="133">
        <f>IF(B$17=0,0,G7/B$17)</f>
        <v>0.11764705882352941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-6140</v>
      </c>
      <c r="P7" s="120">
        <v>5</v>
      </c>
      <c r="Q7" s="104">
        <v>-30700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5.8823529411764705E-2</v>
      </c>
      <c r="I8" s="94">
        <v>11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0.75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1"/>
        <v>0.125</v>
      </c>
      <c r="E10" s="63" t="s">
        <v>73</v>
      </c>
      <c r="F10" s="60" t="s">
        <v>28</v>
      </c>
      <c r="G10" s="47">
        <v>7</v>
      </c>
      <c r="H10" s="133">
        <f>IF(B$17=0,0,G10/B$17)</f>
        <v>0.41176470588235292</v>
      </c>
      <c r="I10" s="94">
        <v>13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9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0.18055555555555555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</v>
      </c>
      <c r="C15" s="37">
        <f>IF(B$13=0,0,B15/B$13)</f>
        <v>0.69230769230769229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5.8823529411764705E-2</v>
      </c>
      <c r="I16" s="94">
        <v>3</v>
      </c>
      <c r="N16" s="115" t="s">
        <v>129</v>
      </c>
      <c r="O16" s="125">
        <f>IF(P16=0,0,Q16/P16)</f>
        <v>-52.959999999999994</v>
      </c>
      <c r="P16" s="119">
        <v>5</v>
      </c>
      <c r="Q16" s="107">
        <v>-264.79999999999995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0.2361111111111111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177</v>
      </c>
      <c r="O17" s="125">
        <f>IF(P17=0,0,Q17/P17)</f>
        <v>-69.775000000000006</v>
      </c>
      <c r="P17" s="119">
        <v>4</v>
      </c>
      <c r="Q17" s="107">
        <v>-279.10000000000002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19</v>
      </c>
      <c r="C20" s="39">
        <f>IF(B$3=0,0,B20/B$3)</f>
        <v>0.2638888888888889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6776.4705882352937</v>
      </c>
      <c r="C23" s="41">
        <v>115200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-7089.4736842105267</v>
      </c>
      <c r="C24" s="45">
        <v>-134700</v>
      </c>
      <c r="E24" s="63" t="s">
        <v>87</v>
      </c>
      <c r="F24" s="60" t="s">
        <v>42</v>
      </c>
      <c r="G24" s="47">
        <v>2</v>
      </c>
      <c r="H24" s="133">
        <f>IF(B$17=0,0,G24/B$17)</f>
        <v>0.11764705882352941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1</v>
      </c>
      <c r="H27" s="133">
        <f>IF(B$17=0,0,G27/B$17)</f>
        <v>5.8823529411764705E-2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5.8823529411764705E-2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0.52941176470588236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  <row r="113" spans="1:17" x14ac:dyDescent="0.4">
      <c r="A113" s="69">
        <v>110</v>
      </c>
      <c r="B113" s="66">
        <v>-43.800000000000068</v>
      </c>
      <c r="C113" s="66">
        <v>-0.3981818181818188</v>
      </c>
      <c r="D113" s="71">
        <v>2</v>
      </c>
      <c r="E113" s="67">
        <v>0.31818181818181818</v>
      </c>
      <c r="F113" s="67">
        <v>0.31818181818181818</v>
      </c>
      <c r="G113" s="67">
        <v>0.27012127894156562</v>
      </c>
      <c r="H113" s="67">
        <v>0.15104740904079383</v>
      </c>
      <c r="I113" s="68">
        <v>8793.0612244897966</v>
      </c>
      <c r="J113" s="68">
        <v>-7205.1094890510949</v>
      </c>
      <c r="K113" s="67">
        <v>0.12727272727272726</v>
      </c>
      <c r="L113" s="67">
        <v>0.1</v>
      </c>
      <c r="M113" s="67">
        <v>0.27012127894156562</v>
      </c>
      <c r="N113" s="67">
        <v>0.18412348401323042</v>
      </c>
      <c r="O113" s="67">
        <v>0.60408163265306125</v>
      </c>
      <c r="P113" s="67">
        <v>0.3413173652694611</v>
      </c>
      <c r="Q113" s="67">
        <v>0.45714285714285713</v>
      </c>
    </row>
    <row r="114" spans="1:17" x14ac:dyDescent="0.4">
      <c r="A114" s="69">
        <v>111</v>
      </c>
      <c r="B114" s="66">
        <v>-3.6000000000000654</v>
      </c>
      <c r="C114" s="66">
        <v>-3.2432432432433024E-2</v>
      </c>
      <c r="D114" s="71">
        <v>1.9909909909909911</v>
      </c>
      <c r="E114" s="67">
        <v>0.32432432432432434</v>
      </c>
      <c r="F114" s="67">
        <v>0.31531531531531531</v>
      </c>
      <c r="G114" s="67">
        <v>0.2735229759299781</v>
      </c>
      <c r="H114" s="67">
        <v>0.14989059080962802</v>
      </c>
      <c r="I114" s="68">
        <v>8717.2000000000007</v>
      </c>
      <c r="J114" s="68">
        <v>-7205.1094890510949</v>
      </c>
      <c r="K114" s="67">
        <v>0.12612612612612611</v>
      </c>
      <c r="L114" s="67">
        <v>9.90990990990991E-2</v>
      </c>
      <c r="M114" s="67">
        <v>0.26805251641137856</v>
      </c>
      <c r="N114" s="67">
        <v>0.18927789934354486</v>
      </c>
      <c r="O114" s="67">
        <v>0.60408163265306125</v>
      </c>
      <c r="P114" s="67">
        <v>0.3583815028901734</v>
      </c>
      <c r="Q114" s="67">
        <v>0.45600000000000002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197.1</v>
      </c>
      <c r="C110" s="66">
        <v>1.842056074766355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  <row r="111" spans="1:17" x14ac:dyDescent="0.4">
      <c r="A111" s="69">
        <v>108</v>
      </c>
      <c r="B111" s="66">
        <v>180</v>
      </c>
      <c r="C111" s="66">
        <v>1.6666666666666667</v>
      </c>
      <c r="D111" s="71">
        <v>2.0092592592592591</v>
      </c>
      <c r="E111" s="67">
        <v>0.32407407407407407</v>
      </c>
      <c r="F111" s="67">
        <v>0.33333333333333331</v>
      </c>
      <c r="G111" s="67">
        <v>0.29208472686733555</v>
      </c>
      <c r="H111" s="67">
        <v>0.17725752508361203</v>
      </c>
      <c r="I111" s="68">
        <v>10000</v>
      </c>
      <c r="J111" s="68">
        <v>-8353.4591194968561</v>
      </c>
      <c r="K111" s="67">
        <v>0.10185185185185185</v>
      </c>
      <c r="L111" s="67">
        <v>0.14814814814814814</v>
      </c>
      <c r="M111" s="67">
        <v>0.28205128205128205</v>
      </c>
      <c r="N111" s="67">
        <v>0.1995540691192865</v>
      </c>
      <c r="O111" s="67">
        <v>0.56916996047430835</v>
      </c>
      <c r="P111" s="67">
        <v>0.40782122905027934</v>
      </c>
      <c r="Q111" s="67">
        <v>0.40458015267175573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  <row r="169" spans="1:17" x14ac:dyDescent="0.4">
      <c r="A169" s="69">
        <v>166</v>
      </c>
      <c r="B169" s="66">
        <v>-1194.5</v>
      </c>
      <c r="C169" s="66">
        <v>-7.1957831325301207</v>
      </c>
      <c r="D169" s="71">
        <v>2.1144578313253013</v>
      </c>
      <c r="E169" s="67">
        <v>0.29518072289156627</v>
      </c>
      <c r="F169" s="67">
        <v>0.40963855421686746</v>
      </c>
      <c r="G169" s="67">
        <v>0.2717469446441409</v>
      </c>
      <c r="H169" s="67">
        <v>0.17181883537023723</v>
      </c>
      <c r="I169" s="68">
        <v>8317.7248677248681</v>
      </c>
      <c r="J169" s="68">
        <v>-8471.5481171548108</v>
      </c>
      <c r="K169" s="67">
        <v>0.14457831325301204</v>
      </c>
      <c r="L169" s="67">
        <v>0.10240963855421686</v>
      </c>
      <c r="M169" s="67">
        <v>0.24802300503235084</v>
      </c>
      <c r="N169" s="67">
        <v>0.19769949676491733</v>
      </c>
      <c r="O169" s="67">
        <v>0.53623188405797106</v>
      </c>
      <c r="P169" s="67">
        <v>0.35272727272727272</v>
      </c>
      <c r="Q169" s="67">
        <v>0.41798941798941797</v>
      </c>
    </row>
    <row r="170" spans="1:17" x14ac:dyDescent="0.4">
      <c r="A170" s="69">
        <v>167</v>
      </c>
      <c r="B170" s="66">
        <v>-1209.8</v>
      </c>
      <c r="C170" s="66">
        <v>-7.2443113772455083</v>
      </c>
      <c r="D170" s="71">
        <v>2.1137724550898205</v>
      </c>
      <c r="E170" s="67">
        <v>0.29341317365269459</v>
      </c>
      <c r="F170" s="67">
        <v>0.40718562874251496</v>
      </c>
      <c r="G170" s="67">
        <v>0.2720114531138153</v>
      </c>
      <c r="H170" s="67">
        <v>0.17108088761632068</v>
      </c>
      <c r="I170" s="68">
        <v>8285</v>
      </c>
      <c r="J170" s="68">
        <v>-8471.5481171548108</v>
      </c>
      <c r="K170" s="67">
        <v>0.1437125748502994</v>
      </c>
      <c r="L170" s="67">
        <v>0.10179640718562874</v>
      </c>
      <c r="M170" s="67">
        <v>0.24695776664280603</v>
      </c>
      <c r="N170" s="67">
        <v>0.19899785254115962</v>
      </c>
      <c r="O170" s="67">
        <v>0.53623188405797106</v>
      </c>
      <c r="P170" s="67">
        <v>0.35611510791366907</v>
      </c>
      <c r="Q170" s="67">
        <v>0.41842105263157897</v>
      </c>
    </row>
    <row r="171" spans="1:17" x14ac:dyDescent="0.4">
      <c r="A171" s="69">
        <v>168</v>
      </c>
      <c r="B171" s="66">
        <v>-1244.5999999999999</v>
      </c>
      <c r="C171" s="66">
        <v>-7.4083333333333332</v>
      </c>
      <c r="D171" s="71">
        <v>2.1190476190476191</v>
      </c>
      <c r="E171" s="67">
        <v>0.29166666666666669</v>
      </c>
      <c r="F171" s="67">
        <v>0.4107142857142857</v>
      </c>
      <c r="G171" s="67">
        <v>0.27065527065527067</v>
      </c>
      <c r="H171" s="67">
        <v>0.17165242165242164</v>
      </c>
      <c r="I171" s="68">
        <v>8285</v>
      </c>
      <c r="J171" s="68">
        <v>-8420.3319502074683</v>
      </c>
      <c r="K171" s="67">
        <v>0.14285714285714285</v>
      </c>
      <c r="L171" s="67">
        <v>0.10119047619047619</v>
      </c>
      <c r="M171" s="67">
        <v>0.24572649572649571</v>
      </c>
      <c r="N171" s="67">
        <v>0.19943019943019943</v>
      </c>
      <c r="O171" s="67">
        <v>0.53623188405797106</v>
      </c>
      <c r="P171" s="67">
        <v>0.35357142857142859</v>
      </c>
      <c r="Q171" s="67">
        <v>0.41842105263157897</v>
      </c>
    </row>
    <row r="172" spans="1:17" x14ac:dyDescent="0.4">
      <c r="A172" s="69">
        <v>169</v>
      </c>
      <c r="B172" s="66">
        <v>-1197.0999999999999</v>
      </c>
      <c r="C172" s="66">
        <v>-7.0834319526627212</v>
      </c>
      <c r="D172" s="71">
        <v>2.1124260355029585</v>
      </c>
      <c r="E172" s="67">
        <v>0.29585798816568049</v>
      </c>
      <c r="F172" s="67">
        <v>0.40828402366863903</v>
      </c>
      <c r="G172" s="67">
        <v>0.27349823321554773</v>
      </c>
      <c r="H172" s="67">
        <v>0.17173144876325089</v>
      </c>
      <c r="I172" s="68">
        <v>8264.8578811369516</v>
      </c>
      <c r="J172" s="68">
        <v>-8437.0370370370365</v>
      </c>
      <c r="K172" s="67">
        <v>0.14201183431952663</v>
      </c>
      <c r="L172" s="67">
        <v>0.10059171597633136</v>
      </c>
      <c r="M172" s="67">
        <v>0.24381625441696114</v>
      </c>
      <c r="N172" s="67">
        <v>0.20212014134275619</v>
      </c>
      <c r="O172" s="67">
        <v>0.53623188405797106</v>
      </c>
      <c r="P172" s="67">
        <v>0.36013986013986016</v>
      </c>
      <c r="Q172" s="67">
        <v>0.41860465116279072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  <row r="166" spans="1:17" x14ac:dyDescent="0.4">
      <c r="A166" s="69">
        <v>163</v>
      </c>
      <c r="B166" s="66">
        <v>-539.20000000000005</v>
      </c>
      <c r="C166" s="66">
        <v>-3.3079754601226998</v>
      </c>
      <c r="D166" s="71">
        <v>2.0797546012269938</v>
      </c>
      <c r="E166" s="67">
        <v>0.26993865030674846</v>
      </c>
      <c r="F166" s="67">
        <v>0.34969325153374231</v>
      </c>
      <c r="G166" s="67">
        <v>0.27665920954511558</v>
      </c>
      <c r="H166" s="67">
        <v>0.18344519015659955</v>
      </c>
      <c r="I166" s="68">
        <v>8929.380053908355</v>
      </c>
      <c r="J166" s="68">
        <v>-7653.6585365853662</v>
      </c>
      <c r="K166" s="67">
        <v>0.13496932515337423</v>
      </c>
      <c r="L166" s="67">
        <v>9.815950920245399E-2</v>
      </c>
      <c r="M166" s="67">
        <v>0.29604772557792691</v>
      </c>
      <c r="N166" s="67">
        <v>0.17300521998508575</v>
      </c>
      <c r="O166" s="67">
        <v>0.58438287153652391</v>
      </c>
      <c r="P166" s="67">
        <v>0.31465517241379309</v>
      </c>
      <c r="Q166" s="67">
        <v>0.44474393530997303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  <row r="217" spans="1:17" x14ac:dyDescent="0.4">
      <c r="A217" s="69">
        <v>214</v>
      </c>
      <c r="B217" s="66">
        <v>2623.6000000000004</v>
      </c>
      <c r="C217" s="66">
        <v>12.259813084112151</v>
      </c>
      <c r="D217" s="71">
        <v>1.7616822429906542</v>
      </c>
      <c r="E217" s="67">
        <v>0.48598130841121495</v>
      </c>
      <c r="F217" s="67">
        <v>0.24766355140186916</v>
      </c>
      <c r="G217" s="67">
        <v>0.33771428571428569</v>
      </c>
      <c r="H217" s="67">
        <v>0.14971428571428572</v>
      </c>
      <c r="I217" s="68">
        <v>9238.0710659898468</v>
      </c>
      <c r="J217" s="68">
        <v>-8308.0152671755732</v>
      </c>
      <c r="K217" s="67">
        <v>8.4112149532710276E-2</v>
      </c>
      <c r="L217" s="67">
        <v>0.17289719626168223</v>
      </c>
      <c r="M217" s="67">
        <v>0.30514285714285716</v>
      </c>
      <c r="N217" s="67">
        <v>0.22</v>
      </c>
      <c r="O217" s="67">
        <v>0.58052434456928836</v>
      </c>
      <c r="P217" s="67">
        <v>0.50389610389610384</v>
      </c>
      <c r="Q217" s="67">
        <v>0.41793570219966159</v>
      </c>
    </row>
    <row r="218" spans="1:17" x14ac:dyDescent="0.4">
      <c r="A218" s="69">
        <v>215</v>
      </c>
      <c r="B218" s="66">
        <v>2676.6000000000004</v>
      </c>
      <c r="C218" s="66">
        <v>12.449302325581398</v>
      </c>
      <c r="D218" s="71">
        <v>1.758139534883721</v>
      </c>
      <c r="E218" s="67">
        <v>0.48837209302325579</v>
      </c>
      <c r="F218" s="67">
        <v>0.24651162790697675</v>
      </c>
      <c r="G218" s="67">
        <v>0.33826879271070615</v>
      </c>
      <c r="H218" s="67">
        <v>0.15034168564920272</v>
      </c>
      <c r="I218" s="68">
        <v>9260.7744107744111</v>
      </c>
      <c r="J218" s="68">
        <v>-8268.560606060606</v>
      </c>
      <c r="K218" s="67">
        <v>8.3720930232558138E-2</v>
      </c>
      <c r="L218" s="67">
        <v>0.17209302325581396</v>
      </c>
      <c r="M218" s="67">
        <v>0.30466970387243736</v>
      </c>
      <c r="N218" s="67">
        <v>0.2203872437357631</v>
      </c>
      <c r="O218" s="67">
        <v>0.58130841121495325</v>
      </c>
      <c r="P218" s="67">
        <v>0.50129198966408273</v>
      </c>
      <c r="Q218" s="67">
        <v>0.41919191919191917</v>
      </c>
    </row>
    <row r="219" spans="1:17" x14ac:dyDescent="0.4">
      <c r="A219" s="69">
        <v>216</v>
      </c>
      <c r="B219" s="66">
        <v>2671.2000000000003</v>
      </c>
      <c r="C219" s="66">
        <v>12.366666666666667</v>
      </c>
      <c r="D219" s="71">
        <v>1.7592592592592593</v>
      </c>
      <c r="E219" s="67">
        <v>0.4861111111111111</v>
      </c>
      <c r="F219" s="67">
        <v>0.24537037037037038</v>
      </c>
      <c r="G219" s="67">
        <v>0.33806012478729436</v>
      </c>
      <c r="H219" s="67">
        <v>0.15087918321043675</v>
      </c>
      <c r="I219" s="68">
        <v>9246.9798657718129</v>
      </c>
      <c r="J219" s="68">
        <v>-8242.8571428571431</v>
      </c>
      <c r="K219" s="67">
        <v>8.3333333333333329E-2</v>
      </c>
      <c r="L219" s="67">
        <v>0.17129629629629631</v>
      </c>
      <c r="M219" s="67">
        <v>0.30459444129325014</v>
      </c>
      <c r="N219" s="67">
        <v>0.21951219512195122</v>
      </c>
      <c r="O219" s="67">
        <v>0.58286778398510242</v>
      </c>
      <c r="P219" s="67">
        <v>0.50129198966408273</v>
      </c>
      <c r="Q219" s="67">
        <v>0.41946308724832215</v>
      </c>
    </row>
    <row r="220" spans="1:17" x14ac:dyDescent="0.4">
      <c r="A220" s="69">
        <v>217</v>
      </c>
      <c r="B220" s="66">
        <v>2672.1000000000004</v>
      </c>
      <c r="C220" s="66">
        <v>12.313824884792629</v>
      </c>
      <c r="D220" s="71">
        <v>1.76036866359447</v>
      </c>
      <c r="E220" s="67">
        <v>0.4838709677419355</v>
      </c>
      <c r="F220" s="67">
        <v>0.24423963133640553</v>
      </c>
      <c r="G220" s="67">
        <v>0.33709131905298761</v>
      </c>
      <c r="H220" s="67">
        <v>0.15050732807215333</v>
      </c>
      <c r="I220" s="68">
        <v>9251.0033444816054</v>
      </c>
      <c r="J220" s="68">
        <v>-8219.4756554307114</v>
      </c>
      <c r="K220" s="67">
        <v>8.294930875576037E-2</v>
      </c>
      <c r="L220" s="67">
        <v>0.17050691244239632</v>
      </c>
      <c r="M220" s="67">
        <v>0.30270574971815106</v>
      </c>
      <c r="N220" s="67">
        <v>0.21871476888387825</v>
      </c>
      <c r="O220" s="67">
        <v>0.58286778398510242</v>
      </c>
      <c r="P220" s="67">
        <v>0.50257731958762886</v>
      </c>
      <c r="Q220" s="67">
        <v>0.41806020066889632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-1.0000000000000071</v>
      </c>
      <c r="C325" s="66">
        <v>-1.0351966873706079E-3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-1</v>
      </c>
      <c r="C326" s="66">
        <v>-1.0319917440660474E-3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-1</v>
      </c>
      <c r="C327" s="66">
        <v>-1.02880658436214E-3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-1</v>
      </c>
      <c r="C328" s="66">
        <v>-1.0256410256410256E-3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-1</v>
      </c>
      <c r="C329" s="66">
        <v>-1.0224948875255625E-3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-0.99999999999999645</v>
      </c>
      <c r="C330" s="66">
        <v>-1.0193679918450525E-3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  <row r="331" spans="1:17" x14ac:dyDescent="0.4">
      <c r="A331" s="69">
        <v>328</v>
      </c>
      <c r="B331" s="66">
        <v>-0.99999999999998579</v>
      </c>
      <c r="C331" s="66">
        <v>-1.0162601626016116E-3</v>
      </c>
      <c r="D331" s="71">
        <v>2</v>
      </c>
      <c r="E331" s="67">
        <v>0.33333333333333331</v>
      </c>
      <c r="F331" s="67">
        <v>0.33333333333333331</v>
      </c>
      <c r="G331" s="67">
        <v>0.29779411764705882</v>
      </c>
      <c r="H331" s="67">
        <v>0.16666666666666666</v>
      </c>
      <c r="I331" s="68">
        <v>8650.699588477366</v>
      </c>
      <c r="J331" s="68">
        <v>-8158.161764705882</v>
      </c>
      <c r="K331" s="67">
        <v>0.11788617886178862</v>
      </c>
      <c r="L331" s="67">
        <v>0.11788617886178862</v>
      </c>
      <c r="M331" s="67">
        <v>0.26740196078431372</v>
      </c>
      <c r="N331" s="67">
        <v>0.21397058823529411</v>
      </c>
      <c r="O331" s="67">
        <v>0.57607699358386799</v>
      </c>
      <c r="P331" s="67">
        <v>0.39977090492554412</v>
      </c>
      <c r="Q331" s="67">
        <v>0.43251028806584363</v>
      </c>
    </row>
    <row r="332" spans="1:17" x14ac:dyDescent="0.4">
      <c r="A332" s="69">
        <v>329</v>
      </c>
      <c r="B332" s="66">
        <v>-0.99999999999998934</v>
      </c>
      <c r="C332" s="66">
        <v>-1.0131712259371726E-3</v>
      </c>
      <c r="D332" s="71">
        <v>2</v>
      </c>
      <c r="E332" s="67">
        <v>0.33333333333333331</v>
      </c>
      <c r="F332" s="67">
        <v>0.33333333333333331</v>
      </c>
      <c r="G332" s="67">
        <v>0.2978723404255319</v>
      </c>
      <c r="H332" s="67">
        <v>0.16666666666666666</v>
      </c>
      <c r="I332" s="68">
        <v>8650.1642036124795</v>
      </c>
      <c r="J332" s="68">
        <v>-8148.5693323550986</v>
      </c>
      <c r="K332" s="67">
        <v>0.11752786220871327</v>
      </c>
      <c r="L332" s="67">
        <v>0.11752786220871327</v>
      </c>
      <c r="M332" s="67">
        <v>0.26693568109562238</v>
      </c>
      <c r="N332" s="67">
        <v>0.21447786744925409</v>
      </c>
      <c r="O332" s="67">
        <v>0.57627118644067798</v>
      </c>
      <c r="P332" s="67">
        <v>0.39908779931584948</v>
      </c>
      <c r="Q332" s="67">
        <v>0.43267651888341546</v>
      </c>
    </row>
    <row r="333" spans="1:17" x14ac:dyDescent="0.4">
      <c r="A333" s="69">
        <v>330</v>
      </c>
      <c r="B333" s="66">
        <v>-0.99999999999997868</v>
      </c>
      <c r="C333" s="66">
        <v>-1.0101010101009886E-3</v>
      </c>
      <c r="D333" s="71">
        <v>2</v>
      </c>
      <c r="E333" s="67">
        <v>0.33333333333333331</v>
      </c>
      <c r="F333" s="67">
        <v>0.33333333333333331</v>
      </c>
      <c r="G333" s="67">
        <v>0.29796316623978536</v>
      </c>
      <c r="H333" s="67">
        <v>0.16672764971337969</v>
      </c>
      <c r="I333" s="68">
        <v>8639.8280802292265</v>
      </c>
      <c r="J333" s="68">
        <v>-8135.1865398683249</v>
      </c>
      <c r="K333" s="67">
        <v>0.11717171717171718</v>
      </c>
      <c r="L333" s="67">
        <v>0.11717171717171718</v>
      </c>
      <c r="M333" s="67">
        <v>0.2664959141358702</v>
      </c>
      <c r="N333" s="67">
        <v>0.21490425661666057</v>
      </c>
      <c r="O333" s="67">
        <v>0.57665903890160186</v>
      </c>
      <c r="P333" s="67">
        <v>0.40011350737797957</v>
      </c>
      <c r="Q333" s="67">
        <v>0.43266475644699143</v>
      </c>
    </row>
    <row r="334" spans="1:17" x14ac:dyDescent="0.4">
      <c r="A334" s="69">
        <v>331</v>
      </c>
      <c r="B334" s="66">
        <v>-0.99999999999997868</v>
      </c>
      <c r="C334" s="66">
        <v>-1.007049345417904E-3</v>
      </c>
      <c r="D334" s="71">
        <v>2</v>
      </c>
      <c r="E334" s="67">
        <v>0.33333333333333331</v>
      </c>
      <c r="F334" s="67">
        <v>0.33333333333333331</v>
      </c>
      <c r="G334" s="67">
        <v>0.29810495626822159</v>
      </c>
      <c r="H334" s="67">
        <v>0.16678814382896015</v>
      </c>
      <c r="I334" s="68">
        <v>8633.7000814995918</v>
      </c>
      <c r="J334" s="68">
        <v>-8131.172614712309</v>
      </c>
      <c r="K334" s="67">
        <v>0.11681772406847936</v>
      </c>
      <c r="L334" s="67">
        <v>0.11681772406847936</v>
      </c>
      <c r="M334" s="67">
        <v>0.26579203109815353</v>
      </c>
      <c r="N334" s="67">
        <v>0.21525753158406219</v>
      </c>
      <c r="O334" s="67">
        <v>0.57632541133455206</v>
      </c>
      <c r="P334" s="67">
        <v>0.40067720090293452</v>
      </c>
      <c r="Q334" s="67">
        <v>0.43276283618581907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2019-08-06T11:37:35Z</dcterms:modified>
</cp:coreProperties>
</file>